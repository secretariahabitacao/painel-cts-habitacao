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Jardim Aurora/Planilha de Controle/"/>
    </mc:Choice>
  </mc:AlternateContent>
  <xr:revisionPtr revIDLastSave="95982" documentId="8_{DAC6C9CA-70D7-4111-A0A7-BC6755E560D9}" xr6:coauthVersionLast="47" xr6:coauthVersionMax="47" xr10:uidLastSave="{9593F753-3D30-4DCA-B6FE-0C7379F754EB}"/>
  <bookViews>
    <workbookView xWindow="28680" yWindow="-120" windowWidth="29040" windowHeight="15720" firstSheet="3" activeTab="3" xr2:uid="{00000000-000D-0000-FFFF-FFFF00000000}"/>
  </bookViews>
  <sheets>
    <sheet name="Listas (não utilizar)" sheetId="4" state="hidden" r:id="rId1"/>
    <sheet name="QUANT COND" sheetId="16" state="hidden" r:id="rId2"/>
    <sheet name="OFÍCIOS" sheetId="5" state="hidden" r:id="rId3"/>
    <sheet name="PRIORIDADES" sheetId="20" r:id="rId4"/>
    <sheet name="EMAIL" sheetId="21" r:id="rId5"/>
    <sheet name="DEPLAN" sheetId="23" r:id="rId6"/>
  </sheets>
  <externalReferences>
    <externalReference r:id="rId7"/>
  </externalReferences>
  <definedNames>
    <definedName name="_xlnm._FilterDatabase" localSheetId="0" hidden="1">'Listas (não utilizar)'!$A$1:$J$1</definedName>
    <definedName name="_xlnm._FilterDatabase" localSheetId="2" hidden="1">OFÍCIOS!$A$2:$U$3059</definedName>
    <definedName name="_xlnm._FilterDatabase" localSheetId="3" hidden="1">PRIORIDADES!$B$9:$BM$10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0" hidden="1">'Listas (não utilizar)'!$F$2:$F$5</definedName>
    <definedName name="Z_39E29B6F_0D66_48AE_A716_BFBE8B532288_.wvu.FilterData" localSheetId="0" hidden="1">'Listas (não utilizar)'!$F$2:$F$5</definedName>
    <definedName name="Z_3C855A2D_2F8A_450A_853C_257A0FC222AF_.wvu.FilterData" localSheetId="0" hidden="1">'Listas (não utilizar)'!$F$2:$F$5</definedName>
    <definedName name="Z_8296C81D_E0C9_43D9_ADA1_0E4705448C59_.wvu.FilterData" localSheetId="0" hidden="1">'Listas (não utilizar)'!$A$1:$F$17</definedName>
    <definedName name="Z_A598ACE7_C3E8_4400_B80E_E7BA9453B8A3_.wvu.FilterData" localSheetId="0" hidden="1">'Listas (não utilizar)'!$F$2:$F$5</definedName>
    <definedName name="Z_AD69B6D1_19BC_4940_B666_EDC66A6E168F_.wvu.FilterData" localSheetId="0" hidden="1">'Listas (não utilizar)'!$A$1:$F$17</definedName>
    <definedName name="Z_C81C67C3_BEE5_43B5_A898_4FF9A711A2FF_.wvu.FilterData" localSheetId="0" hidden="1">'Listas (não utilizar)'!$F$2:$F$5</definedName>
    <definedName name="Z_D4268A78_2B91_4AE5_BC6A_318CAE2503F1_.wvu.FilterData" localSheetId="0" hidden="1">'Listas (não utilizar)'!$F$2:$F$5</definedName>
    <definedName name="Z_D8EF893F_7CCC_418F_8546_BBB4DB0B16B5_.wvu.FilterData" localSheetId="0" hidden="1">'Listas (não utilizar)'!$A$1:$F$17</definedName>
  </definedNames>
  <calcPr calcId="191028" calcOnSave="0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3" i="20" l="1"/>
  <c r="BD13" i="20"/>
  <c r="BE13" i="20"/>
  <c r="BC23" i="20"/>
  <c r="BD23" i="20"/>
  <c r="BE23" i="20"/>
  <c r="BC14" i="20"/>
  <c r="BD14" i="20"/>
  <c r="BE14" i="20"/>
  <c r="BC16" i="20"/>
  <c r="BD16" i="20"/>
  <c r="BE16" i="20"/>
  <c r="BC27" i="20"/>
  <c r="BD27" i="20"/>
  <c r="BE27" i="20"/>
  <c r="BC28" i="20"/>
  <c r="BD28" i="20"/>
  <c r="BE28" i="20"/>
  <c r="BC11" i="20"/>
  <c r="BD11" i="20"/>
  <c r="BE11" i="20"/>
  <c r="BC21" i="20"/>
  <c r="BD21" i="20"/>
  <c r="BE21" i="20"/>
  <c r="BC12" i="20"/>
  <c r="BD12" i="20"/>
  <c r="BE12" i="20"/>
  <c r="BC24" i="20"/>
  <c r="BD24" i="20"/>
  <c r="BE24" i="20"/>
  <c r="BC22" i="20"/>
  <c r="BD22" i="20"/>
  <c r="BE22" i="20"/>
  <c r="BC10" i="20"/>
  <c r="BD10" i="20"/>
  <c r="BE10" i="20"/>
  <c r="BC25" i="20"/>
  <c r="BD25" i="20"/>
  <c r="BE25" i="20"/>
  <c r="BC19" i="20"/>
  <c r="BD19" i="20"/>
  <c r="BE19" i="20"/>
  <c r="BC15" i="20"/>
  <c r="BD15" i="20"/>
  <c r="BE15" i="20"/>
  <c r="BC20" i="20"/>
  <c r="BD20" i="20"/>
  <c r="BE20" i="20"/>
  <c r="BC18" i="20"/>
  <c r="BD18" i="20"/>
  <c r="BE18" i="20"/>
  <c r="BC26" i="20"/>
  <c r="BD26" i="20"/>
  <c r="BE26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C37" i="20"/>
  <c r="BD37" i="20"/>
  <c r="BE37" i="20"/>
  <c r="BC38" i="20"/>
  <c r="BD38" i="20"/>
  <c r="BE38" i="20"/>
  <c r="BE17" i="20"/>
  <c r="BD17" i="20"/>
  <c r="BC17" i="20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<sst xmlns="http://schemas.openxmlformats.org/spreadsheetml/2006/main" count="8149" uniqueCount="5429">
  <si>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</si>
  <si>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</si>
  <si>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</si>
  <si>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</si>
  <si>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</si>
  <si>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</si>
  <si>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</si>
  <si>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</si>
  <si>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</si>
  <si>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</si>
  <si>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</si>
  <si>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</si>
  <si>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</si>
  <si>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</si>
  <si>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NÃO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</si>
  <si>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</si>
  <si>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</si>
  <si>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</si>
  <si>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</si>
  <si>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</si>
  <si>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</si>
  <si>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</si>
  <si>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</si>
  <si>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</si>
  <si>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</si>
  <si>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</si>
  <si>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</si>
  <si>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</si>
  <si>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</si>
  <si>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</si>
  <si>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</si>
  <si>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</si>
  <si>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</si>
  <si>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</si>
  <si>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</si>
  <si>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</si>
  <si>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</si>
  <si>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</si>
  <si>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</si>
  <si>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</si>
  <si>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</si>
  <si>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</si>
  <si>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</si>
  <si>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</si>
  <si>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</si>
  <si>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</si>
  <si>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</si>
  <si>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</si>
  <si>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</si>
  <si>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</si>
  <si>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</si>
  <si>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</si>
  <si>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</si>
  <si>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</si>
  <si>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</si>
  <si>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</si>
  <si>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</si>
  <si>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</si>
  <si>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</si>
  <si>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</si>
  <si>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</si>
  <si>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</si>
  <si>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</si>
  <si>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</si>
  <si>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</si>
  <si>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</si>
  <si>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</si>
  <si>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</si>
  <si>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</si>
  <si>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</si>
  <si>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</si>
  <si>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</si>
  <si>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</si>
  <si>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</si>
  <si>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</si>
  <si>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</si>
  <si>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</si>
  <si>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</si>
  <si>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</si>
  <si>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</si>
  <si>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</si>
  <si>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</si>
  <si>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</si>
  <si>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</si>
  <si>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</si>
  <si>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</si>
  <si>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</si>
  <si>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</si>
  <si>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</si>
  <si>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</si>
  <si>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</si>
  <si>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</si>
  <si>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</si>
  <si>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</si>
  <si>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</si>
  <si>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</si>
  <si>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</si>
  <si>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</si>
  <si>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</si>
  <si>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</si>
  <si>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</si>
  <si>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</si>
  <si>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TITULAR</t>
  </si>
  <si>
    <t>CPF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</si>
  <si>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</si>
  <si>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</si>
  <si>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</si>
  <si>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</si>
  <si>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</si>
  <si>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</si>
  <si>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</si>
  <si>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</si>
  <si>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</si>
  <si>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</si>
  <si>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</si>
  <si>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</si>
  <si>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</si>
  <si>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</si>
  <si>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</si>
  <si>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</si>
  <si>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</si>
  <si>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</si>
  <si>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</si>
  <si>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</si>
  <si>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</si>
  <si>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</si>
  <si>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</si>
  <si>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</si>
  <si>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</si>
  <si>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</si>
  <si>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</si>
  <si>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</si>
  <si>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</si>
  <si>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</si>
  <si>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</si>
  <si>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</si>
  <si>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</si>
  <si>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</si>
  <si>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</si>
  <si>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</si>
  <si>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</si>
  <si>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</si>
  <si>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</si>
  <si>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</si>
  <si>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</si>
  <si>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</si>
  <si>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</si>
  <si>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</si>
  <si>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</si>
  <si>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</si>
  <si>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</si>
  <si>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</si>
  <si>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</si>
  <si>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</si>
  <si>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</si>
  <si>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</si>
  <si>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</si>
  <si>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</si>
  <si>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</si>
  <si>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</si>
  <si>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</si>
  <si>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</si>
  <si>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</si>
  <si>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</si>
  <si>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</si>
  <si>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</si>
  <si>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</si>
  <si>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</si>
  <si>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</si>
  <si>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</si>
  <si>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</si>
  <si>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</si>
  <si>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</si>
  <si>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</si>
  <si>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</si>
  <si>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</si>
  <si>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</si>
  <si>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</si>
  <si>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</si>
  <si>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</si>
  <si>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</si>
  <si>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</si>
  <si>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</si>
  <si>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</si>
  <si>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</si>
  <si>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</si>
  <si>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</si>
  <si>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</si>
  <si>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</si>
  <si>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</si>
  <si>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</si>
  <si>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</si>
  <si>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</si>
  <si>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</si>
  <si>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</si>
  <si>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</si>
  <si>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</si>
  <si>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</si>
  <si>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</si>
  <si>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</si>
  <si>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</si>
  <si>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</si>
  <si>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</si>
  <si>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</si>
  <si>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</si>
  <si>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</si>
  <si>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</si>
  <si>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</si>
  <si>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</si>
  <si>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</si>
  <si>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</si>
  <si>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</si>
  <si>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</si>
  <si>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</si>
  <si>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</si>
  <si>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</si>
  <si>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</si>
  <si>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</si>
  <si>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</si>
  <si>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</si>
  <si>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</si>
  <si>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</si>
  <si>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</si>
  <si>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</si>
  <si>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</si>
  <si>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</si>
  <si>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</si>
  <si>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</si>
  <si>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</si>
  <si>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</si>
  <si>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</si>
  <si>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</si>
  <si>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</si>
  <si>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</si>
  <si>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</si>
  <si>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</si>
  <si>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</si>
  <si>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</si>
  <si>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</si>
  <si>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</si>
  <si>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</si>
  <si>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</si>
  <si>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</si>
  <si>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</si>
  <si>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</si>
  <si>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</si>
  <si>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</si>
  <si>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</si>
  <si>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</si>
  <si>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</si>
  <si>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</si>
  <si>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</si>
  <si>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</si>
  <si>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</si>
  <si>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</si>
  <si>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</si>
  <si>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</si>
  <si>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</si>
  <si>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</si>
  <si>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</si>
  <si>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</si>
  <si>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</si>
  <si>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</si>
  <si>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</si>
  <si>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</si>
  <si>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</si>
  <si>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</si>
  <si>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</si>
  <si>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</si>
  <si>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</si>
  <si>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</si>
  <si>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</si>
  <si>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</si>
  <si>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</si>
  <si>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</si>
  <si>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</si>
  <si>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</si>
  <si>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</si>
  <si>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</si>
  <si>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</si>
  <si>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</si>
  <si>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</si>
  <si>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</si>
  <si>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</si>
  <si>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</si>
  <si>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</si>
  <si>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</si>
  <si>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</si>
  <si>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</si>
  <si>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</si>
  <si>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</si>
  <si>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</si>
  <si>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</si>
  <si>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</si>
  <si>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</si>
  <si>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</si>
  <si>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</si>
  <si>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</si>
  <si>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</si>
  <si>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</si>
  <si>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</si>
  <si>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</si>
  <si>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</si>
  <si>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</si>
  <si>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</si>
  <si>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</si>
  <si>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</si>
  <si>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</si>
  <si>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</si>
  <si>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</si>
  <si>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</si>
  <si>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</si>
  <si>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</si>
  <si>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</si>
  <si>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</si>
  <si>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</si>
  <si>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</si>
  <si>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</si>
  <si>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</si>
  <si>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</si>
  <si>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</si>
  <si>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</si>
  <si>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</si>
  <si>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</si>
  <si>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</si>
  <si>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</si>
  <si>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</si>
  <si>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</si>
  <si>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</si>
  <si>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</si>
  <si>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</si>
  <si>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</si>
  <si>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</si>
  <si>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</si>
  <si>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</si>
  <si>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</si>
  <si>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</si>
  <si>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</si>
  <si>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</si>
  <si>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</si>
  <si>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</si>
  <si>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</si>
  <si>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</si>
  <si>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</si>
  <si>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</si>
  <si>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</si>
  <si>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</si>
  <si>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</si>
  <si>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</si>
  <si>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</si>
  <si>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</si>
  <si>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</si>
  <si>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</si>
  <si>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</si>
  <si>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</si>
  <si>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</si>
  <si>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</si>
  <si>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</si>
  <si>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</si>
  <si>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</si>
  <si>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</si>
  <si>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</si>
  <si>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</si>
  <si>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</si>
  <si>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</si>
  <si>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</si>
  <si>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</si>
  <si>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</si>
  <si>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</si>
  <si>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</si>
  <si>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</si>
  <si>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</si>
  <si>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</si>
  <si>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</si>
  <si>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</si>
  <si>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</si>
  <si>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</si>
  <si>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</si>
  <si>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</si>
  <si>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</si>
  <si>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</si>
  <si>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</si>
  <si>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</si>
  <si>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</si>
  <si>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</si>
  <si>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</si>
  <si>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</si>
  <si>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</si>
  <si>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</si>
  <si>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</si>
  <si>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</si>
  <si>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</si>
  <si>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</si>
  <si>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</si>
  <si>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</si>
  <si>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</si>
  <si>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</si>
  <si>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</si>
  <si>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</si>
  <si>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</si>
  <si>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</si>
  <si>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</si>
  <si>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</si>
  <si>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</si>
  <si>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</si>
  <si>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</si>
  <si>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</si>
  <si>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</si>
  <si>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</si>
  <si>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</si>
  <si>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</si>
  <si>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</si>
  <si>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</si>
  <si>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</si>
  <si>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</si>
  <si>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</si>
  <si>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</si>
  <si>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</si>
  <si>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</si>
  <si>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</si>
  <si>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</si>
  <si>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</si>
  <si>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</si>
  <si>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</si>
  <si>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</si>
  <si>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</si>
  <si>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</si>
  <si>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</si>
  <si>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</si>
  <si>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</si>
  <si>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</si>
  <si>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</si>
  <si>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</si>
  <si>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</si>
  <si>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</si>
  <si>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</si>
  <si>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</si>
  <si>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</si>
  <si>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</si>
  <si>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</si>
  <si>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</si>
  <si>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</si>
  <si>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</si>
  <si>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</si>
  <si>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</si>
  <si>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</si>
  <si>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</si>
  <si>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</si>
  <si>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</si>
  <si>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</si>
  <si>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</si>
  <si>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</si>
  <si>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</si>
  <si>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</si>
  <si>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</si>
  <si>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</si>
  <si>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</si>
  <si>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</si>
  <si>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</si>
  <si>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</si>
  <si>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</si>
  <si>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</si>
  <si>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</si>
  <si>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</si>
  <si>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</si>
  <si>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</si>
  <si>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</si>
  <si>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</si>
  <si>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</si>
  <si>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</si>
  <si>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</si>
  <si>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</si>
  <si>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</si>
  <si>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</si>
  <si>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</si>
  <si>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</si>
  <si>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</si>
  <si>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</si>
  <si>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</si>
  <si>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</si>
  <si>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</si>
  <si>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</si>
  <si>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</si>
  <si>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</si>
  <si>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</si>
  <si>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</si>
  <si>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</si>
  <si>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</si>
  <si>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</si>
  <si>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</si>
  <si>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</si>
  <si>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</si>
  <si>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</si>
  <si>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</si>
  <si>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</si>
  <si>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</si>
  <si>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</si>
  <si>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</si>
  <si>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</si>
  <si>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</si>
  <si>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</si>
  <si>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</si>
  <si>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</si>
  <si>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</si>
  <si>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</si>
  <si>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</si>
  <si>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</si>
  <si>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</si>
  <si>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</si>
  <si>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</si>
  <si>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</si>
  <si>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</si>
  <si>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</si>
  <si>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</si>
  <si>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</si>
  <si>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</si>
  <si>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</si>
  <si>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</si>
  <si>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</si>
  <si>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</si>
  <si>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</si>
  <si>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</si>
  <si>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</si>
  <si>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</si>
  <si>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</si>
  <si>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</si>
  <si>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</si>
  <si>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</si>
  <si>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</si>
  <si>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</si>
  <si>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</si>
  <si>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</si>
  <si>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</si>
  <si>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</si>
  <si>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</si>
  <si>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</si>
  <si>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</si>
  <si>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</si>
  <si>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</si>
  <si>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</si>
  <si>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</si>
  <si>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</si>
  <si>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</si>
  <si>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</si>
  <si>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</si>
  <si>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</si>
  <si>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</si>
  <si>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</si>
  <si>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</si>
  <si>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</si>
  <si>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</si>
  <si>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</si>
  <si>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</si>
  <si>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</si>
  <si>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</si>
  <si>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</si>
  <si>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</si>
  <si>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</si>
  <si>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</si>
  <si>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</si>
  <si>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</si>
  <si>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</si>
  <si>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</si>
  <si>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</si>
  <si>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</si>
  <si>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</si>
  <si>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</si>
  <si>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</si>
  <si>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</si>
  <si>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</si>
  <si>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</si>
  <si>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</si>
  <si>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</si>
  <si>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</si>
  <si>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</si>
  <si>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</si>
  <si>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</si>
  <si>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</si>
  <si>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</si>
  <si>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</si>
  <si>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</si>
  <si>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</si>
  <si>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</si>
  <si>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</si>
  <si>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</si>
  <si>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</si>
  <si>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</si>
  <si>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</si>
  <si>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</si>
  <si>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</si>
  <si>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</si>
  <si>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</si>
  <si>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</si>
  <si>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</si>
  <si>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</si>
  <si>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</si>
  <si>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</si>
  <si>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</si>
  <si>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</si>
  <si>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</si>
  <si>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</si>
  <si>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</si>
  <si>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</si>
  <si>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</si>
  <si>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</si>
  <si>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</si>
  <si>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</si>
  <si>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</si>
  <si>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</si>
  <si>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</si>
  <si>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</si>
  <si>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</si>
  <si>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</si>
  <si>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</si>
  <si>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</si>
  <si>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</si>
  <si>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</si>
  <si>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</si>
  <si>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</si>
  <si>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</si>
  <si>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</si>
  <si>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</si>
  <si>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</si>
  <si>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</si>
  <si>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</si>
  <si>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</si>
  <si>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</si>
  <si>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</si>
  <si>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</si>
  <si>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</si>
  <si>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</si>
  <si>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</si>
  <si>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</si>
  <si>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</si>
  <si>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</si>
  <si>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</si>
  <si>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</si>
  <si>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</si>
  <si>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</si>
  <si>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</si>
  <si>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</si>
  <si>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</si>
  <si>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</si>
  <si>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</si>
  <si>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</si>
  <si>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</si>
  <si>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</si>
  <si>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</si>
  <si>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</si>
  <si>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</si>
  <si>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</si>
  <si>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</si>
  <si>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</si>
  <si>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</si>
  <si>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</si>
  <si>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</si>
  <si>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</si>
  <si>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</si>
  <si>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</si>
  <si>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</si>
  <si>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</si>
  <si>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</si>
  <si>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</si>
  <si>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</si>
  <si>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</si>
  <si>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</si>
  <si>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</si>
  <si>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</si>
  <si>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</si>
  <si>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</si>
  <si>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</si>
  <si>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</si>
  <si>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</si>
  <si>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</si>
  <si>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</si>
  <si>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</si>
  <si>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</si>
  <si>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</si>
  <si>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</si>
  <si>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</si>
  <si>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</si>
  <si>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</si>
  <si>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</si>
  <si>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</si>
  <si>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</si>
  <si>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</si>
  <si>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</si>
  <si>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</si>
  <si>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</si>
  <si>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</si>
  <si>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</si>
  <si>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</si>
  <si>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</si>
  <si>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</si>
  <si>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</si>
  <si>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</si>
  <si>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</si>
  <si>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</si>
  <si>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</si>
  <si>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</si>
  <si>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</si>
  <si>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</si>
  <si>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</si>
  <si>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</si>
  <si>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</si>
  <si>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</si>
  <si>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</si>
  <si>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</si>
  <si>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</si>
  <si>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</si>
  <si>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</si>
  <si>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</si>
  <si>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</si>
  <si>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</si>
  <si>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</si>
  <si>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</si>
  <si>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</si>
  <si>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</si>
  <si>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</si>
  <si>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</si>
  <si>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</si>
  <si>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</si>
  <si>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</si>
  <si>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</si>
  <si>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</si>
  <si>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</si>
  <si>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</si>
  <si>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</si>
  <si>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</si>
  <si>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</si>
  <si>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</si>
  <si>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</si>
  <si>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</si>
  <si>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</si>
  <si>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</si>
  <si>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</si>
  <si>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</si>
  <si>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</si>
  <si>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</si>
  <si>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</si>
  <si>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</si>
  <si>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</si>
  <si>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</si>
  <si>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</si>
  <si>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</si>
  <si>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</si>
  <si>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</si>
  <si>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</si>
  <si>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</si>
  <si>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</si>
  <si>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</si>
  <si>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</si>
  <si>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</si>
  <si>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</si>
  <si>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</si>
  <si>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</si>
  <si>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</si>
  <si>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</si>
  <si>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</si>
  <si>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</si>
  <si>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</si>
  <si>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</si>
  <si>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</si>
  <si>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</si>
  <si>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</si>
  <si>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</si>
  <si>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</si>
  <si>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</si>
  <si>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</si>
  <si>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</si>
  <si>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</si>
  <si>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</si>
  <si>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</si>
  <si>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</si>
  <si>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</si>
  <si>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</si>
  <si>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</si>
  <si>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</si>
  <si>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</si>
  <si>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</si>
  <si>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</si>
  <si>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</si>
  <si>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</si>
  <si>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</si>
  <si>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</si>
  <si>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</si>
  <si>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</si>
  <si>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</si>
  <si>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</si>
  <si>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</si>
  <si>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</si>
  <si>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</si>
  <si>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</si>
  <si>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</si>
  <si>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</si>
  <si>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</si>
  <si>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</si>
  <si>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</si>
  <si>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</si>
  <si>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</si>
  <si>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</si>
  <si>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</si>
  <si>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</si>
  <si>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</si>
  <si>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</si>
  <si>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</si>
  <si>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</si>
  <si>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</si>
  <si>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</si>
  <si>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</si>
  <si>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</si>
  <si>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</si>
  <si>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</si>
  <si>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</si>
  <si>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</si>
  <si>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</si>
  <si>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</si>
  <si>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</si>
  <si>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</si>
  <si>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</si>
  <si>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</si>
  <si>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</si>
  <si>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</si>
  <si>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</si>
  <si>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</si>
  <si>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</si>
  <si>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</si>
  <si>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</si>
  <si>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</si>
  <si>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</si>
  <si>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</si>
  <si>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</si>
  <si>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</si>
  <si>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</si>
  <si>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</si>
  <si>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</si>
  <si>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</si>
  <si>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</si>
  <si>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</si>
  <si>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</si>
  <si>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</si>
  <si>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</si>
  <si>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</si>
  <si>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</si>
  <si>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</si>
  <si>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</si>
  <si>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</si>
  <si>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</si>
  <si>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</si>
  <si>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</si>
  <si>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</si>
  <si>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</si>
  <si>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</si>
  <si>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</si>
  <si>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</si>
  <si>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</si>
  <si>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</si>
  <si>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</si>
  <si>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</si>
  <si>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</si>
  <si>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</si>
  <si>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</si>
  <si>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</si>
  <si>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</si>
  <si>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</si>
  <si>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</si>
  <si>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</si>
  <si>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</si>
  <si>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</si>
  <si>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</si>
  <si>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</si>
  <si>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</si>
  <si>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</si>
  <si>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</si>
  <si>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</si>
  <si>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</si>
  <si>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</si>
  <si>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</si>
  <si>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</si>
  <si>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</si>
  <si>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</si>
  <si>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</si>
  <si>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</si>
  <si>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</si>
  <si>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</si>
  <si>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</si>
  <si>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</si>
  <si>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</si>
  <si>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</si>
  <si>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</si>
  <si>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</si>
  <si>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</si>
  <si>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</si>
  <si>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</si>
  <si>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</si>
  <si>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</si>
  <si>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</si>
  <si>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</si>
  <si>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</si>
  <si>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</si>
  <si>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</si>
  <si>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</si>
  <si>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</si>
  <si>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</si>
  <si>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</si>
  <si>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</si>
  <si>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</si>
  <si>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</si>
  <si>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</si>
  <si>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</si>
  <si>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</si>
  <si>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</si>
  <si>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</si>
  <si>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</si>
  <si>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</si>
  <si>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</si>
  <si>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</si>
  <si>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</si>
  <si>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</si>
  <si>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</si>
  <si>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</si>
  <si>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</si>
  <si>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</si>
  <si>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</si>
  <si>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</si>
  <si>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</si>
  <si>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</si>
  <si>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</si>
  <si>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</si>
  <si>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</si>
  <si>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</si>
  <si>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</si>
  <si>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</si>
  <si>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</si>
  <si>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</si>
  <si>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</si>
  <si>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</si>
  <si>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</si>
  <si>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</si>
  <si>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</si>
  <si>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</si>
  <si>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</si>
  <si>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</si>
  <si>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</si>
  <si>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</si>
  <si>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</si>
  <si>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</si>
  <si>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</si>
  <si>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</si>
  <si>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</si>
  <si>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</si>
  <si>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</si>
  <si>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</si>
  <si>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</si>
  <si>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</si>
  <si>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</si>
  <si>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</si>
  <si>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</si>
  <si>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</si>
  <si>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</si>
  <si>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</si>
  <si>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</si>
  <si>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</si>
  <si>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</si>
  <si>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</si>
  <si>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</si>
  <si>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</si>
  <si>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</si>
  <si>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</si>
  <si>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</si>
  <si>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</si>
  <si>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</si>
  <si>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</si>
  <si>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</si>
  <si>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</si>
  <si>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</si>
  <si>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</si>
  <si>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</si>
  <si>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</si>
  <si>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</si>
  <si>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</si>
  <si>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</si>
  <si>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</si>
  <si>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</si>
  <si>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</si>
  <si>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</si>
  <si>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</si>
  <si>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</si>
  <si>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</si>
  <si>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</si>
  <si>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</si>
  <si>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</si>
  <si>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</si>
  <si>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</si>
  <si>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</si>
  <si>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</si>
  <si>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</si>
  <si>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</si>
  <si>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</si>
  <si>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</si>
  <si>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</si>
  <si>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</si>
  <si>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</si>
  <si>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</si>
  <si>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</si>
  <si>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</si>
  <si>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</si>
  <si>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</si>
  <si>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</si>
  <si>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</si>
  <si>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</si>
  <si>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</si>
  <si>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</si>
  <si>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</si>
  <si>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</si>
  <si>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</si>
  <si>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</si>
  <si>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</si>
  <si>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</si>
  <si>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</si>
  <si>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</si>
  <si>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</si>
  <si>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</si>
  <si>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</si>
  <si>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</si>
  <si>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</si>
  <si>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</si>
  <si>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</si>
  <si>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</si>
  <si>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</si>
  <si>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</si>
  <si>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</si>
  <si>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</si>
  <si>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</si>
  <si>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</si>
  <si>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</si>
  <si>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</si>
  <si>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</si>
  <si>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</si>
  <si>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</si>
  <si>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</si>
  <si>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</si>
  <si>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</si>
  <si>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</si>
  <si>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</si>
  <si>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</si>
  <si>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</si>
  <si>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</si>
  <si>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</si>
  <si>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</si>
  <si>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</si>
  <si>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</si>
  <si>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</si>
  <si>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</si>
  <si>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</si>
  <si>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</si>
  <si>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</si>
  <si>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</si>
  <si>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</si>
  <si>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</si>
  <si>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</si>
  <si>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</si>
  <si>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</si>
  <si>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</si>
  <si>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</si>
  <si>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</si>
  <si>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</si>
  <si>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</si>
  <si>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</si>
  <si>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</si>
  <si>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</si>
  <si>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</si>
  <si>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</si>
  <si>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</si>
  <si>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</si>
  <si>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</si>
  <si>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</si>
  <si>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</si>
  <si>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</si>
  <si>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</si>
  <si>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</si>
  <si>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</si>
  <si>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</si>
  <si>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</si>
  <si>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</si>
  <si>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</si>
  <si>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</si>
  <si>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</si>
  <si>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</si>
  <si>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</si>
  <si>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</si>
  <si>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</si>
  <si>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</si>
  <si>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</si>
  <si>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</si>
  <si>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</si>
  <si>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</si>
  <si>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</si>
  <si>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</si>
  <si>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</si>
  <si>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</si>
  <si>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</si>
  <si>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</si>
  <si>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</si>
  <si>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</si>
  <si>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</si>
  <si>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</si>
  <si>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</si>
  <si>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</si>
  <si>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</si>
  <si>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</si>
  <si>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</si>
  <si>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</si>
  <si>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</si>
  <si>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</si>
  <si>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</si>
  <si>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</si>
  <si>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</si>
  <si>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</si>
  <si>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</si>
  <si>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</si>
  <si>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</si>
  <si>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</si>
  <si>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</si>
  <si>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</si>
  <si>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</si>
  <si>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</si>
  <si>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</si>
  <si>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</si>
  <si>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</si>
  <si>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</si>
  <si>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</si>
  <si>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</si>
  <si>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</si>
  <si>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</si>
  <si>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</si>
  <si>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</si>
  <si>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</si>
  <si>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</si>
  <si>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</si>
  <si>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</si>
  <si>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</si>
  <si>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</si>
  <si>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</si>
  <si>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</si>
  <si>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</si>
  <si>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</si>
  <si>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</si>
  <si>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</si>
  <si>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</si>
  <si>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</si>
  <si>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</si>
  <si>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</si>
  <si>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</si>
  <si>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</si>
  <si>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</si>
  <si>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</si>
  <si>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</si>
  <si>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</si>
  <si>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</si>
  <si>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</si>
  <si>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</si>
  <si>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</si>
  <si>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</si>
  <si>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</si>
  <si>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</si>
  <si>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</si>
  <si>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</si>
  <si>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</si>
  <si>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</si>
  <si>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</si>
  <si>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</si>
  <si>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</si>
  <si>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</si>
  <si>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</si>
  <si>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</si>
  <si>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</si>
  <si>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</si>
  <si>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</si>
  <si>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</si>
  <si>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</si>
  <si>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</si>
  <si>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</si>
  <si>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</si>
  <si>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</si>
  <si>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</si>
  <si>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</si>
  <si>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</si>
  <si>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</si>
  <si>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</si>
  <si>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</si>
  <si>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</si>
  <si>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</si>
  <si>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</si>
  <si>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</si>
  <si>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</si>
  <si>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</si>
  <si>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</si>
  <si>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</si>
  <si>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</si>
  <si>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</si>
  <si>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</si>
  <si>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</si>
  <si>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</si>
  <si>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</si>
  <si>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</si>
  <si>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</si>
  <si>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</si>
  <si>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</si>
  <si>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</si>
  <si>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</si>
  <si>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</si>
  <si>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</si>
  <si>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</si>
  <si>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</si>
  <si>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</si>
  <si>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</si>
  <si>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</si>
  <si>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</si>
  <si>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</si>
  <si>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</si>
  <si>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</si>
  <si>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</si>
  <si>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</si>
  <si>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</si>
  <si>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</si>
  <si>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</si>
  <si>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</si>
  <si>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</si>
  <si>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</si>
  <si>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</si>
  <si>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</si>
  <si>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</si>
  <si>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</si>
  <si>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</si>
  <si>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</si>
  <si>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</si>
  <si>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</si>
  <si>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</si>
  <si>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</si>
  <si>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</si>
  <si>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</si>
  <si>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</si>
  <si>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</si>
  <si>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</si>
  <si>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</si>
  <si>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</si>
  <si>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</si>
  <si>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</si>
  <si>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</si>
  <si>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</si>
  <si>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</si>
  <si>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</si>
  <si>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</si>
  <si>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</si>
  <si>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</si>
  <si>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</si>
  <si>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</si>
  <si>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</si>
  <si>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</si>
  <si>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</si>
  <si>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</si>
  <si>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</si>
  <si>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</si>
  <si>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</si>
  <si>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</si>
  <si>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</si>
  <si>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</si>
  <si>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</si>
  <si>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</si>
  <si>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</si>
  <si>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</si>
  <si>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</si>
  <si>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</si>
  <si>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</si>
  <si>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</si>
  <si>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</si>
  <si>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</si>
  <si>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</si>
  <si>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</si>
  <si>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</si>
  <si>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</si>
  <si>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</si>
  <si>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</si>
  <si>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</si>
  <si>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</si>
  <si>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</si>
  <si>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</si>
  <si>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</si>
  <si>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</si>
  <si>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</si>
  <si>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</si>
  <si>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</si>
  <si>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</si>
  <si>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</si>
  <si>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</si>
  <si>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</si>
  <si>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</si>
  <si>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</si>
  <si>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</si>
  <si>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</si>
  <si>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</si>
  <si>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</si>
  <si>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</si>
  <si>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</si>
  <si>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</si>
  <si>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</si>
  <si>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</si>
  <si>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</si>
  <si>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</si>
  <si>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</si>
  <si>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</si>
  <si>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</si>
  <si>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</si>
  <si>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</si>
  <si>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</si>
  <si>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</si>
  <si>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</si>
  <si>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</si>
  <si>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</si>
  <si>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</si>
  <si>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</si>
  <si>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</si>
  <si>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</si>
  <si>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</si>
  <si>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</si>
  <si>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</si>
  <si>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</si>
  <si>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</si>
  <si>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</si>
  <si>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</si>
  <si>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</si>
  <si>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</si>
  <si>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</si>
  <si>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</si>
  <si>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</si>
  <si>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</si>
  <si>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</si>
  <si>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</si>
  <si>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</si>
  <si>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</si>
  <si>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</si>
  <si>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</si>
  <si>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</si>
  <si>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</si>
  <si>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</si>
  <si>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</si>
  <si>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</si>
  <si>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</si>
  <si>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</si>
  <si>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</si>
  <si>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</si>
  <si>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</si>
  <si>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</si>
  <si>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</si>
  <si>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</si>
  <si>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</si>
  <si>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</si>
  <si>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</si>
  <si>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</si>
  <si>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</si>
  <si>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</si>
  <si>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</si>
  <si>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</si>
  <si>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</si>
  <si>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</si>
  <si>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</si>
  <si>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</si>
  <si>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</si>
  <si>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</si>
  <si>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</si>
  <si>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</si>
  <si>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</si>
  <si>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</si>
  <si>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</si>
  <si>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</si>
  <si>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</si>
  <si>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</si>
  <si>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</si>
  <si>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</si>
  <si>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</si>
  <si>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</si>
  <si>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</si>
  <si>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</si>
  <si>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</si>
  <si>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</si>
  <si>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</si>
  <si>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</si>
  <si>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</si>
  <si>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</si>
  <si>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</si>
  <si>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</si>
  <si>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</si>
  <si>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</si>
  <si>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</si>
  <si>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</si>
  <si>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</si>
  <si>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</si>
  <si>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</si>
  <si>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</si>
  <si>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</si>
  <si>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</si>
  <si>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</si>
  <si>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</si>
  <si>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</si>
  <si>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</si>
  <si>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</si>
  <si>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</si>
  <si>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</si>
  <si>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</si>
  <si>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</si>
  <si>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</si>
  <si>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</si>
  <si>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</si>
  <si>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</si>
  <si>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</si>
  <si>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</si>
  <si>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</si>
  <si>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</si>
  <si>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</si>
  <si>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</si>
  <si>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</si>
  <si>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</si>
  <si>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</si>
  <si>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</si>
  <si>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</si>
  <si>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</si>
  <si>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</si>
  <si>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</si>
  <si>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</si>
  <si>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</si>
  <si>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</si>
  <si>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</si>
  <si>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</si>
  <si>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</si>
  <si>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</si>
  <si>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</si>
  <si>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</si>
  <si>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</si>
  <si>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</si>
  <si>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</si>
  <si>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</si>
  <si>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</si>
  <si>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</si>
  <si>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</si>
  <si>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</si>
  <si>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</si>
  <si>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</si>
  <si>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</si>
  <si>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</si>
  <si>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</si>
  <si>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</si>
  <si>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</si>
  <si>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</si>
  <si>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</si>
  <si>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</si>
  <si>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</si>
  <si>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</si>
  <si>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</si>
  <si>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</si>
  <si>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</si>
  <si>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</si>
  <si>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</si>
  <si>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</si>
  <si>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</si>
  <si>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</si>
  <si>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</si>
  <si>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</si>
  <si>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</si>
  <si>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</si>
  <si>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</si>
  <si>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</si>
  <si>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</si>
  <si>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</si>
  <si>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</si>
  <si>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</si>
  <si>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</si>
  <si>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</si>
  <si>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</si>
  <si>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</si>
  <si>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</si>
  <si>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</si>
  <si>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</si>
  <si>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</si>
  <si>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</si>
  <si>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</si>
  <si>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</si>
  <si>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</si>
  <si>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</si>
  <si>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</si>
  <si>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</si>
  <si>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</si>
  <si>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</si>
  <si>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</si>
  <si>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</si>
  <si>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</si>
  <si>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</si>
  <si>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</si>
  <si>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</si>
  <si>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</si>
  <si>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</si>
  <si>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</si>
  <si>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</si>
  <si>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</si>
  <si>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</si>
  <si>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</si>
  <si>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</si>
  <si>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</si>
  <si>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</si>
  <si>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</si>
  <si>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</si>
  <si>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</si>
  <si>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</si>
  <si>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</si>
  <si>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</si>
  <si>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</si>
  <si>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</si>
  <si>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</si>
  <si>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</si>
  <si>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</si>
  <si>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</si>
  <si>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</si>
  <si>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</si>
  <si>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</si>
  <si>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</si>
  <si>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</si>
  <si>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</si>
  <si>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</si>
  <si>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</si>
  <si>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</si>
  <si>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</si>
  <si>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</si>
  <si>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</si>
  <si>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</si>
  <si>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</si>
  <si>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</si>
  <si>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</si>
  <si>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</si>
  <si>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</si>
  <si>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</si>
  <si>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</si>
  <si>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</si>
  <si>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</si>
  <si>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</si>
  <si>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</si>
  <si>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</si>
  <si>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</si>
  <si>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</si>
  <si>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</si>
  <si>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</si>
  <si>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</si>
  <si>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</si>
  <si>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</si>
  <si>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</si>
  <si>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</si>
  <si>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</si>
  <si>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</si>
  <si>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</si>
  <si>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</si>
  <si>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</si>
  <si>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</si>
  <si>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</si>
  <si>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</si>
  <si>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</si>
  <si>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</si>
  <si>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</si>
  <si>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</si>
  <si>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</si>
  <si>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</si>
  <si>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</si>
  <si>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</si>
  <si>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</si>
  <si>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</si>
  <si>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</si>
  <si>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</si>
  <si>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</si>
  <si>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</si>
  <si>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</si>
  <si>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</si>
  <si>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</si>
  <si>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</si>
  <si>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</si>
  <si>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</si>
  <si>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</si>
  <si>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</si>
  <si>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</si>
  <si>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</si>
  <si>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</si>
  <si>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</si>
  <si>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</si>
  <si>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</si>
  <si>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</si>
  <si>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</si>
  <si>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</si>
  <si>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</si>
  <si>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</si>
  <si>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</si>
  <si>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</si>
  <si>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</si>
  <si>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</si>
  <si>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</si>
  <si>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</si>
  <si>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</si>
  <si>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</si>
  <si>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</si>
  <si>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</si>
  <si>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</si>
  <si>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</si>
  <si>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</si>
  <si>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</si>
  <si>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</si>
  <si>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</si>
  <si>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</si>
  <si>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</si>
  <si>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</si>
  <si>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</si>
  <si>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</si>
  <si>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</si>
  <si>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</si>
  <si>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</si>
  <si>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</si>
  <si>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</si>
  <si>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</si>
  <si>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</si>
  <si>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</si>
  <si>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</si>
  <si>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</si>
  <si>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</si>
  <si>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</si>
  <si>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</si>
  <si>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</si>
  <si>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</si>
  <si>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</si>
  <si>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</si>
  <si>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</si>
  <si>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</si>
  <si>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</si>
  <si>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</si>
  <si>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</si>
  <si>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</si>
  <si>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</si>
  <si>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</si>
  <si>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</si>
  <si>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</si>
  <si>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</si>
  <si>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</si>
  <si>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</si>
  <si>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</si>
  <si>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</si>
  <si>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</si>
  <si>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</si>
  <si>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</si>
  <si>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</si>
  <si>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</si>
  <si>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</si>
  <si>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</si>
  <si>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</si>
  <si>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</si>
  <si>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</si>
  <si>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</si>
  <si>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</si>
  <si>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</si>
  <si>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</si>
  <si>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</si>
  <si>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</si>
  <si>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</si>
  <si>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</si>
  <si>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</si>
  <si>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</si>
  <si>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</si>
  <si>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</si>
  <si>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</si>
  <si>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</si>
  <si>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</si>
  <si>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</si>
  <si>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</si>
  <si>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</si>
  <si>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</si>
  <si>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</si>
  <si>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</si>
  <si>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</si>
  <si>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</si>
  <si>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</si>
  <si>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</si>
  <si>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</si>
  <si>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</si>
  <si>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</si>
  <si>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</si>
  <si>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</si>
  <si>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</si>
  <si>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</si>
  <si>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</si>
  <si>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</si>
  <si>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</si>
  <si>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</si>
  <si>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</si>
  <si>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</si>
  <si>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</si>
  <si>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</si>
  <si>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</si>
  <si>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</si>
  <si>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</si>
  <si>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</si>
  <si>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</si>
  <si>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</si>
  <si>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</si>
  <si>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</si>
  <si>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</si>
  <si>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</si>
  <si>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</si>
  <si>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</si>
  <si>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</si>
  <si>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</si>
  <si>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</si>
  <si>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</si>
  <si>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</si>
  <si>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</si>
  <si>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</si>
  <si>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</si>
  <si>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</si>
  <si>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</si>
  <si>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</si>
  <si>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</si>
  <si>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</si>
  <si>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</si>
  <si>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</si>
  <si>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</si>
  <si>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</si>
  <si>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</si>
  <si>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</si>
  <si>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</si>
  <si>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</si>
  <si>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</si>
  <si>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</si>
  <si>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</si>
  <si>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</si>
  <si>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</si>
  <si>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</si>
  <si>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</si>
  <si>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</si>
  <si>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</si>
  <si>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</si>
  <si>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</si>
  <si>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</si>
  <si>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</si>
  <si>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</si>
  <si>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</si>
  <si>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</si>
  <si>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</si>
  <si>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</si>
  <si>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</si>
  <si>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</si>
  <si>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</si>
  <si>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</si>
  <si>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</si>
  <si>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</si>
  <si>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</si>
  <si>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</si>
  <si>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</si>
  <si>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</si>
  <si>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</si>
  <si>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</si>
  <si>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</si>
  <si>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</si>
  <si>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</si>
  <si>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</si>
  <si>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</si>
  <si>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</si>
  <si>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</si>
  <si>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</si>
  <si>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</si>
  <si>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</si>
  <si>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</si>
  <si>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</si>
  <si>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</si>
  <si>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</si>
  <si>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</si>
  <si>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</si>
  <si>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</si>
  <si>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</si>
  <si>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</si>
  <si>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</si>
  <si>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</si>
  <si>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</si>
  <si>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</si>
  <si>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</si>
  <si>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</si>
  <si>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</si>
  <si>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</si>
  <si>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</si>
  <si>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</si>
  <si>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</si>
  <si>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</si>
  <si>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</si>
  <si>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</si>
  <si>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</si>
  <si>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</si>
  <si>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</si>
  <si>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</si>
  <si>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</si>
  <si>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</si>
  <si>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</si>
  <si>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</si>
  <si>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</si>
  <si>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</si>
  <si>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</si>
  <si>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</si>
  <si>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</si>
  <si>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</si>
  <si>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</si>
  <si>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</si>
  <si>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</si>
  <si>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</si>
  <si>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</si>
  <si>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</si>
  <si>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</si>
  <si>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</si>
  <si>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</si>
  <si>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</si>
  <si>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</si>
  <si>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</si>
  <si>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</si>
  <si>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</si>
  <si>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</si>
  <si>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</si>
  <si>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</si>
  <si>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</si>
  <si>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</si>
  <si>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</si>
  <si>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</si>
  <si>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</si>
  <si>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</si>
  <si>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</si>
  <si>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</si>
  <si>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</si>
  <si>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</si>
  <si>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</si>
  <si>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</si>
  <si>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</si>
  <si>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</si>
  <si>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</si>
  <si>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</si>
  <si>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</si>
  <si>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</si>
  <si>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</si>
  <si>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</si>
  <si>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</si>
  <si>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</si>
  <si>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</si>
  <si>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</si>
  <si>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</si>
  <si>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</si>
  <si>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</si>
  <si>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</si>
  <si>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</si>
  <si>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</si>
  <si>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</si>
  <si>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</si>
  <si>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</si>
  <si>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</si>
  <si>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</si>
  <si>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</si>
  <si>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</si>
  <si>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</si>
  <si>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</si>
  <si>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</si>
  <si>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</si>
  <si>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</si>
  <si>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</si>
  <si>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</si>
  <si>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</si>
  <si>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</si>
  <si>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</si>
  <si>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</si>
  <si>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</si>
  <si>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</si>
  <si>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</si>
  <si>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</si>
  <si>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</si>
  <si>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</si>
  <si>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</si>
  <si>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</si>
  <si>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</si>
  <si>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</si>
  <si>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</si>
  <si>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</si>
  <si>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</si>
  <si>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</si>
  <si>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</si>
  <si>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</si>
  <si>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</si>
  <si>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</si>
  <si>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</si>
  <si>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</si>
  <si>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</si>
  <si>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</si>
  <si>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</si>
  <si>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</si>
  <si>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</si>
  <si>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</si>
  <si>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</si>
  <si>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</si>
  <si>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</si>
  <si>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</si>
  <si>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</si>
  <si>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</si>
  <si>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</si>
  <si>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</si>
  <si>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</si>
  <si>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</si>
  <si>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</si>
  <si>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</si>
  <si>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</si>
  <si>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</si>
  <si>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</si>
  <si>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</si>
  <si>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</si>
  <si>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</si>
  <si>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</si>
  <si>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</si>
  <si>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</si>
  <si>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</si>
  <si>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</si>
  <si>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</si>
  <si>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</si>
  <si>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</si>
  <si>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</si>
  <si>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</si>
  <si>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</si>
  <si>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</si>
  <si>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</si>
  <si>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</si>
  <si>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</si>
  <si>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</si>
  <si>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</si>
  <si>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</si>
  <si>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</si>
  <si>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</si>
  <si>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</si>
  <si>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</si>
  <si>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</si>
  <si>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</si>
  <si>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</si>
  <si>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</si>
  <si>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</si>
  <si>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</si>
  <si>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</si>
  <si>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</si>
  <si>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</si>
  <si>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</si>
  <si>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</si>
  <si>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</si>
  <si>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</si>
  <si>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</si>
  <si>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</si>
  <si>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</si>
  <si>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</si>
  <si>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</si>
  <si>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</si>
  <si>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</si>
  <si>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</si>
  <si>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</si>
  <si>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</si>
  <si>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</si>
  <si>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</si>
  <si>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</si>
  <si>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</si>
  <si>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</si>
  <si>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</si>
  <si>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</si>
  <si>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</si>
  <si>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</si>
  <si>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</si>
  <si>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</si>
  <si>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</si>
  <si>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</si>
  <si>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</si>
  <si>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</si>
  <si>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</si>
  <si>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</si>
  <si>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</si>
  <si>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</si>
  <si>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</si>
  <si>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</si>
  <si>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</si>
  <si>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</si>
  <si>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</si>
  <si>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</si>
  <si>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</si>
  <si>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</si>
  <si>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</si>
  <si>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</si>
  <si>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</si>
  <si>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</si>
  <si>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</si>
  <si>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</si>
  <si>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</si>
  <si>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</si>
  <si>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</si>
  <si>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</si>
  <si>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</si>
  <si>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</si>
  <si>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</si>
  <si>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</si>
  <si>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</si>
  <si>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</si>
  <si>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</si>
  <si>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</si>
  <si>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</si>
  <si>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</si>
  <si>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</si>
  <si>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</si>
  <si>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</si>
  <si>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</si>
  <si>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</si>
  <si>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</si>
  <si>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</si>
  <si>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</si>
  <si>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</si>
  <si>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</si>
  <si>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</si>
  <si>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</si>
  <si>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</si>
  <si>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</si>
  <si>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</si>
  <si>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</si>
  <si>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</si>
  <si>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</si>
  <si>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</si>
  <si>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</si>
  <si>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</si>
  <si>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</si>
  <si>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</si>
  <si>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</si>
  <si>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</si>
  <si>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</si>
  <si>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</si>
  <si>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</si>
  <si>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</si>
  <si>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</si>
  <si>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</si>
  <si>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</si>
  <si>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</si>
  <si>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</si>
  <si>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</si>
  <si>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</si>
  <si>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</si>
  <si>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</si>
  <si>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</si>
  <si>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</si>
  <si>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</si>
  <si>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</si>
  <si>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</si>
  <si>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</si>
  <si>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</si>
  <si>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</si>
  <si>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</si>
  <si>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</si>
  <si>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</si>
  <si>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</si>
  <si>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</si>
  <si>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</si>
  <si>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</si>
  <si>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</si>
  <si>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</si>
  <si>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</si>
  <si>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</si>
  <si>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</si>
  <si>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</si>
  <si>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</si>
  <si>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</si>
  <si>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</si>
  <si>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</si>
  <si>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</si>
  <si>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</si>
  <si>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</si>
  <si>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</si>
  <si>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</si>
  <si>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</si>
  <si>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</si>
  <si>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</si>
  <si>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</si>
  <si>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</si>
  <si>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</si>
  <si>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</si>
  <si>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</si>
  <si>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</si>
  <si>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</si>
  <si>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</si>
  <si>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</si>
  <si>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</si>
  <si>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</si>
  <si>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</si>
  <si>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</si>
  <si>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</si>
  <si>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</si>
  <si>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</si>
  <si>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</si>
  <si>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</si>
  <si>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</si>
  <si>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</si>
  <si>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</si>
  <si>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</si>
  <si>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</si>
  <si>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</si>
  <si>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</si>
  <si>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</si>
  <si>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</si>
  <si>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</si>
  <si>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</si>
  <si>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</si>
  <si>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</si>
  <si>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</si>
  <si>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</si>
  <si>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</si>
  <si>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</si>
  <si>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</si>
  <si>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</si>
  <si>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</si>
  <si>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</si>
  <si>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</si>
  <si>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</si>
  <si>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</si>
  <si>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</si>
  <si>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</si>
  <si>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</si>
  <si>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</si>
  <si>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</si>
  <si>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</si>
  <si>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</si>
  <si>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</si>
  <si>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</si>
  <si>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</si>
  <si>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</si>
  <si>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</si>
  <si>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</si>
  <si>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</si>
  <si>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</si>
  <si>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</si>
  <si>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</si>
  <si>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</si>
  <si>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</si>
  <si>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</si>
  <si>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</si>
  <si>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</si>
  <si>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</si>
  <si>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</si>
  <si>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</si>
  <si>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</si>
  <si>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</si>
  <si>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</si>
  <si>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</si>
  <si>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</si>
  <si>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</si>
  <si>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</si>
  <si>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</si>
  <si>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</si>
  <si>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</si>
  <si>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</si>
  <si>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</si>
  <si>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</si>
  <si>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</si>
  <si>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</si>
  <si>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</si>
  <si>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</si>
  <si>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</si>
  <si>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</si>
  <si>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</si>
  <si>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</si>
  <si>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</si>
  <si>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</si>
  <si>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</si>
  <si>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</si>
  <si>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</si>
  <si>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</si>
  <si>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</si>
  <si>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</si>
  <si>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</si>
  <si>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</si>
  <si>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</si>
  <si>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</si>
  <si>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</si>
  <si>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</si>
  <si>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</si>
  <si>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</si>
  <si>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</si>
  <si>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</si>
  <si>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</si>
  <si>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</si>
  <si>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</si>
  <si>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</si>
  <si>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</si>
  <si>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</si>
  <si>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</si>
  <si>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</si>
  <si>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</si>
  <si>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</si>
  <si>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</si>
  <si>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</si>
  <si>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</si>
  <si>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</si>
  <si>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</si>
  <si>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</si>
  <si>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</si>
  <si>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</si>
  <si>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</si>
  <si>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</si>
  <si>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</si>
  <si>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</si>
  <si>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</si>
  <si>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</si>
  <si>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</si>
  <si>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</si>
  <si>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</si>
  <si>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</si>
  <si>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</si>
  <si>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</si>
  <si>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</si>
  <si>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</si>
  <si>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</si>
  <si>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</si>
  <si>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</si>
  <si>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</si>
  <si>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</si>
  <si>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</si>
  <si>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</si>
  <si>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</si>
  <si>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</si>
  <si>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</si>
  <si>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</si>
  <si>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</si>
  <si>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</si>
  <si>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</si>
  <si>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</si>
  <si>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</si>
  <si>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</si>
  <si>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</si>
  <si>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</si>
  <si>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</si>
  <si>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</si>
  <si>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</si>
  <si>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</si>
  <si>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</si>
  <si>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</si>
  <si>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</si>
  <si>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</si>
  <si>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</si>
  <si>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</si>
  <si>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</si>
  <si>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</si>
  <si>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</si>
  <si>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</si>
  <si>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</si>
  <si>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</si>
  <si>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</si>
  <si>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</si>
  <si>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</si>
  <si>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</si>
  <si>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</si>
  <si>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</si>
  <si>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</si>
  <si>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</si>
  <si>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</si>
  <si>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</si>
  <si>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</si>
  <si>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</si>
  <si>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</si>
  <si>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</si>
  <si>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</si>
  <si>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</si>
  <si>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</si>
  <si>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</si>
  <si>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</si>
  <si>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</si>
  <si>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</si>
  <si>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</si>
  <si>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</si>
  <si>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</si>
  <si>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</si>
  <si>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</si>
  <si>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</si>
  <si>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</si>
  <si>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</si>
  <si>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</si>
  <si>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</si>
  <si>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</si>
  <si>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</si>
  <si>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</si>
  <si>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</si>
  <si>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</si>
  <si>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</si>
  <si>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</si>
  <si>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</si>
  <si>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</si>
  <si>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</si>
  <si>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</si>
  <si>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</si>
  <si>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</si>
  <si>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</si>
  <si>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</si>
  <si>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</si>
  <si>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</si>
  <si>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</si>
  <si>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</si>
  <si>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</si>
  <si>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</si>
  <si>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</si>
  <si>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</si>
  <si>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</si>
  <si>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</si>
  <si>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</si>
  <si>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</si>
  <si>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</si>
  <si>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</si>
  <si>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</si>
  <si>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</si>
  <si>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</si>
  <si>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</si>
  <si>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</si>
  <si>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</si>
  <si>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</si>
  <si>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</si>
  <si>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</si>
  <si>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</si>
  <si>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</si>
  <si>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</si>
  <si>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</si>
  <si>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</si>
  <si>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</si>
  <si>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</si>
  <si>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</si>
  <si>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</si>
  <si>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</si>
  <si>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</si>
  <si>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</si>
  <si>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</si>
  <si>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</si>
  <si>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</si>
  <si>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</si>
  <si>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</si>
  <si>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</si>
  <si>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</si>
  <si>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</si>
  <si>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</si>
  <si>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</si>
  <si>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</si>
  <si>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</si>
  <si>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</si>
  <si>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</si>
  <si>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</si>
  <si>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</si>
  <si>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</si>
  <si>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</si>
  <si>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</si>
  <si>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</si>
  <si>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</si>
  <si>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</si>
  <si>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</si>
  <si>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</si>
  <si>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</si>
  <si>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</si>
  <si>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</si>
  <si>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</si>
  <si>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</si>
  <si>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</si>
  <si>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</si>
  <si>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</si>
  <si>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</si>
  <si>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</si>
  <si>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</si>
  <si>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</si>
  <si>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</si>
  <si>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</si>
  <si>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</si>
  <si>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</si>
  <si>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</si>
  <si>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</si>
  <si>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</si>
  <si>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</si>
  <si>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</si>
  <si>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</si>
  <si>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</si>
  <si>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</si>
  <si>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</si>
  <si>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</si>
  <si>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</si>
  <si>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</si>
  <si>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</si>
  <si>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</si>
  <si>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</si>
  <si>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</si>
  <si>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</si>
  <si>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</si>
  <si>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</si>
  <si>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</si>
  <si>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</si>
  <si>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</si>
  <si>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</si>
  <si>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</si>
  <si>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</si>
  <si>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</si>
  <si>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</si>
  <si>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</si>
  <si>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</si>
  <si>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</si>
  <si>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</si>
  <si>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</si>
  <si>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</si>
  <si>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</si>
  <si>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</si>
  <si>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</si>
  <si>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</si>
  <si>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</si>
  <si>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</si>
  <si>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</si>
  <si>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</si>
  <si>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</si>
  <si>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</si>
  <si>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</si>
  <si>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</si>
  <si>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</si>
  <si>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</si>
  <si>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</si>
  <si>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</si>
  <si>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</si>
  <si>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</si>
  <si>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</si>
  <si>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</si>
  <si>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</si>
  <si>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</si>
  <si>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</si>
  <si>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</si>
  <si>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</si>
  <si>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</si>
  <si>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</si>
  <si>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</si>
  <si>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</si>
  <si>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</si>
  <si>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</si>
  <si>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</si>
  <si>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</si>
  <si>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</si>
  <si>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</si>
  <si>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</si>
  <si>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</si>
  <si>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</si>
  <si>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</si>
  <si>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</si>
  <si>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</si>
  <si>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</si>
  <si>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</si>
  <si>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</si>
  <si>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</si>
  <si>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</si>
  <si>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</si>
  <si>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</si>
  <si>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</si>
  <si>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</si>
  <si>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</si>
  <si>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</si>
  <si>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</si>
  <si>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</si>
  <si>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</si>
  <si>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</si>
  <si>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</si>
  <si>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</si>
  <si>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</si>
  <si>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</si>
  <si>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</si>
  <si>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</si>
  <si>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</si>
  <si>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</si>
  <si>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</si>
  <si>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</si>
  <si>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</si>
  <si>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</si>
  <si>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</si>
  <si>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</si>
  <si>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</si>
  <si>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</si>
  <si>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</si>
  <si>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</si>
  <si>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</si>
  <si>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</si>
  <si>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</si>
  <si>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</si>
  <si>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</si>
  <si>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</si>
  <si>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</si>
  <si>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</si>
  <si>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</si>
  <si>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</si>
  <si>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</si>
  <si>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</si>
  <si>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</si>
  <si>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</si>
  <si>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</si>
  <si>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</si>
  <si>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</si>
  <si>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</si>
  <si>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</si>
  <si>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</si>
  <si>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</si>
  <si>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</si>
  <si>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</si>
  <si>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</si>
  <si>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</si>
  <si>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</si>
  <si>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</si>
  <si>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</si>
  <si>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</si>
  <si>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</si>
  <si>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</si>
  <si>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</si>
  <si>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</si>
  <si>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</si>
  <si>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</si>
  <si>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</si>
  <si>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</si>
  <si>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</si>
  <si>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</si>
  <si>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</si>
  <si>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</si>
  <si>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</si>
  <si>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</si>
  <si>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</si>
  <si>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</si>
  <si>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</si>
  <si>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</si>
  <si>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</si>
  <si>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</si>
  <si>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</si>
  <si>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</si>
  <si>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</si>
  <si>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</si>
  <si>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</si>
  <si>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</si>
  <si>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</si>
  <si>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</si>
  <si>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</si>
  <si>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</si>
  <si>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</si>
  <si>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</si>
  <si>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</si>
  <si>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</si>
  <si>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</si>
  <si>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</si>
  <si>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</si>
  <si>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</si>
  <si>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</si>
  <si>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</si>
  <si>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</si>
  <si>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</si>
  <si>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</si>
  <si>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</si>
  <si>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</si>
  <si>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</si>
  <si>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</si>
  <si>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</si>
  <si>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</si>
  <si>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</si>
  <si>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</si>
  <si>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</si>
  <si>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</si>
  <si>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</si>
  <si>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</si>
  <si>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</si>
  <si>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</si>
  <si>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</si>
  <si>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</si>
  <si>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</si>
  <si>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</si>
  <si>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</si>
  <si>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</si>
  <si>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</si>
  <si>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</si>
  <si>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</si>
  <si>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</si>
  <si>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</si>
  <si>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</si>
  <si>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</si>
  <si>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</si>
  <si>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</si>
  <si>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</si>
  <si>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</si>
  <si>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</si>
  <si>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</si>
  <si>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</si>
  <si>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</si>
  <si>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</si>
  <si>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</si>
  <si>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</si>
  <si>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</si>
  <si>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</si>
  <si>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</si>
  <si>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</si>
  <si>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</si>
  <si>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</si>
  <si>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</si>
  <si>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</si>
  <si>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</si>
  <si>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</si>
  <si>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</si>
  <si>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</si>
  <si>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</si>
  <si>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</si>
  <si>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</si>
  <si>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</si>
  <si>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</si>
  <si>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</si>
  <si>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</si>
  <si>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</si>
  <si>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</si>
  <si>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</si>
  <si>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</si>
  <si>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</si>
  <si>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</si>
  <si>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</si>
  <si>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</si>
  <si>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</si>
  <si>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</si>
  <si>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</si>
  <si>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</si>
  <si>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</si>
  <si>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</si>
  <si>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</si>
  <si>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</si>
  <si>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</si>
  <si>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</si>
  <si>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</si>
  <si>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</si>
  <si>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</si>
  <si>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</si>
  <si>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</si>
  <si>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</si>
  <si>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</si>
  <si>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</si>
  <si>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</si>
  <si>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</si>
  <si>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</si>
  <si>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</si>
  <si>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</si>
  <si>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</si>
  <si>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</si>
  <si>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</si>
  <si>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</si>
  <si>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</si>
  <si>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</si>
  <si>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</si>
  <si>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</si>
  <si>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</si>
  <si>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</si>
  <si>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</si>
  <si>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</si>
  <si>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</si>
  <si>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</si>
  <si>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</si>
  <si>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</si>
  <si>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</si>
  <si>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</si>
  <si>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</si>
  <si>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</si>
  <si>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</si>
  <si>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</si>
  <si>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</si>
  <si>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</si>
  <si>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</si>
  <si>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</si>
  <si>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</si>
  <si>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</si>
  <si>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</si>
  <si>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</si>
  <si>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</si>
  <si>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</si>
  <si>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</si>
  <si>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</si>
  <si>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</si>
  <si>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</si>
  <si>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</si>
  <si>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</si>
  <si>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</si>
  <si>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</si>
  <si>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</si>
  <si>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</si>
  <si>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</si>
  <si>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</si>
  <si>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</si>
  <si>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</si>
  <si>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</si>
  <si>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</si>
  <si>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</si>
  <si>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</si>
  <si>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</si>
  <si>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</si>
  <si>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</si>
  <si>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</si>
  <si>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</si>
  <si>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</si>
  <si>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</si>
  <si>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</si>
  <si>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</si>
  <si>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</si>
  <si>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</si>
  <si>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</si>
  <si>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</si>
  <si>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</si>
  <si>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</si>
  <si>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</si>
  <si>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</si>
  <si>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</si>
  <si>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</si>
  <si>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</si>
  <si>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</si>
  <si>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</si>
  <si>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</si>
  <si>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</si>
  <si>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</si>
  <si>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</si>
  <si>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</si>
  <si>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</si>
  <si>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</si>
  <si>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</si>
  <si>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</si>
  <si>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</si>
  <si>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</si>
  <si>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</si>
  <si>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</si>
  <si>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</si>
  <si>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</si>
  <si>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</si>
  <si>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</si>
  <si>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</si>
  <si>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</si>
  <si>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</si>
  <si>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</si>
  <si>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</si>
  <si>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</si>
  <si>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</si>
  <si>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</si>
  <si>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</si>
  <si>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</si>
  <si>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</si>
  <si>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</si>
  <si>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</si>
  <si>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</si>
  <si>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</si>
  <si>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</si>
  <si>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</si>
  <si>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</si>
  <si>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</si>
  <si>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</si>
  <si>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</si>
  <si>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</si>
  <si>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</si>
  <si>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</si>
  <si>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</si>
  <si>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</si>
  <si>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</si>
  <si>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</si>
  <si>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</si>
  <si>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</si>
  <si>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</si>
  <si>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</si>
  <si>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</si>
  <si>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</si>
  <si>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</si>
  <si>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</si>
  <si>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</si>
  <si>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</si>
  <si>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</si>
  <si>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</si>
  <si>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</si>
  <si>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</si>
  <si>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</si>
  <si>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</si>
  <si>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</si>
  <si>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</si>
  <si>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</si>
  <si>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</si>
  <si>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</si>
  <si>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</si>
  <si>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</si>
  <si>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</si>
  <si>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</si>
  <si>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</si>
  <si>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</si>
  <si>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</si>
  <si>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</si>
  <si>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</si>
  <si>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</si>
  <si>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</si>
  <si>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</si>
  <si>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</si>
  <si>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</si>
  <si>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</si>
  <si>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</si>
  <si>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</si>
  <si>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</si>
  <si>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</si>
  <si>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</si>
  <si>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</si>
  <si>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</si>
  <si>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</si>
  <si>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</si>
  <si>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</si>
  <si>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</si>
  <si>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</si>
  <si>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</si>
  <si>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</si>
  <si>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</si>
  <si>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</si>
  <si>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</si>
  <si>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</si>
  <si>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</si>
  <si>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</si>
  <si>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</si>
  <si>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</si>
  <si>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</si>
  <si>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</si>
  <si>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</si>
  <si>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</si>
  <si>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</si>
  <si>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</si>
  <si>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</si>
  <si>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</si>
  <si>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</si>
  <si>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</si>
  <si>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</si>
  <si>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</si>
  <si>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</si>
  <si>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</si>
  <si>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</si>
  <si>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</si>
  <si>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</si>
  <si>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</si>
  <si>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</si>
  <si>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</si>
  <si>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</si>
  <si>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</si>
  <si>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</si>
  <si>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</si>
  <si>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</si>
  <si>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</si>
  <si>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</si>
  <si>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</si>
  <si>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</si>
  <si>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</si>
  <si>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</si>
  <si>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</si>
  <si>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</si>
  <si>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</si>
  <si>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</si>
  <si>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</si>
  <si>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</si>
  <si>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</si>
  <si>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</si>
  <si>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</si>
  <si>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</si>
  <si>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</si>
  <si>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</si>
  <si>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</si>
  <si>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</si>
  <si>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</si>
  <si>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</si>
  <si>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</si>
  <si>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</si>
  <si>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</si>
  <si>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</si>
  <si>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</si>
  <si>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</si>
  <si>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</si>
  <si>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</si>
  <si>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</si>
  <si>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</si>
  <si>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</si>
  <si>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</si>
  <si>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</si>
  <si>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</si>
  <si>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</si>
  <si>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</si>
  <si>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</si>
  <si>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</si>
  <si>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</si>
  <si>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</si>
  <si>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</si>
  <si>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</si>
  <si>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</si>
  <si>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</si>
  <si>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</si>
  <si>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</si>
  <si>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</si>
  <si>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</si>
  <si>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</si>
  <si>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</si>
  <si>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</si>
  <si>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</si>
  <si>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</si>
  <si>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</si>
  <si>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</si>
  <si>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</si>
  <si>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</si>
  <si>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</si>
  <si>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</si>
  <si>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</si>
  <si>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</si>
  <si>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</si>
  <si>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</si>
  <si>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</si>
  <si>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</si>
  <si>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</si>
  <si>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</si>
  <si>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</si>
  <si>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</si>
  <si>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</si>
  <si>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</si>
  <si>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</si>
  <si>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</si>
  <si>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</si>
  <si>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</si>
  <si>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</si>
  <si>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</si>
  <si>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</si>
  <si>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</si>
  <si>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</si>
  <si>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</si>
  <si>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</si>
  <si>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</si>
  <si>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</si>
  <si>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</si>
  <si>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</si>
  <si>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</si>
  <si>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</si>
  <si>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</si>
  <si>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</si>
  <si>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</si>
  <si>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</si>
  <si>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</si>
  <si>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</si>
  <si>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</si>
  <si>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</si>
  <si>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</si>
  <si>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</si>
  <si>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</si>
  <si>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</si>
  <si>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</si>
  <si>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</si>
  <si>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</si>
  <si>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</si>
  <si>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</si>
  <si>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</si>
  <si>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</si>
  <si>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</si>
  <si>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</si>
  <si>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</si>
  <si>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</si>
  <si>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</si>
  <si>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</si>
  <si>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</si>
  <si>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</si>
  <si>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</si>
  <si>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</si>
  <si>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</si>
  <si>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</si>
  <si>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</si>
  <si>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</si>
  <si>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</si>
  <si>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</si>
  <si>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</si>
  <si>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</si>
  <si>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</si>
  <si>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</si>
  <si>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</si>
  <si>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</si>
  <si>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</si>
  <si>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</si>
  <si>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</si>
  <si>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</si>
  <si>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</si>
  <si>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</si>
  <si>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</si>
  <si>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</si>
  <si>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</si>
  <si>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</si>
  <si>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</si>
  <si>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</si>
  <si>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</si>
  <si>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</si>
  <si>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</si>
  <si>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</si>
  <si>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</si>
  <si>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</si>
  <si>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</si>
  <si>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</si>
  <si>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</si>
  <si>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</si>
  <si>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</si>
  <si>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</si>
  <si>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</si>
  <si>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</si>
  <si>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</si>
  <si>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</si>
  <si>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</si>
  <si>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</si>
  <si>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</si>
  <si>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</si>
  <si>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</si>
  <si>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</si>
  <si>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</si>
  <si>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</si>
  <si>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</si>
  <si>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</si>
  <si>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</si>
  <si>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</si>
  <si>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</si>
  <si>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</si>
  <si>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</si>
  <si>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</si>
  <si>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</si>
  <si>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</si>
  <si>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</si>
  <si>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</si>
  <si>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</si>
  <si>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</si>
  <si>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</si>
  <si>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</si>
  <si>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</si>
  <si>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</si>
  <si>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</si>
  <si>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</si>
  <si>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</si>
  <si>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</si>
  <si>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</si>
  <si>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</si>
  <si>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</si>
  <si>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</si>
  <si>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</si>
  <si>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</si>
  <si>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</si>
  <si>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</si>
  <si>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</si>
  <si>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</si>
  <si>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</si>
  <si>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</si>
  <si>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</si>
  <si>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</si>
  <si>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</si>
  <si>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</si>
  <si>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</si>
  <si>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</si>
  <si>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</si>
  <si>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</si>
  <si>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</si>
  <si>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</si>
  <si>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</si>
  <si>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</si>
  <si>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</si>
  <si>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</si>
  <si>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</si>
  <si>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</si>
  <si>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</si>
  <si>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</si>
  <si>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</si>
  <si>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</si>
  <si>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</si>
  <si>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</si>
  <si>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</si>
  <si>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</si>
  <si>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</si>
  <si>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</si>
  <si>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</si>
  <si>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</si>
  <si>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</si>
  <si>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</si>
  <si>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</si>
  <si>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</si>
  <si>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</si>
  <si>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</si>
  <si>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</si>
  <si>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</si>
  <si>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</si>
  <si>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</si>
  <si>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</si>
  <si>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</si>
  <si>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</si>
  <si>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</si>
  <si>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</si>
  <si>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</si>
  <si>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</si>
  <si>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</si>
  <si>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</si>
  <si>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</si>
  <si>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</si>
  <si>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</si>
  <si>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</si>
  <si>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</si>
  <si>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</si>
  <si>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</si>
  <si>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</si>
  <si>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</si>
  <si>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</si>
  <si>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</si>
  <si>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</si>
  <si>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</si>
  <si>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</si>
  <si>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</si>
  <si>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</si>
  <si>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</si>
  <si>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</si>
  <si>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</si>
  <si>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</si>
  <si>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</si>
  <si>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</si>
  <si>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</si>
  <si>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</si>
  <si>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</si>
  <si>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</si>
  <si>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</si>
  <si>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</si>
  <si>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</si>
  <si>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</si>
  <si>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</si>
  <si>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</si>
  <si>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</si>
  <si>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</si>
  <si>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</si>
  <si>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</si>
  <si>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</si>
  <si>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</si>
  <si>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</si>
  <si>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</si>
  <si>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</si>
  <si>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</si>
  <si>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</si>
  <si>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</si>
  <si>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</si>
  <si>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</si>
  <si>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</si>
  <si>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</si>
  <si>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</si>
  <si>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</si>
  <si>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</si>
  <si>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</si>
  <si>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</si>
  <si>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</si>
  <si>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</si>
  <si>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</si>
  <si>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</si>
  <si>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</si>
  <si>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</si>
  <si>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</si>
  <si>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</si>
  <si>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</si>
  <si>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</si>
  <si>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</si>
  <si>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</si>
  <si>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</si>
  <si>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</si>
  <si>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</si>
  <si>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</si>
  <si>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</si>
  <si>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</si>
  <si>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</si>
  <si>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</si>
  <si>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</si>
  <si>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</si>
  <si>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</si>
  <si>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</si>
  <si>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</si>
  <si>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</si>
  <si>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</si>
  <si>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</si>
  <si>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</si>
  <si>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</si>
  <si>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</si>
  <si>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</si>
  <si>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</si>
  <si>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</si>
  <si>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</si>
  <si>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</si>
  <si>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</si>
  <si>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</si>
  <si>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</si>
  <si>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</si>
  <si>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</si>
  <si>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</si>
  <si>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</si>
  <si>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</si>
  <si>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</si>
  <si>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</si>
  <si>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</si>
  <si>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</si>
  <si>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</si>
  <si>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</si>
  <si>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</si>
  <si>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</si>
  <si>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</si>
  <si>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</si>
  <si>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</si>
  <si>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</si>
  <si>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</si>
  <si>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</si>
  <si>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</si>
  <si>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</si>
  <si>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</si>
  <si>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</si>
  <si>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</si>
  <si>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</si>
  <si>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</si>
  <si>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</si>
  <si>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</si>
  <si>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</si>
  <si>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</si>
  <si>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</si>
  <si>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</si>
  <si>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</si>
  <si>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</si>
  <si>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</si>
  <si>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</si>
  <si>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</si>
  <si>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</si>
  <si>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</si>
  <si>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</si>
  <si>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</si>
  <si>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</si>
  <si>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</si>
  <si>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</si>
  <si>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</si>
  <si>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</si>
  <si>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</si>
  <si>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</si>
  <si>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</si>
  <si>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</si>
  <si>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</si>
  <si>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</si>
  <si>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</si>
  <si>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</si>
  <si>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</si>
  <si>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</si>
  <si>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</si>
  <si>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</si>
  <si>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</si>
  <si>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</si>
  <si>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</si>
  <si>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</si>
  <si>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</si>
  <si>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</si>
  <si>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</si>
  <si>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</si>
  <si>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</si>
  <si>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</si>
  <si>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</si>
  <si>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</si>
  <si>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</si>
  <si>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</si>
  <si>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</si>
  <si>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</si>
  <si>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</si>
  <si>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</si>
  <si>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</si>
  <si>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</si>
  <si>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</si>
  <si>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</si>
  <si>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</si>
  <si>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</si>
  <si>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</si>
  <si>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</si>
  <si>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</si>
  <si>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</si>
  <si>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</si>
  <si>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</si>
  <si>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</si>
  <si>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</si>
  <si>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</si>
  <si>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</si>
  <si>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</si>
  <si>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</si>
  <si>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</si>
  <si>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</si>
  <si>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</si>
  <si>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</si>
  <si>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</si>
  <si>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</si>
  <si>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</si>
  <si>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</si>
  <si>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</si>
  <si>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</si>
  <si>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</si>
  <si>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</si>
  <si>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</si>
  <si>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</si>
  <si>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</si>
  <si>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</si>
  <si>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</si>
  <si>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</si>
  <si>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</si>
  <si>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</si>
  <si>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</si>
  <si>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</si>
  <si>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</si>
  <si>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</si>
  <si>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</si>
  <si>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</si>
  <si>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</si>
  <si>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</si>
  <si>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</si>
  <si>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</si>
  <si>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</si>
  <si>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</si>
  <si>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</si>
  <si>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</si>
  <si>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</si>
  <si>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</si>
  <si>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</si>
  <si>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</si>
  <si>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</si>
  <si>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</si>
  <si>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</si>
  <si>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</si>
  <si>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</si>
  <si>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</si>
  <si>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</si>
  <si>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</si>
  <si>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</si>
  <si>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</si>
  <si>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</si>
  <si>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</si>
  <si>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</si>
  <si>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</si>
  <si>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</si>
  <si>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</si>
  <si>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</si>
  <si>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</si>
  <si>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</si>
  <si>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</si>
  <si>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</si>
  <si>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</si>
  <si>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</si>
  <si>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</si>
  <si>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</si>
  <si>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</si>
  <si>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</si>
  <si>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</si>
  <si>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</si>
  <si>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</si>
  <si>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</si>
  <si>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</si>
  <si>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</si>
  <si>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</si>
  <si>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</si>
  <si>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</si>
  <si>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</si>
  <si>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</si>
  <si>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</si>
  <si>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</si>
  <si>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</si>
  <si>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</si>
  <si>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</si>
  <si>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</si>
  <si>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</si>
  <si>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</si>
  <si>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</si>
  <si>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</si>
  <si>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</si>
  <si>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</si>
  <si>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</si>
  <si>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</si>
  <si>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</si>
  <si>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</si>
  <si>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</si>
  <si>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</si>
  <si>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</si>
  <si>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</si>
  <si>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</si>
  <si>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</si>
  <si>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</si>
  <si>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</si>
  <si>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</si>
  <si>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</si>
  <si>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</si>
  <si>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</si>
  <si>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</si>
  <si>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</si>
  <si>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</si>
  <si>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</si>
  <si>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</si>
  <si>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</si>
  <si>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</si>
  <si>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</si>
  <si>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</si>
  <si>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</si>
  <si>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</si>
  <si>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</si>
  <si>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</si>
  <si>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</si>
  <si>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</si>
  <si>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</si>
  <si>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</si>
  <si>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</si>
  <si>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</si>
  <si>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</si>
  <si>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</si>
  <si>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</si>
  <si>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</si>
  <si>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</si>
  <si>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</si>
  <si>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</si>
  <si>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</si>
  <si>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</si>
  <si>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</si>
  <si>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</si>
  <si>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</si>
  <si>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</si>
  <si>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</si>
  <si>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</si>
  <si>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</si>
  <si>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</si>
  <si>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</si>
  <si>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</si>
  <si>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</si>
  <si>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</si>
  <si>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</si>
  <si>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</si>
  <si>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</si>
  <si>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</si>
  <si>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</si>
  <si>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</si>
  <si>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</si>
  <si>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</si>
  <si>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</si>
  <si>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</si>
  <si>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</si>
  <si>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</si>
  <si>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</si>
  <si>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</si>
  <si>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</si>
  <si>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</si>
  <si>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</si>
  <si>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</si>
  <si>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</si>
  <si>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</si>
  <si>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</si>
  <si>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</si>
  <si>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</si>
  <si>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</si>
  <si>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</si>
  <si>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</si>
  <si>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</si>
  <si>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</si>
  <si>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</si>
  <si>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</si>
  <si>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</si>
  <si>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</si>
  <si>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</si>
  <si>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</si>
  <si>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</si>
  <si>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</si>
  <si>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</si>
  <si>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</si>
  <si>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</si>
  <si>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</si>
  <si>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</si>
  <si>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</si>
  <si>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</si>
  <si>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</si>
  <si>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</si>
  <si>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</si>
  <si>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</si>
  <si>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</si>
  <si>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</si>
  <si>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</si>
  <si>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</si>
  <si>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</si>
  <si>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</si>
  <si>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</si>
  <si>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</si>
  <si>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</si>
  <si>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</si>
  <si>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</si>
  <si>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</si>
  <si>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</si>
  <si>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</si>
  <si>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</si>
  <si>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</si>
  <si>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</si>
  <si>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</si>
  <si>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</si>
  <si>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</si>
  <si>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</si>
  <si>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</si>
  <si>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</si>
  <si>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</si>
  <si>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</si>
  <si>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</si>
  <si>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</si>
  <si>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</si>
  <si>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</si>
  <si>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</si>
  <si>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</si>
  <si>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</si>
  <si>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</si>
  <si>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</si>
  <si>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</si>
  <si>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</si>
  <si>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</si>
  <si>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</si>
  <si>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</si>
  <si>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</si>
  <si>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</si>
  <si>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</si>
  <si>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</si>
  <si>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</si>
  <si>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</si>
  <si>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</si>
  <si>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</si>
  <si>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</si>
  <si>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</si>
  <si>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</si>
  <si>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</si>
  <si>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</si>
  <si>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</si>
  <si>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</si>
  <si>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</si>
  <si>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</si>
  <si>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</si>
  <si>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</si>
  <si>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</si>
  <si>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</si>
  <si>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</si>
  <si>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</si>
  <si>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</si>
  <si>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</si>
  <si>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</si>
  <si>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</si>
  <si>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</si>
  <si>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</si>
  <si>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</si>
  <si>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</si>
  <si>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</si>
  <si>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</si>
  <si>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</si>
  <si>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</si>
  <si>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</si>
  <si>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</si>
  <si>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</si>
  <si>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</si>
  <si>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</si>
  <si>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</si>
  <si>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</si>
  <si>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</si>
  <si>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</si>
  <si>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</si>
  <si>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</si>
  <si>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</si>
  <si>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</si>
  <si>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</si>
  <si>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</si>
  <si>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</si>
  <si>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</si>
  <si>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</si>
  <si>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</si>
  <si>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</si>
  <si>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</si>
  <si>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</si>
  <si>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</si>
  <si>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</si>
  <si>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</si>
  <si>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</si>
  <si>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</si>
  <si>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</si>
  <si>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</si>
  <si>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</si>
  <si>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</si>
  <si>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</si>
  <si>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</si>
  <si>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</si>
  <si>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</si>
  <si>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</si>
  <si>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</si>
  <si>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</si>
  <si>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</si>
  <si>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</si>
  <si>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</si>
  <si>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</si>
  <si>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</si>
  <si>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</si>
  <si>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</si>
  <si>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</si>
  <si>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</si>
  <si>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</si>
  <si>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</si>
  <si>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</si>
  <si>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</si>
  <si>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</si>
  <si>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</si>
  <si>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</si>
  <si>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</si>
  <si>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</si>
  <si>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</si>
  <si>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</si>
  <si>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</si>
  <si>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</si>
  <si>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</si>
  <si>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</si>
  <si>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</si>
  <si>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</si>
  <si>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</si>
  <si>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</si>
  <si>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</si>
  <si>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</si>
  <si>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</si>
  <si>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</si>
  <si>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</si>
  <si>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</si>
  <si>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</si>
  <si>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</si>
  <si>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</si>
  <si>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</si>
  <si>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</si>
  <si>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</si>
  <si>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</si>
  <si>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</si>
  <si>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</si>
  <si>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</si>
  <si>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</si>
  <si>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</si>
  <si>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</si>
  <si>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</si>
  <si>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</si>
  <si>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</si>
  <si>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</si>
  <si>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</si>
  <si>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</si>
  <si>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</si>
  <si>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</si>
  <si>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</si>
  <si>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</si>
  <si>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</si>
  <si>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</si>
  <si>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</si>
  <si>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</si>
  <si>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</si>
  <si>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</si>
  <si>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</si>
  <si>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</si>
  <si>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</si>
  <si>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</si>
  <si>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</si>
  <si>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</si>
  <si>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</si>
  <si>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</si>
  <si>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</si>
  <si>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</si>
  <si>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</si>
  <si>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</si>
  <si>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</si>
  <si>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</si>
  <si>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</si>
  <si>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</si>
  <si>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</si>
  <si>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</si>
  <si>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</si>
  <si>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</si>
  <si>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</si>
  <si>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</si>
  <si>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</si>
  <si>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</si>
  <si>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</si>
  <si>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</si>
  <si>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</si>
  <si>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</si>
  <si>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</si>
  <si>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</si>
  <si>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</si>
  <si>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</si>
  <si>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</si>
  <si>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</si>
  <si>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</si>
  <si>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</si>
  <si>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</si>
  <si>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</si>
  <si>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</si>
  <si>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</si>
  <si>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</si>
  <si>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</si>
  <si>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</si>
  <si>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</si>
  <si>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</si>
  <si>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</si>
  <si>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</si>
  <si>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</si>
  <si>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</si>
  <si>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</si>
  <si>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</si>
  <si>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</si>
  <si>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</si>
  <si>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</si>
  <si>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</si>
  <si>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</si>
  <si>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</si>
  <si>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</si>
  <si>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</si>
  <si>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</si>
  <si>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</si>
  <si>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</si>
  <si>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</si>
  <si>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</si>
  <si>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</si>
  <si>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</si>
  <si>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</si>
  <si>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</si>
  <si>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</si>
  <si>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</si>
  <si>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</si>
  <si>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</si>
  <si>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</si>
  <si>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</si>
  <si>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</si>
  <si>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</si>
  <si>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</si>
  <si>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</si>
  <si>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</si>
  <si>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</si>
  <si>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</si>
  <si>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</si>
  <si>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</si>
  <si>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</si>
  <si>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</si>
  <si>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</si>
  <si>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</si>
  <si>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</si>
  <si>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</si>
  <si>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</si>
  <si>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</si>
  <si>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</si>
  <si>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</si>
  <si>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</si>
  <si>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</si>
  <si>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</si>
  <si>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</si>
  <si>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</si>
  <si>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</si>
  <si>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</si>
  <si>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</si>
  <si>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</si>
  <si>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</si>
  <si>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</si>
  <si>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</si>
  <si>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</si>
  <si>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</si>
  <si>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</si>
  <si>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</si>
  <si>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</si>
  <si>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</si>
  <si>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</si>
  <si>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</si>
  <si>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</si>
  <si>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</si>
  <si>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</si>
  <si>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</si>
  <si>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</si>
  <si>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</si>
  <si>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</si>
  <si>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</si>
  <si>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</si>
  <si>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</si>
  <si>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</si>
  <si>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</si>
  <si>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</si>
  <si>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</si>
  <si>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</si>
  <si>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</si>
  <si>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</si>
  <si>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</si>
  <si>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</si>
  <si>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</si>
  <si>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</si>
  <si>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</si>
  <si>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</si>
  <si>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</si>
  <si>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</si>
  <si>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</si>
  <si>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</si>
  <si>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</si>
  <si>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</si>
  <si>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</si>
  <si>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</si>
  <si>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</si>
  <si>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</si>
  <si>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</si>
  <si>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</si>
  <si>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</si>
  <si>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</si>
  <si>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</si>
  <si>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</si>
  <si>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</si>
  <si>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</si>
  <si>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</si>
  <si>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</si>
  <si>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</si>
  <si>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</si>
  <si>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</si>
  <si>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</si>
  <si>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</si>
  <si>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</si>
  <si>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</si>
  <si>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</si>
  <si>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</si>
  <si>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</si>
  <si>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</si>
  <si>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</si>
  <si>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</si>
  <si>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</si>
  <si>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</si>
  <si>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</si>
  <si>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</si>
  <si>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</si>
  <si>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</si>
  <si>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</si>
  <si>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</si>
  <si>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</si>
  <si>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</si>
  <si>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</si>
  <si>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</si>
  <si>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</si>
  <si>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</si>
  <si>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</si>
  <si>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</si>
  <si>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</si>
  <si>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</si>
  <si>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</si>
  <si>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</si>
  <si>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</si>
  <si>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</si>
  <si>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</si>
  <si>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</si>
  <si>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</si>
  <si>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</si>
  <si>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</si>
  <si>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</si>
  <si>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</si>
  <si>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</si>
  <si>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</si>
  <si>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</si>
  <si>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</si>
  <si>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</si>
  <si>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</si>
  <si>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</si>
  <si>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</si>
  <si>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</si>
  <si>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</si>
  <si>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</si>
  <si>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</si>
  <si>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</si>
  <si>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</si>
  <si>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</si>
  <si>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</si>
  <si>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</si>
  <si>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</si>
  <si>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</si>
  <si>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</si>
  <si>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</si>
  <si>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</si>
  <si>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</si>
  <si>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</si>
  <si>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</si>
  <si>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</si>
  <si>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</si>
  <si>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</si>
  <si>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</si>
  <si>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</si>
  <si>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</si>
  <si>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</si>
  <si>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</si>
  <si>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</si>
  <si>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</si>
  <si>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</si>
  <si>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</si>
  <si>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</si>
  <si>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</si>
  <si>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</si>
  <si>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</si>
  <si>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</si>
  <si>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</si>
  <si>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</si>
  <si>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</si>
  <si>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</si>
  <si>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</si>
  <si>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</si>
  <si>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</si>
  <si>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</si>
  <si>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</si>
  <si>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</si>
  <si>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</si>
  <si>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</si>
  <si>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</si>
  <si>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</si>
  <si>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</si>
  <si>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</si>
  <si>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</si>
  <si>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</si>
  <si>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</si>
  <si>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</si>
  <si>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</si>
  <si>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</si>
  <si>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</si>
  <si>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</si>
  <si>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</si>
  <si>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</si>
  <si>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</si>
  <si>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</si>
  <si>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</si>
  <si>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</si>
  <si>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</si>
  <si>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</si>
  <si>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</si>
  <si>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</si>
  <si>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</si>
  <si>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</si>
  <si>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</si>
  <si>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</si>
  <si>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</si>
  <si>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</si>
  <si>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</si>
  <si>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</si>
  <si>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</si>
  <si>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</si>
  <si>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</si>
  <si>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</si>
  <si>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</si>
  <si>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</si>
  <si>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</si>
  <si>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</si>
  <si>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</si>
  <si>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</si>
  <si>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</si>
  <si>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</si>
  <si>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</si>
  <si>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</si>
  <si>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</si>
  <si>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</si>
  <si>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</si>
  <si>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</si>
  <si>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</si>
  <si>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</si>
  <si>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</si>
  <si>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</si>
  <si>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</si>
  <si>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</si>
  <si>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</si>
  <si>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</si>
  <si>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</si>
  <si>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</si>
  <si>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</si>
  <si>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</si>
  <si>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</si>
  <si>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</si>
  <si>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</si>
  <si>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</si>
  <si>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</si>
  <si>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</si>
  <si>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</si>
  <si>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</si>
  <si>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</si>
  <si>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</si>
  <si>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</si>
  <si>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</si>
  <si>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</si>
  <si>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</si>
  <si>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</si>
  <si>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</si>
  <si>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</si>
  <si>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</si>
  <si>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</si>
  <si>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</si>
  <si>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</si>
  <si>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</si>
  <si>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</si>
  <si>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</si>
  <si>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</si>
  <si>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</si>
  <si>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</si>
  <si>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</si>
  <si>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</si>
  <si>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</si>
  <si>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</si>
  <si>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</si>
  <si>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</si>
  <si>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</si>
  <si>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</si>
  <si>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</si>
  <si>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</si>
  <si>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</si>
  <si>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</si>
  <si>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</si>
  <si>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</si>
  <si>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</si>
  <si>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</si>
  <si>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</si>
  <si>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</si>
  <si>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</si>
  <si>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</si>
  <si>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</si>
  <si>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</si>
  <si>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</si>
  <si>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</si>
  <si>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</si>
  <si>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</si>
  <si>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</si>
  <si>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</si>
  <si>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</si>
  <si>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</si>
  <si>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</si>
  <si>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</si>
  <si>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</si>
  <si>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</si>
  <si>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</si>
  <si>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</si>
  <si>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</si>
  <si>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</si>
  <si>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</si>
  <si>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</si>
  <si>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</si>
  <si>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</si>
  <si>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</si>
  <si>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</si>
  <si>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</si>
  <si>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</si>
  <si>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</si>
  <si>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</si>
  <si>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</si>
  <si>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</si>
  <si>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</si>
  <si>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</si>
  <si>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</si>
  <si>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</si>
  <si>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</si>
  <si>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</si>
  <si>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</si>
  <si>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</si>
  <si>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</si>
  <si>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</si>
  <si>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</si>
  <si>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</si>
  <si>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</si>
  <si>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</si>
  <si>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</si>
  <si>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</si>
  <si>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</si>
  <si>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</si>
  <si>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</si>
  <si>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</si>
  <si>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</si>
  <si>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</si>
  <si>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</si>
  <si>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</si>
  <si>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</si>
  <si>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</si>
  <si>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</si>
  <si>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</si>
  <si>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</si>
  <si>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</si>
  <si>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</si>
  <si>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</si>
  <si>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</si>
  <si>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</si>
  <si>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</si>
  <si>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</si>
  <si>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</si>
  <si>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</si>
  <si>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</si>
  <si>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</si>
  <si>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</si>
  <si>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</si>
  <si>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</si>
  <si>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</si>
  <si>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</si>
  <si>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</si>
  <si>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</si>
  <si>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</si>
  <si>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</si>
  <si>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</si>
  <si>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</si>
  <si>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</si>
  <si>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</si>
  <si>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</si>
  <si>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</si>
  <si>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</si>
  <si>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</si>
  <si>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</si>
  <si>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</si>
  <si>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</si>
  <si>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</si>
  <si>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</si>
  <si>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</si>
  <si>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</si>
  <si>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</si>
  <si>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</si>
  <si>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</si>
  <si>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</si>
  <si>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</si>
  <si>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</si>
  <si>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</si>
  <si>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</si>
  <si>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</si>
  <si>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</si>
  <si>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</si>
  <si>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</si>
  <si>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</si>
  <si>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</si>
  <si>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</si>
  <si>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</si>
  <si>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</si>
  <si>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</si>
  <si>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</si>
  <si>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</si>
  <si>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</si>
  <si>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</si>
  <si>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</si>
  <si>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</si>
  <si>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</si>
  <si>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</si>
  <si>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</si>
  <si>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</si>
  <si>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</si>
  <si>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</si>
  <si>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</si>
  <si>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</si>
  <si>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</si>
  <si>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</si>
  <si>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</si>
  <si>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</si>
  <si>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</si>
  <si>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</si>
  <si>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</si>
  <si>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</si>
  <si>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</si>
  <si>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</si>
  <si>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</si>
  <si>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</si>
  <si>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</si>
  <si>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</si>
  <si>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</si>
  <si>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</si>
  <si>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</si>
  <si>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</si>
  <si>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</si>
  <si>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</si>
  <si>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</si>
  <si>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</si>
  <si>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</si>
  <si>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</si>
  <si>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</si>
  <si>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</si>
  <si>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</si>
  <si>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</si>
  <si>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</si>
  <si>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</si>
  <si>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</si>
  <si>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</si>
  <si>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</si>
  <si>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</si>
  <si>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</si>
  <si>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</si>
  <si>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</si>
  <si>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</si>
  <si>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</si>
  <si>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</si>
  <si>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</si>
  <si>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</si>
  <si>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</si>
  <si>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</si>
  <si>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</si>
  <si>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</si>
  <si>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</si>
  <si>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</si>
  <si>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</si>
  <si>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</si>
  <si>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</si>
  <si>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</si>
  <si>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</si>
  <si>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</si>
  <si>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</si>
  <si>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</si>
  <si>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</si>
  <si>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</si>
  <si>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</si>
  <si>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</si>
  <si>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</si>
  <si>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</si>
  <si>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</si>
  <si>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</si>
  <si>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</si>
  <si>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</si>
  <si>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</si>
  <si>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</si>
  <si>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</si>
  <si>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</si>
  <si>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</si>
  <si>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</si>
  <si>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</si>
  <si>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</si>
  <si>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</si>
  <si>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</si>
  <si>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</si>
  <si>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</si>
  <si>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</si>
  <si>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</si>
  <si>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</si>
  <si>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</si>
  <si>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</si>
  <si>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</si>
  <si>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</si>
  <si>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</si>
  <si>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</si>
  <si>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</si>
  <si>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</si>
  <si>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</si>
  <si>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</si>
  <si>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</si>
  <si>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</si>
  <si>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</si>
  <si>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</si>
  <si>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</si>
  <si>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</si>
  <si>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</si>
  <si>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</si>
  <si>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</si>
  <si>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</si>
  <si>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</si>
  <si>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</si>
  <si>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</si>
  <si>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</si>
  <si>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</si>
  <si>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</si>
  <si>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</si>
  <si>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</si>
  <si>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</si>
  <si>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</si>
  <si>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</si>
  <si>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</si>
  <si>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</si>
  <si>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</si>
  <si>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</si>
  <si>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</si>
  <si>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</si>
  <si>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</si>
  <si>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</si>
  <si>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</si>
  <si>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</si>
  <si>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</si>
  <si>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</si>
  <si>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</si>
  <si>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</si>
  <si>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</si>
  <si>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</si>
  <si>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</si>
  <si>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</si>
  <si>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</si>
  <si>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</si>
  <si>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</si>
  <si>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</si>
  <si>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</si>
  <si>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</si>
  <si>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</si>
  <si>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</si>
  <si>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</si>
  <si>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</si>
  <si>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</si>
  <si>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</si>
  <si>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</si>
  <si>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</si>
  <si>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</si>
  <si>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</si>
  <si>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</si>
  <si>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</si>
  <si>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</si>
  <si>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</si>
  <si>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</si>
  <si>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</si>
  <si>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</si>
  <si>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</si>
  <si>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</si>
  <si>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</si>
  <si>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</si>
  <si>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</si>
  <si>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</si>
  <si>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</si>
  <si>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</si>
  <si>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</si>
  <si>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</si>
  <si>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</si>
  <si>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</si>
  <si>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</si>
  <si>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</si>
  <si>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</si>
  <si>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</si>
  <si>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</si>
  <si>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</si>
  <si>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</si>
  <si>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</si>
  <si>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</si>
  <si>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</si>
  <si>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</si>
  <si>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</si>
  <si>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</si>
  <si>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</si>
  <si>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</si>
  <si>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</si>
  <si>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</si>
  <si>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</si>
  <si>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</si>
  <si>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</si>
  <si>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</si>
  <si>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</si>
  <si>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</si>
  <si>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</si>
  <si>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</si>
  <si>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</si>
  <si>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</si>
  <si>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</si>
  <si>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</si>
  <si>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</si>
  <si>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</si>
  <si>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</si>
  <si>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</si>
  <si>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</si>
  <si>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</si>
  <si>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</si>
  <si>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</si>
  <si>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--</t>
  </si>
  <si>
    <t>OCUPADO</t>
  </si>
  <si>
    <t>RESIDENCIAL</t>
  </si>
  <si>
    <t>PROPRIETÁRIO NÃO RESIDENTE</t>
  </si>
  <si>
    <t>CADASTRADO</t>
  </si>
  <si>
    <t>INDENIZAÇÃO</t>
  </si>
  <si>
    <t>SAQUE PENDENTE</t>
  </si>
  <si>
    <t>SIM</t>
  </si>
  <si>
    <t>AGUARDANDO ASSINATURA COORDENAÇÃO CTS</t>
  </si>
  <si>
    <t>FINALIZADO</t>
  </si>
  <si>
    <t>SEM PENDÊNCIA</t>
  </si>
  <si>
    <t>VAZIO</t>
  </si>
  <si>
    <t>COMERCIAL</t>
  </si>
  <si>
    <t>PROPRIETÁRIO RESIDENTE</t>
  </si>
  <si>
    <t>NÃO CADASTRADO</t>
  </si>
  <si>
    <t>AUXÍLIO ALUGUEL UH</t>
  </si>
  <si>
    <t xml:space="preserve">NÃO </t>
  </si>
  <si>
    <t>AGUARDANDO ASSINATURA SECRETÁRIO</t>
  </si>
  <si>
    <t>PENDENTE</t>
  </si>
  <si>
    <t>FALTA TERMO</t>
  </si>
  <si>
    <t>CONSTRUÇÃO</t>
  </si>
  <si>
    <t>MISTO</t>
  </si>
  <si>
    <t>INQULINO</t>
  </si>
  <si>
    <t>VERBA ATENDIMENTO HABITACIONAL</t>
  </si>
  <si>
    <t>UH</t>
  </si>
  <si>
    <t>N.A</t>
  </si>
  <si>
    <t>N/A</t>
  </si>
  <si>
    <t>FALTA DOCS</t>
  </si>
  <si>
    <t>DEMOLIDO</t>
  </si>
  <si>
    <t>COABITAÇÃO</t>
  </si>
  <si>
    <t>NÃO TEM DIREITO ATENDIMENTO</t>
  </si>
  <si>
    <t>ESTUDO DE CASO</t>
  </si>
  <si>
    <t>AGUARDANDO CORREÇÃO</t>
  </si>
  <si>
    <t>FALTA TERMO E DOCS</t>
  </si>
  <si>
    <t>AA ATÉ INDENIZAÇÃO</t>
  </si>
  <si>
    <t>TERMO ASSINADO SECRETÁRIO</t>
  </si>
  <si>
    <t>INFORMAÇÕES INICIAIS</t>
  </si>
  <si>
    <t>INFORMAÇÕES AUXÍLIO ALUGUEL</t>
  </si>
  <si>
    <t>INFORMAÇÕES INDENIZAÇÃO</t>
  </si>
  <si>
    <t>PROCESSO ATENDIMENTO HABITACIONAL</t>
  </si>
  <si>
    <t xml:space="preserve">ORDEM </t>
  </si>
  <si>
    <t>ÁREA</t>
  </si>
  <si>
    <t>TRECHO</t>
  </si>
  <si>
    <t>FASE</t>
  </si>
  <si>
    <t>PRIORIDADE</t>
  </si>
  <si>
    <t>SELO</t>
  </si>
  <si>
    <t>SITUAÇÃO INICIAL IMÓVEL</t>
  </si>
  <si>
    <t>USO IMÓVEL</t>
  </si>
  <si>
    <t>SITUAÇÃO DO RESIDENTE</t>
  </si>
  <si>
    <t>RG</t>
  </si>
  <si>
    <t>CADASTRO HABITA SAMPA</t>
  </si>
  <si>
    <t>OPÇÃO DE ATENDIMENTO HABITACIONAL</t>
  </si>
  <si>
    <t>ENVIO DADOS</t>
  </si>
  <si>
    <t xml:space="preserve">SOLICITAÇÃO AUXÍLIO ALUGUEL ÁREA  </t>
  </si>
  <si>
    <t>No PROCESSO SEI                                                                      (AUXÍLIO ALUGUEL)</t>
  </si>
  <si>
    <t>ANÁLISE DTS                                                                         CADASTRO + CHECAGEM DUPLO</t>
  </si>
  <si>
    <t>INSTRUÇÃO PROCESSO SEI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</si>
  <si>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</si>
  <si>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</si>
  <si>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</si>
  <si>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</si>
  <si>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</si>
  <si>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</si>
  <si>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</si>
  <si>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</si>
  <si>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</si>
  <si>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</si>
  <si>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</si>
  <si>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</si>
  <si>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</si>
  <si>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</si>
  <si>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</si>
  <si>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</si>
  <si>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</si>
  <si>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</si>
  <si>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</si>
  <si>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</si>
  <si>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</si>
  <si>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</si>
  <si>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</si>
  <si>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</si>
  <si>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</si>
  <si>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</si>
  <si>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</si>
  <si>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</si>
  <si>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</si>
  <si>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</si>
  <si>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</si>
  <si>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</si>
  <si>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</si>
  <si>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</si>
  <si>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                                    BLOQUEIO AA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</si>
  <si>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</si>
  <si>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</si>
  <si>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</si>
  <si>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</si>
  <si>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</si>
  <si>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</si>
  <si>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JD. AURORA</t>
  </si>
  <si>
    <t>001/0008/A</t>
  </si>
  <si>
    <t>RAQUEL FERNANDEZ DE QUEIROZ</t>
  </si>
  <si>
    <t>36.647.758-7</t>
  </si>
  <si>
    <t>297.435.165-49</t>
  </si>
  <si>
    <t>001/0008/B</t>
  </si>
  <si>
    <t>ERIKA CRISTINA FELICIANO MARQUES</t>
  </si>
  <si>
    <t>47.637.886-2</t>
  </si>
  <si>
    <t>424.408.848-20</t>
  </si>
  <si>
    <t>001/0008/C</t>
  </si>
  <si>
    <t>RAPHAEL QUEIROZ SIMPLICIO</t>
  </si>
  <si>
    <t>47.214.327-X</t>
  </si>
  <si>
    <t>395.907.698-37</t>
  </si>
  <si>
    <t>001/0027/B</t>
  </si>
  <si>
    <t>GLEICE CRISTINA DE SOUZA</t>
  </si>
  <si>
    <t>47.483.525-X</t>
  </si>
  <si>
    <t>413.011.438-71</t>
  </si>
  <si>
    <t>001/0029/B</t>
  </si>
  <si>
    <t>LUCIANA MARIA SANTOS DA SILVA</t>
  </si>
  <si>
    <t>38.510.210-0</t>
  </si>
  <si>
    <t>346.889.848-71</t>
  </si>
  <si>
    <t>ANTONIA VALQUIANA MOREIRA DE SOUSA</t>
  </si>
  <si>
    <t>42.572.902-3</t>
  </si>
  <si>
    <t>389.352.538-63</t>
  </si>
  <si>
    <t>002/0001/A</t>
  </si>
  <si>
    <t>ANALIA DA CONCEIÇÃO PRIMO MEDEIROS</t>
  </si>
  <si>
    <t>37.358.607-3</t>
  </si>
  <si>
    <t>318.882.178-63</t>
  </si>
  <si>
    <t>002/0001/B</t>
  </si>
  <si>
    <t>MANUEL JOSÉ SOARES</t>
  </si>
  <si>
    <t>66.888.065-X</t>
  </si>
  <si>
    <t>428.988.623-04</t>
  </si>
  <si>
    <t>EDISON SAMPAIO FIGUEIREDO</t>
  </si>
  <si>
    <t>22.904.827-4</t>
  </si>
  <si>
    <t>142.907.508-26</t>
  </si>
  <si>
    <t>002/0001/C</t>
  </si>
  <si>
    <t>KAUANE SANTOS NASCIMENTO</t>
  </si>
  <si>
    <t>55.762.596-8</t>
  </si>
  <si>
    <t>406.935.838-27</t>
  </si>
  <si>
    <t>LUIZA GOMES TRINDADE</t>
  </si>
  <si>
    <t>23.416.922-9</t>
  </si>
  <si>
    <t>134.160.398-90</t>
  </si>
  <si>
    <t>002/0001/D</t>
  </si>
  <si>
    <t>SEVERINO UMBELINO DA SILVA</t>
  </si>
  <si>
    <t>54.413.141-1</t>
  </si>
  <si>
    <t>093.420.864-62</t>
  </si>
  <si>
    <t>002/0001/E</t>
  </si>
  <si>
    <t>MARIA JOZENEIDE BEZERRA</t>
  </si>
  <si>
    <t>55.198.258-5</t>
  </si>
  <si>
    <t>838.093.843-72</t>
  </si>
  <si>
    <t>002/0003/A</t>
  </si>
  <si>
    <t>EMILY OLIVEIRA SILVA</t>
  </si>
  <si>
    <t>55.495.600-7</t>
  </si>
  <si>
    <t>240.874.718-02</t>
  </si>
  <si>
    <t>002/0003/D</t>
  </si>
  <si>
    <t>TATIANE ROCHA DO NASCIMENTO</t>
  </si>
  <si>
    <t>44.716.705-4</t>
  </si>
  <si>
    <t>372.899.928-81</t>
  </si>
  <si>
    <t>003/0001/A</t>
  </si>
  <si>
    <t>IVANILDES FAGUNDES DE OLIVEIRA</t>
  </si>
  <si>
    <t>004.106.358-98</t>
  </si>
  <si>
    <t>ROGERIO GARCIA DE OLIVEIRA</t>
  </si>
  <si>
    <t>26.333.056-4</t>
  </si>
  <si>
    <t>262.288.348-00</t>
  </si>
  <si>
    <t>004/0007/A</t>
  </si>
  <si>
    <t>CLEONICE ALVES DE SOUSA</t>
  </si>
  <si>
    <t>53.603.228-2</t>
  </si>
  <si>
    <t>576.533.055-04</t>
  </si>
  <si>
    <t>6014.2026/0002719-0</t>
  </si>
  <si>
    <t>YURI ALVES DE SOUSA</t>
  </si>
  <si>
    <t>36.348.682-3</t>
  </si>
  <si>
    <t>402.077.608-37</t>
  </si>
  <si>
    <t>CONFIRMAÇÃO PAGAMENTO</t>
  </si>
  <si>
    <t>JD. PANTANAL</t>
  </si>
  <si>
    <t xml:space="preserve">VILA DA PAZ </t>
  </si>
  <si>
    <t>002/0018/D</t>
  </si>
  <si>
    <t xml:space="preserve">ERICLES DE SOUSA SILVA </t>
  </si>
  <si>
    <t xml:space="preserve">NOVO HORIZONTE </t>
  </si>
  <si>
    <t>LUANA KELLY DA SILVA SOUSA</t>
  </si>
  <si>
    <t>SÃO MARTINHO VÁRZEA</t>
  </si>
  <si>
    <t>002/0017/A</t>
  </si>
  <si>
    <t xml:space="preserve">LUCILENE LUZIA DE OLIVEIRA FIGUEIREDO </t>
  </si>
  <si>
    <t>002/0020/A</t>
  </si>
  <si>
    <t xml:space="preserve">MARIA DAS DORES BASTOS DA SILVA </t>
  </si>
  <si>
    <t>008/0011/A</t>
  </si>
  <si>
    <t xml:space="preserve">REGINALDO BARRENSE DE LIMA </t>
  </si>
  <si>
    <t>008/0042/A</t>
  </si>
  <si>
    <t xml:space="preserve">JUCIENE DOS SANTOS SILVA </t>
  </si>
  <si>
    <t>011/0009/A</t>
  </si>
  <si>
    <t xml:space="preserve">EDISON DE JESUS </t>
  </si>
  <si>
    <t>012/0008/B</t>
  </si>
  <si>
    <t xml:space="preserve">ELIAS RIBEIRO GUIMARÃES </t>
  </si>
  <si>
    <t>013/0002/A</t>
  </si>
  <si>
    <t>EDSON FRANCISCO DA SILVA SA</t>
  </si>
  <si>
    <t>002/0014/A</t>
  </si>
  <si>
    <t xml:space="preserve">MARINALVA DOS SANTOS </t>
  </si>
  <si>
    <t>002/0018/A</t>
  </si>
  <si>
    <t xml:space="preserve">JÉSSIKA DE ANDRADE SOUZA </t>
  </si>
  <si>
    <t>006/0010/B</t>
  </si>
  <si>
    <t xml:space="preserve">CAMILA DE LIRA FERNANDES </t>
  </si>
  <si>
    <t>007/0002/A</t>
  </si>
  <si>
    <t xml:space="preserve">DOUGLAS MIRANDA DA SILVA </t>
  </si>
  <si>
    <t xml:space="preserve">SARLON GUIMARAES DIAS </t>
  </si>
  <si>
    <t>002/0022/D</t>
  </si>
  <si>
    <t xml:space="preserve">EMERSON JOSÉ ROCHA SOARES </t>
  </si>
  <si>
    <t>002/0014/B</t>
  </si>
  <si>
    <t>MARIANE CAMILA DE FREITAS VALES</t>
  </si>
  <si>
    <t>PARAISÓPOLIS/ANTONICO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</si>
  <si>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</si>
  <si>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</si>
  <si>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</si>
  <si>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</si>
  <si>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</si>
  <si>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</si>
  <si>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</si>
  <si>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</si>
  <si>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</si>
  <si>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</si>
  <si>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</si>
  <si>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</si>
  <si>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</si>
  <si>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</si>
  <si>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</si>
  <si>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</si>
  <si>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</si>
  <si>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</si>
  <si>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</si>
  <si>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</si>
  <si>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</si>
  <si>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</si>
  <si>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</si>
  <si>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</si>
  <si>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</si>
  <si>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</si>
  <si>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</si>
  <si>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</si>
  <si>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</si>
  <si>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</si>
  <si>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</si>
  <si>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</si>
  <si>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</si>
  <si>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</si>
  <si>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</si>
  <si>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</si>
  <si>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</si>
  <si>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</si>
  <si>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</si>
  <si>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</si>
  <si>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</si>
  <si>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</si>
  <si>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</si>
  <si>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</si>
  <si>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</si>
  <si>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</si>
  <si>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</si>
  <si>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</si>
  <si>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</si>
  <si>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</si>
  <si>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</si>
  <si>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</si>
  <si>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</si>
  <si>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</si>
  <si>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</si>
  <si>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</si>
  <si>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</si>
  <si>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</si>
  <si>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</si>
  <si>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</si>
  <si>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</si>
  <si>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</si>
  <si>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</si>
  <si>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</si>
  <si>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</si>
  <si>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</si>
  <si>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</si>
  <si>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</si>
  <si>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</si>
  <si>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</si>
  <si>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</si>
  <si>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</si>
  <si>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</si>
  <si>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</si>
  <si>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</si>
  <si>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</si>
  <si>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</si>
  <si>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</si>
  <si>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</si>
  <si>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</si>
  <si>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</si>
  <si>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</si>
  <si>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</si>
  <si>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</si>
  <si>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</si>
  <si>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</si>
  <si>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</si>
  <si>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</si>
  <si>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</si>
  <si>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</si>
  <si>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</si>
  <si>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</si>
  <si>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</si>
  <si>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</si>
  <si>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</si>
  <si>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</si>
  <si>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</si>
  <si>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</si>
  <si>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</si>
  <si>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</si>
  <si>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</si>
  <si>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</si>
  <si>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</si>
  <si>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</si>
  <si>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</si>
  <si>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</si>
  <si>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</si>
  <si>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</si>
  <si>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</si>
  <si>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</si>
  <si>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</si>
  <si>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</si>
  <si>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</si>
  <si>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</si>
  <si>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</si>
  <si>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</si>
  <si>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</si>
  <si>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</si>
  <si>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</si>
  <si>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</si>
  <si>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</si>
  <si>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</si>
  <si>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</si>
  <si>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</si>
  <si>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</si>
  <si>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</si>
  <si>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</si>
  <si>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</si>
  <si>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</si>
  <si>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</si>
  <si>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</si>
  <si>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</si>
  <si>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</si>
  <si>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</si>
  <si>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</si>
  <si>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</si>
  <si>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</si>
  <si>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</si>
  <si>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</si>
  <si>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</si>
  <si>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</si>
  <si>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025/0020/F</t>
  </si>
  <si>
    <t>025/0021/A</t>
  </si>
  <si>
    <t>025/0021/B</t>
  </si>
  <si>
    <t>025/0021/C</t>
  </si>
  <si>
    <t>025/0021/D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</si>
  <si>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</si>
  <si>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</si>
  <si>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</si>
  <si>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</si>
  <si>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</si>
  <si>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</si>
  <si>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</si>
  <si>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025/0023/E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</si>
  <si>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</si>
  <si>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</si>
  <si>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</si>
  <si>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</si>
  <si>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</si>
  <si>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</si>
  <si>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</si>
  <si>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</si>
  <si>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</si>
  <si>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</si>
  <si>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</si>
  <si>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</si>
  <si>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</si>
  <si>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</si>
  <si>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</si>
  <si>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</si>
  <si>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</si>
  <si>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025/0025/M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</si>
  <si>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</si>
  <si>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</si>
  <si>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</si>
  <si>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</si>
  <si>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</si>
  <si>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</si>
  <si>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</si>
  <si>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</si>
  <si>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</si>
  <si>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</si>
  <si>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</si>
  <si>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</si>
  <si>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</si>
  <si>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</si>
  <si>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</si>
  <si>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</si>
  <si>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</si>
  <si>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</si>
  <si>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</si>
  <si>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</si>
  <si>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</si>
  <si>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</si>
  <si>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</si>
  <si>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</si>
  <si>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</si>
  <si>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</si>
  <si>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</si>
  <si>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</si>
  <si>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025/0031/B</t>
  </si>
  <si>
    <t>025/0055/A</t>
  </si>
  <si>
    <t>027/0002/E</t>
  </si>
  <si>
    <t>027/0004/A</t>
  </si>
  <si>
    <t>027/0004/B</t>
  </si>
  <si>
    <t>027/0005/A</t>
  </si>
  <si>
    <t>027/0005/B</t>
  </si>
  <si>
    <t>027/0005/C</t>
  </si>
  <si>
    <t>027/0005/D</t>
  </si>
  <si>
    <t>027/0005/E</t>
  </si>
  <si>
    <t>027/0005/F</t>
  </si>
  <si>
    <t>027/0005/G</t>
  </si>
  <si>
    <t>027/0005/H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</si>
  <si>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</si>
  <si>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</si>
  <si>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</si>
  <si>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</si>
  <si>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</si>
  <si>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</si>
  <si>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</si>
  <si>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</si>
  <si>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</si>
  <si>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027/0008/D</t>
  </si>
  <si>
    <t>027/0009/A</t>
  </si>
  <si>
    <t>027/0009/B</t>
  </si>
  <si>
    <t>027/0009/C</t>
  </si>
  <si>
    <t>027/0010/A</t>
  </si>
  <si>
    <t>027/0010/B</t>
  </si>
  <si>
    <t>027/0012/C</t>
  </si>
  <si>
    <t>027/0014/A</t>
  </si>
  <si>
    <t>027/0014/B</t>
  </si>
  <si>
    <t>027/0014/C</t>
  </si>
  <si>
    <t>027/0014/D</t>
  </si>
  <si>
    <t>027/0014/E</t>
  </si>
  <si>
    <t>027/0014/F</t>
  </si>
  <si>
    <t>027/0014/G</t>
  </si>
  <si>
    <t>027/0014/H</t>
  </si>
  <si>
    <t>027/0015/A</t>
  </si>
  <si>
    <t>027/0016/A</t>
  </si>
  <si>
    <t>027/0016/B</t>
  </si>
  <si>
    <t>027/0016/C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</si>
  <si>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</si>
  <si>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</si>
  <si>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</si>
  <si>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</si>
  <si>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</si>
  <si>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</si>
  <si>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</si>
  <si>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</si>
  <si>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</si>
  <si>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</si>
  <si>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</si>
  <si>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</si>
  <si>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</si>
  <si>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</si>
  <si>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</si>
  <si>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</si>
  <si>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</si>
  <si>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029/0007/A</t>
  </si>
  <si>
    <t>029/0007/B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</si>
  <si>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</si>
  <si>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</si>
  <si>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</si>
  <si>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</si>
  <si>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</si>
  <si>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</si>
  <si>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</si>
  <si>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</si>
  <si>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</si>
  <si>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</si>
  <si>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</si>
  <si>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</si>
  <si>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</si>
  <si>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029/0016/B</t>
  </si>
  <si>
    <t>029/0016/C</t>
  </si>
  <si>
    <t>029/0018/A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</si>
  <si>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</si>
  <si>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</si>
  <si>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</si>
  <si>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</si>
  <si>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</si>
  <si>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</si>
  <si>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</si>
  <si>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</si>
  <si>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</si>
  <si>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</si>
  <si>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029/0022/B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</si>
  <si>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</si>
  <si>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</si>
  <si>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</si>
  <si>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</si>
  <si>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</si>
  <si>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</si>
  <si>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</si>
  <si>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</si>
  <si>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029/0023/E</t>
  </si>
  <si>
    <t>029/0023/F</t>
  </si>
  <si>
    <t>029/0023/G</t>
  </si>
  <si>
    <t>029/0024/A</t>
  </si>
  <si>
    <t>029/0024/B</t>
  </si>
  <si>
    <t>029/0024/C</t>
  </si>
  <si>
    <t>029/0024/D</t>
  </si>
  <si>
    <t>029/0024/E</t>
  </si>
  <si>
    <t>029/0024/F</t>
  </si>
  <si>
    <t>029/0024/G</t>
  </si>
  <si>
    <t>029/0024/H</t>
  </si>
  <si>
    <t>029/0024/I</t>
  </si>
  <si>
    <t>029/0024/J</t>
  </si>
  <si>
    <t>029/0025/A</t>
  </si>
  <si>
    <t>029/0025/B</t>
  </si>
  <si>
    <t>029/0026/A</t>
  </si>
  <si>
    <t>029/0026/B</t>
  </si>
  <si>
    <t>029/0027/A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</si>
  <si>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</si>
  <si>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</si>
  <si>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</si>
  <si>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</si>
  <si>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</si>
  <si>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</si>
  <si>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</si>
  <si>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</si>
  <si>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029/0035/B</t>
  </si>
  <si>
    <t>029/0035/C</t>
  </si>
  <si>
    <t>029/0036/A</t>
  </si>
  <si>
    <t>029/0036/B</t>
  </si>
  <si>
    <t>029/0036/C</t>
  </si>
  <si>
    <t>029/0036/D</t>
  </si>
  <si>
    <t>029/0036/E</t>
  </si>
  <si>
    <t>029/0036/F</t>
  </si>
  <si>
    <t>029/0036/G</t>
  </si>
  <si>
    <t>029/0036/H</t>
  </si>
  <si>
    <t>029/0036/I</t>
  </si>
  <si>
    <t>029/0036/J</t>
  </si>
  <si>
    <t>029/0036/K</t>
  </si>
  <si>
    <t>029/0036/L</t>
  </si>
  <si>
    <t>029/0036/P</t>
  </si>
  <si>
    <t>029/0037/A</t>
  </si>
  <si>
    <t>029/0038/A</t>
  </si>
  <si>
    <t>029/0038/B</t>
  </si>
  <si>
    <t>029/0038/C</t>
  </si>
  <si>
    <t>029/0039/A</t>
  </si>
  <si>
    <t>029/0039/B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</si>
  <si>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</si>
  <si>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</si>
  <si>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</si>
  <si>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</si>
  <si>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</si>
  <si>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</si>
  <si>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</si>
  <si>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</si>
  <si>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</si>
  <si>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</si>
  <si>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029/0045/A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</si>
  <si>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</si>
  <si>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</si>
  <si>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</si>
  <si>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</si>
  <si>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</si>
  <si>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</si>
  <si>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</si>
  <si>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</si>
  <si>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</si>
  <si>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</si>
  <si>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</si>
  <si>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</si>
  <si>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</si>
  <si>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</si>
  <si>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</si>
  <si>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</si>
  <si>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</si>
  <si>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</si>
  <si>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</si>
  <si>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</si>
  <si>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</si>
  <si>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</si>
  <si>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</si>
  <si>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</si>
  <si>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</si>
  <si>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029/0061/A</t>
  </si>
  <si>
    <t>029/0061/B</t>
  </si>
  <si>
    <t>029/0062/A</t>
  </si>
  <si>
    <t>029/0062/B</t>
  </si>
  <si>
    <t>029/0062/C</t>
  </si>
  <si>
    <t>029/0063/A</t>
  </si>
  <si>
    <t>029/0064/A</t>
  </si>
  <si>
    <t>029/0064/B</t>
  </si>
  <si>
    <t>029/0064/C</t>
  </si>
  <si>
    <t>029/0064/D</t>
  </si>
  <si>
    <t>029/0064/E</t>
  </si>
  <si>
    <t>029/0064/F</t>
  </si>
  <si>
    <t>029/0065/A</t>
  </si>
  <si>
    <t>029/0065/B</t>
  </si>
  <si>
    <t>029/0066/A</t>
  </si>
  <si>
    <t>029/0066/B</t>
  </si>
  <si>
    <t>029/0066/D</t>
  </si>
  <si>
    <t>029/0066/E</t>
  </si>
  <si>
    <t>029/0066/F</t>
  </si>
  <si>
    <t>029/0067/A</t>
  </si>
  <si>
    <t>029/0067/B</t>
  </si>
  <si>
    <t>029/0067/C</t>
  </si>
  <si>
    <t>029/0067/D</t>
  </si>
  <si>
    <t>029/0067/E</t>
  </si>
  <si>
    <t>029/0067/F</t>
  </si>
  <si>
    <t>029/0068/A</t>
  </si>
  <si>
    <t>029/0069/A</t>
  </si>
  <si>
    <t>029/0069/B</t>
  </si>
  <si>
    <t>029/0069/C</t>
  </si>
  <si>
    <t>029/0069/D</t>
  </si>
  <si>
    <t>029/0070/A</t>
  </si>
  <si>
    <t>029/0070/B</t>
  </si>
  <si>
    <t>029/0070/C</t>
  </si>
  <si>
    <t>029/0070/D</t>
  </si>
  <si>
    <t>029/0070/E</t>
  </si>
  <si>
    <t>029/0070/F</t>
  </si>
  <si>
    <t>029/0071/A</t>
  </si>
  <si>
    <t>029/0071/B</t>
  </si>
  <si>
    <t>029/0071/C</t>
  </si>
  <si>
    <t>029/0071/D</t>
  </si>
  <si>
    <t>029/0071/E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</si>
  <si>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</si>
  <si>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</si>
  <si>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</si>
  <si>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</si>
  <si>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</si>
  <si>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</si>
  <si>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</si>
  <si>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</si>
  <si>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</si>
  <si>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</si>
  <si>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</si>
  <si>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</si>
  <si>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</si>
  <si>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</si>
  <si>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</si>
  <si>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</si>
  <si>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</si>
  <si>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</si>
  <si>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</si>
  <si>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</si>
  <si>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</si>
  <si>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</si>
  <si>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</si>
  <si>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</si>
  <si>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</si>
  <si>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</si>
  <si>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</si>
  <si>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</si>
  <si>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</si>
  <si>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029/0080/E</t>
  </si>
  <si>
    <t>029/0081/A</t>
  </si>
  <si>
    <t>029/0081/B</t>
  </si>
  <si>
    <t>029/0082/A</t>
  </si>
  <si>
    <t>029/0082/B</t>
  </si>
  <si>
    <t>029/0083/A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</si>
  <si>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</si>
  <si>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</si>
  <si>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</si>
  <si>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</si>
  <si>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</si>
  <si>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</si>
  <si>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</si>
  <si>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029/0085/G</t>
  </si>
  <si>
    <t>029/0085/H</t>
  </si>
  <si>
    <t>029/0085/I</t>
  </si>
  <si>
    <t>029/0085/J</t>
  </si>
  <si>
    <t>029/0086/A</t>
  </si>
  <si>
    <t>029/0086/B</t>
  </si>
  <si>
    <t>029/0086/C</t>
  </si>
  <si>
    <t>029/0086/D</t>
  </si>
  <si>
    <t>031/0004/A</t>
  </si>
  <si>
    <t>031/0004/B</t>
  </si>
  <si>
    <t>031/0004/C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</si>
  <si>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</si>
  <si>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</si>
  <si>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</si>
  <si>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</si>
  <si>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</si>
  <si>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</si>
  <si>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</si>
  <si>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</si>
  <si>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</si>
  <si>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</si>
  <si>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</si>
  <si>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</si>
  <si>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</si>
  <si>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</si>
  <si>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</si>
  <si>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</si>
  <si>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</si>
  <si>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</si>
  <si>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</si>
  <si>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</si>
  <si>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</si>
  <si>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</si>
  <si>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</si>
  <si>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</si>
  <si>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</si>
  <si>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</si>
  <si>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</si>
  <si>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031/0014/A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</si>
  <si>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</si>
  <si>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</si>
  <si>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</si>
  <si>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</si>
  <si>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</si>
  <si>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</si>
  <si>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</si>
  <si>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</si>
  <si>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031/0015/D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</si>
  <si>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</si>
  <si>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</si>
  <si>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</si>
  <si>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</si>
  <si>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</si>
  <si>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</si>
  <si>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</si>
  <si>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</si>
  <si>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</si>
  <si>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</si>
  <si>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</si>
  <si>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</si>
  <si>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</si>
  <si>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031/0020/B</t>
  </si>
  <si>
    <t>031/0020/C</t>
  </si>
  <si>
    <t>031/0020/D</t>
  </si>
  <si>
    <t>031/0021/A</t>
  </si>
  <si>
    <t>031/0022/A</t>
  </si>
  <si>
    <t>031/0022/B</t>
  </si>
  <si>
    <t>031/0022/C</t>
  </si>
  <si>
    <t>031/0022/D</t>
  </si>
  <si>
    <t>031/0022/E</t>
  </si>
  <si>
    <t>031/0023/A</t>
  </si>
  <si>
    <t>031/0023/D</t>
  </si>
  <si>
    <t>031/0024/A</t>
  </si>
  <si>
    <t>031/0025/A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</si>
  <si>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</si>
  <si>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</si>
  <si>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</si>
  <si>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</si>
  <si>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</si>
  <si>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</si>
  <si>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</si>
  <si>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</si>
  <si>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</si>
  <si>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</si>
  <si>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</si>
  <si>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</si>
  <si>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</si>
  <si>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</si>
  <si>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031/0028/D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</si>
  <si>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</si>
  <si>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</si>
  <si>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</si>
  <si>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</si>
  <si>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</si>
  <si>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</si>
  <si>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</si>
  <si>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031/0028/L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</si>
  <si>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</si>
  <si>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</si>
  <si>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</si>
  <si>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</si>
  <si>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</si>
  <si>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</si>
  <si>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</si>
  <si>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</si>
  <si>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</si>
  <si>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</si>
  <si>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</si>
  <si>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</si>
  <si>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</si>
  <si>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</si>
  <si>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031/0031/B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</si>
  <si>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</si>
  <si>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</si>
  <si>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</si>
  <si>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</si>
  <si>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</si>
  <si>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</si>
  <si>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</si>
  <si>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</si>
  <si>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031/0033/E</t>
  </si>
  <si>
    <t>031/0033/F</t>
  </si>
  <si>
    <t>031/0033/G</t>
  </si>
  <si>
    <t>031/0033/H</t>
  </si>
  <si>
    <t>031/0033/I</t>
  </si>
  <si>
    <t>031/0033/J</t>
  </si>
  <si>
    <t>031/0033/K</t>
  </si>
  <si>
    <t>031/0033/L</t>
  </si>
  <si>
    <t>031/0033/M</t>
  </si>
  <si>
    <t>031/0033/N</t>
  </si>
  <si>
    <t>031/0033/O</t>
  </si>
  <si>
    <t>031/0033/P</t>
  </si>
  <si>
    <t>031/0033/Q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</si>
  <si>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</si>
  <si>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</si>
  <si>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</si>
  <si>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</si>
  <si>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</si>
  <si>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</si>
  <si>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</si>
  <si>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</si>
  <si>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</si>
  <si>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</si>
  <si>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</si>
  <si>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</si>
  <si>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031/0035/A</t>
  </si>
  <si>
    <t>031/0035/B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</si>
  <si>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</si>
  <si>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</si>
  <si>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</si>
  <si>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</si>
  <si>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</si>
  <si>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</si>
  <si>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</si>
  <si>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</si>
  <si>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</si>
  <si>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</si>
  <si>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</si>
  <si>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</si>
  <si>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</si>
  <si>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</si>
  <si>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</si>
  <si>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</si>
  <si>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</si>
  <si>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</si>
  <si>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</si>
  <si>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031/0039/C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</si>
  <si>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</si>
  <si>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</si>
  <si>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</si>
  <si>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</si>
  <si>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</si>
  <si>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</si>
  <si>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</si>
  <si>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</si>
  <si>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</si>
  <si>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</si>
  <si>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</si>
  <si>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</si>
  <si>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</si>
  <si>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</si>
  <si>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</si>
  <si>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</si>
  <si>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</si>
  <si>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</si>
  <si>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</si>
  <si>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</si>
  <si>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</si>
  <si>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</si>
  <si>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</si>
  <si>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</si>
  <si>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</si>
  <si>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</si>
  <si>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</si>
  <si>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</si>
  <si>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</si>
  <si>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</si>
  <si>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</si>
  <si>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</si>
  <si>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</si>
  <si>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</si>
  <si>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</si>
  <si>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</si>
  <si>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</si>
  <si>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</si>
  <si>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</si>
  <si>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</si>
  <si>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</si>
  <si>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</si>
  <si>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</si>
  <si>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</si>
  <si>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</si>
  <si>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</si>
  <si>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031/0058/A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</si>
  <si>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</si>
  <si>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</si>
  <si>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</si>
  <si>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</si>
  <si>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</si>
  <si>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</si>
  <si>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</si>
  <si>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</si>
  <si>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</si>
  <si>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</si>
  <si>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</si>
  <si>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</si>
  <si>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</si>
  <si>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</si>
  <si>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</si>
  <si>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</si>
  <si>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</si>
  <si>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</si>
  <si>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</si>
  <si>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</si>
  <si>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</si>
  <si>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</si>
  <si>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</si>
  <si>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</si>
  <si>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</si>
  <si>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</si>
  <si>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031/0067/A</t>
  </si>
  <si>
    <t>031/0067/B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</si>
  <si>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</si>
  <si>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</si>
  <si>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</si>
  <si>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</si>
  <si>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</si>
  <si>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</si>
  <si>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</si>
  <si>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</si>
  <si>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</si>
  <si>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</si>
  <si>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</si>
  <si>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</si>
  <si>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</si>
  <si>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</si>
  <si>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</si>
  <si>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</si>
  <si>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</si>
  <si>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</si>
  <si>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</si>
  <si>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</si>
  <si>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</si>
  <si>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</si>
  <si>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</si>
  <si>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</si>
  <si>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</si>
  <si>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</si>
  <si>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</si>
  <si>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</si>
  <si>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</si>
  <si>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</si>
  <si>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</si>
  <si>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</si>
  <si>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</si>
  <si>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</si>
  <si>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</si>
  <si>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</si>
  <si>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</si>
  <si>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</si>
  <si>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</si>
  <si>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</si>
  <si>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</si>
  <si>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</si>
  <si>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</si>
  <si>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</si>
  <si>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</si>
  <si>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</si>
  <si>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</si>
  <si>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</si>
  <si>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033/0016/C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</si>
  <si>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</si>
  <si>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</si>
  <si>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</si>
  <si>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</si>
  <si>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</si>
  <si>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</si>
  <si>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</si>
  <si>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</si>
  <si>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</si>
  <si>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</si>
  <si>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</si>
  <si>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</si>
  <si>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</si>
  <si>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</si>
  <si>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</si>
  <si>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</si>
  <si>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</si>
  <si>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</si>
  <si>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</si>
  <si>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</si>
  <si>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</si>
  <si>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</si>
  <si>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</si>
  <si>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</si>
  <si>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</si>
  <si>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</si>
  <si>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</si>
  <si>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</si>
  <si>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033/0029/B</t>
  </si>
  <si>
    <t>033/0029/D</t>
  </si>
  <si>
    <t>033/0029/E</t>
  </si>
  <si>
    <t>033/0030/A</t>
  </si>
  <si>
    <t>033/0030/C</t>
  </si>
  <si>
    <t>033/0030/D</t>
  </si>
  <si>
    <t>001/0009/A</t>
  </si>
  <si>
    <t xml:space="preserve">WILLIAM MACIEL BISPO </t>
  </si>
  <si>
    <t>362.311.548-74</t>
  </si>
  <si>
    <t>6014.2026/0001049-1</t>
  </si>
  <si>
    <t>003/0002/A</t>
  </si>
  <si>
    <t xml:space="preserve">SIMONE PEREIRA BRITO DA SILVA </t>
  </si>
  <si>
    <t>330.971.178-14</t>
  </si>
  <si>
    <t>6014.2026/0000590-0</t>
  </si>
  <si>
    <t>003/0004/A</t>
  </si>
  <si>
    <t xml:space="preserve">JENIFER ALINE SANTANA DE ARAUJO </t>
  </si>
  <si>
    <t>412.301.608-17</t>
  </si>
  <si>
    <t>6014.2026/0001059-9</t>
  </si>
  <si>
    <t>ROSELI APARECIDA CARDOSO DOS SANTOS</t>
  </si>
  <si>
    <t>297.937.398-27</t>
  </si>
  <si>
    <t>6014.2026/0001565-5</t>
  </si>
  <si>
    <t>001/0010/A</t>
  </si>
  <si>
    <t>ANTONIO MARCOS DOS SANTOS</t>
  </si>
  <si>
    <t>222.428.258-36</t>
  </si>
  <si>
    <t>6014.2026/0001182-0</t>
  </si>
  <si>
    <t>002/0002/A</t>
  </si>
  <si>
    <t>CLEMENS MARTINS DA CRUZ</t>
  </si>
  <si>
    <t>142.323.228/33</t>
  </si>
  <si>
    <t>6014.2026/0002211-2</t>
  </si>
  <si>
    <t>002/0004/B</t>
  </si>
  <si>
    <t xml:space="preserve">THAMYRIS ERNESTO DOS SANTOS </t>
  </si>
  <si>
    <t>366.046.798-70</t>
  </si>
  <si>
    <t>6014.2026/0001765-8</t>
  </si>
  <si>
    <t>002/0009/A</t>
  </si>
  <si>
    <t>EDNEIDE DA COSTA FIGUEROA</t>
  </si>
  <si>
    <t>743.510.954-15</t>
  </si>
  <si>
    <t>6014.2026/0001185-4</t>
  </si>
  <si>
    <t>002/0010/A</t>
  </si>
  <si>
    <t xml:space="preserve">LEONARDO RODRIGUES MÁXIMO LEÃO </t>
  </si>
  <si>
    <t>555.672.058-48</t>
  </si>
  <si>
    <t>6014.2026/0001951-0</t>
  </si>
  <si>
    <t>045.174.525-65</t>
  </si>
  <si>
    <t>6014.2026/0000954-0</t>
  </si>
  <si>
    <t>073.054.673-08</t>
  </si>
  <si>
    <t>6014.2026/0000925-6</t>
  </si>
  <si>
    <t>054.868.845.16</t>
  </si>
  <si>
    <t>6014.2026/0001933-2</t>
  </si>
  <si>
    <t>439.697.788-32</t>
  </si>
  <si>
    <t>6014.2026/0001971-5</t>
  </si>
  <si>
    <t>002/0006/A</t>
  </si>
  <si>
    <t>THIAGO PAES CAVALCANTE</t>
  </si>
  <si>
    <t>405.351.638-27</t>
  </si>
  <si>
    <t>6014.2026/0001258-3</t>
  </si>
  <si>
    <t>001/0002/H</t>
  </si>
  <si>
    <t xml:space="preserve">MÉRCIA LOPES SILVA </t>
  </si>
  <si>
    <t>051.115.775-48</t>
  </si>
  <si>
    <t>6014.2026/0000683-4</t>
  </si>
  <si>
    <t xml:space="preserve">LORISVAL JESUS DOS SANTOS </t>
  </si>
  <si>
    <t>082.624.395-97</t>
  </si>
  <si>
    <t> 6014.2026/0000625-7</t>
  </si>
  <si>
    <t>001/0017/A</t>
  </si>
  <si>
    <t xml:space="preserve">ROBERTO FRANCISCO NETO </t>
  </si>
  <si>
    <t>034.705.005-09</t>
  </si>
  <si>
    <t>6014.2026/0002706-8</t>
  </si>
  <si>
    <t xml:space="preserve">JOSENEIDE VIEIRA DA COSTA BATISTA </t>
  </si>
  <si>
    <t>312.972.528-88</t>
  </si>
  <si>
    <t>6014.2026/0001052-1</t>
  </si>
  <si>
    <t>002/0011/A</t>
  </si>
  <si>
    <t>EUDES BORGES DOS SANTOS</t>
  </si>
  <si>
    <t>415.266.718-40</t>
  </si>
  <si>
    <t>6014.2026/0001976-6</t>
  </si>
  <si>
    <t>002/0015/A</t>
  </si>
  <si>
    <t xml:space="preserve">DANILO AQUINO MORENO </t>
  </si>
  <si>
    <t>403.392.358-61</t>
  </si>
  <si>
    <t>6014.2026/0001338-5</t>
  </si>
  <si>
    <t xml:space="preserve">WESLEY MENDES DA SILVEIRA </t>
  </si>
  <si>
    <t>494.279.318-17</t>
  </si>
  <si>
    <t>6014.2026/0001250-8</t>
  </si>
  <si>
    <t>002/0018/C</t>
  </si>
  <si>
    <t>CÍCERA DENALVA DE SOUZA</t>
  </si>
  <si>
    <t>329.957.048-07</t>
  </si>
  <si>
    <t>6014.2026/0001930-8</t>
  </si>
  <si>
    <t>002/0019/A</t>
  </si>
  <si>
    <t xml:space="preserve">LEANDRO DOS SANTOS </t>
  </si>
  <si>
    <t>379.202.498-56</t>
  </si>
  <si>
    <t>6014.2026/0001943-0</t>
  </si>
  <si>
    <t>002/0025/A</t>
  </si>
  <si>
    <t xml:space="preserve">MARIA LUIZA DA SILVA </t>
  </si>
  <si>
    <t>313.328.558-06</t>
  </si>
  <si>
    <t>6014.2026/0001940-5</t>
  </si>
  <si>
    <t>002/0027/A</t>
  </si>
  <si>
    <t>MÁRCIA BATISTA DA SILVA</t>
  </si>
  <si>
    <t>335.505.698.74</t>
  </si>
  <si>
    <t>6014.2026/0001979-0</t>
  </si>
  <si>
    <t>002/0031/A</t>
  </si>
  <si>
    <t>BRUNA FIGUEREDO MANTEIGA</t>
  </si>
  <si>
    <t>375.908.498-20</t>
  </si>
  <si>
    <t>6014.2026/0001983-9</t>
  </si>
  <si>
    <t>002/0031/B</t>
  </si>
  <si>
    <t>ROGILDO DIAS PALMA</t>
  </si>
  <si>
    <t>050.565.165-38</t>
  </si>
  <si>
    <t>6014.2026/0001984-7</t>
  </si>
  <si>
    <t>002/0032/A</t>
  </si>
  <si>
    <t xml:space="preserve">MIRIAM OLIVEIRA PEREIRA </t>
  </si>
  <si>
    <t>389.285.348-79</t>
  </si>
  <si>
    <t>6014.2026/0001990-1</t>
  </si>
  <si>
    <t>001/0006/A</t>
  </si>
  <si>
    <t xml:space="preserve">ANDERSON AIRTON SOUZA DA SILVA </t>
  </si>
  <si>
    <t>385.502.908-31</t>
  </si>
  <si>
    <t>6014.2026/0001045-9</t>
  </si>
  <si>
    <t>002/0026/A</t>
  </si>
  <si>
    <t>JANAINA FERREIRA ROMÃO</t>
  </si>
  <si>
    <t>308.584.918-18</t>
  </si>
  <si>
    <t>6014.2026/0001939-1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</si>
</sst>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[$-416]dd\-mmm\-yy;@"/>
    <numFmt numFmtId="168" formatCode="[$-416]d\-mmm\-yy;@"/>
    <numFmt numFmtId="169" formatCode="[$R$-416]\ #,##0.00"/>
    <numFmt numFmtId="170" formatCode="&quot;R$&quot;\ #,##0.00"/>
  </numFmts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</font>
    <font>
      <sz val="9"/>
      <color rgb="FF000000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b/>
      <sz val="10"/>
      <name val="Arial"/>
    </font>
    <font>
      <b/>
      <sz val="12"/>
      <color theme="0"/>
      <name val="Arial"/>
    </font>
    <font>
      <u/>
      <sz val="11"/>
      <color theme="10"/>
      <name val="Calibri"/>
      <family val="2"/>
      <scheme val="minor"/>
    </font>
    <font>
      <sz val="12"/>
      <color theme="0"/>
      <name val="Arial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b/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</borders>
  <cellStyleXfs count="51">
    <xf numFmtId="0" fontId="0" fillId="0" borderId="0"/>
    <xf numFmtId="0" fontId="23" fillId="10" borderId="0" applyNumberFormat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19" borderId="13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32" fillId="23" borderId="13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167" fontId="35" fillId="0" borderId="13" xfId="0" applyNumberFormat="1" applyFont="1" applyBorder="1" applyAlignment="1">
      <alignment horizontal="center" vertical="center"/>
    </xf>
    <xf numFmtId="167" fontId="35" fillId="11" borderId="13" xfId="0" applyNumberFormat="1" applyFont="1" applyFill="1" applyBorder="1" applyAlignment="1">
      <alignment horizontal="center" vertical="center"/>
    </xf>
    <xf numFmtId="0" fontId="35" fillId="11" borderId="13" xfId="0" applyFont="1" applyFill="1" applyBorder="1" applyAlignment="1">
      <alignment horizontal="center" vertical="center"/>
    </xf>
    <xf numFmtId="167" fontId="36" fillId="0" borderId="13" xfId="0" applyNumberFormat="1" applyFont="1" applyBorder="1" applyAlignment="1">
      <alignment horizontal="center" vertical="center"/>
    </xf>
    <xf numFmtId="0" fontId="36" fillId="11" borderId="13" xfId="0" applyFont="1" applyFill="1" applyBorder="1" applyAlignment="1">
      <alignment horizontal="center" vertical="center"/>
    </xf>
    <xf numFmtId="14" fontId="35" fillId="0" borderId="13" xfId="0" applyNumberFormat="1" applyFont="1" applyBorder="1" applyAlignment="1">
      <alignment horizontal="center" vertical="center"/>
    </xf>
    <xf numFmtId="167" fontId="35" fillId="21" borderId="13" xfId="0" applyNumberFormat="1" applyFont="1" applyFill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167" fontId="36" fillId="0" borderId="5" xfId="0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168" fontId="35" fillId="0" borderId="13" xfId="0" applyNumberFormat="1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36" fillId="20" borderId="13" xfId="0" applyFont="1" applyFill="1" applyBorder="1" applyAlignment="1">
      <alignment horizontal="center" vertical="center"/>
    </xf>
    <xf numFmtId="0" fontId="35" fillId="26" borderId="13" xfId="0" applyFont="1" applyFill="1" applyBorder="1" applyAlignment="1">
      <alignment horizontal="center" vertical="center" wrapText="1"/>
    </xf>
    <xf numFmtId="0" fontId="28" fillId="21" borderId="7" xfId="0" applyFont="1" applyFill="1" applyBorder="1" applyAlignment="1">
      <alignment horizontal="center" vertical="center"/>
    </xf>
    <xf numFmtId="0" fontId="27" fillId="21" borderId="0" xfId="0" applyFont="1" applyFill="1"/>
    <xf numFmtId="0" fontId="27" fillId="21" borderId="0" xfId="0" applyFont="1" applyFill="1" applyAlignment="1">
      <alignment vertical="top"/>
    </xf>
    <xf numFmtId="0" fontId="45" fillId="28" borderId="7" xfId="0" applyFont="1" applyFill="1" applyBorder="1" applyAlignment="1">
      <alignment horizontal="center" vertical="center"/>
    </xf>
    <xf numFmtId="0" fontId="28" fillId="21" borderId="12" xfId="0" applyFont="1" applyFill="1" applyBorder="1" applyAlignment="1">
      <alignment horizontal="center" vertical="center"/>
    </xf>
    <xf numFmtId="167" fontId="35" fillId="0" borderId="14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4" fontId="36" fillId="0" borderId="0" xfId="0" applyNumberFormat="1" applyFont="1" applyAlignment="1">
      <alignment horizontal="center" vertical="center"/>
    </xf>
    <xf numFmtId="0" fontId="46" fillId="27" borderId="8" xfId="1" applyFont="1" applyFill="1" applyBorder="1" applyAlignment="1">
      <alignment horizontal="center" vertical="center" wrapText="1"/>
    </xf>
    <xf numFmtId="0" fontId="46" fillId="27" borderId="8" xfId="0" applyFont="1" applyFill="1" applyBorder="1" applyAlignment="1">
      <alignment horizontal="center" vertical="center" wrapText="1"/>
    </xf>
    <xf numFmtId="0" fontId="46" fillId="27" borderId="11" xfId="0" applyFont="1" applyFill="1" applyBorder="1" applyAlignment="1">
      <alignment horizontal="center" vertical="center" wrapText="1"/>
    </xf>
    <xf numFmtId="0" fontId="47" fillId="12" borderId="9" xfId="47" applyNumberFormat="1" applyFont="1" applyFill="1" applyBorder="1" applyAlignment="1">
      <alignment horizontal="center" vertical="center" wrapText="1"/>
    </xf>
    <xf numFmtId="167" fontId="47" fillId="12" borderId="9" xfId="47" applyNumberFormat="1" applyFont="1" applyFill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167" fontId="36" fillId="21" borderId="13" xfId="0" applyNumberFormat="1" applyFont="1" applyFill="1" applyBorder="1" applyAlignment="1">
      <alignment horizontal="center" vertical="center"/>
    </xf>
    <xf numFmtId="0" fontId="47" fillId="12" borderId="0" xfId="47" applyNumberFormat="1" applyFont="1" applyFill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/>
    </xf>
    <xf numFmtId="0" fontId="40" fillId="24" borderId="18" xfId="0" applyFont="1" applyFill="1" applyBorder="1" applyAlignment="1">
      <alignment horizontal="center" vertical="center" wrapText="1"/>
    </xf>
    <xf numFmtId="0" fontId="40" fillId="24" borderId="18" xfId="0" applyFont="1" applyFill="1" applyBorder="1" applyAlignment="1">
      <alignment horizontal="center" vertical="center"/>
    </xf>
    <xf numFmtId="168" fontId="40" fillId="24" borderId="18" xfId="0" applyNumberFormat="1" applyFont="1" applyFill="1" applyBorder="1" applyAlignment="1">
      <alignment horizontal="center" vertical="center"/>
    </xf>
    <xf numFmtId="168" fontId="40" fillId="24" borderId="18" xfId="0" applyNumberFormat="1" applyFont="1" applyFill="1" applyBorder="1" applyAlignment="1">
      <alignment horizontal="center" vertical="center" wrapText="1"/>
    </xf>
    <xf numFmtId="0" fontId="40" fillId="17" borderId="18" xfId="0" applyFont="1" applyFill="1" applyBorder="1" applyAlignment="1">
      <alignment horizontal="center" vertical="center"/>
    </xf>
    <xf numFmtId="0" fontId="40" fillId="16" borderId="18" xfId="0" applyFont="1" applyFill="1" applyBorder="1" applyAlignment="1">
      <alignment horizontal="center" vertical="center" wrapText="1"/>
    </xf>
    <xf numFmtId="167" fontId="40" fillId="16" borderId="18" xfId="0" applyNumberFormat="1" applyFont="1" applyFill="1" applyBorder="1" applyAlignment="1">
      <alignment horizontal="center" vertical="center" wrapText="1"/>
    </xf>
    <xf numFmtId="0" fontId="40" fillId="16" borderId="18" xfId="1" applyFont="1" applyFill="1" applyBorder="1" applyAlignment="1">
      <alignment horizontal="center" vertical="center" wrapText="1"/>
    </xf>
    <xf numFmtId="0" fontId="40" fillId="15" borderId="18" xfId="0" applyFont="1" applyFill="1" applyBorder="1" applyAlignment="1">
      <alignment horizontal="center" vertical="center" wrapText="1"/>
    </xf>
    <xf numFmtId="167" fontId="40" fillId="15" borderId="18" xfId="0" applyNumberFormat="1" applyFont="1" applyFill="1" applyBorder="1" applyAlignment="1">
      <alignment horizontal="center" vertical="center" wrapText="1"/>
    </xf>
    <xf numFmtId="14" fontId="40" fillId="15" borderId="18" xfId="0" applyNumberFormat="1" applyFont="1" applyFill="1" applyBorder="1" applyAlignment="1">
      <alignment horizontal="center" vertical="center" wrapText="1"/>
    </xf>
    <xf numFmtId="167" fontId="40" fillId="11" borderId="18" xfId="0" applyNumberFormat="1" applyFont="1" applyFill="1" applyBorder="1" applyAlignment="1">
      <alignment horizontal="center" vertical="center" wrapText="1"/>
    </xf>
    <xf numFmtId="0" fontId="40" fillId="11" borderId="18" xfId="0" applyFont="1" applyFill="1" applyBorder="1" applyAlignment="1">
      <alignment horizontal="center" vertical="center" wrapText="1"/>
    </xf>
    <xf numFmtId="0" fontId="40" fillId="11" borderId="18" xfId="1" applyFont="1" applyFill="1" applyBorder="1" applyAlignment="1">
      <alignment horizontal="center" vertical="center" wrapText="1"/>
    </xf>
    <xf numFmtId="0" fontId="39" fillId="11" borderId="17" xfId="1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11" borderId="18" xfId="1" applyNumberFormat="1" applyFont="1" applyFill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39" fillId="0" borderId="14" xfId="0" applyFont="1" applyBorder="1" applyAlignment="1">
      <alignment horizontal="center" vertical="center" wrapText="1"/>
    </xf>
    <xf numFmtId="0" fontId="45" fillId="28" borderId="12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167" fontId="35" fillId="21" borderId="14" xfId="0" applyNumberFormat="1" applyFont="1" applyFill="1" applyBorder="1" applyAlignment="1">
      <alignment horizontal="center" vertical="center"/>
    </xf>
    <xf numFmtId="167" fontId="42" fillId="0" borderId="7" xfId="0" applyNumberFormat="1" applyFont="1" applyBorder="1" applyAlignment="1">
      <alignment horizontal="center" vertical="center"/>
    </xf>
    <xf numFmtId="0" fontId="42" fillId="21" borderId="7" xfId="0" applyFont="1" applyFill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167" fontId="42" fillId="0" borderId="12" xfId="0" applyNumberFormat="1" applyFont="1" applyBorder="1" applyAlignment="1">
      <alignment horizontal="center" vertical="center"/>
    </xf>
    <xf numFmtId="1" fontId="35" fillId="0" borderId="13" xfId="0" applyNumberFormat="1" applyFont="1" applyBorder="1" applyAlignment="1">
      <alignment horizontal="center" vertical="center"/>
    </xf>
    <xf numFmtId="0" fontId="49" fillId="12" borderId="9" xfId="47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40" fillId="24" borderId="19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167" fontId="5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4" fillId="11" borderId="8" xfId="1" applyFont="1" applyFill="1" applyBorder="1" applyAlignment="1">
      <alignment horizontal="center" vertical="center" wrapText="1"/>
    </xf>
    <xf numFmtId="0" fontId="34" fillId="16" borderId="8" xfId="0" applyFont="1" applyFill="1" applyBorder="1" applyAlignment="1">
      <alignment horizontal="center" vertical="center" wrapText="1"/>
    </xf>
    <xf numFmtId="0" fontId="34" fillId="16" borderId="1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1" fillId="21" borderId="1" xfId="0" applyFont="1" applyFill="1" applyBorder="1" applyAlignment="1">
      <alignment horizontal="center" vertical="center"/>
    </xf>
    <xf numFmtId="0" fontId="35" fillId="0" borderId="14" xfId="0" quotePrefix="1" applyFont="1" applyBorder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52" fillId="16" borderId="18" xfId="0" applyFont="1" applyFill="1" applyBorder="1" applyAlignment="1">
      <alignment horizontal="center" vertical="center" wrapText="1"/>
    </xf>
    <xf numFmtId="169" fontId="39" fillId="0" borderId="15" xfId="0" applyNumberFormat="1" applyFont="1" applyBorder="1" applyAlignment="1">
      <alignment horizontal="center" vertical="center"/>
    </xf>
    <xf numFmtId="169" fontId="39" fillId="0" borderId="13" xfId="0" applyNumberFormat="1" applyFont="1" applyBorder="1" applyAlignment="1">
      <alignment horizontal="center" vertical="center"/>
    </xf>
    <xf numFmtId="169" fontId="39" fillId="0" borderId="0" xfId="0" applyNumberFormat="1" applyFont="1" applyAlignment="1">
      <alignment horizontal="center" vertical="center"/>
    </xf>
    <xf numFmtId="169" fontId="35" fillId="0" borderId="0" xfId="0" applyNumberFormat="1" applyFont="1" applyAlignment="1">
      <alignment horizontal="center" vertical="center"/>
    </xf>
    <xf numFmtId="169" fontId="47" fillId="12" borderId="9" xfId="47" applyNumberFormat="1" applyFont="1" applyFill="1" applyBorder="1" applyAlignment="1">
      <alignment horizontal="center" vertical="center" wrapText="1"/>
    </xf>
    <xf numFmtId="169" fontId="40" fillId="16" borderId="18" xfId="0" applyNumberFormat="1" applyFont="1" applyFill="1" applyBorder="1" applyAlignment="1">
      <alignment horizontal="center" vertical="center" wrapText="1"/>
    </xf>
    <xf numFmtId="169" fontId="40" fillId="0" borderId="14" xfId="0" applyNumberFormat="1" applyFont="1" applyBorder="1" applyAlignment="1">
      <alignment horizontal="center" vertical="center" wrapText="1"/>
    </xf>
    <xf numFmtId="169" fontId="37" fillId="0" borderId="0" xfId="0" applyNumberFormat="1" applyFont="1" applyAlignment="1">
      <alignment horizontal="center" vertical="center"/>
    </xf>
    <xf numFmtId="170" fontId="40" fillId="0" borderId="14" xfId="0" applyNumberFormat="1" applyFont="1" applyBorder="1" applyAlignment="1">
      <alignment horizontal="center" vertical="center" wrapText="1"/>
    </xf>
    <xf numFmtId="0" fontId="47" fillId="25" borderId="16" xfId="0" applyFont="1" applyFill="1" applyBorder="1" applyAlignment="1">
      <alignment horizontal="center" vertical="center" wrapText="1"/>
    </xf>
    <xf numFmtId="0" fontId="47" fillId="25" borderId="0" xfId="0" applyFont="1" applyFill="1" applyAlignment="1">
      <alignment horizontal="center" vertical="center" wrapText="1"/>
    </xf>
    <xf numFmtId="0" fontId="47" fillId="14" borderId="9" xfId="47" applyNumberFormat="1" applyFont="1" applyFill="1" applyBorder="1" applyAlignment="1">
      <alignment horizontal="center" vertical="center" wrapText="1"/>
    </xf>
    <xf numFmtId="167" fontId="47" fillId="14" borderId="9" xfId="47" applyNumberFormat="1" applyFont="1" applyFill="1" applyBorder="1" applyAlignment="1">
      <alignment horizontal="center" vertical="center" wrapText="1"/>
    </xf>
    <xf numFmtId="14" fontId="47" fillId="14" borderId="9" xfId="47" applyNumberFormat="1" applyFont="1" applyFill="1" applyBorder="1" applyAlignment="1">
      <alignment horizontal="center" vertical="center" wrapText="1"/>
    </xf>
    <xf numFmtId="0" fontId="47" fillId="14" borderId="10" xfId="47" applyNumberFormat="1" applyFont="1" applyFill="1" applyBorder="1" applyAlignment="1">
      <alignment horizontal="center" vertical="center" wrapText="1"/>
    </xf>
    <xf numFmtId="0" fontId="47" fillId="13" borderId="8" xfId="47" applyNumberFormat="1" applyFont="1" applyFill="1" applyBorder="1" applyAlignment="1">
      <alignment horizontal="center" vertical="center" wrapText="1"/>
    </xf>
    <xf numFmtId="0" fontId="47" fillId="13" borderId="9" xfId="47" applyNumberFormat="1" applyFont="1" applyFill="1" applyBorder="1" applyAlignment="1">
      <alignment horizontal="center" vertical="center" wrapText="1"/>
    </xf>
    <xf numFmtId="0" fontId="47" fillId="13" borderId="9" xfId="47" applyNumberFormat="1" applyFont="1" applyFill="1" applyBorder="1" applyAlignment="1">
      <alignment horizontal="left" vertical="center" wrapText="1"/>
    </xf>
    <xf numFmtId="0" fontId="47" fillId="13" borderId="10" xfId="47" applyNumberFormat="1" applyFont="1" applyFill="1" applyBorder="1" applyAlignment="1">
      <alignment horizontal="center" vertical="center" wrapText="1"/>
    </xf>
    <xf numFmtId="0" fontId="47" fillId="18" borderId="8" xfId="0" applyFont="1" applyFill="1" applyBorder="1" applyAlignment="1">
      <alignment horizontal="center" vertical="center" wrapText="1"/>
    </xf>
    <xf numFmtId="0" fontId="47" fillId="18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  <namedSheetView name="Exibir1" id="{904A681D-94C6-4B26-9172-F6FA7B0BC04B}">
    <nsvFilter filterId="{00000000-0001-0000-0000-000000000000}" ref="B9:BM38" tableId="0"/>
  </namedSheetView>
  <namedSheetView name="Exibir2" id="{E40D6C0B-8DD2-418B-962B-86ED15D1929E}"/>
  <namedSheetView name="Exibir3" id="{D841A113-E4FB-441F-AEED-11C048D88F65}"/>
  <namedSheetView name="Exibir4" id="{85A2FEA4-97E8-4394-9A69-A48ABB269B9A}">
    <nsvFilter filterId="{00000000-0001-0000-0000-000000000000}" ref="B9:BM38" tableId="0">
      <sortRules>
        <sortRule colId="4">
          <sortCondition ref="F9:F38"/>
        </sortRule>
      </sortRules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3" t="s">
        <v>11</v>
      </c>
      <c r="C2" s="3">
        <v>1</v>
      </c>
      <c r="D2" s="3">
        <v>101</v>
      </c>
      <c r="E2" s="24" t="s">
        <v>12</v>
      </c>
      <c r="F2" s="3" t="s">
        <v>13</v>
      </c>
      <c r="G2" s="3" t="s">
        <v>14</v>
      </c>
      <c r="H2" s="3" t="s">
        <v>14</v>
      </c>
      <c r="I2" s="3" t="s">
        <v>15</v>
      </c>
      <c r="J2" s="3" t="s">
        <v>16</v>
      </c>
    </row>
    <row r="3" spans="1:10">
      <c r="A3" s="1" t="s">
        <v>17</v>
      </c>
      <c r="B3" s="3" t="s">
        <v>18</v>
      </c>
      <c r="C3" s="3">
        <v>2</v>
      </c>
      <c r="D3" s="3">
        <v>102</v>
      </c>
      <c r="E3" s="3" t="s">
        <v>19</v>
      </c>
      <c r="F3" s="6" t="s">
        <v>20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>
      <c r="A4" s="1" t="s">
        <v>25</v>
      </c>
      <c r="B4" s="3" t="s">
        <v>26</v>
      </c>
      <c r="C4" s="3">
        <v>3</v>
      </c>
      <c r="D4" s="3">
        <v>103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30</v>
      </c>
    </row>
    <row r="5" spans="1:10">
      <c r="A5" s="1" t="s">
        <v>32</v>
      </c>
      <c r="B5" s="3" t="s">
        <v>33</v>
      </c>
      <c r="C5" s="3">
        <v>4</v>
      </c>
      <c r="D5" s="3">
        <v>104</v>
      </c>
      <c r="E5" s="3" t="s">
        <v>24</v>
      </c>
      <c r="F5" s="3" t="s">
        <v>34</v>
      </c>
      <c r="G5" s="3" t="s">
        <v>35</v>
      </c>
      <c r="H5" s="3" t="s">
        <v>36</v>
      </c>
      <c r="I5" s="3" t="s">
        <v>30</v>
      </c>
    </row>
    <row r="6" spans="1:10">
      <c r="A6" s="1" t="s">
        <v>37</v>
      </c>
      <c r="B6" s="3" t="s">
        <v>38</v>
      </c>
      <c r="C6" s="3">
        <v>5</v>
      </c>
      <c r="D6" s="3">
        <v>201</v>
      </c>
      <c r="E6" s="3" t="s">
        <v>39</v>
      </c>
      <c r="G6" s="3" t="s">
        <v>40</v>
      </c>
      <c r="H6" s="3" t="s">
        <v>41</v>
      </c>
      <c r="I6" s="3" t="s">
        <v>42</v>
      </c>
    </row>
    <row r="7" spans="1:10">
      <c r="A7" s="1" t="s">
        <v>43</v>
      </c>
      <c r="B7" s="3" t="s">
        <v>44</v>
      </c>
      <c r="C7" s="3">
        <v>6</v>
      </c>
      <c r="D7" s="3">
        <v>202</v>
      </c>
      <c r="E7" s="3" t="s">
        <v>45</v>
      </c>
      <c r="G7" s="3" t="s">
        <v>46</v>
      </c>
      <c r="I7" s="3" t="s">
        <v>47</v>
      </c>
    </row>
    <row r="8" spans="1:10">
      <c r="A8" s="1" t="s">
        <v>48</v>
      </c>
      <c r="B8" s="3" t="s">
        <v>49</v>
      </c>
      <c r="C8" s="3">
        <v>7</v>
      </c>
      <c r="D8" s="3">
        <v>203</v>
      </c>
      <c r="E8" s="3" t="s">
        <v>50</v>
      </c>
      <c r="G8" s="3"/>
      <c r="I8" s="3" t="s">
        <v>51</v>
      </c>
    </row>
    <row r="9" spans="1:10">
      <c r="A9" s="1" t="s">
        <v>52</v>
      </c>
      <c r="B9" s="3" t="s">
        <v>53</v>
      </c>
      <c r="C9" s="3">
        <v>8</v>
      </c>
      <c r="D9" s="3">
        <v>204</v>
      </c>
      <c r="E9" s="3" t="s">
        <v>54</v>
      </c>
    </row>
    <row r="10" spans="1:10">
      <c r="A10" s="1" t="s">
        <v>55</v>
      </c>
      <c r="B10" s="3" t="s">
        <v>56</v>
      </c>
      <c r="C10" s="3">
        <v>9</v>
      </c>
      <c r="D10" s="3">
        <v>301</v>
      </c>
      <c r="E10" s="3" t="s">
        <v>57</v>
      </c>
    </row>
    <row r="11" spans="1:10">
      <c r="A11" s="1" t="s">
        <v>58</v>
      </c>
      <c r="B11" s="3" t="s">
        <v>59</v>
      </c>
      <c r="C11" s="3">
        <v>10</v>
      </c>
      <c r="D11" s="3">
        <v>302</v>
      </c>
      <c r="E11" s="3" t="s">
        <v>60</v>
      </c>
    </row>
    <row r="12" spans="1:10">
      <c r="A12" s="1" t="s">
        <v>61</v>
      </c>
      <c r="B12" s="3" t="s">
        <v>62</v>
      </c>
      <c r="C12" s="3">
        <v>11</v>
      </c>
      <c r="D12" s="3">
        <v>303</v>
      </c>
      <c r="E12" s="24" t="s">
        <v>63</v>
      </c>
    </row>
    <row r="13" spans="1:10">
      <c r="A13" s="1" t="s">
        <v>64</v>
      </c>
      <c r="B13" s="3" t="s">
        <v>65</v>
      </c>
      <c r="C13" s="3">
        <v>12</v>
      </c>
      <c r="D13" s="3">
        <v>304</v>
      </c>
      <c r="E13" t="s">
        <v>66</v>
      </c>
    </row>
    <row r="14" spans="1:10">
      <c r="A14" s="1" t="s">
        <v>67</v>
      </c>
      <c r="B14" s="3" t="s">
        <v>68</v>
      </c>
      <c r="C14" s="3">
        <v>13</v>
      </c>
      <c r="D14" s="3">
        <v>401</v>
      </c>
      <c r="E14" s="3" t="s">
        <v>69</v>
      </c>
    </row>
    <row r="15" spans="1:10">
      <c r="A15" s="1" t="s">
        <v>70</v>
      </c>
      <c r="B15" s="3" t="s">
        <v>71</v>
      </c>
      <c r="C15" s="3">
        <v>14</v>
      </c>
      <c r="D15" s="3">
        <v>402</v>
      </c>
      <c r="E15" s="3" t="s">
        <v>28</v>
      </c>
    </row>
    <row r="16" spans="1:10">
      <c r="A16" s="1" t="s">
        <v>72</v>
      </c>
      <c r="C16" s="3">
        <v>15</v>
      </c>
      <c r="D16" s="3">
        <v>403</v>
      </c>
      <c r="E16" s="3" t="s">
        <v>73</v>
      </c>
    </row>
    <row r="17" spans="1:7">
      <c r="A17" s="1" t="s">
        <v>74</v>
      </c>
      <c r="C17" s="3"/>
      <c r="D17" s="3">
        <v>404</v>
      </c>
      <c r="E17" s="3" t="s">
        <v>75</v>
      </c>
    </row>
    <row r="18" spans="1:7">
      <c r="A18" s="1" t="s">
        <v>76</v>
      </c>
      <c r="C18" s="3"/>
      <c r="D18" s="3">
        <v>501</v>
      </c>
      <c r="E18" s="3" t="s">
        <v>77</v>
      </c>
    </row>
    <row r="19" spans="1:7">
      <c r="A19" s="1" t="s">
        <v>78</v>
      </c>
      <c r="D19" s="3">
        <v>502</v>
      </c>
      <c r="E19" s="3" t="s">
        <v>79</v>
      </c>
    </row>
    <row r="20" spans="1:7">
      <c r="A20" s="1" t="s">
        <v>80</v>
      </c>
      <c r="D20" s="3">
        <v>503</v>
      </c>
      <c r="E20" s="3" t="s">
        <v>81</v>
      </c>
    </row>
    <row r="21" spans="1:7">
      <c r="A21" s="1" t="s">
        <v>82</v>
      </c>
      <c r="D21" s="3">
        <v>504</v>
      </c>
      <c r="E21" s="3" t="s">
        <v>16</v>
      </c>
    </row>
    <row r="22" spans="1:7">
      <c r="A22" s="1" t="s">
        <v>83</v>
      </c>
      <c r="E22" s="3" t="s">
        <v>84</v>
      </c>
      <c r="G22" s="3"/>
    </row>
    <row r="23" spans="1:7">
      <c r="A23" s="1" t="s">
        <v>85</v>
      </c>
      <c r="E23" s="3" t="s">
        <v>86</v>
      </c>
    </row>
    <row r="24" spans="1:7">
      <c r="A24" s="1" t="s">
        <v>87</v>
      </c>
    </row>
    <row r="25" spans="1:7">
      <c r="A25" s="1" t="s">
        <v>88</v>
      </c>
      <c r="G25" s="5"/>
    </row>
    <row r="26" spans="1:7">
      <c r="A26" s="1" t="s">
        <v>89</v>
      </c>
      <c r="G26" s="3"/>
    </row>
    <row r="27" spans="1:7">
      <c r="A27" s="1" t="s">
        <v>90</v>
      </c>
      <c r="G27" s="3"/>
    </row>
    <row r="28" spans="1:7">
      <c r="A28" s="1" t="s">
        <v>91</v>
      </c>
      <c r="G28" s="3"/>
    </row>
    <row r="29" spans="1:7">
      <c r="A29" s="1" t="s">
        <v>92</v>
      </c>
      <c r="G29" s="3"/>
    </row>
    <row r="30" spans="1:7">
      <c r="A30" s="1" t="s">
        <v>93</v>
      </c>
      <c r="G30" s="3"/>
    </row>
    <row r="31" spans="1:7">
      <c r="A31" s="1" t="s">
        <v>94</v>
      </c>
    </row>
    <row r="32" spans="1:7">
      <c r="A32" s="1" t="s">
        <v>95</v>
      </c>
    </row>
    <row r="33" spans="1:1">
      <c r="A33" s="1" t="s">
        <v>96</v>
      </c>
    </row>
    <row r="34" spans="1:1">
      <c r="A34" s="1" t="s">
        <v>97</v>
      </c>
    </row>
    <row r="35" spans="1:1">
      <c r="A35" s="1" t="s">
        <v>98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2" ht="24.95" customHeight="1">
      <c r="A1" s="52" t="s">
        <v>99</v>
      </c>
      <c r="B1" s="52" t="s">
        <v>100</v>
      </c>
    </row>
    <row r="2" spans="1:2" ht="24.95" customHeight="1">
      <c r="A2" s="53" t="s">
        <v>11</v>
      </c>
      <c r="B2" s="53" t="e">
        <f>COUNTIF(#REF!,'QUANT COND'!A2)</f>
        <v>#REF!</v>
      </c>
    </row>
    <row r="3" spans="1:2" ht="24.95" customHeight="1">
      <c r="A3" s="53" t="s">
        <v>18</v>
      </c>
      <c r="B3" s="53" t="e">
        <f>COUNTIF(#REF!,'QUANT COND'!A3)</f>
        <v>#REF!</v>
      </c>
    </row>
    <row r="4" spans="1:2" ht="24.95" customHeight="1">
      <c r="A4" s="53" t="s">
        <v>26</v>
      </c>
      <c r="B4" s="53" t="e">
        <f>COUNTIF(#REF!,'QUANT COND'!A4)</f>
        <v>#REF!</v>
      </c>
    </row>
    <row r="5" spans="1:2" ht="24.95" customHeight="1">
      <c r="A5" s="53" t="s">
        <v>33</v>
      </c>
      <c r="B5" s="53" t="e">
        <f>COUNTIF(#REF!,'QUANT COND'!A5)</f>
        <v>#REF!</v>
      </c>
    </row>
    <row r="6" spans="1:2" ht="24.95" customHeight="1">
      <c r="A6" s="53" t="s">
        <v>38</v>
      </c>
      <c r="B6" s="53" t="e">
        <f>COUNTIF(#REF!,'QUANT COND'!A6)</f>
        <v>#REF!</v>
      </c>
    </row>
    <row r="7" spans="1:2" ht="24.95" customHeight="1">
      <c r="A7" s="53" t="s">
        <v>44</v>
      </c>
      <c r="B7" s="53" t="e">
        <f>COUNTIF(#REF!,'QUANT COND'!A7)</f>
        <v>#REF!</v>
      </c>
    </row>
    <row r="8" spans="1:2" ht="24.95" customHeight="1">
      <c r="A8" s="53" t="s">
        <v>49</v>
      </c>
      <c r="B8" s="53" t="e">
        <f>COUNTIF(#REF!,'QUANT COND'!A8)</f>
        <v>#REF!</v>
      </c>
    </row>
    <row r="9" spans="1:2" ht="24.95" customHeight="1">
      <c r="A9" s="53" t="s">
        <v>53</v>
      </c>
      <c r="B9" s="53" t="e">
        <f>COUNTIF(#REF!,'QUANT COND'!A9)</f>
        <v>#REF!</v>
      </c>
    </row>
    <row r="10" spans="1:2" ht="24.95" customHeight="1">
      <c r="A10" s="53" t="s">
        <v>56</v>
      </c>
      <c r="B10" s="53" t="e">
        <f>COUNTIF(#REF!,'QUANT COND'!A10)</f>
        <v>#REF!</v>
      </c>
    </row>
    <row r="11" spans="1:2" ht="24.95" customHeight="1">
      <c r="A11" s="53" t="s">
        <v>59</v>
      </c>
      <c r="B11" s="53" t="e">
        <f>COUNTIF(#REF!,'QUANT COND'!A11)</f>
        <v>#REF!</v>
      </c>
    </row>
    <row r="12" spans="1:2" ht="24.95" customHeight="1">
      <c r="A12" s="53" t="s">
        <v>62</v>
      </c>
      <c r="B12" s="53" t="e">
        <f>COUNTIF(#REF!,'QUANT COND'!A12)</f>
        <v>#REF!</v>
      </c>
    </row>
    <row r="13" spans="1:2" ht="24.95" customHeight="1">
      <c r="A13" s="53" t="s">
        <v>65</v>
      </c>
      <c r="B13" s="53" t="e">
        <f>COUNTIF(#REF!,'QUANT COND'!A13)</f>
        <v>#REF!</v>
      </c>
    </row>
    <row r="14" spans="1:2" ht="24.95" customHeight="1">
      <c r="A14" s="53" t="s">
        <v>68</v>
      </c>
      <c r="B14" s="53" t="e">
        <f>COUNTIF(#REF!,'QUANT COND'!A14)</f>
        <v>#REF!</v>
      </c>
    </row>
    <row r="15" spans="1:2" ht="24.95" customHeight="1">
      <c r="A15" s="53" t="s">
        <v>71</v>
      </c>
      <c r="B15" s="53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059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219" t="s">
        <v>101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1"/>
    </row>
    <row r="2" spans="1:27" ht="50.25" customHeight="1">
      <c r="A2" s="7" t="s">
        <v>102</v>
      </c>
      <c r="B2" s="7" t="s">
        <v>103</v>
      </c>
      <c r="C2" s="7" t="s">
        <v>104</v>
      </c>
      <c r="D2" s="12" t="s">
        <v>103</v>
      </c>
      <c r="E2" s="54" t="s">
        <v>105</v>
      </c>
      <c r="F2" s="54" t="s">
        <v>106</v>
      </c>
      <c r="G2" s="55" t="s">
        <v>107</v>
      </c>
      <c r="H2" s="55" t="s">
        <v>108</v>
      </c>
      <c r="I2" s="39" t="s">
        <v>109</v>
      </c>
      <c r="J2" s="40" t="s">
        <v>106</v>
      </c>
      <c r="K2" s="39" t="s">
        <v>108</v>
      </c>
      <c r="L2" s="51" t="s">
        <v>110</v>
      </c>
      <c r="M2" s="51" t="s">
        <v>111</v>
      </c>
      <c r="O2" s="56" t="s">
        <v>112</v>
      </c>
      <c r="P2" s="57" t="s">
        <v>100</v>
      </c>
      <c r="Q2" s="57" t="s">
        <v>113</v>
      </c>
      <c r="R2" s="57" t="s">
        <v>114</v>
      </c>
      <c r="S2" s="57" t="s">
        <v>115</v>
      </c>
      <c r="T2" s="41" t="s">
        <v>116</v>
      </c>
      <c r="Y2" s="43" t="s">
        <v>117</v>
      </c>
      <c r="Z2" s="43" t="s">
        <v>118</v>
      </c>
      <c r="AA2" s="42" t="s">
        <v>119</v>
      </c>
    </row>
    <row r="3" spans="1:27">
      <c r="A3" s="13" t="s">
        <v>120</v>
      </c>
      <c r="B3" s="58">
        <v>27140979871</v>
      </c>
      <c r="C3" s="59"/>
      <c r="D3" s="60"/>
      <c r="E3" s="9">
        <v>1128</v>
      </c>
      <c r="F3" s="25">
        <v>42972</v>
      </c>
      <c r="G3" s="61" t="s">
        <v>13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121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122</v>
      </c>
      <c r="B4" s="58">
        <v>39200633846</v>
      </c>
      <c r="C4" s="59"/>
      <c r="D4" s="60"/>
      <c r="E4" s="9"/>
      <c r="F4" s="25"/>
      <c r="G4" s="61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123</v>
      </c>
      <c r="Y4" s="24">
        <v>1517</v>
      </c>
      <c r="Z4" s="24">
        <v>1427</v>
      </c>
      <c r="AA4" s="24">
        <v>1559</v>
      </c>
    </row>
    <row r="5" spans="1:27">
      <c r="A5" s="62" t="s">
        <v>124</v>
      </c>
      <c r="B5" s="58">
        <v>75489104872</v>
      </c>
      <c r="C5" s="63"/>
      <c r="D5" s="60"/>
      <c r="E5" s="9">
        <v>1752</v>
      </c>
      <c r="F5" s="25">
        <v>43051</v>
      </c>
      <c r="G5" s="61" t="s">
        <v>13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125</v>
      </c>
      <c r="Y5" s="24">
        <v>73</v>
      </c>
      <c r="Z5" s="24">
        <v>79</v>
      </c>
      <c r="AA5" s="24">
        <v>28</v>
      </c>
    </row>
    <row r="6" spans="1:27">
      <c r="A6" s="62" t="s">
        <v>126</v>
      </c>
      <c r="B6" s="58">
        <v>43286003620</v>
      </c>
      <c r="C6" s="63"/>
      <c r="D6" s="60"/>
      <c r="E6" s="9"/>
      <c r="F6" s="25"/>
      <c r="G6" s="61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127</v>
      </c>
      <c r="Y6" s="24">
        <v>36</v>
      </c>
      <c r="Z6" s="24">
        <v>32</v>
      </c>
      <c r="AA6" s="24">
        <v>11</v>
      </c>
    </row>
    <row r="7" spans="1:27">
      <c r="A7" s="27" t="s">
        <v>128</v>
      </c>
      <c r="B7" s="58"/>
      <c r="C7" s="18" t="s">
        <v>129</v>
      </c>
      <c r="D7" s="60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130</v>
      </c>
      <c r="Y7" s="24">
        <v>224</v>
      </c>
      <c r="Z7" s="24">
        <v>275</v>
      </c>
      <c r="AA7" s="24">
        <v>17</v>
      </c>
    </row>
    <row r="8" spans="1:27">
      <c r="A8" s="62" t="s">
        <v>131</v>
      </c>
      <c r="B8" s="58">
        <v>97443271620</v>
      </c>
      <c r="C8" s="63"/>
      <c r="D8" s="60"/>
      <c r="E8" s="9">
        <v>1106</v>
      </c>
      <c r="F8" s="25">
        <v>42965</v>
      </c>
      <c r="G8" s="61" t="s">
        <v>13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62" t="s">
        <v>132</v>
      </c>
      <c r="B9" s="58">
        <v>98058690597</v>
      </c>
      <c r="C9" s="63"/>
      <c r="D9" s="60"/>
      <c r="E9" s="9">
        <v>423</v>
      </c>
      <c r="F9" s="25">
        <v>43182</v>
      </c>
      <c r="G9" s="61" t="s">
        <v>13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62" t="s">
        <v>133</v>
      </c>
      <c r="B10" s="58">
        <v>38088438888</v>
      </c>
      <c r="C10" s="63"/>
      <c r="D10" s="60"/>
      <c r="E10" s="9"/>
      <c r="F10" s="25"/>
      <c r="G10" s="61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62" t="s">
        <v>134</v>
      </c>
      <c r="B11" s="58">
        <v>26939799869</v>
      </c>
      <c r="C11" s="63"/>
      <c r="D11" s="60"/>
      <c r="E11" s="9">
        <v>573</v>
      </c>
      <c r="F11" s="25">
        <v>43224</v>
      </c>
      <c r="G11" s="61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62" t="s">
        <v>135</v>
      </c>
      <c r="B12" s="58">
        <v>34470559873</v>
      </c>
      <c r="C12" s="63"/>
      <c r="D12" s="60"/>
      <c r="E12" s="9">
        <v>292</v>
      </c>
      <c r="F12" s="25">
        <v>43168</v>
      </c>
      <c r="G12" s="61" t="s">
        <v>13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62" t="s">
        <v>136</v>
      </c>
      <c r="B13" s="58">
        <v>14369564808</v>
      </c>
      <c r="C13" s="63"/>
      <c r="D13" s="60"/>
      <c r="E13" s="9"/>
      <c r="F13" s="25"/>
      <c r="G13" s="61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62" t="s">
        <v>137</v>
      </c>
      <c r="B14" s="58">
        <v>39544185844</v>
      </c>
      <c r="C14" s="63"/>
      <c r="D14" s="60"/>
      <c r="E14" s="9">
        <v>810</v>
      </c>
      <c r="F14" s="25">
        <v>42915</v>
      </c>
      <c r="G14" s="61" t="s">
        <v>13</v>
      </c>
      <c r="H14" s="25">
        <v>42921</v>
      </c>
      <c r="I14" s="8"/>
      <c r="J14" s="8"/>
      <c r="K14" s="8"/>
      <c r="L14" s="9" t="s">
        <v>138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139</v>
      </c>
      <c r="B15" s="58">
        <v>38772276860</v>
      </c>
      <c r="C15" s="18" t="s">
        <v>140</v>
      </c>
      <c r="D15" s="60">
        <v>3808243457</v>
      </c>
      <c r="E15" s="9"/>
      <c r="F15" s="25"/>
      <c r="G15" s="61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62" t="s">
        <v>141</v>
      </c>
      <c r="B16" s="58">
        <v>21538837846</v>
      </c>
      <c r="C16" s="63" t="s">
        <v>142</v>
      </c>
      <c r="D16" s="60">
        <v>94203180520</v>
      </c>
      <c r="E16" s="9">
        <v>810</v>
      </c>
      <c r="F16" s="25">
        <v>42915</v>
      </c>
      <c r="G16" s="61" t="s">
        <v>13</v>
      </c>
      <c r="H16" s="25">
        <v>42921</v>
      </c>
      <c r="I16" s="8"/>
      <c r="J16" s="8"/>
      <c r="K16" s="8"/>
      <c r="L16" s="9" t="s">
        <v>138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62" t="s">
        <v>143</v>
      </c>
      <c r="B17" s="58">
        <v>57455392591</v>
      </c>
      <c r="C17" s="63"/>
      <c r="D17" s="60"/>
      <c r="E17" s="9"/>
      <c r="F17" s="25"/>
      <c r="G17" s="61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62" t="s">
        <v>144</v>
      </c>
      <c r="B18" s="58">
        <v>5304941594</v>
      </c>
      <c r="C18" s="63"/>
      <c r="D18" s="60"/>
      <c r="E18" s="9">
        <v>1106</v>
      </c>
      <c r="F18" s="25">
        <v>42965</v>
      </c>
      <c r="G18" s="61" t="s">
        <v>13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62" t="s">
        <v>145</v>
      </c>
      <c r="B19" s="58">
        <v>21600057896</v>
      </c>
      <c r="C19" s="63"/>
      <c r="D19" s="60"/>
      <c r="E19" s="9">
        <v>262</v>
      </c>
      <c r="F19" s="25">
        <v>43160</v>
      </c>
      <c r="G19" s="61" t="s">
        <v>20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7" t="s">
        <v>146</v>
      </c>
      <c r="B20" s="58">
        <v>18419589802</v>
      </c>
      <c r="C20" s="18" t="s">
        <v>129</v>
      </c>
      <c r="D20" s="60"/>
      <c r="E20" s="9"/>
      <c r="F20" s="25"/>
      <c r="G20" s="61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147</v>
      </c>
      <c r="B21" s="58">
        <v>15538537846</v>
      </c>
      <c r="C21" s="63"/>
      <c r="D21" s="60"/>
      <c r="E21" s="9">
        <v>573</v>
      </c>
      <c r="F21" s="25">
        <v>43224</v>
      </c>
      <c r="G21" s="61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62" t="s">
        <v>148</v>
      </c>
      <c r="B22" s="58">
        <v>899837506</v>
      </c>
      <c r="C22" s="63"/>
      <c r="D22" s="60"/>
      <c r="E22" s="9">
        <v>1824</v>
      </c>
      <c r="F22" s="25">
        <v>43091</v>
      </c>
      <c r="G22" s="61" t="s">
        <v>13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62" t="s">
        <v>149</v>
      </c>
      <c r="B23" s="58">
        <v>36197160803</v>
      </c>
      <c r="C23" s="63"/>
      <c r="D23" s="60"/>
      <c r="E23" s="9">
        <v>229</v>
      </c>
      <c r="F23" s="25">
        <v>43151</v>
      </c>
      <c r="G23" s="61" t="s">
        <v>13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62" t="s">
        <v>150</v>
      </c>
      <c r="B24" s="58">
        <v>39248826814</v>
      </c>
      <c r="C24" s="63"/>
      <c r="D24" s="60"/>
      <c r="E24" s="9">
        <v>292</v>
      </c>
      <c r="F24" s="25">
        <v>43168</v>
      </c>
      <c r="G24" s="61" t="s">
        <v>13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151</v>
      </c>
      <c r="B25" s="58">
        <v>48925276534</v>
      </c>
      <c r="C25" s="63"/>
      <c r="D25" s="60"/>
      <c r="E25" s="9">
        <v>229</v>
      </c>
      <c r="F25" s="25">
        <v>43151</v>
      </c>
      <c r="G25" s="61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7" t="s">
        <v>152</v>
      </c>
      <c r="B26" s="58"/>
      <c r="C26" s="18" t="s">
        <v>129</v>
      </c>
      <c r="D26" s="60"/>
      <c r="E26" s="9"/>
      <c r="F26" s="25"/>
      <c r="G26" s="61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62" t="s">
        <v>153</v>
      </c>
      <c r="B27" s="58">
        <v>25894152810</v>
      </c>
      <c r="C27" s="63" t="s">
        <v>154</v>
      </c>
      <c r="D27" s="60">
        <v>8263008808</v>
      </c>
      <c r="E27" s="9">
        <v>292</v>
      </c>
      <c r="F27" s="25">
        <v>43168</v>
      </c>
      <c r="G27" s="61" t="s">
        <v>13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155</v>
      </c>
      <c r="B28" s="58">
        <v>43026389587</v>
      </c>
      <c r="C28" s="63" t="s">
        <v>156</v>
      </c>
      <c r="D28" s="60">
        <v>29124464813</v>
      </c>
      <c r="E28" s="9">
        <v>485</v>
      </c>
      <c r="F28" s="25">
        <v>43196</v>
      </c>
      <c r="G28" s="61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62" t="s">
        <v>157</v>
      </c>
      <c r="B29" s="58">
        <v>26245112885</v>
      </c>
      <c r="C29" s="63"/>
      <c r="D29" s="60"/>
      <c r="E29" s="9">
        <v>262</v>
      </c>
      <c r="F29" s="25">
        <v>43160</v>
      </c>
      <c r="G29" s="61" t="s">
        <v>20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62" t="s">
        <v>158</v>
      </c>
      <c r="B30" s="58">
        <v>36531080809</v>
      </c>
      <c r="C30" s="63" t="s">
        <v>159</v>
      </c>
      <c r="D30" s="60">
        <v>22485483892</v>
      </c>
      <c r="E30" s="9">
        <v>1489</v>
      </c>
      <c r="F30" s="25">
        <v>43038</v>
      </c>
      <c r="G30" s="61" t="s">
        <v>13</v>
      </c>
      <c r="H30" s="9"/>
      <c r="I30" s="8"/>
      <c r="J30" s="8"/>
      <c r="K30" s="8"/>
      <c r="L30" s="9" t="s">
        <v>160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62" t="s">
        <v>161</v>
      </c>
      <c r="B31" s="58">
        <v>28147186819</v>
      </c>
      <c r="C31" s="63" t="s">
        <v>162</v>
      </c>
      <c r="D31" s="60">
        <v>24499714400</v>
      </c>
      <c r="E31" s="9"/>
      <c r="F31" s="25"/>
      <c r="G31" s="61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64" t="s">
        <v>163</v>
      </c>
      <c r="B32" s="58">
        <v>37559228860</v>
      </c>
      <c r="C32" s="63" t="s">
        <v>164</v>
      </c>
      <c r="D32" s="60">
        <v>28072024892</v>
      </c>
      <c r="E32" s="9">
        <v>1555</v>
      </c>
      <c r="F32" s="25">
        <v>43049</v>
      </c>
      <c r="G32" s="9" t="s">
        <v>13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62" t="s">
        <v>165</v>
      </c>
      <c r="B33" s="58">
        <v>23635229822</v>
      </c>
      <c r="C33" s="63" t="s">
        <v>166</v>
      </c>
      <c r="D33" s="60">
        <v>21668057875</v>
      </c>
      <c r="E33" s="9">
        <v>262</v>
      </c>
      <c r="F33" s="25">
        <v>43160</v>
      </c>
      <c r="G33" s="61" t="s">
        <v>13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7" t="s">
        <v>167</v>
      </c>
      <c r="B34" s="58"/>
      <c r="C34" s="27" t="s">
        <v>129</v>
      </c>
      <c r="D34" s="60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168</v>
      </c>
      <c r="B35" s="58">
        <v>40902634844</v>
      </c>
      <c r="C35" s="63" t="s">
        <v>169</v>
      </c>
      <c r="D35" s="60">
        <v>23795007895</v>
      </c>
      <c r="E35" s="9">
        <v>117</v>
      </c>
      <c r="F35" s="25">
        <v>43117</v>
      </c>
      <c r="G35" s="61" t="s">
        <v>13</v>
      </c>
      <c r="H35" s="25">
        <v>43151</v>
      </c>
      <c r="I35" s="8"/>
      <c r="J35" s="8"/>
      <c r="K35" s="8"/>
      <c r="L35" s="9" t="s">
        <v>170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62" t="s">
        <v>171</v>
      </c>
      <c r="B36" s="58">
        <v>39615629898</v>
      </c>
      <c r="C36" s="63" t="s">
        <v>172</v>
      </c>
      <c r="D36" s="60">
        <v>43328275894</v>
      </c>
      <c r="E36" s="9">
        <v>423</v>
      </c>
      <c r="F36" s="25">
        <v>43182</v>
      </c>
      <c r="G36" s="61" t="s">
        <v>13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62" t="s">
        <v>173</v>
      </c>
      <c r="B37" s="58"/>
      <c r="C37" s="63"/>
      <c r="D37" s="60"/>
      <c r="E37" s="9"/>
      <c r="F37" s="25"/>
      <c r="G37" s="61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7" t="s">
        <v>174</v>
      </c>
      <c r="B38" s="58"/>
      <c r="C38" s="27" t="s">
        <v>175</v>
      </c>
      <c r="D38" s="60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62" t="s">
        <v>176</v>
      </c>
      <c r="B39" s="58">
        <v>14268808809</v>
      </c>
      <c r="C39" s="63"/>
      <c r="D39" s="60"/>
      <c r="E39" s="9">
        <v>262</v>
      </c>
      <c r="F39" s="25">
        <v>43160</v>
      </c>
      <c r="G39" s="61" t="s">
        <v>13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62" t="s">
        <v>177</v>
      </c>
      <c r="B40" s="58">
        <v>29628693867</v>
      </c>
      <c r="C40" s="63"/>
      <c r="D40" s="60"/>
      <c r="E40" s="9">
        <v>292</v>
      </c>
      <c r="F40" s="25">
        <v>43168</v>
      </c>
      <c r="G40" s="9" t="s">
        <v>13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62" t="s">
        <v>178</v>
      </c>
      <c r="B41" s="58">
        <v>35762862844</v>
      </c>
      <c r="C41" s="63"/>
      <c r="D41" s="60"/>
      <c r="E41" s="9">
        <v>1106</v>
      </c>
      <c r="F41" s="25">
        <v>42965</v>
      </c>
      <c r="G41" s="61" t="s">
        <v>13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62" t="s">
        <v>179</v>
      </c>
      <c r="B42" s="58">
        <v>10201704412</v>
      </c>
      <c r="C42" s="63" t="s">
        <v>180</v>
      </c>
      <c r="D42" s="60">
        <v>33674895811</v>
      </c>
      <c r="E42" s="9">
        <v>262</v>
      </c>
      <c r="F42" s="25">
        <v>43160</v>
      </c>
      <c r="G42" s="61" t="s">
        <v>13</v>
      </c>
      <c r="H42" s="25">
        <v>43164</v>
      </c>
      <c r="I42" s="8"/>
      <c r="J42" s="8"/>
      <c r="K42" s="8"/>
      <c r="L42" s="9">
        <v>255</v>
      </c>
      <c r="M42" s="8"/>
      <c r="O42" s="57" t="s">
        <v>181</v>
      </c>
      <c r="P42" s="57">
        <f t="shared" ref="P42:U42" si="2">SUM(P3:P36)</f>
        <v>1922</v>
      </c>
      <c r="Q42" s="57">
        <f t="shared" si="2"/>
        <v>1514</v>
      </c>
      <c r="R42" s="57">
        <f t="shared" si="2"/>
        <v>83</v>
      </c>
      <c r="S42" s="57">
        <f t="shared" si="2"/>
        <v>36</v>
      </c>
      <c r="T42" s="57">
        <f t="shared" si="2"/>
        <v>289</v>
      </c>
      <c r="U42" s="65">
        <f t="shared" si="2"/>
        <v>1922</v>
      </c>
    </row>
    <row r="43" spans="1:21">
      <c r="A43" s="62" t="s">
        <v>182</v>
      </c>
      <c r="B43" s="58">
        <v>35271487873</v>
      </c>
      <c r="C43" s="59" t="s">
        <v>183</v>
      </c>
      <c r="D43" s="60">
        <v>557351502</v>
      </c>
      <c r="E43" s="9">
        <v>1128</v>
      </c>
      <c r="F43" s="25">
        <v>42972</v>
      </c>
      <c r="G43" s="61" t="s">
        <v>13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184</v>
      </c>
      <c r="B44" s="58">
        <v>22360217801</v>
      </c>
      <c r="C44" s="59"/>
      <c r="D44" s="60"/>
      <c r="E44" s="9">
        <v>1128</v>
      </c>
      <c r="F44" s="25">
        <v>42972</v>
      </c>
      <c r="G44" s="61" t="s">
        <v>13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185</v>
      </c>
      <c r="B45" s="58">
        <v>36930783862</v>
      </c>
      <c r="C45" s="63"/>
      <c r="D45" s="60"/>
      <c r="E45" s="9">
        <v>443</v>
      </c>
      <c r="F45" s="25">
        <v>43188</v>
      </c>
      <c r="G45" s="61"/>
      <c r="H45" s="25">
        <v>43192</v>
      </c>
      <c r="I45" s="8"/>
      <c r="J45" s="8"/>
      <c r="K45" s="8"/>
      <c r="L45" s="8"/>
      <c r="M45" s="8"/>
    </row>
    <row r="46" spans="1:21">
      <c r="A46" s="15" t="s">
        <v>186</v>
      </c>
      <c r="B46" s="58">
        <v>36647299866</v>
      </c>
      <c r="C46" s="63"/>
      <c r="D46" s="60"/>
      <c r="E46" s="9">
        <v>292</v>
      </c>
      <c r="F46" s="25">
        <v>43168</v>
      </c>
      <c r="G46" s="61" t="s">
        <v>13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187</v>
      </c>
      <c r="B47" s="58">
        <v>31801479895</v>
      </c>
      <c r="C47" s="63" t="s">
        <v>188</v>
      </c>
      <c r="D47" s="60">
        <v>23103908873</v>
      </c>
      <c r="E47" s="9"/>
      <c r="F47" s="25"/>
      <c r="G47" s="61"/>
      <c r="H47" s="9"/>
      <c r="I47" s="8"/>
      <c r="J47" s="8"/>
      <c r="K47" s="8"/>
      <c r="L47" s="8"/>
      <c r="M47" s="8"/>
    </row>
    <row r="48" spans="1:21">
      <c r="A48" s="14" t="s">
        <v>189</v>
      </c>
      <c r="B48" s="58">
        <v>28638653824</v>
      </c>
      <c r="C48" s="63" t="s">
        <v>190</v>
      </c>
      <c r="D48" s="60">
        <v>50160249520</v>
      </c>
      <c r="E48" s="9"/>
      <c r="F48" s="25"/>
      <c r="G48" s="61"/>
      <c r="H48" s="9"/>
      <c r="I48" s="8"/>
      <c r="J48" s="8"/>
      <c r="K48" s="8"/>
      <c r="L48" s="8"/>
      <c r="M48" s="8"/>
    </row>
    <row r="49" spans="1:21">
      <c r="A49" s="62" t="s">
        <v>191</v>
      </c>
      <c r="B49" s="58">
        <v>17766101807</v>
      </c>
      <c r="C49" s="63" t="s">
        <v>192</v>
      </c>
      <c r="D49" s="60">
        <v>31993041842</v>
      </c>
      <c r="E49" s="9">
        <v>1824</v>
      </c>
      <c r="F49" s="25">
        <v>43091</v>
      </c>
      <c r="G49" s="61" t="s">
        <v>13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63" t="s">
        <v>193</v>
      </c>
      <c r="B50" s="58">
        <v>17902799840</v>
      </c>
      <c r="C50" s="63" t="s">
        <v>194</v>
      </c>
      <c r="D50" s="60">
        <v>44230035896</v>
      </c>
      <c r="E50" s="9"/>
      <c r="F50" s="25"/>
      <c r="G50" s="61"/>
      <c r="H50" s="9"/>
      <c r="I50" s="8"/>
      <c r="J50" s="8"/>
      <c r="K50" s="8"/>
      <c r="L50" s="8"/>
      <c r="M50" s="8"/>
    </row>
    <row r="51" spans="1:21">
      <c r="A51" s="64" t="s">
        <v>195</v>
      </c>
      <c r="B51" s="58">
        <v>49122403892</v>
      </c>
      <c r="C51" s="66" t="s">
        <v>196</v>
      </c>
      <c r="D51" s="60">
        <v>1478139560</v>
      </c>
      <c r="E51" s="9">
        <v>608</v>
      </c>
      <c r="F51" s="25">
        <v>43012</v>
      </c>
      <c r="G51" s="61" t="s">
        <v>13</v>
      </c>
      <c r="H51" s="25">
        <v>43024</v>
      </c>
      <c r="I51" s="8"/>
      <c r="J51" s="8"/>
      <c r="K51" s="8"/>
      <c r="L51" s="8"/>
      <c r="M51" s="8"/>
      <c r="O51" s="218" t="s">
        <v>197</v>
      </c>
      <c r="P51" s="218"/>
      <c r="Q51" s="218"/>
      <c r="R51" s="218"/>
      <c r="S51" s="218"/>
      <c r="T51" s="218"/>
      <c r="U51" s="218"/>
    </row>
    <row r="52" spans="1:21">
      <c r="A52" s="13" t="s">
        <v>198</v>
      </c>
      <c r="B52" s="58">
        <v>37534302854</v>
      </c>
      <c r="C52" s="62" t="s">
        <v>199</v>
      </c>
      <c r="D52" s="58">
        <v>1689246502</v>
      </c>
      <c r="E52" s="9"/>
      <c r="F52" s="25"/>
      <c r="G52" s="61"/>
      <c r="H52" s="9"/>
      <c r="I52" s="8"/>
      <c r="J52" s="8"/>
      <c r="K52" s="8"/>
      <c r="L52" s="8"/>
      <c r="M52" s="8"/>
    </row>
    <row r="53" spans="1:21">
      <c r="A53" s="13" t="s">
        <v>200</v>
      </c>
      <c r="B53" s="58">
        <v>14699996841</v>
      </c>
      <c r="C53" s="59" t="s">
        <v>201</v>
      </c>
      <c r="D53" s="60">
        <v>15089706883</v>
      </c>
      <c r="E53" s="9">
        <v>1128</v>
      </c>
      <c r="F53" s="25">
        <v>42972</v>
      </c>
      <c r="G53" s="61" t="s">
        <v>13</v>
      </c>
      <c r="H53" s="25">
        <v>42979</v>
      </c>
      <c r="I53" s="8"/>
      <c r="J53" s="8"/>
      <c r="K53" s="8"/>
      <c r="L53" s="8"/>
      <c r="M53" s="8"/>
    </row>
    <row r="54" spans="1:21">
      <c r="A54" s="62" t="s">
        <v>202</v>
      </c>
      <c r="B54" s="58">
        <v>47077408809</v>
      </c>
      <c r="C54" s="59"/>
      <c r="D54" s="60"/>
      <c r="E54" s="9"/>
      <c r="F54" s="25"/>
      <c r="G54" s="61"/>
      <c r="H54" s="9"/>
      <c r="I54" s="8"/>
      <c r="J54" s="8"/>
      <c r="K54" s="8"/>
      <c r="L54" s="8"/>
      <c r="M54" s="8"/>
    </row>
    <row r="55" spans="1:21">
      <c r="A55" s="14" t="s">
        <v>203</v>
      </c>
      <c r="B55" s="58">
        <v>40396239838</v>
      </c>
      <c r="C55" s="63" t="s">
        <v>204</v>
      </c>
      <c r="D55" s="60">
        <v>39420747883</v>
      </c>
      <c r="E55" s="9">
        <v>262</v>
      </c>
      <c r="F55" s="25">
        <v>43160</v>
      </c>
      <c r="G55" s="61" t="s">
        <v>13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205</v>
      </c>
      <c r="B56" s="58">
        <v>41333062877</v>
      </c>
      <c r="C56" s="63"/>
      <c r="D56" s="60"/>
      <c r="E56" s="9">
        <v>292</v>
      </c>
      <c r="F56" s="25">
        <v>43168</v>
      </c>
      <c r="G56" s="61" t="s">
        <v>13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7" t="s">
        <v>206</v>
      </c>
      <c r="B57" s="58">
        <v>38781151802</v>
      </c>
      <c r="C57" s="18" t="s">
        <v>129</v>
      </c>
      <c r="D57" s="60"/>
      <c r="E57" s="9"/>
      <c r="F57" s="25"/>
      <c r="G57" s="61"/>
      <c r="H57" s="9"/>
      <c r="I57" s="8"/>
      <c r="J57" s="8"/>
      <c r="K57" s="8"/>
      <c r="L57" s="8"/>
      <c r="M57" s="8"/>
    </row>
    <row r="58" spans="1:21">
      <c r="A58" s="15" t="s">
        <v>207</v>
      </c>
      <c r="B58" s="58"/>
      <c r="C58" s="63"/>
      <c r="D58" s="60"/>
      <c r="E58" s="9"/>
      <c r="F58" s="25"/>
      <c r="G58" s="61"/>
      <c r="H58" s="9"/>
      <c r="I58" s="8"/>
      <c r="J58" s="8"/>
      <c r="K58" s="8"/>
      <c r="L58" s="8"/>
      <c r="M58" s="8"/>
    </row>
    <row r="59" spans="1:21">
      <c r="A59" s="64" t="s">
        <v>208</v>
      </c>
      <c r="B59" s="58">
        <v>2428277219</v>
      </c>
      <c r="C59" s="63" t="s">
        <v>209</v>
      </c>
      <c r="D59" s="60">
        <v>909805229</v>
      </c>
      <c r="E59" s="9">
        <v>810</v>
      </c>
      <c r="F59" s="25">
        <v>42915</v>
      </c>
      <c r="G59" s="61" t="s">
        <v>13</v>
      </c>
      <c r="H59" s="25">
        <v>42921</v>
      </c>
      <c r="I59" s="8"/>
      <c r="J59" s="8"/>
      <c r="K59" s="8"/>
      <c r="L59" s="9" t="s">
        <v>138</v>
      </c>
      <c r="M59" s="8"/>
    </row>
    <row r="60" spans="1:21">
      <c r="A60" s="62" t="s">
        <v>210</v>
      </c>
      <c r="B60" s="58">
        <v>16417464830</v>
      </c>
      <c r="C60" s="63"/>
      <c r="D60" s="60"/>
      <c r="E60" s="9"/>
      <c r="F60" s="25"/>
      <c r="G60" s="61"/>
      <c r="H60" s="9"/>
      <c r="I60" s="8"/>
      <c r="J60" s="8"/>
      <c r="K60" s="8"/>
      <c r="L60" s="8"/>
      <c r="M60" s="8"/>
    </row>
    <row r="61" spans="1:21">
      <c r="A61" s="62" t="s">
        <v>211</v>
      </c>
      <c r="B61" s="58">
        <v>7104481800</v>
      </c>
      <c r="C61" s="63"/>
      <c r="D61" s="60"/>
      <c r="E61" s="9">
        <v>262</v>
      </c>
      <c r="F61" s="25">
        <v>43160</v>
      </c>
      <c r="G61" s="61" t="s">
        <v>13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62" t="s">
        <v>212</v>
      </c>
      <c r="B62" s="58">
        <v>25023266800</v>
      </c>
      <c r="C62" s="63"/>
      <c r="D62" s="60"/>
      <c r="E62" s="9"/>
      <c r="F62" s="25"/>
      <c r="G62" s="61"/>
      <c r="H62" s="9"/>
      <c r="I62" s="8"/>
      <c r="J62" s="8"/>
      <c r="K62" s="8"/>
      <c r="L62" s="8"/>
      <c r="M62" s="8"/>
    </row>
    <row r="63" spans="1:21">
      <c r="A63" s="63" t="s">
        <v>213</v>
      </c>
      <c r="B63" s="58">
        <v>3722493889</v>
      </c>
      <c r="C63" s="63" t="s">
        <v>214</v>
      </c>
      <c r="D63" s="60">
        <v>32416642871</v>
      </c>
      <c r="E63" s="9"/>
      <c r="F63" s="25"/>
      <c r="G63" s="61"/>
      <c r="H63" s="9"/>
      <c r="I63" s="8"/>
      <c r="J63" s="8"/>
      <c r="K63" s="8"/>
      <c r="L63" s="8"/>
      <c r="M63" s="8"/>
    </row>
    <row r="64" spans="1:21">
      <c r="A64" s="62" t="s">
        <v>215</v>
      </c>
      <c r="B64" s="58">
        <v>14519340845</v>
      </c>
      <c r="C64" s="63" t="s">
        <v>216</v>
      </c>
      <c r="D64" s="60">
        <v>88489795568</v>
      </c>
      <c r="E64" s="9">
        <v>262</v>
      </c>
      <c r="F64" s="25">
        <v>43160</v>
      </c>
      <c r="G64" s="61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217</v>
      </c>
      <c r="B65" s="58">
        <v>19266484806</v>
      </c>
      <c r="C65" s="63"/>
      <c r="D65" s="60"/>
      <c r="E65" s="9"/>
      <c r="F65" s="25"/>
      <c r="G65" s="61"/>
      <c r="H65" s="9"/>
      <c r="I65" s="8"/>
      <c r="J65" s="8"/>
      <c r="K65" s="8"/>
      <c r="L65" s="8"/>
      <c r="M65" s="8"/>
    </row>
    <row r="66" spans="1:13">
      <c r="A66" s="63" t="s">
        <v>218</v>
      </c>
      <c r="B66" s="58">
        <v>15322188851</v>
      </c>
      <c r="C66" s="63"/>
      <c r="D66" s="60"/>
      <c r="E66" s="9"/>
      <c r="F66" s="25"/>
      <c r="G66" s="61"/>
      <c r="H66" s="9"/>
      <c r="I66" s="8"/>
      <c r="J66" s="8"/>
      <c r="K66" s="8"/>
      <c r="L66" s="8"/>
      <c r="M66" s="8"/>
    </row>
    <row r="67" spans="1:13">
      <c r="A67" s="15" t="s">
        <v>219</v>
      </c>
      <c r="B67" s="58">
        <v>36392955879</v>
      </c>
      <c r="C67" s="63" t="s">
        <v>220</v>
      </c>
      <c r="D67" s="60">
        <v>5242864346</v>
      </c>
      <c r="E67" s="9">
        <v>117</v>
      </c>
      <c r="F67" s="25">
        <v>43117</v>
      </c>
      <c r="G67" s="61" t="s">
        <v>13</v>
      </c>
      <c r="H67" s="25">
        <v>43151</v>
      </c>
      <c r="I67" s="8"/>
      <c r="J67" s="8"/>
      <c r="K67" s="8"/>
      <c r="L67" s="9" t="s">
        <v>170</v>
      </c>
      <c r="M67" s="8"/>
    </row>
    <row r="68" spans="1:13">
      <c r="A68" s="62" t="s">
        <v>221</v>
      </c>
      <c r="B68" s="58">
        <v>41482647800</v>
      </c>
      <c r="C68" s="63"/>
      <c r="D68" s="60"/>
      <c r="E68" s="9">
        <v>1262</v>
      </c>
      <c r="F68" s="25">
        <v>42997</v>
      </c>
      <c r="G68" s="61" t="s">
        <v>13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222</v>
      </c>
      <c r="B69" s="58">
        <v>47629183852</v>
      </c>
      <c r="C69" s="63"/>
      <c r="D69" s="60"/>
      <c r="E69" s="9"/>
      <c r="F69" s="25"/>
      <c r="G69" s="61"/>
      <c r="H69" s="9"/>
      <c r="I69" s="8"/>
      <c r="J69" s="8"/>
      <c r="K69" s="8"/>
      <c r="L69" s="8"/>
      <c r="M69" s="8"/>
    </row>
    <row r="70" spans="1:13">
      <c r="A70" s="18" t="s">
        <v>223</v>
      </c>
      <c r="B70" s="58">
        <v>9882942490</v>
      </c>
      <c r="C70" s="18" t="s">
        <v>224</v>
      </c>
      <c r="D70" s="60">
        <v>9704111460</v>
      </c>
      <c r="E70" s="9"/>
      <c r="F70" s="25"/>
      <c r="G70" s="61"/>
      <c r="H70" s="9"/>
      <c r="I70" s="8"/>
      <c r="J70" s="8"/>
      <c r="K70" s="8"/>
      <c r="L70" s="8"/>
      <c r="M70" s="8"/>
    </row>
    <row r="71" spans="1:13">
      <c r="A71" s="15" t="s">
        <v>225</v>
      </c>
      <c r="B71" s="58">
        <v>14777572870</v>
      </c>
      <c r="C71" s="63" t="s">
        <v>226</v>
      </c>
      <c r="D71" s="60">
        <v>12874739898</v>
      </c>
      <c r="E71" s="9">
        <v>1824</v>
      </c>
      <c r="F71" s="25">
        <v>43091</v>
      </c>
      <c r="G71" s="61" t="s">
        <v>13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62" t="s">
        <v>227</v>
      </c>
      <c r="B72" s="58">
        <v>31996709895</v>
      </c>
      <c r="C72" s="63"/>
      <c r="D72" s="60"/>
      <c r="E72" s="9"/>
      <c r="F72" s="25"/>
      <c r="G72" s="61"/>
      <c r="H72" s="9"/>
      <c r="I72" s="8"/>
      <c r="J72" s="8"/>
      <c r="K72" s="8"/>
      <c r="L72" s="8"/>
      <c r="M72" s="8"/>
    </row>
    <row r="73" spans="1:13">
      <c r="A73" s="13" t="s">
        <v>228</v>
      </c>
      <c r="B73" s="58">
        <v>26824046850</v>
      </c>
      <c r="C73" s="59"/>
      <c r="D73" s="60"/>
      <c r="E73" s="9">
        <v>1824</v>
      </c>
      <c r="F73" s="25">
        <v>43091</v>
      </c>
      <c r="G73" s="61" t="s">
        <v>13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229</v>
      </c>
      <c r="B74" s="58">
        <v>3523524342</v>
      </c>
      <c r="C74" s="63"/>
      <c r="D74" s="60"/>
      <c r="E74" s="9">
        <v>85</v>
      </c>
      <c r="F74" s="25">
        <v>43109</v>
      </c>
      <c r="G74" s="61" t="s">
        <v>13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230</v>
      </c>
      <c r="B75" s="58">
        <v>26940268855</v>
      </c>
      <c r="C75" s="18" t="s">
        <v>231</v>
      </c>
      <c r="D75" s="60"/>
      <c r="E75" s="9"/>
      <c r="F75" s="25"/>
      <c r="G75" s="61"/>
      <c r="H75" s="9"/>
      <c r="I75" s="8"/>
      <c r="J75" s="8"/>
      <c r="K75" s="8"/>
      <c r="L75" s="8"/>
      <c r="M75" s="8"/>
    </row>
    <row r="76" spans="1:13">
      <c r="A76" s="13" t="s">
        <v>232</v>
      </c>
      <c r="B76" s="58">
        <v>24828498885</v>
      </c>
      <c r="C76" s="63"/>
      <c r="D76" s="60"/>
      <c r="E76" s="9">
        <v>1489</v>
      </c>
      <c r="F76" s="25">
        <v>43038</v>
      </c>
      <c r="G76" s="61" t="s">
        <v>13</v>
      </c>
      <c r="H76" s="9"/>
      <c r="I76" s="8"/>
      <c r="J76" s="8"/>
      <c r="K76" s="8"/>
      <c r="L76" s="9" t="s">
        <v>160</v>
      </c>
      <c r="M76" s="8"/>
    </row>
    <row r="77" spans="1:13">
      <c r="A77" s="15" t="s">
        <v>233</v>
      </c>
      <c r="B77" s="58">
        <v>11482307855</v>
      </c>
      <c r="C77" s="63"/>
      <c r="D77" s="60"/>
      <c r="E77" s="9">
        <v>85</v>
      </c>
      <c r="F77" s="25">
        <v>43109</v>
      </c>
      <c r="G77" s="61" t="s">
        <v>13</v>
      </c>
      <c r="H77" s="25">
        <v>43151</v>
      </c>
      <c r="I77" s="8"/>
      <c r="J77" s="8"/>
      <c r="K77" s="8"/>
      <c r="L77" s="8"/>
      <c r="M77" s="8"/>
    </row>
    <row r="78" spans="1:13">
      <c r="A78" s="62" t="s">
        <v>234</v>
      </c>
      <c r="B78" s="58">
        <v>42352732808</v>
      </c>
      <c r="C78" s="63" t="s">
        <v>235</v>
      </c>
      <c r="D78" s="60">
        <v>281893373</v>
      </c>
      <c r="E78" s="9">
        <v>1214</v>
      </c>
      <c r="F78" s="25">
        <v>42989</v>
      </c>
      <c r="G78" s="61" t="s">
        <v>13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236</v>
      </c>
      <c r="B79" s="58">
        <v>13480043801</v>
      </c>
      <c r="C79" s="18" t="s">
        <v>237</v>
      </c>
      <c r="D79" s="60">
        <v>67141536604</v>
      </c>
      <c r="E79" s="9"/>
      <c r="F79" s="25"/>
      <c r="G79" s="61"/>
      <c r="H79" s="9"/>
      <c r="I79" s="8"/>
      <c r="J79" s="8"/>
      <c r="K79" s="8"/>
      <c r="L79" s="8"/>
      <c r="M79" s="8"/>
    </row>
    <row r="80" spans="1:13">
      <c r="A80" s="62" t="s">
        <v>238</v>
      </c>
      <c r="B80" s="58">
        <v>31874522804</v>
      </c>
      <c r="C80" s="63"/>
      <c r="D80" s="60"/>
      <c r="E80" s="9">
        <v>292</v>
      </c>
      <c r="F80" s="25">
        <v>43168</v>
      </c>
      <c r="G80" s="61" t="s">
        <v>13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62" t="s">
        <v>239</v>
      </c>
      <c r="B81" s="58">
        <v>28889575824</v>
      </c>
      <c r="C81" s="63"/>
      <c r="D81" s="60"/>
      <c r="E81" s="9">
        <v>1241</v>
      </c>
      <c r="F81" s="25">
        <v>42992</v>
      </c>
      <c r="G81" s="61" t="s">
        <v>13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240</v>
      </c>
      <c r="B82" s="58">
        <v>21734589817</v>
      </c>
      <c r="C82" s="63"/>
      <c r="D82" s="60"/>
      <c r="E82" s="9">
        <v>229</v>
      </c>
      <c r="F82" s="25">
        <v>43151</v>
      </c>
      <c r="G82" s="61" t="s">
        <v>13</v>
      </c>
      <c r="H82" s="9"/>
      <c r="I82" s="8"/>
      <c r="J82" s="8"/>
      <c r="K82" s="8"/>
      <c r="L82" s="9">
        <v>232</v>
      </c>
      <c r="M82" s="8"/>
    </row>
    <row r="83" spans="1:13">
      <c r="A83" s="18" t="s">
        <v>241</v>
      </c>
      <c r="B83" s="58"/>
      <c r="C83" s="18"/>
      <c r="D83" s="60"/>
      <c r="E83" s="9"/>
      <c r="F83" s="25"/>
      <c r="G83" s="61"/>
      <c r="H83" s="9"/>
      <c r="I83" s="8"/>
      <c r="J83" s="8"/>
      <c r="K83" s="8"/>
      <c r="L83" s="8"/>
      <c r="M83" s="8"/>
    </row>
    <row r="84" spans="1:13">
      <c r="A84" s="19" t="s">
        <v>242</v>
      </c>
      <c r="B84" s="58">
        <v>18475875858</v>
      </c>
      <c r="C84" s="20"/>
      <c r="D84" s="58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62" t="s">
        <v>243</v>
      </c>
      <c r="B85" s="58">
        <v>40443882886</v>
      </c>
      <c r="C85" s="63"/>
      <c r="D85" s="60"/>
      <c r="E85" s="9">
        <v>509</v>
      </c>
      <c r="F85" s="25">
        <v>43203</v>
      </c>
      <c r="G85" s="67"/>
      <c r="H85" s="67">
        <v>43213</v>
      </c>
      <c r="I85" s="8"/>
      <c r="J85" s="8"/>
      <c r="K85" s="8"/>
      <c r="L85" s="8"/>
      <c r="M85" s="8"/>
    </row>
    <row r="86" spans="1:13">
      <c r="A86" s="13" t="s">
        <v>244</v>
      </c>
      <c r="B86" s="58">
        <v>43053250802</v>
      </c>
      <c r="C86" s="59" t="s">
        <v>245</v>
      </c>
      <c r="D86" s="60">
        <v>35893147880</v>
      </c>
      <c r="E86" s="9">
        <v>1128</v>
      </c>
      <c r="F86" s="25">
        <v>42972</v>
      </c>
      <c r="G86" s="61" t="s">
        <v>13</v>
      </c>
      <c r="H86" s="9"/>
      <c r="I86" s="8"/>
      <c r="J86" s="8"/>
      <c r="K86" s="8"/>
      <c r="L86" s="8"/>
      <c r="M86" s="8"/>
    </row>
    <row r="87" spans="1:13">
      <c r="A87" s="62" t="s">
        <v>246</v>
      </c>
      <c r="B87" s="58">
        <v>28255807837</v>
      </c>
      <c r="C87" s="63"/>
      <c r="D87" s="60"/>
      <c r="E87" s="9">
        <v>292</v>
      </c>
      <c r="F87" s="25">
        <v>43168</v>
      </c>
      <c r="G87" s="61" t="s">
        <v>13</v>
      </c>
      <c r="H87" s="9"/>
      <c r="I87" s="8"/>
      <c r="J87" s="8"/>
      <c r="K87" s="8"/>
      <c r="L87" s="9">
        <v>318</v>
      </c>
      <c r="M87" s="8"/>
    </row>
    <row r="88" spans="1:13">
      <c r="A88" s="64" t="s">
        <v>247</v>
      </c>
      <c r="B88" s="58">
        <v>33617584837</v>
      </c>
      <c r="C88" s="63" t="s">
        <v>248</v>
      </c>
      <c r="D88" s="60">
        <v>26520094862</v>
      </c>
      <c r="E88" s="9">
        <v>608</v>
      </c>
      <c r="F88" s="25">
        <v>43012</v>
      </c>
      <c r="G88" s="61" t="s">
        <v>13</v>
      </c>
      <c r="H88" s="9"/>
      <c r="I88" s="8"/>
      <c r="J88" s="8"/>
      <c r="K88" s="8"/>
      <c r="L88" s="8"/>
      <c r="M88" s="8"/>
    </row>
    <row r="89" spans="1:13">
      <c r="A89" s="14" t="s">
        <v>249</v>
      </c>
      <c r="B89" s="58">
        <v>38168161858</v>
      </c>
      <c r="C89" s="63" t="s">
        <v>250</v>
      </c>
      <c r="D89" s="60">
        <v>24059422835</v>
      </c>
      <c r="E89" s="9"/>
      <c r="F89" s="25"/>
      <c r="G89" s="61"/>
      <c r="H89" s="9"/>
      <c r="I89" s="8"/>
      <c r="J89" s="8"/>
      <c r="K89" s="8"/>
      <c r="L89" s="8"/>
      <c r="M89" s="8"/>
    </row>
    <row r="90" spans="1:13">
      <c r="A90" s="62" t="s">
        <v>251</v>
      </c>
      <c r="B90" s="58">
        <v>38728353862</v>
      </c>
      <c r="C90" s="63" t="s">
        <v>252</v>
      </c>
      <c r="D90" s="60">
        <v>37650358828</v>
      </c>
      <c r="E90" s="9">
        <v>1417</v>
      </c>
      <c r="F90" s="25">
        <v>43017</v>
      </c>
      <c r="G90" s="61" t="s">
        <v>13</v>
      </c>
      <c r="H90" s="9"/>
      <c r="I90" s="8"/>
      <c r="J90" s="8"/>
      <c r="K90" s="8"/>
      <c r="L90" s="9" t="s">
        <v>253</v>
      </c>
      <c r="M90" s="8"/>
    </row>
    <row r="91" spans="1:13">
      <c r="A91" s="15" t="s">
        <v>254</v>
      </c>
      <c r="B91" s="58">
        <v>29479419858</v>
      </c>
      <c r="C91" s="63" t="s">
        <v>255</v>
      </c>
      <c r="D91" s="60">
        <v>71909656534</v>
      </c>
      <c r="E91" s="9"/>
      <c r="F91" s="25"/>
      <c r="G91" s="61"/>
      <c r="H91" s="9"/>
      <c r="I91" s="8"/>
      <c r="J91" s="8"/>
      <c r="K91" s="8"/>
      <c r="L91" s="8"/>
      <c r="M91" s="8"/>
    </row>
    <row r="92" spans="1:13">
      <c r="A92" s="62" t="s">
        <v>256</v>
      </c>
      <c r="B92" s="58">
        <v>37634689866</v>
      </c>
      <c r="C92" s="63"/>
      <c r="D92" s="60"/>
      <c r="E92" s="9">
        <v>443</v>
      </c>
      <c r="F92" s="25">
        <v>43188</v>
      </c>
      <c r="G92" s="61"/>
      <c r="H92" s="9"/>
      <c r="I92" s="8"/>
      <c r="J92" s="8"/>
      <c r="K92" s="8"/>
      <c r="L92" s="8"/>
      <c r="M92" s="8"/>
    </row>
    <row r="93" spans="1:13">
      <c r="A93" s="62" t="s">
        <v>257</v>
      </c>
      <c r="B93" s="58">
        <v>22656606802</v>
      </c>
      <c r="C93" s="63"/>
      <c r="D93" s="60"/>
      <c r="E93" s="9">
        <v>1555</v>
      </c>
      <c r="F93" s="25">
        <v>43049</v>
      </c>
      <c r="G93" s="61" t="s">
        <v>13</v>
      </c>
      <c r="H93" s="9"/>
      <c r="I93" s="8"/>
      <c r="J93" s="8"/>
      <c r="K93" s="8"/>
      <c r="L93" s="8"/>
      <c r="M93" s="8"/>
    </row>
    <row r="94" spans="1:13">
      <c r="A94" s="15" t="s">
        <v>258</v>
      </c>
      <c r="B94" s="58">
        <v>4248144638</v>
      </c>
      <c r="C94" s="63"/>
      <c r="D94" s="60"/>
      <c r="E94" s="9">
        <v>229</v>
      </c>
      <c r="F94" s="25">
        <v>43151</v>
      </c>
      <c r="G94" s="61" t="s">
        <v>13</v>
      </c>
      <c r="H94" s="9"/>
      <c r="I94" s="8"/>
      <c r="J94" s="8"/>
      <c r="K94" s="8"/>
      <c r="L94" s="9">
        <v>232</v>
      </c>
      <c r="M94" s="8"/>
    </row>
    <row r="95" spans="1:13">
      <c r="A95" s="63" t="s">
        <v>259</v>
      </c>
      <c r="B95" s="58">
        <v>29998933889</v>
      </c>
      <c r="C95" s="63"/>
      <c r="D95" s="60"/>
      <c r="E95" s="9"/>
      <c r="F95" s="25"/>
      <c r="G95" s="61"/>
      <c r="H95" s="9"/>
      <c r="I95" s="8"/>
      <c r="J95" s="8"/>
      <c r="K95" s="8"/>
      <c r="L95" s="8"/>
      <c r="M95" s="8"/>
    </row>
    <row r="96" spans="1:13">
      <c r="A96" s="62" t="s">
        <v>260</v>
      </c>
      <c r="B96" s="58">
        <v>2963904533</v>
      </c>
      <c r="C96" s="63"/>
      <c r="D96" s="60"/>
      <c r="E96" s="9">
        <v>1489</v>
      </c>
      <c r="F96" s="25">
        <v>43038</v>
      </c>
      <c r="G96" s="61" t="s">
        <v>13</v>
      </c>
      <c r="H96" s="9"/>
      <c r="I96" s="8"/>
      <c r="J96" s="8"/>
      <c r="K96" s="8"/>
      <c r="L96" s="9" t="s">
        <v>160</v>
      </c>
      <c r="M96" s="8"/>
    </row>
    <row r="97" spans="1:13">
      <c r="A97" s="62" t="s">
        <v>261</v>
      </c>
      <c r="B97" s="58">
        <v>23256005802</v>
      </c>
      <c r="C97" s="63"/>
      <c r="D97" s="60"/>
      <c r="E97" s="9">
        <v>1350</v>
      </c>
      <c r="F97" s="25">
        <v>43006</v>
      </c>
      <c r="G97" s="61" t="s">
        <v>13</v>
      </c>
      <c r="H97" s="9"/>
      <c r="I97" s="8"/>
      <c r="J97" s="8"/>
      <c r="K97" s="8"/>
      <c r="L97" s="8"/>
      <c r="M97" s="8"/>
    </row>
    <row r="98" spans="1:13">
      <c r="A98" s="27" t="s">
        <v>262</v>
      </c>
      <c r="B98" s="58">
        <v>3317260505</v>
      </c>
      <c r="C98" s="27" t="s">
        <v>263</v>
      </c>
      <c r="D98" s="60">
        <v>92396607634</v>
      </c>
      <c r="E98" s="9"/>
      <c r="F98" s="25"/>
      <c r="G98" s="61"/>
      <c r="H98" s="9"/>
      <c r="I98" s="8"/>
      <c r="J98" s="8"/>
      <c r="K98" s="8"/>
      <c r="L98" s="8"/>
      <c r="M98" s="8"/>
    </row>
    <row r="99" spans="1:13">
      <c r="A99" s="62" t="s">
        <v>264</v>
      </c>
      <c r="B99" s="58">
        <v>36234875890</v>
      </c>
      <c r="C99" s="59"/>
      <c r="D99" s="60"/>
      <c r="E99" s="9">
        <v>1128</v>
      </c>
      <c r="F99" s="25">
        <v>42972</v>
      </c>
      <c r="G99" s="61" t="s">
        <v>13</v>
      </c>
      <c r="H99" s="9"/>
      <c r="I99" s="8"/>
      <c r="J99" s="8"/>
      <c r="K99" s="8"/>
      <c r="L99" s="8"/>
      <c r="M99" s="8"/>
    </row>
    <row r="100" spans="1:13">
      <c r="A100" s="15" t="s">
        <v>265</v>
      </c>
      <c r="B100" s="58">
        <v>1243618469</v>
      </c>
      <c r="C100" s="63"/>
      <c r="D100" s="60"/>
      <c r="E100" s="9">
        <v>262</v>
      </c>
      <c r="F100" s="25">
        <v>43160</v>
      </c>
      <c r="G100" s="61" t="s">
        <v>13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266</v>
      </c>
      <c r="B101" s="58">
        <v>30978936876</v>
      </c>
      <c r="C101" s="63"/>
      <c r="D101" s="60"/>
      <c r="E101" s="9">
        <v>229</v>
      </c>
      <c r="F101" s="25">
        <v>43151</v>
      </c>
      <c r="G101" s="61" t="s">
        <v>13</v>
      </c>
      <c r="H101" s="9"/>
      <c r="I101" s="8"/>
      <c r="J101" s="8"/>
      <c r="K101" s="8"/>
      <c r="L101" s="9">
        <v>232</v>
      </c>
      <c r="M101" s="8"/>
    </row>
    <row r="102" spans="1:13">
      <c r="A102" s="62" t="s">
        <v>267</v>
      </c>
      <c r="B102" s="58">
        <v>37469982809</v>
      </c>
      <c r="C102" s="63"/>
      <c r="D102" s="60"/>
      <c r="E102" s="9">
        <v>262</v>
      </c>
      <c r="F102" s="25">
        <v>43160</v>
      </c>
      <c r="G102" s="61" t="s">
        <v>13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7" t="s">
        <v>268</v>
      </c>
      <c r="B103" s="58"/>
      <c r="C103" s="18" t="s">
        <v>129</v>
      </c>
      <c r="D103" s="60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62" t="s">
        <v>269</v>
      </c>
      <c r="B104" s="58">
        <v>31416949828</v>
      </c>
      <c r="C104" s="63"/>
      <c r="D104" s="60"/>
      <c r="E104" s="9">
        <v>1106</v>
      </c>
      <c r="F104" s="25">
        <v>42965</v>
      </c>
      <c r="G104" s="61" t="s">
        <v>13</v>
      </c>
      <c r="H104" s="9"/>
      <c r="I104" s="8"/>
      <c r="J104" s="8"/>
      <c r="K104" s="8"/>
      <c r="L104" s="8"/>
      <c r="M104" s="8"/>
    </row>
    <row r="105" spans="1:13">
      <c r="A105" s="62" t="s">
        <v>270</v>
      </c>
      <c r="B105" s="58">
        <v>34320505859</v>
      </c>
      <c r="C105" s="63"/>
      <c r="D105" s="60"/>
      <c r="E105" s="9">
        <v>85</v>
      </c>
      <c r="F105" s="25">
        <v>43109</v>
      </c>
      <c r="G105" s="61" t="s">
        <v>13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271</v>
      </c>
      <c r="B106" s="58">
        <v>40823037827</v>
      </c>
      <c r="C106" s="63" t="s">
        <v>272</v>
      </c>
      <c r="D106" s="60">
        <v>46346951890</v>
      </c>
      <c r="E106" s="9"/>
      <c r="F106" s="25"/>
      <c r="G106" s="61"/>
      <c r="H106" s="9"/>
      <c r="I106" s="8"/>
      <c r="J106" s="8"/>
      <c r="K106" s="8"/>
      <c r="L106" s="8"/>
      <c r="M106" s="8"/>
    </row>
    <row r="107" spans="1:13">
      <c r="A107" s="18" t="s">
        <v>273</v>
      </c>
      <c r="B107" s="58">
        <v>54215625491</v>
      </c>
      <c r="C107" s="18" t="s">
        <v>274</v>
      </c>
      <c r="D107" s="60">
        <v>86418122453</v>
      </c>
      <c r="E107" s="9"/>
      <c r="F107" s="25"/>
      <c r="G107" s="61"/>
      <c r="H107" s="9"/>
      <c r="I107" s="8"/>
      <c r="J107" s="8"/>
      <c r="K107" s="8"/>
      <c r="L107" s="8"/>
      <c r="M107" s="8"/>
    </row>
    <row r="108" spans="1:13">
      <c r="A108" s="27" t="s">
        <v>275</v>
      </c>
      <c r="B108" s="58">
        <v>8424740807</v>
      </c>
      <c r="C108" s="18" t="s">
        <v>129</v>
      </c>
      <c r="D108" s="60"/>
      <c r="E108" s="9"/>
      <c r="F108" s="25"/>
      <c r="G108" s="61"/>
      <c r="H108" s="9"/>
      <c r="I108" s="8"/>
      <c r="J108" s="8"/>
      <c r="K108" s="8"/>
      <c r="L108" s="8"/>
      <c r="M108" s="8"/>
    </row>
    <row r="109" spans="1:13">
      <c r="A109" s="62" t="s">
        <v>276</v>
      </c>
      <c r="B109" s="58">
        <v>78495857472</v>
      </c>
      <c r="C109" s="63" t="s">
        <v>277</v>
      </c>
      <c r="D109" s="60">
        <v>148572863</v>
      </c>
      <c r="E109" s="9">
        <v>1752</v>
      </c>
      <c r="F109" s="25">
        <v>43051</v>
      </c>
      <c r="G109" s="61" t="s">
        <v>13</v>
      </c>
      <c r="H109" s="9"/>
      <c r="I109" s="8"/>
      <c r="J109" s="8"/>
      <c r="K109" s="8"/>
      <c r="L109" s="9">
        <v>1759</v>
      </c>
      <c r="M109" s="8"/>
    </row>
    <row r="110" spans="1:13">
      <c r="A110" s="62" t="s">
        <v>278</v>
      </c>
      <c r="B110" s="58">
        <v>33210228850</v>
      </c>
      <c r="C110" s="63"/>
      <c r="D110" s="60"/>
      <c r="E110" s="9">
        <v>443</v>
      </c>
      <c r="F110" s="25">
        <v>43188</v>
      </c>
      <c r="G110" s="61"/>
      <c r="H110" s="9"/>
      <c r="I110" s="8"/>
      <c r="J110" s="8"/>
      <c r="K110" s="8"/>
      <c r="L110" s="8"/>
      <c r="M110" s="8"/>
    </row>
    <row r="111" spans="1:13">
      <c r="A111" s="62" t="s">
        <v>279</v>
      </c>
      <c r="B111" s="58">
        <v>40979216818</v>
      </c>
      <c r="C111" s="63"/>
      <c r="D111" s="60"/>
      <c r="E111" s="9">
        <v>1106</v>
      </c>
      <c r="F111" s="25">
        <v>42965</v>
      </c>
      <c r="G111" s="61" t="s">
        <v>13</v>
      </c>
      <c r="H111" s="9"/>
      <c r="I111" s="8"/>
      <c r="J111" s="8"/>
      <c r="K111" s="8"/>
      <c r="L111" s="8"/>
      <c r="M111" s="8"/>
    </row>
    <row r="112" spans="1:13">
      <c r="A112" s="62" t="s">
        <v>280</v>
      </c>
      <c r="B112" s="58">
        <v>42994820854</v>
      </c>
      <c r="C112" s="63"/>
      <c r="D112" s="60"/>
      <c r="E112" s="9"/>
      <c r="F112" s="25"/>
      <c r="G112" s="61"/>
      <c r="H112" s="9"/>
      <c r="I112" s="8"/>
      <c r="J112" s="8"/>
      <c r="K112" s="8"/>
      <c r="L112" s="8"/>
      <c r="M112" s="8"/>
    </row>
    <row r="113" spans="1:13">
      <c r="A113" s="14" t="s">
        <v>281</v>
      </c>
      <c r="B113" s="58">
        <v>44444325860</v>
      </c>
      <c r="C113" s="63" t="s">
        <v>282</v>
      </c>
      <c r="D113" s="60">
        <v>36636133805</v>
      </c>
      <c r="E113" s="9">
        <v>292</v>
      </c>
      <c r="F113" s="25">
        <v>43168</v>
      </c>
      <c r="G113" s="61" t="s">
        <v>13</v>
      </c>
      <c r="H113" s="9"/>
      <c r="I113" s="8"/>
      <c r="J113" s="8"/>
      <c r="K113" s="8"/>
      <c r="L113" s="9">
        <v>318</v>
      </c>
      <c r="M113" s="8"/>
    </row>
    <row r="114" spans="1:13">
      <c r="A114" s="62" t="s">
        <v>283</v>
      </c>
      <c r="B114" s="58">
        <v>39701017862</v>
      </c>
      <c r="C114" s="63" t="s">
        <v>284</v>
      </c>
      <c r="D114" s="60">
        <v>38933316892</v>
      </c>
      <c r="E114" s="9">
        <v>1350</v>
      </c>
      <c r="F114" s="25">
        <v>43006</v>
      </c>
      <c r="G114" s="61" t="s">
        <v>13</v>
      </c>
      <c r="H114" s="9"/>
      <c r="I114" s="8"/>
      <c r="J114" s="8"/>
      <c r="K114" s="8"/>
      <c r="L114" s="8"/>
      <c r="M114" s="8"/>
    </row>
    <row r="115" spans="1:13">
      <c r="A115" s="62" t="s">
        <v>285</v>
      </c>
      <c r="B115" s="58">
        <v>40003107809</v>
      </c>
      <c r="C115" s="63" t="s">
        <v>286</v>
      </c>
      <c r="D115" s="60">
        <v>37929345823</v>
      </c>
      <c r="E115" s="9">
        <v>262</v>
      </c>
      <c r="F115" s="25">
        <v>43160</v>
      </c>
      <c r="G115" s="61" t="s">
        <v>13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7" t="s">
        <v>287</v>
      </c>
      <c r="B116" s="58">
        <v>38786146831</v>
      </c>
      <c r="C116" s="27" t="s">
        <v>288</v>
      </c>
      <c r="D116" s="60">
        <v>34301254803</v>
      </c>
      <c r="E116" s="9"/>
      <c r="F116" s="25"/>
      <c r="G116" s="61"/>
      <c r="H116" s="9"/>
      <c r="I116" s="8"/>
      <c r="J116" s="8"/>
      <c r="K116" s="8"/>
      <c r="L116" s="8"/>
      <c r="M116" s="8"/>
    </row>
    <row r="117" spans="1:13">
      <c r="A117" s="62" t="s">
        <v>289</v>
      </c>
      <c r="B117" s="58">
        <v>35101090824</v>
      </c>
      <c r="C117" s="63"/>
      <c r="D117" s="60"/>
      <c r="E117" s="9">
        <v>1824</v>
      </c>
      <c r="F117" s="25">
        <v>43091</v>
      </c>
      <c r="G117" s="61" t="s">
        <v>28</v>
      </c>
      <c r="H117" s="9"/>
      <c r="I117" s="8"/>
      <c r="J117" s="8"/>
      <c r="K117" s="8"/>
      <c r="L117" s="9">
        <v>1828</v>
      </c>
      <c r="M117" s="8"/>
    </row>
    <row r="118" spans="1:13">
      <c r="A118" s="62" t="s">
        <v>290</v>
      </c>
      <c r="B118" s="58">
        <v>3486705598</v>
      </c>
      <c r="C118" s="63" t="s">
        <v>291</v>
      </c>
      <c r="D118" s="60">
        <v>3581817551</v>
      </c>
      <c r="E118" s="9">
        <v>1752</v>
      </c>
      <c r="F118" s="25">
        <v>43051</v>
      </c>
      <c r="G118" s="61" t="s">
        <v>13</v>
      </c>
      <c r="H118" s="9"/>
      <c r="I118" s="8"/>
      <c r="J118" s="8"/>
      <c r="K118" s="8"/>
      <c r="L118" s="9">
        <v>1759</v>
      </c>
      <c r="M118" s="8"/>
    </row>
    <row r="119" spans="1:13">
      <c r="A119" s="63" t="s">
        <v>292</v>
      </c>
      <c r="B119" s="58">
        <v>37051125893</v>
      </c>
      <c r="C119" s="63" t="s">
        <v>293</v>
      </c>
      <c r="D119" s="60">
        <v>4303791458</v>
      </c>
      <c r="E119" s="9">
        <v>292</v>
      </c>
      <c r="F119" s="25">
        <v>43168</v>
      </c>
      <c r="G119" s="9" t="s">
        <v>13</v>
      </c>
      <c r="H119" s="9"/>
      <c r="I119" s="8"/>
      <c r="J119" s="8"/>
      <c r="K119" s="8"/>
      <c r="L119" s="9">
        <v>318</v>
      </c>
      <c r="M119" s="8"/>
    </row>
    <row r="120" spans="1:13">
      <c r="A120" s="62" t="s">
        <v>294</v>
      </c>
      <c r="B120" s="58">
        <v>40099157810</v>
      </c>
      <c r="C120" s="63"/>
      <c r="D120" s="60"/>
      <c r="E120" s="9">
        <v>292</v>
      </c>
      <c r="F120" s="25">
        <v>43168</v>
      </c>
      <c r="G120" s="61"/>
      <c r="H120" s="9"/>
      <c r="I120" s="8"/>
      <c r="J120" s="8"/>
      <c r="K120" s="8"/>
      <c r="L120" s="9">
        <v>318</v>
      </c>
      <c r="M120" s="8"/>
    </row>
    <row r="121" spans="1:13">
      <c r="A121" s="63" t="s">
        <v>295</v>
      </c>
      <c r="B121" s="58">
        <v>6533732609</v>
      </c>
      <c r="C121" s="63"/>
      <c r="D121" s="60"/>
      <c r="E121" s="9"/>
      <c r="F121" s="25"/>
      <c r="G121" s="61"/>
      <c r="H121" s="9"/>
      <c r="I121" s="8"/>
      <c r="J121" s="8"/>
      <c r="K121" s="8"/>
      <c r="L121" s="8"/>
      <c r="M121" s="8"/>
    </row>
    <row r="122" spans="1:13">
      <c r="A122" s="62" t="s">
        <v>296</v>
      </c>
      <c r="B122" s="58">
        <v>91303141515</v>
      </c>
      <c r="C122" s="63"/>
      <c r="D122" s="60"/>
      <c r="E122" s="9">
        <v>262</v>
      </c>
      <c r="F122" s="25">
        <v>43160</v>
      </c>
      <c r="G122" s="61" t="s">
        <v>13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62" t="s">
        <v>297</v>
      </c>
      <c r="B123" s="58">
        <v>33879586845</v>
      </c>
      <c r="C123" s="68" t="s">
        <v>298</v>
      </c>
      <c r="D123" s="60">
        <v>2296117880</v>
      </c>
      <c r="E123" s="9">
        <v>563</v>
      </c>
      <c r="F123" s="25">
        <v>43217</v>
      </c>
      <c r="G123" s="61"/>
      <c r="H123" s="9"/>
      <c r="I123" s="8"/>
      <c r="J123" s="8"/>
      <c r="K123" s="8"/>
      <c r="L123" s="9" t="s">
        <v>299</v>
      </c>
      <c r="M123" s="8"/>
    </row>
    <row r="124" spans="1:13">
      <c r="A124" s="63" t="s">
        <v>300</v>
      </c>
      <c r="B124" s="58">
        <v>12809351899</v>
      </c>
      <c r="C124" s="63"/>
      <c r="D124" s="60"/>
      <c r="E124" s="9"/>
      <c r="F124" s="25"/>
      <c r="G124" s="61"/>
      <c r="H124" s="9"/>
      <c r="I124" s="8"/>
      <c r="J124" s="8"/>
      <c r="K124" s="8"/>
      <c r="L124" s="8"/>
      <c r="M124" s="8"/>
    </row>
    <row r="125" spans="1:13">
      <c r="A125" s="14" t="s">
        <v>301</v>
      </c>
      <c r="B125" s="58">
        <v>29271022874</v>
      </c>
      <c r="C125" s="63"/>
      <c r="D125" s="60"/>
      <c r="E125" s="9"/>
      <c r="F125" s="25"/>
      <c r="G125" s="61"/>
      <c r="H125" s="9"/>
      <c r="I125" s="8"/>
      <c r="J125" s="8"/>
      <c r="K125" s="8"/>
      <c r="L125" s="8"/>
      <c r="M125" s="8"/>
    </row>
    <row r="126" spans="1:13">
      <c r="A126" s="62" t="s">
        <v>302</v>
      </c>
      <c r="B126" s="58">
        <v>45851816368</v>
      </c>
      <c r="C126" s="63"/>
      <c r="D126" s="60"/>
      <c r="E126" s="9">
        <v>1214</v>
      </c>
      <c r="F126" s="25">
        <v>42989</v>
      </c>
      <c r="G126" s="61" t="s">
        <v>13</v>
      </c>
      <c r="H126" s="9"/>
      <c r="I126" s="8"/>
      <c r="J126" s="8"/>
      <c r="K126" s="8"/>
      <c r="L126" s="8"/>
      <c r="M126" s="8"/>
    </row>
    <row r="127" spans="1:13">
      <c r="A127" s="63" t="s">
        <v>303</v>
      </c>
      <c r="B127" s="58">
        <v>15401963807</v>
      </c>
      <c r="C127" s="63" t="s">
        <v>304</v>
      </c>
      <c r="D127" s="60">
        <v>31330836863</v>
      </c>
      <c r="E127" s="9"/>
      <c r="F127" s="25"/>
      <c r="G127" s="61"/>
      <c r="H127" s="9"/>
      <c r="I127" s="8"/>
      <c r="J127" s="8"/>
      <c r="K127" s="8"/>
      <c r="L127" s="8"/>
      <c r="M127" s="8"/>
    </row>
    <row r="128" spans="1:13">
      <c r="A128" s="62" t="s">
        <v>305</v>
      </c>
      <c r="B128" s="58">
        <v>2022016351</v>
      </c>
      <c r="C128" s="63" t="s">
        <v>306</v>
      </c>
      <c r="D128" s="60">
        <v>84914270315</v>
      </c>
      <c r="E128" s="9">
        <v>1106</v>
      </c>
      <c r="F128" s="25">
        <v>42965</v>
      </c>
      <c r="G128" s="61" t="s">
        <v>13</v>
      </c>
      <c r="H128" s="9"/>
      <c r="I128" s="8"/>
      <c r="J128" s="8"/>
      <c r="K128" s="8"/>
      <c r="L128" s="8"/>
      <c r="M128" s="8"/>
    </row>
    <row r="129" spans="1:13">
      <c r="A129" s="62" t="s">
        <v>307</v>
      </c>
      <c r="B129" s="58">
        <v>12711354857</v>
      </c>
      <c r="C129" s="63"/>
      <c r="D129" s="60"/>
      <c r="E129" s="9"/>
      <c r="F129" s="25"/>
      <c r="G129" s="61"/>
      <c r="H129" s="9"/>
      <c r="I129" s="8"/>
      <c r="J129" s="8"/>
      <c r="K129" s="8"/>
      <c r="L129" s="8"/>
      <c r="M129" s="8"/>
    </row>
    <row r="130" spans="1:13">
      <c r="A130" s="62" t="s">
        <v>308</v>
      </c>
      <c r="B130" s="69">
        <v>35389190890</v>
      </c>
      <c r="C130" s="68"/>
      <c r="D130" s="60"/>
      <c r="E130" s="9"/>
      <c r="F130" s="25"/>
      <c r="G130" s="61"/>
      <c r="H130" s="9"/>
      <c r="I130" s="8"/>
      <c r="J130" s="8"/>
      <c r="K130" s="8"/>
      <c r="L130" s="8"/>
      <c r="M130" s="8"/>
    </row>
    <row r="131" spans="1:13">
      <c r="A131" s="15" t="s">
        <v>309</v>
      </c>
      <c r="B131" s="58">
        <v>43827049873</v>
      </c>
      <c r="C131" s="63"/>
      <c r="D131" s="60"/>
      <c r="E131" s="9">
        <v>85</v>
      </c>
      <c r="F131" s="25">
        <v>43109</v>
      </c>
      <c r="G131" s="61" t="s">
        <v>13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310</v>
      </c>
      <c r="B132" s="58">
        <v>1860886558</v>
      </c>
      <c r="C132" s="63" t="s">
        <v>311</v>
      </c>
      <c r="D132" s="60">
        <v>35132798845</v>
      </c>
      <c r="E132" s="9">
        <v>229</v>
      </c>
      <c r="F132" s="25">
        <v>43151</v>
      </c>
      <c r="G132" s="61" t="s">
        <v>13</v>
      </c>
      <c r="H132" s="9"/>
      <c r="I132" s="8"/>
      <c r="J132" s="8"/>
      <c r="K132" s="8"/>
      <c r="L132" s="9">
        <v>232</v>
      </c>
      <c r="M132" s="8"/>
    </row>
    <row r="133" spans="1:13">
      <c r="A133" s="63" t="s">
        <v>312</v>
      </c>
      <c r="B133" s="58">
        <v>8891318809</v>
      </c>
      <c r="C133" s="63"/>
      <c r="D133" s="60"/>
      <c r="E133" s="9">
        <v>292</v>
      </c>
      <c r="F133" s="25">
        <v>43168</v>
      </c>
      <c r="G133" s="9" t="s">
        <v>13</v>
      </c>
      <c r="H133" s="9"/>
      <c r="I133" s="8"/>
      <c r="J133" s="8"/>
      <c r="K133" s="8"/>
      <c r="L133" s="9">
        <v>318</v>
      </c>
      <c r="M133" s="8"/>
    </row>
    <row r="134" spans="1:13">
      <c r="A134" s="62" t="s">
        <v>313</v>
      </c>
      <c r="B134" s="58">
        <v>5125083569</v>
      </c>
      <c r="C134" s="64"/>
      <c r="D134" s="60"/>
      <c r="E134" s="9">
        <v>573</v>
      </c>
      <c r="F134" s="25">
        <v>43224</v>
      </c>
      <c r="G134" s="61"/>
      <c r="H134" s="9"/>
      <c r="I134" s="8"/>
      <c r="J134" s="8"/>
      <c r="K134" s="8"/>
      <c r="L134" s="8"/>
      <c r="M134" s="8"/>
    </row>
    <row r="135" spans="1:13">
      <c r="A135" s="62" t="s">
        <v>314</v>
      </c>
      <c r="B135" s="58">
        <v>3082802885</v>
      </c>
      <c r="C135" s="63"/>
      <c r="D135" s="60"/>
      <c r="E135" s="9"/>
      <c r="F135" s="25"/>
      <c r="G135" s="61"/>
      <c r="H135" s="9"/>
      <c r="I135" s="8"/>
      <c r="J135" s="8"/>
      <c r="K135" s="8"/>
      <c r="L135" s="8"/>
      <c r="M135" s="8"/>
    </row>
    <row r="136" spans="1:13">
      <c r="A136" s="62" t="s">
        <v>315</v>
      </c>
      <c r="B136" s="58">
        <v>11193531810</v>
      </c>
      <c r="C136" s="63"/>
      <c r="D136" s="60"/>
      <c r="E136" s="9">
        <v>1752</v>
      </c>
      <c r="F136" s="25">
        <v>43051</v>
      </c>
      <c r="G136" s="61" t="s">
        <v>13</v>
      </c>
      <c r="H136" s="9"/>
      <c r="I136" s="8"/>
      <c r="J136" s="8"/>
      <c r="K136" s="8"/>
      <c r="L136" s="9">
        <v>1759</v>
      </c>
      <c r="M136" s="8"/>
    </row>
    <row r="137" spans="1:13">
      <c r="A137" s="62" t="s">
        <v>316</v>
      </c>
      <c r="B137" s="58">
        <v>41229734813</v>
      </c>
      <c r="C137" s="63"/>
      <c r="D137" s="60"/>
      <c r="E137" s="9">
        <v>292</v>
      </c>
      <c r="F137" s="25">
        <v>43168</v>
      </c>
      <c r="G137" s="61" t="s">
        <v>13</v>
      </c>
      <c r="H137" s="9"/>
      <c r="I137" s="8"/>
      <c r="J137" s="8"/>
      <c r="K137" s="8"/>
      <c r="L137" s="9">
        <v>318</v>
      </c>
      <c r="M137" s="8"/>
    </row>
    <row r="138" spans="1:13">
      <c r="A138" s="62" t="s">
        <v>317</v>
      </c>
      <c r="B138" s="58">
        <v>42262731845</v>
      </c>
      <c r="C138" s="63" t="s">
        <v>318</v>
      </c>
      <c r="D138" s="60">
        <v>34728432840</v>
      </c>
      <c r="E138" s="9">
        <v>1824</v>
      </c>
      <c r="F138" s="25">
        <v>43091</v>
      </c>
      <c r="G138" s="61" t="s">
        <v>13</v>
      </c>
      <c r="H138" s="9"/>
      <c r="I138" s="8"/>
      <c r="J138" s="8"/>
      <c r="K138" s="8"/>
      <c r="L138" s="9">
        <v>1828</v>
      </c>
      <c r="M138" s="8"/>
    </row>
    <row r="139" spans="1:13">
      <c r="A139" s="62" t="s">
        <v>319</v>
      </c>
      <c r="B139" s="58">
        <v>35481524813</v>
      </c>
      <c r="C139" s="63"/>
      <c r="D139" s="60"/>
      <c r="E139" s="9">
        <v>262</v>
      </c>
      <c r="F139" s="25">
        <v>43160</v>
      </c>
      <c r="G139" s="61" t="s">
        <v>13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62" t="s">
        <v>320</v>
      </c>
      <c r="B140" s="58">
        <v>41446773892</v>
      </c>
      <c r="C140" s="63" t="s">
        <v>321</v>
      </c>
      <c r="D140" s="60">
        <v>38180353850</v>
      </c>
      <c r="E140" s="9">
        <v>292</v>
      </c>
      <c r="F140" s="25">
        <v>43168</v>
      </c>
      <c r="G140" s="9" t="s">
        <v>13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322</v>
      </c>
      <c r="B141" s="58">
        <v>1436459354</v>
      </c>
      <c r="C141" s="63" t="s">
        <v>323</v>
      </c>
      <c r="D141" s="60">
        <v>4149263310</v>
      </c>
      <c r="E141" s="9">
        <v>229</v>
      </c>
      <c r="F141" s="25">
        <v>43151</v>
      </c>
      <c r="G141" s="61" t="s">
        <v>13</v>
      </c>
      <c r="H141" s="9"/>
      <c r="I141" s="8"/>
      <c r="J141" s="8"/>
      <c r="K141" s="8"/>
      <c r="L141" s="9">
        <v>232</v>
      </c>
      <c r="M141" s="8"/>
    </row>
    <row r="142" spans="1:13">
      <c r="A142" s="27" t="s">
        <v>324</v>
      </c>
      <c r="B142" s="58">
        <v>39953063818</v>
      </c>
      <c r="C142" s="27" t="s">
        <v>325</v>
      </c>
      <c r="D142" s="60">
        <v>39464033878</v>
      </c>
      <c r="E142" s="9"/>
      <c r="F142" s="25"/>
      <c r="G142" s="61"/>
      <c r="H142" s="9"/>
      <c r="I142" s="8"/>
      <c r="J142" s="8"/>
      <c r="K142" s="8"/>
      <c r="L142" s="8"/>
      <c r="M142" s="8"/>
    </row>
    <row r="143" spans="1:13">
      <c r="A143" s="70" t="s">
        <v>326</v>
      </c>
      <c r="B143" s="71">
        <v>15371893873</v>
      </c>
      <c r="C143" s="72" t="s">
        <v>327</v>
      </c>
      <c r="D143" s="73">
        <v>28731800807</v>
      </c>
      <c r="E143" s="45">
        <v>292</v>
      </c>
      <c r="F143" s="46">
        <v>43168</v>
      </c>
      <c r="G143" s="74"/>
      <c r="H143" s="45"/>
      <c r="I143" s="47"/>
      <c r="J143" s="47"/>
      <c r="K143" s="47"/>
      <c r="L143" s="9">
        <v>318</v>
      </c>
      <c r="M143" s="47"/>
    </row>
    <row r="144" spans="1:13">
      <c r="A144" s="62" t="s">
        <v>328</v>
      </c>
      <c r="B144" s="58">
        <v>30339203811</v>
      </c>
      <c r="C144" s="63"/>
      <c r="D144" s="60"/>
      <c r="E144" s="9">
        <v>810</v>
      </c>
      <c r="F144" s="25">
        <v>42915</v>
      </c>
      <c r="G144" s="61" t="s">
        <v>13</v>
      </c>
      <c r="H144" s="9"/>
      <c r="I144" s="8"/>
      <c r="J144" s="8"/>
      <c r="K144" s="8"/>
      <c r="L144" s="9" t="s">
        <v>138</v>
      </c>
      <c r="M144" s="8"/>
    </row>
    <row r="145" spans="1:13">
      <c r="A145" s="64" t="s">
        <v>329</v>
      </c>
      <c r="B145" s="58">
        <v>50773453334</v>
      </c>
      <c r="C145" s="63" t="s">
        <v>330</v>
      </c>
      <c r="D145" s="60">
        <v>51551365391</v>
      </c>
      <c r="E145" s="9">
        <v>1106</v>
      </c>
      <c r="F145" s="25">
        <v>42965</v>
      </c>
      <c r="G145" s="61" t="s">
        <v>20</v>
      </c>
      <c r="H145" s="9"/>
      <c r="I145" s="8"/>
      <c r="J145" s="8"/>
      <c r="K145" s="8"/>
      <c r="L145" s="8"/>
      <c r="M145" s="8"/>
    </row>
    <row r="146" spans="1:13">
      <c r="A146" s="62" t="s">
        <v>331</v>
      </c>
      <c r="B146" s="58">
        <v>37805884803</v>
      </c>
      <c r="C146" s="63" t="s">
        <v>332</v>
      </c>
      <c r="D146" s="60">
        <v>35792474842</v>
      </c>
      <c r="E146" s="9">
        <v>262</v>
      </c>
      <c r="F146" s="25">
        <v>43160</v>
      </c>
      <c r="G146" s="9" t="s">
        <v>13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64" t="s">
        <v>333</v>
      </c>
      <c r="B147" s="58">
        <v>38072219804</v>
      </c>
      <c r="C147" s="63" t="s">
        <v>334</v>
      </c>
      <c r="D147" s="60">
        <v>37125330800</v>
      </c>
      <c r="E147" s="9">
        <v>292</v>
      </c>
      <c r="F147" s="25">
        <v>43168</v>
      </c>
      <c r="G147" s="61" t="s">
        <v>13</v>
      </c>
      <c r="H147" s="9"/>
      <c r="I147" s="8"/>
      <c r="J147" s="8"/>
      <c r="K147" s="8"/>
      <c r="L147" s="9">
        <v>318</v>
      </c>
      <c r="M147" s="8"/>
    </row>
    <row r="148" spans="1:13">
      <c r="A148" s="62" t="s">
        <v>335</v>
      </c>
      <c r="B148" s="58">
        <v>23305485833</v>
      </c>
      <c r="C148" s="63"/>
      <c r="D148" s="60"/>
      <c r="E148" s="9">
        <v>292</v>
      </c>
      <c r="F148" s="25">
        <v>43168</v>
      </c>
      <c r="G148" s="61" t="s">
        <v>13</v>
      </c>
      <c r="H148" s="9"/>
      <c r="I148" s="8"/>
      <c r="J148" s="8"/>
      <c r="K148" s="8"/>
      <c r="L148" s="9">
        <v>318</v>
      </c>
      <c r="M148" s="8"/>
    </row>
    <row r="149" spans="1:13">
      <c r="A149" s="62" t="s">
        <v>336</v>
      </c>
      <c r="B149" s="58">
        <v>37378443808</v>
      </c>
      <c r="C149" s="63"/>
      <c r="D149" s="60"/>
      <c r="E149" s="9">
        <v>443</v>
      </c>
      <c r="F149" s="25">
        <v>43188</v>
      </c>
      <c r="G149" s="61"/>
      <c r="H149" s="9"/>
      <c r="I149" s="8"/>
      <c r="J149" s="8"/>
      <c r="K149" s="8"/>
      <c r="L149" s="8"/>
      <c r="M149" s="8"/>
    </row>
    <row r="150" spans="1:13">
      <c r="A150" s="62" t="s">
        <v>337</v>
      </c>
      <c r="B150" s="58">
        <v>43533063836</v>
      </c>
      <c r="C150" s="63"/>
      <c r="D150" s="60"/>
      <c r="E150" s="9">
        <v>1350</v>
      </c>
      <c r="F150" s="25">
        <v>43006</v>
      </c>
      <c r="G150" s="61" t="s">
        <v>13</v>
      </c>
      <c r="H150" s="9"/>
      <c r="I150" s="8"/>
      <c r="J150" s="8"/>
      <c r="K150" s="8"/>
      <c r="L150" s="8"/>
      <c r="M150" s="8"/>
    </row>
    <row r="151" spans="1:13">
      <c r="A151" s="63" t="s">
        <v>338</v>
      </c>
      <c r="B151" s="58">
        <v>31476352879</v>
      </c>
      <c r="C151" s="63" t="s">
        <v>339</v>
      </c>
      <c r="D151" s="60">
        <v>31481180819</v>
      </c>
      <c r="E151" s="9"/>
      <c r="F151" s="25"/>
      <c r="G151" s="61"/>
      <c r="H151" s="9"/>
      <c r="I151" s="8"/>
      <c r="J151" s="8"/>
      <c r="K151" s="8"/>
      <c r="L151" s="8"/>
      <c r="M151" s="8"/>
    </row>
    <row r="152" spans="1:13">
      <c r="A152" s="13" t="s">
        <v>340</v>
      </c>
      <c r="B152" s="58">
        <v>41207276880</v>
      </c>
      <c r="C152" s="63"/>
      <c r="D152" s="60"/>
      <c r="E152" s="9">
        <v>1350</v>
      </c>
      <c r="F152" s="25">
        <v>43006</v>
      </c>
      <c r="G152" s="61" t="s">
        <v>13</v>
      </c>
      <c r="H152" s="9"/>
      <c r="I152" s="8"/>
      <c r="J152" s="8"/>
      <c r="K152" s="8"/>
      <c r="L152" s="8"/>
      <c r="M152" s="8"/>
    </row>
    <row r="153" spans="1:13">
      <c r="A153" s="62" t="s">
        <v>341</v>
      </c>
      <c r="B153" s="58">
        <v>31388805847</v>
      </c>
      <c r="C153" s="63"/>
      <c r="D153" s="60"/>
      <c r="E153" s="9">
        <v>1106</v>
      </c>
      <c r="F153" s="25">
        <v>42965</v>
      </c>
      <c r="G153" s="61" t="s">
        <v>13</v>
      </c>
      <c r="H153" s="9"/>
      <c r="I153" s="8"/>
      <c r="J153" s="8"/>
      <c r="K153" s="8"/>
      <c r="L153" s="8"/>
      <c r="M153" s="8"/>
    </row>
    <row r="154" spans="1:13">
      <c r="A154" s="62" t="s">
        <v>342</v>
      </c>
      <c r="B154" s="58">
        <v>44567535871</v>
      </c>
      <c r="C154" s="63"/>
      <c r="D154" s="60"/>
      <c r="E154" s="9"/>
      <c r="F154" s="25"/>
      <c r="G154" s="61"/>
      <c r="H154" s="9"/>
      <c r="I154" s="8"/>
      <c r="J154" s="8"/>
      <c r="K154" s="8"/>
      <c r="L154" s="8"/>
      <c r="M154" s="8"/>
    </row>
    <row r="155" spans="1:13">
      <c r="A155" s="18" t="s">
        <v>343</v>
      </c>
      <c r="B155" s="58">
        <v>36142628803</v>
      </c>
      <c r="C155" s="18"/>
      <c r="D155" s="60"/>
      <c r="E155" s="9"/>
      <c r="F155" s="25"/>
      <c r="G155" s="61"/>
      <c r="H155" s="9"/>
      <c r="I155" s="8"/>
      <c r="J155" s="8"/>
      <c r="K155" s="8"/>
      <c r="L155" s="8"/>
      <c r="M155" s="8"/>
    </row>
    <row r="156" spans="1:13">
      <c r="A156" s="62" t="s">
        <v>344</v>
      </c>
      <c r="B156" s="58">
        <v>29038681828</v>
      </c>
      <c r="C156" s="63"/>
      <c r="D156" s="60"/>
      <c r="E156" s="9"/>
      <c r="F156" s="25"/>
      <c r="G156" s="61"/>
      <c r="H156" s="9"/>
      <c r="I156" s="8"/>
      <c r="J156" s="8"/>
      <c r="K156" s="8"/>
      <c r="L156" s="8"/>
      <c r="M156" s="8"/>
    </row>
    <row r="157" spans="1:13">
      <c r="A157" s="62" t="s">
        <v>345</v>
      </c>
      <c r="B157" s="58">
        <v>86665944468</v>
      </c>
      <c r="C157" s="63" t="s">
        <v>346</v>
      </c>
      <c r="D157" s="60">
        <v>28517381866</v>
      </c>
      <c r="E157" s="9">
        <v>443</v>
      </c>
      <c r="F157" s="25">
        <v>43188</v>
      </c>
      <c r="G157" s="61"/>
      <c r="H157" s="9"/>
      <c r="I157" s="8"/>
      <c r="J157" s="8"/>
      <c r="K157" s="8"/>
      <c r="L157" s="8"/>
      <c r="M157" s="8"/>
    </row>
    <row r="158" spans="1:13">
      <c r="A158" s="15" t="s">
        <v>347</v>
      </c>
      <c r="B158" s="58">
        <v>39747831805</v>
      </c>
      <c r="C158" s="63" t="s">
        <v>348</v>
      </c>
      <c r="D158" s="60">
        <v>1202056458</v>
      </c>
      <c r="E158" s="9">
        <v>292</v>
      </c>
      <c r="F158" s="25">
        <v>43168</v>
      </c>
      <c r="G158" s="61" t="s">
        <v>13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349</v>
      </c>
      <c r="B159" s="58">
        <v>33748171811</v>
      </c>
      <c r="C159" s="59"/>
      <c r="D159" s="60"/>
      <c r="E159" s="9">
        <v>1128</v>
      </c>
      <c r="F159" s="25">
        <v>42972</v>
      </c>
      <c r="G159" s="61" t="s">
        <v>13</v>
      </c>
      <c r="H159" s="9"/>
      <c r="I159" s="8"/>
      <c r="J159" s="8"/>
      <c r="K159" s="8"/>
      <c r="L159" s="8"/>
      <c r="M159" s="8"/>
    </row>
    <row r="160" spans="1:13">
      <c r="A160" s="27" t="s">
        <v>350</v>
      </c>
      <c r="B160" s="58"/>
      <c r="C160" s="27" t="s">
        <v>351</v>
      </c>
      <c r="D160" s="60"/>
      <c r="E160" s="9"/>
      <c r="F160" s="25"/>
      <c r="G160" s="61"/>
      <c r="H160" s="9"/>
      <c r="I160" s="8"/>
      <c r="J160" s="8"/>
      <c r="K160" s="8"/>
      <c r="L160" s="8"/>
      <c r="M160" s="8"/>
    </row>
    <row r="161" spans="1:13">
      <c r="A161" s="62" t="s">
        <v>352</v>
      </c>
      <c r="B161" s="58">
        <v>38107907884</v>
      </c>
      <c r="C161" s="63" t="s">
        <v>353</v>
      </c>
      <c r="D161" s="60">
        <v>8669747685</v>
      </c>
      <c r="E161" s="9">
        <v>117</v>
      </c>
      <c r="F161" s="25">
        <v>43117</v>
      </c>
      <c r="G161" s="61" t="s">
        <v>13</v>
      </c>
      <c r="H161" s="9"/>
      <c r="I161" s="8"/>
      <c r="J161" s="8"/>
      <c r="K161" s="8"/>
      <c r="L161" s="9" t="s">
        <v>170</v>
      </c>
      <c r="M161" s="8"/>
    </row>
    <row r="162" spans="1:13">
      <c r="A162" s="27" t="s">
        <v>354</v>
      </c>
      <c r="B162" s="58">
        <v>24759436880</v>
      </c>
      <c r="C162" s="27" t="s">
        <v>355</v>
      </c>
      <c r="D162" s="60">
        <v>14245918802</v>
      </c>
      <c r="E162" s="9"/>
      <c r="F162" s="25"/>
      <c r="G162" s="61"/>
      <c r="H162" s="9"/>
      <c r="I162" s="8"/>
      <c r="J162" s="8"/>
      <c r="K162" s="8"/>
      <c r="L162" s="8"/>
      <c r="M162" s="8"/>
    </row>
    <row r="163" spans="1:13">
      <c r="A163" s="15" t="s">
        <v>356</v>
      </c>
      <c r="B163" s="58">
        <v>22728900833</v>
      </c>
      <c r="C163" s="63"/>
      <c r="D163" s="60"/>
      <c r="E163" s="9">
        <v>1824</v>
      </c>
      <c r="F163" s="25">
        <v>43091</v>
      </c>
      <c r="G163" s="61" t="s">
        <v>13</v>
      </c>
      <c r="H163" s="9"/>
      <c r="I163" s="8"/>
      <c r="J163" s="8"/>
      <c r="K163" s="8"/>
      <c r="L163" s="9">
        <v>1828</v>
      </c>
      <c r="M163" s="8"/>
    </row>
    <row r="164" spans="1:13">
      <c r="A164" s="27" t="s">
        <v>357</v>
      </c>
      <c r="B164" s="58">
        <v>22537971892</v>
      </c>
      <c r="C164" s="27" t="s">
        <v>358</v>
      </c>
      <c r="D164" s="60">
        <v>25652143835</v>
      </c>
      <c r="E164" s="9"/>
      <c r="F164" s="25"/>
      <c r="G164" s="61"/>
      <c r="H164" s="9"/>
      <c r="I164" s="8"/>
      <c r="J164" s="8"/>
      <c r="K164" s="8"/>
      <c r="L164" s="8"/>
      <c r="M164" s="8"/>
    </row>
    <row r="165" spans="1:13">
      <c r="A165" s="62" t="s">
        <v>359</v>
      </c>
      <c r="B165" s="58">
        <v>31362502812</v>
      </c>
      <c r="C165" s="63" t="s">
        <v>360</v>
      </c>
      <c r="D165" s="60">
        <v>25780435820</v>
      </c>
      <c r="E165" s="9"/>
      <c r="F165" s="25"/>
      <c r="G165" s="61"/>
      <c r="H165" s="9"/>
      <c r="I165" s="8"/>
      <c r="J165" s="8"/>
      <c r="K165" s="8"/>
      <c r="L165" s="8"/>
      <c r="M165" s="8"/>
    </row>
    <row r="166" spans="1:13">
      <c r="A166" s="18" t="s">
        <v>361</v>
      </c>
      <c r="B166" s="58">
        <v>4625640539</v>
      </c>
      <c r="C166" s="18" t="s">
        <v>362</v>
      </c>
      <c r="D166" s="60">
        <v>37596848826</v>
      </c>
      <c r="E166" s="9"/>
      <c r="F166" s="25"/>
      <c r="G166" s="61"/>
      <c r="H166" s="9"/>
      <c r="I166" s="8"/>
      <c r="J166" s="8"/>
      <c r="K166" s="8"/>
      <c r="L166" s="8"/>
      <c r="M166" s="8"/>
    </row>
    <row r="167" spans="1:13">
      <c r="A167" s="62" t="s">
        <v>363</v>
      </c>
      <c r="B167" s="58">
        <v>28920223807</v>
      </c>
      <c r="C167" s="63"/>
      <c r="D167" s="60"/>
      <c r="E167" s="9">
        <v>262</v>
      </c>
      <c r="F167" s="25">
        <v>43160</v>
      </c>
      <c r="G167" s="61" t="s">
        <v>13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62" t="s">
        <v>364</v>
      </c>
      <c r="B168" s="58">
        <v>22234108802</v>
      </c>
      <c r="C168" s="63" t="s">
        <v>365</v>
      </c>
      <c r="D168" s="60"/>
      <c r="E168" s="9"/>
      <c r="F168" s="25"/>
      <c r="G168" s="61" t="s">
        <v>13</v>
      </c>
      <c r="H168" s="9"/>
      <c r="I168" s="8"/>
      <c r="J168" s="8"/>
      <c r="K168" s="8"/>
      <c r="L168" s="8"/>
      <c r="M168" s="8"/>
    </row>
    <row r="169" spans="1:13">
      <c r="A169" s="28" t="s">
        <v>366</v>
      </c>
      <c r="B169" s="58">
        <v>37101159818</v>
      </c>
      <c r="C169" s="18"/>
      <c r="D169" s="60"/>
      <c r="E169" s="9"/>
      <c r="F169" s="25"/>
      <c r="G169" s="61"/>
      <c r="H169" s="9"/>
      <c r="I169" s="8"/>
      <c r="J169" s="8"/>
      <c r="K169" s="8"/>
      <c r="L169" s="8"/>
      <c r="M169" s="8"/>
    </row>
    <row r="170" spans="1:13">
      <c r="A170" s="62" t="s">
        <v>367</v>
      </c>
      <c r="B170" s="58">
        <v>182316599</v>
      </c>
      <c r="C170" s="63" t="s">
        <v>368</v>
      </c>
      <c r="D170" s="60">
        <v>73673560549</v>
      </c>
      <c r="E170" s="9">
        <v>292</v>
      </c>
      <c r="F170" s="25">
        <v>43168</v>
      </c>
      <c r="G170" s="9" t="s">
        <v>13</v>
      </c>
      <c r="H170" s="9"/>
      <c r="I170" s="8"/>
      <c r="J170" s="8"/>
      <c r="K170" s="8"/>
      <c r="L170" s="9">
        <v>318</v>
      </c>
      <c r="M170" s="8"/>
    </row>
    <row r="171" spans="1:13">
      <c r="A171" s="62" t="s">
        <v>369</v>
      </c>
      <c r="B171" s="58">
        <v>2136646400</v>
      </c>
      <c r="C171" s="63"/>
      <c r="D171" s="60"/>
      <c r="E171" s="9">
        <v>1417</v>
      </c>
      <c r="F171" s="25">
        <v>43017</v>
      </c>
      <c r="G171" s="61" t="s">
        <v>13</v>
      </c>
      <c r="H171" s="9"/>
      <c r="I171" s="8">
        <v>117</v>
      </c>
      <c r="J171" s="26">
        <v>43117</v>
      </c>
      <c r="K171" s="26">
        <v>43151</v>
      </c>
      <c r="L171" s="9" t="s">
        <v>253</v>
      </c>
      <c r="M171" s="26"/>
    </row>
    <row r="172" spans="1:13">
      <c r="A172" s="62" t="s">
        <v>370</v>
      </c>
      <c r="B172" s="58">
        <v>15520391882</v>
      </c>
      <c r="C172" s="63"/>
      <c r="D172" s="60"/>
      <c r="E172" s="9">
        <v>1106</v>
      </c>
      <c r="F172" s="25">
        <v>42965</v>
      </c>
      <c r="G172" s="61" t="s">
        <v>13</v>
      </c>
      <c r="H172" s="9"/>
      <c r="I172" s="8"/>
      <c r="J172" s="8"/>
      <c r="K172" s="8"/>
      <c r="L172" s="8"/>
      <c r="M172" s="8"/>
    </row>
    <row r="173" spans="1:13">
      <c r="A173" s="62" t="s">
        <v>371</v>
      </c>
      <c r="B173" s="58">
        <v>16703382824</v>
      </c>
      <c r="C173" s="63"/>
      <c r="D173" s="60"/>
      <c r="E173" s="9">
        <v>1824</v>
      </c>
      <c r="F173" s="25">
        <v>43091</v>
      </c>
      <c r="G173" s="61" t="s">
        <v>13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372</v>
      </c>
      <c r="B174" s="58">
        <v>12367185859</v>
      </c>
      <c r="C174" s="63"/>
      <c r="D174" s="60"/>
      <c r="E174" s="9"/>
      <c r="F174" s="25"/>
      <c r="G174" s="61"/>
      <c r="H174" s="9"/>
      <c r="I174" s="8"/>
      <c r="J174" s="8"/>
      <c r="K174" s="8"/>
      <c r="L174" s="8"/>
      <c r="M174" s="8"/>
    </row>
    <row r="175" spans="1:13">
      <c r="A175" s="62" t="s">
        <v>373</v>
      </c>
      <c r="B175" s="58">
        <v>18359976864</v>
      </c>
      <c r="C175" s="63"/>
      <c r="D175" s="60"/>
      <c r="E175" s="9">
        <v>1106</v>
      </c>
      <c r="F175" s="25">
        <v>42965</v>
      </c>
      <c r="G175" s="61" t="s">
        <v>13</v>
      </c>
      <c r="H175" s="9"/>
      <c r="I175" s="8"/>
      <c r="J175" s="8"/>
      <c r="K175" s="8"/>
      <c r="L175" s="8"/>
      <c r="M175" s="8"/>
    </row>
    <row r="176" spans="1:13">
      <c r="A176" s="62" t="s">
        <v>374</v>
      </c>
      <c r="B176" s="58">
        <v>36777190899</v>
      </c>
      <c r="C176" s="63" t="s">
        <v>375</v>
      </c>
      <c r="D176" s="60">
        <v>37104057854</v>
      </c>
      <c r="E176" s="9">
        <v>810</v>
      </c>
      <c r="F176" s="25">
        <v>42915</v>
      </c>
      <c r="G176" s="61" t="s">
        <v>13</v>
      </c>
      <c r="H176" s="9"/>
      <c r="I176" s="8"/>
      <c r="J176" s="8"/>
      <c r="K176" s="8"/>
      <c r="L176" s="9" t="s">
        <v>138</v>
      </c>
      <c r="M176" s="8"/>
    </row>
    <row r="177" spans="1:13">
      <c r="A177" s="15" t="s">
        <v>376</v>
      </c>
      <c r="B177" s="58">
        <v>23599602883</v>
      </c>
      <c r="C177" s="63"/>
      <c r="D177" s="60"/>
      <c r="E177" s="9">
        <v>229</v>
      </c>
      <c r="F177" s="25">
        <v>43151</v>
      </c>
      <c r="G177" s="61" t="s">
        <v>13</v>
      </c>
      <c r="H177" s="9"/>
      <c r="I177" s="8"/>
      <c r="J177" s="8"/>
      <c r="K177" s="8"/>
      <c r="L177" s="9">
        <v>232</v>
      </c>
      <c r="M177" s="8"/>
    </row>
    <row r="178" spans="1:13">
      <c r="A178" s="63" t="s">
        <v>377</v>
      </c>
      <c r="B178" s="58">
        <v>32428102877</v>
      </c>
      <c r="C178" s="63" t="s">
        <v>378</v>
      </c>
      <c r="D178" s="60">
        <v>23908200857</v>
      </c>
      <c r="E178" s="9"/>
      <c r="F178" s="25"/>
      <c r="G178" s="61"/>
      <c r="H178" s="9"/>
      <c r="I178" s="8"/>
      <c r="J178" s="8"/>
      <c r="K178" s="8"/>
      <c r="L178" s="8"/>
      <c r="M178" s="8"/>
    </row>
    <row r="179" spans="1:13">
      <c r="A179" s="62" t="s">
        <v>379</v>
      </c>
      <c r="B179" s="58">
        <v>28640229821</v>
      </c>
      <c r="C179" s="63" t="s">
        <v>380</v>
      </c>
      <c r="D179" s="60">
        <v>7752420808</v>
      </c>
      <c r="E179" s="9">
        <v>1106</v>
      </c>
      <c r="F179" s="25">
        <v>42965</v>
      </c>
      <c r="G179" s="61" t="s">
        <v>13</v>
      </c>
      <c r="H179" s="9"/>
      <c r="I179" s="8"/>
      <c r="J179" s="8"/>
      <c r="K179" s="8"/>
      <c r="L179" s="8"/>
      <c r="M179" s="8"/>
    </row>
    <row r="180" spans="1:13">
      <c r="A180" s="68" t="s">
        <v>381</v>
      </c>
      <c r="B180" s="58">
        <v>38122976808</v>
      </c>
      <c r="C180" s="27" t="s">
        <v>382</v>
      </c>
      <c r="D180" s="60">
        <v>38145176875</v>
      </c>
      <c r="E180" s="9"/>
      <c r="F180" s="25"/>
      <c r="G180" s="61"/>
      <c r="H180" s="9"/>
      <c r="I180" s="8"/>
      <c r="J180" s="8"/>
      <c r="K180" s="8"/>
      <c r="L180" s="8"/>
      <c r="M180" s="8"/>
    </row>
    <row r="181" spans="1:13">
      <c r="A181" s="62" t="s">
        <v>383</v>
      </c>
      <c r="B181" s="58">
        <v>41494645882</v>
      </c>
      <c r="C181" s="63" t="s">
        <v>384</v>
      </c>
      <c r="D181" s="60">
        <v>23413130862</v>
      </c>
      <c r="E181" s="9">
        <v>1824</v>
      </c>
      <c r="F181" s="25">
        <v>43091</v>
      </c>
      <c r="G181" s="61" t="s">
        <v>13</v>
      </c>
      <c r="H181" s="9"/>
      <c r="I181" s="8"/>
      <c r="J181" s="8"/>
      <c r="K181" s="8"/>
      <c r="L181" s="9">
        <v>1828</v>
      </c>
      <c r="M181" s="8"/>
    </row>
    <row r="182" spans="1:13">
      <c r="A182" s="62" t="s">
        <v>385</v>
      </c>
      <c r="B182" s="58">
        <v>34414733880</v>
      </c>
      <c r="C182" s="63"/>
      <c r="D182" s="60"/>
      <c r="E182" s="9">
        <v>1106</v>
      </c>
      <c r="F182" s="25">
        <v>42965</v>
      </c>
      <c r="G182" s="61" t="s">
        <v>13</v>
      </c>
      <c r="H182" s="9"/>
      <c r="I182" s="8"/>
      <c r="J182" s="8"/>
      <c r="K182" s="8"/>
      <c r="L182" s="8"/>
      <c r="M182" s="8"/>
    </row>
    <row r="183" spans="1:13">
      <c r="A183" s="62" t="s">
        <v>386</v>
      </c>
      <c r="B183" s="58">
        <v>32882437846</v>
      </c>
      <c r="C183" s="68" t="s">
        <v>387</v>
      </c>
      <c r="D183" s="60" t="s">
        <v>388</v>
      </c>
      <c r="E183" s="9"/>
      <c r="F183" s="25"/>
      <c r="G183" s="61"/>
      <c r="H183" s="9"/>
      <c r="I183" s="8"/>
      <c r="J183" s="8"/>
      <c r="K183" s="8"/>
      <c r="L183" s="8"/>
      <c r="M183" s="8"/>
    </row>
    <row r="184" spans="1:13">
      <c r="A184" s="62" t="s">
        <v>389</v>
      </c>
      <c r="B184" s="58">
        <v>40733908802</v>
      </c>
      <c r="C184" s="63" t="s">
        <v>390</v>
      </c>
      <c r="D184" s="60"/>
      <c r="E184" s="9">
        <v>1128</v>
      </c>
      <c r="F184" s="25">
        <v>42972</v>
      </c>
      <c r="G184" s="61" t="s">
        <v>13</v>
      </c>
      <c r="H184" s="9"/>
      <c r="I184" s="8"/>
      <c r="J184" s="8"/>
      <c r="K184" s="8"/>
      <c r="L184" s="8"/>
      <c r="M184" s="8"/>
    </row>
    <row r="185" spans="1:13">
      <c r="A185" s="62" t="s">
        <v>391</v>
      </c>
      <c r="B185" s="58">
        <v>31408057808</v>
      </c>
      <c r="C185" s="63"/>
      <c r="D185" s="60"/>
      <c r="E185" s="9"/>
      <c r="F185" s="25"/>
      <c r="G185" s="61"/>
      <c r="H185" s="9"/>
      <c r="I185" s="8"/>
      <c r="J185" s="8"/>
      <c r="K185" s="8"/>
      <c r="L185" s="8"/>
      <c r="M185" s="8"/>
    </row>
    <row r="186" spans="1:13">
      <c r="A186" s="14" t="s">
        <v>392</v>
      </c>
      <c r="B186" s="58">
        <v>31534739866</v>
      </c>
      <c r="C186" s="63"/>
      <c r="D186" s="60"/>
      <c r="E186" s="9">
        <v>262</v>
      </c>
      <c r="F186" s="25">
        <v>43160</v>
      </c>
      <c r="G186" s="61" t="s">
        <v>13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62" t="s">
        <v>393</v>
      </c>
      <c r="B187" s="58">
        <v>32321499877</v>
      </c>
      <c r="C187" s="63" t="s">
        <v>394</v>
      </c>
      <c r="D187" s="60">
        <v>4788348373</v>
      </c>
      <c r="E187" s="9">
        <v>292</v>
      </c>
      <c r="F187" s="25">
        <v>43168</v>
      </c>
      <c r="G187" s="61" t="s">
        <v>13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395</v>
      </c>
      <c r="B188" s="58">
        <v>23197474864</v>
      </c>
      <c r="C188" s="63"/>
      <c r="D188" s="60"/>
      <c r="E188" s="9">
        <v>85</v>
      </c>
      <c r="F188" s="25">
        <v>43109</v>
      </c>
      <c r="G188" s="61" t="s">
        <v>13</v>
      </c>
      <c r="H188" s="25">
        <v>43151</v>
      </c>
      <c r="I188" s="8"/>
      <c r="J188" s="8"/>
      <c r="K188" s="8"/>
      <c r="L188" s="8"/>
      <c r="M188" s="8"/>
    </row>
    <row r="189" spans="1:13">
      <c r="A189" s="62" t="s">
        <v>396</v>
      </c>
      <c r="B189" s="58">
        <v>31268473820</v>
      </c>
      <c r="C189" s="63"/>
      <c r="D189" s="60"/>
      <c r="E189" s="9">
        <v>1214</v>
      </c>
      <c r="F189" s="25">
        <v>42989</v>
      </c>
      <c r="G189" s="61" t="s">
        <v>13</v>
      </c>
      <c r="H189" s="9"/>
      <c r="I189" s="8"/>
      <c r="J189" s="8"/>
      <c r="K189" s="8"/>
      <c r="L189" s="8"/>
      <c r="M189" s="8"/>
    </row>
    <row r="190" spans="1:13">
      <c r="A190" s="62" t="s">
        <v>397</v>
      </c>
      <c r="B190" s="58">
        <v>40951207890</v>
      </c>
      <c r="C190" s="63"/>
      <c r="D190" s="60"/>
      <c r="E190" s="9">
        <v>1555</v>
      </c>
      <c r="F190" s="25">
        <v>43049</v>
      </c>
      <c r="G190" s="61" t="s">
        <v>28</v>
      </c>
      <c r="H190" s="9"/>
      <c r="I190" s="8"/>
      <c r="J190" s="8"/>
      <c r="K190" s="8"/>
      <c r="L190" s="9" t="s">
        <v>398</v>
      </c>
      <c r="M190" s="8"/>
    </row>
    <row r="191" spans="1:13">
      <c r="A191" s="13" t="s">
        <v>399</v>
      </c>
      <c r="B191" s="58">
        <v>43882835842</v>
      </c>
      <c r="C191" s="63"/>
      <c r="D191" s="60"/>
      <c r="E191" s="9">
        <v>1350</v>
      </c>
      <c r="F191" s="25">
        <v>43006</v>
      </c>
      <c r="G191" s="61" t="s">
        <v>13</v>
      </c>
      <c r="H191" s="9"/>
      <c r="I191" s="8"/>
      <c r="J191" s="8"/>
      <c r="K191" s="8"/>
      <c r="L191" s="8"/>
      <c r="M191" s="8"/>
    </row>
    <row r="192" spans="1:13">
      <c r="A192" s="14" t="s">
        <v>400</v>
      </c>
      <c r="B192" s="58">
        <v>16700300835</v>
      </c>
      <c r="C192" s="63" t="s">
        <v>401</v>
      </c>
      <c r="D192" s="60">
        <v>28699951809</v>
      </c>
      <c r="E192" s="9">
        <v>262</v>
      </c>
      <c r="F192" s="25">
        <v>43160</v>
      </c>
      <c r="G192" s="61" t="s">
        <v>13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62" t="s">
        <v>402</v>
      </c>
      <c r="B193" s="58">
        <v>33595120817</v>
      </c>
      <c r="C193" s="59" t="s">
        <v>403</v>
      </c>
      <c r="D193" s="60">
        <v>38449158850</v>
      </c>
      <c r="E193" s="9"/>
      <c r="F193" s="25"/>
      <c r="G193" s="61"/>
      <c r="H193" s="9"/>
      <c r="I193" s="8"/>
      <c r="J193" s="8"/>
      <c r="K193" s="8"/>
      <c r="L193" s="8"/>
      <c r="M193" s="8"/>
    </row>
    <row r="194" spans="1:13">
      <c r="A194" s="13" t="s">
        <v>404</v>
      </c>
      <c r="B194" s="58">
        <v>40386203873</v>
      </c>
      <c r="C194" s="59" t="s">
        <v>405</v>
      </c>
      <c r="D194" s="60">
        <v>27988479822</v>
      </c>
      <c r="E194" s="9">
        <v>1128</v>
      </c>
      <c r="F194" s="25">
        <v>42972</v>
      </c>
      <c r="G194" s="61" t="s">
        <v>13</v>
      </c>
      <c r="H194" s="9"/>
      <c r="I194" s="8"/>
      <c r="J194" s="8"/>
      <c r="K194" s="8"/>
      <c r="L194" s="8"/>
      <c r="M194" s="8"/>
    </row>
    <row r="195" spans="1:13">
      <c r="A195" s="62" t="s">
        <v>406</v>
      </c>
      <c r="B195" s="58">
        <v>23408598835</v>
      </c>
      <c r="C195" s="63"/>
      <c r="D195" s="60"/>
      <c r="E195" s="9">
        <v>573</v>
      </c>
      <c r="F195" s="25">
        <v>43224</v>
      </c>
      <c r="G195" s="61"/>
      <c r="H195" s="9"/>
      <c r="I195" s="8"/>
      <c r="J195" s="8"/>
      <c r="K195" s="8"/>
      <c r="L195" s="8"/>
      <c r="M195" s="8"/>
    </row>
    <row r="196" spans="1:13">
      <c r="A196" s="15" t="s">
        <v>407</v>
      </c>
      <c r="B196" s="58">
        <v>26195293873</v>
      </c>
      <c r="C196" s="63"/>
      <c r="D196" s="60"/>
      <c r="E196" s="9"/>
      <c r="F196" s="25"/>
      <c r="G196" s="61"/>
      <c r="H196" s="9"/>
      <c r="I196" s="8"/>
      <c r="J196" s="8"/>
      <c r="K196" s="8"/>
      <c r="L196" s="8"/>
      <c r="M196" s="8"/>
    </row>
    <row r="197" spans="1:13">
      <c r="A197" s="15" t="s">
        <v>408</v>
      </c>
      <c r="B197" s="58">
        <v>23473254851</v>
      </c>
      <c r="C197" s="63" t="s">
        <v>409</v>
      </c>
      <c r="D197" s="60">
        <v>32944503898</v>
      </c>
      <c r="E197" s="9">
        <v>85</v>
      </c>
      <c r="F197" s="25">
        <v>43109</v>
      </c>
      <c r="G197" s="61" t="s">
        <v>13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410</v>
      </c>
      <c r="B198" s="58">
        <v>7330290866</v>
      </c>
      <c r="C198" s="63"/>
      <c r="D198" s="60"/>
      <c r="E198" s="9">
        <v>1350</v>
      </c>
      <c r="F198" s="25">
        <v>43006</v>
      </c>
      <c r="G198" s="61" t="s">
        <v>13</v>
      </c>
      <c r="H198" s="9"/>
      <c r="I198" s="8"/>
      <c r="J198" s="8"/>
      <c r="K198" s="8"/>
      <c r="L198" s="8"/>
      <c r="M198" s="8"/>
    </row>
    <row r="199" spans="1:13">
      <c r="A199" s="15" t="s">
        <v>411</v>
      </c>
      <c r="B199" s="58">
        <v>40128893893</v>
      </c>
      <c r="C199" s="63"/>
      <c r="D199" s="60"/>
      <c r="E199" s="9">
        <v>229</v>
      </c>
      <c r="F199" s="25">
        <v>43151</v>
      </c>
      <c r="G199" s="61" t="s">
        <v>13</v>
      </c>
      <c r="H199" s="9"/>
      <c r="I199" s="8"/>
      <c r="J199" s="8"/>
      <c r="K199" s="8"/>
      <c r="L199" s="9">
        <v>232</v>
      </c>
      <c r="M199" s="8"/>
    </row>
    <row r="200" spans="1:13">
      <c r="A200" s="63" t="s">
        <v>412</v>
      </c>
      <c r="B200" s="58">
        <v>2218915871</v>
      </c>
      <c r="C200" s="63" t="s">
        <v>413</v>
      </c>
      <c r="D200" s="60">
        <v>1467311820</v>
      </c>
      <c r="E200" s="9">
        <v>443</v>
      </c>
      <c r="F200" s="25">
        <v>43188</v>
      </c>
      <c r="G200" s="61"/>
      <c r="H200" s="9"/>
      <c r="I200" s="8"/>
      <c r="J200" s="8"/>
      <c r="K200" s="8"/>
      <c r="L200" s="8"/>
      <c r="M200" s="8"/>
    </row>
    <row r="201" spans="1:13">
      <c r="A201" s="62" t="s">
        <v>414</v>
      </c>
      <c r="B201" s="58">
        <v>66761255520</v>
      </c>
      <c r="C201" s="63"/>
      <c r="D201" s="60"/>
      <c r="E201" s="9"/>
      <c r="F201" s="25"/>
      <c r="G201" s="61"/>
      <c r="H201" s="9"/>
      <c r="I201" s="8"/>
      <c r="J201" s="8"/>
      <c r="K201" s="8"/>
      <c r="L201" s="8"/>
      <c r="M201" s="8"/>
    </row>
    <row r="202" spans="1:13">
      <c r="A202" s="13" t="s">
        <v>415</v>
      </c>
      <c r="B202" s="58">
        <v>35799104854</v>
      </c>
      <c r="C202" s="63"/>
      <c r="D202" s="60"/>
      <c r="E202" s="9"/>
      <c r="F202" s="25"/>
      <c r="G202" s="61"/>
      <c r="H202" s="9"/>
      <c r="I202" s="8"/>
      <c r="J202" s="8"/>
      <c r="K202" s="8"/>
      <c r="L202" s="8"/>
      <c r="M202" s="8"/>
    </row>
    <row r="203" spans="1:13">
      <c r="A203" s="63" t="s">
        <v>416</v>
      </c>
      <c r="B203" s="58">
        <v>31793836825</v>
      </c>
      <c r="C203" s="63" t="s">
        <v>417</v>
      </c>
      <c r="D203" s="60">
        <v>26401573880</v>
      </c>
      <c r="E203" s="9"/>
      <c r="F203" s="25"/>
      <c r="G203" s="61"/>
      <c r="H203" s="9"/>
      <c r="I203" s="8"/>
      <c r="J203" s="8"/>
      <c r="K203" s="8"/>
      <c r="L203" s="8"/>
      <c r="M203" s="8"/>
    </row>
    <row r="204" spans="1:13">
      <c r="A204" s="27" t="s">
        <v>418</v>
      </c>
      <c r="B204" s="58">
        <v>41307266843</v>
      </c>
      <c r="C204" s="18" t="s">
        <v>419</v>
      </c>
      <c r="D204" s="60">
        <v>18718910866</v>
      </c>
      <c r="E204" s="9"/>
      <c r="F204" s="25"/>
      <c r="G204" s="61"/>
      <c r="H204" s="9"/>
      <c r="I204" s="8"/>
      <c r="J204" s="8"/>
      <c r="K204" s="8"/>
      <c r="L204" s="8"/>
      <c r="M204" s="8"/>
    </row>
    <row r="205" spans="1:13">
      <c r="A205" s="62" t="s">
        <v>420</v>
      </c>
      <c r="B205" s="58">
        <v>96683295549</v>
      </c>
      <c r="C205" s="63"/>
      <c r="D205" s="60"/>
      <c r="E205" s="9"/>
      <c r="F205" s="25"/>
      <c r="G205" s="61" t="s">
        <v>13</v>
      </c>
      <c r="H205" s="9"/>
      <c r="I205" s="8"/>
      <c r="J205" s="8"/>
      <c r="K205" s="8"/>
      <c r="L205" s="8"/>
      <c r="M205" s="8"/>
    </row>
    <row r="206" spans="1:13">
      <c r="A206" s="15" t="s">
        <v>421</v>
      </c>
      <c r="B206" s="58">
        <v>18965913888</v>
      </c>
      <c r="C206" s="63" t="s">
        <v>422</v>
      </c>
      <c r="D206" s="60">
        <v>30385646801</v>
      </c>
      <c r="E206" s="9">
        <v>117</v>
      </c>
      <c r="F206" s="25">
        <v>43117</v>
      </c>
      <c r="G206" s="61" t="s">
        <v>13</v>
      </c>
      <c r="H206" s="9"/>
      <c r="I206" s="8"/>
      <c r="J206" s="8"/>
      <c r="K206" s="8"/>
      <c r="L206" s="9" t="s">
        <v>170</v>
      </c>
      <c r="M206" s="8"/>
    </row>
    <row r="207" spans="1:13">
      <c r="A207" s="27" t="s">
        <v>423</v>
      </c>
      <c r="B207" s="58">
        <v>52371501875</v>
      </c>
      <c r="C207" s="18" t="s">
        <v>129</v>
      </c>
      <c r="D207" s="60"/>
      <c r="E207" s="9"/>
      <c r="F207" s="25"/>
      <c r="G207" s="61"/>
      <c r="H207" s="9"/>
      <c r="I207" s="8"/>
      <c r="J207" s="8"/>
      <c r="K207" s="8"/>
      <c r="L207" s="8"/>
      <c r="M207" s="8"/>
    </row>
    <row r="208" spans="1:13">
      <c r="A208" s="27" t="s">
        <v>424</v>
      </c>
      <c r="B208" s="58"/>
      <c r="C208" s="18" t="s">
        <v>129</v>
      </c>
      <c r="D208" s="60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425</v>
      </c>
      <c r="B209" s="58">
        <v>29938760821</v>
      </c>
      <c r="C209" s="63"/>
      <c r="D209" s="60"/>
      <c r="E209" s="9">
        <v>509</v>
      </c>
      <c r="F209" s="25">
        <v>43203</v>
      </c>
      <c r="G209" s="67"/>
      <c r="H209" s="67">
        <v>43213</v>
      </c>
      <c r="I209" s="8"/>
      <c r="J209" s="8"/>
      <c r="K209" s="8"/>
      <c r="L209" s="8"/>
      <c r="M209" s="8"/>
    </row>
    <row r="210" spans="1:13">
      <c r="A210" s="62" t="s">
        <v>426</v>
      </c>
      <c r="B210" s="58">
        <v>35004723893</v>
      </c>
      <c r="C210" s="63"/>
      <c r="D210" s="60"/>
      <c r="E210" s="9">
        <v>573</v>
      </c>
      <c r="F210" s="25">
        <v>43224</v>
      </c>
      <c r="G210" s="61"/>
      <c r="H210" s="61"/>
      <c r="I210" s="8"/>
      <c r="J210" s="8"/>
      <c r="K210" s="8"/>
      <c r="L210" s="8"/>
      <c r="M210" s="8"/>
    </row>
    <row r="211" spans="1:13">
      <c r="A211" s="13" t="s">
        <v>427</v>
      </c>
      <c r="B211" s="58">
        <v>91982154420</v>
      </c>
      <c r="C211" s="59"/>
      <c r="D211" s="60"/>
      <c r="E211" s="9">
        <v>1128</v>
      </c>
      <c r="F211" s="25">
        <v>42972</v>
      </c>
      <c r="G211" s="61" t="s">
        <v>20</v>
      </c>
      <c r="H211" s="9"/>
      <c r="I211" s="8"/>
      <c r="J211" s="8"/>
      <c r="K211" s="8"/>
      <c r="L211" s="8"/>
      <c r="M211" s="8"/>
    </row>
    <row r="212" spans="1:13">
      <c r="A212" s="14" t="s">
        <v>428</v>
      </c>
      <c r="B212" s="58">
        <v>25897391840</v>
      </c>
      <c r="C212" s="63" t="s">
        <v>429</v>
      </c>
      <c r="D212" s="60">
        <v>31859827896</v>
      </c>
      <c r="E212" s="9"/>
      <c r="F212" s="25"/>
      <c r="G212" s="61"/>
      <c r="H212" s="61"/>
      <c r="I212" s="8"/>
      <c r="J212" s="8"/>
      <c r="K212" s="8"/>
      <c r="L212" s="8"/>
      <c r="M212" s="8"/>
    </row>
    <row r="213" spans="1:13">
      <c r="A213" s="63" t="s">
        <v>430</v>
      </c>
      <c r="B213" s="58">
        <v>22605780805</v>
      </c>
      <c r="C213" s="63"/>
      <c r="D213" s="60"/>
      <c r="E213" s="9"/>
      <c r="F213" s="25"/>
      <c r="G213" s="61"/>
      <c r="H213" s="61"/>
      <c r="I213" s="8"/>
      <c r="J213" s="8"/>
      <c r="K213" s="8"/>
      <c r="L213" s="8"/>
      <c r="M213" s="8"/>
    </row>
    <row r="214" spans="1:13">
      <c r="A214" s="62" t="s">
        <v>431</v>
      </c>
      <c r="B214" s="58">
        <v>13456595808</v>
      </c>
      <c r="C214" s="63"/>
      <c r="D214" s="60"/>
      <c r="E214" s="9">
        <v>443</v>
      </c>
      <c r="F214" s="25">
        <v>43188</v>
      </c>
      <c r="G214" s="61"/>
      <c r="H214" s="61"/>
      <c r="I214" s="8"/>
      <c r="J214" s="8"/>
      <c r="K214" s="8"/>
      <c r="L214" s="8"/>
      <c r="M214" s="8"/>
    </row>
    <row r="215" spans="1:13">
      <c r="A215" s="62" t="s">
        <v>432</v>
      </c>
      <c r="B215" s="58">
        <v>32841222810</v>
      </c>
      <c r="C215" s="63" t="s">
        <v>433</v>
      </c>
      <c r="D215" s="60">
        <v>80906176549</v>
      </c>
      <c r="E215" s="9">
        <v>262</v>
      </c>
      <c r="F215" s="25">
        <v>43160</v>
      </c>
      <c r="G215" s="61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62" t="s">
        <v>434</v>
      </c>
      <c r="B216" s="58">
        <v>32242692860</v>
      </c>
      <c r="C216" s="63" t="s">
        <v>435</v>
      </c>
      <c r="D216" s="60">
        <v>43538893896</v>
      </c>
      <c r="E216" s="9">
        <v>485</v>
      </c>
      <c r="F216" s="25">
        <v>43196</v>
      </c>
      <c r="G216" s="61"/>
      <c r="H216" s="61"/>
      <c r="I216" s="8"/>
      <c r="J216" s="8"/>
      <c r="K216" s="8"/>
      <c r="L216" s="9">
        <v>483</v>
      </c>
      <c r="M216" s="8"/>
    </row>
    <row r="217" spans="1:13">
      <c r="A217" s="62" t="s">
        <v>436</v>
      </c>
      <c r="B217" s="58">
        <v>7105559462</v>
      </c>
      <c r="C217" s="63"/>
      <c r="D217" s="60"/>
      <c r="E217" s="9">
        <v>573</v>
      </c>
      <c r="F217" s="25">
        <v>43224</v>
      </c>
      <c r="G217" s="61"/>
      <c r="H217" s="61"/>
      <c r="I217" s="8"/>
      <c r="J217" s="8"/>
      <c r="K217" s="8"/>
      <c r="L217" s="8"/>
      <c r="M217" s="8"/>
    </row>
    <row r="218" spans="1:13">
      <c r="A218" s="62" t="s">
        <v>437</v>
      </c>
      <c r="B218" s="58">
        <v>35157366892</v>
      </c>
      <c r="C218" s="63" t="s">
        <v>438</v>
      </c>
      <c r="D218" s="60">
        <v>7540659440</v>
      </c>
      <c r="E218" s="9">
        <v>262</v>
      </c>
      <c r="F218" s="25">
        <v>43160</v>
      </c>
      <c r="G218" s="61" t="s">
        <v>13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439</v>
      </c>
      <c r="B219" s="58">
        <v>28951720802</v>
      </c>
      <c r="C219" s="63"/>
      <c r="D219" s="60"/>
      <c r="E219" s="9">
        <v>1350</v>
      </c>
      <c r="F219" s="25">
        <v>43006</v>
      </c>
      <c r="G219" s="61" t="s">
        <v>13</v>
      </c>
      <c r="H219" s="61"/>
      <c r="I219" s="8"/>
      <c r="J219" s="8"/>
      <c r="K219" s="8"/>
      <c r="L219" s="8"/>
      <c r="M219" s="8"/>
    </row>
    <row r="220" spans="1:13">
      <c r="A220" s="15" t="s">
        <v>440</v>
      </c>
      <c r="B220" s="58">
        <v>86052484594</v>
      </c>
      <c r="C220" s="63" t="s">
        <v>441</v>
      </c>
      <c r="D220" s="60">
        <v>5551698556</v>
      </c>
      <c r="E220" s="9">
        <v>117</v>
      </c>
      <c r="F220" s="25">
        <v>43117</v>
      </c>
      <c r="G220" s="61" t="s">
        <v>13</v>
      </c>
      <c r="H220" s="61"/>
      <c r="I220" s="8"/>
      <c r="J220" s="8"/>
      <c r="K220" s="8"/>
      <c r="L220" s="9" t="s">
        <v>170</v>
      </c>
      <c r="M220" s="8"/>
    </row>
    <row r="221" spans="1:13">
      <c r="A221" s="15" t="s">
        <v>442</v>
      </c>
      <c r="B221" s="58">
        <v>32193061874</v>
      </c>
      <c r="C221" s="63" t="s">
        <v>443</v>
      </c>
      <c r="D221" s="60">
        <v>31315741865</v>
      </c>
      <c r="E221" s="9"/>
      <c r="F221" s="25"/>
      <c r="G221" s="61"/>
      <c r="H221" s="61"/>
      <c r="I221" s="8"/>
      <c r="J221" s="8"/>
      <c r="K221" s="8"/>
      <c r="L221" s="8"/>
      <c r="M221" s="8"/>
    </row>
    <row r="222" spans="1:13">
      <c r="A222" s="27" t="s">
        <v>444</v>
      </c>
      <c r="B222" s="58">
        <v>32729382810</v>
      </c>
      <c r="C222" s="27" t="s">
        <v>445</v>
      </c>
      <c r="D222" s="60">
        <v>27801639847</v>
      </c>
      <c r="E222" s="9"/>
      <c r="F222" s="25"/>
      <c r="G222" s="61"/>
      <c r="H222" s="61"/>
      <c r="I222" s="8"/>
      <c r="J222" s="8"/>
      <c r="K222" s="8"/>
      <c r="L222" s="8"/>
      <c r="M222" s="8"/>
    </row>
    <row r="223" spans="1:13">
      <c r="A223" s="62" t="s">
        <v>446</v>
      </c>
      <c r="B223" s="58">
        <v>32554462879</v>
      </c>
      <c r="C223" s="63" t="s">
        <v>447</v>
      </c>
      <c r="D223" s="60">
        <v>22395211800</v>
      </c>
      <c r="E223" s="9">
        <v>573</v>
      </c>
      <c r="F223" s="25">
        <v>43224</v>
      </c>
      <c r="G223" s="61"/>
      <c r="H223" s="61"/>
      <c r="I223" s="8"/>
      <c r="J223" s="8"/>
      <c r="K223" s="8"/>
      <c r="L223" s="8"/>
      <c r="M223" s="8"/>
    </row>
    <row r="224" spans="1:13">
      <c r="A224" s="62" t="s">
        <v>448</v>
      </c>
      <c r="B224" s="58">
        <v>25897850895</v>
      </c>
      <c r="C224" s="63"/>
      <c r="D224" s="60"/>
      <c r="E224" s="9">
        <v>527</v>
      </c>
      <c r="F224" s="25">
        <v>43210</v>
      </c>
      <c r="G224" s="61"/>
      <c r="H224" s="61"/>
      <c r="I224" s="8"/>
      <c r="J224" s="8"/>
      <c r="K224" s="8"/>
      <c r="L224" s="9">
        <v>528</v>
      </c>
      <c r="M224" s="8"/>
    </row>
    <row r="225" spans="1:13">
      <c r="A225" s="62" t="s">
        <v>449</v>
      </c>
      <c r="B225" s="58">
        <v>31983130826</v>
      </c>
      <c r="C225" s="63"/>
      <c r="D225" s="60"/>
      <c r="E225" s="9">
        <v>527</v>
      </c>
      <c r="F225" s="25">
        <v>43210</v>
      </c>
      <c r="G225" s="61"/>
      <c r="H225" s="61"/>
      <c r="I225" s="8"/>
      <c r="J225" s="8"/>
      <c r="K225" s="8"/>
      <c r="L225" s="9">
        <v>528</v>
      </c>
      <c r="M225" s="8"/>
    </row>
    <row r="226" spans="1:13">
      <c r="A226" s="62" t="s">
        <v>450</v>
      </c>
      <c r="B226" s="58">
        <v>21867202808</v>
      </c>
      <c r="C226" s="63"/>
      <c r="D226" s="60"/>
      <c r="E226" s="9"/>
      <c r="F226" s="25"/>
      <c r="G226" s="61"/>
      <c r="H226" s="61"/>
      <c r="I226" s="8"/>
      <c r="J226" s="8"/>
      <c r="K226" s="8"/>
      <c r="L226" s="8"/>
      <c r="M226" s="8"/>
    </row>
    <row r="227" spans="1:13">
      <c r="A227" s="62" t="s">
        <v>451</v>
      </c>
      <c r="B227" s="58">
        <v>31785766813</v>
      </c>
      <c r="C227" s="63"/>
      <c r="D227" s="60"/>
      <c r="E227" s="9">
        <v>810</v>
      </c>
      <c r="F227" s="25">
        <v>42915</v>
      </c>
      <c r="G227" s="61" t="s">
        <v>13</v>
      </c>
      <c r="H227" s="61"/>
      <c r="I227" s="8"/>
      <c r="J227" s="8"/>
      <c r="K227" s="8"/>
      <c r="L227" s="9" t="s">
        <v>138</v>
      </c>
      <c r="M227" s="8"/>
    </row>
    <row r="228" spans="1:13">
      <c r="A228" s="63" t="s">
        <v>452</v>
      </c>
      <c r="B228" s="58">
        <v>39961258878</v>
      </c>
      <c r="C228" s="63" t="s">
        <v>453</v>
      </c>
      <c r="D228" s="60">
        <v>36141502830</v>
      </c>
      <c r="E228" s="9"/>
      <c r="F228" s="25"/>
      <c r="G228" s="61"/>
      <c r="H228" s="61"/>
      <c r="I228" s="8"/>
      <c r="J228" s="8"/>
      <c r="K228" s="8"/>
      <c r="L228" s="8"/>
      <c r="M228" s="8"/>
    </row>
    <row r="229" spans="1:13">
      <c r="A229" s="29" t="s">
        <v>454</v>
      </c>
      <c r="B229" s="58">
        <v>47054624831</v>
      </c>
      <c r="C229" s="27"/>
      <c r="D229" s="60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62" t="s">
        <v>455</v>
      </c>
      <c r="B230" s="58">
        <v>35719819878</v>
      </c>
      <c r="C230" s="63" t="s">
        <v>456</v>
      </c>
      <c r="D230" s="60">
        <v>11407737473</v>
      </c>
      <c r="E230" s="9">
        <v>1214</v>
      </c>
      <c r="F230" s="25">
        <v>42989</v>
      </c>
      <c r="G230" s="61" t="s">
        <v>13</v>
      </c>
      <c r="H230" s="61"/>
      <c r="I230" s="8"/>
      <c r="J230" s="8"/>
      <c r="K230" s="8"/>
      <c r="L230" s="8"/>
      <c r="M230" s="8"/>
    </row>
    <row r="231" spans="1:13">
      <c r="A231" s="13" t="s">
        <v>457</v>
      </c>
      <c r="B231" s="58">
        <v>45813645829</v>
      </c>
      <c r="C231" s="59" t="s">
        <v>458</v>
      </c>
      <c r="D231" s="60">
        <v>40890894841</v>
      </c>
      <c r="E231" s="9">
        <v>1752</v>
      </c>
      <c r="F231" s="25">
        <v>43051</v>
      </c>
      <c r="G231" s="61" t="s">
        <v>13</v>
      </c>
      <c r="H231" s="61"/>
      <c r="I231" s="8"/>
      <c r="J231" s="8"/>
      <c r="K231" s="8"/>
      <c r="L231" s="9">
        <v>1759</v>
      </c>
      <c r="M231" s="8"/>
    </row>
    <row r="232" spans="1:13">
      <c r="A232" s="15" t="s">
        <v>459</v>
      </c>
      <c r="B232" s="58">
        <v>43811085824</v>
      </c>
      <c r="C232" s="15" t="s">
        <v>460</v>
      </c>
      <c r="D232" s="60">
        <v>42304979890</v>
      </c>
      <c r="E232" s="9"/>
      <c r="F232" s="25"/>
      <c r="G232" s="61"/>
      <c r="H232" s="61"/>
      <c r="I232" s="8"/>
      <c r="J232" s="8"/>
      <c r="K232" s="8"/>
      <c r="L232" s="8"/>
      <c r="M232" s="8"/>
    </row>
    <row r="233" spans="1:13">
      <c r="A233" s="62" t="s">
        <v>461</v>
      </c>
      <c r="B233" s="58">
        <v>50470146818</v>
      </c>
      <c r="C233" s="68"/>
      <c r="D233" s="60"/>
      <c r="E233" s="9">
        <v>563</v>
      </c>
      <c r="F233" s="25">
        <v>43217</v>
      </c>
      <c r="G233" s="61"/>
      <c r="H233" s="61"/>
      <c r="I233" s="8"/>
      <c r="J233" s="8"/>
      <c r="K233" s="8"/>
      <c r="L233" s="9" t="s">
        <v>299</v>
      </c>
      <c r="M233" s="8"/>
    </row>
    <row r="234" spans="1:13">
      <c r="A234" s="27" t="s">
        <v>462</v>
      </c>
      <c r="B234" s="58"/>
      <c r="C234" s="18" t="s">
        <v>129</v>
      </c>
      <c r="D234" s="60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463</v>
      </c>
      <c r="B235" s="58">
        <v>33287840800</v>
      </c>
      <c r="C235" s="63"/>
      <c r="D235" s="60"/>
      <c r="E235" s="9"/>
      <c r="F235" s="25"/>
      <c r="G235" s="61"/>
      <c r="H235" s="61"/>
      <c r="I235" s="8"/>
      <c r="J235" s="8"/>
      <c r="K235" s="8"/>
      <c r="L235" s="8"/>
      <c r="M235" s="8"/>
    </row>
    <row r="236" spans="1:13">
      <c r="A236" s="62" t="s">
        <v>464</v>
      </c>
      <c r="B236" s="58">
        <v>31518758827</v>
      </c>
      <c r="C236" s="63"/>
      <c r="D236" s="60"/>
      <c r="E236" s="9">
        <v>292</v>
      </c>
      <c r="F236" s="25">
        <v>43168</v>
      </c>
      <c r="G236" s="61" t="s">
        <v>13</v>
      </c>
      <c r="H236" s="61"/>
      <c r="I236" s="8"/>
      <c r="J236" s="8"/>
      <c r="K236" s="8"/>
      <c r="L236" s="9">
        <v>318</v>
      </c>
      <c r="M236" s="8"/>
    </row>
    <row r="237" spans="1:13">
      <c r="A237" s="62" t="s">
        <v>465</v>
      </c>
      <c r="B237" s="58">
        <v>86221152593</v>
      </c>
      <c r="C237" s="63" t="s">
        <v>466</v>
      </c>
      <c r="D237" s="60">
        <v>3688414560</v>
      </c>
      <c r="E237" s="9">
        <v>1214</v>
      </c>
      <c r="F237" s="25">
        <v>42989</v>
      </c>
      <c r="G237" s="61" t="s">
        <v>13</v>
      </c>
      <c r="H237" s="61"/>
      <c r="I237" s="8"/>
      <c r="J237" s="8"/>
      <c r="K237" s="8"/>
      <c r="L237" s="8"/>
      <c r="M237" s="8"/>
    </row>
    <row r="238" spans="1:13">
      <c r="A238" s="15" t="s">
        <v>467</v>
      </c>
      <c r="B238" s="58">
        <v>5918222456</v>
      </c>
      <c r="C238" s="63" t="s">
        <v>468</v>
      </c>
      <c r="D238" s="60">
        <v>22995243800</v>
      </c>
      <c r="E238" s="9"/>
      <c r="F238" s="25"/>
      <c r="G238" s="61"/>
      <c r="H238" s="61"/>
      <c r="I238" s="8"/>
      <c r="J238" s="8"/>
      <c r="K238" s="8"/>
      <c r="L238" s="8"/>
      <c r="M238" s="8"/>
    </row>
    <row r="239" spans="1:13">
      <c r="A239" s="62" t="s">
        <v>469</v>
      </c>
      <c r="B239" s="58">
        <v>37239200809</v>
      </c>
      <c r="C239" s="63" t="s">
        <v>470</v>
      </c>
      <c r="D239" s="60">
        <v>36014828869</v>
      </c>
      <c r="E239" s="9">
        <v>1350</v>
      </c>
      <c r="F239" s="25">
        <v>43006</v>
      </c>
      <c r="G239" s="61" t="s">
        <v>13</v>
      </c>
      <c r="H239" s="61"/>
      <c r="I239" s="8"/>
      <c r="J239" s="8"/>
      <c r="K239" s="8"/>
      <c r="L239" s="8"/>
      <c r="M239" s="8"/>
    </row>
    <row r="240" spans="1:13">
      <c r="A240" s="62" t="s">
        <v>471</v>
      </c>
      <c r="B240" s="58">
        <v>6620279813</v>
      </c>
      <c r="C240" s="63" t="s">
        <v>472</v>
      </c>
      <c r="D240" s="60">
        <v>18461089855</v>
      </c>
      <c r="E240" s="9">
        <v>1824</v>
      </c>
      <c r="F240" s="25">
        <v>43091</v>
      </c>
      <c r="G240" s="61" t="s">
        <v>13</v>
      </c>
      <c r="H240" s="61"/>
      <c r="I240" s="8"/>
      <c r="J240" s="8"/>
      <c r="K240" s="8"/>
      <c r="L240" s="9">
        <v>1828</v>
      </c>
      <c r="M240" s="8"/>
    </row>
    <row r="241" spans="1:13">
      <c r="A241" s="75" t="s">
        <v>473</v>
      </c>
      <c r="B241" s="58">
        <v>11805424874</v>
      </c>
      <c r="C241" s="68" t="s">
        <v>474</v>
      </c>
      <c r="D241" s="60">
        <v>13513057865</v>
      </c>
      <c r="E241" s="9"/>
      <c r="F241" s="25"/>
      <c r="G241" s="61"/>
      <c r="H241" s="61"/>
      <c r="I241" s="8"/>
      <c r="J241" s="8"/>
      <c r="K241" s="8"/>
      <c r="L241" s="8"/>
      <c r="M241" s="8"/>
    </row>
    <row r="242" spans="1:13">
      <c r="A242" s="14" t="s">
        <v>475</v>
      </c>
      <c r="B242" s="58">
        <v>39444568822</v>
      </c>
      <c r="C242" s="63"/>
      <c r="D242" s="60"/>
      <c r="E242" s="9">
        <v>262</v>
      </c>
      <c r="F242" s="25">
        <v>43160</v>
      </c>
      <c r="G242" s="61" t="s">
        <v>13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476</v>
      </c>
      <c r="B243" s="58">
        <v>39423733867</v>
      </c>
      <c r="C243" s="63"/>
      <c r="D243" s="60"/>
      <c r="E243" s="9">
        <v>85</v>
      </c>
      <c r="F243" s="25">
        <v>43109</v>
      </c>
      <c r="G243" s="61" t="s">
        <v>13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477</v>
      </c>
      <c r="B244" s="58">
        <v>34001342871</v>
      </c>
      <c r="C244" s="18" t="s">
        <v>478</v>
      </c>
      <c r="D244" s="60">
        <v>87924803300</v>
      </c>
      <c r="E244" s="9"/>
      <c r="F244" s="25"/>
      <c r="G244" s="61"/>
      <c r="H244" s="61"/>
      <c r="I244" s="8"/>
      <c r="J244" s="8"/>
      <c r="K244" s="8"/>
      <c r="L244" s="8"/>
      <c r="M244" s="8"/>
    </row>
    <row r="245" spans="1:13">
      <c r="A245" s="62" t="s">
        <v>479</v>
      </c>
      <c r="B245" s="58">
        <v>31939758858</v>
      </c>
      <c r="C245" s="63"/>
      <c r="D245" s="60"/>
      <c r="E245" s="9">
        <v>262</v>
      </c>
      <c r="F245" s="25">
        <v>43160</v>
      </c>
      <c r="G245" s="61" t="s">
        <v>13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62" t="s">
        <v>480</v>
      </c>
      <c r="B246" s="58">
        <v>18199193824</v>
      </c>
      <c r="C246" s="63"/>
      <c r="D246" s="60"/>
      <c r="E246" s="9">
        <v>527</v>
      </c>
      <c r="F246" s="25">
        <v>43210</v>
      </c>
      <c r="G246" s="61"/>
      <c r="H246" s="61"/>
      <c r="I246" s="8"/>
      <c r="J246" s="8"/>
      <c r="K246" s="8"/>
      <c r="L246" s="9">
        <v>528</v>
      </c>
      <c r="M246" s="8"/>
    </row>
    <row r="247" spans="1:13">
      <c r="A247" s="14" t="s">
        <v>481</v>
      </c>
      <c r="B247" s="58">
        <v>1308082533</v>
      </c>
      <c r="C247" s="63" t="s">
        <v>482</v>
      </c>
      <c r="D247" s="60">
        <v>73690139520</v>
      </c>
      <c r="E247" s="9">
        <v>262</v>
      </c>
      <c r="F247" s="25">
        <v>43160</v>
      </c>
      <c r="G247" s="61" t="s">
        <v>13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483</v>
      </c>
      <c r="B248" s="58">
        <v>27084998829</v>
      </c>
      <c r="C248" s="63"/>
      <c r="D248" s="60"/>
      <c r="E248" s="9">
        <v>117</v>
      </c>
      <c r="F248" s="25">
        <v>43117</v>
      </c>
      <c r="G248" s="61" t="s">
        <v>13</v>
      </c>
      <c r="H248" s="61"/>
      <c r="I248" s="8"/>
      <c r="J248" s="8"/>
      <c r="K248" s="8"/>
      <c r="L248" s="9" t="s">
        <v>170</v>
      </c>
      <c r="M248" s="8"/>
    </row>
    <row r="249" spans="1:13">
      <c r="A249" s="62" t="s">
        <v>484</v>
      </c>
      <c r="B249" s="58">
        <v>4068496846</v>
      </c>
      <c r="C249" s="63" t="s">
        <v>485</v>
      </c>
      <c r="D249" s="60">
        <v>26922524896</v>
      </c>
      <c r="E249" s="9">
        <v>1752</v>
      </c>
      <c r="F249" s="25">
        <v>43051</v>
      </c>
      <c r="G249" s="61" t="s">
        <v>13</v>
      </c>
      <c r="H249" s="61"/>
      <c r="I249" s="8"/>
      <c r="J249" s="8"/>
      <c r="K249" s="8"/>
      <c r="L249" s="9">
        <v>1759</v>
      </c>
      <c r="M249" s="8"/>
    </row>
    <row r="250" spans="1:13">
      <c r="A250" s="15" t="s">
        <v>486</v>
      </c>
      <c r="B250" s="58">
        <v>92175163849</v>
      </c>
      <c r="C250" s="63" t="s">
        <v>487</v>
      </c>
      <c r="D250" s="60">
        <v>21955511861</v>
      </c>
      <c r="E250" s="9"/>
      <c r="F250" s="25"/>
      <c r="G250" s="61"/>
      <c r="H250" s="61"/>
      <c r="I250" s="8"/>
      <c r="J250" s="8"/>
      <c r="K250" s="8"/>
      <c r="L250" s="8"/>
      <c r="M250" s="8"/>
    </row>
    <row r="251" spans="1:13">
      <c r="A251" s="18" t="s">
        <v>488</v>
      </c>
      <c r="B251" s="58">
        <v>76906388304</v>
      </c>
      <c r="C251" s="18" t="s">
        <v>489</v>
      </c>
      <c r="D251" s="60">
        <v>93161590</v>
      </c>
      <c r="E251" s="9"/>
      <c r="F251" s="25"/>
      <c r="G251" s="61"/>
      <c r="H251" s="61"/>
      <c r="I251" s="8"/>
      <c r="J251" s="8"/>
      <c r="K251" s="8"/>
      <c r="L251" s="8"/>
      <c r="M251" s="8"/>
    </row>
    <row r="252" spans="1:13">
      <c r="A252" s="15" t="s">
        <v>490</v>
      </c>
      <c r="B252" s="58">
        <v>25569397884</v>
      </c>
      <c r="C252" s="63"/>
      <c r="D252" s="60"/>
      <c r="E252" s="9">
        <v>117</v>
      </c>
      <c r="F252" s="25">
        <v>43117</v>
      </c>
      <c r="G252" s="61" t="s">
        <v>13</v>
      </c>
      <c r="H252" s="61"/>
      <c r="I252" s="8"/>
      <c r="J252" s="8"/>
      <c r="K252" s="8"/>
      <c r="L252" s="9" t="s">
        <v>170</v>
      </c>
      <c r="M252" s="8"/>
    </row>
    <row r="253" spans="1:13">
      <c r="A253" s="62" t="s">
        <v>491</v>
      </c>
      <c r="B253" s="58">
        <v>2925106323</v>
      </c>
      <c r="C253" s="63" t="s">
        <v>492</v>
      </c>
      <c r="D253" s="60">
        <v>16131378851</v>
      </c>
      <c r="E253" s="9">
        <v>1214</v>
      </c>
      <c r="F253" s="25">
        <v>42989</v>
      </c>
      <c r="G253" s="61" t="s">
        <v>13</v>
      </c>
      <c r="H253" s="61"/>
      <c r="I253" s="8"/>
      <c r="J253" s="8"/>
      <c r="K253" s="8"/>
      <c r="L253" s="8"/>
      <c r="M253" s="8"/>
    </row>
    <row r="254" spans="1:13">
      <c r="A254" s="13" t="s">
        <v>493</v>
      </c>
      <c r="B254" s="58">
        <v>33865569811</v>
      </c>
      <c r="C254" s="59"/>
      <c r="D254" s="60"/>
      <c r="E254" s="9">
        <v>1267</v>
      </c>
      <c r="F254" s="25">
        <v>42998</v>
      </c>
      <c r="G254" s="61" t="s">
        <v>13</v>
      </c>
      <c r="H254" s="61"/>
      <c r="I254" s="8"/>
      <c r="J254" s="8"/>
      <c r="K254" s="8"/>
      <c r="L254" s="8"/>
      <c r="M254" s="8"/>
    </row>
    <row r="255" spans="1:13">
      <c r="A255" s="13" t="s">
        <v>494</v>
      </c>
      <c r="B255" s="58">
        <v>30871120895</v>
      </c>
      <c r="C255" s="59" t="s">
        <v>495</v>
      </c>
      <c r="D255" s="60">
        <v>7635106457</v>
      </c>
      <c r="E255" s="9">
        <v>1241</v>
      </c>
      <c r="F255" s="25">
        <v>42992</v>
      </c>
      <c r="G255" s="61" t="s">
        <v>13</v>
      </c>
      <c r="H255" s="61"/>
      <c r="I255" s="8"/>
      <c r="J255" s="8"/>
      <c r="K255" s="8"/>
      <c r="L255" s="8"/>
      <c r="M255" s="8"/>
    </row>
    <row r="256" spans="1:13">
      <c r="A256" s="62" t="s">
        <v>496</v>
      </c>
      <c r="B256" s="58">
        <v>32016102837</v>
      </c>
      <c r="C256" s="63" t="s">
        <v>497</v>
      </c>
      <c r="D256" s="60">
        <v>25077406553</v>
      </c>
      <c r="E256" s="9">
        <v>292</v>
      </c>
      <c r="F256" s="25">
        <v>43168</v>
      </c>
      <c r="G256" s="61" t="s">
        <v>13</v>
      </c>
      <c r="H256" s="61"/>
      <c r="I256" s="8"/>
      <c r="J256" s="8"/>
      <c r="K256" s="8"/>
      <c r="L256" s="9">
        <v>318</v>
      </c>
      <c r="M256" s="8"/>
    </row>
    <row r="257" spans="1:13">
      <c r="A257" s="63" t="s">
        <v>498</v>
      </c>
      <c r="B257" s="58">
        <v>14226894847</v>
      </c>
      <c r="C257" s="63"/>
      <c r="D257" s="60"/>
      <c r="E257" s="9"/>
      <c r="F257" s="25"/>
      <c r="G257" s="61"/>
      <c r="H257" s="61"/>
      <c r="I257" s="8"/>
      <c r="J257" s="8"/>
      <c r="K257" s="8"/>
      <c r="L257" s="8"/>
      <c r="M257" s="8"/>
    </row>
    <row r="258" spans="1:13">
      <c r="A258" s="63" t="s">
        <v>499</v>
      </c>
      <c r="B258" s="58">
        <v>98689622772</v>
      </c>
      <c r="C258" s="63"/>
      <c r="D258" s="60"/>
      <c r="E258" s="9"/>
      <c r="F258" s="25"/>
      <c r="G258" s="61"/>
      <c r="H258" s="61"/>
      <c r="I258" s="8"/>
      <c r="J258" s="8"/>
      <c r="K258" s="8"/>
      <c r="L258" s="8"/>
      <c r="M258" s="8"/>
    </row>
    <row r="259" spans="1:13">
      <c r="A259" s="62" t="s">
        <v>500</v>
      </c>
      <c r="B259" s="58">
        <v>9722798812</v>
      </c>
      <c r="C259" s="63"/>
      <c r="D259" s="60"/>
      <c r="E259" s="9"/>
      <c r="F259" s="25"/>
      <c r="G259" s="61"/>
      <c r="H259" s="61"/>
      <c r="I259" s="8"/>
      <c r="J259" s="8"/>
      <c r="K259" s="8"/>
      <c r="L259" s="8"/>
      <c r="M259" s="8"/>
    </row>
    <row r="260" spans="1:13">
      <c r="A260" s="62" t="s">
        <v>501</v>
      </c>
      <c r="B260" s="58">
        <v>23448937843</v>
      </c>
      <c r="C260" s="63"/>
      <c r="D260" s="60"/>
      <c r="E260" s="9">
        <v>1439</v>
      </c>
      <c r="F260" s="25">
        <v>43025</v>
      </c>
      <c r="G260" s="61" t="s">
        <v>13</v>
      </c>
      <c r="H260" s="61"/>
      <c r="I260" s="8"/>
      <c r="J260" s="8"/>
      <c r="K260" s="8"/>
      <c r="L260" s="9" t="s">
        <v>502</v>
      </c>
      <c r="M260" s="8"/>
    </row>
    <row r="261" spans="1:13">
      <c r="A261" s="15" t="s">
        <v>503</v>
      </c>
      <c r="B261" s="58">
        <v>18856620847</v>
      </c>
      <c r="C261" s="63" t="s">
        <v>504</v>
      </c>
      <c r="D261" s="60">
        <v>60739592815</v>
      </c>
      <c r="E261" s="9">
        <v>443</v>
      </c>
      <c r="F261" s="25">
        <v>43188</v>
      </c>
      <c r="G261" s="61"/>
      <c r="H261" s="61"/>
      <c r="I261" s="8"/>
      <c r="J261" s="8"/>
      <c r="K261" s="8"/>
      <c r="L261" s="8"/>
      <c r="M261" s="8"/>
    </row>
    <row r="262" spans="1:13">
      <c r="A262" s="13" t="s">
        <v>505</v>
      </c>
      <c r="B262" s="58">
        <v>9733441805</v>
      </c>
      <c r="C262" s="63"/>
      <c r="D262" s="60"/>
      <c r="E262" s="9"/>
      <c r="F262" s="25"/>
      <c r="G262" s="61"/>
      <c r="H262" s="61"/>
      <c r="I262" s="8"/>
      <c r="J262" s="8"/>
      <c r="K262" s="8"/>
      <c r="L262" s="8"/>
      <c r="M262" s="8"/>
    </row>
    <row r="263" spans="1:13">
      <c r="A263" s="62" t="s">
        <v>506</v>
      </c>
      <c r="B263" s="58">
        <v>2766966382</v>
      </c>
      <c r="C263" s="63" t="s">
        <v>507</v>
      </c>
      <c r="D263" s="60">
        <v>2385838303</v>
      </c>
      <c r="E263" s="9">
        <v>262</v>
      </c>
      <c r="F263" s="25">
        <v>43160</v>
      </c>
      <c r="G263" s="61" t="s">
        <v>13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62" t="s">
        <v>508</v>
      </c>
      <c r="B264" s="58">
        <v>17092493315</v>
      </c>
      <c r="C264" s="68"/>
      <c r="D264" s="60"/>
      <c r="E264" s="9"/>
      <c r="F264" s="25"/>
      <c r="G264" s="61"/>
      <c r="H264" s="61"/>
      <c r="I264" s="8"/>
      <c r="J264" s="8"/>
      <c r="K264" s="8"/>
      <c r="L264" s="8"/>
      <c r="M264" s="8"/>
    </row>
    <row r="265" spans="1:13">
      <c r="A265" s="15" t="s">
        <v>509</v>
      </c>
      <c r="B265" s="58">
        <v>15697775865</v>
      </c>
      <c r="C265" s="63"/>
      <c r="D265" s="60"/>
      <c r="E265" s="9">
        <v>229</v>
      </c>
      <c r="F265" s="25">
        <v>43151</v>
      </c>
      <c r="G265" s="61" t="s">
        <v>13</v>
      </c>
      <c r="H265" s="61"/>
      <c r="I265" s="8"/>
      <c r="J265" s="8"/>
      <c r="K265" s="8"/>
      <c r="L265" s="9">
        <v>232</v>
      </c>
      <c r="M265" s="8"/>
    </row>
    <row r="266" spans="1:13">
      <c r="A266" s="62" t="s">
        <v>510</v>
      </c>
      <c r="B266" s="58">
        <v>2612745386</v>
      </c>
      <c r="C266" s="63"/>
      <c r="D266" s="60"/>
      <c r="E266" s="9">
        <v>1214</v>
      </c>
      <c r="F266" s="25">
        <v>42989</v>
      </c>
      <c r="G266" s="61" t="s">
        <v>13</v>
      </c>
      <c r="H266" s="61"/>
      <c r="I266" s="8"/>
      <c r="J266" s="8"/>
      <c r="K266" s="8"/>
      <c r="L266" s="8"/>
      <c r="M266" s="8"/>
    </row>
    <row r="267" spans="1:13">
      <c r="A267" s="62" t="s">
        <v>511</v>
      </c>
      <c r="B267" s="58">
        <v>22511943808</v>
      </c>
      <c r="C267" s="63"/>
      <c r="D267" s="60"/>
      <c r="E267" s="9">
        <v>292</v>
      </c>
      <c r="F267" s="25">
        <v>43168</v>
      </c>
      <c r="G267" s="61" t="s">
        <v>13</v>
      </c>
      <c r="H267" s="61"/>
      <c r="I267" s="8"/>
      <c r="J267" s="8"/>
      <c r="K267" s="8"/>
      <c r="L267" s="9">
        <v>318</v>
      </c>
      <c r="M267" s="8"/>
    </row>
    <row r="268" spans="1:13">
      <c r="A268" s="62" t="s">
        <v>512</v>
      </c>
      <c r="B268" s="58">
        <v>24937124803</v>
      </c>
      <c r="C268" s="63"/>
      <c r="D268" s="60"/>
      <c r="E268" s="9">
        <v>1752</v>
      </c>
      <c r="F268" s="25">
        <v>43051</v>
      </c>
      <c r="G268" s="61" t="s">
        <v>13</v>
      </c>
      <c r="H268" s="61"/>
      <c r="I268" s="8"/>
      <c r="J268" s="8"/>
      <c r="K268" s="8"/>
      <c r="L268" s="9">
        <v>1759</v>
      </c>
      <c r="M268" s="8"/>
    </row>
    <row r="269" spans="1:13">
      <c r="A269" s="62" t="s">
        <v>513</v>
      </c>
      <c r="B269" s="58">
        <v>10705957802</v>
      </c>
      <c r="C269" s="63"/>
      <c r="D269" s="60"/>
      <c r="E269" s="9">
        <v>292</v>
      </c>
      <c r="F269" s="25">
        <v>43168</v>
      </c>
      <c r="G269" s="61" t="s">
        <v>13</v>
      </c>
      <c r="H269" s="61"/>
      <c r="I269" s="8"/>
      <c r="J269" s="8"/>
      <c r="K269" s="8"/>
      <c r="L269" s="9">
        <v>318</v>
      </c>
      <c r="M269" s="8"/>
    </row>
    <row r="270" spans="1:13">
      <c r="A270" s="62" t="s">
        <v>514</v>
      </c>
      <c r="B270" s="58">
        <v>11697967884</v>
      </c>
      <c r="C270" s="63"/>
      <c r="D270" s="60"/>
      <c r="E270" s="9">
        <v>573</v>
      </c>
      <c r="F270" s="25">
        <v>43224</v>
      </c>
      <c r="G270" s="61"/>
      <c r="H270" s="61"/>
      <c r="I270" s="8"/>
      <c r="J270" s="8"/>
      <c r="K270" s="8"/>
      <c r="L270" s="8"/>
      <c r="M270" s="8"/>
    </row>
    <row r="271" spans="1:13">
      <c r="A271" s="62" t="s">
        <v>515</v>
      </c>
      <c r="B271" s="58">
        <v>14780099854</v>
      </c>
      <c r="C271" s="63"/>
      <c r="D271" s="60"/>
      <c r="E271" s="9">
        <v>1489</v>
      </c>
      <c r="F271" s="25">
        <v>43038</v>
      </c>
      <c r="G271" s="61" t="s">
        <v>13</v>
      </c>
      <c r="H271" s="61"/>
      <c r="I271" s="8"/>
      <c r="J271" s="8"/>
      <c r="K271" s="8"/>
      <c r="L271" s="9" t="s">
        <v>160</v>
      </c>
      <c r="M271" s="8"/>
    </row>
    <row r="272" spans="1:13">
      <c r="A272" s="62" t="s">
        <v>516</v>
      </c>
      <c r="B272" s="58">
        <v>4788584859</v>
      </c>
      <c r="C272" s="63"/>
      <c r="D272" s="60"/>
      <c r="E272" s="9"/>
      <c r="F272" s="25"/>
      <c r="G272" s="61"/>
      <c r="H272" s="61"/>
      <c r="I272" s="8"/>
      <c r="J272" s="8"/>
      <c r="K272" s="8"/>
      <c r="L272" s="8"/>
      <c r="M272" s="8"/>
    </row>
    <row r="273" spans="1:13">
      <c r="A273" s="62" t="s">
        <v>517</v>
      </c>
      <c r="B273" s="58">
        <v>32823382879</v>
      </c>
      <c r="C273" s="63"/>
      <c r="D273" s="60"/>
      <c r="E273" s="9">
        <v>1489</v>
      </c>
      <c r="F273" s="25">
        <v>43038</v>
      </c>
      <c r="G273" s="61" t="s">
        <v>13</v>
      </c>
      <c r="H273" s="61"/>
      <c r="I273" s="8"/>
      <c r="J273" s="8"/>
      <c r="K273" s="8"/>
      <c r="L273" s="9" t="s">
        <v>160</v>
      </c>
      <c r="M273" s="8"/>
    </row>
    <row r="274" spans="1:13">
      <c r="A274" s="62" t="s">
        <v>518</v>
      </c>
      <c r="B274" s="58">
        <v>8647099869</v>
      </c>
      <c r="C274" s="63"/>
      <c r="D274" s="60"/>
      <c r="E274" s="9">
        <v>1752</v>
      </c>
      <c r="F274" s="25">
        <v>43051</v>
      </c>
      <c r="G274" s="61" t="s">
        <v>13</v>
      </c>
      <c r="H274" s="61"/>
      <c r="I274" s="8"/>
      <c r="J274" s="8"/>
      <c r="K274" s="8"/>
      <c r="L274" s="9">
        <v>1759</v>
      </c>
      <c r="M274" s="8"/>
    </row>
    <row r="275" spans="1:13">
      <c r="A275" s="63" t="s">
        <v>519</v>
      </c>
      <c r="B275" s="58">
        <v>27546228883</v>
      </c>
      <c r="C275" s="63"/>
      <c r="D275" s="60"/>
      <c r="E275" s="9"/>
      <c r="F275" s="25"/>
      <c r="G275" s="61"/>
      <c r="H275" s="61"/>
      <c r="I275" s="8"/>
      <c r="J275" s="8"/>
      <c r="K275" s="8"/>
      <c r="L275" s="8"/>
      <c r="M275" s="8"/>
    </row>
    <row r="276" spans="1:13">
      <c r="A276" s="62" t="s">
        <v>520</v>
      </c>
      <c r="B276" s="58">
        <v>37354059838</v>
      </c>
      <c r="C276" s="63"/>
      <c r="D276" s="60"/>
      <c r="E276" s="9">
        <v>810</v>
      </c>
      <c r="F276" s="25">
        <v>42915</v>
      </c>
      <c r="G276" s="61" t="s">
        <v>13</v>
      </c>
      <c r="H276" s="61"/>
      <c r="I276" s="8"/>
      <c r="J276" s="8"/>
      <c r="K276" s="8"/>
      <c r="L276" s="9" t="s">
        <v>138</v>
      </c>
      <c r="M276" s="8"/>
    </row>
    <row r="277" spans="1:13">
      <c r="A277" s="13" t="s">
        <v>521</v>
      </c>
      <c r="B277" s="58">
        <v>60319631591</v>
      </c>
      <c r="C277" s="63"/>
      <c r="D277" s="60"/>
      <c r="E277" s="9"/>
      <c r="F277" s="25"/>
      <c r="G277" s="61"/>
      <c r="H277" s="61"/>
      <c r="I277" s="8"/>
      <c r="J277" s="8"/>
      <c r="K277" s="8"/>
      <c r="L277" s="8"/>
      <c r="M277" s="8"/>
    </row>
    <row r="278" spans="1:13">
      <c r="A278" s="62" t="s">
        <v>522</v>
      </c>
      <c r="B278" s="58">
        <v>27642817819</v>
      </c>
      <c r="C278" s="63"/>
      <c r="D278" s="60"/>
      <c r="E278" s="9">
        <v>1241</v>
      </c>
      <c r="F278" s="25">
        <v>42992</v>
      </c>
      <c r="G278" s="61" t="s">
        <v>13</v>
      </c>
      <c r="H278" s="61"/>
      <c r="I278" s="8"/>
      <c r="J278" s="8"/>
      <c r="K278" s="8"/>
      <c r="L278" s="8"/>
      <c r="M278" s="8"/>
    </row>
    <row r="279" spans="1:13">
      <c r="A279" s="62" t="s">
        <v>523</v>
      </c>
      <c r="B279" s="58">
        <v>30096895861</v>
      </c>
      <c r="C279" s="63"/>
      <c r="D279" s="60"/>
      <c r="E279" s="9"/>
      <c r="F279" s="25"/>
      <c r="G279" s="61"/>
      <c r="H279" s="61"/>
      <c r="I279" s="8"/>
      <c r="J279" s="8"/>
      <c r="K279" s="8"/>
      <c r="L279" s="8"/>
      <c r="M279" s="8"/>
    </row>
    <row r="280" spans="1:13">
      <c r="A280" s="14" t="s">
        <v>524</v>
      </c>
      <c r="B280" s="58">
        <v>85580368887</v>
      </c>
      <c r="C280" s="63"/>
      <c r="D280" s="60"/>
      <c r="E280" s="9">
        <v>262</v>
      </c>
      <c r="F280" s="25">
        <v>43160</v>
      </c>
      <c r="G280" s="61" t="s">
        <v>13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63" t="s">
        <v>525</v>
      </c>
      <c r="B281" s="58">
        <v>5261128838</v>
      </c>
      <c r="C281" s="63" t="s">
        <v>526</v>
      </c>
      <c r="D281" s="60">
        <v>10082825882</v>
      </c>
      <c r="E281" s="9"/>
      <c r="F281" s="25"/>
      <c r="G281" s="61"/>
      <c r="H281" s="61"/>
      <c r="I281" s="8"/>
      <c r="J281" s="8"/>
      <c r="K281" s="8"/>
      <c r="L281" s="8"/>
      <c r="M281" s="8"/>
    </row>
    <row r="282" spans="1:13">
      <c r="A282" s="27" t="s">
        <v>527</v>
      </c>
      <c r="B282" s="58">
        <v>69929696334</v>
      </c>
      <c r="C282" s="18"/>
      <c r="D282" s="60"/>
      <c r="E282" s="9"/>
      <c r="F282" s="25"/>
      <c r="G282" s="61"/>
      <c r="H282" s="61"/>
      <c r="I282" s="8"/>
      <c r="J282" s="8"/>
      <c r="K282" s="8"/>
      <c r="L282" s="8"/>
      <c r="M282" s="8"/>
    </row>
    <row r="283" spans="1:13">
      <c r="A283" s="62" t="s">
        <v>528</v>
      </c>
      <c r="B283" s="58">
        <v>37793221885</v>
      </c>
      <c r="C283" s="63"/>
      <c r="D283" s="60"/>
      <c r="E283" s="9">
        <v>443</v>
      </c>
      <c r="F283" s="25">
        <v>43188</v>
      </c>
      <c r="G283" s="61"/>
      <c r="H283" s="61"/>
      <c r="I283" s="8"/>
      <c r="J283" s="8"/>
      <c r="K283" s="8"/>
      <c r="L283" s="8"/>
      <c r="M283" s="8"/>
    </row>
    <row r="284" spans="1:13">
      <c r="A284" s="27" t="s">
        <v>529</v>
      </c>
      <c r="B284" s="58"/>
      <c r="C284" s="27" t="s">
        <v>129</v>
      </c>
      <c r="D284" s="60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530</v>
      </c>
      <c r="B285" s="58">
        <v>87671298891</v>
      </c>
      <c r="C285" s="63"/>
      <c r="D285" s="60"/>
      <c r="E285" s="9">
        <v>262</v>
      </c>
      <c r="F285" s="25">
        <v>43160</v>
      </c>
      <c r="G285" s="61" t="s">
        <v>13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531</v>
      </c>
      <c r="B286" s="58">
        <v>60787457868</v>
      </c>
      <c r="C286" s="18"/>
      <c r="D286" s="60"/>
      <c r="E286" s="9"/>
      <c r="F286" s="25"/>
      <c r="G286" s="61"/>
      <c r="H286" s="61"/>
      <c r="I286" s="8"/>
      <c r="J286" s="8"/>
      <c r="K286" s="8"/>
      <c r="L286" s="8"/>
      <c r="M286" s="8"/>
    </row>
    <row r="287" spans="1:13">
      <c r="A287" s="62" t="s">
        <v>532</v>
      </c>
      <c r="B287" s="58">
        <v>49922300320</v>
      </c>
      <c r="C287" s="63"/>
      <c r="D287" s="60"/>
      <c r="E287" s="9">
        <v>1214</v>
      </c>
      <c r="F287" s="25">
        <v>42989</v>
      </c>
      <c r="G287" s="61" t="s">
        <v>13</v>
      </c>
      <c r="H287" s="61"/>
      <c r="I287" s="8"/>
      <c r="J287" s="8"/>
      <c r="K287" s="8"/>
      <c r="L287" s="8"/>
      <c r="M287" s="8"/>
    </row>
    <row r="288" spans="1:13">
      <c r="A288" s="15" t="s">
        <v>533</v>
      </c>
      <c r="B288" s="58">
        <v>14647582809</v>
      </c>
      <c r="C288" s="63"/>
      <c r="D288" s="60"/>
      <c r="E288" s="9">
        <v>262</v>
      </c>
      <c r="F288" s="25">
        <v>43160</v>
      </c>
      <c r="G288" s="61" t="s">
        <v>13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534</v>
      </c>
      <c r="B289" s="58">
        <v>80117694304</v>
      </c>
      <c r="C289" s="63" t="s">
        <v>535</v>
      </c>
      <c r="D289" s="60">
        <v>34557265855</v>
      </c>
      <c r="E289" s="9"/>
      <c r="F289" s="25"/>
      <c r="G289" s="61"/>
      <c r="H289" s="61"/>
      <c r="I289" s="8"/>
      <c r="J289" s="8"/>
      <c r="K289" s="8"/>
      <c r="L289" s="8"/>
      <c r="M289" s="8"/>
    </row>
    <row r="290" spans="1:13">
      <c r="A290" s="18" t="s">
        <v>536</v>
      </c>
      <c r="B290" s="58">
        <v>18531885817</v>
      </c>
      <c r="C290" s="18"/>
      <c r="D290" s="60"/>
      <c r="E290" s="9"/>
      <c r="F290" s="25"/>
      <c r="G290" s="61"/>
      <c r="H290" s="61"/>
      <c r="I290" s="8"/>
      <c r="J290" s="8"/>
      <c r="K290" s="8"/>
      <c r="L290" s="8"/>
      <c r="M290" s="8"/>
    </row>
    <row r="291" spans="1:13">
      <c r="A291" s="62" t="s">
        <v>537</v>
      </c>
      <c r="B291" s="58">
        <v>29573283808</v>
      </c>
      <c r="C291" s="63"/>
      <c r="D291" s="60"/>
      <c r="E291" s="9"/>
      <c r="F291" s="25"/>
      <c r="G291" s="61"/>
      <c r="H291" s="61"/>
      <c r="I291" s="8"/>
      <c r="J291" s="8"/>
      <c r="K291" s="8"/>
      <c r="L291" s="8"/>
      <c r="M291" s="8"/>
    </row>
    <row r="292" spans="1:13">
      <c r="A292" s="15" t="s">
        <v>538</v>
      </c>
      <c r="B292" s="58">
        <v>69227608320</v>
      </c>
      <c r="C292" s="63"/>
      <c r="D292" s="60"/>
      <c r="E292" s="9"/>
      <c r="F292" s="25"/>
      <c r="G292" s="61"/>
      <c r="H292" s="61"/>
      <c r="I292" s="8"/>
      <c r="J292" s="8"/>
      <c r="K292" s="8"/>
      <c r="L292" s="8"/>
      <c r="M292" s="8"/>
    </row>
    <row r="293" spans="1:13">
      <c r="A293" s="62" t="s">
        <v>539</v>
      </c>
      <c r="B293" s="58">
        <v>78169712734</v>
      </c>
      <c r="C293" s="8"/>
      <c r="D293" s="21"/>
      <c r="E293" s="9"/>
      <c r="F293" s="25"/>
      <c r="G293" s="61"/>
      <c r="H293" s="61"/>
      <c r="I293" s="8"/>
      <c r="J293" s="8"/>
      <c r="K293" s="8"/>
      <c r="L293" s="8"/>
      <c r="M293" s="8"/>
    </row>
    <row r="294" spans="1:13">
      <c r="A294" s="62" t="s">
        <v>540</v>
      </c>
      <c r="B294" s="58">
        <v>24560747857</v>
      </c>
      <c r="C294" s="63"/>
      <c r="D294" s="60"/>
      <c r="E294" s="9">
        <v>1106</v>
      </c>
      <c r="F294" s="25">
        <v>42965</v>
      </c>
      <c r="G294" s="61" t="s">
        <v>13</v>
      </c>
      <c r="H294" s="61"/>
      <c r="I294" s="8"/>
      <c r="J294" s="8"/>
      <c r="K294" s="8"/>
      <c r="L294" s="8"/>
      <c r="M294" s="8"/>
    </row>
    <row r="295" spans="1:13">
      <c r="A295" s="62" t="s">
        <v>541</v>
      </c>
      <c r="B295" s="58">
        <v>27654676840</v>
      </c>
      <c r="C295" s="63"/>
      <c r="D295" s="60"/>
      <c r="E295" s="9">
        <v>292</v>
      </c>
      <c r="F295" s="25">
        <v>43168</v>
      </c>
      <c r="G295" s="9" t="s">
        <v>13</v>
      </c>
      <c r="H295" s="9"/>
      <c r="I295" s="8"/>
      <c r="J295" s="8"/>
      <c r="K295" s="8"/>
      <c r="L295" s="9">
        <v>318</v>
      </c>
      <c r="M295" s="8"/>
    </row>
    <row r="296" spans="1:13">
      <c r="A296" s="62" t="s">
        <v>542</v>
      </c>
      <c r="B296" s="58">
        <v>34227913888</v>
      </c>
      <c r="C296" s="63" t="s">
        <v>543</v>
      </c>
      <c r="D296" s="60">
        <v>22306586896</v>
      </c>
      <c r="E296" s="9">
        <v>1214</v>
      </c>
      <c r="F296" s="25">
        <v>42989</v>
      </c>
      <c r="G296" s="61" t="s">
        <v>13</v>
      </c>
      <c r="H296" s="61"/>
      <c r="I296" s="8"/>
      <c r="J296" s="8"/>
      <c r="K296" s="8"/>
      <c r="L296" s="8"/>
      <c r="M296" s="8"/>
    </row>
    <row r="297" spans="1:13">
      <c r="A297" s="62" t="s">
        <v>544</v>
      </c>
      <c r="B297" s="58">
        <v>37708718805</v>
      </c>
      <c r="C297" s="63"/>
      <c r="D297" s="60"/>
      <c r="E297" s="9">
        <v>292</v>
      </c>
      <c r="F297" s="25">
        <v>43168</v>
      </c>
      <c r="G297" s="61" t="s">
        <v>13</v>
      </c>
      <c r="H297" s="61"/>
      <c r="I297" s="8"/>
      <c r="J297" s="8"/>
      <c r="K297" s="8"/>
      <c r="L297" s="9">
        <v>318</v>
      </c>
      <c r="M297" s="8"/>
    </row>
    <row r="298" spans="1:13">
      <c r="A298" s="62" t="s">
        <v>545</v>
      </c>
      <c r="B298" s="58">
        <v>32409041876</v>
      </c>
      <c r="C298" s="63"/>
      <c r="D298" s="60"/>
      <c r="E298" s="9">
        <v>1824</v>
      </c>
      <c r="F298" s="25">
        <v>43091</v>
      </c>
      <c r="G298" s="61" t="s">
        <v>20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546</v>
      </c>
      <c r="B299" s="58">
        <v>33547844827</v>
      </c>
      <c r="C299" s="63" t="s">
        <v>547</v>
      </c>
      <c r="D299" s="60">
        <v>4930259444</v>
      </c>
      <c r="E299" s="9"/>
      <c r="F299" s="25"/>
      <c r="G299" s="61"/>
      <c r="H299" s="9"/>
      <c r="I299" s="8"/>
      <c r="J299" s="8"/>
      <c r="K299" s="8"/>
      <c r="L299" s="8"/>
      <c r="M299" s="8"/>
    </row>
    <row r="300" spans="1:13">
      <c r="A300" s="27" t="s">
        <v>548</v>
      </c>
      <c r="B300" s="58"/>
      <c r="C300" s="18" t="s">
        <v>129</v>
      </c>
      <c r="D300" s="60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549</v>
      </c>
      <c r="B301" s="58">
        <v>5212801842</v>
      </c>
      <c r="C301" s="63" t="s">
        <v>550</v>
      </c>
      <c r="D301" s="60">
        <v>7101207880</v>
      </c>
      <c r="E301" s="9">
        <v>262</v>
      </c>
      <c r="F301" s="25">
        <v>43160</v>
      </c>
      <c r="G301" s="61" t="s">
        <v>13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62" t="s">
        <v>551</v>
      </c>
      <c r="B302" s="58">
        <v>33053326892</v>
      </c>
      <c r="C302" s="63"/>
      <c r="D302" s="60"/>
      <c r="E302" s="9">
        <v>810</v>
      </c>
      <c r="F302" s="25">
        <v>42915</v>
      </c>
      <c r="G302" s="61" t="s">
        <v>13</v>
      </c>
      <c r="H302" s="9"/>
      <c r="I302" s="8"/>
      <c r="J302" s="8"/>
      <c r="K302" s="8"/>
      <c r="L302" s="9" t="s">
        <v>138</v>
      </c>
      <c r="M302" s="8"/>
    </row>
    <row r="303" spans="1:13">
      <c r="A303" s="62" t="s">
        <v>552</v>
      </c>
      <c r="B303" s="58">
        <v>32259369871</v>
      </c>
      <c r="C303" s="63"/>
      <c r="D303" s="60"/>
      <c r="E303" s="9">
        <v>1106</v>
      </c>
      <c r="F303" s="25">
        <v>42965</v>
      </c>
      <c r="G303" s="61" t="s">
        <v>13</v>
      </c>
      <c r="H303" s="9"/>
      <c r="I303" s="8"/>
      <c r="J303" s="8"/>
      <c r="K303" s="8"/>
      <c r="L303" s="8"/>
      <c r="M303" s="8"/>
    </row>
    <row r="304" spans="1:13">
      <c r="A304" s="27" t="s">
        <v>553</v>
      </c>
      <c r="B304" s="58"/>
      <c r="C304" s="27" t="s">
        <v>554</v>
      </c>
      <c r="D304" s="60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555</v>
      </c>
      <c r="B305" s="58">
        <v>34427647855</v>
      </c>
      <c r="C305" s="59"/>
      <c r="D305" s="60"/>
      <c r="E305" s="9">
        <v>1128</v>
      </c>
      <c r="F305" s="25">
        <v>42972</v>
      </c>
      <c r="G305" s="61" t="s">
        <v>13</v>
      </c>
      <c r="H305" s="9"/>
      <c r="I305" s="8"/>
      <c r="J305" s="8"/>
      <c r="K305" s="8"/>
      <c r="L305" s="8"/>
      <c r="M305" s="8"/>
    </row>
    <row r="306" spans="1:13">
      <c r="A306" s="27" t="s">
        <v>556</v>
      </c>
      <c r="B306" s="58">
        <v>43257974833</v>
      </c>
      <c r="C306" s="18" t="s">
        <v>129</v>
      </c>
      <c r="D306" s="60"/>
      <c r="E306" s="9"/>
      <c r="F306" s="25"/>
      <c r="G306" s="61"/>
      <c r="H306" s="9"/>
      <c r="I306" s="8"/>
      <c r="J306" s="8"/>
      <c r="K306" s="8"/>
      <c r="L306" s="8"/>
      <c r="M306" s="8"/>
    </row>
    <row r="307" spans="1:13">
      <c r="A307" s="62" t="s">
        <v>557</v>
      </c>
      <c r="B307" s="58">
        <v>41704970822</v>
      </c>
      <c r="C307" s="63"/>
      <c r="D307" s="60"/>
      <c r="E307" s="9">
        <v>1350</v>
      </c>
      <c r="F307" s="25">
        <v>43006</v>
      </c>
      <c r="G307" s="61" t="s">
        <v>13</v>
      </c>
      <c r="H307" s="9"/>
      <c r="I307" s="8"/>
      <c r="J307" s="8"/>
      <c r="K307" s="8"/>
      <c r="L307" s="8"/>
      <c r="M307" s="8"/>
    </row>
    <row r="308" spans="1:13">
      <c r="A308" s="62" t="s">
        <v>558</v>
      </c>
      <c r="B308" s="58">
        <v>43593261812</v>
      </c>
      <c r="C308" s="63"/>
      <c r="D308" s="60"/>
      <c r="E308" s="9"/>
      <c r="F308" s="25"/>
      <c r="G308" s="61"/>
      <c r="H308" s="9"/>
      <c r="I308" s="8"/>
      <c r="J308" s="8"/>
      <c r="K308" s="8"/>
      <c r="L308" s="8"/>
      <c r="M308" s="8"/>
    </row>
    <row r="309" spans="1:13">
      <c r="A309" s="62" t="s">
        <v>559</v>
      </c>
      <c r="B309" s="58">
        <v>77718690504</v>
      </c>
      <c r="C309" s="63"/>
      <c r="D309" s="60"/>
      <c r="E309" s="9">
        <v>810</v>
      </c>
      <c r="F309" s="25">
        <v>42915</v>
      </c>
      <c r="G309" s="61" t="s">
        <v>13</v>
      </c>
      <c r="H309" s="9"/>
      <c r="I309" s="8"/>
      <c r="J309" s="8"/>
      <c r="K309" s="8"/>
      <c r="L309" s="9" t="s">
        <v>138</v>
      </c>
      <c r="M309" s="8"/>
    </row>
    <row r="310" spans="1:13">
      <c r="A310" s="13" t="s">
        <v>560</v>
      </c>
      <c r="B310" s="58">
        <v>29377700884</v>
      </c>
      <c r="C310" s="59"/>
      <c r="D310" s="60"/>
      <c r="E310" s="9">
        <v>1128</v>
      </c>
      <c r="F310" s="25">
        <v>42972</v>
      </c>
      <c r="G310" s="61" t="s">
        <v>13</v>
      </c>
      <c r="H310" s="9"/>
      <c r="I310" s="8"/>
      <c r="J310" s="8"/>
      <c r="K310" s="8"/>
      <c r="L310" s="8"/>
      <c r="M310" s="8"/>
    </row>
    <row r="311" spans="1:13">
      <c r="A311" s="63" t="s">
        <v>561</v>
      </c>
      <c r="B311" s="58">
        <v>38492510803</v>
      </c>
      <c r="C311" s="63"/>
      <c r="D311" s="60"/>
      <c r="E311" s="9">
        <v>1489</v>
      </c>
      <c r="F311" s="25">
        <v>43038</v>
      </c>
      <c r="G311" s="61" t="s">
        <v>13</v>
      </c>
      <c r="H311" s="9"/>
      <c r="I311" s="8"/>
      <c r="J311" s="8"/>
      <c r="K311" s="8"/>
      <c r="L311" s="9" t="s">
        <v>160</v>
      </c>
      <c r="M311" s="8"/>
    </row>
    <row r="312" spans="1:13">
      <c r="A312" s="18" t="s">
        <v>562</v>
      </c>
      <c r="B312" s="58">
        <v>13018186826</v>
      </c>
      <c r="C312" s="18"/>
      <c r="D312" s="60"/>
      <c r="E312" s="9"/>
      <c r="F312" s="25"/>
      <c r="G312" s="61"/>
      <c r="H312" s="9"/>
      <c r="I312" s="8"/>
      <c r="J312" s="8"/>
      <c r="K312" s="8"/>
      <c r="L312" s="8"/>
      <c r="M312" s="8"/>
    </row>
    <row r="313" spans="1:13">
      <c r="A313" s="13" t="s">
        <v>563</v>
      </c>
      <c r="B313" s="58">
        <v>32382040840</v>
      </c>
      <c r="C313" s="63"/>
      <c r="D313" s="60"/>
      <c r="E313" s="9">
        <v>1350</v>
      </c>
      <c r="F313" s="25">
        <v>43006</v>
      </c>
      <c r="G313" s="61" t="s">
        <v>13</v>
      </c>
      <c r="H313" s="9"/>
      <c r="I313" s="8"/>
      <c r="J313" s="8"/>
      <c r="K313" s="8"/>
      <c r="L313" s="8"/>
      <c r="M313" s="8"/>
    </row>
    <row r="314" spans="1:13">
      <c r="A314" s="15" t="s">
        <v>564</v>
      </c>
      <c r="B314" s="58">
        <v>56647751300</v>
      </c>
      <c r="C314" s="63" t="s">
        <v>565</v>
      </c>
      <c r="D314" s="60">
        <v>31891324888</v>
      </c>
      <c r="E314" s="9"/>
      <c r="F314" s="25"/>
      <c r="G314" s="61"/>
      <c r="H314" s="9"/>
      <c r="I314" s="8"/>
      <c r="J314" s="8"/>
      <c r="K314" s="8"/>
      <c r="L314" s="8"/>
      <c r="M314" s="8"/>
    </row>
    <row r="315" spans="1:13">
      <c r="A315" s="62" t="s">
        <v>566</v>
      </c>
      <c r="B315" s="58">
        <v>8805153842</v>
      </c>
      <c r="C315" s="63"/>
      <c r="D315" s="60"/>
      <c r="E315" s="9">
        <v>1489</v>
      </c>
      <c r="F315" s="25">
        <v>43038</v>
      </c>
      <c r="G315" s="61" t="s">
        <v>13</v>
      </c>
      <c r="H315" s="9"/>
      <c r="I315" s="8"/>
      <c r="J315" s="8"/>
      <c r="K315" s="8"/>
      <c r="L315" s="9" t="s">
        <v>160</v>
      </c>
      <c r="M315" s="8"/>
    </row>
    <row r="316" spans="1:13">
      <c r="A316" s="62" t="s">
        <v>567</v>
      </c>
      <c r="B316" s="58">
        <v>62310925500</v>
      </c>
      <c r="C316" s="63"/>
      <c r="D316" s="60"/>
      <c r="E316" s="9"/>
      <c r="F316" s="25"/>
      <c r="G316" s="61"/>
      <c r="H316" s="9"/>
      <c r="I316" s="8"/>
      <c r="J316" s="8"/>
      <c r="K316" s="8"/>
      <c r="L316" s="8"/>
      <c r="M316" s="8"/>
    </row>
    <row r="317" spans="1:13">
      <c r="A317" s="62" t="s">
        <v>568</v>
      </c>
      <c r="B317" s="58">
        <v>49391283500</v>
      </c>
      <c r="C317" s="63"/>
      <c r="D317" s="60"/>
      <c r="E317" s="9">
        <v>1824</v>
      </c>
      <c r="F317" s="25">
        <v>43091</v>
      </c>
      <c r="G317" s="61" t="s">
        <v>13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569</v>
      </c>
      <c r="B318" s="58">
        <v>42049249802</v>
      </c>
      <c r="C318" s="63" t="s">
        <v>570</v>
      </c>
      <c r="D318" s="60">
        <v>22669338844</v>
      </c>
      <c r="E318" s="9">
        <v>1267</v>
      </c>
      <c r="F318" s="25">
        <v>42998</v>
      </c>
      <c r="G318" s="61" t="s">
        <v>13</v>
      </c>
      <c r="H318" s="9"/>
      <c r="I318" s="8"/>
      <c r="J318" s="8"/>
      <c r="K318" s="8"/>
      <c r="L318" s="8"/>
      <c r="M318" s="8"/>
    </row>
    <row r="319" spans="1:13">
      <c r="A319" s="62" t="s">
        <v>571</v>
      </c>
      <c r="B319" s="58">
        <v>22127558804</v>
      </c>
      <c r="C319" s="63"/>
      <c r="D319" s="60"/>
      <c r="E319" s="9">
        <v>608</v>
      </c>
      <c r="F319" s="25">
        <v>43012</v>
      </c>
      <c r="G319" s="61" t="s">
        <v>13</v>
      </c>
      <c r="H319" s="9"/>
      <c r="I319" s="8"/>
      <c r="J319" s="8"/>
      <c r="K319" s="8"/>
      <c r="L319" s="8"/>
      <c r="M319" s="8"/>
    </row>
    <row r="320" spans="1:13">
      <c r="A320" s="14" t="s">
        <v>572</v>
      </c>
      <c r="B320" s="58">
        <v>1863847502</v>
      </c>
      <c r="C320" s="63" t="s">
        <v>573</v>
      </c>
      <c r="D320" s="60">
        <v>1636882579</v>
      </c>
      <c r="E320" s="9">
        <v>292</v>
      </c>
      <c r="F320" s="25">
        <v>43168</v>
      </c>
      <c r="G320" s="61" t="s">
        <v>13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574</v>
      </c>
      <c r="B321" s="58">
        <v>24759459820</v>
      </c>
      <c r="C321" s="18" t="s">
        <v>575</v>
      </c>
      <c r="D321" s="60">
        <v>6107032851</v>
      </c>
      <c r="E321" s="9"/>
      <c r="F321" s="25"/>
      <c r="G321" s="61"/>
      <c r="H321" s="9"/>
      <c r="I321" s="8"/>
      <c r="J321" s="8"/>
      <c r="K321" s="8"/>
      <c r="L321" s="8"/>
      <c r="M321" s="8"/>
    </row>
    <row r="322" spans="1:13">
      <c r="A322" s="62" t="s">
        <v>576</v>
      </c>
      <c r="B322" s="58">
        <v>67332404591</v>
      </c>
      <c r="C322" s="63"/>
      <c r="D322" s="60"/>
      <c r="E322" s="9">
        <v>1555</v>
      </c>
      <c r="F322" s="25">
        <v>43049</v>
      </c>
      <c r="G322" s="61" t="s">
        <v>13</v>
      </c>
      <c r="H322" s="9"/>
      <c r="I322" s="8"/>
      <c r="J322" s="8"/>
      <c r="K322" s="8"/>
      <c r="L322" s="9" t="s">
        <v>398</v>
      </c>
      <c r="M322" s="8"/>
    </row>
    <row r="323" spans="1:13">
      <c r="A323" s="27" t="s">
        <v>577</v>
      </c>
      <c r="B323" s="58"/>
      <c r="C323" s="18" t="s">
        <v>129</v>
      </c>
      <c r="D323" s="60"/>
      <c r="E323" s="9"/>
      <c r="F323" s="25"/>
      <c r="G323" s="61"/>
      <c r="H323" s="9"/>
      <c r="I323" s="8"/>
      <c r="J323" s="8"/>
      <c r="K323" s="8"/>
      <c r="L323" s="8"/>
      <c r="M323" s="8"/>
    </row>
    <row r="324" spans="1:13">
      <c r="A324" s="13" t="s">
        <v>578</v>
      </c>
      <c r="B324" s="58">
        <v>82789193487</v>
      </c>
      <c r="C324" s="59"/>
      <c r="D324" s="60"/>
      <c r="E324" s="9">
        <v>1241</v>
      </c>
      <c r="F324" s="25">
        <v>42992</v>
      </c>
      <c r="G324" s="61" t="s">
        <v>13</v>
      </c>
      <c r="H324" s="9"/>
      <c r="I324" s="8"/>
      <c r="J324" s="8"/>
      <c r="K324" s="8"/>
      <c r="L324" s="8"/>
      <c r="M324" s="8"/>
    </row>
    <row r="325" spans="1:13">
      <c r="A325" s="62" t="s">
        <v>579</v>
      </c>
      <c r="B325" s="58">
        <v>5946203734</v>
      </c>
      <c r="C325" s="64"/>
      <c r="D325" s="60"/>
      <c r="E325" s="9"/>
      <c r="F325" s="25"/>
      <c r="G325" s="61"/>
      <c r="H325" s="9"/>
      <c r="I325" s="8"/>
      <c r="J325" s="8"/>
      <c r="K325" s="8"/>
      <c r="L325" s="8"/>
      <c r="M325" s="8"/>
    </row>
    <row r="326" spans="1:13">
      <c r="A326" s="62" t="s">
        <v>580</v>
      </c>
      <c r="B326" s="58">
        <v>21563505827</v>
      </c>
      <c r="C326" s="63"/>
      <c r="D326" s="60"/>
      <c r="E326" s="9">
        <v>292</v>
      </c>
      <c r="F326" s="25">
        <v>43168</v>
      </c>
      <c r="G326" s="9" t="s">
        <v>13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581</v>
      </c>
      <c r="B327" s="58">
        <v>9004484825</v>
      </c>
      <c r="C327" s="63"/>
      <c r="D327" s="60"/>
      <c r="E327" s="9"/>
      <c r="F327" s="25"/>
      <c r="G327" s="61"/>
      <c r="H327" s="9"/>
      <c r="I327" s="8"/>
      <c r="J327" s="8"/>
      <c r="K327" s="8"/>
      <c r="L327" s="8"/>
      <c r="M327" s="8"/>
    </row>
    <row r="328" spans="1:13">
      <c r="A328" s="15" t="s">
        <v>582</v>
      </c>
      <c r="B328" s="58">
        <v>9744508477</v>
      </c>
      <c r="C328" s="63"/>
      <c r="D328" s="60"/>
      <c r="E328" s="9">
        <v>573</v>
      </c>
      <c r="F328" s="25">
        <v>43224</v>
      </c>
      <c r="G328" s="61"/>
      <c r="H328" s="9"/>
      <c r="I328" s="8"/>
      <c r="J328" s="8"/>
      <c r="K328" s="8"/>
      <c r="L328" s="8"/>
      <c r="M328" s="8"/>
    </row>
    <row r="329" spans="1:13">
      <c r="A329" s="62" t="s">
        <v>583</v>
      </c>
      <c r="B329" s="58">
        <v>46287051515</v>
      </c>
      <c r="C329" s="63"/>
      <c r="D329" s="60"/>
      <c r="E329" s="9">
        <v>1106</v>
      </c>
      <c r="F329" s="25">
        <v>42965</v>
      </c>
      <c r="G329" s="61" t="s">
        <v>13</v>
      </c>
      <c r="H329" s="9"/>
      <c r="I329" s="8"/>
      <c r="J329" s="8"/>
      <c r="K329" s="8"/>
      <c r="L329" s="8"/>
      <c r="M329" s="8"/>
    </row>
    <row r="330" spans="1:13">
      <c r="A330" s="62" t="s">
        <v>584</v>
      </c>
      <c r="B330" s="58">
        <v>3584881846</v>
      </c>
      <c r="C330" s="63"/>
      <c r="D330" s="60"/>
      <c r="E330" s="9">
        <v>292</v>
      </c>
      <c r="F330" s="25">
        <v>43168</v>
      </c>
      <c r="G330" s="61" t="s">
        <v>13</v>
      </c>
      <c r="H330" s="9"/>
      <c r="I330" s="8"/>
      <c r="J330" s="8"/>
      <c r="K330" s="8"/>
      <c r="L330" s="9">
        <v>318</v>
      </c>
      <c r="M330" s="8"/>
    </row>
    <row r="331" spans="1:13">
      <c r="A331" s="28" t="s">
        <v>585</v>
      </c>
      <c r="B331" s="58">
        <v>47964283804</v>
      </c>
      <c r="C331" s="63"/>
      <c r="D331" s="60"/>
      <c r="E331" s="9">
        <v>1350</v>
      </c>
      <c r="F331" s="25">
        <v>43006</v>
      </c>
      <c r="G331" s="61" t="s">
        <v>13</v>
      </c>
      <c r="H331" s="9"/>
      <c r="I331" s="8"/>
      <c r="J331" s="8"/>
      <c r="K331" s="8"/>
      <c r="L331" s="8"/>
      <c r="M331" s="8"/>
    </row>
    <row r="332" spans="1:13">
      <c r="A332" s="62" t="s">
        <v>586</v>
      </c>
      <c r="B332" s="58">
        <v>43830821816</v>
      </c>
      <c r="C332" s="63" t="s">
        <v>587</v>
      </c>
      <c r="D332" s="60">
        <v>6074977429</v>
      </c>
      <c r="E332" s="9">
        <v>443</v>
      </c>
      <c r="F332" s="25">
        <v>43188</v>
      </c>
      <c r="G332" s="61"/>
      <c r="H332" s="9"/>
      <c r="I332" s="8"/>
      <c r="J332" s="8"/>
      <c r="K332" s="8"/>
      <c r="L332" s="8"/>
      <c r="M332" s="8"/>
    </row>
    <row r="333" spans="1:13">
      <c r="A333" s="15" t="s">
        <v>588</v>
      </c>
      <c r="B333" s="58">
        <v>37696346830</v>
      </c>
      <c r="C333" s="63"/>
      <c r="D333" s="60"/>
      <c r="E333" s="9">
        <v>85</v>
      </c>
      <c r="F333" s="25">
        <v>43109</v>
      </c>
      <c r="G333" s="61" t="s">
        <v>28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589</v>
      </c>
      <c r="B334" s="58">
        <v>37645683805</v>
      </c>
      <c r="C334" s="59"/>
      <c r="D334" s="60"/>
      <c r="E334" s="9"/>
      <c r="F334" s="25"/>
      <c r="G334" s="61"/>
      <c r="H334" s="9"/>
      <c r="I334" s="8"/>
      <c r="J334" s="8"/>
      <c r="K334" s="8"/>
      <c r="L334" s="8"/>
      <c r="M334" s="8"/>
    </row>
    <row r="335" spans="1:13">
      <c r="A335" s="62" t="s">
        <v>590</v>
      </c>
      <c r="B335" s="58">
        <v>26501719879</v>
      </c>
      <c r="C335" s="66" t="s">
        <v>591</v>
      </c>
      <c r="D335" s="60">
        <v>26502973876</v>
      </c>
      <c r="E335" s="9">
        <v>1106</v>
      </c>
      <c r="F335" s="25">
        <v>42965</v>
      </c>
      <c r="G335" s="61" t="s">
        <v>13</v>
      </c>
      <c r="H335" s="9"/>
      <c r="I335" s="8"/>
      <c r="J335" s="8"/>
      <c r="K335" s="8"/>
      <c r="L335" s="8"/>
      <c r="M335" s="8"/>
    </row>
    <row r="336" spans="1:13">
      <c r="A336" s="13" t="s">
        <v>592</v>
      </c>
      <c r="B336" s="58">
        <v>38869624587</v>
      </c>
      <c r="C336" s="59"/>
      <c r="D336" s="60"/>
      <c r="E336" s="9">
        <v>1214</v>
      </c>
      <c r="F336" s="25">
        <v>42989</v>
      </c>
      <c r="G336" s="61" t="s">
        <v>13</v>
      </c>
      <c r="H336" s="9"/>
      <c r="I336" s="8"/>
      <c r="J336" s="8"/>
      <c r="K336" s="8"/>
      <c r="L336" s="8"/>
      <c r="M336" s="8"/>
    </row>
    <row r="337" spans="1:13">
      <c r="A337" s="14" t="s">
        <v>593</v>
      </c>
      <c r="B337" s="58">
        <v>18311318549</v>
      </c>
      <c r="C337" s="63"/>
      <c r="D337" s="60"/>
      <c r="E337" s="9"/>
      <c r="F337" s="25"/>
      <c r="G337" s="61"/>
      <c r="H337" s="9"/>
      <c r="I337" s="8"/>
      <c r="J337" s="8"/>
      <c r="K337" s="8"/>
      <c r="L337" s="8"/>
      <c r="M337" s="8"/>
    </row>
    <row r="338" spans="1:13">
      <c r="A338" s="62" t="s">
        <v>594</v>
      </c>
      <c r="B338" s="58">
        <v>88407004472</v>
      </c>
      <c r="C338" s="63"/>
      <c r="D338" s="60"/>
      <c r="E338" s="9">
        <v>1214</v>
      </c>
      <c r="F338" s="25">
        <v>42989</v>
      </c>
      <c r="G338" s="61" t="s">
        <v>13</v>
      </c>
      <c r="H338" s="9"/>
      <c r="I338" s="8"/>
      <c r="J338" s="8"/>
      <c r="K338" s="8"/>
      <c r="L338" s="8"/>
      <c r="M338" s="8"/>
    </row>
    <row r="339" spans="1:13">
      <c r="A339" s="62" t="s">
        <v>595</v>
      </c>
      <c r="B339" s="58">
        <v>12523530813</v>
      </c>
      <c r="C339" s="63"/>
      <c r="D339" s="60"/>
      <c r="E339" s="9"/>
      <c r="F339" s="25"/>
      <c r="G339" s="61"/>
      <c r="H339" s="9"/>
      <c r="I339" s="8"/>
      <c r="J339" s="8"/>
      <c r="K339" s="8"/>
      <c r="L339" s="8"/>
      <c r="M339" s="8"/>
    </row>
    <row r="340" spans="1:13">
      <c r="A340" s="62" t="s">
        <v>596</v>
      </c>
      <c r="B340" s="58">
        <v>17509878802</v>
      </c>
      <c r="C340" s="63"/>
      <c r="D340" s="60"/>
      <c r="E340" s="9"/>
      <c r="F340" s="25"/>
      <c r="G340" s="61"/>
      <c r="H340" s="9"/>
      <c r="I340" s="8"/>
      <c r="J340" s="8"/>
      <c r="K340" s="8"/>
      <c r="L340" s="8"/>
      <c r="M340" s="8"/>
    </row>
    <row r="341" spans="1:13">
      <c r="A341" s="62" t="s">
        <v>597</v>
      </c>
      <c r="B341" s="58">
        <v>33603802829</v>
      </c>
      <c r="C341" s="63" t="s">
        <v>598</v>
      </c>
      <c r="D341" s="60">
        <v>26302620813</v>
      </c>
      <c r="E341" s="9">
        <v>1262</v>
      </c>
      <c r="F341" s="25">
        <v>42997</v>
      </c>
      <c r="G341" s="61" t="s">
        <v>13</v>
      </c>
      <c r="H341" s="9"/>
      <c r="I341" s="8"/>
      <c r="J341" s="8"/>
      <c r="K341" s="8"/>
      <c r="L341" s="8"/>
      <c r="M341" s="8"/>
    </row>
    <row r="342" spans="1:13">
      <c r="A342" s="13" t="s">
        <v>599</v>
      </c>
      <c r="B342" s="58">
        <v>23802013824</v>
      </c>
      <c r="C342" s="63" t="s">
        <v>600</v>
      </c>
      <c r="D342" s="60">
        <v>23099249890</v>
      </c>
      <c r="E342" s="9">
        <v>1489</v>
      </c>
      <c r="F342" s="25">
        <v>43038</v>
      </c>
      <c r="G342" s="61" t="s">
        <v>13</v>
      </c>
      <c r="H342" s="9"/>
      <c r="I342" s="8"/>
      <c r="J342" s="8"/>
      <c r="K342" s="8"/>
      <c r="L342" s="9" t="s">
        <v>160</v>
      </c>
      <c r="M342" s="8"/>
    </row>
    <row r="343" spans="1:13">
      <c r="A343" s="62" t="s">
        <v>601</v>
      </c>
      <c r="B343" s="58">
        <v>37189059814</v>
      </c>
      <c r="C343" s="68"/>
      <c r="D343" s="60"/>
      <c r="E343" s="9"/>
      <c r="F343" s="25"/>
      <c r="G343" s="61"/>
      <c r="H343" s="9"/>
      <c r="I343" s="8"/>
      <c r="J343" s="8"/>
      <c r="K343" s="8"/>
      <c r="L343" s="8"/>
      <c r="M343" s="8"/>
    </row>
    <row r="344" spans="1:13">
      <c r="A344" s="62" t="s">
        <v>602</v>
      </c>
      <c r="B344" s="58">
        <v>39348497847</v>
      </c>
      <c r="C344" s="63" t="s">
        <v>603</v>
      </c>
      <c r="D344" s="60">
        <v>42681401828</v>
      </c>
      <c r="E344" s="9"/>
      <c r="F344" s="25"/>
      <c r="G344" s="61"/>
      <c r="H344" s="9"/>
      <c r="I344" s="8"/>
      <c r="J344" s="8"/>
      <c r="K344" s="8"/>
      <c r="L344" s="8"/>
      <c r="M344" s="8"/>
    </row>
    <row r="345" spans="1:13">
      <c r="A345" s="63" t="s">
        <v>604</v>
      </c>
      <c r="B345" s="58">
        <v>35976924867</v>
      </c>
      <c r="C345" s="63"/>
      <c r="D345" s="60"/>
      <c r="E345" s="9">
        <v>1489</v>
      </c>
      <c r="F345" s="25">
        <v>43038</v>
      </c>
      <c r="G345" s="61" t="s">
        <v>13</v>
      </c>
      <c r="H345" s="9"/>
      <c r="I345" s="8"/>
      <c r="J345" s="8"/>
      <c r="K345" s="8"/>
      <c r="L345" s="9" t="s">
        <v>160</v>
      </c>
      <c r="M345" s="8"/>
    </row>
    <row r="346" spans="1:13">
      <c r="A346" s="62" t="s">
        <v>605</v>
      </c>
      <c r="B346" s="58">
        <v>46102945832</v>
      </c>
      <c r="C346" s="63" t="s">
        <v>606</v>
      </c>
      <c r="D346" s="60">
        <v>48110319890</v>
      </c>
      <c r="E346" s="9">
        <v>262</v>
      </c>
      <c r="F346" s="25">
        <v>43160</v>
      </c>
      <c r="G346" s="61" t="s">
        <v>13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62" t="s">
        <v>607</v>
      </c>
      <c r="B347" s="58">
        <v>30499987845</v>
      </c>
      <c r="C347" s="63"/>
      <c r="D347" s="60"/>
      <c r="E347" s="9">
        <v>1106</v>
      </c>
      <c r="F347" s="25">
        <v>42965</v>
      </c>
      <c r="G347" s="61" t="s">
        <v>13</v>
      </c>
      <c r="H347" s="9"/>
      <c r="I347" s="8"/>
      <c r="J347" s="8"/>
      <c r="K347" s="8"/>
      <c r="L347" s="8"/>
      <c r="M347" s="8"/>
    </row>
    <row r="348" spans="1:13">
      <c r="A348" s="62" t="s">
        <v>608</v>
      </c>
      <c r="B348" s="58">
        <v>94623953572</v>
      </c>
      <c r="C348" s="63"/>
      <c r="D348" s="60"/>
      <c r="E348" s="9"/>
      <c r="F348" s="25"/>
      <c r="G348" s="61"/>
      <c r="H348" s="9"/>
      <c r="I348" s="8"/>
      <c r="J348" s="8"/>
      <c r="K348" s="8"/>
      <c r="L348" s="8"/>
      <c r="M348" s="8"/>
    </row>
    <row r="349" spans="1:13">
      <c r="A349" s="62" t="s">
        <v>609</v>
      </c>
      <c r="B349" s="58">
        <v>45679496844</v>
      </c>
      <c r="C349" s="63"/>
      <c r="D349" s="60"/>
      <c r="E349" s="9">
        <v>229</v>
      </c>
      <c r="F349" s="25">
        <v>43151</v>
      </c>
      <c r="G349" s="61" t="s">
        <v>28</v>
      </c>
      <c r="H349" s="9"/>
      <c r="I349" s="8"/>
      <c r="J349" s="8"/>
      <c r="K349" s="8"/>
      <c r="L349" s="9">
        <v>232</v>
      </c>
      <c r="M349" s="8"/>
    </row>
    <row r="350" spans="1:13">
      <c r="A350" s="62" t="s">
        <v>610</v>
      </c>
      <c r="B350" s="58">
        <v>37396947855</v>
      </c>
      <c r="C350" s="63"/>
      <c r="D350" s="60"/>
      <c r="E350" s="9">
        <v>292</v>
      </c>
      <c r="F350" s="25">
        <v>43168</v>
      </c>
      <c r="G350" s="61" t="s">
        <v>13</v>
      </c>
      <c r="H350" s="9"/>
      <c r="I350" s="8"/>
      <c r="J350" s="8"/>
      <c r="K350" s="8"/>
      <c r="L350" s="9">
        <v>318</v>
      </c>
      <c r="M350" s="8"/>
    </row>
    <row r="351" spans="1:13">
      <c r="A351" s="63" t="s">
        <v>611</v>
      </c>
      <c r="B351" s="58">
        <v>46605291859</v>
      </c>
      <c r="C351" s="63"/>
      <c r="D351" s="60"/>
      <c r="E351" s="9"/>
      <c r="F351" s="25"/>
      <c r="G351" s="61"/>
      <c r="H351" s="9"/>
      <c r="I351" s="8"/>
      <c r="J351" s="8"/>
      <c r="K351" s="8"/>
      <c r="L351" s="8"/>
      <c r="M351" s="8"/>
    </row>
    <row r="352" spans="1:13">
      <c r="A352" s="13" t="s">
        <v>612</v>
      </c>
      <c r="B352" s="58">
        <v>45468863812</v>
      </c>
      <c r="C352" s="63"/>
      <c r="D352" s="60"/>
      <c r="E352" s="9">
        <v>1350</v>
      </c>
      <c r="F352" s="25">
        <v>43006</v>
      </c>
      <c r="G352" s="61" t="s">
        <v>13</v>
      </c>
      <c r="H352" s="9"/>
      <c r="I352" s="8"/>
      <c r="J352" s="8"/>
      <c r="K352" s="8"/>
      <c r="L352" s="8"/>
      <c r="M352" s="8"/>
    </row>
    <row r="353" spans="1:13">
      <c r="A353" s="13" t="s">
        <v>613</v>
      </c>
      <c r="B353" s="58">
        <v>23263173863</v>
      </c>
      <c r="C353" s="63"/>
      <c r="D353" s="60"/>
      <c r="E353" s="9">
        <v>1417</v>
      </c>
      <c r="F353" s="25">
        <v>43017</v>
      </c>
      <c r="G353" s="61" t="s">
        <v>13</v>
      </c>
      <c r="H353" s="9"/>
      <c r="I353" s="8"/>
      <c r="J353" s="8"/>
      <c r="K353" s="8"/>
      <c r="L353" s="9" t="s">
        <v>253</v>
      </c>
      <c r="M353" s="8"/>
    </row>
    <row r="354" spans="1:13">
      <c r="A354" s="15" t="s">
        <v>614</v>
      </c>
      <c r="B354" s="58">
        <v>37738978805</v>
      </c>
      <c r="C354" s="15" t="s">
        <v>615</v>
      </c>
      <c r="D354" s="60">
        <v>47388546820</v>
      </c>
      <c r="E354" s="9"/>
      <c r="F354" s="25"/>
      <c r="G354" s="61"/>
      <c r="H354" s="9"/>
      <c r="I354" s="8"/>
      <c r="J354" s="8"/>
      <c r="K354" s="8"/>
      <c r="L354" s="8"/>
      <c r="M354" s="8"/>
    </row>
    <row r="355" spans="1:13">
      <c r="A355" s="62" t="s">
        <v>616</v>
      </c>
      <c r="B355" s="58">
        <v>38525803820</v>
      </c>
      <c r="C355" s="63"/>
      <c r="D355" s="60"/>
      <c r="E355" s="9"/>
      <c r="F355" s="25"/>
      <c r="G355" s="61"/>
      <c r="H355" s="9"/>
      <c r="I355" s="8"/>
      <c r="J355" s="8"/>
      <c r="K355" s="8"/>
      <c r="L355" s="8"/>
      <c r="M355" s="8"/>
    </row>
    <row r="356" spans="1:13">
      <c r="A356" s="15" t="s">
        <v>617</v>
      </c>
      <c r="B356" s="58">
        <v>37004595803</v>
      </c>
      <c r="C356" s="63"/>
      <c r="D356" s="60"/>
      <c r="E356" s="9"/>
      <c r="F356" s="25"/>
      <c r="G356" s="61"/>
      <c r="H356" s="9"/>
      <c r="I356" s="8"/>
      <c r="J356" s="8"/>
      <c r="K356" s="8"/>
      <c r="L356" s="8"/>
      <c r="M356" s="8"/>
    </row>
    <row r="357" spans="1:13">
      <c r="A357" s="14" t="s">
        <v>618</v>
      </c>
      <c r="B357" s="58">
        <v>37439665813</v>
      </c>
      <c r="C357" s="63" t="s">
        <v>619</v>
      </c>
      <c r="D357" s="60">
        <v>29005069805</v>
      </c>
      <c r="E357" s="9">
        <v>563</v>
      </c>
      <c r="F357" s="25">
        <v>43217</v>
      </c>
      <c r="G357" s="61"/>
      <c r="H357" s="9"/>
      <c r="I357" s="8"/>
      <c r="J357" s="8"/>
      <c r="K357" s="8"/>
      <c r="L357" s="9" t="s">
        <v>299</v>
      </c>
      <c r="M357" s="8"/>
    </row>
    <row r="358" spans="1:13">
      <c r="A358" s="15" t="s">
        <v>620</v>
      </c>
      <c r="B358" s="58">
        <v>4658881519</v>
      </c>
      <c r="C358" s="63"/>
      <c r="D358" s="60"/>
      <c r="E358" s="9"/>
      <c r="F358" s="25"/>
      <c r="G358" s="61"/>
      <c r="H358" s="9"/>
      <c r="I358" s="8"/>
      <c r="J358" s="8"/>
      <c r="K358" s="8"/>
      <c r="L358" s="8"/>
      <c r="M358" s="8"/>
    </row>
    <row r="359" spans="1:13">
      <c r="A359" s="14" t="s">
        <v>621</v>
      </c>
      <c r="B359" s="58">
        <v>40141684844</v>
      </c>
      <c r="C359" s="63"/>
      <c r="D359" s="60"/>
      <c r="E359" s="9"/>
      <c r="F359" s="25"/>
      <c r="G359" s="61"/>
      <c r="H359" s="9"/>
      <c r="I359" s="8"/>
      <c r="J359" s="8"/>
      <c r="K359" s="8"/>
      <c r="L359" s="8"/>
      <c r="M359" s="8"/>
    </row>
    <row r="360" spans="1:13">
      <c r="A360" s="13" t="s">
        <v>622</v>
      </c>
      <c r="B360" s="58">
        <v>8882122409</v>
      </c>
      <c r="C360" s="63"/>
      <c r="D360" s="60"/>
      <c r="E360" s="9">
        <v>1439</v>
      </c>
      <c r="F360" s="25">
        <v>43025</v>
      </c>
      <c r="G360" s="61" t="s">
        <v>13</v>
      </c>
      <c r="H360" s="9"/>
      <c r="I360" s="8"/>
      <c r="J360" s="8"/>
      <c r="K360" s="8"/>
      <c r="L360" s="9" t="s">
        <v>502</v>
      </c>
      <c r="M360" s="8"/>
    </row>
    <row r="361" spans="1:13">
      <c r="A361" s="15" t="s">
        <v>623</v>
      </c>
      <c r="B361" s="58">
        <v>45131488885</v>
      </c>
      <c r="C361" s="63"/>
      <c r="D361" s="60"/>
      <c r="E361" s="9"/>
      <c r="F361" s="25"/>
      <c r="G361" s="61"/>
      <c r="H361" s="9"/>
      <c r="I361" s="8"/>
      <c r="J361" s="8"/>
      <c r="K361" s="8"/>
      <c r="L361" s="8"/>
      <c r="M361" s="8"/>
    </row>
    <row r="362" spans="1:13">
      <c r="A362" s="14" t="s">
        <v>624</v>
      </c>
      <c r="B362" s="58">
        <v>39263170860</v>
      </c>
      <c r="C362" s="63" t="s">
        <v>625</v>
      </c>
      <c r="D362" s="60">
        <v>40387317821</v>
      </c>
      <c r="E362" s="9"/>
      <c r="F362" s="25"/>
      <c r="G362" s="61"/>
      <c r="H362" s="9"/>
      <c r="I362" s="8"/>
      <c r="J362" s="8"/>
      <c r="K362" s="8"/>
      <c r="L362" s="8"/>
      <c r="M362" s="8"/>
    </row>
    <row r="363" spans="1:13">
      <c r="A363" s="62" t="s">
        <v>626</v>
      </c>
      <c r="B363" s="58">
        <v>17803665829</v>
      </c>
      <c r="C363" s="63" t="s">
        <v>627</v>
      </c>
      <c r="D363" s="60">
        <v>26130659822</v>
      </c>
      <c r="E363" s="9"/>
      <c r="F363" s="25"/>
      <c r="G363" s="61"/>
      <c r="H363" s="9"/>
      <c r="I363" s="8"/>
      <c r="J363" s="8"/>
      <c r="K363" s="8"/>
      <c r="L363" s="8"/>
      <c r="M363" s="8"/>
    </row>
    <row r="364" spans="1:13">
      <c r="A364" s="62" t="s">
        <v>628</v>
      </c>
      <c r="B364" s="58">
        <v>39996489884</v>
      </c>
      <c r="C364" s="63" t="s">
        <v>629</v>
      </c>
      <c r="D364" s="60">
        <v>1225037409</v>
      </c>
      <c r="E364" s="9"/>
      <c r="F364" s="25"/>
      <c r="G364" s="61"/>
      <c r="H364" s="9"/>
      <c r="I364" s="8"/>
      <c r="J364" s="8"/>
      <c r="K364" s="8"/>
      <c r="L364" s="8"/>
      <c r="M364" s="8"/>
    </row>
    <row r="365" spans="1:13">
      <c r="A365" s="15" t="s">
        <v>630</v>
      </c>
      <c r="B365" s="58">
        <v>45117049888</v>
      </c>
      <c r="C365" s="63"/>
      <c r="D365" s="60"/>
      <c r="E365" s="9">
        <v>85</v>
      </c>
      <c r="F365" s="25">
        <v>43109</v>
      </c>
      <c r="G365" s="61" t="s">
        <v>13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631</v>
      </c>
      <c r="B366" s="58">
        <v>36210371876</v>
      </c>
      <c r="C366" s="63" t="s">
        <v>632</v>
      </c>
      <c r="D366" s="60">
        <v>32340716837</v>
      </c>
      <c r="E366" s="9">
        <v>229</v>
      </c>
      <c r="F366" s="25">
        <v>43151</v>
      </c>
      <c r="G366" s="61" t="s">
        <v>13</v>
      </c>
      <c r="H366" s="9"/>
      <c r="I366" s="8"/>
      <c r="J366" s="8"/>
      <c r="K366" s="8"/>
      <c r="L366" s="9">
        <v>232</v>
      </c>
      <c r="M366" s="8"/>
    </row>
    <row r="367" spans="1:13">
      <c r="A367" s="64" t="s">
        <v>633</v>
      </c>
      <c r="B367" s="58">
        <v>42016007850</v>
      </c>
      <c r="C367" s="63" t="s">
        <v>634</v>
      </c>
      <c r="D367" s="60">
        <v>35228090843</v>
      </c>
      <c r="E367" s="9">
        <v>810</v>
      </c>
      <c r="F367" s="25">
        <v>42915</v>
      </c>
      <c r="G367" s="61" t="s">
        <v>13</v>
      </c>
      <c r="H367" s="9"/>
      <c r="I367" s="8"/>
      <c r="J367" s="8"/>
      <c r="K367" s="8"/>
      <c r="L367" s="9" t="s">
        <v>138</v>
      </c>
      <c r="M367" s="8"/>
    </row>
    <row r="368" spans="1:13">
      <c r="A368" s="14" t="s">
        <v>635</v>
      </c>
      <c r="B368" s="58">
        <v>43462687816</v>
      </c>
      <c r="C368" s="63"/>
      <c r="D368" s="60"/>
      <c r="E368" s="9">
        <v>292</v>
      </c>
      <c r="F368" s="25">
        <v>43168</v>
      </c>
      <c r="G368" s="61" t="s">
        <v>13</v>
      </c>
      <c r="H368" s="9"/>
      <c r="I368" s="8"/>
      <c r="J368" s="8"/>
      <c r="K368" s="8"/>
      <c r="L368" s="9">
        <v>318</v>
      </c>
      <c r="M368" s="8"/>
    </row>
    <row r="369" spans="1:13">
      <c r="A369" s="62" t="s">
        <v>636</v>
      </c>
      <c r="B369" s="58">
        <v>37694927810</v>
      </c>
      <c r="C369" s="63"/>
      <c r="D369" s="60"/>
      <c r="E369" s="9">
        <v>1752</v>
      </c>
      <c r="F369" s="25">
        <v>43051</v>
      </c>
      <c r="G369" s="61" t="s">
        <v>13</v>
      </c>
      <c r="H369" s="9"/>
      <c r="I369" s="8"/>
      <c r="J369" s="8"/>
      <c r="K369" s="8"/>
      <c r="L369" s="9">
        <v>1759</v>
      </c>
      <c r="M369" s="8"/>
    </row>
    <row r="370" spans="1:13">
      <c r="A370" s="62" t="s">
        <v>637</v>
      </c>
      <c r="B370" s="58">
        <v>41761778889</v>
      </c>
      <c r="C370" s="63"/>
      <c r="D370" s="60"/>
      <c r="E370" s="9">
        <v>292</v>
      </c>
      <c r="F370" s="25">
        <v>43168</v>
      </c>
      <c r="G370" s="61" t="s">
        <v>13</v>
      </c>
      <c r="H370" s="9"/>
      <c r="I370" s="8"/>
      <c r="J370" s="8"/>
      <c r="K370" s="8"/>
      <c r="L370" s="9">
        <v>318</v>
      </c>
      <c r="M370" s="8"/>
    </row>
    <row r="371" spans="1:13">
      <c r="A371" s="27" t="s">
        <v>638</v>
      </c>
      <c r="B371" s="58">
        <v>34350558802</v>
      </c>
      <c r="C371" s="18" t="s">
        <v>639</v>
      </c>
      <c r="D371" s="60">
        <v>33984523882</v>
      </c>
      <c r="E371" s="9"/>
      <c r="F371" s="25"/>
      <c r="G371" s="61"/>
      <c r="H371" s="9"/>
      <c r="I371" s="8"/>
      <c r="J371" s="8"/>
      <c r="K371" s="8"/>
      <c r="L371" s="8"/>
      <c r="M371" s="8"/>
    </row>
    <row r="372" spans="1:13">
      <c r="A372" s="62" t="s">
        <v>640</v>
      </c>
      <c r="B372" s="58">
        <v>41502336839</v>
      </c>
      <c r="C372" s="68" t="s">
        <v>641</v>
      </c>
      <c r="D372" s="60">
        <v>42175616878</v>
      </c>
      <c r="E372" s="9"/>
      <c r="F372" s="25"/>
      <c r="G372" s="61"/>
      <c r="H372" s="9"/>
      <c r="I372" s="8"/>
      <c r="J372" s="8"/>
      <c r="K372" s="8"/>
      <c r="L372" s="8"/>
      <c r="M372" s="8"/>
    </row>
    <row r="373" spans="1:13">
      <c r="A373" s="14" t="s">
        <v>642</v>
      </c>
      <c r="B373" s="58">
        <v>38156943880</v>
      </c>
      <c r="C373" s="63" t="s">
        <v>643</v>
      </c>
      <c r="D373" s="60">
        <v>35830934884</v>
      </c>
      <c r="E373" s="9">
        <v>262</v>
      </c>
      <c r="F373" s="25">
        <v>43160</v>
      </c>
      <c r="G373" s="61" t="s">
        <v>13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62" t="s">
        <v>644</v>
      </c>
      <c r="B374" s="58">
        <v>41261444809</v>
      </c>
      <c r="C374" s="63"/>
      <c r="D374" s="60"/>
      <c r="E374" s="9">
        <v>810</v>
      </c>
      <c r="F374" s="25">
        <v>42915</v>
      </c>
      <c r="G374" s="61" t="s">
        <v>13</v>
      </c>
      <c r="H374" s="9"/>
      <c r="I374" s="8"/>
      <c r="J374" s="8"/>
      <c r="K374" s="8"/>
      <c r="L374" s="9" t="s">
        <v>138</v>
      </c>
      <c r="M374" s="8"/>
    </row>
    <row r="375" spans="1:13">
      <c r="A375" s="62" t="s">
        <v>645</v>
      </c>
      <c r="B375" s="58">
        <v>41776515838</v>
      </c>
      <c r="C375" s="63"/>
      <c r="D375" s="60"/>
      <c r="E375" s="9">
        <v>1106</v>
      </c>
      <c r="F375" s="25">
        <v>42965</v>
      </c>
      <c r="G375" s="61" t="s">
        <v>13</v>
      </c>
      <c r="H375" s="9"/>
      <c r="I375" s="8"/>
      <c r="J375" s="8"/>
      <c r="K375" s="8"/>
      <c r="L375" s="8"/>
      <c r="M375" s="8"/>
    </row>
    <row r="376" spans="1:13">
      <c r="A376" s="62" t="s">
        <v>646</v>
      </c>
      <c r="B376" s="58" t="s">
        <v>647</v>
      </c>
      <c r="C376" s="64" t="s">
        <v>648</v>
      </c>
      <c r="D376" s="60" t="s">
        <v>649</v>
      </c>
      <c r="E376" s="9">
        <v>573</v>
      </c>
      <c r="F376" s="25">
        <v>43224</v>
      </c>
      <c r="G376" s="61"/>
      <c r="H376" s="9"/>
      <c r="I376" s="8"/>
      <c r="J376" s="8"/>
      <c r="K376" s="8"/>
      <c r="L376" s="8"/>
      <c r="M376" s="8"/>
    </row>
    <row r="377" spans="1:13">
      <c r="A377" s="64" t="s">
        <v>650</v>
      </c>
      <c r="B377" s="58">
        <v>41104888858</v>
      </c>
      <c r="C377" s="63" t="s">
        <v>651</v>
      </c>
      <c r="D377" s="60">
        <v>35714357884</v>
      </c>
      <c r="E377" s="9">
        <v>810</v>
      </c>
      <c r="F377" s="25">
        <v>42915</v>
      </c>
      <c r="G377" s="61" t="s">
        <v>13</v>
      </c>
      <c r="H377" s="9"/>
      <c r="I377" s="8"/>
      <c r="J377" s="8"/>
      <c r="K377" s="8"/>
      <c r="L377" s="9" t="s">
        <v>138</v>
      </c>
      <c r="M377" s="8"/>
    </row>
    <row r="378" spans="1:13">
      <c r="A378" s="62" t="s">
        <v>652</v>
      </c>
      <c r="B378" s="58">
        <v>34954516846</v>
      </c>
      <c r="C378" s="63" t="s">
        <v>653</v>
      </c>
      <c r="D378" s="60">
        <v>18356312825</v>
      </c>
      <c r="E378" s="9">
        <v>1824</v>
      </c>
      <c r="F378" s="25">
        <v>43091</v>
      </c>
      <c r="G378" s="61" t="s">
        <v>28</v>
      </c>
      <c r="H378" s="9"/>
      <c r="I378" s="8"/>
      <c r="J378" s="8"/>
      <c r="K378" s="8"/>
      <c r="L378" s="9">
        <v>1828</v>
      </c>
      <c r="M378" s="8"/>
    </row>
    <row r="379" spans="1:13">
      <c r="A379" s="27" t="s">
        <v>654</v>
      </c>
      <c r="B379" s="58"/>
      <c r="C379" s="27" t="s">
        <v>655</v>
      </c>
      <c r="D379" s="60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62" t="s">
        <v>656</v>
      </c>
      <c r="B380" s="58">
        <v>90144082772</v>
      </c>
      <c r="C380" s="63"/>
      <c r="D380" s="60"/>
      <c r="E380" s="9">
        <v>608</v>
      </c>
      <c r="F380" s="25">
        <v>43012</v>
      </c>
      <c r="G380" s="61" t="s">
        <v>13</v>
      </c>
      <c r="H380" s="9"/>
      <c r="I380" s="8"/>
      <c r="J380" s="8"/>
      <c r="K380" s="8"/>
      <c r="L380" s="8"/>
      <c r="M380" s="8"/>
    </row>
    <row r="381" spans="1:13">
      <c r="A381" s="13" t="s">
        <v>657</v>
      </c>
      <c r="B381" s="58">
        <v>34023913847</v>
      </c>
      <c r="C381" s="63"/>
      <c r="D381" s="60"/>
      <c r="E381" s="9">
        <v>1489</v>
      </c>
      <c r="F381" s="25">
        <v>43038</v>
      </c>
      <c r="G381" s="61" t="s">
        <v>13</v>
      </c>
      <c r="H381" s="9"/>
      <c r="I381" s="8"/>
      <c r="J381" s="8"/>
      <c r="K381" s="8"/>
      <c r="L381" s="9" t="s">
        <v>160</v>
      </c>
      <c r="M381" s="8"/>
    </row>
    <row r="382" spans="1:13">
      <c r="A382" s="62" t="s">
        <v>658</v>
      </c>
      <c r="B382" s="58">
        <v>14271660809</v>
      </c>
      <c r="C382" s="63"/>
      <c r="D382" s="60"/>
      <c r="E382" s="9">
        <v>443</v>
      </c>
      <c r="F382" s="25">
        <v>43188</v>
      </c>
      <c r="G382" s="61"/>
      <c r="H382" s="9"/>
      <c r="I382" s="8"/>
      <c r="J382" s="8"/>
      <c r="K382" s="8"/>
      <c r="L382" s="8"/>
      <c r="M382" s="8"/>
    </row>
    <row r="383" spans="1:13">
      <c r="A383" s="62" t="s">
        <v>659</v>
      </c>
      <c r="B383" s="58">
        <v>2509232894</v>
      </c>
      <c r="C383" s="63"/>
      <c r="D383" s="60"/>
      <c r="E383" s="9">
        <v>292</v>
      </c>
      <c r="F383" s="25">
        <v>43168</v>
      </c>
      <c r="G383" s="61" t="s">
        <v>13</v>
      </c>
      <c r="H383" s="9"/>
      <c r="I383" s="8"/>
      <c r="J383" s="8"/>
      <c r="K383" s="8"/>
      <c r="L383" s="9">
        <v>318</v>
      </c>
      <c r="M383" s="8"/>
    </row>
    <row r="384" spans="1:13">
      <c r="A384" s="62" t="s">
        <v>660</v>
      </c>
      <c r="B384" s="58">
        <v>37268126875</v>
      </c>
      <c r="C384" s="63"/>
      <c r="D384" s="60"/>
      <c r="E384" s="9">
        <v>1489</v>
      </c>
      <c r="F384" s="25">
        <v>43038</v>
      </c>
      <c r="G384" s="61" t="s">
        <v>13</v>
      </c>
      <c r="H384" s="9"/>
      <c r="I384" s="8"/>
      <c r="J384" s="8"/>
      <c r="K384" s="8"/>
      <c r="L384" s="9" t="s">
        <v>160</v>
      </c>
      <c r="M384" s="8"/>
    </row>
    <row r="385" spans="1:13">
      <c r="A385" s="15" t="s">
        <v>661</v>
      </c>
      <c r="B385" s="58">
        <v>33239238802</v>
      </c>
      <c r="C385" s="63" t="s">
        <v>662</v>
      </c>
      <c r="D385" s="60">
        <v>33111360806</v>
      </c>
      <c r="E385" s="9"/>
      <c r="F385" s="25"/>
      <c r="G385" s="61"/>
      <c r="H385" s="9"/>
      <c r="I385" s="8"/>
      <c r="J385" s="8"/>
      <c r="K385" s="8"/>
      <c r="L385" s="8"/>
      <c r="M385" s="8"/>
    </row>
    <row r="386" spans="1:13">
      <c r="A386" s="62" t="s">
        <v>663</v>
      </c>
      <c r="B386" s="58">
        <v>12443686876</v>
      </c>
      <c r="C386" s="63"/>
      <c r="D386" s="60"/>
      <c r="E386" s="9"/>
      <c r="F386" s="25"/>
      <c r="G386" s="61"/>
      <c r="H386" s="9"/>
      <c r="I386" s="8"/>
      <c r="J386" s="8"/>
      <c r="K386" s="8"/>
      <c r="L386" s="8"/>
      <c r="M386" s="8"/>
    </row>
    <row r="387" spans="1:13">
      <c r="A387" s="62" t="s">
        <v>664</v>
      </c>
      <c r="B387" s="58">
        <v>24867029890</v>
      </c>
      <c r="C387" s="63"/>
      <c r="D387" s="60"/>
      <c r="E387" s="9">
        <v>1106</v>
      </c>
      <c r="F387" s="25">
        <v>42965</v>
      </c>
      <c r="G387" s="61" t="s">
        <v>13</v>
      </c>
      <c r="H387" s="9"/>
      <c r="I387" s="8"/>
      <c r="J387" s="8"/>
      <c r="K387" s="8"/>
      <c r="L387" s="8"/>
      <c r="M387" s="8"/>
    </row>
    <row r="388" spans="1:13">
      <c r="A388" s="62" t="s">
        <v>665</v>
      </c>
      <c r="B388" s="58">
        <v>23331926825</v>
      </c>
      <c r="C388" s="63"/>
      <c r="D388" s="60"/>
      <c r="E388" s="9">
        <v>292</v>
      </c>
      <c r="F388" s="25">
        <v>43168</v>
      </c>
      <c r="G388" s="61" t="s">
        <v>20</v>
      </c>
      <c r="H388" s="9"/>
      <c r="I388" s="8"/>
      <c r="J388" s="8"/>
      <c r="K388" s="8"/>
      <c r="L388" s="9">
        <v>318</v>
      </c>
      <c r="M388" s="8"/>
    </row>
    <row r="389" spans="1:13">
      <c r="A389" s="62" t="s">
        <v>666</v>
      </c>
      <c r="B389" s="58">
        <v>86351966515</v>
      </c>
      <c r="C389" s="63"/>
      <c r="D389" s="60"/>
      <c r="E389" s="9">
        <v>1752</v>
      </c>
      <c r="F389" s="25">
        <v>43051</v>
      </c>
      <c r="G389" s="61" t="s">
        <v>13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667</v>
      </c>
      <c r="B390" s="58">
        <v>13486189816</v>
      </c>
      <c r="C390" s="63" t="s">
        <v>668</v>
      </c>
      <c r="D390" s="60">
        <v>15745057858</v>
      </c>
      <c r="E390" s="9">
        <v>262</v>
      </c>
      <c r="F390" s="25">
        <v>43160</v>
      </c>
      <c r="G390" s="61" t="s">
        <v>13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669</v>
      </c>
      <c r="B391" s="58">
        <v>17852414869</v>
      </c>
      <c r="C391" s="59"/>
      <c r="D391" s="60"/>
      <c r="E391" s="9">
        <v>1824</v>
      </c>
      <c r="F391" s="25">
        <v>43091</v>
      </c>
      <c r="G391" s="61" t="s">
        <v>13</v>
      </c>
      <c r="H391" s="9"/>
      <c r="I391" s="8"/>
      <c r="J391" s="8"/>
      <c r="K391" s="8"/>
      <c r="L391" s="9">
        <v>1828</v>
      </c>
      <c r="M391" s="8"/>
    </row>
    <row r="392" spans="1:13">
      <c r="A392" s="62" t="s">
        <v>670</v>
      </c>
      <c r="B392" s="58">
        <v>33426723824</v>
      </c>
      <c r="C392" s="63"/>
      <c r="D392" s="60"/>
      <c r="E392" s="9">
        <v>1214</v>
      </c>
      <c r="F392" s="25">
        <v>42989</v>
      </c>
      <c r="G392" s="61" t="s">
        <v>13</v>
      </c>
      <c r="H392" s="9"/>
      <c r="I392" s="8"/>
      <c r="J392" s="8"/>
      <c r="K392" s="8"/>
      <c r="L392" s="8"/>
      <c r="M392" s="8"/>
    </row>
    <row r="393" spans="1:13">
      <c r="A393" s="62" t="s">
        <v>671</v>
      </c>
      <c r="B393" s="58">
        <v>29672702884</v>
      </c>
      <c r="C393" s="63" t="s">
        <v>672</v>
      </c>
      <c r="D393" s="60">
        <v>28836016820</v>
      </c>
      <c r="E393" s="9">
        <v>262</v>
      </c>
      <c r="F393" s="25">
        <v>43160</v>
      </c>
      <c r="G393" s="61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7" t="s">
        <v>673</v>
      </c>
      <c r="B394" s="58"/>
      <c r="C394" s="27" t="s">
        <v>129</v>
      </c>
      <c r="D394" s="60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62" t="s">
        <v>674</v>
      </c>
      <c r="B395" s="58">
        <v>27895299816</v>
      </c>
      <c r="C395" s="63"/>
      <c r="D395" s="60"/>
      <c r="E395" s="9">
        <v>1350</v>
      </c>
      <c r="F395" s="25">
        <v>43006</v>
      </c>
      <c r="G395" s="61" t="s">
        <v>13</v>
      </c>
      <c r="H395" s="9"/>
      <c r="I395" s="8"/>
      <c r="J395" s="8"/>
      <c r="K395" s="8"/>
      <c r="L395" s="8"/>
      <c r="M395" s="8"/>
    </row>
    <row r="396" spans="1:13">
      <c r="A396" s="15" t="s">
        <v>675</v>
      </c>
      <c r="B396" s="58">
        <v>35511781860</v>
      </c>
      <c r="C396" s="63"/>
      <c r="D396" s="60"/>
      <c r="E396" s="9">
        <v>117</v>
      </c>
      <c r="F396" s="25">
        <v>43117</v>
      </c>
      <c r="G396" s="61" t="s">
        <v>13</v>
      </c>
      <c r="H396" s="9"/>
      <c r="I396" s="8"/>
      <c r="J396" s="8"/>
      <c r="K396" s="8"/>
      <c r="L396" s="9" t="s">
        <v>170</v>
      </c>
      <c r="M396" s="8"/>
    </row>
    <row r="397" spans="1:13">
      <c r="A397" s="15" t="s">
        <v>676</v>
      </c>
      <c r="B397" s="58">
        <v>7030224582</v>
      </c>
      <c r="C397" s="63" t="s">
        <v>677</v>
      </c>
      <c r="D397" s="60">
        <v>4763433563</v>
      </c>
      <c r="E397" s="9"/>
      <c r="F397" s="25"/>
      <c r="G397" s="61"/>
      <c r="H397" s="9"/>
      <c r="I397" s="8"/>
      <c r="J397" s="8"/>
      <c r="K397" s="8"/>
      <c r="L397" s="8"/>
      <c r="M397" s="8"/>
    </row>
    <row r="398" spans="1:13">
      <c r="A398" s="62" t="s">
        <v>678</v>
      </c>
      <c r="B398" s="58">
        <v>35071048817</v>
      </c>
      <c r="C398" s="63"/>
      <c r="D398" s="60"/>
      <c r="E398" s="9">
        <v>1350</v>
      </c>
      <c r="F398" s="25">
        <v>43006</v>
      </c>
      <c r="G398" s="61" t="s">
        <v>13</v>
      </c>
      <c r="H398" s="9"/>
      <c r="I398" s="8"/>
      <c r="J398" s="8"/>
      <c r="K398" s="8"/>
      <c r="L398" s="8"/>
      <c r="M398" s="8"/>
    </row>
    <row r="399" spans="1:13">
      <c r="A399" s="63" t="s">
        <v>679</v>
      </c>
      <c r="B399" s="58">
        <v>39783437895</v>
      </c>
      <c r="C399" s="63" t="s">
        <v>680</v>
      </c>
      <c r="D399" s="60">
        <v>12062296754</v>
      </c>
      <c r="E399" s="9">
        <v>292</v>
      </c>
      <c r="F399" s="25">
        <v>43168</v>
      </c>
      <c r="G399" s="9" t="s">
        <v>13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681</v>
      </c>
      <c r="B400" s="58">
        <v>41759713864</v>
      </c>
      <c r="C400" s="63" t="s">
        <v>682</v>
      </c>
      <c r="D400" s="60">
        <v>38653116877</v>
      </c>
      <c r="E400" s="9">
        <v>1824</v>
      </c>
      <c r="F400" s="25">
        <v>43091</v>
      </c>
      <c r="G400" s="61" t="s">
        <v>13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683</v>
      </c>
      <c r="B401" s="58">
        <v>37686754839</v>
      </c>
      <c r="C401" s="63" t="s">
        <v>684</v>
      </c>
      <c r="D401" s="60">
        <v>23445605807</v>
      </c>
      <c r="E401" s="9"/>
      <c r="F401" s="25"/>
      <c r="G401" s="61"/>
      <c r="H401" s="9"/>
      <c r="I401" s="8"/>
      <c r="J401" s="8"/>
      <c r="K401" s="8"/>
      <c r="L401" s="8"/>
      <c r="M401" s="8"/>
    </row>
    <row r="402" spans="1:13">
      <c r="A402" s="27" t="s">
        <v>685</v>
      </c>
      <c r="B402" s="58"/>
      <c r="C402" s="27" t="s">
        <v>686</v>
      </c>
      <c r="D402" s="60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62" t="s">
        <v>687</v>
      </c>
      <c r="B403" s="58">
        <v>45525905884</v>
      </c>
      <c r="C403" s="63"/>
      <c r="D403" s="60"/>
      <c r="E403" s="9">
        <v>1350</v>
      </c>
      <c r="F403" s="25">
        <v>43006</v>
      </c>
      <c r="G403" s="61" t="s">
        <v>13</v>
      </c>
      <c r="H403" s="9"/>
      <c r="I403" s="8"/>
      <c r="J403" s="8"/>
      <c r="K403" s="8"/>
      <c r="L403" s="8"/>
      <c r="M403" s="8"/>
    </row>
    <row r="404" spans="1:13">
      <c r="A404" s="62" t="s">
        <v>688</v>
      </c>
      <c r="B404" s="58">
        <v>44864217874</v>
      </c>
      <c r="C404" s="63" t="s">
        <v>689</v>
      </c>
      <c r="D404" s="60">
        <v>37462441888</v>
      </c>
      <c r="E404" s="9"/>
      <c r="F404" s="25"/>
      <c r="G404" s="61"/>
      <c r="H404" s="9"/>
      <c r="I404" s="8"/>
      <c r="J404" s="8"/>
      <c r="K404" s="8"/>
      <c r="L404" s="8"/>
      <c r="M404" s="8"/>
    </row>
    <row r="405" spans="1:13">
      <c r="A405" s="14" t="s">
        <v>690</v>
      </c>
      <c r="B405" s="58">
        <v>40516592831</v>
      </c>
      <c r="C405" s="63"/>
      <c r="D405" s="60"/>
      <c r="E405" s="9">
        <v>1417</v>
      </c>
      <c r="F405" s="25">
        <v>43017</v>
      </c>
      <c r="G405" s="61" t="s">
        <v>13</v>
      </c>
      <c r="H405" s="9"/>
      <c r="I405" s="8"/>
      <c r="J405" s="8"/>
      <c r="K405" s="8"/>
      <c r="L405" s="9" t="s">
        <v>253</v>
      </c>
      <c r="M405" s="8"/>
    </row>
    <row r="406" spans="1:13">
      <c r="A406" s="15" t="s">
        <v>691</v>
      </c>
      <c r="B406" s="58">
        <v>17509978866</v>
      </c>
      <c r="C406" s="63"/>
      <c r="D406" s="60"/>
      <c r="E406" s="9">
        <v>117</v>
      </c>
      <c r="F406" s="25">
        <v>43117</v>
      </c>
      <c r="G406" s="61" t="s">
        <v>13</v>
      </c>
      <c r="H406" s="9"/>
      <c r="I406" s="8"/>
      <c r="J406" s="8"/>
      <c r="K406" s="8"/>
      <c r="L406" s="9" t="s">
        <v>170</v>
      </c>
      <c r="M406" s="8"/>
    </row>
    <row r="407" spans="1:13">
      <c r="A407" s="13" t="s">
        <v>692</v>
      </c>
      <c r="B407" s="58">
        <v>1329442512</v>
      </c>
      <c r="C407" s="59" t="s">
        <v>693</v>
      </c>
      <c r="D407" s="60">
        <v>1320825516</v>
      </c>
      <c r="E407" s="9">
        <v>1214</v>
      </c>
      <c r="F407" s="25">
        <v>42989</v>
      </c>
      <c r="G407" s="61" t="s">
        <v>13</v>
      </c>
      <c r="H407" s="9"/>
      <c r="I407" s="8"/>
      <c r="J407" s="8"/>
      <c r="K407" s="8"/>
      <c r="L407" s="8"/>
      <c r="M407" s="8"/>
    </row>
    <row r="408" spans="1:13">
      <c r="A408" s="62" t="s">
        <v>694</v>
      </c>
      <c r="B408" s="58">
        <v>33270447833</v>
      </c>
      <c r="C408" s="63"/>
      <c r="D408" s="60"/>
      <c r="E408" s="9"/>
      <c r="F408" s="25"/>
      <c r="G408" s="61"/>
      <c r="H408" s="9"/>
      <c r="I408" s="8"/>
      <c r="J408" s="8"/>
      <c r="K408" s="8"/>
      <c r="L408" s="8"/>
      <c r="M408" s="8"/>
    </row>
    <row r="409" spans="1:13">
      <c r="A409" s="62" t="s">
        <v>695</v>
      </c>
      <c r="B409" s="58">
        <v>28179023869</v>
      </c>
      <c r="C409" s="63"/>
      <c r="D409" s="60"/>
      <c r="E409" s="9"/>
      <c r="F409" s="25"/>
      <c r="G409" s="61"/>
      <c r="H409" s="9"/>
      <c r="I409" s="8"/>
      <c r="J409" s="8"/>
      <c r="K409" s="8"/>
      <c r="L409" s="8"/>
      <c r="M409" s="8"/>
    </row>
    <row r="410" spans="1:13">
      <c r="A410" s="27" t="s">
        <v>696</v>
      </c>
      <c r="B410" s="58"/>
      <c r="C410" s="27" t="s">
        <v>129</v>
      </c>
      <c r="D410" s="60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62" t="s">
        <v>697</v>
      </c>
      <c r="B411" s="58">
        <v>2443078574</v>
      </c>
      <c r="C411" s="63"/>
      <c r="D411" s="60"/>
      <c r="E411" s="9">
        <v>1350</v>
      </c>
      <c r="F411" s="25">
        <v>43006</v>
      </c>
      <c r="G411" s="61" t="s">
        <v>13</v>
      </c>
      <c r="H411" s="9"/>
      <c r="I411" s="8"/>
      <c r="J411" s="8"/>
      <c r="K411" s="8"/>
      <c r="L411" s="8"/>
      <c r="M411" s="8"/>
    </row>
    <row r="412" spans="1:13">
      <c r="A412" s="62" t="s">
        <v>698</v>
      </c>
      <c r="B412" s="58">
        <v>35140471892</v>
      </c>
      <c r="C412" s="63"/>
      <c r="D412" s="60"/>
      <c r="E412" s="9">
        <v>292</v>
      </c>
      <c r="F412" s="25">
        <v>43168</v>
      </c>
      <c r="G412" s="61" t="s">
        <v>13</v>
      </c>
      <c r="H412" s="9"/>
      <c r="I412" s="8"/>
      <c r="J412" s="8"/>
      <c r="K412" s="8"/>
      <c r="L412" s="9">
        <v>318</v>
      </c>
      <c r="M412" s="8"/>
    </row>
    <row r="413" spans="1:13">
      <c r="A413" s="62" t="s">
        <v>699</v>
      </c>
      <c r="B413" s="58">
        <v>37264939804</v>
      </c>
      <c r="C413" s="63"/>
      <c r="D413" s="60"/>
      <c r="E413" s="9"/>
      <c r="F413" s="25"/>
      <c r="G413" s="61"/>
      <c r="H413" s="9"/>
      <c r="I413" s="8"/>
      <c r="J413" s="8"/>
      <c r="K413" s="8"/>
      <c r="L413" s="8"/>
      <c r="M413" s="8"/>
    </row>
    <row r="414" spans="1:13">
      <c r="A414" s="13" t="s">
        <v>700</v>
      </c>
      <c r="B414" s="58">
        <v>93440340520</v>
      </c>
      <c r="C414" s="59" t="s">
        <v>701</v>
      </c>
      <c r="D414" s="60">
        <v>8858333845</v>
      </c>
      <c r="E414" s="9">
        <v>1267</v>
      </c>
      <c r="F414" s="25">
        <v>42998</v>
      </c>
      <c r="G414" s="61" t="s">
        <v>13</v>
      </c>
      <c r="H414" s="9"/>
      <c r="I414" s="8"/>
      <c r="J414" s="8"/>
      <c r="K414" s="8"/>
      <c r="L414" s="8"/>
      <c r="M414" s="8"/>
    </row>
    <row r="415" spans="1:13">
      <c r="A415" s="27" t="s">
        <v>702</v>
      </c>
      <c r="B415" s="58">
        <v>21947877801</v>
      </c>
      <c r="C415" s="27" t="s">
        <v>703</v>
      </c>
      <c r="D415" s="60">
        <v>4921613567</v>
      </c>
      <c r="E415" s="9"/>
      <c r="F415" s="25"/>
      <c r="G415" s="61"/>
      <c r="H415" s="9"/>
      <c r="I415" s="8"/>
      <c r="J415" s="8"/>
      <c r="K415" s="8"/>
      <c r="L415" s="8"/>
      <c r="M415" s="8"/>
    </row>
    <row r="416" spans="1:13">
      <c r="A416" s="62" t="s">
        <v>704</v>
      </c>
      <c r="B416" s="58">
        <v>31712571818</v>
      </c>
      <c r="C416" s="63"/>
      <c r="D416" s="60"/>
      <c r="E416" s="9">
        <v>1350</v>
      </c>
      <c r="F416" s="25">
        <v>43006</v>
      </c>
      <c r="G416" s="61" t="s">
        <v>13</v>
      </c>
      <c r="H416" s="9"/>
      <c r="I416" s="8"/>
      <c r="J416" s="8"/>
      <c r="K416" s="8"/>
      <c r="L416" s="8"/>
      <c r="M416" s="8"/>
    </row>
    <row r="417" spans="1:13">
      <c r="A417" s="62" t="s">
        <v>705</v>
      </c>
      <c r="B417" s="58">
        <v>22358160881</v>
      </c>
      <c r="C417" s="63"/>
      <c r="D417" s="60"/>
      <c r="E417" s="9">
        <v>1752</v>
      </c>
      <c r="F417" s="25">
        <v>43051</v>
      </c>
      <c r="G417" s="61" t="s">
        <v>13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706</v>
      </c>
      <c r="B418" s="58">
        <v>29938931812</v>
      </c>
      <c r="C418" s="63"/>
      <c r="D418" s="60"/>
      <c r="E418" s="9">
        <v>1824</v>
      </c>
      <c r="F418" s="25">
        <v>43091</v>
      </c>
      <c r="G418" s="61" t="s">
        <v>13</v>
      </c>
      <c r="H418" s="9"/>
      <c r="I418" s="8"/>
      <c r="J418" s="8"/>
      <c r="K418" s="8"/>
      <c r="L418" s="9">
        <v>1828</v>
      </c>
      <c r="M418" s="8"/>
    </row>
    <row r="419" spans="1:13">
      <c r="A419" s="62" t="s">
        <v>707</v>
      </c>
      <c r="B419" s="58">
        <v>84674300444</v>
      </c>
      <c r="C419" s="63"/>
      <c r="D419" s="60"/>
      <c r="E419" s="9">
        <v>85</v>
      </c>
      <c r="F419" s="25">
        <v>43109</v>
      </c>
      <c r="G419" s="61" t="s">
        <v>13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708</v>
      </c>
      <c r="B420" s="58">
        <v>71739637372</v>
      </c>
      <c r="C420" s="63"/>
      <c r="D420" s="60"/>
      <c r="E420" s="9">
        <v>1824</v>
      </c>
      <c r="F420" s="25">
        <v>43091</v>
      </c>
      <c r="G420" s="61" t="s">
        <v>13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709</v>
      </c>
      <c r="B421" s="58">
        <v>29999729894</v>
      </c>
      <c r="C421" s="18"/>
      <c r="D421" s="60"/>
      <c r="E421" s="9"/>
      <c r="F421" s="25"/>
      <c r="G421" s="61"/>
      <c r="H421" s="9"/>
      <c r="I421" s="8"/>
      <c r="J421" s="8"/>
      <c r="K421" s="8"/>
      <c r="L421" s="8"/>
      <c r="M421" s="8"/>
    </row>
    <row r="422" spans="1:13">
      <c r="A422" s="62" t="s">
        <v>710</v>
      </c>
      <c r="B422" s="58">
        <v>11163355810</v>
      </c>
      <c r="C422" s="63" t="s">
        <v>711</v>
      </c>
      <c r="D422" s="60">
        <v>4435148870</v>
      </c>
      <c r="E422" s="9">
        <v>443</v>
      </c>
      <c r="F422" s="25">
        <v>43188</v>
      </c>
      <c r="G422" s="61"/>
      <c r="H422" s="9"/>
      <c r="I422" s="8"/>
      <c r="J422" s="8"/>
      <c r="K422" s="8"/>
      <c r="L422" s="8"/>
      <c r="M422" s="8"/>
    </row>
    <row r="423" spans="1:13">
      <c r="A423" s="13" t="s">
        <v>712</v>
      </c>
      <c r="B423" s="58">
        <v>12870537859</v>
      </c>
      <c r="C423" s="63" t="s">
        <v>713</v>
      </c>
      <c r="D423" s="60">
        <v>59856912849</v>
      </c>
      <c r="E423" s="9">
        <v>1417</v>
      </c>
      <c r="F423" s="25">
        <v>43017</v>
      </c>
      <c r="G423" s="61" t="s">
        <v>13</v>
      </c>
      <c r="H423" s="9"/>
      <c r="I423" s="8"/>
      <c r="J423" s="8"/>
      <c r="K423" s="8"/>
      <c r="L423" s="9" t="s">
        <v>253</v>
      </c>
      <c r="M423" s="8"/>
    </row>
    <row r="424" spans="1:13">
      <c r="A424" s="14" t="s">
        <v>714</v>
      </c>
      <c r="B424" s="58">
        <v>22019624800</v>
      </c>
      <c r="C424" s="63"/>
      <c r="D424" s="60"/>
      <c r="E424" s="9">
        <v>262</v>
      </c>
      <c r="F424" s="25">
        <v>43160</v>
      </c>
      <c r="G424" s="61" t="s">
        <v>13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715</v>
      </c>
      <c r="B425" s="58">
        <v>3414309513</v>
      </c>
      <c r="C425" s="18"/>
      <c r="D425" s="60"/>
      <c r="E425" s="9"/>
      <c r="F425" s="25"/>
      <c r="G425" s="61"/>
      <c r="H425" s="9"/>
      <c r="I425" s="8"/>
      <c r="J425" s="8"/>
      <c r="K425" s="8"/>
      <c r="L425" s="8"/>
      <c r="M425" s="8"/>
    </row>
    <row r="426" spans="1:13">
      <c r="A426" s="15" t="s">
        <v>716</v>
      </c>
      <c r="B426" s="58">
        <v>46046277892</v>
      </c>
      <c r="C426" s="63"/>
      <c r="D426" s="60"/>
      <c r="E426" s="9">
        <v>85</v>
      </c>
      <c r="F426" s="25">
        <v>43109</v>
      </c>
      <c r="G426" s="61" t="s">
        <v>13</v>
      </c>
      <c r="H426" s="25">
        <v>43151</v>
      </c>
      <c r="I426" s="8"/>
      <c r="J426" s="8"/>
      <c r="K426" s="8"/>
      <c r="L426" s="8"/>
      <c r="M426" s="8"/>
    </row>
    <row r="427" spans="1:13">
      <c r="A427" s="62" t="s">
        <v>717</v>
      </c>
      <c r="B427" s="58">
        <v>35458479858</v>
      </c>
      <c r="C427" s="63"/>
      <c r="D427" s="60"/>
      <c r="E427" s="9">
        <v>1350</v>
      </c>
      <c r="F427" s="25">
        <v>43006</v>
      </c>
      <c r="G427" s="61" t="s">
        <v>13</v>
      </c>
      <c r="H427" s="9"/>
      <c r="I427" s="8"/>
      <c r="J427" s="8"/>
      <c r="K427" s="8"/>
      <c r="L427" s="8"/>
      <c r="M427" s="8"/>
    </row>
    <row r="428" spans="1:13">
      <c r="A428" s="15" t="s">
        <v>718</v>
      </c>
      <c r="B428" s="58">
        <v>34133269888</v>
      </c>
      <c r="C428" s="63" t="s">
        <v>719</v>
      </c>
      <c r="D428" s="60">
        <v>35360635860</v>
      </c>
      <c r="E428" s="9">
        <v>1824</v>
      </c>
      <c r="F428" s="25">
        <v>43091</v>
      </c>
      <c r="G428" s="61" t="s">
        <v>13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720</v>
      </c>
      <c r="B429" s="58">
        <v>10690540892</v>
      </c>
      <c r="C429" s="63"/>
      <c r="D429" s="60"/>
      <c r="E429" s="9">
        <v>262</v>
      </c>
      <c r="F429" s="25">
        <v>43160</v>
      </c>
      <c r="G429" s="61" t="s">
        <v>13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721</v>
      </c>
      <c r="B430" s="58">
        <v>26370314846</v>
      </c>
      <c r="C430" s="63" t="s">
        <v>722</v>
      </c>
      <c r="D430" s="60">
        <v>26923862809</v>
      </c>
      <c r="E430" s="9">
        <v>117</v>
      </c>
      <c r="F430" s="25">
        <v>43117</v>
      </c>
      <c r="G430" s="61" t="s">
        <v>13</v>
      </c>
      <c r="H430" s="9"/>
      <c r="I430" s="8"/>
      <c r="J430" s="8"/>
      <c r="K430" s="8"/>
      <c r="L430" s="9" t="s">
        <v>170</v>
      </c>
      <c r="M430" s="8"/>
    </row>
    <row r="431" spans="1:13">
      <c r="A431" s="62" t="s">
        <v>723</v>
      </c>
      <c r="B431" s="58">
        <v>7512836490</v>
      </c>
      <c r="C431" s="68"/>
      <c r="D431" s="60"/>
      <c r="E431" s="9"/>
      <c r="F431" s="25"/>
      <c r="G431" s="61"/>
      <c r="H431" s="9"/>
      <c r="I431" s="8"/>
      <c r="J431" s="8"/>
      <c r="K431" s="8"/>
      <c r="L431" s="8"/>
      <c r="M431" s="8"/>
    </row>
    <row r="432" spans="1:13">
      <c r="A432" s="13" t="s">
        <v>724</v>
      </c>
      <c r="B432" s="58">
        <v>26406652860</v>
      </c>
      <c r="C432" s="59"/>
      <c r="D432" s="60"/>
      <c r="E432" s="9">
        <v>1241</v>
      </c>
      <c r="F432" s="25">
        <v>42992</v>
      </c>
      <c r="G432" s="61" t="s">
        <v>13</v>
      </c>
      <c r="H432" s="9"/>
      <c r="I432" s="8"/>
      <c r="J432" s="8"/>
      <c r="K432" s="8"/>
      <c r="L432" s="8"/>
      <c r="M432" s="8"/>
    </row>
    <row r="433" spans="1:13">
      <c r="A433" s="62" t="s">
        <v>725</v>
      </c>
      <c r="B433" s="58">
        <v>2997846811</v>
      </c>
      <c r="C433" s="63"/>
      <c r="D433" s="60"/>
      <c r="E433" s="9">
        <v>292</v>
      </c>
      <c r="F433" s="25">
        <v>43168</v>
      </c>
      <c r="G433" s="61" t="s">
        <v>13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726</v>
      </c>
      <c r="B434" s="58">
        <v>1185289801</v>
      </c>
      <c r="C434" s="59"/>
      <c r="D434" s="60"/>
      <c r="E434" s="9">
        <v>1267</v>
      </c>
      <c r="F434" s="25">
        <v>42998</v>
      </c>
      <c r="G434" s="61" t="s">
        <v>13</v>
      </c>
      <c r="H434" s="9"/>
      <c r="I434" s="8"/>
      <c r="J434" s="8"/>
      <c r="K434" s="8"/>
      <c r="L434" s="8"/>
      <c r="M434" s="8"/>
    </row>
    <row r="435" spans="1:13">
      <c r="A435" s="62" t="s">
        <v>727</v>
      </c>
      <c r="B435" s="58">
        <v>7267104827</v>
      </c>
      <c r="C435" s="63"/>
      <c r="D435" s="60"/>
      <c r="E435" s="9">
        <v>1752</v>
      </c>
      <c r="F435" s="25">
        <v>43051</v>
      </c>
      <c r="G435" s="61" t="s">
        <v>13</v>
      </c>
      <c r="H435" s="9"/>
      <c r="I435" s="8"/>
      <c r="J435" s="8"/>
      <c r="K435" s="8"/>
      <c r="L435" s="9">
        <v>1759</v>
      </c>
      <c r="M435" s="8"/>
    </row>
    <row r="436" spans="1:13">
      <c r="A436" s="27" t="s">
        <v>728</v>
      </c>
      <c r="B436" s="58"/>
      <c r="C436" s="27" t="s">
        <v>129</v>
      </c>
      <c r="D436" s="60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62" t="s">
        <v>729</v>
      </c>
      <c r="B437" s="58">
        <v>37364783806</v>
      </c>
      <c r="C437" s="63"/>
      <c r="D437" s="60"/>
      <c r="E437" s="9">
        <v>117</v>
      </c>
      <c r="F437" s="25">
        <v>43117</v>
      </c>
      <c r="G437" s="61" t="s">
        <v>28</v>
      </c>
      <c r="H437" s="9"/>
      <c r="I437" s="8"/>
      <c r="J437" s="8"/>
      <c r="K437" s="8"/>
      <c r="L437" s="9" t="s">
        <v>170</v>
      </c>
      <c r="M437" s="8"/>
    </row>
    <row r="438" spans="1:13">
      <c r="A438" s="62" t="s">
        <v>730</v>
      </c>
      <c r="B438" s="58">
        <v>28413241847</v>
      </c>
      <c r="C438" s="63" t="s">
        <v>731</v>
      </c>
      <c r="D438" s="60">
        <v>14661915895</v>
      </c>
      <c r="E438" s="9">
        <v>810</v>
      </c>
      <c r="F438" s="25">
        <v>42915</v>
      </c>
      <c r="G438" s="61" t="s">
        <v>13</v>
      </c>
      <c r="H438" s="9"/>
      <c r="I438" s="8"/>
      <c r="J438" s="8"/>
      <c r="K438" s="8"/>
      <c r="L438" s="9" t="s">
        <v>138</v>
      </c>
      <c r="M438" s="8"/>
    </row>
    <row r="439" spans="1:13">
      <c r="A439" s="15" t="s">
        <v>732</v>
      </c>
      <c r="B439" s="58">
        <v>12898733806</v>
      </c>
      <c r="C439" s="63" t="s">
        <v>733</v>
      </c>
      <c r="D439" s="60">
        <v>25210307832</v>
      </c>
      <c r="E439" s="9">
        <v>262</v>
      </c>
      <c r="F439" s="25">
        <v>43160</v>
      </c>
      <c r="G439" s="61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63" t="s">
        <v>734</v>
      </c>
      <c r="B440" s="58">
        <v>1912295636</v>
      </c>
      <c r="C440" s="63"/>
      <c r="D440" s="60"/>
      <c r="E440" s="9">
        <v>292</v>
      </c>
      <c r="F440" s="25">
        <v>43168</v>
      </c>
      <c r="G440" s="9" t="s">
        <v>13</v>
      </c>
      <c r="H440" s="9"/>
      <c r="I440" s="8"/>
      <c r="J440" s="8"/>
      <c r="K440" s="8"/>
      <c r="L440" s="9">
        <v>318</v>
      </c>
      <c r="M440" s="8"/>
    </row>
    <row r="441" spans="1:13">
      <c r="A441" s="62" t="s">
        <v>735</v>
      </c>
      <c r="B441" s="58">
        <v>14315745898</v>
      </c>
      <c r="C441" s="63"/>
      <c r="D441" s="60"/>
      <c r="E441" s="9">
        <v>292</v>
      </c>
      <c r="F441" s="25">
        <v>43168</v>
      </c>
      <c r="G441" s="61"/>
      <c r="H441" s="9"/>
      <c r="I441" s="8"/>
      <c r="J441" s="8"/>
      <c r="K441" s="8"/>
      <c r="L441" s="9">
        <v>318</v>
      </c>
      <c r="M441" s="8"/>
    </row>
    <row r="442" spans="1:13">
      <c r="A442" s="27" t="s">
        <v>736</v>
      </c>
      <c r="B442" s="58">
        <v>667192328</v>
      </c>
      <c r="C442" s="27" t="s">
        <v>737</v>
      </c>
      <c r="D442" s="60">
        <v>4573662499</v>
      </c>
      <c r="E442" s="9"/>
      <c r="F442" s="25"/>
      <c r="G442" s="61"/>
      <c r="H442" s="9"/>
      <c r="I442" s="8"/>
      <c r="J442" s="8"/>
      <c r="K442" s="8"/>
      <c r="L442" s="8"/>
      <c r="M442" s="8"/>
    </row>
    <row r="443" spans="1:13">
      <c r="A443" s="62" t="s">
        <v>738</v>
      </c>
      <c r="B443" s="58">
        <v>3474339443</v>
      </c>
      <c r="C443" s="63" t="s">
        <v>739</v>
      </c>
      <c r="D443" s="60">
        <v>58073604515</v>
      </c>
      <c r="E443" s="9">
        <v>810</v>
      </c>
      <c r="F443" s="25">
        <v>42915</v>
      </c>
      <c r="G443" s="61" t="s">
        <v>13</v>
      </c>
      <c r="H443" s="9"/>
      <c r="I443" s="8"/>
      <c r="J443" s="8"/>
      <c r="K443" s="8"/>
      <c r="L443" s="9" t="s">
        <v>138</v>
      </c>
      <c r="M443" s="8"/>
    </row>
    <row r="444" spans="1:13">
      <c r="A444" s="62" t="s">
        <v>740</v>
      </c>
      <c r="B444" s="58">
        <v>10782322883</v>
      </c>
      <c r="C444" s="63"/>
      <c r="D444" s="60"/>
      <c r="E444" s="9">
        <v>1106</v>
      </c>
      <c r="F444" s="25">
        <v>42965</v>
      </c>
      <c r="G444" s="61" t="s">
        <v>13</v>
      </c>
      <c r="H444" s="9"/>
      <c r="I444" s="8"/>
      <c r="J444" s="8"/>
      <c r="K444" s="8"/>
      <c r="L444" s="8"/>
      <c r="M444" s="8"/>
    </row>
    <row r="445" spans="1:13">
      <c r="A445" s="14" t="s">
        <v>741</v>
      </c>
      <c r="B445" s="58">
        <v>30191184845</v>
      </c>
      <c r="C445" s="63"/>
      <c r="D445" s="60"/>
      <c r="E445" s="9"/>
      <c r="F445" s="25"/>
      <c r="G445" s="61"/>
      <c r="H445" s="9"/>
      <c r="I445" s="8"/>
      <c r="J445" s="8"/>
      <c r="K445" s="8"/>
      <c r="L445" s="8"/>
      <c r="M445" s="8"/>
    </row>
    <row r="446" spans="1:13">
      <c r="A446" s="62" t="s">
        <v>742</v>
      </c>
      <c r="B446" s="58">
        <v>70014140349</v>
      </c>
      <c r="C446" s="63" t="s">
        <v>743</v>
      </c>
      <c r="D446" s="60">
        <v>16412436863</v>
      </c>
      <c r="E446" s="9">
        <v>1262</v>
      </c>
      <c r="F446" s="25">
        <v>42997</v>
      </c>
      <c r="G446" s="61" t="s">
        <v>13</v>
      </c>
      <c r="H446" s="9"/>
      <c r="I446" s="8"/>
      <c r="J446" s="8"/>
      <c r="K446" s="8"/>
      <c r="L446" s="8"/>
      <c r="M446" s="8"/>
    </row>
    <row r="447" spans="1:13">
      <c r="A447" s="62" t="s">
        <v>744</v>
      </c>
      <c r="B447" s="58">
        <v>32144128847</v>
      </c>
      <c r="C447" s="63"/>
      <c r="D447" s="60"/>
      <c r="E447" s="9"/>
      <c r="F447" s="25"/>
      <c r="G447" s="61"/>
      <c r="H447" s="9"/>
      <c r="I447" s="8"/>
      <c r="J447" s="8"/>
      <c r="K447" s="8"/>
      <c r="L447" s="8"/>
      <c r="M447" s="8"/>
    </row>
    <row r="448" spans="1:13">
      <c r="A448" s="64" t="s">
        <v>745</v>
      </c>
      <c r="B448" s="58">
        <v>29314602818</v>
      </c>
      <c r="C448" s="63"/>
      <c r="D448" s="60"/>
      <c r="E448" s="9">
        <v>1570</v>
      </c>
      <c r="F448" s="25">
        <v>43055</v>
      </c>
      <c r="G448" s="9" t="s">
        <v>13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7" t="s">
        <v>746</v>
      </c>
      <c r="B449" s="58">
        <v>42230945807</v>
      </c>
      <c r="C449" s="27" t="s">
        <v>747</v>
      </c>
      <c r="D449" s="60">
        <v>44852433895</v>
      </c>
      <c r="E449" s="9"/>
      <c r="F449" s="25"/>
      <c r="G449" s="61"/>
      <c r="H449" s="9"/>
      <c r="I449" s="8"/>
      <c r="J449" s="8"/>
      <c r="K449" s="8"/>
      <c r="L449" s="8"/>
      <c r="M449" s="8"/>
    </row>
    <row r="450" spans="1:13">
      <c r="A450" s="62" t="s">
        <v>748</v>
      </c>
      <c r="B450" s="58">
        <v>36157472839</v>
      </c>
      <c r="C450" s="63"/>
      <c r="D450" s="60"/>
      <c r="E450" s="9">
        <v>262</v>
      </c>
      <c r="F450" s="25">
        <v>43160</v>
      </c>
      <c r="G450" s="61" t="s">
        <v>13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749</v>
      </c>
      <c r="B451" s="58">
        <v>37745138809</v>
      </c>
      <c r="C451" s="59"/>
      <c r="D451" s="60"/>
      <c r="E451" s="9">
        <v>1267</v>
      </c>
      <c r="F451" s="25">
        <v>42998</v>
      </c>
      <c r="G451" s="61" t="s">
        <v>13</v>
      </c>
      <c r="H451" s="9"/>
      <c r="I451" s="8"/>
      <c r="J451" s="8"/>
      <c r="K451" s="8"/>
      <c r="L451" s="8"/>
      <c r="M451" s="8"/>
    </row>
    <row r="452" spans="1:13">
      <c r="A452" s="13" t="s">
        <v>750</v>
      </c>
      <c r="B452" s="58">
        <v>32560299810</v>
      </c>
      <c r="C452" s="59"/>
      <c r="D452" s="60"/>
      <c r="E452" s="9">
        <v>1489</v>
      </c>
      <c r="F452" s="25">
        <v>43038</v>
      </c>
      <c r="G452" s="61" t="s">
        <v>13</v>
      </c>
      <c r="H452" s="9"/>
      <c r="I452" s="8"/>
      <c r="J452" s="8"/>
      <c r="K452" s="8"/>
      <c r="L452" s="9" t="s">
        <v>160</v>
      </c>
      <c r="M452" s="8"/>
    </row>
    <row r="453" spans="1:13">
      <c r="A453" s="62" t="s">
        <v>751</v>
      </c>
      <c r="B453" s="58">
        <v>7380335456</v>
      </c>
      <c r="C453" s="63" t="s">
        <v>752</v>
      </c>
      <c r="D453" s="60">
        <v>7548744439</v>
      </c>
      <c r="E453" s="9">
        <v>810</v>
      </c>
      <c r="F453" s="25">
        <v>42915</v>
      </c>
      <c r="G453" s="61" t="s">
        <v>13</v>
      </c>
      <c r="H453" s="9"/>
      <c r="I453" s="8"/>
      <c r="J453" s="8"/>
      <c r="K453" s="8"/>
      <c r="L453" s="9" t="s">
        <v>138</v>
      </c>
      <c r="M453" s="8"/>
    </row>
    <row r="454" spans="1:13">
      <c r="A454" s="18" t="s">
        <v>753</v>
      </c>
      <c r="B454" s="58">
        <v>16488527851</v>
      </c>
      <c r="C454" s="18"/>
      <c r="D454" s="60"/>
      <c r="E454" s="9"/>
      <c r="F454" s="25"/>
      <c r="G454" s="61"/>
      <c r="H454" s="9"/>
      <c r="I454" s="8"/>
      <c r="J454" s="8"/>
      <c r="K454" s="8"/>
      <c r="L454" s="8"/>
      <c r="M454" s="8"/>
    </row>
    <row r="455" spans="1:13">
      <c r="A455" s="62" t="s">
        <v>754</v>
      </c>
      <c r="B455" s="58">
        <v>38529900847</v>
      </c>
      <c r="C455" s="63" t="s">
        <v>755</v>
      </c>
      <c r="D455" s="60">
        <v>36056823830</v>
      </c>
      <c r="E455" s="9">
        <v>262</v>
      </c>
      <c r="F455" s="25">
        <v>43160</v>
      </c>
      <c r="G455" s="61" t="s">
        <v>13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756</v>
      </c>
      <c r="B456" s="58">
        <v>3294051522</v>
      </c>
      <c r="C456" s="59"/>
      <c r="D456" s="60"/>
      <c r="E456" s="9">
        <v>1417</v>
      </c>
      <c r="F456" s="25">
        <v>43017</v>
      </c>
      <c r="G456" s="61" t="s">
        <v>13</v>
      </c>
      <c r="H456" s="9"/>
      <c r="I456" s="8"/>
      <c r="J456" s="8"/>
      <c r="K456" s="8"/>
      <c r="L456" s="9" t="s">
        <v>253</v>
      </c>
      <c r="M456" s="8"/>
    </row>
    <row r="457" spans="1:13">
      <c r="A457" s="13" t="s">
        <v>757</v>
      </c>
      <c r="B457" s="58">
        <v>40764489879</v>
      </c>
      <c r="C457" s="59"/>
      <c r="D457" s="60"/>
      <c r="E457" s="9">
        <v>1752</v>
      </c>
      <c r="F457" s="25">
        <v>43051</v>
      </c>
      <c r="G457" s="61" t="s">
        <v>13</v>
      </c>
      <c r="H457" s="9"/>
      <c r="I457" s="8"/>
      <c r="J457" s="8"/>
      <c r="K457" s="8"/>
      <c r="L457" s="9">
        <v>1759</v>
      </c>
      <c r="M457" s="8"/>
    </row>
    <row r="458" spans="1:13">
      <c r="A458" s="62" t="s">
        <v>758</v>
      </c>
      <c r="B458" s="58">
        <v>30085860824</v>
      </c>
      <c r="C458" s="63"/>
      <c r="D458" s="60"/>
      <c r="E458" s="9">
        <v>85</v>
      </c>
      <c r="F458" s="25">
        <v>43109</v>
      </c>
      <c r="G458" s="61" t="s">
        <v>13</v>
      </c>
      <c r="H458" s="25">
        <v>43151</v>
      </c>
      <c r="I458" s="8"/>
      <c r="J458" s="8"/>
      <c r="K458" s="8"/>
      <c r="L458" s="8"/>
      <c r="M458" s="8"/>
    </row>
    <row r="459" spans="1:13">
      <c r="A459" s="62" t="s">
        <v>759</v>
      </c>
      <c r="B459" s="58">
        <v>11806390817</v>
      </c>
      <c r="C459" s="63" t="s">
        <v>760</v>
      </c>
      <c r="D459" s="60">
        <v>6924399860</v>
      </c>
      <c r="E459" s="9">
        <v>85</v>
      </c>
      <c r="F459" s="25">
        <v>43109</v>
      </c>
      <c r="G459" s="61" t="s">
        <v>13</v>
      </c>
      <c r="H459" s="25">
        <v>43151</v>
      </c>
      <c r="I459" s="8"/>
      <c r="J459" s="8"/>
      <c r="K459" s="8"/>
      <c r="L459" s="8"/>
      <c r="M459" s="8"/>
    </row>
    <row r="460" spans="1:13">
      <c r="A460" s="63" t="s">
        <v>761</v>
      </c>
      <c r="B460" s="58">
        <v>38569204809</v>
      </c>
      <c r="C460" s="63"/>
      <c r="D460" s="60"/>
      <c r="E460" s="9"/>
      <c r="F460" s="25"/>
      <c r="G460" s="61"/>
      <c r="H460" s="9"/>
      <c r="I460" s="8"/>
      <c r="J460" s="8"/>
      <c r="K460" s="8"/>
      <c r="L460" s="8"/>
      <c r="M460" s="8"/>
    </row>
    <row r="461" spans="1:13">
      <c r="A461" s="62" t="s">
        <v>762</v>
      </c>
      <c r="B461" s="58">
        <v>34340995819</v>
      </c>
      <c r="C461" s="63"/>
      <c r="D461" s="60"/>
      <c r="E461" s="9">
        <v>292</v>
      </c>
      <c r="F461" s="25">
        <v>43168</v>
      </c>
      <c r="G461" s="9" t="s">
        <v>13</v>
      </c>
      <c r="H461" s="9"/>
      <c r="I461" s="8"/>
      <c r="J461" s="8"/>
      <c r="K461" s="8"/>
      <c r="L461" s="9">
        <v>318</v>
      </c>
      <c r="M461" s="8"/>
    </row>
    <row r="462" spans="1:13">
      <c r="A462" s="62" t="s">
        <v>763</v>
      </c>
      <c r="B462" s="58">
        <v>32734621835</v>
      </c>
      <c r="C462" s="68" t="s">
        <v>764</v>
      </c>
      <c r="D462" s="60" t="s">
        <v>765</v>
      </c>
      <c r="E462" s="9"/>
      <c r="F462" s="25"/>
      <c r="G462" s="61"/>
      <c r="H462" s="9"/>
      <c r="I462" s="8"/>
      <c r="J462" s="8"/>
      <c r="K462" s="8"/>
      <c r="L462" s="8"/>
      <c r="M462" s="8"/>
    </row>
    <row r="463" spans="1:13">
      <c r="A463" s="62" t="s">
        <v>766</v>
      </c>
      <c r="B463" s="58">
        <v>32317321821</v>
      </c>
      <c r="C463" s="63"/>
      <c r="D463" s="60"/>
      <c r="E463" s="9">
        <v>292</v>
      </c>
      <c r="F463" s="25">
        <v>43168</v>
      </c>
      <c r="G463" s="61" t="s">
        <v>13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767</v>
      </c>
      <c r="B464" s="58">
        <v>35629470892</v>
      </c>
      <c r="C464" s="63"/>
      <c r="D464" s="60"/>
      <c r="E464" s="9">
        <v>443</v>
      </c>
      <c r="F464" s="25">
        <v>43188</v>
      </c>
      <c r="G464" s="61"/>
      <c r="H464" s="9"/>
      <c r="I464" s="8"/>
      <c r="J464" s="8"/>
      <c r="K464" s="8"/>
      <c r="L464" s="8"/>
      <c r="M464" s="8"/>
    </row>
    <row r="465" spans="1:13">
      <c r="A465" s="13" t="s">
        <v>768</v>
      </c>
      <c r="B465" s="58">
        <v>31367730805</v>
      </c>
      <c r="C465" s="59" t="s">
        <v>769</v>
      </c>
      <c r="D465" s="60">
        <v>39532354867</v>
      </c>
      <c r="E465" s="9">
        <v>1350</v>
      </c>
      <c r="F465" s="25">
        <v>43006</v>
      </c>
      <c r="G465" s="61" t="s">
        <v>13</v>
      </c>
      <c r="H465" s="9"/>
      <c r="I465" s="8"/>
      <c r="J465" s="8"/>
      <c r="K465" s="8"/>
      <c r="L465" s="8"/>
      <c r="M465" s="8"/>
    </row>
    <row r="466" spans="1:13">
      <c r="A466" s="62" t="s">
        <v>770</v>
      </c>
      <c r="B466" s="58">
        <v>5579867611</v>
      </c>
      <c r="C466" s="63" t="s">
        <v>771</v>
      </c>
      <c r="D466" s="60">
        <v>40051815893</v>
      </c>
      <c r="E466" s="9"/>
      <c r="F466" s="25"/>
      <c r="G466" s="61"/>
      <c r="H466" s="9"/>
      <c r="I466" s="8"/>
      <c r="J466" s="8"/>
      <c r="K466" s="8"/>
      <c r="L466" s="8"/>
      <c r="M466" s="8"/>
    </row>
    <row r="467" spans="1:13">
      <c r="A467" s="14" t="s">
        <v>772</v>
      </c>
      <c r="B467" s="58">
        <v>17118545813</v>
      </c>
      <c r="C467" s="63" t="s">
        <v>773</v>
      </c>
      <c r="D467" s="60">
        <v>29932279803</v>
      </c>
      <c r="E467" s="9">
        <v>262</v>
      </c>
      <c r="F467" s="25">
        <v>43160</v>
      </c>
      <c r="G467" s="61" t="s">
        <v>13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62" t="s">
        <v>774</v>
      </c>
      <c r="B468" s="58">
        <v>35031003855</v>
      </c>
      <c r="C468" s="63" t="s">
        <v>775</v>
      </c>
      <c r="D468" s="60">
        <v>41246529840</v>
      </c>
      <c r="E468" s="9">
        <v>1422</v>
      </c>
      <c r="F468" s="25">
        <v>43018</v>
      </c>
      <c r="G468" s="61" t="s">
        <v>13</v>
      </c>
      <c r="H468" s="9"/>
      <c r="I468" s="8"/>
      <c r="J468" s="8"/>
      <c r="K468" s="8"/>
      <c r="L468" s="8"/>
      <c r="M468" s="8"/>
    </row>
    <row r="469" spans="1:13">
      <c r="A469" s="30" t="s">
        <v>776</v>
      </c>
      <c r="B469" s="58">
        <v>17803718884</v>
      </c>
      <c r="C469" s="30" t="s">
        <v>777</v>
      </c>
      <c r="D469" s="60">
        <v>364628880</v>
      </c>
      <c r="E469" s="9">
        <v>1570</v>
      </c>
      <c r="F469" s="25">
        <v>43077</v>
      </c>
      <c r="G469" s="61" t="s">
        <v>13</v>
      </c>
      <c r="H469" s="9"/>
      <c r="I469" s="8"/>
      <c r="J469" s="8"/>
      <c r="K469" s="8"/>
      <c r="L469" s="8"/>
      <c r="M469" s="8"/>
    </row>
    <row r="470" spans="1:13">
      <c r="A470" s="62" t="s">
        <v>778</v>
      </c>
      <c r="B470" s="58">
        <v>99990792534</v>
      </c>
      <c r="C470" s="63"/>
      <c r="D470" s="60"/>
      <c r="E470" s="9">
        <v>117</v>
      </c>
      <c r="F470" s="25">
        <v>43117</v>
      </c>
      <c r="G470" s="61" t="s">
        <v>13</v>
      </c>
      <c r="H470" s="9"/>
      <c r="I470" s="8"/>
      <c r="J470" s="8"/>
      <c r="K470" s="8"/>
      <c r="L470" s="9" t="s">
        <v>170</v>
      </c>
      <c r="M470" s="8"/>
    </row>
    <row r="471" spans="1:13">
      <c r="A471" s="13" t="s">
        <v>779</v>
      </c>
      <c r="B471" s="58">
        <v>26479067851</v>
      </c>
      <c r="C471" s="59"/>
      <c r="D471" s="60"/>
      <c r="E471" s="9">
        <v>1128</v>
      </c>
      <c r="F471" s="25">
        <v>42972</v>
      </c>
      <c r="G471" s="61" t="s">
        <v>13</v>
      </c>
      <c r="H471" s="9"/>
      <c r="I471" s="8"/>
      <c r="J471" s="8"/>
      <c r="K471" s="8"/>
      <c r="L471" s="8"/>
      <c r="M471" s="8"/>
    </row>
    <row r="472" spans="1:13">
      <c r="A472" s="62" t="s">
        <v>780</v>
      </c>
      <c r="B472" s="58">
        <v>27206842879</v>
      </c>
      <c r="C472" s="63"/>
      <c r="D472" s="60"/>
      <c r="E472" s="9">
        <v>1267</v>
      </c>
      <c r="F472" s="25">
        <v>42998</v>
      </c>
      <c r="G472" s="61" t="s">
        <v>13</v>
      </c>
      <c r="H472" s="9"/>
      <c r="I472" s="8"/>
      <c r="J472" s="8"/>
      <c r="K472" s="8"/>
      <c r="L472" s="8"/>
      <c r="M472" s="8"/>
    </row>
    <row r="473" spans="1:13">
      <c r="A473" s="27" t="s">
        <v>781</v>
      </c>
      <c r="B473" s="58">
        <v>22740303831</v>
      </c>
      <c r="C473" s="18" t="s">
        <v>129</v>
      </c>
      <c r="D473" s="60"/>
      <c r="E473" s="9"/>
      <c r="F473" s="25"/>
      <c r="G473" s="61"/>
      <c r="H473" s="9"/>
      <c r="I473" s="8"/>
      <c r="J473" s="8"/>
      <c r="K473" s="8"/>
      <c r="L473" s="8"/>
      <c r="M473" s="8"/>
    </row>
    <row r="474" spans="1:13">
      <c r="A474" s="62" t="s">
        <v>782</v>
      </c>
      <c r="B474" s="58">
        <v>35482535800</v>
      </c>
      <c r="C474" s="63" t="s">
        <v>783</v>
      </c>
      <c r="D474" s="60">
        <v>31593139802</v>
      </c>
      <c r="E474" s="9">
        <v>262</v>
      </c>
      <c r="F474" s="25">
        <v>43160</v>
      </c>
      <c r="G474" s="61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62" t="s">
        <v>784</v>
      </c>
      <c r="B475" s="58">
        <v>22213116806</v>
      </c>
      <c r="C475" s="63" t="s">
        <v>785</v>
      </c>
      <c r="D475" s="60">
        <v>17530281836</v>
      </c>
      <c r="E475" s="9"/>
      <c r="F475" s="25"/>
      <c r="G475" s="61"/>
      <c r="H475" s="9"/>
      <c r="I475" s="8"/>
      <c r="J475" s="8"/>
      <c r="K475" s="8"/>
      <c r="L475" s="8"/>
      <c r="M475" s="8"/>
    </row>
    <row r="476" spans="1:13">
      <c r="A476" s="27" t="s">
        <v>786</v>
      </c>
      <c r="B476" s="58">
        <v>22168840814</v>
      </c>
      <c r="C476" s="27" t="s">
        <v>787</v>
      </c>
      <c r="D476" s="60">
        <v>31079104810</v>
      </c>
      <c r="E476" s="9"/>
      <c r="F476" s="25"/>
      <c r="G476" s="61"/>
      <c r="H476" s="9"/>
      <c r="I476" s="8"/>
      <c r="J476" s="8"/>
      <c r="K476" s="8"/>
      <c r="L476" s="8"/>
      <c r="M476" s="8"/>
    </row>
    <row r="477" spans="1:13">
      <c r="A477" s="18" t="s">
        <v>788</v>
      </c>
      <c r="B477" s="58">
        <v>30609785818</v>
      </c>
      <c r="C477" s="18" t="s">
        <v>789</v>
      </c>
      <c r="D477" s="60">
        <v>89844122872</v>
      </c>
      <c r="E477" s="9"/>
      <c r="F477" s="25"/>
      <c r="G477" s="61"/>
      <c r="H477" s="9"/>
      <c r="I477" s="8"/>
      <c r="J477" s="8"/>
      <c r="K477" s="8"/>
      <c r="L477" s="8"/>
      <c r="M477" s="8"/>
    </row>
    <row r="478" spans="1:13">
      <c r="A478" s="27" t="s">
        <v>790</v>
      </c>
      <c r="B478" s="58">
        <v>18515704897</v>
      </c>
      <c r="C478" s="18" t="s">
        <v>129</v>
      </c>
      <c r="D478" s="60"/>
      <c r="E478" s="9"/>
      <c r="F478" s="25"/>
      <c r="G478" s="61"/>
      <c r="H478" s="9"/>
      <c r="I478" s="8"/>
      <c r="J478" s="8"/>
      <c r="K478" s="8"/>
      <c r="L478" s="8"/>
      <c r="M478" s="8"/>
    </row>
    <row r="479" spans="1:13">
      <c r="A479" s="63" t="s">
        <v>791</v>
      </c>
      <c r="B479" s="58">
        <v>14683022800</v>
      </c>
      <c r="C479" s="63" t="s">
        <v>792</v>
      </c>
      <c r="D479" s="60">
        <v>6617596870</v>
      </c>
      <c r="E479" s="9"/>
      <c r="F479" s="25"/>
      <c r="G479" s="61"/>
      <c r="H479" s="9"/>
      <c r="I479" s="8"/>
      <c r="J479" s="8"/>
      <c r="K479" s="8"/>
      <c r="L479" s="8"/>
      <c r="M479" s="8"/>
    </row>
    <row r="480" spans="1:13">
      <c r="A480" s="62" t="s">
        <v>793</v>
      </c>
      <c r="B480" s="58">
        <v>98984349534</v>
      </c>
      <c r="C480" s="63"/>
      <c r="D480" s="60"/>
      <c r="E480" s="9"/>
      <c r="F480" s="25"/>
      <c r="G480" s="61"/>
      <c r="H480" s="9"/>
      <c r="I480" s="8"/>
      <c r="J480" s="8"/>
      <c r="K480" s="8"/>
      <c r="L480" s="8"/>
      <c r="M480" s="8"/>
    </row>
    <row r="481" spans="1:13">
      <c r="A481" s="62" t="s">
        <v>794</v>
      </c>
      <c r="B481" s="58">
        <v>25196350888</v>
      </c>
      <c r="C481" s="63"/>
      <c r="D481" s="60"/>
      <c r="E481" s="9">
        <v>292</v>
      </c>
      <c r="F481" s="25">
        <v>43168</v>
      </c>
      <c r="G481" s="61" t="s">
        <v>13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795</v>
      </c>
      <c r="B482" s="58">
        <v>17120173812</v>
      </c>
      <c r="C482" s="63"/>
      <c r="D482" s="60"/>
      <c r="E482" s="9"/>
      <c r="F482" s="25"/>
      <c r="G482" s="61"/>
      <c r="H482" s="9"/>
      <c r="I482" s="8"/>
      <c r="J482" s="8"/>
      <c r="K482" s="8"/>
      <c r="L482" s="8"/>
      <c r="M482" s="8"/>
    </row>
    <row r="483" spans="1:13">
      <c r="A483" s="27" t="s">
        <v>796</v>
      </c>
      <c r="B483" s="58"/>
      <c r="C483" s="27" t="s">
        <v>129</v>
      </c>
      <c r="D483" s="60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62" t="s">
        <v>797</v>
      </c>
      <c r="B484" s="58">
        <v>38285179869</v>
      </c>
      <c r="C484" s="63"/>
      <c r="D484" s="60"/>
      <c r="E484" s="9">
        <v>1752</v>
      </c>
      <c r="F484" s="25">
        <v>43051</v>
      </c>
      <c r="G484" s="61" t="s">
        <v>13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798</v>
      </c>
      <c r="B485" s="58">
        <v>78767377572</v>
      </c>
      <c r="C485" s="63"/>
      <c r="D485" s="60"/>
      <c r="E485" s="9">
        <v>85</v>
      </c>
      <c r="F485" s="25">
        <v>43109</v>
      </c>
      <c r="G485" s="61" t="s">
        <v>13</v>
      </c>
      <c r="H485" s="25">
        <v>43151</v>
      </c>
      <c r="I485" s="8"/>
      <c r="J485" s="8"/>
      <c r="K485" s="8"/>
      <c r="L485" s="8"/>
      <c r="M485" s="8"/>
    </row>
    <row r="486" spans="1:13">
      <c r="A486" s="62" t="s">
        <v>799</v>
      </c>
      <c r="B486" s="58">
        <v>93945507553</v>
      </c>
      <c r="C486" s="63"/>
      <c r="D486" s="60"/>
      <c r="E486" s="9">
        <v>292</v>
      </c>
      <c r="F486" s="25">
        <v>43168</v>
      </c>
      <c r="G486" s="9" t="s">
        <v>13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800</v>
      </c>
      <c r="B487" s="58">
        <v>23648065858</v>
      </c>
      <c r="C487" s="63"/>
      <c r="D487" s="60"/>
      <c r="E487" s="9">
        <v>1489</v>
      </c>
      <c r="F487" s="25">
        <v>43038</v>
      </c>
      <c r="G487" s="61" t="s">
        <v>13</v>
      </c>
      <c r="H487" s="9"/>
      <c r="I487" s="8"/>
      <c r="J487" s="8"/>
      <c r="K487" s="8"/>
      <c r="L487" s="9" t="s">
        <v>160</v>
      </c>
      <c r="M487" s="8"/>
    </row>
    <row r="488" spans="1:13">
      <c r="A488" s="13" t="s">
        <v>801</v>
      </c>
      <c r="B488" s="58">
        <v>44298003833</v>
      </c>
      <c r="C488" s="63"/>
      <c r="D488" s="60"/>
      <c r="E488" s="9">
        <v>1350</v>
      </c>
      <c r="F488" s="25">
        <v>43006</v>
      </c>
      <c r="G488" s="61" t="s">
        <v>13</v>
      </c>
      <c r="H488" s="9"/>
      <c r="I488" s="8"/>
      <c r="J488" s="8"/>
      <c r="K488" s="8"/>
      <c r="L488" s="8"/>
      <c r="M488" s="8"/>
    </row>
    <row r="489" spans="1:13">
      <c r="A489" s="62" t="s">
        <v>802</v>
      </c>
      <c r="B489" s="58">
        <v>36664921855</v>
      </c>
      <c r="C489" s="63" t="s">
        <v>803</v>
      </c>
      <c r="D489" s="60">
        <v>28495923823</v>
      </c>
      <c r="E489" s="9">
        <v>117</v>
      </c>
      <c r="F489" s="25">
        <v>43117</v>
      </c>
      <c r="G489" s="61" t="s">
        <v>20</v>
      </c>
      <c r="H489" s="9"/>
      <c r="I489" s="8"/>
      <c r="J489" s="8"/>
      <c r="K489" s="8"/>
      <c r="L489" s="9" t="s">
        <v>170</v>
      </c>
      <c r="M489" s="8"/>
    </row>
    <row r="490" spans="1:13">
      <c r="A490" s="70" t="s">
        <v>804</v>
      </c>
      <c r="B490" s="71">
        <v>22561317854</v>
      </c>
      <c r="C490" s="72" t="s">
        <v>805</v>
      </c>
      <c r="D490" s="73">
        <v>26718748803</v>
      </c>
      <c r="E490" s="45">
        <v>1106</v>
      </c>
      <c r="F490" s="46">
        <v>42965</v>
      </c>
      <c r="G490" s="74" t="s">
        <v>20</v>
      </c>
      <c r="H490" s="45"/>
      <c r="I490" s="47"/>
      <c r="J490" s="47"/>
      <c r="K490" s="47"/>
      <c r="L490" s="47"/>
      <c r="M490" s="47"/>
    </row>
    <row r="491" spans="1:13">
      <c r="A491" s="15" t="s">
        <v>806</v>
      </c>
      <c r="B491" s="58">
        <v>34870463857</v>
      </c>
      <c r="C491" s="63" t="s">
        <v>807</v>
      </c>
      <c r="D491" s="60">
        <v>7049816531</v>
      </c>
      <c r="E491" s="9">
        <v>292</v>
      </c>
      <c r="F491" s="25">
        <v>43168</v>
      </c>
      <c r="G491" s="61" t="s">
        <v>13</v>
      </c>
      <c r="H491" s="9"/>
      <c r="I491" s="8"/>
      <c r="J491" s="8"/>
      <c r="K491" s="8"/>
      <c r="L491" s="9">
        <v>318</v>
      </c>
      <c r="M491" s="8"/>
    </row>
    <row r="492" spans="1:13">
      <c r="A492" s="62" t="s">
        <v>808</v>
      </c>
      <c r="B492" s="58">
        <v>35225854885</v>
      </c>
      <c r="C492" s="63" t="s">
        <v>809</v>
      </c>
      <c r="D492" s="60">
        <v>12690641852</v>
      </c>
      <c r="E492" s="9"/>
      <c r="F492" s="25"/>
      <c r="G492" s="61"/>
      <c r="H492" s="9"/>
      <c r="I492" s="8"/>
      <c r="J492" s="8"/>
      <c r="K492" s="8"/>
      <c r="L492" s="8"/>
      <c r="M492" s="8"/>
    </row>
    <row r="493" spans="1:13">
      <c r="A493" s="62" t="s">
        <v>810</v>
      </c>
      <c r="B493" s="58">
        <v>35010044862</v>
      </c>
      <c r="C493" s="63"/>
      <c r="D493" s="60"/>
      <c r="E493" s="9">
        <v>1752</v>
      </c>
      <c r="F493" s="25">
        <v>43051</v>
      </c>
      <c r="G493" s="61" t="s">
        <v>13</v>
      </c>
      <c r="H493" s="9"/>
      <c r="I493" s="8"/>
      <c r="J493" s="8"/>
      <c r="K493" s="8"/>
      <c r="L493" s="9">
        <v>1759</v>
      </c>
      <c r="M493" s="8"/>
    </row>
    <row r="494" spans="1:13">
      <c r="A494" s="62" t="s">
        <v>811</v>
      </c>
      <c r="B494" s="58">
        <v>35929092826</v>
      </c>
      <c r="C494" s="63" t="s">
        <v>812</v>
      </c>
      <c r="D494" s="60">
        <v>29462804893</v>
      </c>
      <c r="E494" s="9">
        <v>1267</v>
      </c>
      <c r="F494" s="25">
        <v>42998</v>
      </c>
      <c r="G494" s="61" t="s">
        <v>13</v>
      </c>
      <c r="H494" s="9"/>
      <c r="I494" s="8"/>
      <c r="J494" s="8"/>
      <c r="K494" s="8"/>
      <c r="L494" s="8"/>
      <c r="M494" s="8"/>
    </row>
    <row r="495" spans="1:13">
      <c r="A495" s="62" t="s">
        <v>813</v>
      </c>
      <c r="B495" s="58">
        <v>23232479804</v>
      </c>
      <c r="C495" s="63"/>
      <c r="D495" s="60"/>
      <c r="E495" s="9"/>
      <c r="F495" s="25"/>
      <c r="G495" s="61"/>
      <c r="H495" s="9"/>
      <c r="I495" s="8"/>
      <c r="J495" s="8"/>
      <c r="K495" s="8"/>
      <c r="L495" s="8"/>
      <c r="M495" s="8"/>
    </row>
    <row r="496" spans="1:13">
      <c r="A496" s="62" t="s">
        <v>814</v>
      </c>
      <c r="B496" s="58">
        <v>13240252805</v>
      </c>
      <c r="C496" s="63"/>
      <c r="D496" s="60"/>
      <c r="E496" s="9"/>
      <c r="F496" s="25"/>
      <c r="G496" s="61"/>
      <c r="H496" s="9"/>
      <c r="I496" s="8"/>
      <c r="J496" s="8"/>
      <c r="K496" s="8"/>
      <c r="L496" s="8"/>
      <c r="M496" s="8"/>
    </row>
    <row r="497" spans="1:13">
      <c r="A497" s="62" t="s">
        <v>815</v>
      </c>
      <c r="B497" s="58">
        <v>15751265831</v>
      </c>
      <c r="C497" s="68"/>
      <c r="D497" s="60"/>
      <c r="E497" s="9"/>
      <c r="F497" s="25"/>
      <c r="G497" s="61"/>
      <c r="H497" s="9"/>
      <c r="I497" s="8"/>
      <c r="J497" s="8"/>
      <c r="K497" s="8"/>
      <c r="L497" s="8"/>
      <c r="M497" s="8"/>
    </row>
    <row r="498" spans="1:13">
      <c r="A498" s="15" t="s">
        <v>816</v>
      </c>
      <c r="B498" s="58">
        <v>3182701452</v>
      </c>
      <c r="C498" s="63"/>
      <c r="D498" s="60"/>
      <c r="E498" s="9">
        <v>85</v>
      </c>
      <c r="F498" s="25">
        <v>43109</v>
      </c>
      <c r="G498" s="61" t="s">
        <v>13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817</v>
      </c>
      <c r="B499" s="58">
        <v>23564937862</v>
      </c>
      <c r="C499" s="63"/>
      <c r="D499" s="60"/>
      <c r="E499" s="9">
        <v>85</v>
      </c>
      <c r="F499" s="25">
        <v>43109</v>
      </c>
      <c r="G499" s="61" t="s">
        <v>28</v>
      </c>
      <c r="H499" s="25">
        <v>43151</v>
      </c>
      <c r="I499" s="8"/>
      <c r="J499" s="8"/>
      <c r="K499" s="8"/>
      <c r="L499" s="8"/>
      <c r="M499" s="8"/>
    </row>
    <row r="500" spans="1:13">
      <c r="A500" s="62" t="s">
        <v>818</v>
      </c>
      <c r="B500" s="58">
        <v>35256834568</v>
      </c>
      <c r="C500" s="63"/>
      <c r="D500" s="60"/>
      <c r="E500" s="9"/>
      <c r="F500" s="25"/>
      <c r="G500" s="61"/>
      <c r="H500" s="9"/>
      <c r="I500" s="8"/>
      <c r="J500" s="8"/>
      <c r="K500" s="8"/>
      <c r="L500" s="8"/>
      <c r="M500" s="8"/>
    </row>
    <row r="501" spans="1:13">
      <c r="A501" s="62" t="s">
        <v>819</v>
      </c>
      <c r="B501" s="58">
        <v>24660726886</v>
      </c>
      <c r="C501" s="63" t="s">
        <v>820</v>
      </c>
      <c r="D501" s="60">
        <v>96400951504</v>
      </c>
      <c r="E501" s="9">
        <v>292</v>
      </c>
      <c r="F501" s="25">
        <v>43168</v>
      </c>
      <c r="G501" s="61" t="s">
        <v>20</v>
      </c>
      <c r="H501" s="9"/>
      <c r="I501" s="8"/>
      <c r="J501" s="8"/>
      <c r="K501" s="8"/>
      <c r="L501" s="9">
        <v>318</v>
      </c>
      <c r="M501" s="8"/>
    </row>
    <row r="502" spans="1:13">
      <c r="A502" s="63" t="s">
        <v>821</v>
      </c>
      <c r="B502" s="60">
        <v>27863381827</v>
      </c>
      <c r="C502" s="62" t="s">
        <v>822</v>
      </c>
      <c r="D502" s="58">
        <v>32370356880</v>
      </c>
      <c r="E502" s="9"/>
      <c r="F502" s="25"/>
      <c r="G502" s="61"/>
      <c r="H502" s="9"/>
      <c r="I502" s="8"/>
      <c r="J502" s="8"/>
      <c r="K502" s="8"/>
      <c r="L502" s="8"/>
      <c r="M502" s="8"/>
    </row>
    <row r="503" spans="1:13">
      <c r="A503" s="63" t="s">
        <v>823</v>
      </c>
      <c r="B503" s="58">
        <v>26551744885</v>
      </c>
      <c r="C503" s="63"/>
      <c r="D503" s="60"/>
      <c r="E503" s="9">
        <v>1752</v>
      </c>
      <c r="F503" s="25">
        <v>43051</v>
      </c>
      <c r="G503" s="61" t="s">
        <v>13</v>
      </c>
      <c r="H503" s="9"/>
      <c r="I503" s="8"/>
      <c r="J503" s="8"/>
      <c r="K503" s="8"/>
      <c r="L503" s="9">
        <v>1759</v>
      </c>
      <c r="M503" s="8"/>
    </row>
    <row r="504" spans="1:13">
      <c r="A504" s="63" t="s">
        <v>824</v>
      </c>
      <c r="B504" s="58">
        <v>8177529609</v>
      </c>
      <c r="C504" s="63"/>
      <c r="D504" s="60"/>
      <c r="E504" s="9"/>
      <c r="F504" s="25"/>
      <c r="G504" s="61"/>
      <c r="H504" s="9"/>
      <c r="I504" s="8"/>
      <c r="J504" s="8"/>
      <c r="K504" s="8"/>
      <c r="L504" s="8"/>
      <c r="M504" s="8"/>
    </row>
    <row r="505" spans="1:13">
      <c r="A505" s="62" t="s">
        <v>825</v>
      </c>
      <c r="B505" s="58">
        <v>25856034821</v>
      </c>
      <c r="C505" s="63" t="s">
        <v>826</v>
      </c>
      <c r="D505" s="60">
        <v>74821083353</v>
      </c>
      <c r="E505" s="9">
        <v>810</v>
      </c>
      <c r="F505" s="25">
        <v>42915</v>
      </c>
      <c r="G505" s="61" t="s">
        <v>13</v>
      </c>
      <c r="H505" s="9"/>
      <c r="I505" s="8"/>
      <c r="J505" s="8"/>
      <c r="K505" s="8"/>
      <c r="L505" s="9" t="s">
        <v>138</v>
      </c>
      <c r="M505" s="8"/>
    </row>
    <row r="506" spans="1:13">
      <c r="A506" s="62" t="s">
        <v>827</v>
      </c>
      <c r="B506" s="58">
        <v>17011991816</v>
      </c>
      <c r="C506" s="68"/>
      <c r="D506" s="60"/>
      <c r="E506" s="9">
        <v>563</v>
      </c>
      <c r="F506" s="25">
        <v>43217</v>
      </c>
      <c r="G506" s="61"/>
      <c r="H506" s="9"/>
      <c r="I506" s="8"/>
      <c r="J506" s="8"/>
      <c r="K506" s="8"/>
      <c r="L506" s="9" t="s">
        <v>299</v>
      </c>
      <c r="M506" s="8"/>
    </row>
    <row r="507" spans="1:13">
      <c r="A507" s="62" t="s">
        <v>828</v>
      </c>
      <c r="B507" s="58">
        <v>39806127838</v>
      </c>
      <c r="C507" s="64"/>
      <c r="D507" s="60"/>
      <c r="E507" s="9"/>
      <c r="F507" s="25"/>
      <c r="G507" s="61"/>
      <c r="H507" s="9"/>
      <c r="I507" s="8"/>
      <c r="J507" s="8"/>
      <c r="K507" s="8"/>
      <c r="L507" s="8"/>
      <c r="M507" s="8"/>
    </row>
    <row r="508" spans="1:13">
      <c r="A508" s="15" t="s">
        <v>829</v>
      </c>
      <c r="B508" s="58">
        <v>33557321843</v>
      </c>
      <c r="C508" s="63"/>
      <c r="D508" s="60"/>
      <c r="E508" s="9">
        <v>563</v>
      </c>
      <c r="F508" s="25">
        <v>43217</v>
      </c>
      <c r="G508" s="61"/>
      <c r="H508" s="9"/>
      <c r="I508" s="8"/>
      <c r="J508" s="8"/>
      <c r="K508" s="8"/>
      <c r="L508" s="9" t="s">
        <v>299</v>
      </c>
      <c r="M508" s="8"/>
    </row>
    <row r="509" spans="1:13">
      <c r="A509" s="27" t="s">
        <v>830</v>
      </c>
      <c r="B509" s="58">
        <v>4802267843</v>
      </c>
      <c r="C509" s="27" t="s">
        <v>831</v>
      </c>
      <c r="D509" s="60">
        <v>39952851472</v>
      </c>
      <c r="E509" s="9"/>
      <c r="F509" s="25"/>
      <c r="G509" s="61"/>
      <c r="H509" s="9"/>
      <c r="I509" s="8"/>
      <c r="J509" s="8"/>
      <c r="K509" s="8"/>
      <c r="L509" s="8"/>
      <c r="M509" s="8"/>
    </row>
    <row r="510" spans="1:13">
      <c r="A510" s="62" t="s">
        <v>832</v>
      </c>
      <c r="B510" s="58">
        <v>6672502807</v>
      </c>
      <c r="C510" s="63" t="s">
        <v>833</v>
      </c>
      <c r="D510" s="60">
        <v>3948605866</v>
      </c>
      <c r="E510" s="9">
        <v>563</v>
      </c>
      <c r="F510" s="25">
        <v>43217</v>
      </c>
      <c r="G510" s="61"/>
      <c r="H510" s="9"/>
      <c r="I510" s="8"/>
      <c r="J510" s="8"/>
      <c r="K510" s="8"/>
      <c r="L510" s="9" t="s">
        <v>299</v>
      </c>
      <c r="M510" s="8"/>
    </row>
    <row r="511" spans="1:13">
      <c r="A511" s="18" t="s">
        <v>834</v>
      </c>
      <c r="B511" s="58">
        <v>22596504812</v>
      </c>
      <c r="C511" s="18"/>
      <c r="D511" s="60"/>
      <c r="E511" s="9"/>
      <c r="F511" s="25"/>
      <c r="G511" s="61"/>
      <c r="H511" s="9"/>
      <c r="I511" s="8"/>
      <c r="J511" s="8"/>
      <c r="K511" s="8"/>
      <c r="L511" s="8"/>
      <c r="M511" s="8"/>
    </row>
    <row r="512" spans="1:13">
      <c r="A512" s="14" t="s">
        <v>835</v>
      </c>
      <c r="B512" s="58">
        <v>33697197894</v>
      </c>
      <c r="C512" s="63"/>
      <c r="D512" s="60"/>
      <c r="E512" s="9">
        <v>443</v>
      </c>
      <c r="F512" s="25">
        <v>43188</v>
      </c>
      <c r="G512" s="61"/>
      <c r="H512" s="9"/>
      <c r="I512" s="8"/>
      <c r="J512" s="8"/>
      <c r="K512" s="8"/>
      <c r="L512" s="8"/>
      <c r="M512" s="8"/>
    </row>
    <row r="513" spans="1:13">
      <c r="A513" s="27" t="s">
        <v>836</v>
      </c>
      <c r="B513" s="58">
        <v>37233245843</v>
      </c>
      <c r="C513" s="27" t="s">
        <v>837</v>
      </c>
      <c r="D513" s="60">
        <v>35653055840</v>
      </c>
      <c r="E513" s="9"/>
      <c r="F513" s="25"/>
      <c r="G513" s="61"/>
      <c r="H513" s="9"/>
      <c r="I513" s="8"/>
      <c r="J513" s="8"/>
      <c r="K513" s="8"/>
      <c r="L513" s="8"/>
      <c r="M513" s="8"/>
    </row>
    <row r="514" spans="1:13">
      <c r="A514" s="15" t="s">
        <v>838</v>
      </c>
      <c r="B514" s="58">
        <v>16381918837</v>
      </c>
      <c r="C514" s="63"/>
      <c r="D514" s="60"/>
      <c r="E514" s="9"/>
      <c r="F514" s="25"/>
      <c r="G514" s="61"/>
      <c r="H514" s="9"/>
      <c r="I514" s="8"/>
      <c r="J514" s="8"/>
      <c r="K514" s="8"/>
      <c r="L514" s="8"/>
      <c r="M514" s="8"/>
    </row>
    <row r="515" spans="1:13">
      <c r="A515" s="62" t="s">
        <v>839</v>
      </c>
      <c r="B515" s="58">
        <v>33456412835</v>
      </c>
      <c r="C515" s="63" t="s">
        <v>840</v>
      </c>
      <c r="D515" s="60">
        <v>9387669882</v>
      </c>
      <c r="E515" s="9">
        <v>229</v>
      </c>
      <c r="F515" s="25">
        <v>43151</v>
      </c>
      <c r="G515" s="61" t="s">
        <v>28</v>
      </c>
      <c r="H515" s="9"/>
      <c r="I515" s="8"/>
      <c r="J515" s="8"/>
      <c r="K515" s="8"/>
      <c r="L515" s="9">
        <v>232</v>
      </c>
      <c r="M515" s="8"/>
    </row>
    <row r="516" spans="1:13">
      <c r="A516" s="62" t="s">
        <v>841</v>
      </c>
      <c r="B516" s="58">
        <v>32093394812</v>
      </c>
      <c r="C516" s="63"/>
      <c r="D516" s="60"/>
      <c r="E516" s="9">
        <v>1106</v>
      </c>
      <c r="F516" s="25">
        <v>42965</v>
      </c>
      <c r="G516" s="61" t="s">
        <v>13</v>
      </c>
      <c r="H516" s="9"/>
      <c r="I516" s="8"/>
      <c r="J516" s="8"/>
      <c r="K516" s="8"/>
      <c r="L516" s="8"/>
      <c r="M516" s="8"/>
    </row>
    <row r="517" spans="1:13">
      <c r="A517" s="63" t="s">
        <v>842</v>
      </c>
      <c r="B517" s="58">
        <v>10317452894</v>
      </c>
      <c r="C517" s="63" t="s">
        <v>843</v>
      </c>
      <c r="D517" s="60">
        <v>16527669879</v>
      </c>
      <c r="E517" s="9"/>
      <c r="F517" s="25"/>
      <c r="G517" s="61"/>
      <c r="H517" s="9"/>
      <c r="I517" s="8"/>
      <c r="J517" s="8"/>
      <c r="K517" s="8"/>
      <c r="L517" s="8"/>
      <c r="M517" s="8"/>
    </row>
    <row r="518" spans="1:13">
      <c r="A518" s="62" t="s">
        <v>844</v>
      </c>
      <c r="B518" s="58">
        <v>2554491860</v>
      </c>
      <c r="C518" s="63"/>
      <c r="D518" s="60"/>
      <c r="E518" s="9">
        <v>1106</v>
      </c>
      <c r="F518" s="25">
        <v>42965</v>
      </c>
      <c r="G518" s="61" t="s">
        <v>13</v>
      </c>
      <c r="H518" s="9"/>
      <c r="I518" s="8"/>
      <c r="J518" s="8"/>
      <c r="K518" s="8"/>
      <c r="L518" s="8"/>
      <c r="M518" s="8"/>
    </row>
    <row r="519" spans="1:13">
      <c r="A519" s="27" t="s">
        <v>845</v>
      </c>
      <c r="B519" s="58"/>
      <c r="C519" s="27" t="s">
        <v>846</v>
      </c>
      <c r="D519" s="60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847</v>
      </c>
      <c r="B520" s="58">
        <v>42782953591</v>
      </c>
      <c r="C520" s="63" t="s">
        <v>848</v>
      </c>
      <c r="D520" s="60">
        <v>53921186587</v>
      </c>
      <c r="E520" s="9">
        <v>85</v>
      </c>
      <c r="F520" s="25">
        <v>43109</v>
      </c>
      <c r="G520" s="61" t="s">
        <v>13</v>
      </c>
      <c r="H520" s="25">
        <v>43151</v>
      </c>
      <c r="I520" s="8"/>
      <c r="J520" s="8"/>
      <c r="K520" s="8"/>
      <c r="L520" s="8"/>
      <c r="M520" s="8"/>
    </row>
    <row r="521" spans="1:13">
      <c r="A521" s="62" t="s">
        <v>849</v>
      </c>
      <c r="B521" s="58">
        <v>3086762896</v>
      </c>
      <c r="C521" s="63" t="s">
        <v>850</v>
      </c>
      <c r="D521" s="60">
        <v>89632877853</v>
      </c>
      <c r="E521" s="9">
        <v>810</v>
      </c>
      <c r="F521" s="25">
        <v>42915</v>
      </c>
      <c r="G521" s="61" t="s">
        <v>13</v>
      </c>
      <c r="H521" s="9"/>
      <c r="I521" s="8"/>
      <c r="J521" s="8"/>
      <c r="K521" s="8"/>
      <c r="L521" s="9" t="s">
        <v>138</v>
      </c>
      <c r="M521" s="8"/>
    </row>
    <row r="522" spans="1:13">
      <c r="A522" s="62" t="s">
        <v>851</v>
      </c>
      <c r="B522" s="58">
        <v>50196529468</v>
      </c>
      <c r="C522" s="63"/>
      <c r="D522" s="60"/>
      <c r="E522" s="9">
        <v>1214</v>
      </c>
      <c r="F522" s="25">
        <v>42989</v>
      </c>
      <c r="G522" s="61" t="s">
        <v>13</v>
      </c>
      <c r="H522" s="9"/>
      <c r="I522" s="8"/>
      <c r="J522" s="8"/>
      <c r="K522" s="8"/>
      <c r="L522" s="8"/>
      <c r="M522" s="8"/>
    </row>
    <row r="523" spans="1:13">
      <c r="A523" s="13" t="s">
        <v>852</v>
      </c>
      <c r="B523" s="58">
        <v>28477638802</v>
      </c>
      <c r="C523" s="63"/>
      <c r="D523" s="60"/>
      <c r="E523" s="9">
        <v>1417</v>
      </c>
      <c r="F523" s="25">
        <v>43017</v>
      </c>
      <c r="G523" s="61" t="s">
        <v>13</v>
      </c>
      <c r="H523" s="9"/>
      <c r="I523" s="8"/>
      <c r="J523" s="8"/>
      <c r="K523" s="8"/>
      <c r="L523" s="9" t="s">
        <v>253</v>
      </c>
      <c r="M523" s="8"/>
    </row>
    <row r="524" spans="1:13">
      <c r="A524" s="31" t="s">
        <v>853</v>
      </c>
      <c r="B524" s="58">
        <v>22624049843</v>
      </c>
      <c r="C524" s="30" t="s">
        <v>854</v>
      </c>
      <c r="D524" s="60">
        <v>32978302801</v>
      </c>
      <c r="E524" s="9">
        <v>1570</v>
      </c>
      <c r="F524" s="25">
        <v>43077</v>
      </c>
      <c r="G524" s="61" t="s">
        <v>13</v>
      </c>
      <c r="H524" s="9"/>
      <c r="I524" s="8"/>
      <c r="J524" s="8"/>
      <c r="K524" s="8"/>
      <c r="L524" s="8"/>
      <c r="M524" s="8"/>
    </row>
    <row r="525" spans="1:13">
      <c r="A525" s="15" t="s">
        <v>855</v>
      </c>
      <c r="B525" s="58">
        <v>18668991809</v>
      </c>
      <c r="C525" s="63"/>
      <c r="D525" s="60"/>
      <c r="E525" s="9"/>
      <c r="F525" s="25"/>
      <c r="G525" s="61"/>
      <c r="H525" s="9"/>
      <c r="I525" s="8"/>
      <c r="J525" s="8"/>
      <c r="K525" s="8"/>
      <c r="L525" s="8"/>
      <c r="M525" s="8"/>
    </row>
    <row r="526" spans="1:13">
      <c r="A526" s="62" t="s">
        <v>856</v>
      </c>
      <c r="B526" s="58">
        <v>36105789807</v>
      </c>
      <c r="C526" s="63"/>
      <c r="D526" s="60"/>
      <c r="E526" s="9">
        <v>1489</v>
      </c>
      <c r="F526" s="25">
        <v>43038</v>
      </c>
      <c r="G526" s="61" t="s">
        <v>13</v>
      </c>
      <c r="H526" s="9"/>
      <c r="I526" s="8"/>
      <c r="J526" s="8"/>
      <c r="K526" s="8"/>
      <c r="L526" s="9" t="s">
        <v>160</v>
      </c>
      <c r="M526" s="8"/>
    </row>
    <row r="527" spans="1:13">
      <c r="A527" s="62" t="s">
        <v>857</v>
      </c>
      <c r="B527" s="58">
        <v>34370634806</v>
      </c>
      <c r="C527" s="63"/>
      <c r="D527" s="60"/>
      <c r="E527" s="9">
        <v>1824</v>
      </c>
      <c r="F527" s="25">
        <v>43091</v>
      </c>
      <c r="G527" s="61" t="s">
        <v>13</v>
      </c>
      <c r="H527" s="9"/>
      <c r="I527" s="8"/>
      <c r="J527" s="8"/>
      <c r="K527" s="8"/>
      <c r="L527" s="9">
        <v>1828</v>
      </c>
      <c r="M527" s="8"/>
    </row>
    <row r="528" spans="1:13">
      <c r="A528" s="64" t="s">
        <v>858</v>
      </c>
      <c r="B528" s="58">
        <v>27112847869</v>
      </c>
      <c r="C528" s="63" t="s">
        <v>859</v>
      </c>
      <c r="D528" s="60">
        <v>37782363420</v>
      </c>
      <c r="E528" s="9">
        <v>1106</v>
      </c>
      <c r="F528" s="25">
        <v>42965</v>
      </c>
      <c r="G528" s="61" t="s">
        <v>13</v>
      </c>
      <c r="H528" s="9"/>
      <c r="I528" s="8"/>
      <c r="J528" s="8"/>
      <c r="K528" s="8"/>
      <c r="L528" s="8"/>
      <c r="M528" s="8"/>
    </row>
    <row r="529" spans="1:13">
      <c r="A529" s="15" t="s">
        <v>860</v>
      </c>
      <c r="B529" s="58">
        <v>32811648895</v>
      </c>
      <c r="C529" s="63" t="s">
        <v>861</v>
      </c>
      <c r="D529" s="60">
        <v>25428395818</v>
      </c>
      <c r="E529" s="9">
        <v>85</v>
      </c>
      <c r="F529" s="25">
        <v>43109</v>
      </c>
      <c r="G529" s="61" t="s">
        <v>13</v>
      </c>
      <c r="H529" s="25">
        <v>43151</v>
      </c>
      <c r="I529" s="8"/>
      <c r="J529" s="8"/>
      <c r="K529" s="8"/>
      <c r="L529" s="8"/>
      <c r="M529" s="8"/>
    </row>
    <row r="530" spans="1:13">
      <c r="A530" s="62" t="s">
        <v>862</v>
      </c>
      <c r="B530" s="58">
        <v>12811159835</v>
      </c>
      <c r="C530" s="63" t="s">
        <v>863</v>
      </c>
      <c r="D530" s="60">
        <v>2185716824</v>
      </c>
      <c r="E530" s="9"/>
      <c r="F530" s="25"/>
      <c r="G530" s="61"/>
      <c r="H530" s="9"/>
      <c r="I530" s="8"/>
      <c r="J530" s="8"/>
      <c r="K530" s="8"/>
      <c r="L530" s="8"/>
      <c r="M530" s="8"/>
    </row>
    <row r="531" spans="1:13">
      <c r="A531" s="63" t="s">
        <v>864</v>
      </c>
      <c r="B531" s="58">
        <v>30007328885</v>
      </c>
      <c r="C531" s="63"/>
      <c r="D531" s="60"/>
      <c r="E531" s="9"/>
      <c r="F531" s="25"/>
      <c r="G531" s="61"/>
      <c r="H531" s="9"/>
      <c r="I531" s="8"/>
      <c r="J531" s="8"/>
      <c r="K531" s="8"/>
      <c r="L531" s="8"/>
      <c r="M531" s="8"/>
    </row>
    <row r="532" spans="1:13">
      <c r="A532" s="63" t="s">
        <v>865</v>
      </c>
      <c r="B532" s="58">
        <v>77389913487</v>
      </c>
      <c r="C532" s="63"/>
      <c r="D532" s="60"/>
      <c r="E532" s="9">
        <v>292</v>
      </c>
      <c r="F532" s="25">
        <v>43168</v>
      </c>
      <c r="G532" s="61"/>
      <c r="H532" s="9"/>
      <c r="I532" s="8"/>
      <c r="J532" s="8"/>
      <c r="K532" s="8"/>
      <c r="L532" s="9">
        <v>318</v>
      </c>
      <c r="M532" s="8"/>
    </row>
    <row r="533" spans="1:13">
      <c r="A533" s="18" t="s">
        <v>866</v>
      </c>
      <c r="B533" s="58">
        <v>83941010468</v>
      </c>
      <c r="C533" s="18" t="s">
        <v>867</v>
      </c>
      <c r="D533" s="60">
        <v>14270071877</v>
      </c>
      <c r="E533" s="9"/>
      <c r="F533" s="25"/>
      <c r="G533" s="61"/>
      <c r="H533" s="9"/>
      <c r="I533" s="8"/>
      <c r="J533" s="8"/>
      <c r="K533" s="8"/>
      <c r="L533" s="8"/>
      <c r="M533" s="8"/>
    </row>
    <row r="534" spans="1:13">
      <c r="A534" s="27" t="s">
        <v>868</v>
      </c>
      <c r="B534" s="58">
        <v>43152462808</v>
      </c>
      <c r="C534" s="27" t="s">
        <v>869</v>
      </c>
      <c r="D534" s="60">
        <v>43215886855</v>
      </c>
      <c r="E534" s="9"/>
      <c r="F534" s="25"/>
      <c r="G534" s="61"/>
      <c r="H534" s="9"/>
      <c r="I534" s="8"/>
      <c r="J534" s="8"/>
      <c r="K534" s="8"/>
      <c r="L534" s="8"/>
      <c r="M534" s="8"/>
    </row>
    <row r="535" spans="1:13">
      <c r="A535" s="14" t="s">
        <v>870</v>
      </c>
      <c r="B535" s="58">
        <v>42910405800</v>
      </c>
      <c r="C535" s="63"/>
      <c r="D535" s="60"/>
      <c r="E535" s="9"/>
      <c r="F535" s="25"/>
      <c r="G535" s="61"/>
      <c r="H535" s="9"/>
      <c r="I535" s="8"/>
      <c r="J535" s="8"/>
      <c r="K535" s="8"/>
      <c r="L535" s="8"/>
      <c r="M535" s="8"/>
    </row>
    <row r="536" spans="1:13">
      <c r="A536" s="62" t="s">
        <v>871</v>
      </c>
      <c r="B536" s="58">
        <v>35499203857</v>
      </c>
      <c r="C536" s="63"/>
      <c r="D536" s="60"/>
      <c r="E536" s="9">
        <v>1350</v>
      </c>
      <c r="F536" s="25">
        <v>43006</v>
      </c>
      <c r="G536" s="61" t="s">
        <v>13</v>
      </c>
      <c r="H536" s="9"/>
      <c r="I536" s="8"/>
      <c r="J536" s="8"/>
      <c r="K536" s="8"/>
      <c r="L536" s="8"/>
      <c r="M536" s="8"/>
    </row>
    <row r="537" spans="1:13">
      <c r="A537" s="27" t="s">
        <v>872</v>
      </c>
      <c r="B537" s="58"/>
      <c r="C537" s="18" t="s">
        <v>129</v>
      </c>
      <c r="D537" s="60"/>
      <c r="E537" s="9"/>
      <c r="F537" s="25"/>
      <c r="G537" s="61"/>
      <c r="H537" s="9"/>
      <c r="I537" s="8"/>
      <c r="J537" s="8"/>
      <c r="K537" s="8"/>
      <c r="L537" s="8"/>
      <c r="M537" s="8"/>
    </row>
    <row r="538" spans="1:13">
      <c r="A538" s="15" t="s">
        <v>873</v>
      </c>
      <c r="B538" s="58">
        <v>41249931886</v>
      </c>
      <c r="C538" s="63" t="s">
        <v>874</v>
      </c>
      <c r="D538" s="60">
        <v>39982443879</v>
      </c>
      <c r="E538" s="9">
        <v>262</v>
      </c>
      <c r="F538" s="25">
        <v>43160</v>
      </c>
      <c r="G538" s="61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875</v>
      </c>
      <c r="B539" s="58">
        <v>34361118809</v>
      </c>
      <c r="C539" s="63" t="s">
        <v>876</v>
      </c>
      <c r="D539" s="60">
        <v>14784595813</v>
      </c>
      <c r="E539" s="9">
        <v>85</v>
      </c>
      <c r="F539" s="25">
        <v>43109</v>
      </c>
      <c r="G539" s="61" t="s">
        <v>13</v>
      </c>
      <c r="H539" s="25">
        <v>43151</v>
      </c>
      <c r="I539" s="8"/>
      <c r="J539" s="8"/>
      <c r="K539" s="8"/>
      <c r="L539" s="8"/>
      <c r="M539" s="8"/>
    </row>
    <row r="540" spans="1:13">
      <c r="A540" s="62" t="s">
        <v>877</v>
      </c>
      <c r="B540" s="58">
        <v>32686389885</v>
      </c>
      <c r="C540" s="63"/>
      <c r="D540" s="60"/>
      <c r="E540" s="9">
        <v>1439</v>
      </c>
      <c r="F540" s="25">
        <v>43025</v>
      </c>
      <c r="G540" s="61" t="s">
        <v>13</v>
      </c>
      <c r="H540" s="9"/>
      <c r="I540" s="8"/>
      <c r="J540" s="8"/>
      <c r="K540" s="8"/>
      <c r="L540" s="9" t="s">
        <v>502</v>
      </c>
      <c r="M540" s="8"/>
    </row>
    <row r="541" spans="1:13">
      <c r="A541" s="62" t="s">
        <v>878</v>
      </c>
      <c r="B541" s="58">
        <v>45469747875</v>
      </c>
      <c r="C541" s="63" t="s">
        <v>879</v>
      </c>
      <c r="D541" s="60">
        <v>39042679816</v>
      </c>
      <c r="E541" s="9">
        <v>117</v>
      </c>
      <c r="F541" s="25">
        <v>43117</v>
      </c>
      <c r="G541" s="61" t="s">
        <v>13</v>
      </c>
      <c r="H541" s="9"/>
      <c r="I541" s="8"/>
      <c r="J541" s="8"/>
      <c r="K541" s="8"/>
      <c r="L541" s="9" t="s">
        <v>170</v>
      </c>
      <c r="M541" s="8"/>
    </row>
    <row r="542" spans="1:13">
      <c r="A542" s="62" t="s">
        <v>880</v>
      </c>
      <c r="B542" s="58">
        <v>28496393895</v>
      </c>
      <c r="C542" s="63"/>
      <c r="D542" s="60"/>
      <c r="E542" s="9"/>
      <c r="F542" s="25"/>
      <c r="G542" s="61"/>
      <c r="H542" s="9"/>
      <c r="I542" s="8"/>
      <c r="J542" s="8"/>
      <c r="K542" s="8"/>
      <c r="L542" s="8"/>
      <c r="M542" s="8"/>
    </row>
    <row r="543" spans="1:13">
      <c r="A543" s="62" t="s">
        <v>881</v>
      </c>
      <c r="B543" s="58">
        <v>22347102869</v>
      </c>
      <c r="C543" s="63"/>
      <c r="D543" s="60"/>
      <c r="E543" s="9">
        <v>1824</v>
      </c>
      <c r="F543" s="25">
        <v>43091</v>
      </c>
      <c r="G543" s="61" t="s">
        <v>13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882</v>
      </c>
      <c r="B544" s="58">
        <v>33199855822</v>
      </c>
      <c r="C544" s="18" t="s">
        <v>883</v>
      </c>
      <c r="D544" s="60">
        <v>39123783800</v>
      </c>
      <c r="E544" s="9"/>
      <c r="F544" s="25"/>
      <c r="G544" s="61"/>
      <c r="H544" s="9"/>
      <c r="I544" s="8"/>
      <c r="J544" s="8"/>
      <c r="K544" s="8"/>
      <c r="L544" s="8"/>
      <c r="M544" s="8"/>
    </row>
    <row r="545" spans="1:13">
      <c r="A545" s="18" t="s">
        <v>884</v>
      </c>
      <c r="B545" s="58">
        <v>32878318870</v>
      </c>
      <c r="C545" s="18" t="s">
        <v>885</v>
      </c>
      <c r="D545" s="60">
        <v>35310176837</v>
      </c>
      <c r="E545" s="9"/>
      <c r="F545" s="25"/>
      <c r="G545" s="61"/>
      <c r="H545" s="9"/>
      <c r="I545" s="8"/>
      <c r="J545" s="8"/>
      <c r="K545" s="8"/>
      <c r="L545" s="8"/>
      <c r="M545" s="8"/>
    </row>
    <row r="546" spans="1:13">
      <c r="A546" s="62" t="s">
        <v>886</v>
      </c>
      <c r="B546" s="58">
        <v>36120858830</v>
      </c>
      <c r="C546" s="63"/>
      <c r="D546" s="60"/>
      <c r="E546" s="9">
        <v>292</v>
      </c>
      <c r="F546" s="25">
        <v>43168</v>
      </c>
      <c r="G546" s="61" t="s">
        <v>13</v>
      </c>
      <c r="H546" s="9"/>
      <c r="I546" s="8"/>
      <c r="J546" s="8"/>
      <c r="K546" s="8"/>
      <c r="L546" s="9">
        <v>318</v>
      </c>
      <c r="M546" s="8"/>
    </row>
    <row r="547" spans="1:13">
      <c r="A547" s="62" t="s">
        <v>887</v>
      </c>
      <c r="B547" s="58">
        <v>31328839800</v>
      </c>
      <c r="C547" s="63" t="s">
        <v>888</v>
      </c>
      <c r="D547" s="60">
        <v>13482435898</v>
      </c>
      <c r="E547" s="9">
        <v>262</v>
      </c>
      <c r="F547" s="25">
        <v>43160</v>
      </c>
      <c r="G547" s="61" t="s">
        <v>13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62" t="s">
        <v>889</v>
      </c>
      <c r="B548" s="58">
        <v>18355451813</v>
      </c>
      <c r="C548" s="63"/>
      <c r="D548" s="60"/>
      <c r="E548" s="9">
        <v>262</v>
      </c>
      <c r="F548" s="25">
        <v>43160</v>
      </c>
      <c r="G548" s="61" t="s">
        <v>13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890</v>
      </c>
      <c r="B549" s="58">
        <v>3051677310</v>
      </c>
      <c r="C549" s="63"/>
      <c r="D549" s="60"/>
      <c r="E549" s="9">
        <v>117</v>
      </c>
      <c r="F549" s="25">
        <v>43117</v>
      </c>
      <c r="G549" s="61" t="s">
        <v>13</v>
      </c>
      <c r="H549" s="9"/>
      <c r="I549" s="8"/>
      <c r="J549" s="8"/>
      <c r="K549" s="8"/>
      <c r="L549" s="9" t="s">
        <v>170</v>
      </c>
      <c r="M549" s="8"/>
    </row>
    <row r="550" spans="1:13">
      <c r="A550" s="64" t="s">
        <v>891</v>
      </c>
      <c r="B550" s="58">
        <v>33311756843</v>
      </c>
      <c r="C550" s="63" t="s">
        <v>892</v>
      </c>
      <c r="D550" s="60">
        <v>31561945811</v>
      </c>
      <c r="E550" s="9">
        <v>1106</v>
      </c>
      <c r="F550" s="25">
        <v>42965</v>
      </c>
      <c r="G550" s="61" t="s">
        <v>13</v>
      </c>
      <c r="H550" s="9"/>
      <c r="I550" s="8"/>
      <c r="J550" s="8"/>
      <c r="K550" s="8"/>
      <c r="L550" s="8"/>
      <c r="M550" s="8"/>
    </row>
    <row r="551" spans="1:13">
      <c r="A551" s="62" t="s">
        <v>893</v>
      </c>
      <c r="B551" s="58" t="s">
        <v>894</v>
      </c>
      <c r="C551" s="68" t="s">
        <v>895</v>
      </c>
      <c r="D551" s="60">
        <v>14809823857</v>
      </c>
      <c r="E551" s="9"/>
      <c r="F551" s="25"/>
      <c r="G551" s="61"/>
      <c r="H551" s="9"/>
      <c r="I551" s="8"/>
      <c r="J551" s="8"/>
      <c r="K551" s="8"/>
      <c r="L551" s="8"/>
      <c r="M551" s="8"/>
    </row>
    <row r="552" spans="1:13">
      <c r="A552" s="62" t="s">
        <v>896</v>
      </c>
      <c r="B552" s="58">
        <v>37079404894</v>
      </c>
      <c r="C552" s="63"/>
      <c r="D552" s="60"/>
      <c r="E552" s="9">
        <v>1824</v>
      </c>
      <c r="F552" s="25">
        <v>43091</v>
      </c>
      <c r="G552" s="61" t="s">
        <v>13</v>
      </c>
      <c r="H552" s="9"/>
      <c r="I552" s="8"/>
      <c r="J552" s="8"/>
      <c r="K552" s="8"/>
      <c r="L552" s="9">
        <v>1828</v>
      </c>
      <c r="M552" s="8"/>
    </row>
    <row r="553" spans="1:13">
      <c r="A553" s="62" t="s">
        <v>897</v>
      </c>
      <c r="B553" s="58">
        <v>37065542831</v>
      </c>
      <c r="C553" s="63"/>
      <c r="D553" s="60"/>
      <c r="E553" s="9">
        <v>1106</v>
      </c>
      <c r="F553" s="25">
        <v>42965</v>
      </c>
      <c r="G553" s="61" t="s">
        <v>13</v>
      </c>
      <c r="H553" s="9"/>
      <c r="I553" s="8"/>
      <c r="J553" s="8"/>
      <c r="K553" s="8"/>
      <c r="L553" s="8"/>
      <c r="M553" s="8"/>
    </row>
    <row r="554" spans="1:13">
      <c r="A554" s="27" t="s">
        <v>898</v>
      </c>
      <c r="B554" s="58"/>
      <c r="C554" s="18" t="s">
        <v>129</v>
      </c>
      <c r="D554" s="60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899</v>
      </c>
      <c r="B555" s="58">
        <v>35273573866</v>
      </c>
      <c r="C555" s="59"/>
      <c r="D555" s="60"/>
      <c r="E555" s="9">
        <v>1128</v>
      </c>
      <c r="F555" s="25">
        <v>42972</v>
      </c>
      <c r="G555" s="61" t="s">
        <v>13</v>
      </c>
      <c r="H555" s="9"/>
      <c r="I555" s="8"/>
      <c r="J555" s="8"/>
      <c r="K555" s="8"/>
      <c r="L555" s="8"/>
      <c r="M555" s="8"/>
    </row>
    <row r="556" spans="1:13">
      <c r="A556" s="13" t="s">
        <v>900</v>
      </c>
      <c r="B556" s="58">
        <v>37608246847</v>
      </c>
      <c r="C556" s="59" t="s">
        <v>901</v>
      </c>
      <c r="D556" s="60">
        <v>27976942875</v>
      </c>
      <c r="E556" s="9">
        <v>608</v>
      </c>
      <c r="F556" s="25">
        <v>43012</v>
      </c>
      <c r="G556" s="61" t="s">
        <v>13</v>
      </c>
      <c r="H556" s="9"/>
      <c r="I556" s="8"/>
      <c r="J556" s="8"/>
      <c r="K556" s="8"/>
      <c r="L556" s="8"/>
      <c r="M556" s="8"/>
    </row>
    <row r="557" spans="1:13">
      <c r="A557" s="14" t="s">
        <v>902</v>
      </c>
      <c r="B557" s="58">
        <v>19271503880</v>
      </c>
      <c r="C557" s="63"/>
      <c r="D557" s="60"/>
      <c r="E557" s="9">
        <v>443</v>
      </c>
      <c r="F557" s="25">
        <v>43188</v>
      </c>
      <c r="G557" s="61"/>
      <c r="H557" s="9"/>
      <c r="I557" s="8"/>
      <c r="J557" s="8"/>
      <c r="K557" s="8"/>
      <c r="L557" s="8"/>
      <c r="M557" s="8"/>
    </row>
    <row r="558" spans="1:13">
      <c r="A558" s="62" t="s">
        <v>903</v>
      </c>
      <c r="B558" s="58">
        <v>37300363865</v>
      </c>
      <c r="C558" s="63"/>
      <c r="D558" s="60"/>
      <c r="E558" s="9"/>
      <c r="F558" s="25"/>
      <c r="G558" s="61"/>
      <c r="H558" s="9"/>
      <c r="I558" s="8"/>
      <c r="J558" s="8"/>
      <c r="K558" s="8"/>
      <c r="L558" s="8"/>
      <c r="M558" s="8"/>
    </row>
    <row r="559" spans="1:13">
      <c r="A559" s="62" t="s">
        <v>904</v>
      </c>
      <c r="B559" s="58">
        <v>39990709866</v>
      </c>
      <c r="C559" s="63" t="s">
        <v>905</v>
      </c>
      <c r="D559" s="60">
        <v>46936249850</v>
      </c>
      <c r="E559" s="9">
        <v>229</v>
      </c>
      <c r="F559" s="25">
        <v>43151</v>
      </c>
      <c r="G559" s="61" t="s">
        <v>13</v>
      </c>
      <c r="H559" s="9"/>
      <c r="I559" s="8"/>
      <c r="J559" s="8"/>
      <c r="K559" s="8"/>
      <c r="L559" s="9">
        <v>232</v>
      </c>
      <c r="M559" s="8"/>
    </row>
    <row r="560" spans="1:13">
      <c r="A560" s="62" t="s">
        <v>906</v>
      </c>
      <c r="B560" s="58">
        <v>30814903835</v>
      </c>
      <c r="C560" s="63"/>
      <c r="D560" s="60"/>
      <c r="E560" s="9"/>
      <c r="F560" s="25"/>
      <c r="G560" s="61"/>
      <c r="H560" s="9"/>
      <c r="I560" s="8"/>
      <c r="J560" s="8"/>
      <c r="K560" s="8"/>
      <c r="L560" s="8"/>
      <c r="M560" s="8"/>
    </row>
    <row r="561" spans="1:13">
      <c r="A561" s="13" t="s">
        <v>907</v>
      </c>
      <c r="B561" s="58">
        <v>36788585890</v>
      </c>
      <c r="C561" s="63"/>
      <c r="D561" s="60"/>
      <c r="E561" s="9">
        <v>1350</v>
      </c>
      <c r="F561" s="25">
        <v>43006</v>
      </c>
      <c r="G561" s="61" t="s">
        <v>13</v>
      </c>
      <c r="H561" s="9"/>
      <c r="I561" s="8"/>
      <c r="J561" s="8"/>
      <c r="K561" s="8"/>
      <c r="L561" s="8"/>
      <c r="M561" s="8"/>
    </row>
    <row r="562" spans="1:13">
      <c r="A562" s="62" t="s">
        <v>908</v>
      </c>
      <c r="B562" s="58">
        <v>38559368892</v>
      </c>
      <c r="C562" s="63"/>
      <c r="D562" s="60"/>
      <c r="E562" s="9">
        <v>810</v>
      </c>
      <c r="F562" s="25">
        <v>42915</v>
      </c>
      <c r="G562" s="61" t="s">
        <v>13</v>
      </c>
      <c r="H562" s="9"/>
      <c r="I562" s="8"/>
      <c r="J562" s="8"/>
      <c r="K562" s="8"/>
      <c r="L562" s="9" t="s">
        <v>138</v>
      </c>
      <c r="M562" s="8"/>
    </row>
    <row r="563" spans="1:13">
      <c r="A563" s="62" t="s">
        <v>909</v>
      </c>
      <c r="B563" s="58">
        <v>35922156802</v>
      </c>
      <c r="C563" s="63"/>
      <c r="D563" s="60"/>
      <c r="E563" s="9"/>
      <c r="F563" s="25"/>
      <c r="G563" s="61"/>
      <c r="H563" s="9"/>
      <c r="I563" s="8"/>
      <c r="J563" s="8"/>
      <c r="K563" s="8"/>
      <c r="L563" s="8"/>
      <c r="M563" s="8"/>
    </row>
    <row r="564" spans="1:13">
      <c r="A564" s="63" t="s">
        <v>910</v>
      </c>
      <c r="B564" s="58">
        <v>33291554850</v>
      </c>
      <c r="C564" s="63"/>
      <c r="D564" s="60"/>
      <c r="E564" s="9"/>
      <c r="F564" s="25"/>
      <c r="G564" s="61"/>
      <c r="H564" s="9"/>
      <c r="I564" s="8"/>
      <c r="J564" s="8"/>
      <c r="K564" s="8"/>
      <c r="L564" s="8"/>
      <c r="M564" s="8"/>
    </row>
    <row r="565" spans="1:13">
      <c r="A565" s="14" t="s">
        <v>911</v>
      </c>
      <c r="B565" s="58">
        <v>23675111873</v>
      </c>
      <c r="C565" s="63"/>
      <c r="D565" s="60"/>
      <c r="E565" s="9">
        <v>292</v>
      </c>
      <c r="F565" s="25">
        <v>43168</v>
      </c>
      <c r="G565" s="61" t="s">
        <v>13</v>
      </c>
      <c r="H565" s="9"/>
      <c r="I565" s="8"/>
      <c r="J565" s="8"/>
      <c r="K565" s="8"/>
      <c r="L565" s="9">
        <v>318</v>
      </c>
      <c r="M565" s="8"/>
    </row>
    <row r="566" spans="1:13">
      <c r="A566" s="63" t="s">
        <v>912</v>
      </c>
      <c r="B566" s="58">
        <v>39051433808</v>
      </c>
      <c r="C566" s="63"/>
      <c r="D566" s="60"/>
      <c r="E566" s="9"/>
      <c r="F566" s="25"/>
      <c r="G566" s="61"/>
      <c r="H566" s="9"/>
      <c r="I566" s="8"/>
      <c r="J566" s="8"/>
      <c r="K566" s="8"/>
      <c r="L566" s="8"/>
      <c r="M566" s="8"/>
    </row>
    <row r="567" spans="1:13">
      <c r="A567" s="62" t="s">
        <v>913</v>
      </c>
      <c r="B567" s="58">
        <v>9056201867</v>
      </c>
      <c r="C567" s="63" t="s">
        <v>914</v>
      </c>
      <c r="D567" s="60">
        <v>59754605815</v>
      </c>
      <c r="E567" s="9">
        <v>810</v>
      </c>
      <c r="F567" s="25">
        <v>42915</v>
      </c>
      <c r="G567" s="61" t="s">
        <v>13</v>
      </c>
      <c r="H567" s="9"/>
      <c r="I567" s="8"/>
      <c r="J567" s="8"/>
      <c r="K567" s="8"/>
      <c r="L567" s="9" t="s">
        <v>138</v>
      </c>
      <c r="M567" s="8"/>
    </row>
    <row r="568" spans="1:13">
      <c r="A568" s="62" t="s">
        <v>915</v>
      </c>
      <c r="B568" s="58">
        <v>4434698656</v>
      </c>
      <c r="C568" s="63" t="s">
        <v>916</v>
      </c>
      <c r="D568" s="60">
        <v>75851300400</v>
      </c>
      <c r="E568" s="9">
        <v>810</v>
      </c>
      <c r="F568" s="25">
        <v>42915</v>
      </c>
      <c r="G568" s="61" t="s">
        <v>13</v>
      </c>
      <c r="H568" s="9"/>
      <c r="I568" s="8"/>
      <c r="J568" s="8"/>
      <c r="K568" s="8"/>
      <c r="L568" s="9" t="s">
        <v>138</v>
      </c>
      <c r="M568" s="8"/>
    </row>
    <row r="569" spans="1:13">
      <c r="A569" s="62" t="s">
        <v>917</v>
      </c>
      <c r="B569" s="58">
        <v>27030279824</v>
      </c>
      <c r="C569" s="63" t="s">
        <v>918</v>
      </c>
      <c r="D569" s="60">
        <v>87414392449</v>
      </c>
      <c r="E569" s="9">
        <v>509</v>
      </c>
      <c r="F569" s="25">
        <v>43203</v>
      </c>
      <c r="G569" s="67"/>
      <c r="H569" s="67">
        <v>43213</v>
      </c>
      <c r="I569" s="8"/>
      <c r="J569" s="8"/>
      <c r="K569" s="8"/>
      <c r="L569" s="8"/>
      <c r="M569" s="8"/>
    </row>
    <row r="570" spans="1:13">
      <c r="A570" s="62" t="s">
        <v>919</v>
      </c>
      <c r="B570" s="58">
        <v>30478760884</v>
      </c>
      <c r="C570" s="68" t="s">
        <v>920</v>
      </c>
      <c r="D570" s="60">
        <v>29327060806</v>
      </c>
      <c r="E570" s="9"/>
      <c r="F570" s="25"/>
      <c r="G570" s="61"/>
      <c r="H570" s="67">
        <v>43213</v>
      </c>
      <c r="I570" s="8"/>
      <c r="J570" s="8"/>
      <c r="K570" s="8"/>
      <c r="L570" s="8"/>
      <c r="M570" s="8"/>
    </row>
    <row r="571" spans="1:13">
      <c r="A571" s="62" t="s">
        <v>921</v>
      </c>
      <c r="B571" s="58">
        <v>11701143852</v>
      </c>
      <c r="C571" s="63"/>
      <c r="D571" s="60"/>
      <c r="E571" s="9">
        <v>810</v>
      </c>
      <c r="F571" s="25">
        <v>42915</v>
      </c>
      <c r="G571" s="61" t="s">
        <v>13</v>
      </c>
      <c r="H571" s="67">
        <v>43213</v>
      </c>
      <c r="I571" s="8"/>
      <c r="J571" s="8"/>
      <c r="K571" s="8"/>
      <c r="L571" s="9" t="s">
        <v>138</v>
      </c>
      <c r="M571" s="8"/>
    </row>
    <row r="572" spans="1:13">
      <c r="A572" s="62" t="s">
        <v>922</v>
      </c>
      <c r="B572" s="58">
        <v>8444896896</v>
      </c>
      <c r="C572" s="63"/>
      <c r="D572" s="60"/>
      <c r="E572" s="9">
        <v>1417</v>
      </c>
      <c r="F572" s="25">
        <v>43017</v>
      </c>
      <c r="G572" s="61" t="s">
        <v>13</v>
      </c>
      <c r="H572" s="67">
        <v>43213</v>
      </c>
      <c r="I572" s="8"/>
      <c r="J572" s="8"/>
      <c r="K572" s="8"/>
      <c r="L572" s="9" t="s">
        <v>253</v>
      </c>
      <c r="M572" s="8"/>
    </row>
    <row r="573" spans="1:13">
      <c r="A573" s="63" t="s">
        <v>923</v>
      </c>
      <c r="B573" s="58">
        <v>16583214806</v>
      </c>
      <c r="C573" s="63" t="s">
        <v>924</v>
      </c>
      <c r="D573" s="60">
        <v>26637612812</v>
      </c>
      <c r="E573" s="9"/>
      <c r="F573" s="25"/>
      <c r="G573" s="61"/>
      <c r="H573" s="67">
        <v>43213</v>
      </c>
      <c r="I573" s="8"/>
      <c r="J573" s="8"/>
      <c r="K573" s="8"/>
      <c r="L573" s="8"/>
      <c r="M573" s="8"/>
    </row>
    <row r="574" spans="1:13">
      <c r="A574" s="63" t="s">
        <v>925</v>
      </c>
      <c r="B574" s="58">
        <v>41749323877</v>
      </c>
      <c r="C574" s="63"/>
      <c r="D574" s="60"/>
      <c r="E574" s="9">
        <v>443</v>
      </c>
      <c r="F574" s="25">
        <v>43188</v>
      </c>
      <c r="G574" s="61"/>
      <c r="H574" s="67">
        <v>43213</v>
      </c>
      <c r="I574" s="8"/>
      <c r="J574" s="8"/>
      <c r="K574" s="8"/>
      <c r="L574" s="8"/>
      <c r="M574" s="8"/>
    </row>
    <row r="575" spans="1:13">
      <c r="A575" s="62" t="s">
        <v>926</v>
      </c>
      <c r="B575" s="58">
        <v>10718520866</v>
      </c>
      <c r="C575" s="63"/>
      <c r="D575" s="60"/>
      <c r="E575" s="9">
        <v>292</v>
      </c>
      <c r="F575" s="25">
        <v>43168</v>
      </c>
      <c r="G575" s="9" t="s">
        <v>13</v>
      </c>
      <c r="H575" s="67">
        <v>43213</v>
      </c>
      <c r="I575" s="8"/>
      <c r="J575" s="8"/>
      <c r="K575" s="8"/>
      <c r="L575" s="9">
        <v>318</v>
      </c>
      <c r="M575" s="8"/>
    </row>
    <row r="576" spans="1:13">
      <c r="A576" s="27" t="s">
        <v>927</v>
      </c>
      <c r="B576" s="58">
        <v>6882969639</v>
      </c>
      <c r="C576" s="27" t="s">
        <v>928</v>
      </c>
      <c r="D576" s="60">
        <v>3765312665</v>
      </c>
      <c r="E576" s="9"/>
      <c r="F576" s="25"/>
      <c r="G576" s="61"/>
      <c r="H576" s="67">
        <v>43213</v>
      </c>
      <c r="I576" s="8"/>
      <c r="J576" s="8"/>
      <c r="K576" s="8"/>
      <c r="L576" s="8"/>
      <c r="M576" s="8"/>
    </row>
    <row r="577" spans="1:13">
      <c r="A577" s="27" t="s">
        <v>929</v>
      </c>
      <c r="B577" s="58">
        <v>22449339892</v>
      </c>
      <c r="C577" s="27" t="s">
        <v>930</v>
      </c>
      <c r="D577" s="60">
        <v>5569034471</v>
      </c>
      <c r="E577" s="9"/>
      <c r="F577" s="25"/>
      <c r="G577" s="61"/>
      <c r="H577" s="67">
        <v>43213</v>
      </c>
      <c r="I577" s="8"/>
      <c r="J577" s="8"/>
      <c r="K577" s="8"/>
      <c r="L577" s="8"/>
      <c r="M577" s="8"/>
    </row>
    <row r="578" spans="1:13">
      <c r="A578" s="27" t="s">
        <v>931</v>
      </c>
      <c r="B578" s="58"/>
      <c r="C578" s="18" t="s">
        <v>129</v>
      </c>
      <c r="D578" s="60"/>
      <c r="E578" s="9"/>
      <c r="F578" s="25"/>
      <c r="G578" s="2"/>
      <c r="H578" s="67">
        <v>43213</v>
      </c>
      <c r="I578" s="8"/>
      <c r="J578" s="8"/>
      <c r="K578" s="8"/>
      <c r="L578" s="8"/>
      <c r="M578" s="8"/>
    </row>
    <row r="579" spans="1:13">
      <c r="A579" s="62" t="s">
        <v>932</v>
      </c>
      <c r="B579" s="58">
        <v>22854740831</v>
      </c>
      <c r="C579" s="63" t="s">
        <v>933</v>
      </c>
      <c r="D579" s="60">
        <v>27802383803</v>
      </c>
      <c r="E579" s="9"/>
      <c r="F579" s="25"/>
      <c r="G579" s="61"/>
      <c r="H579" s="9"/>
      <c r="I579" s="8"/>
      <c r="J579" s="8"/>
      <c r="K579" s="8"/>
      <c r="L579" s="8"/>
      <c r="M579" s="8"/>
    </row>
    <row r="580" spans="1:13">
      <c r="A580" s="15" t="s">
        <v>934</v>
      </c>
      <c r="B580" s="58">
        <v>33868796835</v>
      </c>
      <c r="C580" s="63"/>
      <c r="D580" s="60"/>
      <c r="E580" s="9">
        <v>443</v>
      </c>
      <c r="F580" s="25">
        <v>43188</v>
      </c>
      <c r="G580" s="61"/>
      <c r="H580" s="9"/>
      <c r="I580" s="8"/>
      <c r="J580" s="8"/>
      <c r="K580" s="8"/>
      <c r="L580" s="8"/>
      <c r="M580" s="8"/>
    </row>
    <row r="581" spans="1:13">
      <c r="A581" s="15" t="s">
        <v>935</v>
      </c>
      <c r="B581" s="58">
        <v>28437745861</v>
      </c>
      <c r="C581" s="63"/>
      <c r="D581" s="60"/>
      <c r="E581" s="9">
        <v>229</v>
      </c>
      <c r="F581" s="25">
        <v>43151</v>
      </c>
      <c r="G581" s="61" t="s">
        <v>13</v>
      </c>
      <c r="H581" s="9"/>
      <c r="I581" s="8"/>
      <c r="J581" s="8"/>
      <c r="K581" s="8"/>
      <c r="L581" s="9">
        <v>232</v>
      </c>
      <c r="M581" s="8"/>
    </row>
    <row r="582" spans="1:13">
      <c r="A582" s="62" t="s">
        <v>936</v>
      </c>
      <c r="B582" s="58">
        <v>36618054877</v>
      </c>
      <c r="C582" s="63"/>
      <c r="D582" s="60"/>
      <c r="E582" s="9">
        <v>810</v>
      </c>
      <c r="F582" s="25">
        <v>42915</v>
      </c>
      <c r="G582" s="61" t="s">
        <v>13</v>
      </c>
      <c r="H582" s="9"/>
      <c r="I582" s="8"/>
      <c r="J582" s="8"/>
      <c r="K582" s="8"/>
      <c r="L582" s="9" t="s">
        <v>138</v>
      </c>
      <c r="M582" s="8"/>
    </row>
    <row r="583" spans="1:13">
      <c r="A583" s="62" t="s">
        <v>937</v>
      </c>
      <c r="B583" s="58">
        <v>47110994848</v>
      </c>
      <c r="C583" s="62" t="s">
        <v>938</v>
      </c>
      <c r="D583" s="58">
        <v>28679243833</v>
      </c>
      <c r="E583" s="9"/>
      <c r="F583" s="25"/>
      <c r="G583" s="61"/>
      <c r="H583" s="9"/>
      <c r="I583" s="8"/>
      <c r="J583" s="8"/>
      <c r="K583" s="8"/>
      <c r="L583" s="8"/>
      <c r="M583" s="8"/>
    </row>
    <row r="584" spans="1:13">
      <c r="A584" s="62" t="s">
        <v>939</v>
      </c>
      <c r="B584" s="58">
        <v>39353276845</v>
      </c>
      <c r="C584" s="63" t="s">
        <v>940</v>
      </c>
      <c r="D584" s="60">
        <v>33343612847</v>
      </c>
      <c r="E584" s="9">
        <v>1417</v>
      </c>
      <c r="F584" s="25">
        <v>43017</v>
      </c>
      <c r="G584" s="61" t="s">
        <v>20</v>
      </c>
      <c r="H584" s="9"/>
      <c r="I584" s="8"/>
      <c r="J584" s="8"/>
      <c r="K584" s="8"/>
      <c r="L584" s="9" t="s">
        <v>253</v>
      </c>
      <c r="M584" s="8"/>
    </row>
    <row r="585" spans="1:13">
      <c r="A585" s="13" t="s">
        <v>941</v>
      </c>
      <c r="B585" s="58">
        <v>37978352803</v>
      </c>
      <c r="C585" s="63"/>
      <c r="D585" s="60"/>
      <c r="E585" s="9">
        <v>1350</v>
      </c>
      <c r="F585" s="25">
        <v>43006</v>
      </c>
      <c r="G585" s="61" t="s">
        <v>13</v>
      </c>
      <c r="H585" s="9"/>
      <c r="I585" s="8"/>
      <c r="J585" s="8"/>
      <c r="K585" s="8"/>
      <c r="L585" s="8"/>
      <c r="M585" s="8"/>
    </row>
    <row r="586" spans="1:13">
      <c r="A586" s="13" t="s">
        <v>942</v>
      </c>
      <c r="B586" s="58">
        <v>39937482801</v>
      </c>
      <c r="C586" s="59" t="s">
        <v>943</v>
      </c>
      <c r="D586" s="60">
        <v>36243454860</v>
      </c>
      <c r="E586" s="9">
        <v>1128</v>
      </c>
      <c r="F586" s="25">
        <v>42972</v>
      </c>
      <c r="G586" s="61" t="s">
        <v>13</v>
      </c>
      <c r="H586" s="9"/>
      <c r="I586" s="8"/>
      <c r="J586" s="8"/>
      <c r="K586" s="8"/>
      <c r="L586" s="8"/>
      <c r="M586" s="8"/>
    </row>
    <row r="587" spans="1:13">
      <c r="A587" s="13" t="s">
        <v>944</v>
      </c>
      <c r="B587" s="58">
        <v>35674019800</v>
      </c>
      <c r="C587" s="63"/>
      <c r="D587" s="60"/>
      <c r="E587" s="9">
        <v>1350</v>
      </c>
      <c r="F587" s="25">
        <v>43006</v>
      </c>
      <c r="G587" s="61" t="s">
        <v>13</v>
      </c>
      <c r="H587" s="9"/>
      <c r="I587" s="8"/>
      <c r="J587" s="8"/>
      <c r="K587" s="8"/>
      <c r="L587" s="8"/>
      <c r="M587" s="8"/>
    </row>
    <row r="588" spans="1:13">
      <c r="A588" s="62" t="s">
        <v>945</v>
      </c>
      <c r="B588" s="58">
        <v>4090078466</v>
      </c>
      <c r="C588" s="63" t="s">
        <v>946</v>
      </c>
      <c r="D588" s="60">
        <v>31135278806</v>
      </c>
      <c r="E588" s="9">
        <v>1555</v>
      </c>
      <c r="F588" s="25">
        <v>43049</v>
      </c>
      <c r="G588" s="61" t="s">
        <v>20</v>
      </c>
      <c r="H588" s="9"/>
      <c r="I588" s="8"/>
      <c r="J588" s="8"/>
      <c r="K588" s="8"/>
      <c r="L588" s="9" t="s">
        <v>398</v>
      </c>
      <c r="M588" s="8"/>
    </row>
    <row r="589" spans="1:13">
      <c r="A589" s="63" t="s">
        <v>947</v>
      </c>
      <c r="B589" s="58">
        <v>22857706855</v>
      </c>
      <c r="C589" s="63" t="s">
        <v>948</v>
      </c>
      <c r="D589" s="60">
        <v>5397398802</v>
      </c>
      <c r="E589" s="9"/>
      <c r="F589" s="25"/>
      <c r="G589" s="61"/>
      <c r="H589" s="9"/>
      <c r="I589" s="8"/>
      <c r="J589" s="8"/>
      <c r="K589" s="8"/>
      <c r="L589" s="8"/>
      <c r="M589" s="8"/>
    </row>
    <row r="590" spans="1:13">
      <c r="A590" s="63" t="s">
        <v>949</v>
      </c>
      <c r="B590" s="58">
        <v>30278629873</v>
      </c>
      <c r="C590" s="63" t="s">
        <v>950</v>
      </c>
      <c r="D590" s="60">
        <v>27817894884</v>
      </c>
      <c r="E590" s="9"/>
      <c r="F590" s="25"/>
      <c r="G590" s="61"/>
      <c r="H590" s="9"/>
      <c r="I590" s="8"/>
      <c r="J590" s="8"/>
      <c r="K590" s="8"/>
      <c r="L590" s="8"/>
      <c r="M590" s="8"/>
    </row>
    <row r="591" spans="1:13">
      <c r="A591" s="27" t="s">
        <v>951</v>
      </c>
      <c r="B591" s="58"/>
      <c r="C591" s="27" t="s">
        <v>952</v>
      </c>
      <c r="D591" s="60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62" t="s">
        <v>953</v>
      </c>
      <c r="B592" s="58">
        <v>35569130896</v>
      </c>
      <c r="C592" s="63" t="s">
        <v>954</v>
      </c>
      <c r="D592" s="60">
        <v>34252178878</v>
      </c>
      <c r="E592" s="9">
        <v>262</v>
      </c>
      <c r="F592" s="25">
        <v>43160</v>
      </c>
      <c r="G592" s="9" t="s">
        <v>13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955</v>
      </c>
      <c r="B593" s="58">
        <v>33214684841</v>
      </c>
      <c r="C593" s="63"/>
      <c r="D593" s="60"/>
      <c r="E593" s="9">
        <v>1350</v>
      </c>
      <c r="F593" s="25">
        <v>43006</v>
      </c>
      <c r="G593" s="61" t="s">
        <v>13</v>
      </c>
      <c r="H593" s="9"/>
      <c r="I593" s="8"/>
      <c r="J593" s="8"/>
      <c r="K593" s="8"/>
      <c r="L593" s="8"/>
      <c r="M593" s="8"/>
    </row>
    <row r="594" spans="1:13">
      <c r="A594" s="62" t="s">
        <v>956</v>
      </c>
      <c r="B594" s="58">
        <v>23217962869</v>
      </c>
      <c r="C594" s="63"/>
      <c r="D594" s="60"/>
      <c r="E594" s="9">
        <v>1555</v>
      </c>
      <c r="F594" s="25">
        <v>43049</v>
      </c>
      <c r="G594" s="61" t="s">
        <v>13</v>
      </c>
      <c r="H594" s="9"/>
      <c r="I594" s="8"/>
      <c r="J594" s="8"/>
      <c r="K594" s="8"/>
      <c r="L594" s="9" t="s">
        <v>398</v>
      </c>
      <c r="M594" s="8"/>
    </row>
    <row r="595" spans="1:13">
      <c r="A595" s="63" t="s">
        <v>957</v>
      </c>
      <c r="B595" s="58">
        <v>45994333816</v>
      </c>
      <c r="C595" s="63"/>
      <c r="D595" s="60"/>
      <c r="E595" s="9"/>
      <c r="F595" s="25"/>
      <c r="G595" s="61"/>
      <c r="H595" s="9"/>
      <c r="I595" s="8"/>
      <c r="J595" s="8"/>
      <c r="K595" s="8"/>
      <c r="L595" s="8"/>
      <c r="M595" s="8"/>
    </row>
    <row r="596" spans="1:13">
      <c r="A596" s="15" t="s">
        <v>958</v>
      </c>
      <c r="B596" s="58">
        <v>5704186580</v>
      </c>
      <c r="C596" s="63" t="s">
        <v>959</v>
      </c>
      <c r="D596" s="60">
        <v>43994391814</v>
      </c>
      <c r="E596" s="9"/>
      <c r="F596" s="25"/>
      <c r="G596" s="61"/>
      <c r="H596" s="9"/>
      <c r="I596" s="8"/>
      <c r="J596" s="8"/>
      <c r="K596" s="8"/>
      <c r="L596" s="8"/>
      <c r="M596" s="8"/>
    </row>
    <row r="597" spans="1:13">
      <c r="A597" s="62" t="s">
        <v>960</v>
      </c>
      <c r="B597" s="58">
        <v>37966967832</v>
      </c>
      <c r="C597" s="63"/>
      <c r="D597" s="60"/>
      <c r="E597" s="9">
        <v>1214</v>
      </c>
      <c r="F597" s="25">
        <v>42989</v>
      </c>
      <c r="G597" s="61" t="s">
        <v>13</v>
      </c>
      <c r="H597" s="9"/>
      <c r="I597" s="8"/>
      <c r="J597" s="8"/>
      <c r="K597" s="8"/>
      <c r="L597" s="8"/>
      <c r="M597" s="8"/>
    </row>
    <row r="598" spans="1:13">
      <c r="A598" s="13" t="s">
        <v>961</v>
      </c>
      <c r="B598" s="58">
        <v>31112261826</v>
      </c>
      <c r="C598" s="59"/>
      <c r="D598" s="60"/>
      <c r="E598" s="9">
        <v>1128</v>
      </c>
      <c r="F598" s="25">
        <v>42972</v>
      </c>
      <c r="G598" s="61" t="s">
        <v>13</v>
      </c>
      <c r="H598" s="9"/>
      <c r="I598" s="8"/>
      <c r="J598" s="8"/>
      <c r="K598" s="8"/>
      <c r="L598" s="8"/>
      <c r="M598" s="8"/>
    </row>
    <row r="599" spans="1:13">
      <c r="A599" s="62" t="s">
        <v>962</v>
      </c>
      <c r="B599" s="58">
        <v>38964391896</v>
      </c>
      <c r="C599" s="63"/>
      <c r="D599" s="60"/>
      <c r="E599" s="9"/>
      <c r="F599" s="25"/>
      <c r="G599" s="61"/>
      <c r="H599" s="9"/>
      <c r="I599" s="8"/>
      <c r="J599" s="8"/>
      <c r="K599" s="8"/>
      <c r="L599" s="8"/>
      <c r="M599" s="8"/>
    </row>
    <row r="600" spans="1:13">
      <c r="A600" s="62" t="s">
        <v>963</v>
      </c>
      <c r="B600" s="58">
        <v>42223388850</v>
      </c>
      <c r="C600" s="63"/>
      <c r="D600" s="60"/>
      <c r="E600" s="9">
        <v>1214</v>
      </c>
      <c r="F600" s="25">
        <v>42989</v>
      </c>
      <c r="G600" s="61" t="s">
        <v>13</v>
      </c>
      <c r="H600" s="9"/>
      <c r="I600" s="8"/>
      <c r="J600" s="8"/>
      <c r="K600" s="8"/>
      <c r="L600" s="8"/>
      <c r="M600" s="8"/>
    </row>
    <row r="601" spans="1:13">
      <c r="A601" s="62" t="s">
        <v>964</v>
      </c>
      <c r="B601" s="58">
        <v>38453816808</v>
      </c>
      <c r="C601" s="63" t="s">
        <v>965</v>
      </c>
      <c r="D601" s="60">
        <v>22843883881</v>
      </c>
      <c r="E601" s="9">
        <v>262</v>
      </c>
      <c r="F601" s="25">
        <v>43160</v>
      </c>
      <c r="G601" s="61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7" t="s">
        <v>966</v>
      </c>
      <c r="B602" s="58">
        <v>46366084882</v>
      </c>
      <c r="C602" s="18" t="s">
        <v>129</v>
      </c>
      <c r="D602" s="60"/>
      <c r="E602" s="9"/>
      <c r="F602" s="25"/>
      <c r="G602" s="61"/>
      <c r="H602" s="9"/>
      <c r="I602" s="8"/>
      <c r="J602" s="8"/>
      <c r="K602" s="8"/>
      <c r="L602" s="8"/>
      <c r="M602" s="8"/>
    </row>
    <row r="603" spans="1:13">
      <c r="A603" s="27" t="s">
        <v>967</v>
      </c>
      <c r="B603" s="58"/>
      <c r="C603" s="18" t="s">
        <v>129</v>
      </c>
      <c r="D603" s="60"/>
      <c r="E603" s="9"/>
      <c r="F603" s="25"/>
      <c r="G603" s="61"/>
      <c r="H603" s="9"/>
      <c r="I603" s="8"/>
      <c r="J603" s="8"/>
      <c r="K603" s="8"/>
      <c r="L603" s="8"/>
      <c r="M603" s="8"/>
    </row>
    <row r="604" spans="1:13">
      <c r="A604" s="62" t="s">
        <v>968</v>
      </c>
      <c r="B604" s="58">
        <v>40415212898</v>
      </c>
      <c r="C604" s="63" t="s">
        <v>969</v>
      </c>
      <c r="D604" s="60">
        <v>35522659882</v>
      </c>
      <c r="E604" s="9">
        <v>262</v>
      </c>
      <c r="F604" s="25">
        <v>43160</v>
      </c>
      <c r="G604" s="61" t="s">
        <v>13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970</v>
      </c>
      <c r="B605" s="58">
        <v>41957432810</v>
      </c>
      <c r="C605" s="63" t="s">
        <v>971</v>
      </c>
      <c r="D605" s="60">
        <v>22992085855</v>
      </c>
      <c r="E605" s="9">
        <v>1824</v>
      </c>
      <c r="F605" s="25">
        <v>43091</v>
      </c>
      <c r="G605" s="61" t="s">
        <v>13</v>
      </c>
      <c r="H605" s="9"/>
      <c r="I605" s="8"/>
      <c r="J605" s="8"/>
      <c r="K605" s="8"/>
      <c r="L605" s="9">
        <v>1828</v>
      </c>
      <c r="M605" s="8"/>
    </row>
    <row r="606" spans="1:13">
      <c r="A606" s="62" t="s">
        <v>972</v>
      </c>
      <c r="B606" s="58">
        <v>43393817809</v>
      </c>
      <c r="C606" s="63"/>
      <c r="D606" s="60"/>
      <c r="E606" s="9">
        <v>117</v>
      </c>
      <c r="F606" s="25">
        <v>43117</v>
      </c>
      <c r="G606" s="61" t="s">
        <v>13</v>
      </c>
      <c r="H606" s="9"/>
      <c r="I606" s="8"/>
      <c r="J606" s="8"/>
      <c r="K606" s="8"/>
      <c r="L606" s="9" t="s">
        <v>170</v>
      </c>
      <c r="M606" s="8"/>
    </row>
    <row r="607" spans="1:13">
      <c r="A607" s="15" t="s">
        <v>973</v>
      </c>
      <c r="B607" s="58">
        <v>36252717886</v>
      </c>
      <c r="C607" s="63" t="s">
        <v>974</v>
      </c>
      <c r="D607" s="60">
        <v>34743190860</v>
      </c>
      <c r="E607" s="9">
        <v>443</v>
      </c>
      <c r="F607" s="25">
        <v>43188</v>
      </c>
      <c r="G607" s="61"/>
      <c r="H607" s="9"/>
      <c r="I607" s="8"/>
      <c r="J607" s="8"/>
      <c r="K607" s="8"/>
      <c r="L607" s="8"/>
      <c r="M607" s="8"/>
    </row>
    <row r="608" spans="1:13">
      <c r="A608" s="62" t="s">
        <v>975</v>
      </c>
      <c r="B608" s="58">
        <v>13458181814</v>
      </c>
      <c r="C608" s="63"/>
      <c r="D608" s="60"/>
      <c r="E608" s="9">
        <v>292</v>
      </c>
      <c r="F608" s="25">
        <v>43168</v>
      </c>
      <c r="G608" s="61" t="s">
        <v>13</v>
      </c>
      <c r="H608" s="9"/>
      <c r="I608" s="8"/>
      <c r="J608" s="8"/>
      <c r="K608" s="8"/>
      <c r="L608" s="9">
        <v>318</v>
      </c>
      <c r="M608" s="8"/>
    </row>
    <row r="609" spans="1:13">
      <c r="A609" s="76" t="s">
        <v>976</v>
      </c>
      <c r="B609" s="58">
        <v>23436019844</v>
      </c>
      <c r="C609" s="63" t="s">
        <v>977</v>
      </c>
      <c r="D609" s="60">
        <v>35927095852</v>
      </c>
      <c r="E609" s="9">
        <v>810</v>
      </c>
      <c r="F609" s="25">
        <v>42915</v>
      </c>
      <c r="G609" s="61" t="s">
        <v>13</v>
      </c>
      <c r="H609" s="9"/>
      <c r="I609" s="8"/>
      <c r="J609" s="8"/>
      <c r="K609" s="8"/>
      <c r="L609" s="9" t="s">
        <v>138</v>
      </c>
      <c r="M609" s="8"/>
    </row>
    <row r="610" spans="1:13">
      <c r="A610" s="62" t="s">
        <v>978</v>
      </c>
      <c r="B610" s="58">
        <v>39473758839</v>
      </c>
      <c r="C610" s="63"/>
      <c r="D610" s="60"/>
      <c r="E610" s="9">
        <v>292</v>
      </c>
      <c r="F610" s="25">
        <v>43168</v>
      </c>
      <c r="G610" s="9" t="s">
        <v>13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979</v>
      </c>
      <c r="B611" s="58">
        <v>24855310808</v>
      </c>
      <c r="C611" s="59"/>
      <c r="D611" s="60"/>
      <c r="E611" s="9">
        <v>1128</v>
      </c>
      <c r="F611" s="25">
        <v>42972</v>
      </c>
      <c r="G611" s="61" t="s">
        <v>13</v>
      </c>
      <c r="H611" s="9"/>
      <c r="I611" s="8"/>
      <c r="J611" s="8"/>
      <c r="K611" s="8"/>
      <c r="L611" s="8"/>
      <c r="M611" s="8"/>
    </row>
    <row r="612" spans="1:13">
      <c r="A612" s="62" t="s">
        <v>980</v>
      </c>
      <c r="B612" s="58">
        <v>34580235851</v>
      </c>
      <c r="C612" s="63"/>
      <c r="D612" s="60"/>
      <c r="E612" s="9">
        <v>1350</v>
      </c>
      <c r="F612" s="25">
        <v>43006</v>
      </c>
      <c r="G612" s="61" t="s">
        <v>13</v>
      </c>
      <c r="H612" s="9"/>
      <c r="I612" s="8"/>
      <c r="J612" s="8"/>
      <c r="K612" s="8"/>
      <c r="L612" s="8"/>
      <c r="M612" s="8"/>
    </row>
    <row r="613" spans="1:13">
      <c r="A613" s="62" t="s">
        <v>981</v>
      </c>
      <c r="B613" s="58">
        <v>32687071811</v>
      </c>
      <c r="C613" s="63"/>
      <c r="D613" s="60"/>
      <c r="E613" s="9"/>
      <c r="F613" s="25"/>
      <c r="G613" s="61"/>
      <c r="H613" s="9"/>
      <c r="I613" s="8"/>
      <c r="J613" s="8"/>
      <c r="K613" s="8"/>
      <c r="L613" s="8"/>
      <c r="M613" s="8"/>
    </row>
    <row r="614" spans="1:13">
      <c r="A614" s="62" t="s">
        <v>982</v>
      </c>
      <c r="B614" s="58">
        <v>32114645819</v>
      </c>
      <c r="C614" s="63" t="s">
        <v>983</v>
      </c>
      <c r="D614" s="60">
        <v>33183764857</v>
      </c>
      <c r="E614" s="9">
        <v>810</v>
      </c>
      <c r="F614" s="25">
        <v>42915</v>
      </c>
      <c r="G614" s="61" t="s">
        <v>13</v>
      </c>
      <c r="H614" s="9"/>
      <c r="I614" s="8"/>
      <c r="J614" s="8"/>
      <c r="K614" s="8"/>
      <c r="L614" s="9" t="s">
        <v>138</v>
      </c>
      <c r="M614" s="8"/>
    </row>
    <row r="615" spans="1:13">
      <c r="A615" s="27" t="s">
        <v>984</v>
      </c>
      <c r="B615" s="58">
        <v>8664004862</v>
      </c>
      <c r="C615" s="27"/>
      <c r="D615" s="60"/>
      <c r="E615" s="9"/>
      <c r="F615" s="25"/>
      <c r="G615" s="61"/>
      <c r="H615" s="9"/>
      <c r="I615" s="8"/>
      <c r="J615" s="8"/>
      <c r="K615" s="8"/>
      <c r="L615" s="8"/>
      <c r="M615" s="8"/>
    </row>
    <row r="616" spans="1:13">
      <c r="A616" s="18" t="s">
        <v>985</v>
      </c>
      <c r="B616" s="58">
        <v>4836720508</v>
      </c>
      <c r="C616" s="18" t="s">
        <v>986</v>
      </c>
      <c r="D616" s="60">
        <v>5479236512</v>
      </c>
      <c r="E616" s="9"/>
      <c r="F616" s="25"/>
      <c r="G616" s="61"/>
      <c r="H616" s="9"/>
      <c r="I616" s="8"/>
      <c r="J616" s="8"/>
      <c r="K616" s="8"/>
      <c r="L616" s="8"/>
      <c r="M616" s="8"/>
    </row>
    <row r="617" spans="1:13">
      <c r="A617" s="13" t="s">
        <v>987</v>
      </c>
      <c r="B617" s="58">
        <v>35003087837</v>
      </c>
      <c r="C617" s="59"/>
      <c r="D617" s="60"/>
      <c r="E617" s="9">
        <v>1128</v>
      </c>
      <c r="F617" s="25">
        <v>42972</v>
      </c>
      <c r="G617" s="61" t="s">
        <v>13</v>
      </c>
      <c r="H617" s="9"/>
      <c r="I617" s="8"/>
      <c r="J617" s="8"/>
      <c r="K617" s="8"/>
      <c r="L617" s="8"/>
      <c r="M617" s="8"/>
    </row>
    <row r="618" spans="1:13">
      <c r="A618" s="27" t="s">
        <v>988</v>
      </c>
      <c r="B618" s="58">
        <v>42187654800</v>
      </c>
      <c r="C618" s="27" t="s">
        <v>989</v>
      </c>
      <c r="D618" s="60">
        <v>86087100059</v>
      </c>
      <c r="E618" s="9"/>
      <c r="F618" s="25"/>
      <c r="G618" s="61"/>
      <c r="H618" s="9"/>
      <c r="I618" s="8"/>
      <c r="J618" s="8"/>
      <c r="K618" s="8"/>
      <c r="L618" s="8"/>
      <c r="M618" s="8"/>
    </row>
    <row r="619" spans="1:13">
      <c r="A619" s="62" t="s">
        <v>990</v>
      </c>
      <c r="B619" s="58">
        <v>19677169866</v>
      </c>
      <c r="C619" s="63"/>
      <c r="D619" s="60"/>
      <c r="E619" s="9">
        <v>1439</v>
      </c>
      <c r="F619" s="25">
        <v>43025</v>
      </c>
      <c r="G619" s="61" t="s">
        <v>13</v>
      </c>
      <c r="H619" s="9"/>
      <c r="I619" s="8"/>
      <c r="J619" s="8"/>
      <c r="K619" s="8"/>
      <c r="L619" s="9" t="s">
        <v>502</v>
      </c>
      <c r="M619" s="8"/>
    </row>
    <row r="620" spans="1:13">
      <c r="A620" s="62" t="s">
        <v>991</v>
      </c>
      <c r="B620" s="58">
        <v>35725789810</v>
      </c>
      <c r="C620" s="64"/>
      <c r="D620" s="60"/>
      <c r="E620" s="9"/>
      <c r="F620" s="25"/>
      <c r="G620" s="61"/>
      <c r="H620" s="9"/>
      <c r="I620" s="8"/>
      <c r="J620" s="8"/>
      <c r="K620" s="8"/>
      <c r="L620" s="8"/>
      <c r="M620" s="8"/>
    </row>
    <row r="621" spans="1:13">
      <c r="A621" s="62" t="s">
        <v>992</v>
      </c>
      <c r="B621" s="58">
        <v>34575541885</v>
      </c>
      <c r="C621" s="63"/>
      <c r="D621" s="60"/>
      <c r="E621" s="9"/>
      <c r="F621" s="25"/>
      <c r="G621" s="61"/>
      <c r="H621" s="9"/>
      <c r="I621" s="8"/>
      <c r="J621" s="8"/>
      <c r="K621" s="8"/>
      <c r="L621" s="8"/>
      <c r="M621" s="8"/>
    </row>
    <row r="622" spans="1:13">
      <c r="A622" s="14" t="s">
        <v>993</v>
      </c>
      <c r="B622" s="58">
        <v>10453137857</v>
      </c>
      <c r="C622" s="63"/>
      <c r="D622" s="60"/>
      <c r="E622" s="9">
        <v>485</v>
      </c>
      <c r="F622" s="25">
        <v>43196</v>
      </c>
      <c r="G622" s="61"/>
      <c r="H622" s="9"/>
      <c r="I622" s="8"/>
      <c r="J622" s="8"/>
      <c r="K622" s="8"/>
      <c r="L622" s="9">
        <v>483</v>
      </c>
      <c r="M622" s="8"/>
    </row>
    <row r="623" spans="1:13">
      <c r="A623" s="62" t="s">
        <v>994</v>
      </c>
      <c r="B623" s="58">
        <v>1283631504</v>
      </c>
      <c r="C623" s="63" t="s">
        <v>995</v>
      </c>
      <c r="D623" s="60">
        <v>62180886349</v>
      </c>
      <c r="E623" s="9">
        <v>1824</v>
      </c>
      <c r="F623" s="25">
        <v>43091</v>
      </c>
      <c r="G623" s="61" t="s">
        <v>13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996</v>
      </c>
      <c r="B624" s="58">
        <v>5389709527</v>
      </c>
      <c r="C624" s="77" t="s">
        <v>997</v>
      </c>
      <c r="D624" s="60">
        <v>4582911536</v>
      </c>
      <c r="E624" s="9"/>
      <c r="F624" s="25"/>
      <c r="G624" s="61"/>
      <c r="H624" s="9"/>
      <c r="I624" s="8"/>
      <c r="J624" s="8"/>
      <c r="K624" s="8"/>
      <c r="L624" s="8"/>
      <c r="M624" s="8"/>
    </row>
    <row r="625" spans="1:13">
      <c r="A625" s="13" t="s">
        <v>998</v>
      </c>
      <c r="B625" s="58">
        <v>1262412528</v>
      </c>
      <c r="C625" s="59" t="s">
        <v>999</v>
      </c>
      <c r="D625" s="60">
        <v>3045815502</v>
      </c>
      <c r="E625" s="9">
        <v>1241</v>
      </c>
      <c r="F625" s="25">
        <v>42992</v>
      </c>
      <c r="G625" s="61" t="s">
        <v>13</v>
      </c>
      <c r="H625" s="9"/>
      <c r="I625" s="8"/>
      <c r="J625" s="8"/>
      <c r="K625" s="8"/>
      <c r="L625" s="8"/>
      <c r="M625" s="8"/>
    </row>
    <row r="626" spans="1:13">
      <c r="A626" s="62" t="s">
        <v>1000</v>
      </c>
      <c r="B626" s="58">
        <v>25417767808</v>
      </c>
      <c r="C626" s="68"/>
      <c r="D626" s="60"/>
      <c r="E626" s="9">
        <v>563</v>
      </c>
      <c r="F626" s="25">
        <v>43217</v>
      </c>
      <c r="G626" s="61"/>
      <c r="H626" s="9"/>
      <c r="I626" s="8"/>
      <c r="J626" s="8"/>
      <c r="K626" s="8"/>
      <c r="L626" s="9" t="s">
        <v>299</v>
      </c>
      <c r="M626" s="8"/>
    </row>
    <row r="627" spans="1:13">
      <c r="A627" s="62" t="s">
        <v>1001</v>
      </c>
      <c r="B627" s="58">
        <v>12964256810</v>
      </c>
      <c r="C627" s="63"/>
      <c r="D627" s="60"/>
      <c r="E627" s="9">
        <v>573</v>
      </c>
      <c r="F627" s="25">
        <v>43224</v>
      </c>
      <c r="G627" s="61"/>
      <c r="H627" s="9"/>
      <c r="I627" s="8"/>
      <c r="J627" s="8"/>
      <c r="K627" s="8"/>
      <c r="L627" s="8"/>
      <c r="M627" s="8"/>
    </row>
    <row r="628" spans="1:13">
      <c r="A628" s="62" t="s">
        <v>224</v>
      </c>
      <c r="B628" s="58">
        <v>9704111460</v>
      </c>
      <c r="C628" s="63" t="s">
        <v>1002</v>
      </c>
      <c r="D628" s="60">
        <v>9882942490</v>
      </c>
      <c r="E628" s="9"/>
      <c r="F628" s="25"/>
      <c r="G628" s="61"/>
      <c r="H628" s="9"/>
      <c r="I628" s="8"/>
      <c r="J628" s="8"/>
      <c r="K628" s="8"/>
      <c r="L628" s="8"/>
      <c r="M628" s="8"/>
    </row>
    <row r="629" spans="1:13">
      <c r="A629" s="13" t="s">
        <v>1003</v>
      </c>
      <c r="B629" s="58">
        <v>41653576855</v>
      </c>
      <c r="C629" s="63" t="s">
        <v>1004</v>
      </c>
      <c r="D629" s="60">
        <v>33219880894</v>
      </c>
      <c r="E629" s="9">
        <v>1439</v>
      </c>
      <c r="F629" s="25">
        <v>43025</v>
      </c>
      <c r="G629" s="61" t="s">
        <v>13</v>
      </c>
      <c r="H629" s="9"/>
      <c r="I629" s="8"/>
      <c r="J629" s="8"/>
      <c r="K629" s="8"/>
      <c r="L629" s="9" t="s">
        <v>502</v>
      </c>
      <c r="M629" s="8"/>
    </row>
    <row r="630" spans="1:13">
      <c r="A630" s="62" t="s">
        <v>1005</v>
      </c>
      <c r="B630" s="58">
        <v>32250994811</v>
      </c>
      <c r="C630" s="63"/>
      <c r="D630" s="60"/>
      <c r="E630" s="9">
        <v>262</v>
      </c>
      <c r="F630" s="25">
        <v>43160</v>
      </c>
      <c r="G630" s="9" t="s">
        <v>13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62" t="s">
        <v>1006</v>
      </c>
      <c r="B631" s="58">
        <v>93817258887</v>
      </c>
      <c r="C631" s="63"/>
      <c r="D631" s="60"/>
      <c r="E631" s="9">
        <v>810</v>
      </c>
      <c r="F631" s="25">
        <v>42915</v>
      </c>
      <c r="G631" s="61" t="s">
        <v>13</v>
      </c>
      <c r="H631" s="9"/>
      <c r="I631" s="8"/>
      <c r="J631" s="8"/>
      <c r="K631" s="8"/>
      <c r="L631" s="9" t="s">
        <v>138</v>
      </c>
      <c r="M631" s="8"/>
    </row>
    <row r="632" spans="1:13">
      <c r="A632" s="27" t="s">
        <v>1007</v>
      </c>
      <c r="B632" s="58">
        <v>29065742875</v>
      </c>
      <c r="C632" s="27" t="s">
        <v>1008</v>
      </c>
      <c r="D632" s="60">
        <v>1937454533</v>
      </c>
      <c r="E632" s="9"/>
      <c r="F632" s="25"/>
      <c r="G632" s="61"/>
      <c r="H632" s="9"/>
      <c r="I632" s="8"/>
      <c r="J632" s="8"/>
      <c r="K632" s="8"/>
      <c r="L632" s="8"/>
      <c r="M632" s="8"/>
    </row>
    <row r="633" spans="1:13">
      <c r="A633" s="63" t="s">
        <v>1009</v>
      </c>
      <c r="B633" s="58">
        <v>39491305867</v>
      </c>
      <c r="C633" s="63" t="s">
        <v>1010</v>
      </c>
      <c r="D633" s="60">
        <v>37500044801</v>
      </c>
      <c r="E633" s="9">
        <v>292</v>
      </c>
      <c r="F633" s="25">
        <v>43168</v>
      </c>
      <c r="G633" s="61"/>
      <c r="H633" s="9"/>
      <c r="I633" s="8"/>
      <c r="J633" s="8"/>
      <c r="K633" s="8"/>
      <c r="L633" s="9">
        <v>318</v>
      </c>
      <c r="M633" s="8"/>
    </row>
    <row r="634" spans="1:13">
      <c r="A634" s="18" t="s">
        <v>1011</v>
      </c>
      <c r="B634" s="58">
        <v>35049140846</v>
      </c>
      <c r="C634" s="18" t="s">
        <v>1012</v>
      </c>
      <c r="D634" s="60">
        <v>6902701512</v>
      </c>
      <c r="E634" s="9"/>
      <c r="F634" s="25"/>
      <c r="G634" s="61"/>
      <c r="H634" s="9"/>
      <c r="I634" s="8"/>
      <c r="J634" s="8"/>
      <c r="K634" s="8"/>
      <c r="L634" s="8"/>
      <c r="M634" s="8"/>
    </row>
    <row r="635" spans="1:13">
      <c r="A635" s="62" t="s">
        <v>1013</v>
      </c>
      <c r="B635" s="58">
        <v>33927442801</v>
      </c>
      <c r="C635" s="63"/>
      <c r="D635" s="60"/>
      <c r="E635" s="9">
        <v>262</v>
      </c>
      <c r="F635" s="25">
        <v>43160</v>
      </c>
      <c r="G635" s="61" t="s">
        <v>13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62" t="s">
        <v>1014</v>
      </c>
      <c r="B636" s="58">
        <v>37125351808</v>
      </c>
      <c r="C636" s="63"/>
      <c r="D636" s="60"/>
      <c r="E636" s="9">
        <v>563</v>
      </c>
      <c r="F636" s="25">
        <v>43217</v>
      </c>
      <c r="G636" s="61"/>
      <c r="H636" s="9"/>
      <c r="I636" s="8"/>
      <c r="J636" s="8"/>
      <c r="K636" s="8"/>
      <c r="L636" s="9" t="s">
        <v>299</v>
      </c>
      <c r="M636" s="8"/>
    </row>
    <row r="637" spans="1:13">
      <c r="A637" s="62" t="s">
        <v>1015</v>
      </c>
      <c r="B637" s="58">
        <v>30172019885</v>
      </c>
      <c r="C637" s="63"/>
      <c r="D637" s="60"/>
      <c r="E637" s="9">
        <v>1628</v>
      </c>
      <c r="F637" s="25">
        <v>43077</v>
      </c>
      <c r="G637" s="61" t="s">
        <v>13</v>
      </c>
      <c r="H637" s="9"/>
      <c r="I637" s="8"/>
      <c r="J637" s="8"/>
      <c r="K637" s="8"/>
      <c r="L637" s="8"/>
      <c r="M637" s="8"/>
    </row>
    <row r="638" spans="1:13">
      <c r="A638" s="18" t="s">
        <v>1016</v>
      </c>
      <c r="B638" s="58"/>
      <c r="C638" s="18" t="s">
        <v>1017</v>
      </c>
      <c r="D638" s="60"/>
      <c r="E638" s="9"/>
      <c r="F638" s="25"/>
      <c r="G638" s="61"/>
      <c r="H638" s="9"/>
      <c r="I638" s="8"/>
      <c r="J638" s="8"/>
      <c r="K638" s="8"/>
      <c r="L638" s="8"/>
      <c r="M638" s="8"/>
    </row>
    <row r="639" spans="1:13">
      <c r="A639" s="27" t="s">
        <v>1018</v>
      </c>
      <c r="B639" s="58">
        <v>198674503</v>
      </c>
      <c r="C639" s="18" t="s">
        <v>1019</v>
      </c>
      <c r="D639" s="60">
        <v>57944865549</v>
      </c>
      <c r="E639" s="9"/>
      <c r="F639" s="25"/>
      <c r="G639" s="61"/>
      <c r="H639" s="9"/>
      <c r="I639" s="8"/>
      <c r="J639" s="8"/>
      <c r="K639" s="8"/>
      <c r="L639" s="8"/>
      <c r="M639" s="8"/>
    </row>
    <row r="640" spans="1:13">
      <c r="A640" s="62" t="s">
        <v>1020</v>
      </c>
      <c r="B640" s="58">
        <v>36101828816</v>
      </c>
      <c r="C640" s="68"/>
      <c r="D640" s="60"/>
      <c r="E640" s="9"/>
      <c r="F640" s="25"/>
      <c r="G640" s="61"/>
      <c r="H640" s="9"/>
      <c r="I640" s="8"/>
      <c r="J640" s="8"/>
      <c r="K640" s="8"/>
      <c r="L640" s="8"/>
      <c r="M640" s="8"/>
    </row>
    <row r="641" spans="1:13">
      <c r="A641" s="63" t="s">
        <v>1021</v>
      </c>
      <c r="B641" s="58">
        <v>35244906895</v>
      </c>
      <c r="C641" s="63"/>
      <c r="D641" s="60"/>
      <c r="E641" s="9"/>
      <c r="F641" s="25"/>
      <c r="G641" s="61"/>
      <c r="H641" s="9"/>
      <c r="I641" s="8"/>
      <c r="J641" s="8"/>
      <c r="K641" s="8"/>
      <c r="L641" s="8"/>
      <c r="M641" s="8"/>
    </row>
    <row r="642" spans="1:13">
      <c r="A642" s="64" t="s">
        <v>1022</v>
      </c>
      <c r="B642" s="58">
        <v>28074733858</v>
      </c>
      <c r="C642" s="63" t="s">
        <v>1023</v>
      </c>
      <c r="D642" s="60">
        <v>18033766867</v>
      </c>
      <c r="E642" s="9">
        <v>810</v>
      </c>
      <c r="F642" s="25">
        <v>42915</v>
      </c>
      <c r="G642" s="61" t="s">
        <v>13</v>
      </c>
      <c r="H642" s="9"/>
      <c r="I642" s="8"/>
      <c r="J642" s="8"/>
      <c r="K642" s="8"/>
      <c r="L642" s="9" t="s">
        <v>138</v>
      </c>
      <c r="M642" s="8"/>
    </row>
    <row r="643" spans="1:13">
      <c r="A643" s="62" t="s">
        <v>1024</v>
      </c>
      <c r="B643" s="58">
        <v>41583475800</v>
      </c>
      <c r="C643" s="63" t="s">
        <v>1025</v>
      </c>
      <c r="D643" s="60">
        <v>47688665817</v>
      </c>
      <c r="E643" s="9">
        <v>810</v>
      </c>
      <c r="F643" s="25">
        <v>42915</v>
      </c>
      <c r="G643" s="61" t="s">
        <v>13</v>
      </c>
      <c r="H643" s="9"/>
      <c r="I643" s="8"/>
      <c r="J643" s="8"/>
      <c r="K643" s="8"/>
      <c r="L643" s="9" t="s">
        <v>138</v>
      </c>
      <c r="M643" s="8"/>
    </row>
    <row r="644" spans="1:13">
      <c r="A644" s="62" t="s">
        <v>1026</v>
      </c>
      <c r="B644" s="58">
        <v>38532326803</v>
      </c>
      <c r="C644" s="63"/>
      <c r="D644" s="60"/>
      <c r="E644" s="9">
        <v>810</v>
      </c>
      <c r="F644" s="25">
        <v>42915</v>
      </c>
      <c r="G644" s="61" t="s">
        <v>13</v>
      </c>
      <c r="H644" s="9"/>
      <c r="I644" s="8"/>
      <c r="J644" s="8"/>
      <c r="K644" s="8"/>
      <c r="L644" s="9" t="s">
        <v>138</v>
      </c>
      <c r="M644" s="8"/>
    </row>
    <row r="645" spans="1:13">
      <c r="A645" s="13" t="s">
        <v>1027</v>
      </c>
      <c r="B645" s="58">
        <v>40338986898</v>
      </c>
      <c r="C645" s="63"/>
      <c r="D645" s="60"/>
      <c r="E645" s="9">
        <v>1350</v>
      </c>
      <c r="F645" s="25">
        <v>43006</v>
      </c>
      <c r="G645" s="61" t="s">
        <v>13</v>
      </c>
      <c r="H645" s="9"/>
      <c r="I645" s="8"/>
      <c r="J645" s="8"/>
      <c r="K645" s="8"/>
      <c r="L645" s="8"/>
      <c r="M645" s="8"/>
    </row>
    <row r="646" spans="1:13">
      <c r="A646" s="27" t="s">
        <v>1028</v>
      </c>
      <c r="B646" s="58"/>
      <c r="C646" s="18" t="s">
        <v>129</v>
      </c>
      <c r="D646" s="60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62" t="s">
        <v>1029</v>
      </c>
      <c r="B647" s="58">
        <v>2109588551</v>
      </c>
      <c r="C647" s="63"/>
      <c r="D647" s="60"/>
      <c r="E647" s="9">
        <v>1570</v>
      </c>
      <c r="F647" s="25">
        <v>43055</v>
      </c>
      <c r="G647" s="61" t="s">
        <v>13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1030</v>
      </c>
      <c r="B648" s="58">
        <v>47718625400</v>
      </c>
      <c r="C648" s="63"/>
      <c r="D648" s="60"/>
      <c r="E648" s="9">
        <v>85</v>
      </c>
      <c r="F648" s="25">
        <v>43109</v>
      </c>
      <c r="G648" s="61" t="s">
        <v>13</v>
      </c>
      <c r="H648" s="25">
        <v>43151</v>
      </c>
      <c r="I648" s="8"/>
      <c r="J648" s="8"/>
      <c r="K648" s="8"/>
      <c r="L648" s="8"/>
      <c r="M648" s="8"/>
    </row>
    <row r="649" spans="1:13">
      <c r="A649" s="62" t="s">
        <v>1031</v>
      </c>
      <c r="B649" s="58">
        <v>22622695802</v>
      </c>
      <c r="C649" s="63"/>
      <c r="D649" s="60"/>
      <c r="E649" s="9"/>
      <c r="F649" s="25"/>
      <c r="G649" s="61"/>
      <c r="H649" s="9"/>
      <c r="I649" s="8"/>
      <c r="J649" s="8"/>
      <c r="K649" s="8"/>
      <c r="L649" s="8"/>
      <c r="M649" s="8"/>
    </row>
    <row r="650" spans="1:13">
      <c r="A650" s="62" t="s">
        <v>1032</v>
      </c>
      <c r="B650" s="58">
        <v>80234836334</v>
      </c>
      <c r="C650" s="63" t="s">
        <v>1033</v>
      </c>
      <c r="D650" s="60">
        <v>22522250841</v>
      </c>
      <c r="E650" s="9">
        <v>1267</v>
      </c>
      <c r="F650" s="25">
        <v>42998</v>
      </c>
      <c r="G650" s="61" t="s">
        <v>13</v>
      </c>
      <c r="H650" s="9"/>
      <c r="I650" s="8"/>
      <c r="J650" s="8"/>
      <c r="K650" s="8"/>
      <c r="L650" s="8"/>
      <c r="M650" s="8"/>
    </row>
    <row r="651" spans="1:13">
      <c r="A651" s="62" t="s">
        <v>1034</v>
      </c>
      <c r="B651" s="58">
        <v>40468831894</v>
      </c>
      <c r="C651" s="63"/>
      <c r="D651" s="60"/>
      <c r="E651" s="9">
        <v>608</v>
      </c>
      <c r="F651" s="25">
        <v>43012</v>
      </c>
      <c r="G651" s="61" t="s">
        <v>13</v>
      </c>
      <c r="H651" s="9"/>
      <c r="I651" s="8"/>
      <c r="J651" s="8"/>
      <c r="K651" s="8"/>
      <c r="L651" s="8"/>
      <c r="M651" s="8"/>
    </row>
    <row r="652" spans="1:13">
      <c r="A652" s="62" t="s">
        <v>1035</v>
      </c>
      <c r="B652" s="58">
        <v>14890501835</v>
      </c>
      <c r="C652" s="63"/>
      <c r="D652" s="60"/>
      <c r="E652" s="9">
        <v>1824</v>
      </c>
      <c r="F652" s="25">
        <v>43091</v>
      </c>
      <c r="G652" s="61" t="s">
        <v>13</v>
      </c>
      <c r="H652" s="9"/>
      <c r="I652" s="8"/>
      <c r="J652" s="8"/>
      <c r="K652" s="8"/>
      <c r="L652" s="9">
        <v>1828</v>
      </c>
      <c r="M652" s="8"/>
    </row>
    <row r="653" spans="1:13">
      <c r="A653" s="62" t="s">
        <v>1036</v>
      </c>
      <c r="B653" s="58">
        <v>11253287899</v>
      </c>
      <c r="C653" s="68"/>
      <c r="D653" s="60"/>
      <c r="E653" s="9"/>
      <c r="F653" s="25"/>
      <c r="G653" s="61"/>
      <c r="H653" s="9"/>
      <c r="I653" s="8"/>
      <c r="J653" s="8"/>
      <c r="K653" s="8"/>
      <c r="L653" s="8"/>
      <c r="M653" s="8"/>
    </row>
    <row r="654" spans="1:13">
      <c r="A654" s="15" t="s">
        <v>1037</v>
      </c>
      <c r="B654" s="58">
        <v>49796909634</v>
      </c>
      <c r="C654" s="63"/>
      <c r="D654" s="60"/>
      <c r="E654" s="9">
        <v>229</v>
      </c>
      <c r="F654" s="25">
        <v>43151</v>
      </c>
      <c r="G654" s="61" t="s">
        <v>13</v>
      </c>
      <c r="H654" s="9"/>
      <c r="I654" s="8"/>
      <c r="J654" s="8"/>
      <c r="K654" s="8"/>
      <c r="L654" s="9">
        <v>232</v>
      </c>
      <c r="M654" s="8"/>
    </row>
    <row r="655" spans="1:13">
      <c r="A655" s="63" t="s">
        <v>1038</v>
      </c>
      <c r="B655" s="58">
        <v>7385460895</v>
      </c>
      <c r="C655" s="63" t="s">
        <v>1039</v>
      </c>
      <c r="D655" s="60">
        <v>14764593807</v>
      </c>
      <c r="E655" s="9"/>
      <c r="F655" s="25"/>
      <c r="G655" s="61"/>
      <c r="H655" s="9"/>
      <c r="I655" s="8"/>
      <c r="J655" s="8"/>
      <c r="K655" s="8"/>
      <c r="L655" s="8"/>
      <c r="M655" s="8"/>
    </row>
    <row r="656" spans="1:13">
      <c r="A656" s="18" t="s">
        <v>1040</v>
      </c>
      <c r="B656" s="58">
        <v>31828009814</v>
      </c>
      <c r="C656" s="18" t="s">
        <v>1041</v>
      </c>
      <c r="D656" s="60">
        <v>21427993882</v>
      </c>
      <c r="E656" s="9"/>
      <c r="F656" s="25"/>
      <c r="G656" s="61"/>
      <c r="H656" s="9"/>
      <c r="I656" s="8"/>
      <c r="J656" s="8"/>
      <c r="K656" s="8"/>
      <c r="L656" s="8"/>
      <c r="M656" s="8"/>
    </row>
    <row r="657" spans="1:13">
      <c r="A657" s="62" t="s">
        <v>1042</v>
      </c>
      <c r="B657" s="58">
        <v>4377674420</v>
      </c>
      <c r="C657" s="63"/>
      <c r="D657" s="60"/>
      <c r="E657" s="9">
        <v>1214</v>
      </c>
      <c r="F657" s="25">
        <v>42989</v>
      </c>
      <c r="G657" s="61" t="s">
        <v>13</v>
      </c>
      <c r="H657" s="9"/>
      <c r="I657" s="8"/>
      <c r="J657" s="8"/>
      <c r="K657" s="8"/>
      <c r="L657" s="8"/>
      <c r="M657" s="8"/>
    </row>
    <row r="658" spans="1:13">
      <c r="A658" s="62" t="s">
        <v>1043</v>
      </c>
      <c r="B658" s="58">
        <v>15090098840</v>
      </c>
      <c r="C658" s="63" t="s">
        <v>1044</v>
      </c>
      <c r="D658" s="60">
        <v>3376233845</v>
      </c>
      <c r="E658" s="9">
        <v>1752</v>
      </c>
      <c r="F658" s="25">
        <v>43051</v>
      </c>
      <c r="G658" s="61" t="s">
        <v>13</v>
      </c>
      <c r="H658" s="9"/>
      <c r="I658" s="8"/>
      <c r="J658" s="8"/>
      <c r="K658" s="8"/>
      <c r="L658" s="9">
        <v>1759</v>
      </c>
      <c r="M658" s="8"/>
    </row>
    <row r="659" spans="1:13">
      <c r="A659" s="62" t="s">
        <v>1045</v>
      </c>
      <c r="B659" s="58">
        <v>27271183841</v>
      </c>
      <c r="C659" s="63"/>
      <c r="D659" s="60"/>
      <c r="E659" s="9">
        <v>1214</v>
      </c>
      <c r="F659" s="25">
        <v>42989</v>
      </c>
      <c r="G659" s="61" t="s">
        <v>13</v>
      </c>
      <c r="H659" s="9"/>
      <c r="I659" s="8"/>
      <c r="J659" s="8"/>
      <c r="K659" s="8"/>
      <c r="L659" s="8"/>
      <c r="M659" s="8"/>
    </row>
    <row r="660" spans="1:13">
      <c r="A660" s="62" t="s">
        <v>1046</v>
      </c>
      <c r="B660" s="58">
        <v>30652965865</v>
      </c>
      <c r="C660" s="63" t="s">
        <v>1047</v>
      </c>
      <c r="D660" s="60">
        <v>23330127813</v>
      </c>
      <c r="E660" s="9">
        <v>1214</v>
      </c>
      <c r="F660" s="25">
        <v>42989</v>
      </c>
      <c r="G660" s="61" t="s">
        <v>13</v>
      </c>
      <c r="H660" s="9"/>
      <c r="I660" s="8"/>
      <c r="J660" s="8"/>
      <c r="K660" s="8"/>
      <c r="L660" s="8"/>
      <c r="M660" s="8"/>
    </row>
    <row r="661" spans="1:13">
      <c r="A661" s="14" t="s">
        <v>1048</v>
      </c>
      <c r="B661" s="58">
        <v>8589565866</v>
      </c>
      <c r="C661" s="63"/>
      <c r="D661" s="60"/>
      <c r="E661" s="9">
        <v>262</v>
      </c>
      <c r="F661" s="25">
        <v>43160</v>
      </c>
      <c r="G661" s="61" t="s">
        <v>13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63" t="s">
        <v>1049</v>
      </c>
      <c r="B662" s="58">
        <v>24314625520</v>
      </c>
      <c r="C662" s="63"/>
      <c r="D662" s="60"/>
      <c r="E662" s="9"/>
      <c r="F662" s="25"/>
      <c r="G662" s="61"/>
      <c r="H662" s="9"/>
      <c r="I662" s="8"/>
      <c r="J662" s="8"/>
      <c r="K662" s="8"/>
      <c r="L662" s="8"/>
      <c r="M662" s="8"/>
    </row>
    <row r="663" spans="1:13">
      <c r="A663" s="15" t="s">
        <v>1050</v>
      </c>
      <c r="B663" s="58">
        <v>97060550887</v>
      </c>
      <c r="C663" s="63"/>
      <c r="D663" s="60"/>
      <c r="E663" s="9">
        <v>262</v>
      </c>
      <c r="F663" s="25">
        <v>43160</v>
      </c>
      <c r="G663" s="61" t="s">
        <v>13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62" t="s">
        <v>1051</v>
      </c>
      <c r="B664" s="58">
        <v>41327735822</v>
      </c>
      <c r="C664" s="68"/>
      <c r="D664" s="60"/>
      <c r="E664" s="9">
        <v>563</v>
      </c>
      <c r="F664" s="25">
        <v>43217</v>
      </c>
      <c r="G664" s="61"/>
      <c r="H664" s="9"/>
      <c r="I664" s="8"/>
      <c r="J664" s="8"/>
      <c r="K664" s="8"/>
      <c r="L664" s="9" t="s">
        <v>299</v>
      </c>
      <c r="M664" s="8"/>
    </row>
    <row r="665" spans="1:13">
      <c r="A665" s="62" t="s">
        <v>1052</v>
      </c>
      <c r="B665" s="58">
        <v>14052918851</v>
      </c>
      <c r="C665" s="63"/>
      <c r="D665" s="60"/>
      <c r="E665" s="9">
        <v>1106</v>
      </c>
      <c r="F665" s="25">
        <v>42965</v>
      </c>
      <c r="G665" s="61" t="s">
        <v>13</v>
      </c>
      <c r="H665" s="9"/>
      <c r="I665" s="8"/>
      <c r="J665" s="8"/>
      <c r="K665" s="8"/>
      <c r="L665" s="8"/>
      <c r="M665" s="8"/>
    </row>
    <row r="666" spans="1:13">
      <c r="A666" s="13" t="s">
        <v>1053</v>
      </c>
      <c r="B666" s="58">
        <v>40699288800</v>
      </c>
      <c r="C666" s="63"/>
      <c r="D666" s="60"/>
      <c r="E666" s="9">
        <v>1350</v>
      </c>
      <c r="F666" s="25">
        <v>43006</v>
      </c>
      <c r="G666" s="61" t="s">
        <v>13</v>
      </c>
      <c r="H666" s="9"/>
      <c r="I666" s="8"/>
      <c r="J666" s="8"/>
      <c r="K666" s="8"/>
      <c r="L666" s="8"/>
      <c r="M666" s="8"/>
    </row>
    <row r="667" spans="1:13">
      <c r="A667" s="62" t="s">
        <v>1054</v>
      </c>
      <c r="B667" s="58">
        <v>39898491825</v>
      </c>
      <c r="C667" s="63" t="s">
        <v>1055</v>
      </c>
      <c r="D667" s="60">
        <v>29869949894</v>
      </c>
      <c r="E667" s="9">
        <v>1214</v>
      </c>
      <c r="F667" s="25">
        <v>42989</v>
      </c>
      <c r="G667" s="61"/>
      <c r="H667" s="9"/>
      <c r="I667" s="8"/>
      <c r="J667" s="8"/>
      <c r="K667" s="8"/>
      <c r="L667" s="8"/>
      <c r="M667" s="8"/>
    </row>
    <row r="668" spans="1:13">
      <c r="A668" s="27" t="s">
        <v>1056</v>
      </c>
      <c r="B668" s="58">
        <v>96629428587</v>
      </c>
      <c r="C668" s="27" t="s">
        <v>1057</v>
      </c>
      <c r="D668" s="60">
        <v>47750391568</v>
      </c>
      <c r="E668" s="9"/>
      <c r="F668" s="25"/>
      <c r="G668" s="61"/>
      <c r="H668" s="9"/>
      <c r="I668" s="8"/>
      <c r="J668" s="8"/>
      <c r="K668" s="8"/>
      <c r="L668" s="8"/>
      <c r="M668" s="8"/>
    </row>
    <row r="669" spans="1:13">
      <c r="A669" s="62" t="s">
        <v>1058</v>
      </c>
      <c r="B669" s="58">
        <v>7383235860</v>
      </c>
      <c r="C669" s="63"/>
      <c r="D669" s="60"/>
      <c r="E669" s="9">
        <v>1752</v>
      </c>
      <c r="F669" s="25">
        <v>43051</v>
      </c>
      <c r="G669" s="61" t="s">
        <v>13</v>
      </c>
      <c r="H669" s="9"/>
      <c r="I669" s="8"/>
      <c r="J669" s="8"/>
      <c r="K669" s="8"/>
      <c r="L669" s="9">
        <v>1759</v>
      </c>
      <c r="M669" s="8"/>
    </row>
    <row r="670" spans="1:13">
      <c r="A670" s="62" t="s">
        <v>1059</v>
      </c>
      <c r="B670" s="58">
        <v>31620089807</v>
      </c>
      <c r="C670" s="63"/>
      <c r="D670" s="60"/>
      <c r="E670" s="9">
        <v>423</v>
      </c>
      <c r="F670" s="25">
        <v>43182</v>
      </c>
      <c r="G670" s="61" t="s">
        <v>13</v>
      </c>
      <c r="H670" s="9"/>
      <c r="I670" s="8"/>
      <c r="J670" s="8"/>
      <c r="K670" s="8"/>
      <c r="L670" s="8"/>
      <c r="M670" s="8"/>
    </row>
    <row r="671" spans="1:13">
      <c r="A671" s="14" t="s">
        <v>1060</v>
      </c>
      <c r="B671" s="58">
        <v>47371597869</v>
      </c>
      <c r="C671" s="63"/>
      <c r="D671" s="60"/>
      <c r="E671" s="9"/>
      <c r="F671" s="25"/>
      <c r="G671" s="61"/>
      <c r="H671" s="9"/>
      <c r="I671" s="8"/>
      <c r="J671" s="8"/>
      <c r="K671" s="8"/>
      <c r="L671" s="8"/>
      <c r="M671" s="8"/>
    </row>
    <row r="672" spans="1:13">
      <c r="A672" s="13" t="s">
        <v>1061</v>
      </c>
      <c r="B672" s="58">
        <v>29155768822</v>
      </c>
      <c r="C672" s="63"/>
      <c r="D672" s="60"/>
      <c r="E672" s="9">
        <v>1417</v>
      </c>
      <c r="F672" s="25">
        <v>43017</v>
      </c>
      <c r="G672" s="61" t="s">
        <v>13</v>
      </c>
      <c r="H672" s="9"/>
      <c r="I672" s="8"/>
      <c r="J672" s="8"/>
      <c r="K672" s="8"/>
      <c r="L672" s="9" t="s">
        <v>253</v>
      </c>
      <c r="M672" s="8"/>
    </row>
    <row r="673" spans="1:13">
      <c r="A673" s="62" t="s">
        <v>1062</v>
      </c>
      <c r="B673" s="58">
        <v>16642039823</v>
      </c>
      <c r="C673" s="63"/>
      <c r="D673" s="60"/>
      <c r="E673" s="9">
        <v>262</v>
      </c>
      <c r="F673" s="25">
        <v>43160</v>
      </c>
      <c r="G673" s="61" t="s">
        <v>13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1063</v>
      </c>
      <c r="B674" s="58">
        <v>11438313810</v>
      </c>
      <c r="C674" s="63" t="s">
        <v>1064</v>
      </c>
      <c r="D674" s="60">
        <v>11400812844</v>
      </c>
      <c r="E674" s="9">
        <v>292</v>
      </c>
      <c r="F674" s="25">
        <v>43168</v>
      </c>
      <c r="G674" s="61" t="s">
        <v>13</v>
      </c>
      <c r="H674" s="9"/>
      <c r="I674" s="8"/>
      <c r="J674" s="8"/>
      <c r="K674" s="8"/>
      <c r="L674" s="9">
        <v>318</v>
      </c>
      <c r="M674" s="8"/>
    </row>
    <row r="675" spans="1:13">
      <c r="A675" s="62" t="s">
        <v>1065</v>
      </c>
      <c r="B675" s="58">
        <v>11958981850</v>
      </c>
      <c r="C675" s="63"/>
      <c r="D675" s="60"/>
      <c r="E675" s="9">
        <v>485</v>
      </c>
      <c r="F675" s="25">
        <v>43196</v>
      </c>
      <c r="G675" s="61"/>
      <c r="H675" s="9"/>
      <c r="I675" s="8"/>
      <c r="J675" s="8"/>
      <c r="K675" s="8"/>
      <c r="L675" s="9">
        <v>483</v>
      </c>
      <c r="M675" s="8"/>
    </row>
    <row r="676" spans="1:13">
      <c r="A676" s="13" t="s">
        <v>1066</v>
      </c>
      <c r="B676" s="58">
        <v>25786185850</v>
      </c>
      <c r="C676" s="63"/>
      <c r="D676" s="60"/>
      <c r="E676" s="9">
        <v>1350</v>
      </c>
      <c r="F676" s="25">
        <v>43006</v>
      </c>
      <c r="G676" s="61" t="s">
        <v>13</v>
      </c>
      <c r="H676" s="9"/>
      <c r="I676" s="8"/>
      <c r="J676" s="8"/>
      <c r="K676" s="8"/>
      <c r="L676" s="8"/>
      <c r="M676" s="8"/>
    </row>
    <row r="677" spans="1:13">
      <c r="A677" s="14" t="s">
        <v>1067</v>
      </c>
      <c r="B677" s="58">
        <v>16308413828</v>
      </c>
      <c r="C677" s="63"/>
      <c r="D677" s="60"/>
      <c r="E677" s="9">
        <v>262</v>
      </c>
      <c r="F677" s="25">
        <v>43160</v>
      </c>
      <c r="G677" s="61" t="s">
        <v>13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62" t="s">
        <v>1068</v>
      </c>
      <c r="B678" s="58"/>
      <c r="C678" s="63"/>
      <c r="D678" s="60"/>
      <c r="E678" s="9"/>
      <c r="F678" s="25"/>
      <c r="G678" s="61"/>
      <c r="H678" s="9"/>
      <c r="I678" s="8"/>
      <c r="J678" s="8"/>
      <c r="K678" s="8"/>
      <c r="L678" s="8"/>
      <c r="M678" s="8"/>
    </row>
    <row r="679" spans="1:13">
      <c r="A679" s="62" t="s">
        <v>1069</v>
      </c>
      <c r="B679" s="58">
        <v>32739551800</v>
      </c>
      <c r="C679" s="63"/>
      <c r="D679" s="60"/>
      <c r="E679" s="9"/>
      <c r="F679" s="25"/>
      <c r="G679" s="61"/>
      <c r="H679" s="9"/>
      <c r="I679" s="8"/>
      <c r="J679" s="8"/>
      <c r="K679" s="8"/>
      <c r="L679" s="8"/>
      <c r="M679" s="8"/>
    </row>
    <row r="680" spans="1:13">
      <c r="A680" s="15" t="s">
        <v>1070</v>
      </c>
      <c r="B680" s="58">
        <v>10756997895</v>
      </c>
      <c r="C680" s="63"/>
      <c r="D680" s="60"/>
      <c r="E680" s="9">
        <v>229</v>
      </c>
      <c r="F680" s="25">
        <v>43151</v>
      </c>
      <c r="G680" s="61" t="s">
        <v>13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1071</v>
      </c>
      <c r="B681" s="32">
        <v>31970473894</v>
      </c>
      <c r="C681" s="17" t="s">
        <v>1072</v>
      </c>
      <c r="D681" s="33">
        <v>22945039885</v>
      </c>
      <c r="E681" s="34">
        <v>1128</v>
      </c>
      <c r="F681" s="35">
        <v>42972</v>
      </c>
      <c r="G681" s="36" t="s">
        <v>13</v>
      </c>
      <c r="H681" s="9"/>
      <c r="I681" s="8"/>
      <c r="J681" s="8"/>
      <c r="K681" s="8"/>
      <c r="L681" s="8"/>
      <c r="M681" s="8"/>
    </row>
    <row r="682" spans="1:13">
      <c r="A682" s="63" t="s">
        <v>1073</v>
      </c>
      <c r="B682" s="58">
        <v>29486419850</v>
      </c>
      <c r="C682" s="63" t="s">
        <v>1074</v>
      </c>
      <c r="D682" s="60">
        <v>4523976694</v>
      </c>
      <c r="E682" s="9"/>
      <c r="F682" s="25"/>
      <c r="G682" s="61"/>
      <c r="H682" s="9"/>
      <c r="I682" s="8"/>
      <c r="J682" s="8"/>
      <c r="K682" s="8"/>
      <c r="L682" s="8"/>
      <c r="M682" s="8"/>
    </row>
    <row r="683" spans="1:13">
      <c r="A683" s="62" t="s">
        <v>1075</v>
      </c>
      <c r="B683" s="58">
        <v>73699993272</v>
      </c>
      <c r="C683" s="63" t="s">
        <v>1076</v>
      </c>
      <c r="D683" s="60">
        <v>76412997253</v>
      </c>
      <c r="E683" s="9">
        <v>292</v>
      </c>
      <c r="F683" s="25">
        <v>43168</v>
      </c>
      <c r="G683" s="61"/>
      <c r="H683" s="9"/>
      <c r="I683" s="8"/>
      <c r="J683" s="8"/>
      <c r="K683" s="8"/>
      <c r="L683" s="9">
        <v>318</v>
      </c>
      <c r="M683" s="8"/>
    </row>
    <row r="684" spans="1:13">
      <c r="A684" s="62" t="s">
        <v>1077</v>
      </c>
      <c r="B684" s="58">
        <v>32024237894</v>
      </c>
      <c r="C684" s="63"/>
      <c r="D684" s="60"/>
      <c r="E684" s="9">
        <v>262</v>
      </c>
      <c r="F684" s="25">
        <v>43160</v>
      </c>
      <c r="G684" s="61" t="s">
        <v>13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62" t="s">
        <v>1078</v>
      </c>
      <c r="B685" s="58">
        <v>34833459817</v>
      </c>
      <c r="C685" s="59" t="s">
        <v>1079</v>
      </c>
      <c r="D685" s="60">
        <v>32077064870</v>
      </c>
      <c r="E685" s="9">
        <v>1128</v>
      </c>
      <c r="F685" s="25">
        <v>42972</v>
      </c>
      <c r="G685" s="61" t="s">
        <v>13</v>
      </c>
      <c r="H685" s="9"/>
      <c r="I685" s="8"/>
      <c r="J685" s="8"/>
      <c r="K685" s="8"/>
      <c r="L685" s="8"/>
      <c r="M685" s="8"/>
    </row>
    <row r="686" spans="1:13">
      <c r="A686" s="13" t="s">
        <v>1080</v>
      </c>
      <c r="B686" s="58">
        <v>15203953880</v>
      </c>
      <c r="C686" s="63" t="s">
        <v>1081</v>
      </c>
      <c r="D686" s="60">
        <v>16339364810</v>
      </c>
      <c r="E686" s="9">
        <v>229</v>
      </c>
      <c r="F686" s="25">
        <v>43151</v>
      </c>
      <c r="G686" s="61" t="s">
        <v>20</v>
      </c>
      <c r="H686" s="9"/>
      <c r="I686" s="8"/>
      <c r="J686" s="8"/>
      <c r="K686" s="8"/>
      <c r="L686" s="9">
        <v>232</v>
      </c>
      <c r="M686" s="8"/>
    </row>
    <row r="687" spans="1:13">
      <c r="A687" s="62" t="s">
        <v>1082</v>
      </c>
      <c r="B687" s="58">
        <v>23891239882</v>
      </c>
      <c r="C687" s="63" t="s">
        <v>1083</v>
      </c>
      <c r="D687" s="60">
        <v>22474449892</v>
      </c>
      <c r="E687" s="9">
        <v>1555</v>
      </c>
      <c r="F687" s="25">
        <v>43049</v>
      </c>
      <c r="G687" s="61" t="s">
        <v>13</v>
      </c>
      <c r="H687" s="9"/>
      <c r="I687" s="8"/>
      <c r="J687" s="8"/>
      <c r="K687" s="8"/>
      <c r="L687" s="9" t="s">
        <v>398</v>
      </c>
      <c r="M687" s="8"/>
    </row>
    <row r="688" spans="1:13">
      <c r="A688" s="15" t="s">
        <v>1084</v>
      </c>
      <c r="B688" s="58">
        <v>376349506</v>
      </c>
      <c r="C688" s="8"/>
      <c r="D688" s="21"/>
      <c r="E688" s="9">
        <v>262</v>
      </c>
      <c r="F688" s="25">
        <v>43160</v>
      </c>
      <c r="G688" s="61" t="s">
        <v>13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62" t="s">
        <v>1085</v>
      </c>
      <c r="B689" s="58">
        <v>19441854883</v>
      </c>
      <c r="C689" s="63"/>
      <c r="D689" s="60"/>
      <c r="E689" s="9">
        <v>810</v>
      </c>
      <c r="F689" s="25">
        <v>42915</v>
      </c>
      <c r="G689" s="61" t="s">
        <v>13</v>
      </c>
      <c r="H689" s="9"/>
      <c r="I689" s="8"/>
      <c r="J689" s="8"/>
      <c r="K689" s="8"/>
      <c r="L689" s="9" t="s">
        <v>138</v>
      </c>
      <c r="M689" s="8"/>
    </row>
    <row r="690" spans="1:13">
      <c r="A690" s="63" t="s">
        <v>1086</v>
      </c>
      <c r="B690" s="58">
        <v>18274701860</v>
      </c>
      <c r="C690" s="63"/>
      <c r="D690" s="60"/>
      <c r="E690" s="9">
        <v>563</v>
      </c>
      <c r="F690" s="25">
        <v>43217</v>
      </c>
      <c r="G690" s="61"/>
      <c r="H690" s="9"/>
      <c r="I690" s="8"/>
      <c r="J690" s="8"/>
      <c r="K690" s="8"/>
      <c r="L690" s="9" t="s">
        <v>299</v>
      </c>
      <c r="M690" s="8"/>
    </row>
    <row r="691" spans="1:13">
      <c r="A691" s="13" t="s">
        <v>1087</v>
      </c>
      <c r="B691" s="58">
        <v>2232912850</v>
      </c>
      <c r="C691" s="59"/>
      <c r="D691" s="60"/>
      <c r="E691" s="9">
        <v>1451</v>
      </c>
      <c r="F691" s="25">
        <v>43027</v>
      </c>
      <c r="G691" s="61" t="s">
        <v>13</v>
      </c>
      <c r="H691" s="9"/>
      <c r="I691" s="8"/>
      <c r="J691" s="8"/>
      <c r="K691" s="8"/>
      <c r="L691" s="8"/>
      <c r="M691" s="8"/>
    </row>
    <row r="692" spans="1:13">
      <c r="A692" s="28" t="s">
        <v>1088</v>
      </c>
      <c r="B692" s="58">
        <v>80372481515</v>
      </c>
      <c r="C692" s="63"/>
      <c r="D692" s="60"/>
      <c r="E692" s="9"/>
      <c r="F692" s="25"/>
      <c r="G692" s="61"/>
      <c r="H692" s="9"/>
      <c r="I692" s="8"/>
      <c r="J692" s="8"/>
      <c r="K692" s="8"/>
      <c r="L692" s="8"/>
      <c r="M692" s="8"/>
    </row>
    <row r="693" spans="1:13">
      <c r="A693" s="14" t="s">
        <v>1089</v>
      </c>
      <c r="B693" s="58">
        <v>27052527898</v>
      </c>
      <c r="C693" s="63"/>
      <c r="D693" s="60"/>
      <c r="E693" s="9">
        <v>292</v>
      </c>
      <c r="F693" s="25">
        <v>43168</v>
      </c>
      <c r="G693" s="61" t="s">
        <v>13</v>
      </c>
      <c r="H693" s="9"/>
      <c r="I693" s="8"/>
      <c r="J693" s="8"/>
      <c r="K693" s="8"/>
      <c r="L693" s="9">
        <v>318</v>
      </c>
      <c r="M693" s="8"/>
    </row>
    <row r="694" spans="1:13">
      <c r="A694" s="62" t="s">
        <v>1090</v>
      </c>
      <c r="B694" s="58">
        <v>37665282890</v>
      </c>
      <c r="C694" s="63"/>
      <c r="D694" s="60"/>
      <c r="E694" s="9">
        <v>527</v>
      </c>
      <c r="F694" s="25">
        <v>43210</v>
      </c>
      <c r="G694" s="61"/>
      <c r="H694" s="9"/>
      <c r="I694" s="8"/>
      <c r="J694" s="8"/>
      <c r="K694" s="8"/>
      <c r="L694" s="9">
        <v>528</v>
      </c>
      <c r="M694" s="8"/>
    </row>
    <row r="695" spans="1:13">
      <c r="A695" s="62" t="s">
        <v>1091</v>
      </c>
      <c r="B695" s="58">
        <v>82606935420</v>
      </c>
      <c r="C695" s="63"/>
      <c r="D695" s="60"/>
      <c r="E695" s="9">
        <v>1752</v>
      </c>
      <c r="F695" s="25">
        <v>43051</v>
      </c>
      <c r="G695" s="61" t="s">
        <v>13</v>
      </c>
      <c r="H695" s="9"/>
      <c r="I695" s="8"/>
      <c r="J695" s="8"/>
      <c r="K695" s="8"/>
      <c r="L695" s="9">
        <v>1759</v>
      </c>
      <c r="M695" s="8"/>
    </row>
    <row r="696" spans="1:13">
      <c r="A696" s="62" t="s">
        <v>1092</v>
      </c>
      <c r="B696" s="58">
        <v>58736212504</v>
      </c>
      <c r="C696" s="63"/>
      <c r="D696" s="60"/>
      <c r="E696" s="9">
        <v>423</v>
      </c>
      <c r="F696" s="25">
        <v>43182</v>
      </c>
      <c r="G696" s="61" t="s">
        <v>20</v>
      </c>
      <c r="H696" s="9"/>
      <c r="I696" s="8"/>
      <c r="J696" s="8"/>
      <c r="K696" s="8"/>
      <c r="L696" s="8"/>
      <c r="M696" s="8"/>
    </row>
    <row r="697" spans="1:13">
      <c r="A697" s="62" t="s">
        <v>1093</v>
      </c>
      <c r="B697" s="58">
        <v>25950866851</v>
      </c>
      <c r="C697" s="63"/>
      <c r="D697" s="60"/>
      <c r="E697" s="9">
        <v>1214</v>
      </c>
      <c r="F697" s="25">
        <v>42989</v>
      </c>
      <c r="G697" s="61" t="s">
        <v>13</v>
      </c>
      <c r="H697" s="9"/>
      <c r="I697" s="8"/>
      <c r="J697" s="8"/>
      <c r="K697" s="8"/>
      <c r="L697" s="8"/>
      <c r="M697" s="8"/>
    </row>
    <row r="698" spans="1:13">
      <c r="A698" s="62" t="s">
        <v>1094</v>
      </c>
      <c r="B698" s="58">
        <v>78094780444</v>
      </c>
      <c r="C698" s="63"/>
      <c r="D698" s="60"/>
      <c r="E698" s="9">
        <v>810</v>
      </c>
      <c r="F698" s="25">
        <v>42915</v>
      </c>
      <c r="G698" s="61" t="s">
        <v>13</v>
      </c>
      <c r="H698" s="9"/>
      <c r="I698" s="8"/>
      <c r="J698" s="8"/>
      <c r="K698" s="8"/>
      <c r="L698" s="9" t="s">
        <v>138</v>
      </c>
      <c r="M698" s="8"/>
    </row>
    <row r="699" spans="1:13">
      <c r="A699" s="62" t="s">
        <v>1095</v>
      </c>
      <c r="B699" s="58">
        <v>1250276489</v>
      </c>
      <c r="C699" s="63"/>
      <c r="D699" s="60"/>
      <c r="E699" s="9"/>
      <c r="F699" s="25"/>
      <c r="G699" s="61"/>
      <c r="H699" s="9"/>
      <c r="I699" s="8"/>
      <c r="J699" s="8"/>
      <c r="K699" s="8"/>
      <c r="L699" s="8"/>
      <c r="M699" s="8"/>
    </row>
    <row r="700" spans="1:13">
      <c r="A700" s="13" t="s">
        <v>1096</v>
      </c>
      <c r="B700" s="58">
        <v>27030694805</v>
      </c>
      <c r="C700" s="59"/>
      <c r="D700" s="60"/>
      <c r="E700" s="9">
        <v>1489</v>
      </c>
      <c r="F700" s="25">
        <v>43038</v>
      </c>
      <c r="G700" s="61" t="s">
        <v>13</v>
      </c>
      <c r="H700" s="9"/>
      <c r="I700" s="8"/>
      <c r="J700" s="8"/>
      <c r="K700" s="8"/>
      <c r="L700" s="9" t="s">
        <v>160</v>
      </c>
      <c r="M700" s="8"/>
    </row>
    <row r="701" spans="1:13">
      <c r="A701" s="62" t="s">
        <v>1097</v>
      </c>
      <c r="B701" s="58">
        <v>29329354882</v>
      </c>
      <c r="C701" s="63"/>
      <c r="D701" s="60"/>
      <c r="E701" s="9">
        <v>509</v>
      </c>
      <c r="F701" s="25">
        <v>43203</v>
      </c>
      <c r="G701" s="67"/>
      <c r="H701" s="67">
        <v>43213</v>
      </c>
      <c r="I701" s="8"/>
      <c r="J701" s="8"/>
      <c r="K701" s="8"/>
      <c r="L701" s="8"/>
      <c r="M701" s="8"/>
    </row>
    <row r="702" spans="1:13">
      <c r="A702" s="63" t="s">
        <v>1098</v>
      </c>
      <c r="B702" s="58">
        <v>5057226827</v>
      </c>
      <c r="C702" s="63"/>
      <c r="D702" s="60"/>
      <c r="E702" s="9"/>
      <c r="F702" s="25"/>
      <c r="G702" s="61"/>
      <c r="H702" s="67">
        <v>43213</v>
      </c>
      <c r="I702" s="8"/>
      <c r="J702" s="8"/>
      <c r="K702" s="8"/>
      <c r="L702" s="8"/>
      <c r="M702" s="8"/>
    </row>
    <row r="703" spans="1:13">
      <c r="A703" s="62" t="s">
        <v>1099</v>
      </c>
      <c r="B703" s="58">
        <v>25698933820</v>
      </c>
      <c r="C703" s="63" t="s">
        <v>1100</v>
      </c>
      <c r="D703" s="60">
        <v>14047433837</v>
      </c>
      <c r="E703" s="9">
        <v>810</v>
      </c>
      <c r="F703" s="25">
        <v>42915</v>
      </c>
      <c r="G703" s="61" t="s">
        <v>13</v>
      </c>
      <c r="H703" s="67">
        <v>43213</v>
      </c>
      <c r="I703" s="8"/>
      <c r="J703" s="8"/>
      <c r="K703" s="8"/>
      <c r="L703" s="9" t="s">
        <v>138</v>
      </c>
      <c r="M703" s="8"/>
    </row>
    <row r="704" spans="1:13">
      <c r="A704" s="62" t="s">
        <v>1101</v>
      </c>
      <c r="B704" s="58">
        <v>34806644315</v>
      </c>
      <c r="C704" s="63" t="s">
        <v>1102</v>
      </c>
      <c r="D704" s="60">
        <v>34770240368</v>
      </c>
      <c r="E704" s="9">
        <v>1752</v>
      </c>
      <c r="F704" s="25">
        <v>43051</v>
      </c>
      <c r="G704" s="61"/>
      <c r="H704" s="67">
        <v>43213</v>
      </c>
      <c r="I704" s="8"/>
      <c r="J704" s="8"/>
      <c r="K704" s="8"/>
      <c r="L704" s="9">
        <v>1759</v>
      </c>
      <c r="M704" s="8"/>
    </row>
    <row r="705" spans="1:13">
      <c r="A705" s="62" t="s">
        <v>1103</v>
      </c>
      <c r="B705" s="58">
        <v>33189488886</v>
      </c>
      <c r="C705" s="63" t="s">
        <v>1104</v>
      </c>
      <c r="D705" s="60">
        <v>35085572866</v>
      </c>
      <c r="E705" s="9"/>
      <c r="F705" s="25"/>
      <c r="G705" s="61"/>
      <c r="H705" s="67">
        <v>43213</v>
      </c>
      <c r="I705" s="8"/>
      <c r="J705" s="8"/>
      <c r="K705" s="8"/>
      <c r="L705" s="8"/>
      <c r="M705" s="8"/>
    </row>
    <row r="706" spans="1:13">
      <c r="A706" s="62" t="s">
        <v>1105</v>
      </c>
      <c r="B706" s="58">
        <v>75540959515</v>
      </c>
      <c r="C706" s="63"/>
      <c r="D706" s="60"/>
      <c r="E706" s="9">
        <v>810</v>
      </c>
      <c r="F706" s="25">
        <v>42915</v>
      </c>
      <c r="G706" s="61" t="s">
        <v>13</v>
      </c>
      <c r="H706" s="67">
        <v>43213</v>
      </c>
      <c r="I706" s="8"/>
      <c r="J706" s="8"/>
      <c r="K706" s="8"/>
      <c r="L706" s="9" t="s">
        <v>138</v>
      </c>
      <c r="M706" s="8"/>
    </row>
    <row r="707" spans="1:13">
      <c r="A707" s="62" t="s">
        <v>1106</v>
      </c>
      <c r="B707" s="58">
        <v>38256774860</v>
      </c>
      <c r="C707" s="63"/>
      <c r="D707" s="60"/>
      <c r="E707" s="9">
        <v>1555</v>
      </c>
      <c r="F707" s="25">
        <v>43049</v>
      </c>
      <c r="G707" s="61" t="s">
        <v>13</v>
      </c>
      <c r="H707" s="67">
        <v>43213</v>
      </c>
      <c r="I707" s="8"/>
      <c r="J707" s="8"/>
      <c r="K707" s="8"/>
      <c r="L707" s="9" t="s">
        <v>398</v>
      </c>
      <c r="M707" s="8"/>
    </row>
    <row r="708" spans="1:13">
      <c r="A708" s="13" t="s">
        <v>1107</v>
      </c>
      <c r="B708" s="58">
        <v>28390636549</v>
      </c>
      <c r="C708" s="63" t="s">
        <v>1108</v>
      </c>
      <c r="D708" s="60">
        <v>49042904534</v>
      </c>
      <c r="E708" s="9">
        <v>1343</v>
      </c>
      <c r="F708" s="25">
        <v>43004</v>
      </c>
      <c r="G708" s="61" t="s">
        <v>13</v>
      </c>
      <c r="H708" s="67">
        <v>43213</v>
      </c>
      <c r="I708" s="8"/>
      <c r="J708" s="8"/>
      <c r="K708" s="8"/>
      <c r="L708" s="8"/>
      <c r="M708" s="8"/>
    </row>
    <row r="709" spans="1:13">
      <c r="A709" s="62" t="s">
        <v>1109</v>
      </c>
      <c r="B709" s="58">
        <v>73855529515</v>
      </c>
      <c r="C709" s="63"/>
      <c r="D709" s="60"/>
      <c r="E709" s="9">
        <v>443</v>
      </c>
      <c r="F709" s="25">
        <v>43188</v>
      </c>
      <c r="G709" s="61"/>
      <c r="H709" s="67">
        <v>43213</v>
      </c>
      <c r="I709" s="8"/>
      <c r="J709" s="8"/>
      <c r="K709" s="8"/>
      <c r="L709" s="8"/>
      <c r="M709" s="8"/>
    </row>
    <row r="710" spans="1:13">
      <c r="A710" s="62" t="s">
        <v>1110</v>
      </c>
      <c r="B710" s="58">
        <v>37424392867</v>
      </c>
      <c r="C710" s="63"/>
      <c r="D710" s="60"/>
      <c r="E710" s="9">
        <v>810</v>
      </c>
      <c r="F710" s="25">
        <v>42915</v>
      </c>
      <c r="G710" s="61" t="s">
        <v>13</v>
      </c>
      <c r="H710" s="67">
        <v>43213</v>
      </c>
      <c r="I710" s="8"/>
      <c r="J710" s="8"/>
      <c r="K710" s="8"/>
      <c r="L710" s="9" t="s">
        <v>138</v>
      </c>
      <c r="M710" s="8"/>
    </row>
    <row r="711" spans="1:13">
      <c r="A711" s="62" t="s">
        <v>1111</v>
      </c>
      <c r="B711" s="58">
        <v>27863123534</v>
      </c>
      <c r="C711" s="63" t="s">
        <v>1112</v>
      </c>
      <c r="D711" s="60">
        <v>33480142800</v>
      </c>
      <c r="E711" s="9">
        <v>1214</v>
      </c>
      <c r="F711" s="25">
        <v>42989</v>
      </c>
      <c r="G711" s="61" t="s">
        <v>13</v>
      </c>
      <c r="H711" s="9"/>
      <c r="I711" s="8"/>
      <c r="J711" s="8"/>
      <c r="K711" s="8"/>
      <c r="L711" s="8"/>
      <c r="M711" s="8"/>
    </row>
    <row r="712" spans="1:13">
      <c r="A712" s="63" t="s">
        <v>1113</v>
      </c>
      <c r="B712" s="58">
        <v>39454972804</v>
      </c>
      <c r="C712" s="63" t="s">
        <v>1114</v>
      </c>
      <c r="D712" s="60">
        <v>62833740344</v>
      </c>
      <c r="E712" s="9">
        <v>485</v>
      </c>
      <c r="F712" s="25">
        <v>43196</v>
      </c>
      <c r="G712" s="61"/>
      <c r="H712" s="9"/>
      <c r="I712" s="8"/>
      <c r="J712" s="8"/>
      <c r="K712" s="8"/>
      <c r="L712" s="9">
        <v>483</v>
      </c>
      <c r="M712" s="8"/>
    </row>
    <row r="713" spans="1:13">
      <c r="A713" s="27" t="s">
        <v>1115</v>
      </c>
      <c r="B713" s="58"/>
      <c r="C713" s="27" t="s">
        <v>1116</v>
      </c>
      <c r="D713" s="60"/>
      <c r="E713" s="9"/>
      <c r="F713" s="25"/>
      <c r="G713" s="61"/>
      <c r="H713" s="9"/>
      <c r="I713" s="8"/>
      <c r="J713" s="8"/>
      <c r="K713" s="8"/>
      <c r="L713" s="8"/>
      <c r="M713" s="8"/>
    </row>
    <row r="714" spans="1:13">
      <c r="A714" s="62" t="s">
        <v>1117</v>
      </c>
      <c r="B714" s="58">
        <v>34175637800</v>
      </c>
      <c r="C714" s="63"/>
      <c r="D714" s="60"/>
      <c r="E714" s="9">
        <v>1267</v>
      </c>
      <c r="F714" s="25">
        <v>42998</v>
      </c>
      <c r="G714" s="61" t="s">
        <v>13</v>
      </c>
      <c r="H714" s="9"/>
      <c r="I714" s="8"/>
      <c r="J714" s="8"/>
      <c r="K714" s="8"/>
      <c r="L714" s="8"/>
      <c r="M714" s="8"/>
    </row>
    <row r="715" spans="1:13">
      <c r="A715" s="15" t="s">
        <v>1118</v>
      </c>
      <c r="B715" s="58">
        <v>28953066808</v>
      </c>
      <c r="C715" s="63"/>
      <c r="D715" s="60"/>
      <c r="E715" s="9">
        <v>229</v>
      </c>
      <c r="F715" s="25">
        <v>43151</v>
      </c>
      <c r="G715" s="61" t="s">
        <v>13</v>
      </c>
      <c r="H715" s="9"/>
      <c r="I715" s="8"/>
      <c r="J715" s="8"/>
      <c r="K715" s="8"/>
      <c r="L715" s="9">
        <v>232</v>
      </c>
      <c r="M715" s="8"/>
    </row>
    <row r="716" spans="1:13">
      <c r="A716" s="62" t="s">
        <v>1119</v>
      </c>
      <c r="B716" s="58">
        <v>17810014803</v>
      </c>
      <c r="C716" s="63" t="s">
        <v>1120</v>
      </c>
      <c r="D716" s="60">
        <v>28934526807</v>
      </c>
      <c r="E716" s="9">
        <v>292</v>
      </c>
      <c r="F716" s="25">
        <v>43168</v>
      </c>
      <c r="G716" s="9" t="s">
        <v>13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1121</v>
      </c>
      <c r="B717" s="58">
        <v>724258574</v>
      </c>
      <c r="C717" s="63" t="s">
        <v>1122</v>
      </c>
      <c r="D717" s="60">
        <v>18303361856</v>
      </c>
      <c r="E717" s="9">
        <v>262</v>
      </c>
      <c r="F717" s="25">
        <v>43160</v>
      </c>
      <c r="G717" s="61" t="s">
        <v>13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62" t="s">
        <v>1123</v>
      </c>
      <c r="B718" s="58">
        <v>37453999863</v>
      </c>
      <c r="C718" s="63" t="s">
        <v>1124</v>
      </c>
      <c r="D718" s="60"/>
      <c r="E718" s="9">
        <v>1241</v>
      </c>
      <c r="F718" s="25">
        <v>42992</v>
      </c>
      <c r="G718" s="61" t="s">
        <v>13</v>
      </c>
      <c r="H718" s="9"/>
      <c r="I718" s="8"/>
      <c r="J718" s="8"/>
      <c r="K718" s="8"/>
      <c r="L718" s="8"/>
      <c r="M718" s="8"/>
    </row>
    <row r="719" spans="1:13">
      <c r="A719" s="62" t="s">
        <v>1125</v>
      </c>
      <c r="B719" s="58">
        <v>39796729806</v>
      </c>
      <c r="C719" s="63"/>
      <c r="D719" s="60"/>
      <c r="E719" s="9">
        <v>443</v>
      </c>
      <c r="F719" s="25">
        <v>43188</v>
      </c>
      <c r="G719" s="61"/>
      <c r="H719" s="9"/>
      <c r="I719" s="8"/>
      <c r="J719" s="8"/>
      <c r="K719" s="8"/>
      <c r="L719" s="8"/>
      <c r="M719" s="8"/>
    </row>
    <row r="720" spans="1:13">
      <c r="A720" s="62" t="s">
        <v>1126</v>
      </c>
      <c r="B720" s="58">
        <v>41545867852</v>
      </c>
      <c r="C720" s="63"/>
      <c r="D720" s="60"/>
      <c r="E720" s="9">
        <v>292</v>
      </c>
      <c r="F720" s="25">
        <v>43168</v>
      </c>
      <c r="G720" s="61" t="s">
        <v>13</v>
      </c>
      <c r="H720" s="9"/>
      <c r="I720" s="8"/>
      <c r="J720" s="8"/>
      <c r="K720" s="8"/>
      <c r="L720" s="9">
        <v>318</v>
      </c>
      <c r="M720" s="8"/>
    </row>
    <row r="721" spans="1:13">
      <c r="A721" s="62" t="s">
        <v>1127</v>
      </c>
      <c r="B721" s="58">
        <v>30308539850</v>
      </c>
      <c r="C721" s="63" t="s">
        <v>1128</v>
      </c>
      <c r="D721" s="60">
        <v>84739517434</v>
      </c>
      <c r="E721" s="9">
        <v>810</v>
      </c>
      <c r="F721" s="25">
        <v>42915</v>
      </c>
      <c r="G721" s="61" t="s">
        <v>13</v>
      </c>
      <c r="H721" s="9"/>
      <c r="I721" s="8"/>
      <c r="J721" s="8"/>
      <c r="K721" s="8"/>
      <c r="L721" s="9" t="s">
        <v>138</v>
      </c>
      <c r="M721" s="8"/>
    </row>
    <row r="722" spans="1:13">
      <c r="A722" s="62" t="s">
        <v>1129</v>
      </c>
      <c r="B722" s="58">
        <v>83153640491</v>
      </c>
      <c r="C722" s="63"/>
      <c r="D722" s="60"/>
      <c r="E722" s="9"/>
      <c r="F722" s="25"/>
      <c r="G722" s="61"/>
      <c r="H722" s="9"/>
      <c r="I722" s="8"/>
      <c r="J722" s="8"/>
      <c r="K722" s="8"/>
      <c r="L722" s="8"/>
      <c r="M722" s="8"/>
    </row>
    <row r="723" spans="1:13">
      <c r="A723" s="62" t="s">
        <v>1130</v>
      </c>
      <c r="B723" s="58">
        <v>52247341420</v>
      </c>
      <c r="C723" s="63"/>
      <c r="D723" s="60"/>
      <c r="E723" s="9"/>
      <c r="F723" s="25"/>
      <c r="G723" s="61"/>
      <c r="H723" s="9"/>
      <c r="I723" s="8"/>
      <c r="J723" s="8"/>
      <c r="K723" s="8"/>
      <c r="L723" s="8"/>
      <c r="M723" s="8"/>
    </row>
    <row r="724" spans="1:13">
      <c r="A724" s="15" t="s">
        <v>1131</v>
      </c>
      <c r="B724" s="58">
        <v>21716687845</v>
      </c>
      <c r="C724" s="15" t="s">
        <v>1132</v>
      </c>
      <c r="D724" s="60">
        <v>31247045846</v>
      </c>
      <c r="E724" s="9"/>
      <c r="F724" s="25"/>
      <c r="G724" s="61"/>
      <c r="H724" s="9"/>
      <c r="I724" s="8"/>
      <c r="J724" s="8"/>
      <c r="K724" s="8"/>
      <c r="L724" s="8"/>
      <c r="M724" s="8"/>
    </row>
    <row r="725" spans="1:13">
      <c r="A725" s="62" t="s">
        <v>1133</v>
      </c>
      <c r="B725" s="58">
        <v>30678362866</v>
      </c>
      <c r="C725" s="63"/>
      <c r="D725" s="60"/>
      <c r="E725" s="9">
        <v>608</v>
      </c>
      <c r="F725" s="25">
        <v>43012</v>
      </c>
      <c r="G725" s="61" t="s">
        <v>13</v>
      </c>
      <c r="H725" s="9"/>
      <c r="I725" s="8"/>
      <c r="J725" s="8"/>
      <c r="K725" s="8"/>
      <c r="L725" s="8"/>
      <c r="M725" s="8"/>
    </row>
    <row r="726" spans="1:13">
      <c r="A726" s="14" t="s">
        <v>1134</v>
      </c>
      <c r="B726" s="58">
        <v>8254914877</v>
      </c>
      <c r="C726" s="63"/>
      <c r="D726" s="60"/>
      <c r="E726" s="9">
        <v>262</v>
      </c>
      <c r="F726" s="25">
        <v>43160</v>
      </c>
      <c r="G726" s="61" t="s">
        <v>13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62" t="s">
        <v>1135</v>
      </c>
      <c r="B727" s="58">
        <v>25647773842</v>
      </c>
      <c r="C727" s="63"/>
      <c r="D727" s="60"/>
      <c r="E727" s="9">
        <v>1417</v>
      </c>
      <c r="F727" s="25">
        <v>43017</v>
      </c>
      <c r="G727" s="61" t="s">
        <v>13</v>
      </c>
      <c r="H727" s="9"/>
      <c r="I727" s="8"/>
      <c r="J727" s="8"/>
      <c r="K727" s="8"/>
      <c r="L727" s="9" t="s">
        <v>253</v>
      </c>
      <c r="M727" s="8"/>
    </row>
    <row r="728" spans="1:13">
      <c r="A728" s="14" t="s">
        <v>1136</v>
      </c>
      <c r="B728" s="58">
        <v>99658925553</v>
      </c>
      <c r="C728" s="63" t="s">
        <v>1137</v>
      </c>
      <c r="D728" s="60">
        <v>99610108504</v>
      </c>
      <c r="E728" s="9">
        <v>262</v>
      </c>
      <c r="F728" s="25">
        <v>43160</v>
      </c>
      <c r="G728" s="61" t="s">
        <v>13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62" t="s">
        <v>1138</v>
      </c>
      <c r="B729" s="58">
        <v>11598225812</v>
      </c>
      <c r="C729" s="63"/>
      <c r="D729" s="60"/>
      <c r="E729" s="9">
        <v>292</v>
      </c>
      <c r="F729" s="25">
        <v>43168</v>
      </c>
      <c r="G729" s="9" t="s">
        <v>13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1139</v>
      </c>
      <c r="B730" s="58">
        <v>37284102845</v>
      </c>
      <c r="C730" s="59"/>
      <c r="D730" s="60"/>
      <c r="E730" s="9">
        <v>1128</v>
      </c>
      <c r="F730" s="25">
        <v>42972</v>
      </c>
      <c r="G730" s="61" t="s">
        <v>13</v>
      </c>
      <c r="H730" s="9"/>
      <c r="I730" s="8"/>
      <c r="J730" s="8"/>
      <c r="K730" s="8"/>
      <c r="L730" s="8"/>
      <c r="M730" s="8"/>
    </row>
    <row r="731" spans="1:13">
      <c r="A731" s="27" t="s">
        <v>1140</v>
      </c>
      <c r="B731" s="58"/>
      <c r="C731" s="18" t="s">
        <v>129</v>
      </c>
      <c r="D731" s="60"/>
      <c r="E731" s="9"/>
      <c r="F731" s="25"/>
      <c r="G731" s="61"/>
      <c r="H731" s="9"/>
      <c r="I731" s="8"/>
      <c r="J731" s="8"/>
      <c r="K731" s="8"/>
      <c r="L731" s="8"/>
      <c r="M731" s="8"/>
    </row>
    <row r="732" spans="1:13">
      <c r="A732" s="13" t="s">
        <v>1141</v>
      </c>
      <c r="B732" s="58">
        <v>25905224870</v>
      </c>
      <c r="C732" s="59" t="s">
        <v>1142</v>
      </c>
      <c r="D732" s="60">
        <v>36185256304</v>
      </c>
      <c r="E732" s="9">
        <v>1824</v>
      </c>
      <c r="F732" s="25">
        <v>43091</v>
      </c>
      <c r="G732" s="61" t="s">
        <v>13</v>
      </c>
      <c r="H732" s="9"/>
      <c r="I732" s="8"/>
      <c r="J732" s="8"/>
      <c r="K732" s="8"/>
      <c r="L732" s="9">
        <v>1828</v>
      </c>
      <c r="M732" s="8"/>
    </row>
    <row r="733" spans="1:13">
      <c r="A733" s="62" t="s">
        <v>1143</v>
      </c>
      <c r="B733" s="58">
        <v>23451988852</v>
      </c>
      <c r="C733" s="63"/>
      <c r="D733" s="60"/>
      <c r="E733" s="9">
        <v>262</v>
      </c>
      <c r="F733" s="25">
        <v>43160</v>
      </c>
      <c r="G733" s="61" t="s">
        <v>13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62" t="s">
        <v>1144</v>
      </c>
      <c r="B734" s="58">
        <v>33160363856</v>
      </c>
      <c r="C734" s="63" t="s">
        <v>1145</v>
      </c>
      <c r="D734" s="60">
        <v>37627168899</v>
      </c>
      <c r="E734" s="9"/>
      <c r="F734" s="25"/>
      <c r="G734" s="61"/>
      <c r="H734" s="9"/>
      <c r="I734" s="8"/>
      <c r="J734" s="8"/>
      <c r="K734" s="8"/>
      <c r="L734" s="8"/>
      <c r="M734" s="8"/>
    </row>
    <row r="735" spans="1:13">
      <c r="A735" s="62" t="s">
        <v>1146</v>
      </c>
      <c r="B735" s="58">
        <v>19447362800</v>
      </c>
      <c r="C735" s="64"/>
      <c r="D735" s="60"/>
      <c r="E735" s="9">
        <v>1417</v>
      </c>
      <c r="F735" s="25">
        <v>43017</v>
      </c>
      <c r="G735" s="61" t="s">
        <v>13</v>
      </c>
      <c r="H735" s="9"/>
      <c r="I735" s="8"/>
      <c r="J735" s="8"/>
      <c r="K735" s="8"/>
      <c r="L735" s="9" t="s">
        <v>253</v>
      </c>
      <c r="M735" s="8"/>
    </row>
    <row r="736" spans="1:13">
      <c r="A736" s="15" t="s">
        <v>1147</v>
      </c>
      <c r="B736" s="58">
        <v>36984824877</v>
      </c>
      <c r="C736" s="63"/>
      <c r="D736" s="60"/>
      <c r="E736" s="9">
        <v>229</v>
      </c>
      <c r="F736" s="25">
        <v>43151</v>
      </c>
      <c r="G736" s="61" t="s">
        <v>13</v>
      </c>
      <c r="H736" s="9"/>
      <c r="I736" s="8"/>
      <c r="J736" s="8"/>
      <c r="K736" s="8"/>
      <c r="L736" s="9">
        <v>232</v>
      </c>
      <c r="M736" s="8"/>
    </row>
    <row r="737" spans="1:13">
      <c r="A737" s="27" t="s">
        <v>1148</v>
      </c>
      <c r="B737" s="58">
        <v>71752722434</v>
      </c>
      <c r="C737" s="18" t="s">
        <v>129</v>
      </c>
      <c r="D737" s="60"/>
      <c r="E737" s="9"/>
      <c r="F737" s="25"/>
      <c r="G737" s="61"/>
      <c r="H737" s="9"/>
      <c r="I737" s="8"/>
      <c r="J737" s="8"/>
      <c r="K737" s="8"/>
      <c r="L737" s="8"/>
      <c r="M737" s="8"/>
    </row>
    <row r="738" spans="1:13">
      <c r="A738" s="62" t="s">
        <v>1149</v>
      </c>
      <c r="B738" s="58">
        <v>8590565890</v>
      </c>
      <c r="C738" s="63" t="s">
        <v>1150</v>
      </c>
      <c r="D738" s="60">
        <v>12969988860</v>
      </c>
      <c r="E738" s="9">
        <v>563</v>
      </c>
      <c r="F738" s="25">
        <v>43217</v>
      </c>
      <c r="G738" s="61"/>
      <c r="H738" s="9"/>
      <c r="I738" s="8"/>
      <c r="J738" s="8"/>
      <c r="K738" s="8"/>
      <c r="L738" s="9" t="s">
        <v>299</v>
      </c>
      <c r="M738" s="8"/>
    </row>
    <row r="739" spans="1:13">
      <c r="A739" s="62" t="s">
        <v>1151</v>
      </c>
      <c r="B739" s="58">
        <v>35556660883</v>
      </c>
      <c r="C739" s="63" t="s">
        <v>1152</v>
      </c>
      <c r="D739" s="60">
        <v>68800851568</v>
      </c>
      <c r="E739" s="9">
        <v>573</v>
      </c>
      <c r="F739" s="25">
        <v>43224</v>
      </c>
      <c r="G739" s="61"/>
      <c r="H739" s="9"/>
      <c r="I739" s="8"/>
      <c r="J739" s="8"/>
      <c r="K739" s="8"/>
      <c r="L739" s="8"/>
      <c r="M739" s="8"/>
    </row>
    <row r="740" spans="1:13">
      <c r="A740" s="62" t="s">
        <v>1153</v>
      </c>
      <c r="B740" s="58">
        <v>33238164805</v>
      </c>
      <c r="C740" s="63"/>
      <c r="D740" s="60"/>
      <c r="E740" s="9"/>
      <c r="F740" s="25"/>
      <c r="G740" s="61"/>
      <c r="H740" s="9"/>
      <c r="I740" s="8"/>
      <c r="J740" s="8"/>
      <c r="K740" s="8"/>
      <c r="L740" s="8"/>
      <c r="M740" s="8"/>
    </row>
    <row r="741" spans="1:13">
      <c r="A741" s="62" t="s">
        <v>1154</v>
      </c>
      <c r="B741" s="58">
        <v>25905305870</v>
      </c>
      <c r="C741" s="63" t="s">
        <v>1155</v>
      </c>
      <c r="D741" s="60">
        <v>11480794830</v>
      </c>
      <c r="E741" s="9">
        <v>1267</v>
      </c>
      <c r="F741" s="25">
        <v>42998</v>
      </c>
      <c r="G741" s="61" t="s">
        <v>13</v>
      </c>
      <c r="H741" s="9"/>
      <c r="I741" s="8"/>
      <c r="J741" s="8"/>
      <c r="K741" s="8"/>
      <c r="L741" s="8"/>
      <c r="M741" s="8"/>
    </row>
    <row r="742" spans="1:13">
      <c r="A742" s="62" t="s">
        <v>1156</v>
      </c>
      <c r="B742" s="58">
        <v>82881723500</v>
      </c>
      <c r="C742" s="63"/>
      <c r="D742" s="60"/>
      <c r="E742" s="9"/>
      <c r="F742" s="25"/>
      <c r="G742" s="61"/>
      <c r="H742" s="9"/>
      <c r="I742" s="8"/>
      <c r="J742" s="8"/>
      <c r="K742" s="8"/>
      <c r="L742" s="8"/>
      <c r="M742" s="8"/>
    </row>
    <row r="743" spans="1:13">
      <c r="A743" s="62" t="s">
        <v>1157</v>
      </c>
      <c r="B743" s="58">
        <v>18360141800</v>
      </c>
      <c r="C743" s="63" t="s">
        <v>1158</v>
      </c>
      <c r="D743" s="60">
        <v>48201979591</v>
      </c>
      <c r="E743" s="9">
        <v>117</v>
      </c>
      <c r="F743" s="25">
        <v>43117</v>
      </c>
      <c r="G743" s="61" t="s">
        <v>13</v>
      </c>
      <c r="H743" s="9"/>
      <c r="I743" s="8"/>
      <c r="J743" s="8"/>
      <c r="K743" s="8"/>
      <c r="L743" s="9" t="s">
        <v>170</v>
      </c>
      <c r="M743" s="8"/>
    </row>
    <row r="744" spans="1:13">
      <c r="A744" s="15" t="s">
        <v>1159</v>
      </c>
      <c r="B744" s="58">
        <v>28199479809</v>
      </c>
      <c r="C744" s="63"/>
      <c r="D744" s="60"/>
      <c r="E744" s="9">
        <v>117</v>
      </c>
      <c r="F744" s="25">
        <v>43117</v>
      </c>
      <c r="G744" s="61"/>
      <c r="H744" s="9"/>
      <c r="I744" s="8"/>
      <c r="J744" s="8"/>
      <c r="K744" s="8"/>
      <c r="L744" s="9" t="s">
        <v>170</v>
      </c>
      <c r="M744" s="8"/>
    </row>
    <row r="745" spans="1:13">
      <c r="A745" s="62" t="s">
        <v>1160</v>
      </c>
      <c r="B745" s="58"/>
      <c r="C745" s="63"/>
      <c r="D745" s="60"/>
      <c r="E745" s="9"/>
      <c r="F745" s="25"/>
      <c r="G745" s="61"/>
      <c r="H745" s="9"/>
      <c r="I745" s="8"/>
      <c r="J745" s="8"/>
      <c r="K745" s="8"/>
      <c r="L745" s="8"/>
      <c r="M745" s="8"/>
    </row>
    <row r="746" spans="1:13">
      <c r="A746" s="15" t="s">
        <v>1161</v>
      </c>
      <c r="B746" s="58">
        <v>36613647829</v>
      </c>
      <c r="C746" s="63" t="s">
        <v>1162</v>
      </c>
      <c r="D746" s="60">
        <v>35387477840</v>
      </c>
      <c r="E746" s="9"/>
      <c r="F746" s="25"/>
      <c r="G746" s="61"/>
      <c r="H746" s="9"/>
      <c r="I746" s="8"/>
      <c r="J746" s="8"/>
      <c r="K746" s="8"/>
      <c r="L746" s="8"/>
      <c r="M746" s="8"/>
    </row>
    <row r="747" spans="1:13">
      <c r="A747" s="15" t="s">
        <v>1163</v>
      </c>
      <c r="B747" s="58">
        <v>1936117169</v>
      </c>
      <c r="C747" s="63"/>
      <c r="D747" s="60"/>
      <c r="E747" s="9">
        <v>85</v>
      </c>
      <c r="F747" s="25">
        <v>43109</v>
      </c>
      <c r="G747" s="61" t="s">
        <v>13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1164</v>
      </c>
      <c r="B748" s="58">
        <v>25332480881</v>
      </c>
      <c r="C748" s="18" t="s">
        <v>129</v>
      </c>
      <c r="D748" s="60"/>
      <c r="E748" s="9"/>
      <c r="F748" s="25"/>
      <c r="G748" s="61"/>
      <c r="H748" s="9"/>
      <c r="I748" s="8"/>
      <c r="J748" s="8"/>
      <c r="K748" s="8"/>
      <c r="L748" s="8"/>
      <c r="M748" s="8"/>
    </row>
    <row r="749" spans="1:13">
      <c r="A749" s="15" t="s">
        <v>1165</v>
      </c>
      <c r="B749" s="58">
        <v>16365042809</v>
      </c>
      <c r="C749" s="63" t="s">
        <v>1166</v>
      </c>
      <c r="D749" s="60">
        <v>26488933850</v>
      </c>
      <c r="E749" s="9">
        <v>117</v>
      </c>
      <c r="F749" s="25">
        <v>43117</v>
      </c>
      <c r="G749" s="61" t="s">
        <v>13</v>
      </c>
      <c r="H749" s="25">
        <v>43151</v>
      </c>
      <c r="I749" s="8"/>
      <c r="J749" s="8"/>
      <c r="K749" s="8"/>
      <c r="L749" s="9" t="s">
        <v>170</v>
      </c>
      <c r="M749" s="8"/>
    </row>
    <row r="750" spans="1:13">
      <c r="A750" s="15" t="s">
        <v>1167</v>
      </c>
      <c r="B750" s="58">
        <v>70816581649</v>
      </c>
      <c r="C750" s="63"/>
      <c r="D750" s="60"/>
      <c r="E750" s="9">
        <v>117</v>
      </c>
      <c r="F750" s="25">
        <v>43117</v>
      </c>
      <c r="G750" s="61" t="s">
        <v>13</v>
      </c>
      <c r="H750" s="25">
        <v>43151</v>
      </c>
      <c r="I750" s="8"/>
      <c r="J750" s="8"/>
      <c r="K750" s="8"/>
      <c r="L750" s="9" t="s">
        <v>170</v>
      </c>
      <c r="M750" s="8"/>
    </row>
    <row r="751" spans="1:13">
      <c r="A751" s="62" t="s">
        <v>1168</v>
      </c>
      <c r="B751" s="58">
        <v>35339896749</v>
      </c>
      <c r="C751" s="63"/>
      <c r="D751" s="60"/>
      <c r="E751" s="9"/>
      <c r="F751" s="25"/>
      <c r="G751" s="61"/>
      <c r="H751" s="9"/>
      <c r="I751" s="8"/>
      <c r="J751" s="8"/>
      <c r="K751" s="8"/>
      <c r="L751" s="8"/>
      <c r="M751" s="8"/>
    </row>
    <row r="752" spans="1:13">
      <c r="A752" s="13" t="s">
        <v>1169</v>
      </c>
      <c r="B752" s="58">
        <v>16122428809</v>
      </c>
      <c r="C752" s="59"/>
      <c r="D752" s="60"/>
      <c r="E752" s="9">
        <v>1267</v>
      </c>
      <c r="F752" s="25">
        <v>42998</v>
      </c>
      <c r="G752" s="61" t="s">
        <v>20</v>
      </c>
      <c r="H752" s="9"/>
      <c r="I752" s="8"/>
      <c r="J752" s="8"/>
      <c r="K752" s="8"/>
      <c r="L752" s="8"/>
      <c r="M752" s="8"/>
    </row>
    <row r="753" spans="1:13">
      <c r="A753" s="62" t="s">
        <v>1170</v>
      </c>
      <c r="B753" s="58">
        <v>39338748820</v>
      </c>
      <c r="C753" s="63"/>
      <c r="D753" s="60"/>
      <c r="E753" s="9">
        <v>85</v>
      </c>
      <c r="F753" s="25">
        <v>43109</v>
      </c>
      <c r="G753" s="61" t="s">
        <v>13</v>
      </c>
      <c r="H753" s="25">
        <v>43151</v>
      </c>
      <c r="I753" s="8"/>
      <c r="J753" s="8"/>
      <c r="K753" s="8"/>
      <c r="L753" s="8"/>
      <c r="M753" s="8"/>
    </row>
    <row r="754" spans="1:13">
      <c r="A754" s="62" t="s">
        <v>1171</v>
      </c>
      <c r="B754" s="58">
        <v>99813653515</v>
      </c>
      <c r="C754" s="63"/>
      <c r="D754" s="60"/>
      <c r="E754" s="9">
        <v>1214</v>
      </c>
      <c r="F754" s="25">
        <v>42989</v>
      </c>
      <c r="G754" s="61" t="s">
        <v>13</v>
      </c>
      <c r="H754" s="9"/>
      <c r="I754" s="8"/>
      <c r="J754" s="8"/>
      <c r="K754" s="8"/>
      <c r="L754" s="8"/>
      <c r="M754" s="8"/>
    </row>
    <row r="755" spans="1:13">
      <c r="A755" s="27" t="s">
        <v>1172</v>
      </c>
      <c r="B755" s="58"/>
      <c r="C755" s="18" t="s">
        <v>129</v>
      </c>
      <c r="D755" s="60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1173</v>
      </c>
      <c r="B756" s="58">
        <v>28424023838</v>
      </c>
      <c r="C756" s="59"/>
      <c r="D756" s="60"/>
      <c r="E756" s="9"/>
      <c r="F756" s="25"/>
      <c r="G756" s="61"/>
      <c r="H756" s="9"/>
      <c r="I756" s="8"/>
      <c r="J756" s="8"/>
      <c r="K756" s="8"/>
      <c r="L756" s="8"/>
      <c r="M756" s="8"/>
    </row>
    <row r="757" spans="1:13">
      <c r="A757" s="62" t="s">
        <v>1174</v>
      </c>
      <c r="B757" s="58">
        <v>78018455449</v>
      </c>
      <c r="C757" s="63"/>
      <c r="D757" s="60"/>
      <c r="E757" s="9">
        <v>1350</v>
      </c>
      <c r="F757" s="25">
        <v>43006</v>
      </c>
      <c r="G757" s="61" t="s">
        <v>13</v>
      </c>
      <c r="H757" s="9"/>
      <c r="I757" s="8"/>
      <c r="J757" s="8"/>
      <c r="K757" s="8"/>
      <c r="L757" s="8"/>
      <c r="M757" s="8"/>
    </row>
    <row r="758" spans="1:13">
      <c r="A758" s="62" t="s">
        <v>1175</v>
      </c>
      <c r="B758" s="58">
        <v>47531908972</v>
      </c>
      <c r="C758" s="63"/>
      <c r="D758" s="60"/>
      <c r="E758" s="9"/>
      <c r="F758" s="25"/>
      <c r="G758" s="61"/>
      <c r="H758" s="9"/>
      <c r="I758" s="8"/>
      <c r="J758" s="8"/>
      <c r="K758" s="8"/>
      <c r="L758" s="8"/>
      <c r="M758" s="8"/>
    </row>
    <row r="759" spans="1:13">
      <c r="A759" s="62" t="s">
        <v>1176</v>
      </c>
      <c r="B759" s="58">
        <v>26980266500</v>
      </c>
      <c r="C759" s="63"/>
      <c r="D759" s="60"/>
      <c r="E759" s="9">
        <v>810</v>
      </c>
      <c r="F759" s="25">
        <v>42915</v>
      </c>
      <c r="G759" s="61"/>
      <c r="H759" s="9"/>
      <c r="I759" s="8"/>
      <c r="J759" s="8"/>
      <c r="K759" s="8"/>
      <c r="L759" s="9" t="s">
        <v>138</v>
      </c>
      <c r="M759" s="8"/>
    </row>
    <row r="760" spans="1:13">
      <c r="A760" s="62" t="s">
        <v>1177</v>
      </c>
      <c r="B760" s="58">
        <v>41756319847</v>
      </c>
      <c r="C760" s="63" t="s">
        <v>1178</v>
      </c>
      <c r="D760" s="60">
        <v>28780799817</v>
      </c>
      <c r="E760" s="9">
        <v>1489</v>
      </c>
      <c r="F760" s="25">
        <v>43038</v>
      </c>
      <c r="G760" s="61" t="s">
        <v>28</v>
      </c>
      <c r="H760" s="9"/>
      <c r="I760" s="8"/>
      <c r="J760" s="8"/>
      <c r="K760" s="8"/>
      <c r="L760" s="9" t="s">
        <v>160</v>
      </c>
      <c r="M760" s="8"/>
    </row>
    <row r="761" spans="1:13">
      <c r="A761" s="62" t="s">
        <v>1179</v>
      </c>
      <c r="B761" s="58">
        <v>38607854860</v>
      </c>
      <c r="C761" s="63"/>
      <c r="D761" s="60"/>
      <c r="E761" s="9">
        <v>1824</v>
      </c>
      <c r="F761" s="25">
        <v>43091</v>
      </c>
      <c r="G761" s="61" t="s">
        <v>13</v>
      </c>
      <c r="H761" s="9"/>
      <c r="I761" s="8"/>
      <c r="J761" s="8"/>
      <c r="K761" s="8"/>
      <c r="L761" s="9">
        <v>1828</v>
      </c>
      <c r="M761" s="8"/>
    </row>
    <row r="762" spans="1:13">
      <c r="A762" s="27" t="s">
        <v>1180</v>
      </c>
      <c r="B762" s="58"/>
      <c r="C762" s="27" t="s">
        <v>129</v>
      </c>
      <c r="D762" s="60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1181</v>
      </c>
      <c r="B763" s="58">
        <v>34511540802</v>
      </c>
      <c r="C763" s="63"/>
      <c r="D763" s="60"/>
      <c r="E763" s="9">
        <v>443</v>
      </c>
      <c r="F763" s="25">
        <v>43188</v>
      </c>
      <c r="G763" s="61"/>
      <c r="H763" s="9"/>
      <c r="I763" s="8"/>
      <c r="J763" s="8"/>
      <c r="K763" s="8"/>
      <c r="L763" s="8"/>
      <c r="M763" s="8"/>
    </row>
    <row r="764" spans="1:13">
      <c r="A764" s="13" t="s">
        <v>1182</v>
      </c>
      <c r="B764" s="58">
        <v>39762019873</v>
      </c>
      <c r="C764" s="59" t="s">
        <v>1183</v>
      </c>
      <c r="D764" s="60">
        <v>28639452890</v>
      </c>
      <c r="E764" s="9">
        <v>1128</v>
      </c>
      <c r="F764" s="25">
        <v>42972</v>
      </c>
      <c r="G764" s="61" t="s">
        <v>13</v>
      </c>
      <c r="H764" s="9"/>
      <c r="I764" s="8"/>
      <c r="J764" s="8"/>
      <c r="K764" s="8"/>
      <c r="L764" s="8"/>
      <c r="M764" s="8"/>
    </row>
    <row r="765" spans="1:13">
      <c r="A765" s="62" t="s">
        <v>1184</v>
      </c>
      <c r="B765" s="58">
        <v>13014716820</v>
      </c>
      <c r="C765" s="63"/>
      <c r="D765" s="60"/>
      <c r="E765" s="9">
        <v>262</v>
      </c>
      <c r="F765" s="25">
        <v>43160</v>
      </c>
      <c r="G765" s="61" t="s">
        <v>13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62" t="s">
        <v>1185</v>
      </c>
      <c r="B766" s="58">
        <v>33182321811</v>
      </c>
      <c r="C766" s="63"/>
      <c r="D766" s="60"/>
      <c r="E766" s="9"/>
      <c r="F766" s="25"/>
      <c r="G766" s="61"/>
      <c r="H766" s="9"/>
      <c r="I766" s="8"/>
      <c r="J766" s="8"/>
      <c r="K766" s="8"/>
      <c r="L766" s="8"/>
      <c r="M766" s="8"/>
    </row>
    <row r="767" spans="1:13">
      <c r="A767" s="62" t="s">
        <v>1186</v>
      </c>
      <c r="B767" s="58">
        <v>23391801808</v>
      </c>
      <c r="C767" s="63"/>
      <c r="D767" s="60"/>
      <c r="E767" s="9">
        <v>292</v>
      </c>
      <c r="F767" s="25">
        <v>43168</v>
      </c>
      <c r="G767" s="61" t="s">
        <v>13</v>
      </c>
      <c r="H767" s="9"/>
      <c r="I767" s="8"/>
      <c r="J767" s="8"/>
      <c r="K767" s="8"/>
      <c r="L767" s="9">
        <v>318</v>
      </c>
      <c r="M767" s="8"/>
    </row>
    <row r="768" spans="1:13">
      <c r="A768" s="62" t="s">
        <v>1187</v>
      </c>
      <c r="B768" s="58">
        <v>21914504828</v>
      </c>
      <c r="C768" s="63" t="s">
        <v>1188</v>
      </c>
      <c r="D768" s="60">
        <v>23497294861</v>
      </c>
      <c r="E768" s="9">
        <v>443</v>
      </c>
      <c r="F768" s="25">
        <v>43188</v>
      </c>
      <c r="G768" s="61"/>
      <c r="H768" s="9"/>
      <c r="I768" s="8"/>
      <c r="J768" s="8"/>
      <c r="K768" s="8"/>
      <c r="L768" s="8"/>
      <c r="M768" s="8"/>
    </row>
    <row r="769" spans="1:13">
      <c r="A769" s="62" t="s">
        <v>1189</v>
      </c>
      <c r="B769" s="58">
        <v>11259745830</v>
      </c>
      <c r="C769" s="63" t="s">
        <v>1190</v>
      </c>
      <c r="D769" s="60">
        <v>49121901368</v>
      </c>
      <c r="E769" s="9">
        <v>262</v>
      </c>
      <c r="F769" s="25">
        <v>43160</v>
      </c>
      <c r="G769" s="61" t="s">
        <v>13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62" t="s">
        <v>1191</v>
      </c>
      <c r="B770" s="58">
        <v>22486863826</v>
      </c>
      <c r="C770" s="63"/>
      <c r="D770" s="60"/>
      <c r="E770" s="9">
        <v>1214</v>
      </c>
      <c r="F770" s="25">
        <v>42989</v>
      </c>
      <c r="G770" s="61" t="s">
        <v>13</v>
      </c>
      <c r="H770" s="9"/>
      <c r="I770" s="8"/>
      <c r="J770" s="8"/>
      <c r="K770" s="8"/>
      <c r="L770" s="8"/>
      <c r="M770" s="8"/>
    </row>
    <row r="771" spans="1:13">
      <c r="A771" s="63" t="s">
        <v>1192</v>
      </c>
      <c r="B771" s="58">
        <v>22547591839</v>
      </c>
      <c r="C771" s="63" t="s">
        <v>1193</v>
      </c>
      <c r="D771" s="60">
        <v>33368927833</v>
      </c>
      <c r="E771" s="9"/>
      <c r="F771" s="25"/>
      <c r="G771" s="61"/>
      <c r="H771" s="9"/>
      <c r="I771" s="8"/>
      <c r="J771" s="8"/>
      <c r="K771" s="8"/>
      <c r="L771" s="8"/>
      <c r="M771" s="8"/>
    </row>
    <row r="772" spans="1:13">
      <c r="A772" s="75" t="s">
        <v>1194</v>
      </c>
      <c r="B772" s="58">
        <v>38179706842</v>
      </c>
      <c r="C772" s="68"/>
      <c r="D772" s="60"/>
      <c r="E772" s="9"/>
      <c r="F772" s="25"/>
      <c r="G772" s="61"/>
      <c r="H772" s="9"/>
      <c r="I772" s="8"/>
      <c r="J772" s="8"/>
      <c r="K772" s="8"/>
      <c r="L772" s="8"/>
      <c r="M772" s="8"/>
    </row>
    <row r="773" spans="1:13">
      <c r="A773" s="62" t="s">
        <v>1195</v>
      </c>
      <c r="B773" s="58">
        <v>36120891889</v>
      </c>
      <c r="C773" s="63"/>
      <c r="D773" s="60"/>
      <c r="E773" s="9"/>
      <c r="F773" s="25"/>
      <c r="G773" s="61"/>
      <c r="H773" s="9"/>
      <c r="I773" s="8"/>
      <c r="J773" s="8"/>
      <c r="K773" s="8"/>
      <c r="L773" s="8"/>
      <c r="M773" s="8"/>
    </row>
    <row r="774" spans="1:13">
      <c r="A774" s="62" t="s">
        <v>1196</v>
      </c>
      <c r="B774" s="58">
        <v>9881940400</v>
      </c>
      <c r="C774" s="63" t="s">
        <v>1197</v>
      </c>
      <c r="D774" s="60">
        <v>1778905501</v>
      </c>
      <c r="E774" s="9">
        <v>262</v>
      </c>
      <c r="F774" s="25">
        <v>43160</v>
      </c>
      <c r="G774" s="61" t="s">
        <v>20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75" t="s">
        <v>1198</v>
      </c>
      <c r="B775" s="58">
        <v>18240627889</v>
      </c>
      <c r="C775" s="68" t="s">
        <v>1199</v>
      </c>
      <c r="D775" s="60">
        <v>15196624830</v>
      </c>
      <c r="E775" s="9"/>
      <c r="F775" s="25"/>
      <c r="G775" s="61"/>
      <c r="H775" s="9"/>
      <c r="I775" s="8"/>
      <c r="J775" s="8"/>
      <c r="K775" s="8"/>
      <c r="L775" s="8"/>
      <c r="M775" s="8"/>
    </row>
    <row r="776" spans="1:13">
      <c r="A776" s="62" t="s">
        <v>1200</v>
      </c>
      <c r="B776" s="58">
        <v>34715955890</v>
      </c>
      <c r="C776" s="63" t="s">
        <v>1201</v>
      </c>
      <c r="D776" s="60">
        <v>41375457829</v>
      </c>
      <c r="E776" s="9"/>
      <c r="F776" s="25"/>
      <c r="G776" s="61"/>
      <c r="H776" s="9"/>
      <c r="I776" s="8"/>
      <c r="J776" s="8"/>
      <c r="K776" s="8"/>
      <c r="L776" s="8"/>
      <c r="M776" s="8"/>
    </row>
    <row r="777" spans="1:13">
      <c r="A777" s="62" t="s">
        <v>1202</v>
      </c>
      <c r="B777" s="58">
        <v>34853801804</v>
      </c>
      <c r="C777" s="63"/>
      <c r="D777" s="60"/>
      <c r="E777" s="9">
        <v>85</v>
      </c>
      <c r="F777" s="25">
        <v>43109</v>
      </c>
      <c r="G777" s="61" t="s">
        <v>13</v>
      </c>
      <c r="H777" s="25">
        <v>43151</v>
      </c>
      <c r="I777" s="8"/>
      <c r="J777" s="8"/>
      <c r="K777" s="8"/>
      <c r="L777" s="8"/>
      <c r="M777" s="8"/>
    </row>
    <row r="778" spans="1:13">
      <c r="A778" s="62" t="s">
        <v>1203</v>
      </c>
      <c r="B778" s="58">
        <v>2413902490</v>
      </c>
      <c r="C778" s="68" t="s">
        <v>1204</v>
      </c>
      <c r="D778" s="60">
        <v>29211407800</v>
      </c>
      <c r="E778" s="9"/>
      <c r="F778" s="25"/>
      <c r="G778" s="61"/>
      <c r="H778" s="9"/>
      <c r="I778" s="8"/>
      <c r="J778" s="8"/>
      <c r="K778" s="8"/>
      <c r="L778" s="8"/>
      <c r="M778" s="8"/>
    </row>
    <row r="779" spans="1:13">
      <c r="A779" s="62" t="s">
        <v>1205</v>
      </c>
      <c r="B779" s="58">
        <v>30558706894</v>
      </c>
      <c r="C779" s="63" t="s">
        <v>1206</v>
      </c>
      <c r="D779" s="60">
        <v>87700352372</v>
      </c>
      <c r="E779" s="9">
        <v>810</v>
      </c>
      <c r="F779" s="25">
        <v>42915</v>
      </c>
      <c r="G779" s="61" t="s">
        <v>13</v>
      </c>
      <c r="H779" s="9"/>
      <c r="I779" s="8"/>
      <c r="J779" s="8"/>
      <c r="K779" s="8"/>
      <c r="L779" s="9" t="s">
        <v>138</v>
      </c>
      <c r="M779" s="8"/>
    </row>
    <row r="780" spans="1:13">
      <c r="A780" s="62" t="s">
        <v>1207</v>
      </c>
      <c r="B780" s="58">
        <v>27926471836</v>
      </c>
      <c r="C780" s="63" t="s">
        <v>1208</v>
      </c>
      <c r="D780" s="60">
        <v>2210309484</v>
      </c>
      <c r="E780" s="9">
        <v>1439</v>
      </c>
      <c r="F780" s="25">
        <v>43025</v>
      </c>
      <c r="G780" s="61" t="s">
        <v>20</v>
      </c>
      <c r="H780" s="9"/>
      <c r="I780" s="8"/>
      <c r="J780" s="8"/>
      <c r="K780" s="8"/>
      <c r="L780" s="9" t="s">
        <v>502</v>
      </c>
      <c r="M780" s="8"/>
    </row>
    <row r="781" spans="1:13">
      <c r="A781" s="15" t="s">
        <v>1209</v>
      </c>
      <c r="B781" s="58">
        <v>82033269515</v>
      </c>
      <c r="C781" s="63"/>
      <c r="D781" s="60"/>
      <c r="E781" s="9">
        <v>117</v>
      </c>
      <c r="F781" s="25">
        <v>43117</v>
      </c>
      <c r="G781" s="61" t="s">
        <v>13</v>
      </c>
      <c r="H781" s="9"/>
      <c r="I781" s="8"/>
      <c r="J781" s="8"/>
      <c r="K781" s="8"/>
      <c r="L781" s="9" t="s">
        <v>170</v>
      </c>
      <c r="M781" s="8"/>
    </row>
    <row r="782" spans="1:13">
      <c r="A782" s="62" t="s">
        <v>1210</v>
      </c>
      <c r="B782" s="58">
        <v>47361352391</v>
      </c>
      <c r="C782" s="63" t="s">
        <v>1211</v>
      </c>
      <c r="D782" s="60">
        <v>37084542353</v>
      </c>
      <c r="E782" s="9">
        <v>573</v>
      </c>
      <c r="F782" s="25">
        <v>43224</v>
      </c>
      <c r="G782" s="61"/>
      <c r="H782" s="9"/>
      <c r="I782" s="8"/>
      <c r="J782" s="8"/>
      <c r="K782" s="8"/>
      <c r="L782" s="8"/>
      <c r="M782" s="8"/>
    </row>
    <row r="783" spans="1:13">
      <c r="A783" s="62" t="s">
        <v>1212</v>
      </c>
      <c r="B783" s="58">
        <v>32763223826</v>
      </c>
      <c r="C783" s="63" t="s">
        <v>1213</v>
      </c>
      <c r="D783" s="60">
        <v>27936363807</v>
      </c>
      <c r="E783" s="9">
        <v>608</v>
      </c>
      <c r="F783" s="25">
        <v>43012</v>
      </c>
      <c r="G783" s="61" t="s">
        <v>13</v>
      </c>
      <c r="H783" s="9"/>
      <c r="I783" s="8"/>
      <c r="J783" s="8"/>
      <c r="K783" s="8"/>
      <c r="L783" s="8"/>
      <c r="M783" s="8"/>
    </row>
    <row r="784" spans="1:13">
      <c r="A784" s="18" t="s">
        <v>1214</v>
      </c>
      <c r="B784" s="58"/>
      <c r="C784" s="18" t="s">
        <v>1215</v>
      </c>
      <c r="D784" s="60"/>
      <c r="E784" s="9"/>
      <c r="F784" s="25"/>
      <c r="G784" s="61"/>
      <c r="H784" s="9"/>
      <c r="I784" s="8"/>
      <c r="J784" s="8"/>
      <c r="K784" s="8"/>
      <c r="L784" s="8"/>
      <c r="M784" s="8"/>
    </row>
    <row r="785" spans="1:13">
      <c r="A785" s="15" t="s">
        <v>1216</v>
      </c>
      <c r="B785" s="58">
        <v>4231077398</v>
      </c>
      <c r="C785" s="63"/>
      <c r="D785" s="60"/>
      <c r="E785" s="9">
        <v>85</v>
      </c>
      <c r="F785" s="25">
        <v>43109</v>
      </c>
      <c r="G785" s="61" t="s">
        <v>13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1217</v>
      </c>
      <c r="B786" s="58">
        <v>39068600869</v>
      </c>
      <c r="C786" s="63"/>
      <c r="D786" s="60"/>
      <c r="E786" s="9"/>
      <c r="F786" s="25"/>
      <c r="G786" s="61" t="s">
        <v>13</v>
      </c>
      <c r="H786" s="9"/>
      <c r="I786" s="8"/>
      <c r="J786" s="8"/>
      <c r="K786" s="8"/>
      <c r="L786" s="8"/>
      <c r="M786" s="8"/>
    </row>
    <row r="787" spans="1:13">
      <c r="A787" s="27" t="s">
        <v>1218</v>
      </c>
      <c r="B787" s="58">
        <v>31875471847</v>
      </c>
      <c r="C787" s="18" t="s">
        <v>1219</v>
      </c>
      <c r="D787" s="60">
        <v>60187042187</v>
      </c>
      <c r="E787" s="9"/>
      <c r="F787" s="25"/>
      <c r="G787" s="61"/>
      <c r="H787" s="9"/>
      <c r="I787" s="8"/>
      <c r="J787" s="8"/>
      <c r="K787" s="8"/>
      <c r="L787" s="8"/>
      <c r="M787" s="8"/>
    </row>
    <row r="788" spans="1:13">
      <c r="A788" s="62" t="s">
        <v>1220</v>
      </c>
      <c r="B788" s="58">
        <v>48124837864</v>
      </c>
      <c r="C788" s="63"/>
      <c r="D788" s="60"/>
      <c r="E788" s="9"/>
      <c r="F788" s="25"/>
      <c r="G788" s="61"/>
      <c r="H788" s="9"/>
      <c r="I788" s="8"/>
      <c r="J788" s="8"/>
      <c r="K788" s="8"/>
      <c r="L788" s="8"/>
      <c r="M788" s="8"/>
    </row>
    <row r="789" spans="1:13">
      <c r="A789" s="62" t="s">
        <v>1221</v>
      </c>
      <c r="B789" s="58">
        <v>5662502846</v>
      </c>
      <c r="C789" s="63"/>
      <c r="D789" s="60"/>
      <c r="E789" s="9"/>
      <c r="F789" s="25"/>
      <c r="G789" s="61"/>
      <c r="H789" s="9"/>
      <c r="I789" s="8"/>
      <c r="J789" s="8"/>
      <c r="K789" s="8"/>
      <c r="L789" s="8"/>
      <c r="M789" s="8"/>
    </row>
    <row r="790" spans="1:13">
      <c r="A790" s="27" t="s">
        <v>1222</v>
      </c>
      <c r="B790" s="58">
        <v>11634805844</v>
      </c>
      <c r="C790" s="27" t="s">
        <v>129</v>
      </c>
      <c r="D790" s="60"/>
      <c r="E790" s="9"/>
      <c r="F790" s="25"/>
      <c r="G790" s="61"/>
      <c r="H790" s="9"/>
      <c r="I790" s="8"/>
      <c r="J790" s="8"/>
      <c r="K790" s="8"/>
      <c r="L790" s="8"/>
      <c r="M790" s="8"/>
    </row>
    <row r="791" spans="1:13">
      <c r="A791" s="15" t="s">
        <v>1223</v>
      </c>
      <c r="B791" s="58">
        <v>39485124856</v>
      </c>
      <c r="C791" s="63" t="s">
        <v>1224</v>
      </c>
      <c r="D791" s="60">
        <v>33972534892</v>
      </c>
      <c r="E791" s="9">
        <v>262</v>
      </c>
      <c r="F791" s="25">
        <v>43160</v>
      </c>
      <c r="G791" s="61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1225</v>
      </c>
      <c r="B792" s="58">
        <v>18477548803</v>
      </c>
      <c r="C792" s="64"/>
      <c r="D792" s="60"/>
      <c r="E792" s="9"/>
      <c r="F792" s="25"/>
      <c r="G792" s="61"/>
      <c r="H792" s="9"/>
      <c r="I792" s="8"/>
      <c r="J792" s="8"/>
      <c r="K792" s="8"/>
      <c r="L792" s="8"/>
      <c r="M792" s="8"/>
    </row>
    <row r="793" spans="1:13">
      <c r="A793" s="18" t="s">
        <v>1226</v>
      </c>
      <c r="B793" s="58">
        <v>31801494851</v>
      </c>
      <c r="C793" s="18"/>
      <c r="D793" s="60"/>
      <c r="E793" s="9"/>
      <c r="F793" s="25"/>
      <c r="G793" s="61"/>
      <c r="H793" s="9"/>
      <c r="I793" s="8"/>
      <c r="J793" s="8"/>
      <c r="K793" s="8"/>
      <c r="L793" s="8"/>
      <c r="M793" s="8"/>
    </row>
    <row r="794" spans="1:13">
      <c r="A794" s="62" t="s">
        <v>1227</v>
      </c>
      <c r="B794" s="58">
        <v>32221516877</v>
      </c>
      <c r="C794" s="63" t="s">
        <v>1228</v>
      </c>
      <c r="D794" s="60">
        <v>18338419800</v>
      </c>
      <c r="E794" s="9">
        <v>1752</v>
      </c>
      <c r="F794" s="25">
        <v>43051</v>
      </c>
      <c r="G794" s="61" t="s">
        <v>13</v>
      </c>
      <c r="H794" s="9"/>
      <c r="I794" s="8"/>
      <c r="J794" s="8"/>
      <c r="K794" s="8"/>
      <c r="L794" s="9">
        <v>1759</v>
      </c>
      <c r="M794" s="8"/>
    </row>
    <row r="795" spans="1:13">
      <c r="A795" s="62" t="s">
        <v>1229</v>
      </c>
      <c r="B795" s="58">
        <v>39802625884</v>
      </c>
      <c r="C795" s="63"/>
      <c r="D795" s="60"/>
      <c r="E795" s="9"/>
      <c r="F795" s="25"/>
      <c r="G795" s="61"/>
      <c r="H795" s="9"/>
      <c r="I795" s="8"/>
      <c r="J795" s="8"/>
      <c r="K795" s="8"/>
      <c r="L795" s="8"/>
      <c r="M795" s="8"/>
    </row>
    <row r="796" spans="1:13">
      <c r="A796" s="15" t="s">
        <v>1230</v>
      </c>
      <c r="B796" s="58">
        <v>43951626810</v>
      </c>
      <c r="C796" s="63" t="s">
        <v>1231</v>
      </c>
      <c r="D796" s="60">
        <v>39706258825</v>
      </c>
      <c r="E796" s="9">
        <v>509</v>
      </c>
      <c r="F796" s="25">
        <v>43203</v>
      </c>
      <c r="G796" s="67"/>
      <c r="H796" s="67">
        <v>43213</v>
      </c>
      <c r="I796" s="8"/>
      <c r="J796" s="8"/>
      <c r="K796" s="8"/>
      <c r="L796" s="8"/>
      <c r="M796" s="8"/>
    </row>
    <row r="797" spans="1:13">
      <c r="A797" s="15" t="s">
        <v>1232</v>
      </c>
      <c r="B797" s="58">
        <v>71045821500</v>
      </c>
      <c r="C797" s="63"/>
      <c r="D797" s="60"/>
      <c r="E797" s="9"/>
      <c r="F797" s="25"/>
      <c r="G797" s="61"/>
      <c r="H797" s="67">
        <v>43213</v>
      </c>
      <c r="I797" s="8"/>
      <c r="J797" s="8"/>
      <c r="K797" s="8"/>
      <c r="L797" s="8"/>
      <c r="M797" s="8"/>
    </row>
    <row r="798" spans="1:13">
      <c r="A798" s="64" t="s">
        <v>1233</v>
      </c>
      <c r="B798" s="58">
        <v>40840895836</v>
      </c>
      <c r="C798" s="63" t="s">
        <v>1234</v>
      </c>
      <c r="D798" s="60">
        <v>39329913890</v>
      </c>
      <c r="E798" s="9">
        <v>1106</v>
      </c>
      <c r="F798" s="25">
        <v>42965</v>
      </c>
      <c r="G798" s="61" t="s">
        <v>13</v>
      </c>
      <c r="H798" s="67">
        <v>43213</v>
      </c>
      <c r="I798" s="8"/>
      <c r="J798" s="8"/>
      <c r="K798" s="8"/>
      <c r="L798" s="8"/>
      <c r="M798" s="8"/>
    </row>
    <row r="799" spans="1:13">
      <c r="A799" s="64" t="s">
        <v>1235</v>
      </c>
      <c r="B799" s="58">
        <v>30969194809</v>
      </c>
      <c r="C799" s="63" t="s">
        <v>1236</v>
      </c>
      <c r="D799" s="60">
        <v>13013456876</v>
      </c>
      <c r="E799" s="9">
        <v>810</v>
      </c>
      <c r="F799" s="25">
        <v>42915</v>
      </c>
      <c r="G799" s="61" t="s">
        <v>13</v>
      </c>
      <c r="H799" s="67">
        <v>43213</v>
      </c>
      <c r="I799" s="8"/>
      <c r="J799" s="8"/>
      <c r="K799" s="8"/>
      <c r="L799" s="9" t="s">
        <v>138</v>
      </c>
      <c r="M799" s="8"/>
    </row>
    <row r="800" spans="1:13">
      <c r="A800" s="62" t="s">
        <v>1237</v>
      </c>
      <c r="B800" s="58">
        <v>33186484855</v>
      </c>
      <c r="C800" s="68" t="s">
        <v>1238</v>
      </c>
      <c r="D800" s="60">
        <v>28792123830</v>
      </c>
      <c r="E800" s="9"/>
      <c r="F800" s="25"/>
      <c r="G800" s="61"/>
      <c r="H800" s="67">
        <v>43213</v>
      </c>
      <c r="I800" s="8"/>
      <c r="J800" s="8"/>
      <c r="K800" s="8"/>
      <c r="L800" s="8"/>
      <c r="M800" s="8"/>
    </row>
    <row r="801" spans="1:13">
      <c r="A801" s="62" t="s">
        <v>1239</v>
      </c>
      <c r="B801" s="58">
        <v>33172771814</v>
      </c>
      <c r="C801" s="63"/>
      <c r="D801" s="60"/>
      <c r="E801" s="9">
        <v>262</v>
      </c>
      <c r="F801" s="25">
        <v>43160</v>
      </c>
      <c r="G801" s="9" t="s">
        <v>13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1240</v>
      </c>
      <c r="B802" s="58">
        <v>27298776819</v>
      </c>
      <c r="C802" s="63" t="s">
        <v>1241</v>
      </c>
      <c r="D802" s="60">
        <v>31387900544</v>
      </c>
      <c r="E802" s="9">
        <v>229</v>
      </c>
      <c r="F802" s="25">
        <v>43151</v>
      </c>
      <c r="G802" s="61" t="s">
        <v>13</v>
      </c>
      <c r="H802" s="67">
        <v>43213</v>
      </c>
      <c r="I802" s="8"/>
      <c r="J802" s="8"/>
      <c r="K802" s="8"/>
      <c r="L802" s="9">
        <v>232</v>
      </c>
      <c r="M802" s="8"/>
    </row>
    <row r="803" spans="1:13">
      <c r="A803" s="62" t="s">
        <v>1242</v>
      </c>
      <c r="B803" s="58">
        <v>28802120811</v>
      </c>
      <c r="C803" s="63" t="s">
        <v>1243</v>
      </c>
      <c r="D803" s="60">
        <v>60971240400</v>
      </c>
      <c r="E803" s="9"/>
      <c r="F803" s="25"/>
      <c r="G803" s="61"/>
      <c r="H803" s="67">
        <v>43213</v>
      </c>
      <c r="I803" s="8"/>
      <c r="J803" s="8"/>
      <c r="K803" s="8"/>
      <c r="L803" s="8"/>
      <c r="M803" s="8"/>
    </row>
    <row r="804" spans="1:13">
      <c r="A804" s="18" t="s">
        <v>1244</v>
      </c>
      <c r="B804" s="58">
        <v>34581351898</v>
      </c>
      <c r="C804" s="18" t="s">
        <v>1245</v>
      </c>
      <c r="D804" s="60">
        <v>68836376487</v>
      </c>
      <c r="E804" s="9"/>
      <c r="F804" s="25"/>
      <c r="G804" s="61"/>
      <c r="H804" s="67">
        <v>43213</v>
      </c>
      <c r="I804" s="8"/>
      <c r="J804" s="8"/>
      <c r="K804" s="8"/>
      <c r="L804" s="8"/>
      <c r="M804" s="8"/>
    </row>
    <row r="805" spans="1:13">
      <c r="A805" s="62" t="s">
        <v>1246</v>
      </c>
      <c r="B805" s="58">
        <v>47141007857</v>
      </c>
      <c r="C805" s="68"/>
      <c r="D805" s="60"/>
      <c r="E805" s="9"/>
      <c r="F805" s="25"/>
      <c r="G805" s="61"/>
      <c r="H805" s="67">
        <v>43213</v>
      </c>
      <c r="I805" s="8"/>
      <c r="J805" s="8"/>
      <c r="K805" s="8"/>
      <c r="L805" s="8"/>
      <c r="M805" s="8"/>
    </row>
    <row r="806" spans="1:13">
      <c r="A806" s="13" t="s">
        <v>1247</v>
      </c>
      <c r="B806" s="58">
        <v>14886679854</v>
      </c>
      <c r="C806" s="63"/>
      <c r="D806" s="60"/>
      <c r="E806" s="9">
        <v>1350</v>
      </c>
      <c r="F806" s="25">
        <v>43006</v>
      </c>
      <c r="G806" s="61" t="s">
        <v>13</v>
      </c>
      <c r="H806" s="9"/>
      <c r="I806" s="8"/>
      <c r="J806" s="8"/>
      <c r="K806" s="8"/>
      <c r="L806" s="8"/>
      <c r="M806" s="8"/>
    </row>
    <row r="807" spans="1:13">
      <c r="A807" s="27" t="s">
        <v>1248</v>
      </c>
      <c r="B807" s="58"/>
      <c r="C807" s="27" t="s">
        <v>129</v>
      </c>
      <c r="D807" s="60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62" t="s">
        <v>1249</v>
      </c>
      <c r="B808" s="58">
        <v>40324052391</v>
      </c>
      <c r="C808" s="63" t="s">
        <v>1250</v>
      </c>
      <c r="D808" s="60">
        <v>48341088568</v>
      </c>
      <c r="E808" s="9">
        <v>443</v>
      </c>
      <c r="F808" s="25">
        <v>43188</v>
      </c>
      <c r="G808" s="61"/>
      <c r="H808" s="9"/>
      <c r="I808" s="8"/>
      <c r="J808" s="8"/>
      <c r="K808" s="8"/>
      <c r="L808" s="8"/>
      <c r="M808" s="8"/>
    </row>
    <row r="809" spans="1:13">
      <c r="A809" s="62" t="s">
        <v>1251</v>
      </c>
      <c r="B809" s="58">
        <v>22504335857</v>
      </c>
      <c r="C809" s="63"/>
      <c r="D809" s="60"/>
      <c r="E809" s="9">
        <v>810</v>
      </c>
      <c r="F809" s="25">
        <v>42915</v>
      </c>
      <c r="G809" s="61" t="s">
        <v>13</v>
      </c>
      <c r="H809" s="9"/>
      <c r="I809" s="8"/>
      <c r="J809" s="8"/>
      <c r="K809" s="8"/>
      <c r="L809" s="9" t="s">
        <v>138</v>
      </c>
      <c r="M809" s="8"/>
    </row>
    <row r="810" spans="1:13">
      <c r="A810" s="62" t="s">
        <v>1252</v>
      </c>
      <c r="B810" s="58">
        <v>29022777847</v>
      </c>
      <c r="C810" s="63" t="s">
        <v>1253</v>
      </c>
      <c r="D810" s="60">
        <v>33430349400</v>
      </c>
      <c r="E810" s="9">
        <v>262</v>
      </c>
      <c r="F810" s="25">
        <v>43160</v>
      </c>
      <c r="G810" s="61" t="s">
        <v>13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62" t="s">
        <v>1254</v>
      </c>
      <c r="B811" s="58">
        <v>38949324814</v>
      </c>
      <c r="C811" s="63"/>
      <c r="D811" s="60"/>
      <c r="E811" s="9">
        <v>1267</v>
      </c>
      <c r="F811" s="25">
        <v>42998</v>
      </c>
      <c r="G811" s="61" t="s">
        <v>13</v>
      </c>
      <c r="H811" s="9"/>
      <c r="I811" s="8"/>
      <c r="J811" s="8"/>
      <c r="K811" s="8"/>
      <c r="L811" s="8"/>
      <c r="M811" s="8"/>
    </row>
    <row r="812" spans="1:13">
      <c r="A812" s="62" t="s">
        <v>1255</v>
      </c>
      <c r="B812" s="58">
        <v>21892383829</v>
      </c>
      <c r="C812" s="68"/>
      <c r="D812" s="60"/>
      <c r="E812" s="9"/>
      <c r="F812" s="25"/>
      <c r="G812" s="61"/>
      <c r="H812" s="9"/>
      <c r="I812" s="8"/>
      <c r="J812" s="8"/>
      <c r="K812" s="8"/>
      <c r="L812" s="8"/>
      <c r="M812" s="8"/>
    </row>
    <row r="813" spans="1:13">
      <c r="A813" s="62" t="s">
        <v>1256</v>
      </c>
      <c r="B813" s="58">
        <v>72671912668</v>
      </c>
      <c r="C813" s="63"/>
      <c r="D813" s="60"/>
      <c r="E813" s="9">
        <v>1106</v>
      </c>
      <c r="F813" s="25">
        <v>42965</v>
      </c>
      <c r="G813" s="61" t="s">
        <v>13</v>
      </c>
      <c r="H813" s="9"/>
      <c r="I813" s="8"/>
      <c r="J813" s="8"/>
      <c r="K813" s="8"/>
      <c r="L813" s="8"/>
      <c r="M813" s="8"/>
    </row>
    <row r="814" spans="1:13">
      <c r="A814" s="62" t="s">
        <v>1257</v>
      </c>
      <c r="B814" s="58">
        <v>43523026865</v>
      </c>
      <c r="C814" s="63" t="s">
        <v>1258</v>
      </c>
      <c r="D814" s="60">
        <v>34320843827</v>
      </c>
      <c r="E814" s="9">
        <v>443</v>
      </c>
      <c r="F814" s="25">
        <v>43188</v>
      </c>
      <c r="G814" s="61"/>
      <c r="H814" s="9"/>
      <c r="I814" s="8"/>
      <c r="J814" s="8"/>
      <c r="K814" s="8"/>
      <c r="L814" s="8"/>
      <c r="M814" s="8"/>
    </row>
    <row r="815" spans="1:13">
      <c r="A815" s="27" t="s">
        <v>1259</v>
      </c>
      <c r="B815" s="58"/>
      <c r="C815" s="27" t="s">
        <v>129</v>
      </c>
      <c r="D815" s="60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62" t="s">
        <v>1260</v>
      </c>
      <c r="B816" s="58">
        <v>22677175819</v>
      </c>
      <c r="C816" s="63"/>
      <c r="D816" s="60"/>
      <c r="E816" s="9">
        <v>1752</v>
      </c>
      <c r="F816" s="25">
        <v>43051</v>
      </c>
      <c r="G816" s="61" t="s">
        <v>13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1261</v>
      </c>
      <c r="B817" s="58">
        <v>4535744599</v>
      </c>
      <c r="C817" s="63"/>
      <c r="D817" s="60"/>
      <c r="E817" s="9">
        <v>229</v>
      </c>
      <c r="F817" s="25">
        <v>43151</v>
      </c>
      <c r="G817" s="61" t="s">
        <v>13</v>
      </c>
      <c r="H817" s="9"/>
      <c r="I817" s="8"/>
      <c r="J817" s="8"/>
      <c r="K817" s="8"/>
      <c r="L817" s="9">
        <v>232</v>
      </c>
      <c r="M817" s="8"/>
    </row>
    <row r="818" spans="1:13">
      <c r="A818" s="62" t="s">
        <v>1262</v>
      </c>
      <c r="B818" s="58">
        <v>40994549830</v>
      </c>
      <c r="C818" s="63"/>
      <c r="D818" s="60"/>
      <c r="E818" s="9">
        <v>810</v>
      </c>
      <c r="F818" s="25">
        <v>42915</v>
      </c>
      <c r="G818" s="61" t="s">
        <v>13</v>
      </c>
      <c r="H818" s="9"/>
      <c r="I818" s="8"/>
      <c r="J818" s="8"/>
      <c r="K818" s="8"/>
      <c r="L818" s="9" t="s">
        <v>138</v>
      </c>
      <c r="M818" s="8"/>
    </row>
    <row r="819" spans="1:13">
      <c r="A819" s="62" t="s">
        <v>1263</v>
      </c>
      <c r="B819" s="58">
        <v>17617958803</v>
      </c>
      <c r="C819" s="63"/>
      <c r="D819" s="60"/>
      <c r="E819" s="9"/>
      <c r="F819" s="25"/>
      <c r="G819" s="61"/>
      <c r="H819" s="9"/>
      <c r="I819" s="8"/>
      <c r="J819" s="8"/>
      <c r="K819" s="8"/>
      <c r="L819" s="8"/>
      <c r="M819" s="8"/>
    </row>
    <row r="820" spans="1:13">
      <c r="A820" s="13" t="s">
        <v>1264</v>
      </c>
      <c r="B820" s="58">
        <v>27801402839</v>
      </c>
      <c r="C820" s="59"/>
      <c r="D820" s="60"/>
      <c r="E820" s="9"/>
      <c r="F820" s="25"/>
      <c r="G820" s="61"/>
      <c r="H820" s="9"/>
      <c r="I820" s="8"/>
      <c r="J820" s="8"/>
      <c r="K820" s="8"/>
      <c r="L820" s="8"/>
      <c r="M820" s="8"/>
    </row>
    <row r="821" spans="1:13">
      <c r="A821" s="62" t="s">
        <v>1265</v>
      </c>
      <c r="B821" s="58">
        <v>32672074879</v>
      </c>
      <c r="C821" s="63"/>
      <c r="D821" s="60"/>
      <c r="E821" s="9">
        <v>292</v>
      </c>
      <c r="F821" s="25">
        <v>43168</v>
      </c>
      <c r="G821" s="61" t="s">
        <v>13</v>
      </c>
      <c r="H821" s="9"/>
      <c r="I821" s="8"/>
      <c r="J821" s="8"/>
      <c r="K821" s="8"/>
      <c r="L821" s="9">
        <v>318</v>
      </c>
      <c r="M821" s="8"/>
    </row>
    <row r="822" spans="1:13">
      <c r="A822" s="62" t="s">
        <v>1266</v>
      </c>
      <c r="B822" s="58">
        <v>31103432826</v>
      </c>
      <c r="C822" s="63"/>
      <c r="D822" s="60"/>
      <c r="E822" s="9">
        <v>1262</v>
      </c>
      <c r="F822" s="25">
        <v>42997</v>
      </c>
      <c r="G822" s="61" t="s">
        <v>13</v>
      </c>
      <c r="H822" s="9"/>
      <c r="I822" s="8"/>
      <c r="J822" s="8"/>
      <c r="K822" s="8"/>
      <c r="L822" s="8"/>
      <c r="M822" s="8"/>
    </row>
    <row r="823" spans="1:13">
      <c r="A823" s="62" t="s">
        <v>1267</v>
      </c>
      <c r="B823" s="58">
        <v>5102923480</v>
      </c>
      <c r="C823" s="63" t="s">
        <v>1268</v>
      </c>
      <c r="D823" s="60">
        <v>70514526491</v>
      </c>
      <c r="E823" s="9"/>
      <c r="F823" s="25"/>
      <c r="G823" s="61"/>
      <c r="H823" s="9"/>
      <c r="I823" s="8"/>
      <c r="J823" s="8"/>
      <c r="K823" s="8"/>
      <c r="L823" s="8"/>
      <c r="M823" s="8"/>
    </row>
    <row r="824" spans="1:13">
      <c r="A824" s="62" t="s">
        <v>1269</v>
      </c>
      <c r="B824" s="58">
        <v>7268622406</v>
      </c>
      <c r="C824" s="63" t="s">
        <v>1270</v>
      </c>
      <c r="D824" s="60">
        <v>40507630874</v>
      </c>
      <c r="E824" s="9">
        <v>1267</v>
      </c>
      <c r="F824" s="25">
        <v>42998</v>
      </c>
      <c r="G824" s="61" t="s">
        <v>13</v>
      </c>
      <c r="H824" s="9"/>
      <c r="I824" s="8"/>
      <c r="J824" s="8"/>
      <c r="K824" s="8"/>
      <c r="L824" s="8"/>
      <c r="M824" s="8"/>
    </row>
    <row r="825" spans="1:13">
      <c r="A825" s="62" t="s">
        <v>1271</v>
      </c>
      <c r="B825" s="58" t="s">
        <v>1272</v>
      </c>
      <c r="C825" s="68" t="s">
        <v>1273</v>
      </c>
      <c r="D825" s="60" t="s">
        <v>1274</v>
      </c>
      <c r="E825" s="9"/>
      <c r="F825" s="25"/>
      <c r="G825" s="61"/>
      <c r="H825" s="9"/>
      <c r="I825" s="8"/>
      <c r="J825" s="8"/>
      <c r="K825" s="8"/>
      <c r="L825" s="8"/>
      <c r="M825" s="8"/>
    </row>
    <row r="826" spans="1:13">
      <c r="A826" s="27" t="s">
        <v>1275</v>
      </c>
      <c r="B826" s="58"/>
      <c r="C826" s="27" t="s">
        <v>129</v>
      </c>
      <c r="D826" s="60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63" t="s">
        <v>1276</v>
      </c>
      <c r="B827" s="58">
        <v>31429224827</v>
      </c>
      <c r="C827" s="63" t="s">
        <v>1277</v>
      </c>
      <c r="D827" s="60">
        <v>27263725894</v>
      </c>
      <c r="E827" s="9">
        <v>292</v>
      </c>
      <c r="F827" s="25">
        <v>43168</v>
      </c>
      <c r="G827" s="61" t="s">
        <v>20</v>
      </c>
      <c r="H827" s="9"/>
      <c r="I827" s="8"/>
      <c r="J827" s="8"/>
      <c r="K827" s="8"/>
      <c r="L827" s="9">
        <v>318</v>
      </c>
      <c r="M827" s="8"/>
    </row>
    <row r="828" spans="1:13">
      <c r="A828" s="62" t="s">
        <v>1278</v>
      </c>
      <c r="B828" s="58">
        <v>3753540420</v>
      </c>
      <c r="C828" s="63" t="s">
        <v>1215</v>
      </c>
      <c r="D828" s="60">
        <v>68360118434</v>
      </c>
      <c r="E828" s="9"/>
      <c r="F828" s="25"/>
      <c r="G828" s="61"/>
      <c r="H828" s="9"/>
      <c r="I828" s="8"/>
      <c r="J828" s="8"/>
      <c r="K828" s="8"/>
      <c r="L828" s="8"/>
      <c r="M828" s="8"/>
    </row>
    <row r="829" spans="1:13">
      <c r="A829" s="27" t="s">
        <v>1279</v>
      </c>
      <c r="B829" s="58">
        <v>5797649667</v>
      </c>
      <c r="C829" s="27"/>
      <c r="D829" s="60"/>
      <c r="E829" s="9"/>
      <c r="F829" s="25"/>
      <c r="G829" s="61"/>
      <c r="H829" s="9"/>
      <c r="I829" s="8"/>
      <c r="J829" s="8"/>
      <c r="K829" s="8"/>
      <c r="L829" s="8"/>
      <c r="M829" s="8"/>
    </row>
    <row r="830" spans="1:13">
      <c r="A830" s="64" t="s">
        <v>1280</v>
      </c>
      <c r="B830" s="58">
        <v>36723660803</v>
      </c>
      <c r="C830" s="63" t="s">
        <v>1281</v>
      </c>
      <c r="D830" s="60">
        <v>32763586899</v>
      </c>
      <c r="E830" s="9">
        <v>608</v>
      </c>
      <c r="F830" s="25">
        <v>43012</v>
      </c>
      <c r="G830" s="61" t="s">
        <v>13</v>
      </c>
      <c r="H830" s="9"/>
      <c r="I830" s="8"/>
      <c r="J830" s="8"/>
      <c r="K830" s="8"/>
      <c r="L830" s="8"/>
      <c r="M830" s="8"/>
    </row>
    <row r="831" spans="1:13">
      <c r="A831" s="13" t="s">
        <v>1282</v>
      </c>
      <c r="B831" s="58">
        <v>81445407868</v>
      </c>
      <c r="C831" s="59"/>
      <c r="D831" s="60"/>
      <c r="E831" s="9">
        <v>1128</v>
      </c>
      <c r="F831" s="25">
        <v>42972</v>
      </c>
      <c r="G831" s="61" t="s">
        <v>13</v>
      </c>
      <c r="H831" s="9"/>
      <c r="I831" s="8"/>
      <c r="J831" s="8"/>
      <c r="K831" s="8"/>
      <c r="L831" s="8"/>
      <c r="M831" s="8"/>
    </row>
    <row r="832" spans="1:13">
      <c r="A832" s="63" t="s">
        <v>1283</v>
      </c>
      <c r="B832" s="58">
        <v>166405462</v>
      </c>
      <c r="C832" s="15" t="s">
        <v>1284</v>
      </c>
      <c r="D832" s="60">
        <v>14662128889</v>
      </c>
      <c r="E832" s="9"/>
      <c r="F832" s="25"/>
      <c r="G832" s="61"/>
      <c r="H832" s="9"/>
      <c r="I832" s="8"/>
      <c r="J832" s="8"/>
      <c r="K832" s="8"/>
      <c r="L832" s="8"/>
      <c r="M832" s="8"/>
    </row>
    <row r="833" spans="1:13">
      <c r="A833" s="62" t="s">
        <v>1285</v>
      </c>
      <c r="B833" s="58">
        <v>12840272873</v>
      </c>
      <c r="C833" s="63"/>
      <c r="D833" s="60"/>
      <c r="E833" s="9">
        <v>810</v>
      </c>
      <c r="F833" s="25">
        <v>42915</v>
      </c>
      <c r="G833" s="61" t="s">
        <v>13</v>
      </c>
      <c r="H833" s="9"/>
      <c r="I833" s="8"/>
      <c r="J833" s="8"/>
      <c r="K833" s="8"/>
      <c r="L833" s="9" t="s">
        <v>138</v>
      </c>
      <c r="M833" s="8"/>
    </row>
    <row r="834" spans="1:13">
      <c r="A834" s="15" t="s">
        <v>1286</v>
      </c>
      <c r="B834" s="58">
        <v>39072123808</v>
      </c>
      <c r="C834" s="63"/>
      <c r="D834" s="60"/>
      <c r="E834" s="9">
        <v>229</v>
      </c>
      <c r="F834" s="25">
        <v>43151</v>
      </c>
      <c r="G834" s="61" t="s">
        <v>13</v>
      </c>
      <c r="H834" s="9"/>
      <c r="I834" s="8"/>
      <c r="J834" s="8"/>
      <c r="K834" s="8"/>
      <c r="L834" s="9">
        <v>232</v>
      </c>
      <c r="M834" s="8"/>
    </row>
    <row r="835" spans="1:13">
      <c r="A835" s="31" t="s">
        <v>1287</v>
      </c>
      <c r="B835" s="58">
        <v>13621159835</v>
      </c>
      <c r="C835" s="63" t="s">
        <v>1288</v>
      </c>
      <c r="D835" s="60">
        <v>35124170867</v>
      </c>
      <c r="E835" s="9">
        <v>229</v>
      </c>
      <c r="F835" s="25">
        <v>43151</v>
      </c>
      <c r="G835" s="61" t="s">
        <v>13</v>
      </c>
      <c r="H835" s="9"/>
      <c r="I835" s="8"/>
      <c r="J835" s="8"/>
      <c r="K835" s="8"/>
      <c r="L835" s="9">
        <v>232</v>
      </c>
      <c r="M835" s="8"/>
    </row>
    <row r="836" spans="1:13">
      <c r="A836" s="64" t="s">
        <v>1289</v>
      </c>
      <c r="B836" s="58">
        <v>34649647878</v>
      </c>
      <c r="C836" s="63" t="s">
        <v>1290</v>
      </c>
      <c r="D836" s="60">
        <v>17811429802</v>
      </c>
      <c r="E836" s="9">
        <v>810</v>
      </c>
      <c r="F836" s="25">
        <v>42915</v>
      </c>
      <c r="G836" s="61" t="s">
        <v>13</v>
      </c>
      <c r="H836" s="9"/>
      <c r="I836" s="8"/>
      <c r="J836" s="8"/>
      <c r="K836" s="8"/>
      <c r="L836" s="9" t="s">
        <v>138</v>
      </c>
      <c r="M836" s="8"/>
    </row>
    <row r="837" spans="1:13">
      <c r="A837" s="62" t="s">
        <v>1291</v>
      </c>
      <c r="B837" s="58">
        <v>25809517846</v>
      </c>
      <c r="C837" s="64" t="s">
        <v>1292</v>
      </c>
      <c r="D837" s="60">
        <v>68856830434</v>
      </c>
      <c r="E837" s="9">
        <v>292</v>
      </c>
      <c r="F837" s="25">
        <v>43168</v>
      </c>
      <c r="G837" s="61" t="s">
        <v>20</v>
      </c>
      <c r="H837" s="9"/>
      <c r="I837" s="8"/>
      <c r="J837" s="8"/>
      <c r="K837" s="8"/>
      <c r="L837" s="9">
        <v>318</v>
      </c>
      <c r="M837" s="8"/>
    </row>
    <row r="838" spans="1:13">
      <c r="A838" s="62" t="s">
        <v>1293</v>
      </c>
      <c r="B838" s="58">
        <v>6952730435</v>
      </c>
      <c r="C838" s="63" t="s">
        <v>1294</v>
      </c>
      <c r="D838" s="60">
        <v>8004608477</v>
      </c>
      <c r="E838" s="9">
        <v>810</v>
      </c>
      <c r="F838" s="25">
        <v>42915</v>
      </c>
      <c r="G838" s="61" t="s">
        <v>13</v>
      </c>
      <c r="H838" s="9"/>
      <c r="I838" s="8"/>
      <c r="J838" s="8"/>
      <c r="K838" s="8"/>
      <c r="L838" s="9" t="s">
        <v>138</v>
      </c>
      <c r="M838" s="8"/>
    </row>
    <row r="839" spans="1:13">
      <c r="A839" s="62" t="s">
        <v>1295</v>
      </c>
      <c r="B839" s="58">
        <v>23440697800</v>
      </c>
      <c r="C839" s="63" t="s">
        <v>1296</v>
      </c>
      <c r="D839" s="60">
        <v>93690177553</v>
      </c>
      <c r="E839" s="9">
        <v>292</v>
      </c>
      <c r="F839" s="25">
        <v>43168</v>
      </c>
      <c r="G839" s="61" t="s">
        <v>13</v>
      </c>
      <c r="H839" s="9"/>
      <c r="I839" s="8"/>
      <c r="J839" s="8"/>
      <c r="K839" s="8"/>
      <c r="L839" s="9">
        <v>318</v>
      </c>
      <c r="M839" s="8"/>
    </row>
    <row r="840" spans="1:13">
      <c r="A840" s="62" t="s">
        <v>1297</v>
      </c>
      <c r="B840" s="58">
        <v>93567421549</v>
      </c>
      <c r="C840" s="63" t="s">
        <v>1298</v>
      </c>
      <c r="D840" s="60"/>
      <c r="E840" s="9"/>
      <c r="F840" s="25"/>
      <c r="G840" s="61"/>
      <c r="H840" s="9"/>
      <c r="I840" s="8"/>
      <c r="J840" s="8"/>
      <c r="K840" s="8"/>
      <c r="L840" s="8"/>
      <c r="M840" s="8"/>
    </row>
    <row r="841" spans="1:13">
      <c r="A841" s="62" t="s">
        <v>1299</v>
      </c>
      <c r="B841" s="58">
        <v>27080114802</v>
      </c>
      <c r="C841" s="63"/>
      <c r="D841" s="60"/>
      <c r="E841" s="9"/>
      <c r="F841" s="25"/>
      <c r="G841" s="61"/>
      <c r="H841" s="9"/>
      <c r="I841" s="8"/>
      <c r="J841" s="8"/>
      <c r="K841" s="8"/>
      <c r="L841" s="8"/>
      <c r="M841" s="8"/>
    </row>
    <row r="842" spans="1:13">
      <c r="A842" s="15" t="s">
        <v>1300</v>
      </c>
      <c r="B842" s="58">
        <v>35370332819</v>
      </c>
      <c r="C842" s="63"/>
      <c r="D842" s="60"/>
      <c r="E842" s="9">
        <v>117</v>
      </c>
      <c r="F842" s="25">
        <v>43117</v>
      </c>
      <c r="G842" s="61" t="s">
        <v>13</v>
      </c>
      <c r="H842" s="9"/>
      <c r="I842" s="8"/>
      <c r="J842" s="8"/>
      <c r="K842" s="8"/>
      <c r="L842" s="9" t="s">
        <v>170</v>
      </c>
      <c r="M842" s="8"/>
    </row>
    <row r="843" spans="1:13">
      <c r="A843" s="62" t="s">
        <v>1301</v>
      </c>
      <c r="B843" s="58">
        <v>28610864839</v>
      </c>
      <c r="C843" s="63"/>
      <c r="D843" s="60"/>
      <c r="E843" s="9">
        <v>292</v>
      </c>
      <c r="F843" s="25">
        <v>43168</v>
      </c>
      <c r="G843" s="61" t="s">
        <v>13</v>
      </c>
      <c r="H843" s="9"/>
      <c r="I843" s="8"/>
      <c r="J843" s="8"/>
      <c r="K843" s="8"/>
      <c r="L843" s="9">
        <v>318</v>
      </c>
      <c r="M843" s="8"/>
    </row>
    <row r="844" spans="1:13">
      <c r="A844" s="62" t="s">
        <v>1302</v>
      </c>
      <c r="B844" s="58">
        <v>33739957875</v>
      </c>
      <c r="C844" s="63"/>
      <c r="D844" s="60"/>
      <c r="E844" s="9"/>
      <c r="F844" s="25"/>
      <c r="G844" s="61"/>
      <c r="H844" s="9"/>
      <c r="I844" s="8"/>
      <c r="J844" s="8"/>
      <c r="K844" s="8"/>
      <c r="L844" s="8"/>
      <c r="M844" s="8"/>
    </row>
    <row r="845" spans="1:13">
      <c r="A845" s="15" t="s">
        <v>1303</v>
      </c>
      <c r="B845" s="58">
        <v>30864304862</v>
      </c>
      <c r="C845" s="63"/>
      <c r="D845" s="60"/>
      <c r="E845" s="9">
        <v>117</v>
      </c>
      <c r="F845" s="25">
        <v>43117</v>
      </c>
      <c r="G845" s="61" t="s">
        <v>13</v>
      </c>
      <c r="H845" s="9"/>
      <c r="I845" s="8"/>
      <c r="J845" s="8"/>
      <c r="K845" s="8"/>
      <c r="L845" s="9" t="s">
        <v>170</v>
      </c>
      <c r="M845" s="8"/>
    </row>
    <row r="846" spans="1:13">
      <c r="A846" s="62" t="s">
        <v>1304</v>
      </c>
      <c r="B846" s="58">
        <v>27689625894</v>
      </c>
      <c r="C846" s="63"/>
      <c r="D846" s="60"/>
      <c r="E846" s="9">
        <v>1417</v>
      </c>
      <c r="F846" s="25">
        <v>43017</v>
      </c>
      <c r="G846" s="61" t="s">
        <v>13</v>
      </c>
      <c r="H846" s="9"/>
      <c r="I846" s="8"/>
      <c r="J846" s="8"/>
      <c r="K846" s="8"/>
      <c r="L846" s="9" t="s">
        <v>253</v>
      </c>
      <c r="M846" s="8"/>
    </row>
    <row r="847" spans="1:13">
      <c r="A847" s="62" t="s">
        <v>1305</v>
      </c>
      <c r="B847" s="58">
        <v>10762166843</v>
      </c>
      <c r="C847" s="63" t="s">
        <v>1306</v>
      </c>
      <c r="D847" s="60">
        <v>18471490811</v>
      </c>
      <c r="E847" s="9">
        <v>1752</v>
      </c>
      <c r="F847" s="25">
        <v>43051</v>
      </c>
      <c r="G847" s="74" t="s">
        <v>13</v>
      </c>
      <c r="H847" s="9"/>
      <c r="I847" s="8"/>
      <c r="J847" s="8"/>
      <c r="K847" s="8"/>
      <c r="L847" s="9">
        <v>1759</v>
      </c>
      <c r="M847" s="8"/>
    </row>
    <row r="848" spans="1:13">
      <c r="A848" s="62" t="s">
        <v>1307</v>
      </c>
      <c r="B848" s="58">
        <v>22667549805</v>
      </c>
      <c r="C848" s="63"/>
      <c r="D848" s="60"/>
      <c r="E848" s="9"/>
      <c r="F848" s="25"/>
      <c r="G848" s="61"/>
      <c r="H848" s="9"/>
      <c r="I848" s="8"/>
      <c r="J848" s="8"/>
      <c r="K848" s="8"/>
      <c r="L848" s="8"/>
      <c r="M848" s="8"/>
    </row>
    <row r="849" spans="1:13">
      <c r="A849" s="15" t="s">
        <v>1308</v>
      </c>
      <c r="B849" s="58">
        <v>38988535863</v>
      </c>
      <c r="C849" s="63" t="s">
        <v>1309</v>
      </c>
      <c r="D849" s="60">
        <v>34543536886</v>
      </c>
      <c r="E849" s="9">
        <v>1555</v>
      </c>
      <c r="F849" s="25">
        <v>43049</v>
      </c>
      <c r="G849" s="61" t="s">
        <v>13</v>
      </c>
      <c r="H849" s="9"/>
      <c r="I849" s="8"/>
      <c r="J849" s="8"/>
      <c r="K849" s="8"/>
      <c r="L849" s="9" t="s">
        <v>398</v>
      </c>
      <c r="M849" s="8"/>
    </row>
    <row r="850" spans="1:13">
      <c r="A850" s="62" t="s">
        <v>1310</v>
      </c>
      <c r="B850" s="58">
        <v>81902581334</v>
      </c>
      <c r="C850" s="63" t="s">
        <v>1311</v>
      </c>
      <c r="D850" s="60">
        <v>42305020368</v>
      </c>
      <c r="E850" s="9">
        <v>1752</v>
      </c>
      <c r="F850" s="25">
        <v>43051</v>
      </c>
      <c r="G850" s="61" t="s">
        <v>13</v>
      </c>
      <c r="H850" s="9"/>
      <c r="I850" s="8"/>
      <c r="J850" s="8"/>
      <c r="K850" s="8"/>
      <c r="L850" s="9">
        <v>1759</v>
      </c>
      <c r="M850" s="8"/>
    </row>
    <row r="851" spans="1:13">
      <c r="A851" s="63" t="s">
        <v>1312</v>
      </c>
      <c r="B851" s="58">
        <v>15273848881</v>
      </c>
      <c r="C851" s="63"/>
      <c r="D851" s="60"/>
      <c r="E851" s="9"/>
      <c r="F851" s="25"/>
      <c r="G851" s="61"/>
      <c r="H851" s="9"/>
      <c r="I851" s="8"/>
      <c r="J851" s="8"/>
      <c r="K851" s="8"/>
      <c r="L851" s="8"/>
      <c r="M851" s="8"/>
    </row>
    <row r="852" spans="1:13">
      <c r="A852" s="62" t="s">
        <v>1313</v>
      </c>
      <c r="B852" s="58">
        <v>10724870806</v>
      </c>
      <c r="C852" s="59"/>
      <c r="D852" s="60"/>
      <c r="E852" s="9">
        <v>1128</v>
      </c>
      <c r="F852" s="25">
        <v>42972</v>
      </c>
      <c r="G852" s="61" t="s">
        <v>13</v>
      </c>
      <c r="H852" s="9"/>
      <c r="I852" s="8"/>
      <c r="J852" s="8"/>
      <c r="K852" s="8"/>
      <c r="L852" s="8"/>
      <c r="M852" s="8"/>
    </row>
    <row r="853" spans="1:13">
      <c r="A853" s="63" t="s">
        <v>1314</v>
      </c>
      <c r="B853" s="58">
        <v>24359025491</v>
      </c>
      <c r="C853" s="63"/>
      <c r="D853" s="60"/>
      <c r="E853" s="9">
        <v>1470</v>
      </c>
      <c r="F853" s="25">
        <v>43031</v>
      </c>
      <c r="G853" s="61" t="s">
        <v>13</v>
      </c>
      <c r="H853" s="9"/>
      <c r="I853" s="8"/>
      <c r="J853" s="8"/>
      <c r="K853" s="8"/>
      <c r="L853" s="8"/>
      <c r="M853" s="8"/>
    </row>
    <row r="854" spans="1:13">
      <c r="A854" s="15" t="s">
        <v>1315</v>
      </c>
      <c r="B854" s="58">
        <v>35779992843</v>
      </c>
      <c r="C854" s="63"/>
      <c r="D854" s="60"/>
      <c r="E854" s="9"/>
      <c r="F854" s="25"/>
      <c r="G854" s="61"/>
      <c r="H854" s="9"/>
      <c r="I854" s="8"/>
      <c r="J854" s="8"/>
      <c r="K854" s="8"/>
      <c r="L854" s="8"/>
      <c r="M854" s="8"/>
    </row>
    <row r="855" spans="1:13">
      <c r="A855" s="62" t="s">
        <v>1316</v>
      </c>
      <c r="B855" s="58">
        <v>37794188865</v>
      </c>
      <c r="C855" s="64"/>
      <c r="D855" s="60"/>
      <c r="E855" s="9">
        <v>292</v>
      </c>
      <c r="F855" s="25">
        <v>43168</v>
      </c>
      <c r="G855" s="61" t="s">
        <v>13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1317</v>
      </c>
      <c r="B856" s="58">
        <v>36135801520</v>
      </c>
      <c r="C856" s="15" t="s">
        <v>1318</v>
      </c>
      <c r="D856" s="60"/>
      <c r="E856" s="9"/>
      <c r="F856" s="25"/>
      <c r="G856" s="61"/>
      <c r="H856" s="9"/>
      <c r="I856" s="8"/>
      <c r="J856" s="8"/>
      <c r="K856" s="8"/>
      <c r="L856" s="8"/>
      <c r="M856" s="8"/>
    </row>
    <row r="857" spans="1:13">
      <c r="A857" s="15" t="s">
        <v>1319</v>
      </c>
      <c r="B857" s="58">
        <v>43231450802</v>
      </c>
      <c r="C857" s="63" t="s">
        <v>1320</v>
      </c>
      <c r="D857" s="60">
        <v>44306255816</v>
      </c>
      <c r="E857" s="9">
        <v>527</v>
      </c>
      <c r="F857" s="25">
        <v>43210</v>
      </c>
      <c r="G857" s="61"/>
      <c r="H857" s="9"/>
      <c r="I857" s="8"/>
      <c r="J857" s="8"/>
      <c r="K857" s="8"/>
      <c r="L857" s="9">
        <v>528</v>
      </c>
      <c r="M857" s="8"/>
    </row>
    <row r="858" spans="1:13">
      <c r="A858" s="68" t="s">
        <v>1321</v>
      </c>
      <c r="B858" s="58">
        <v>38163601817</v>
      </c>
      <c r="C858" s="63" t="s">
        <v>1322</v>
      </c>
      <c r="D858" s="60">
        <v>36840584836</v>
      </c>
      <c r="E858" s="9">
        <v>292</v>
      </c>
      <c r="F858" s="25">
        <v>43168</v>
      </c>
      <c r="G858" s="61" t="s">
        <v>13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1323</v>
      </c>
      <c r="B859" s="58">
        <v>40853154805</v>
      </c>
      <c r="C859" s="63" t="s">
        <v>1324</v>
      </c>
      <c r="D859" s="60">
        <v>23596403804</v>
      </c>
      <c r="E859" s="9">
        <v>229</v>
      </c>
      <c r="F859" s="25">
        <v>43151</v>
      </c>
      <c r="G859" s="61" t="s">
        <v>13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1325</v>
      </c>
      <c r="B860" s="58">
        <v>25906972870</v>
      </c>
      <c r="C860" s="63"/>
      <c r="D860" s="60"/>
      <c r="E860" s="9">
        <v>262</v>
      </c>
      <c r="F860" s="25">
        <v>43160</v>
      </c>
      <c r="G860" s="61" t="s">
        <v>13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1326</v>
      </c>
      <c r="B861" s="58">
        <v>43008370829</v>
      </c>
      <c r="C861" s="59"/>
      <c r="D861" s="60"/>
      <c r="E861" s="9"/>
      <c r="F861" s="25"/>
      <c r="G861" s="61"/>
      <c r="H861" s="9"/>
      <c r="I861" s="8"/>
      <c r="J861" s="8"/>
      <c r="K861" s="8"/>
      <c r="L861" s="8"/>
      <c r="M861" s="8"/>
    </row>
    <row r="862" spans="1:13">
      <c r="A862" s="62" t="s">
        <v>1327</v>
      </c>
      <c r="B862" s="58">
        <v>95551964434</v>
      </c>
      <c r="C862" s="63"/>
      <c r="D862" s="60"/>
      <c r="E862" s="9">
        <v>1555</v>
      </c>
      <c r="F862" s="25">
        <v>43049</v>
      </c>
      <c r="G862" s="61" t="s">
        <v>13</v>
      </c>
      <c r="H862" s="9"/>
      <c r="I862" s="8"/>
      <c r="J862" s="8"/>
      <c r="K862" s="8"/>
      <c r="L862" s="9" t="s">
        <v>398</v>
      </c>
      <c r="M862" s="8"/>
    </row>
    <row r="863" spans="1:13">
      <c r="A863" s="14" t="s">
        <v>1328</v>
      </c>
      <c r="B863" s="58">
        <v>35839827894</v>
      </c>
      <c r="C863" s="63"/>
      <c r="D863" s="60"/>
      <c r="E863" s="9">
        <v>292</v>
      </c>
      <c r="F863" s="25">
        <v>43168</v>
      </c>
      <c r="G863" s="61" t="s">
        <v>13</v>
      </c>
      <c r="H863" s="9"/>
      <c r="I863" s="8"/>
      <c r="J863" s="8"/>
      <c r="K863" s="8"/>
      <c r="L863" s="9">
        <v>318</v>
      </c>
      <c r="M863" s="8"/>
    </row>
    <row r="864" spans="1:13">
      <c r="A864" s="62" t="s">
        <v>1329</v>
      </c>
      <c r="B864" s="58">
        <v>16124240823</v>
      </c>
      <c r="C864" s="63"/>
      <c r="D864" s="60"/>
      <c r="E864" s="9">
        <v>1214</v>
      </c>
      <c r="F864" s="25">
        <v>42989</v>
      </c>
      <c r="G864" s="61" t="s">
        <v>13</v>
      </c>
      <c r="H864" s="9"/>
      <c r="I864" s="8"/>
      <c r="J864" s="8"/>
      <c r="K864" s="8"/>
      <c r="L864" s="8"/>
      <c r="M864" s="8"/>
    </row>
    <row r="865" spans="1:13">
      <c r="A865" s="62" t="s">
        <v>1330</v>
      </c>
      <c r="B865" s="58">
        <v>30708968805</v>
      </c>
      <c r="C865" s="63" t="s">
        <v>1331</v>
      </c>
      <c r="D865" s="60">
        <v>835545563</v>
      </c>
      <c r="E865" s="9">
        <v>573</v>
      </c>
      <c r="F865" s="25">
        <v>43224</v>
      </c>
      <c r="G865" s="61"/>
      <c r="H865" s="9"/>
      <c r="I865" s="8"/>
      <c r="J865" s="8"/>
      <c r="K865" s="8"/>
      <c r="L865" s="8"/>
      <c r="M865" s="8"/>
    </row>
    <row r="866" spans="1:13">
      <c r="A866" s="62" t="s">
        <v>1332</v>
      </c>
      <c r="B866" s="58">
        <v>11300803827</v>
      </c>
      <c r="C866" s="63"/>
      <c r="D866" s="60"/>
      <c r="E866" s="9"/>
      <c r="F866" s="25"/>
      <c r="G866" s="61"/>
      <c r="H866" s="9"/>
      <c r="I866" s="8"/>
      <c r="J866" s="8"/>
      <c r="K866" s="8"/>
      <c r="L866" s="8"/>
      <c r="M866" s="8"/>
    </row>
    <row r="867" spans="1:13">
      <c r="A867" s="62" t="s">
        <v>1333</v>
      </c>
      <c r="B867" s="58">
        <v>16408882846</v>
      </c>
      <c r="C867" s="63"/>
      <c r="D867" s="60"/>
      <c r="E867" s="9">
        <v>810</v>
      </c>
      <c r="F867" s="25">
        <v>42915</v>
      </c>
      <c r="G867" s="61" t="s">
        <v>13</v>
      </c>
      <c r="H867" s="9"/>
      <c r="I867" s="8"/>
      <c r="J867" s="8"/>
      <c r="K867" s="8"/>
      <c r="L867" s="9" t="s">
        <v>138</v>
      </c>
      <c r="M867" s="8"/>
    </row>
    <row r="868" spans="1:13">
      <c r="A868" s="62" t="s">
        <v>1334</v>
      </c>
      <c r="B868" s="58">
        <v>40966441885</v>
      </c>
      <c r="C868" s="63"/>
      <c r="D868" s="60"/>
      <c r="E868" s="9">
        <v>509</v>
      </c>
      <c r="F868" s="25">
        <v>43203</v>
      </c>
      <c r="G868" s="67"/>
      <c r="H868" s="67">
        <v>43213</v>
      </c>
      <c r="I868" s="8"/>
      <c r="J868" s="8"/>
      <c r="K868" s="8"/>
      <c r="L868" s="8"/>
      <c r="M868" s="8"/>
    </row>
    <row r="869" spans="1:13">
      <c r="A869" s="62" t="s">
        <v>1335</v>
      </c>
      <c r="B869" s="58">
        <v>32545141810</v>
      </c>
      <c r="C869" s="59"/>
      <c r="D869" s="60"/>
      <c r="E869" s="9">
        <v>1128</v>
      </c>
      <c r="F869" s="25">
        <v>42972</v>
      </c>
      <c r="G869" s="61" t="s">
        <v>13</v>
      </c>
      <c r="H869" s="67">
        <v>43213</v>
      </c>
      <c r="I869" s="8"/>
      <c r="J869" s="8"/>
      <c r="K869" s="8"/>
      <c r="L869" s="8"/>
      <c r="M869" s="8"/>
    </row>
    <row r="870" spans="1:13">
      <c r="A870" s="15" t="s">
        <v>1336</v>
      </c>
      <c r="B870" s="58">
        <v>41379878829</v>
      </c>
      <c r="C870" s="63" t="s">
        <v>1337</v>
      </c>
      <c r="D870" s="60">
        <v>31873661800</v>
      </c>
      <c r="E870" s="9">
        <v>443</v>
      </c>
      <c r="F870" s="25">
        <v>43188</v>
      </c>
      <c r="G870" s="61"/>
      <c r="H870" s="67">
        <v>43213</v>
      </c>
      <c r="I870" s="8"/>
      <c r="J870" s="8"/>
      <c r="K870" s="8"/>
      <c r="L870" s="8"/>
      <c r="M870" s="8"/>
    </row>
    <row r="871" spans="1:13">
      <c r="A871" s="63" t="s">
        <v>1338</v>
      </c>
      <c r="B871" s="58">
        <v>31471499863</v>
      </c>
      <c r="C871" s="63" t="s">
        <v>1339</v>
      </c>
      <c r="D871" s="60">
        <v>29559137824</v>
      </c>
      <c r="E871" s="9"/>
      <c r="F871" s="25"/>
      <c r="G871" s="61"/>
      <c r="H871" s="67">
        <v>43213</v>
      </c>
      <c r="I871" s="8"/>
      <c r="J871" s="8"/>
      <c r="K871" s="8"/>
      <c r="L871" s="8"/>
      <c r="M871" s="8"/>
    </row>
    <row r="872" spans="1:13">
      <c r="A872" s="62" t="s">
        <v>1340</v>
      </c>
      <c r="B872" s="58">
        <v>66728916504</v>
      </c>
      <c r="C872" s="59"/>
      <c r="D872" s="60"/>
      <c r="E872" s="9">
        <v>1128</v>
      </c>
      <c r="F872" s="25">
        <v>42972</v>
      </c>
      <c r="G872" s="61" t="s">
        <v>13</v>
      </c>
      <c r="H872" s="67">
        <v>43213</v>
      </c>
      <c r="I872" s="8"/>
      <c r="J872" s="8"/>
      <c r="K872" s="8"/>
      <c r="L872" s="8"/>
      <c r="M872" s="8"/>
    </row>
    <row r="873" spans="1:13">
      <c r="A873" s="62" t="s">
        <v>1341</v>
      </c>
      <c r="B873" s="58">
        <v>31620084848</v>
      </c>
      <c r="C873" s="63"/>
      <c r="D873" s="60"/>
      <c r="E873" s="9">
        <v>262</v>
      </c>
      <c r="F873" s="25">
        <v>43160</v>
      </c>
      <c r="G873" s="61" t="s">
        <v>13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62" t="s">
        <v>1342</v>
      </c>
      <c r="B874" s="58">
        <v>27878860866</v>
      </c>
      <c r="C874" s="63" t="s">
        <v>1343</v>
      </c>
      <c r="D874" s="60">
        <v>19522369837</v>
      </c>
      <c r="E874" s="9"/>
      <c r="F874" s="25"/>
      <c r="G874" s="61"/>
      <c r="H874" s="67">
        <v>43213</v>
      </c>
      <c r="I874" s="8"/>
      <c r="J874" s="8"/>
      <c r="K874" s="8"/>
      <c r="L874" s="8"/>
      <c r="M874" s="8"/>
    </row>
    <row r="875" spans="1:13">
      <c r="A875" s="63" t="s">
        <v>1344</v>
      </c>
      <c r="B875" s="58">
        <v>25002291813</v>
      </c>
      <c r="C875" s="63" t="s">
        <v>1345</v>
      </c>
      <c r="D875" s="60">
        <v>35149047821</v>
      </c>
      <c r="E875" s="9"/>
      <c r="F875" s="25"/>
      <c r="G875" s="61"/>
      <c r="H875" s="67">
        <v>43213</v>
      </c>
      <c r="I875" s="8"/>
      <c r="J875" s="8"/>
      <c r="K875" s="8"/>
      <c r="L875" s="8"/>
      <c r="M875" s="8"/>
    </row>
    <row r="876" spans="1:13">
      <c r="A876" s="18" t="s">
        <v>1346</v>
      </c>
      <c r="B876" s="58">
        <v>41096640805</v>
      </c>
      <c r="C876" s="18"/>
      <c r="D876" s="60"/>
      <c r="E876" s="9"/>
      <c r="F876" s="25"/>
      <c r="G876" s="61"/>
      <c r="H876" s="67">
        <v>43213</v>
      </c>
      <c r="I876" s="8"/>
      <c r="J876" s="8"/>
      <c r="K876" s="8"/>
      <c r="L876" s="8"/>
      <c r="M876" s="8"/>
    </row>
    <row r="877" spans="1:13">
      <c r="A877" s="27" t="s">
        <v>1347</v>
      </c>
      <c r="B877" s="58"/>
      <c r="C877" s="27" t="s">
        <v>1348</v>
      </c>
      <c r="D877" s="60"/>
      <c r="E877" s="9"/>
      <c r="F877" s="25"/>
      <c r="G877" s="2"/>
      <c r="H877" s="67">
        <v>43213</v>
      </c>
      <c r="I877" s="8"/>
      <c r="J877" s="8"/>
      <c r="K877" s="8"/>
      <c r="L877" s="8"/>
      <c r="M877" s="8"/>
    </row>
    <row r="878" spans="1:13">
      <c r="A878" s="62" t="s">
        <v>1349</v>
      </c>
      <c r="B878" s="58">
        <v>7205116589</v>
      </c>
      <c r="C878" s="63" t="s">
        <v>1350</v>
      </c>
      <c r="D878" s="60">
        <v>6411739544</v>
      </c>
      <c r="E878" s="9"/>
      <c r="F878" s="25"/>
      <c r="G878" s="61"/>
      <c r="H878" s="9"/>
      <c r="I878" s="8"/>
      <c r="J878" s="8"/>
      <c r="K878" s="8"/>
      <c r="L878" s="8"/>
      <c r="M878" s="8"/>
    </row>
    <row r="879" spans="1:13">
      <c r="A879" s="62" t="s">
        <v>1351</v>
      </c>
      <c r="B879" s="58">
        <v>11856821803</v>
      </c>
      <c r="C879" s="63"/>
      <c r="D879" s="60"/>
      <c r="E879" s="9"/>
      <c r="F879" s="25"/>
      <c r="G879" s="61"/>
      <c r="H879" s="9"/>
      <c r="I879" s="8"/>
      <c r="J879" s="8"/>
      <c r="K879" s="8"/>
      <c r="L879" s="8"/>
      <c r="M879" s="8"/>
    </row>
    <row r="880" spans="1:13">
      <c r="A880" s="62" t="s">
        <v>1352</v>
      </c>
      <c r="B880" s="58">
        <v>82084602491</v>
      </c>
      <c r="C880" s="63" t="s">
        <v>1353</v>
      </c>
      <c r="D880" s="60">
        <v>74937758420</v>
      </c>
      <c r="E880" s="9">
        <v>292</v>
      </c>
      <c r="F880" s="25">
        <v>43168</v>
      </c>
      <c r="G880" s="9" t="s">
        <v>13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1354</v>
      </c>
      <c r="B881" s="58">
        <v>2741693471</v>
      </c>
      <c r="C881" s="63"/>
      <c r="D881" s="60"/>
      <c r="E881" s="9"/>
      <c r="F881" s="25"/>
      <c r="G881" s="61"/>
      <c r="H881" s="9"/>
      <c r="I881" s="8"/>
      <c r="J881" s="8"/>
      <c r="K881" s="8"/>
      <c r="L881" s="8"/>
      <c r="M881" s="8"/>
    </row>
    <row r="882" spans="1:13">
      <c r="A882" s="62" t="s">
        <v>1355</v>
      </c>
      <c r="B882" s="58">
        <v>85446564804</v>
      </c>
      <c r="C882" s="63"/>
      <c r="D882" s="60"/>
      <c r="E882" s="9"/>
      <c r="F882" s="25"/>
      <c r="G882" s="61"/>
      <c r="H882" s="9"/>
      <c r="I882" s="8"/>
      <c r="J882" s="8"/>
      <c r="K882" s="8"/>
      <c r="L882" s="8"/>
      <c r="M882" s="8"/>
    </row>
    <row r="883" spans="1:13">
      <c r="A883" s="62" t="s">
        <v>1356</v>
      </c>
      <c r="B883" s="58">
        <v>36953148349</v>
      </c>
      <c r="C883" s="63"/>
      <c r="D883" s="60"/>
      <c r="E883" s="9">
        <v>1106</v>
      </c>
      <c r="F883" s="25">
        <v>42965</v>
      </c>
      <c r="G883" s="61" t="s">
        <v>13</v>
      </c>
      <c r="H883" s="9"/>
      <c r="I883" s="8"/>
      <c r="J883" s="8"/>
      <c r="K883" s="8"/>
      <c r="L883" s="8"/>
      <c r="M883" s="8"/>
    </row>
    <row r="884" spans="1:13">
      <c r="A884" s="13" t="s">
        <v>1357</v>
      </c>
      <c r="B884" s="58">
        <v>8984480851</v>
      </c>
      <c r="C884" s="59"/>
      <c r="D884" s="60"/>
      <c r="E884" s="9">
        <v>1128</v>
      </c>
      <c r="F884" s="25">
        <v>42972</v>
      </c>
      <c r="G884" s="61" t="s">
        <v>13</v>
      </c>
      <c r="H884" s="9"/>
      <c r="I884" s="8"/>
      <c r="J884" s="8"/>
      <c r="K884" s="8"/>
      <c r="L884" s="8"/>
      <c r="M884" s="8"/>
    </row>
    <row r="885" spans="1:13">
      <c r="A885" s="62" t="s">
        <v>1358</v>
      </c>
      <c r="B885" s="58">
        <v>34169264800</v>
      </c>
      <c r="C885" s="63"/>
      <c r="D885" s="60"/>
      <c r="E885" s="9"/>
      <c r="F885" s="25"/>
      <c r="G885" s="61"/>
      <c r="H885" s="9"/>
      <c r="I885" s="8"/>
      <c r="J885" s="8"/>
      <c r="K885" s="8"/>
      <c r="L885" s="8"/>
      <c r="M885" s="8"/>
    </row>
    <row r="886" spans="1:13">
      <c r="A886" s="13" t="s">
        <v>1359</v>
      </c>
      <c r="B886" s="58">
        <v>63234904553</v>
      </c>
      <c r="C886" s="59" t="s">
        <v>1360</v>
      </c>
      <c r="D886" s="60">
        <v>1193464870</v>
      </c>
      <c r="E886" s="9">
        <v>1128</v>
      </c>
      <c r="F886" s="25">
        <v>42972</v>
      </c>
      <c r="G886" s="61" t="s">
        <v>13</v>
      </c>
      <c r="H886" s="9"/>
      <c r="I886" s="8"/>
      <c r="J886" s="8"/>
      <c r="K886" s="8"/>
      <c r="L886" s="8"/>
      <c r="M886" s="8"/>
    </row>
    <row r="887" spans="1:13">
      <c r="A887" s="62" t="s">
        <v>1361</v>
      </c>
      <c r="B887" s="58">
        <v>39165206878</v>
      </c>
      <c r="C887" s="63"/>
      <c r="D887" s="60"/>
      <c r="E887" s="9"/>
      <c r="F887" s="25"/>
      <c r="G887" s="61"/>
      <c r="H887" s="9"/>
      <c r="I887" s="8"/>
      <c r="J887" s="8"/>
      <c r="K887" s="8"/>
      <c r="L887" s="8"/>
      <c r="M887" s="8"/>
    </row>
    <row r="888" spans="1:13">
      <c r="A888" s="13" t="s">
        <v>1362</v>
      </c>
      <c r="B888" s="58">
        <v>41235380530</v>
      </c>
      <c r="C888" s="59"/>
      <c r="D888" s="60"/>
      <c r="E888" s="9"/>
      <c r="F888" s="25"/>
      <c r="G888" s="61"/>
      <c r="H888" s="9"/>
      <c r="I888" s="8"/>
      <c r="J888" s="8"/>
      <c r="K888" s="8"/>
      <c r="L888" s="8"/>
      <c r="M888" s="8"/>
    </row>
    <row r="889" spans="1:13">
      <c r="A889" s="18" t="s">
        <v>1363</v>
      </c>
      <c r="B889" s="58">
        <v>30967680808</v>
      </c>
      <c r="C889" s="18" t="s">
        <v>1364</v>
      </c>
      <c r="D889" s="60"/>
      <c r="E889" s="9"/>
      <c r="F889" s="25"/>
      <c r="G889" s="61"/>
      <c r="H889" s="9"/>
      <c r="I889" s="8"/>
      <c r="J889" s="8"/>
      <c r="K889" s="8"/>
      <c r="L889" s="8"/>
      <c r="M889" s="8"/>
    </row>
    <row r="890" spans="1:13">
      <c r="A890" s="62" t="s">
        <v>1365</v>
      </c>
      <c r="B890" s="58">
        <v>1791061397</v>
      </c>
      <c r="C890" s="63"/>
      <c r="D890" s="60"/>
      <c r="E890" s="9">
        <v>810</v>
      </c>
      <c r="F890" s="25">
        <v>42915</v>
      </c>
      <c r="G890" s="61" t="s">
        <v>13</v>
      </c>
      <c r="H890" s="9"/>
      <c r="I890" s="8"/>
      <c r="J890" s="8"/>
      <c r="K890" s="8"/>
      <c r="L890" s="9" t="s">
        <v>138</v>
      </c>
      <c r="M890" s="8"/>
    </row>
    <row r="891" spans="1:13">
      <c r="A891" s="15" t="s">
        <v>1366</v>
      </c>
      <c r="B891" s="58">
        <v>3570397696</v>
      </c>
      <c r="C891" s="63" t="s">
        <v>1367</v>
      </c>
      <c r="D891" s="60">
        <v>21892123835</v>
      </c>
      <c r="E891" s="9"/>
      <c r="F891" s="25"/>
      <c r="G891" s="61"/>
      <c r="H891" s="9"/>
      <c r="I891" s="8"/>
      <c r="J891" s="8"/>
      <c r="K891" s="8"/>
      <c r="L891" s="8"/>
      <c r="M891" s="8"/>
    </row>
    <row r="892" spans="1:13">
      <c r="A892" s="63" t="s">
        <v>1368</v>
      </c>
      <c r="B892" s="58">
        <v>17003156253</v>
      </c>
      <c r="C892" s="63"/>
      <c r="D892" s="60"/>
      <c r="E892" s="9"/>
      <c r="F892" s="25"/>
      <c r="G892" s="61"/>
      <c r="H892" s="9"/>
      <c r="I892" s="8"/>
      <c r="J892" s="8"/>
      <c r="K892" s="8"/>
      <c r="L892" s="8"/>
      <c r="M892" s="8"/>
    </row>
    <row r="893" spans="1:13">
      <c r="A893" s="15" t="s">
        <v>1369</v>
      </c>
      <c r="B893" s="58">
        <v>1170658547</v>
      </c>
      <c r="C893" s="63" t="s">
        <v>1370</v>
      </c>
      <c r="D893" s="60">
        <v>2695281560</v>
      </c>
      <c r="E893" s="9">
        <v>1824</v>
      </c>
      <c r="F893" s="25">
        <v>43091</v>
      </c>
      <c r="G893" s="61" t="s">
        <v>20</v>
      </c>
      <c r="H893" s="9"/>
      <c r="I893" s="8"/>
      <c r="J893" s="8"/>
      <c r="K893" s="8"/>
      <c r="L893" s="9">
        <v>1828</v>
      </c>
      <c r="M893" s="8"/>
    </row>
    <row r="894" spans="1:13">
      <c r="A894" s="62" t="s">
        <v>1371</v>
      </c>
      <c r="B894" s="58">
        <v>19592829802</v>
      </c>
      <c r="C894" s="63"/>
      <c r="D894" s="60"/>
      <c r="E894" s="9">
        <v>810</v>
      </c>
      <c r="F894" s="25">
        <v>42915</v>
      </c>
      <c r="G894" s="61" t="s">
        <v>13</v>
      </c>
      <c r="H894" s="9"/>
      <c r="I894" s="8"/>
      <c r="J894" s="8"/>
      <c r="K894" s="8"/>
      <c r="L894" s="9" t="s">
        <v>138</v>
      </c>
      <c r="M894" s="8"/>
    </row>
    <row r="895" spans="1:13">
      <c r="A895" s="62" t="s">
        <v>1372</v>
      </c>
      <c r="B895" s="58">
        <v>29927032811</v>
      </c>
      <c r="C895" s="63" t="s">
        <v>1373</v>
      </c>
      <c r="D895" s="60">
        <v>11960733842</v>
      </c>
      <c r="E895" s="9"/>
      <c r="F895" s="25"/>
      <c r="G895" s="61"/>
      <c r="H895" s="9"/>
      <c r="I895" s="8"/>
      <c r="J895" s="8"/>
      <c r="K895" s="8"/>
      <c r="L895" s="8"/>
      <c r="M895" s="8"/>
    </row>
    <row r="896" spans="1:13">
      <c r="A896" s="62" t="s">
        <v>1374</v>
      </c>
      <c r="B896" s="58">
        <v>6070581881</v>
      </c>
      <c r="C896" s="63"/>
      <c r="D896" s="60"/>
      <c r="E896" s="9"/>
      <c r="F896" s="25"/>
      <c r="G896" s="74"/>
      <c r="H896" s="9"/>
      <c r="I896" s="8"/>
      <c r="J896" s="8"/>
      <c r="K896" s="8"/>
      <c r="L896" s="8"/>
      <c r="M896" s="8"/>
    </row>
    <row r="897" spans="1:13">
      <c r="A897" s="15" t="s">
        <v>1375</v>
      </c>
      <c r="B897" s="58">
        <v>32545155870</v>
      </c>
      <c r="C897" s="63"/>
      <c r="D897" s="60"/>
      <c r="E897" s="9">
        <v>85</v>
      </c>
      <c r="F897" s="25">
        <v>43109</v>
      </c>
      <c r="G897" s="61" t="s">
        <v>13</v>
      </c>
      <c r="H897" s="25">
        <v>43151</v>
      </c>
      <c r="I897" s="8"/>
      <c r="J897" s="8"/>
      <c r="K897" s="8"/>
      <c r="L897" s="8"/>
      <c r="M897" s="8"/>
    </row>
    <row r="898" spans="1:13">
      <c r="A898" s="62" t="s">
        <v>1376</v>
      </c>
      <c r="B898" s="58">
        <v>24774574899</v>
      </c>
      <c r="C898" s="63"/>
      <c r="D898" s="60"/>
      <c r="E898" s="9">
        <v>292</v>
      </c>
      <c r="F898" s="25">
        <v>43168</v>
      </c>
      <c r="G898" s="61" t="s">
        <v>13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1377</v>
      </c>
      <c r="B899" s="58">
        <v>37064427877</v>
      </c>
      <c r="C899" s="59" t="s">
        <v>1378</v>
      </c>
      <c r="D899" s="60">
        <v>34881680854</v>
      </c>
      <c r="E899" s="9">
        <v>1128</v>
      </c>
      <c r="F899" s="25">
        <v>42972</v>
      </c>
      <c r="G899" s="61" t="s">
        <v>13</v>
      </c>
      <c r="H899" s="9"/>
      <c r="I899" s="8"/>
      <c r="J899" s="8"/>
      <c r="K899" s="8"/>
      <c r="L899" s="8"/>
      <c r="M899" s="8"/>
    </row>
    <row r="900" spans="1:13">
      <c r="A900" s="15" t="s">
        <v>1379</v>
      </c>
      <c r="B900" s="58">
        <v>34712023821</v>
      </c>
      <c r="C900" s="63" t="s">
        <v>1380</v>
      </c>
      <c r="D900" s="60">
        <v>80700918868</v>
      </c>
      <c r="E900" s="9">
        <v>117</v>
      </c>
      <c r="F900" s="25">
        <v>43117</v>
      </c>
      <c r="G900" s="61" t="s">
        <v>13</v>
      </c>
      <c r="H900" s="9"/>
      <c r="I900" s="8"/>
      <c r="J900" s="8"/>
      <c r="K900" s="8"/>
      <c r="L900" s="9" t="s">
        <v>170</v>
      </c>
      <c r="M900" s="8"/>
    </row>
    <row r="901" spans="1:13">
      <c r="A901" s="62" t="s">
        <v>1381</v>
      </c>
      <c r="B901" s="58">
        <v>26221278805</v>
      </c>
      <c r="C901" s="63"/>
      <c r="D901" s="60"/>
      <c r="E901" s="9">
        <v>810</v>
      </c>
      <c r="F901" s="25">
        <v>42915</v>
      </c>
      <c r="G901" s="61" t="s">
        <v>13</v>
      </c>
      <c r="H901" s="9"/>
      <c r="I901" s="8"/>
      <c r="J901" s="8"/>
      <c r="K901" s="8"/>
      <c r="L901" s="9" t="s">
        <v>138</v>
      </c>
      <c r="M901" s="8"/>
    </row>
    <row r="902" spans="1:13">
      <c r="A902" s="62" t="s">
        <v>1382</v>
      </c>
      <c r="B902" s="58">
        <v>31847688802</v>
      </c>
      <c r="C902" s="63"/>
      <c r="D902" s="60"/>
      <c r="E902" s="9">
        <v>527</v>
      </c>
      <c r="F902" s="25">
        <v>43210</v>
      </c>
      <c r="G902" s="61"/>
      <c r="H902" s="9"/>
      <c r="I902" s="8"/>
      <c r="J902" s="8"/>
      <c r="K902" s="8"/>
      <c r="L902" s="9">
        <v>528</v>
      </c>
      <c r="M902" s="8"/>
    </row>
    <row r="903" spans="1:13">
      <c r="A903" s="13" t="s">
        <v>1383</v>
      </c>
      <c r="B903" s="58">
        <v>21305591828</v>
      </c>
      <c r="C903" s="59"/>
      <c r="D903" s="60"/>
      <c r="E903" s="9">
        <v>1128</v>
      </c>
      <c r="F903" s="25">
        <v>42972</v>
      </c>
      <c r="G903" s="61" t="s">
        <v>13</v>
      </c>
      <c r="H903" s="9"/>
      <c r="I903" s="8"/>
      <c r="J903" s="8"/>
      <c r="K903" s="8"/>
      <c r="L903" s="8"/>
      <c r="M903" s="8"/>
    </row>
    <row r="904" spans="1:13">
      <c r="A904" s="63" t="s">
        <v>1384</v>
      </c>
      <c r="B904" s="58">
        <v>9170469865</v>
      </c>
      <c r="C904" s="63"/>
      <c r="D904" s="60"/>
      <c r="E904" s="9">
        <v>292</v>
      </c>
      <c r="F904" s="25">
        <v>43168</v>
      </c>
      <c r="G904" s="9" t="s">
        <v>13</v>
      </c>
      <c r="H904" s="9"/>
      <c r="I904" s="8"/>
      <c r="J904" s="8"/>
      <c r="K904" s="8"/>
      <c r="L904" s="9">
        <v>318</v>
      </c>
      <c r="M904" s="8"/>
    </row>
    <row r="905" spans="1:13">
      <c r="A905" s="62" t="s">
        <v>1385</v>
      </c>
      <c r="B905" s="58">
        <v>42517278865</v>
      </c>
      <c r="C905" s="63" t="s">
        <v>1386</v>
      </c>
      <c r="D905" s="60">
        <v>45677965863</v>
      </c>
      <c r="E905" s="9">
        <v>117</v>
      </c>
      <c r="F905" s="25">
        <v>43117</v>
      </c>
      <c r="G905" s="61" t="s">
        <v>13</v>
      </c>
      <c r="H905" s="9"/>
      <c r="I905" s="8"/>
      <c r="J905" s="8"/>
      <c r="K905" s="8"/>
      <c r="L905" s="9" t="s">
        <v>170</v>
      </c>
      <c r="M905" s="8"/>
    </row>
    <row r="906" spans="1:13">
      <c r="A906" s="18" t="s">
        <v>1387</v>
      </c>
      <c r="B906" s="58">
        <v>34053574897</v>
      </c>
      <c r="C906" s="8" t="s">
        <v>1388</v>
      </c>
      <c r="D906" s="60">
        <v>19272522889</v>
      </c>
      <c r="E906" s="9"/>
      <c r="F906" s="25"/>
      <c r="G906" s="61"/>
      <c r="H906" s="9"/>
      <c r="I906" s="8"/>
      <c r="J906" s="8"/>
      <c r="K906" s="8"/>
      <c r="L906" s="8"/>
      <c r="M906" s="8"/>
    </row>
    <row r="907" spans="1:13">
      <c r="A907" s="62" t="s">
        <v>1389</v>
      </c>
      <c r="B907" s="58">
        <v>50223550515</v>
      </c>
      <c r="C907" s="63"/>
      <c r="D907" s="60"/>
      <c r="E907" s="9">
        <v>1752</v>
      </c>
      <c r="F907" s="25">
        <v>43051</v>
      </c>
      <c r="G907" s="61" t="s">
        <v>13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1390</v>
      </c>
      <c r="B908" s="58">
        <v>26240083810</v>
      </c>
      <c r="C908" s="59"/>
      <c r="D908" s="60"/>
      <c r="E908" s="9">
        <v>1128</v>
      </c>
      <c r="F908" s="25">
        <v>42972</v>
      </c>
      <c r="G908" s="61" t="s">
        <v>13</v>
      </c>
      <c r="H908" s="9"/>
      <c r="I908" s="8"/>
      <c r="J908" s="8"/>
      <c r="K908" s="8"/>
      <c r="L908" s="8"/>
      <c r="M908" s="8"/>
    </row>
    <row r="909" spans="1:13">
      <c r="A909" s="62" t="s">
        <v>1391</v>
      </c>
      <c r="B909" s="58">
        <v>32391122802</v>
      </c>
      <c r="C909" s="63" t="s">
        <v>1392</v>
      </c>
      <c r="D909" s="60">
        <v>21653624825</v>
      </c>
      <c r="E909" s="9">
        <v>262</v>
      </c>
      <c r="F909" s="25">
        <v>43160</v>
      </c>
      <c r="G909" s="9" t="s">
        <v>13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7" t="s">
        <v>1393</v>
      </c>
      <c r="B910" s="58"/>
      <c r="C910" s="27" t="s">
        <v>1394</v>
      </c>
      <c r="D910" s="60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62" t="s">
        <v>1395</v>
      </c>
      <c r="B911" s="58">
        <v>39641812858</v>
      </c>
      <c r="C911" s="63" t="s">
        <v>1396</v>
      </c>
      <c r="D911" s="60">
        <v>23425114859</v>
      </c>
      <c r="E911" s="9">
        <v>262</v>
      </c>
      <c r="F911" s="25">
        <v>43160</v>
      </c>
      <c r="G911" s="61" t="s">
        <v>13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1397</v>
      </c>
      <c r="B912" s="58">
        <v>7664892481</v>
      </c>
      <c r="C912" s="63" t="s">
        <v>1398</v>
      </c>
      <c r="D912" s="60">
        <v>37120937804</v>
      </c>
      <c r="E912" s="9">
        <v>1570</v>
      </c>
      <c r="F912" s="25">
        <v>43077</v>
      </c>
      <c r="G912" s="61" t="s">
        <v>13</v>
      </c>
      <c r="H912" s="9"/>
      <c r="I912" s="8"/>
      <c r="J912" s="8"/>
      <c r="K912" s="8"/>
      <c r="L912" s="8"/>
      <c r="M912" s="8"/>
    </row>
    <row r="913" spans="1:13">
      <c r="A913" s="62" t="s">
        <v>1399</v>
      </c>
      <c r="B913" s="58">
        <v>40970766807</v>
      </c>
      <c r="C913" s="63"/>
      <c r="D913" s="60"/>
      <c r="E913" s="9">
        <v>1824</v>
      </c>
      <c r="F913" s="25">
        <v>43091</v>
      </c>
      <c r="G913" s="61" t="s">
        <v>13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1400</v>
      </c>
      <c r="B914" s="58">
        <v>35535310883</v>
      </c>
      <c r="C914" s="63" t="s">
        <v>1401</v>
      </c>
      <c r="D914" s="60">
        <v>2200555563</v>
      </c>
      <c r="E914" s="9"/>
      <c r="F914" s="25"/>
      <c r="G914" s="61"/>
      <c r="H914" s="9"/>
      <c r="I914" s="8"/>
      <c r="J914" s="8"/>
      <c r="K914" s="8"/>
      <c r="L914" s="8"/>
      <c r="M914" s="8"/>
    </row>
    <row r="915" spans="1:13">
      <c r="A915" s="14" t="s">
        <v>1402</v>
      </c>
      <c r="B915" s="58">
        <v>40993785867</v>
      </c>
      <c r="C915" s="63" t="s">
        <v>1403</v>
      </c>
      <c r="D915" s="60">
        <v>39284894883</v>
      </c>
      <c r="E915" s="9">
        <v>262</v>
      </c>
      <c r="F915" s="25">
        <v>43160</v>
      </c>
      <c r="G915" s="61" t="s">
        <v>13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62" t="s">
        <v>1404</v>
      </c>
      <c r="B916" s="58">
        <v>31654455830</v>
      </c>
      <c r="C916" s="63"/>
      <c r="D916" s="60"/>
      <c r="E916" s="9">
        <v>1752</v>
      </c>
      <c r="F916" s="25">
        <v>43051</v>
      </c>
      <c r="G916" s="61" t="s">
        <v>13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1405</v>
      </c>
      <c r="B917" s="58">
        <v>22506327827</v>
      </c>
      <c r="C917" s="63"/>
      <c r="D917" s="60"/>
      <c r="E917" s="9">
        <v>262</v>
      </c>
      <c r="F917" s="25">
        <v>43160</v>
      </c>
      <c r="G917" s="61" t="s">
        <v>13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62" t="s">
        <v>1406</v>
      </c>
      <c r="B918" s="58">
        <v>38671079805</v>
      </c>
      <c r="C918" s="63"/>
      <c r="D918" s="60"/>
      <c r="E918" s="9">
        <v>608</v>
      </c>
      <c r="F918" s="25">
        <v>43012</v>
      </c>
      <c r="G918" s="61" t="s">
        <v>13</v>
      </c>
      <c r="H918" s="9"/>
      <c r="I918" s="8"/>
      <c r="J918" s="8"/>
      <c r="K918" s="8"/>
      <c r="L918" s="8"/>
      <c r="M918" s="8"/>
    </row>
    <row r="919" spans="1:13">
      <c r="A919" s="62" t="s">
        <v>1407</v>
      </c>
      <c r="B919" s="58">
        <v>4576049488</v>
      </c>
      <c r="C919" s="63"/>
      <c r="D919" s="60"/>
      <c r="E919" s="9">
        <v>1752</v>
      </c>
      <c r="F919" s="25">
        <v>43051</v>
      </c>
      <c r="G919" s="61" t="s">
        <v>13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1408</v>
      </c>
      <c r="B920" s="58">
        <v>39485589816</v>
      </c>
      <c r="C920" s="63" t="s">
        <v>1409</v>
      </c>
      <c r="D920" s="60">
        <v>6884648589</v>
      </c>
      <c r="E920" s="9">
        <v>85</v>
      </c>
      <c r="F920" s="25">
        <v>43109</v>
      </c>
      <c r="G920" s="61" t="s">
        <v>13</v>
      </c>
      <c r="H920" s="25">
        <v>43151</v>
      </c>
      <c r="I920" s="8"/>
      <c r="J920" s="8"/>
      <c r="K920" s="8"/>
      <c r="L920" s="8"/>
      <c r="M920" s="8"/>
    </row>
    <row r="921" spans="1:13">
      <c r="A921" s="62" t="s">
        <v>1410</v>
      </c>
      <c r="B921" s="58">
        <v>30969091800</v>
      </c>
      <c r="C921" s="63"/>
      <c r="D921" s="60"/>
      <c r="E921" s="9"/>
      <c r="F921" s="25"/>
      <c r="G921" s="61"/>
      <c r="H921" s="9"/>
      <c r="I921" s="8"/>
      <c r="J921" s="8"/>
      <c r="K921" s="8"/>
      <c r="L921" s="8"/>
      <c r="M921" s="8"/>
    </row>
    <row r="922" spans="1:13">
      <c r="A922" s="15" t="s">
        <v>1411</v>
      </c>
      <c r="B922" s="58">
        <v>39454700804</v>
      </c>
      <c r="C922" s="63" t="s">
        <v>1412</v>
      </c>
      <c r="D922" s="60">
        <v>41093877871</v>
      </c>
      <c r="E922" s="9">
        <v>443</v>
      </c>
      <c r="F922" s="25">
        <v>43188</v>
      </c>
      <c r="G922" s="61"/>
      <c r="H922" s="9"/>
      <c r="I922" s="8"/>
      <c r="J922" s="8"/>
      <c r="K922" s="8"/>
      <c r="L922" s="8"/>
      <c r="M922" s="8"/>
    </row>
    <row r="923" spans="1:13">
      <c r="A923" s="62" t="s">
        <v>1413</v>
      </c>
      <c r="B923" s="58">
        <v>23479536808</v>
      </c>
      <c r="C923" s="63"/>
      <c r="D923" s="60"/>
      <c r="E923" s="9">
        <v>443</v>
      </c>
      <c r="F923" s="25">
        <v>43188</v>
      </c>
      <c r="G923" s="61"/>
      <c r="H923" s="9"/>
      <c r="I923" s="8"/>
      <c r="J923" s="8"/>
      <c r="K923" s="8"/>
      <c r="L923" s="8"/>
      <c r="M923" s="8"/>
    </row>
    <row r="924" spans="1:13">
      <c r="A924" s="18" t="s">
        <v>1414</v>
      </c>
      <c r="B924" s="58">
        <v>33045725899</v>
      </c>
      <c r="C924" s="18"/>
      <c r="D924" s="60"/>
      <c r="E924" s="9"/>
      <c r="F924" s="25"/>
      <c r="G924" s="61"/>
      <c r="H924" s="9"/>
      <c r="I924" s="8"/>
      <c r="J924" s="8"/>
      <c r="K924" s="8"/>
      <c r="L924" s="8"/>
      <c r="M924" s="8"/>
    </row>
    <row r="925" spans="1:13">
      <c r="A925" s="62" t="s">
        <v>1415</v>
      </c>
      <c r="B925" s="58">
        <v>19681993810</v>
      </c>
      <c r="C925" s="63" t="s">
        <v>1416</v>
      </c>
      <c r="D925" s="60">
        <v>22451795875</v>
      </c>
      <c r="E925" s="9"/>
      <c r="F925" s="25"/>
      <c r="G925" s="61"/>
      <c r="H925" s="9"/>
      <c r="I925" s="8"/>
      <c r="J925" s="8"/>
      <c r="K925" s="8"/>
      <c r="L925" s="8"/>
      <c r="M925" s="8"/>
    </row>
    <row r="926" spans="1:13">
      <c r="A926" s="62" t="s">
        <v>1417</v>
      </c>
      <c r="B926" s="58">
        <v>22740299893</v>
      </c>
      <c r="C926" s="63"/>
      <c r="D926" s="60"/>
      <c r="E926" s="9">
        <v>810</v>
      </c>
      <c r="F926" s="25">
        <v>42915</v>
      </c>
      <c r="G926" s="61" t="s">
        <v>13</v>
      </c>
      <c r="H926" s="9"/>
      <c r="I926" s="8"/>
      <c r="J926" s="8"/>
      <c r="K926" s="8"/>
      <c r="L926" s="9" t="s">
        <v>138</v>
      </c>
      <c r="M926" s="8"/>
    </row>
    <row r="927" spans="1:13">
      <c r="A927" s="62" t="s">
        <v>1418</v>
      </c>
      <c r="B927" s="58">
        <v>37846315846</v>
      </c>
      <c r="C927" s="63"/>
      <c r="D927" s="60"/>
      <c r="E927" s="9"/>
      <c r="F927" s="25"/>
      <c r="G927" s="61"/>
      <c r="H927" s="9"/>
      <c r="I927" s="8"/>
      <c r="J927" s="8"/>
      <c r="K927" s="8"/>
      <c r="L927" s="8"/>
      <c r="M927" s="8"/>
    </row>
    <row r="928" spans="1:13">
      <c r="A928" s="15" t="s">
        <v>1419</v>
      </c>
      <c r="B928" s="58">
        <v>32424255881</v>
      </c>
      <c r="C928" s="63" t="s">
        <v>1420</v>
      </c>
      <c r="D928" s="60">
        <v>4615874596</v>
      </c>
      <c r="E928" s="9">
        <v>229</v>
      </c>
      <c r="F928" s="25">
        <v>43151</v>
      </c>
      <c r="G928" s="61" t="s">
        <v>13</v>
      </c>
      <c r="H928" s="9"/>
      <c r="I928" s="8"/>
      <c r="J928" s="8"/>
      <c r="K928" s="8"/>
      <c r="L928" s="9">
        <v>232</v>
      </c>
      <c r="M928" s="8"/>
    </row>
    <row r="929" spans="1:13">
      <c r="A929" s="62" t="s">
        <v>1421</v>
      </c>
      <c r="B929" s="58">
        <v>12982409801</v>
      </c>
      <c r="C929" s="63"/>
      <c r="D929" s="60"/>
      <c r="E929" s="9">
        <v>1824</v>
      </c>
      <c r="F929" s="25">
        <v>43091</v>
      </c>
      <c r="G929" s="61" t="s">
        <v>13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1422</v>
      </c>
      <c r="B930" s="58">
        <v>77663551591</v>
      </c>
      <c r="C930" s="63" t="s">
        <v>1423</v>
      </c>
      <c r="D930" s="60">
        <v>93914822520</v>
      </c>
      <c r="E930" s="9">
        <v>527</v>
      </c>
      <c r="F930" s="25">
        <v>43210</v>
      </c>
      <c r="G930" s="61"/>
      <c r="H930" s="9"/>
      <c r="I930" s="8"/>
      <c r="J930" s="8"/>
      <c r="K930" s="8"/>
      <c r="L930" s="9">
        <v>528</v>
      </c>
      <c r="M930" s="8"/>
    </row>
    <row r="931" spans="1:13">
      <c r="A931" s="62" t="s">
        <v>1424</v>
      </c>
      <c r="B931" s="58">
        <v>30768670837</v>
      </c>
      <c r="C931" s="63" t="s">
        <v>1425</v>
      </c>
      <c r="D931" s="60">
        <v>17858599860</v>
      </c>
      <c r="E931" s="9">
        <v>810</v>
      </c>
      <c r="F931" s="25">
        <v>42915</v>
      </c>
      <c r="G931" s="61" t="s">
        <v>13</v>
      </c>
      <c r="H931" s="9"/>
      <c r="I931" s="8"/>
      <c r="J931" s="8"/>
      <c r="K931" s="8"/>
      <c r="L931" s="9" t="s">
        <v>138</v>
      </c>
      <c r="M931" s="8"/>
    </row>
    <row r="932" spans="1:13">
      <c r="A932" s="62" t="s">
        <v>1426</v>
      </c>
      <c r="B932" s="58">
        <v>40801562864</v>
      </c>
      <c r="C932" s="63" t="s">
        <v>1427</v>
      </c>
      <c r="D932" s="60">
        <v>40630792879</v>
      </c>
      <c r="E932" s="9">
        <v>117</v>
      </c>
      <c r="F932" s="25">
        <v>43117</v>
      </c>
      <c r="G932" s="61" t="s">
        <v>20</v>
      </c>
      <c r="H932" s="9"/>
      <c r="I932" s="8"/>
      <c r="J932" s="8"/>
      <c r="K932" s="8"/>
      <c r="L932" s="9" t="s">
        <v>170</v>
      </c>
      <c r="M932" s="8"/>
    </row>
    <row r="933" spans="1:13">
      <c r="A933" s="62" t="s">
        <v>1428</v>
      </c>
      <c r="B933" s="58">
        <v>19861243801</v>
      </c>
      <c r="C933" s="63"/>
      <c r="D933" s="60"/>
      <c r="E933" s="9">
        <v>1824</v>
      </c>
      <c r="F933" s="25">
        <v>43091</v>
      </c>
      <c r="G933" s="61" t="s">
        <v>13</v>
      </c>
      <c r="H933" s="9"/>
      <c r="I933" s="8"/>
      <c r="J933" s="8"/>
      <c r="K933" s="8"/>
      <c r="L933" s="9">
        <v>1828</v>
      </c>
      <c r="M933" s="8"/>
    </row>
    <row r="934" spans="1:13">
      <c r="A934" s="62" t="s">
        <v>1429</v>
      </c>
      <c r="B934" s="58">
        <v>11579058892</v>
      </c>
      <c r="C934" s="63"/>
      <c r="D934" s="60"/>
      <c r="E934" s="9">
        <v>292</v>
      </c>
      <c r="F934" s="25">
        <v>43168</v>
      </c>
      <c r="G934" s="9" t="s">
        <v>13</v>
      </c>
      <c r="H934" s="9"/>
      <c r="I934" s="8"/>
      <c r="J934" s="8"/>
      <c r="K934" s="8"/>
      <c r="L934" s="9">
        <v>318</v>
      </c>
      <c r="M934" s="8"/>
    </row>
    <row r="935" spans="1:13">
      <c r="A935" s="63" t="s">
        <v>1430</v>
      </c>
      <c r="B935" s="58">
        <v>41671137833</v>
      </c>
      <c r="C935" s="63"/>
      <c r="D935" s="60"/>
      <c r="E935" s="9"/>
      <c r="F935" s="25"/>
      <c r="G935" s="61"/>
      <c r="H935" s="9"/>
      <c r="I935" s="8"/>
      <c r="J935" s="8"/>
      <c r="K935" s="8"/>
      <c r="L935" s="8"/>
      <c r="M935" s="8"/>
    </row>
    <row r="936" spans="1:13">
      <c r="A936" s="62" t="s">
        <v>1431</v>
      </c>
      <c r="B936" s="58">
        <v>33897782847</v>
      </c>
      <c r="C936" s="63" t="s">
        <v>1432</v>
      </c>
      <c r="D936" s="60">
        <v>22207136876</v>
      </c>
      <c r="E936" s="9">
        <v>1267</v>
      </c>
      <c r="F936" s="25">
        <v>42998</v>
      </c>
      <c r="G936" s="61" t="s">
        <v>13</v>
      </c>
      <c r="H936" s="9"/>
      <c r="I936" s="8"/>
      <c r="J936" s="8"/>
      <c r="K936" s="8"/>
      <c r="L936" s="8"/>
      <c r="M936" s="8"/>
    </row>
    <row r="937" spans="1:13">
      <c r="A937" s="63" t="s">
        <v>1433</v>
      </c>
      <c r="B937" s="58">
        <v>31219124885</v>
      </c>
      <c r="C937" s="63" t="s">
        <v>1434</v>
      </c>
      <c r="D937" s="60">
        <v>53808967315</v>
      </c>
      <c r="E937" s="9">
        <v>292</v>
      </c>
      <c r="F937" s="25">
        <v>43168</v>
      </c>
      <c r="G937" s="61" t="s">
        <v>13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1435</v>
      </c>
      <c r="B938" s="58">
        <v>32332935851</v>
      </c>
      <c r="C938" s="18" t="s">
        <v>1436</v>
      </c>
      <c r="D938" s="60">
        <v>33002112801</v>
      </c>
      <c r="E938" s="9"/>
      <c r="F938" s="25"/>
      <c r="G938" s="61"/>
      <c r="H938" s="9"/>
      <c r="I938" s="8"/>
      <c r="J938" s="8"/>
      <c r="K938" s="8"/>
      <c r="L938" s="8"/>
      <c r="M938" s="8"/>
    </row>
    <row r="939" spans="1:13">
      <c r="A939" s="62" t="s">
        <v>1437</v>
      </c>
      <c r="B939" s="58">
        <v>22797861841</v>
      </c>
      <c r="C939" s="63"/>
      <c r="D939" s="60"/>
      <c r="E939" s="9"/>
      <c r="F939" s="25"/>
      <c r="G939" s="61"/>
      <c r="H939" s="9"/>
      <c r="I939" s="8"/>
      <c r="J939" s="8"/>
      <c r="K939" s="8"/>
      <c r="L939" s="8"/>
      <c r="M939" s="8"/>
    </row>
    <row r="940" spans="1:13">
      <c r="A940" s="48" t="s">
        <v>1438</v>
      </c>
      <c r="B940" s="71">
        <v>35004628807</v>
      </c>
      <c r="C940" s="72"/>
      <c r="D940" s="73"/>
      <c r="E940" s="45">
        <v>117</v>
      </c>
      <c r="F940" s="46">
        <v>43117</v>
      </c>
      <c r="G940" s="74" t="s">
        <v>28</v>
      </c>
      <c r="H940" s="45"/>
      <c r="I940" s="47"/>
      <c r="J940" s="47"/>
      <c r="K940" s="47"/>
      <c r="L940" s="9" t="s">
        <v>170</v>
      </c>
      <c r="M940" s="47"/>
    </row>
    <row r="941" spans="1:13">
      <c r="A941" s="62" t="s">
        <v>1439</v>
      </c>
      <c r="B941" s="58">
        <v>35124692804</v>
      </c>
      <c r="C941" s="63" t="s">
        <v>1440</v>
      </c>
      <c r="D941" s="60">
        <v>17091274814</v>
      </c>
      <c r="E941" s="9">
        <v>262</v>
      </c>
      <c r="F941" s="25">
        <v>43160</v>
      </c>
      <c r="G941" s="61" t="s">
        <v>13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62" t="s">
        <v>1441</v>
      </c>
      <c r="B942" s="58">
        <v>32643126890</v>
      </c>
      <c r="C942" s="63"/>
      <c r="D942" s="60"/>
      <c r="E942" s="9"/>
      <c r="F942" s="25"/>
      <c r="G942" s="61"/>
      <c r="H942" s="9"/>
      <c r="I942" s="8"/>
      <c r="J942" s="8"/>
      <c r="K942" s="8"/>
      <c r="L942" s="8"/>
      <c r="M942" s="8"/>
    </row>
    <row r="943" spans="1:13">
      <c r="A943" s="18" t="s">
        <v>1442</v>
      </c>
      <c r="B943" s="58">
        <v>22581631880</v>
      </c>
      <c r="C943" s="18"/>
      <c r="D943" s="60"/>
      <c r="E943" s="9"/>
      <c r="F943" s="25"/>
      <c r="G943" s="61"/>
      <c r="H943" s="9"/>
      <c r="I943" s="8"/>
      <c r="J943" s="8"/>
      <c r="K943" s="8"/>
      <c r="L943" s="8"/>
      <c r="M943" s="8"/>
    </row>
    <row r="944" spans="1:13">
      <c r="A944" s="63" t="s">
        <v>1443</v>
      </c>
      <c r="B944" s="58">
        <v>35271393895</v>
      </c>
      <c r="C944" s="63" t="s">
        <v>1444</v>
      </c>
      <c r="D944" s="60">
        <v>34728254801</v>
      </c>
      <c r="E944" s="9"/>
      <c r="F944" s="25"/>
      <c r="G944" s="61"/>
      <c r="H944" s="9"/>
      <c r="I944" s="8"/>
      <c r="J944" s="8"/>
      <c r="K944" s="8"/>
      <c r="L944" s="8"/>
      <c r="M944" s="8"/>
    </row>
    <row r="945" spans="1:13">
      <c r="A945" s="13" t="s">
        <v>1445</v>
      </c>
      <c r="B945" s="58">
        <v>38306850840</v>
      </c>
      <c r="C945" s="59"/>
      <c r="D945" s="60"/>
      <c r="E945" s="9">
        <v>1128</v>
      </c>
      <c r="F945" s="25">
        <v>42972</v>
      </c>
      <c r="G945" s="61" t="s">
        <v>13</v>
      </c>
      <c r="H945" s="9"/>
      <c r="I945" s="8"/>
      <c r="J945" s="8"/>
      <c r="K945" s="8"/>
      <c r="L945" s="8"/>
      <c r="M945" s="8"/>
    </row>
    <row r="946" spans="1:13">
      <c r="A946" s="15" t="s">
        <v>1446</v>
      </c>
      <c r="B946" s="58">
        <v>8902185877</v>
      </c>
      <c r="C946" s="63"/>
      <c r="D946" s="60"/>
      <c r="E946" s="9">
        <v>563</v>
      </c>
      <c r="F946" s="25">
        <v>43217</v>
      </c>
      <c r="G946" s="61"/>
      <c r="H946" s="9"/>
      <c r="I946" s="8"/>
      <c r="J946" s="8"/>
      <c r="K946" s="8"/>
      <c r="L946" s="9" t="s">
        <v>299</v>
      </c>
      <c r="M946" s="8"/>
    </row>
    <row r="947" spans="1:13">
      <c r="A947" s="62" t="s">
        <v>1447</v>
      </c>
      <c r="B947" s="58">
        <v>899199399</v>
      </c>
      <c r="C947" s="63" t="s">
        <v>1448</v>
      </c>
      <c r="D947" s="60">
        <v>3617423396</v>
      </c>
      <c r="E947" s="9"/>
      <c r="F947" s="25"/>
      <c r="G947" s="61"/>
      <c r="H947" s="9"/>
      <c r="I947" s="8"/>
      <c r="J947" s="8"/>
      <c r="K947" s="8"/>
      <c r="L947" s="8"/>
      <c r="M947" s="8"/>
    </row>
    <row r="948" spans="1:13">
      <c r="A948" s="62" t="s">
        <v>1449</v>
      </c>
      <c r="B948" s="58">
        <v>34965038827</v>
      </c>
      <c r="C948" s="63"/>
      <c r="D948" s="60"/>
      <c r="E948" s="9">
        <v>810</v>
      </c>
      <c r="F948" s="25">
        <v>42915</v>
      </c>
      <c r="G948" s="61" t="s">
        <v>13</v>
      </c>
      <c r="H948" s="9"/>
      <c r="I948" s="8"/>
      <c r="J948" s="8"/>
      <c r="K948" s="8"/>
      <c r="L948" s="9" t="s">
        <v>138</v>
      </c>
      <c r="M948" s="8"/>
    </row>
    <row r="949" spans="1:13">
      <c r="A949" s="15" t="s">
        <v>1450</v>
      </c>
      <c r="B949" s="58">
        <v>32560904861</v>
      </c>
      <c r="C949" s="63"/>
      <c r="D949" s="60"/>
      <c r="E949" s="9">
        <v>573</v>
      </c>
      <c r="F949" s="25">
        <v>43224</v>
      </c>
      <c r="G949" s="61"/>
      <c r="H949" s="9"/>
      <c r="I949" s="8"/>
      <c r="J949" s="8"/>
      <c r="K949" s="8"/>
      <c r="L949" s="8"/>
      <c r="M949" s="8"/>
    </row>
    <row r="950" spans="1:13">
      <c r="A950" s="62" t="s">
        <v>1451</v>
      </c>
      <c r="B950" s="58">
        <v>17655715882</v>
      </c>
      <c r="C950" s="63"/>
      <c r="D950" s="60"/>
      <c r="E950" s="9">
        <v>1214</v>
      </c>
      <c r="F950" s="25">
        <v>42989</v>
      </c>
      <c r="G950" s="61" t="s">
        <v>13</v>
      </c>
      <c r="H950" s="9"/>
      <c r="I950" s="8"/>
      <c r="J950" s="8"/>
      <c r="K950" s="8"/>
      <c r="L950" s="8"/>
      <c r="M950" s="8"/>
    </row>
    <row r="951" spans="1:13">
      <c r="A951" s="15" t="s">
        <v>1452</v>
      </c>
      <c r="B951" s="58">
        <v>42403523801</v>
      </c>
      <c r="C951" s="63"/>
      <c r="D951" s="60"/>
      <c r="E951" s="9">
        <v>117</v>
      </c>
      <c r="F951" s="25">
        <v>43117</v>
      </c>
      <c r="G951" s="61" t="s">
        <v>20</v>
      </c>
      <c r="H951" s="9"/>
      <c r="I951" s="8"/>
      <c r="J951" s="8"/>
      <c r="K951" s="8"/>
      <c r="L951" s="9" t="s">
        <v>170</v>
      </c>
      <c r="M951" s="8"/>
    </row>
    <row r="952" spans="1:13">
      <c r="A952" s="15" t="s">
        <v>1453</v>
      </c>
      <c r="B952" s="58">
        <v>5586324407</v>
      </c>
      <c r="C952" s="63"/>
      <c r="D952" s="60"/>
      <c r="E952" s="9">
        <v>85</v>
      </c>
      <c r="F952" s="25">
        <v>43109</v>
      </c>
      <c r="G952" s="61" t="s">
        <v>13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1454</v>
      </c>
      <c r="B953" s="58">
        <v>14776051850</v>
      </c>
      <c r="C953" s="63"/>
      <c r="D953" s="60"/>
      <c r="E953" s="9">
        <v>1824</v>
      </c>
      <c r="F953" s="25">
        <v>43091</v>
      </c>
      <c r="G953" s="61" t="s">
        <v>13</v>
      </c>
      <c r="H953" s="9"/>
      <c r="I953" s="8"/>
      <c r="J953" s="8"/>
      <c r="K953" s="8"/>
      <c r="L953" s="9">
        <v>1828</v>
      </c>
      <c r="M953" s="8"/>
    </row>
    <row r="954" spans="1:13">
      <c r="A954" s="62" t="s">
        <v>1455</v>
      </c>
      <c r="B954" s="58">
        <v>33176089864</v>
      </c>
      <c r="C954" s="63"/>
      <c r="D954" s="60"/>
      <c r="E954" s="9">
        <v>1570</v>
      </c>
      <c r="F954" s="25">
        <v>43055</v>
      </c>
      <c r="G954" s="61" t="s">
        <v>13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62" t="s">
        <v>1456</v>
      </c>
      <c r="B955" s="58">
        <v>19584308890</v>
      </c>
      <c r="C955" s="63" t="s">
        <v>1457</v>
      </c>
      <c r="D955" s="60">
        <v>42081262487</v>
      </c>
      <c r="E955" s="9">
        <v>262</v>
      </c>
      <c r="F955" s="25">
        <v>43160</v>
      </c>
      <c r="G955" s="61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62" t="s">
        <v>1458</v>
      </c>
      <c r="B956" s="58">
        <v>3220872441</v>
      </c>
      <c r="C956" s="63" t="s">
        <v>1459</v>
      </c>
      <c r="D956" s="60">
        <v>11805166808</v>
      </c>
      <c r="E956" s="9">
        <v>810</v>
      </c>
      <c r="F956" s="25">
        <v>42915</v>
      </c>
      <c r="G956" s="61" t="s">
        <v>13</v>
      </c>
      <c r="H956" s="9"/>
      <c r="I956" s="8"/>
      <c r="J956" s="8"/>
      <c r="K956" s="8"/>
      <c r="L956" s="9" t="s">
        <v>138</v>
      </c>
      <c r="M956" s="8"/>
    </row>
    <row r="957" spans="1:13">
      <c r="A957" s="64" t="s">
        <v>1460</v>
      </c>
      <c r="B957" s="58">
        <v>29773950832</v>
      </c>
      <c r="C957" s="63" t="s">
        <v>1461</v>
      </c>
      <c r="D957" s="60">
        <v>84030283349</v>
      </c>
      <c r="E957" s="9"/>
      <c r="F957" s="25"/>
      <c r="G957" s="61"/>
      <c r="H957" s="9"/>
      <c r="I957" s="8"/>
      <c r="J957" s="8"/>
      <c r="K957" s="8"/>
      <c r="L957" s="8"/>
      <c r="M957" s="8"/>
    </row>
    <row r="958" spans="1:13">
      <c r="A958" s="62" t="s">
        <v>1462</v>
      </c>
      <c r="B958" s="69" t="s">
        <v>1463</v>
      </c>
      <c r="C958" s="63" t="s">
        <v>1464</v>
      </c>
      <c r="D958" s="60">
        <v>84102780300</v>
      </c>
      <c r="E958" s="9">
        <v>292</v>
      </c>
      <c r="F958" s="25">
        <v>43168</v>
      </c>
      <c r="G958" s="9" t="s">
        <v>13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1465</v>
      </c>
      <c r="B959" s="58">
        <v>30638877814</v>
      </c>
      <c r="C959" s="63"/>
      <c r="D959" s="60"/>
      <c r="E959" s="9">
        <v>1350</v>
      </c>
      <c r="F959" s="25">
        <v>43006</v>
      </c>
      <c r="G959" s="61" t="s">
        <v>13</v>
      </c>
      <c r="H959" s="9"/>
      <c r="I959" s="8"/>
      <c r="J959" s="8"/>
      <c r="K959" s="8"/>
      <c r="L959" s="8"/>
      <c r="M959" s="8"/>
    </row>
    <row r="960" spans="1:13">
      <c r="A960" s="62" t="s">
        <v>1466</v>
      </c>
      <c r="B960" s="58">
        <v>39987807852</v>
      </c>
      <c r="C960" s="68"/>
      <c r="D960" s="60"/>
      <c r="E960" s="9"/>
      <c r="F960" s="25"/>
      <c r="G960" s="61"/>
      <c r="H960" s="9"/>
      <c r="I960" s="8"/>
      <c r="J960" s="8"/>
      <c r="K960" s="8"/>
      <c r="L960" s="8"/>
      <c r="M960" s="8"/>
    </row>
    <row r="961" spans="1:13">
      <c r="A961" s="62" t="s">
        <v>1467</v>
      </c>
      <c r="B961" s="58">
        <v>25314132869</v>
      </c>
      <c r="C961" s="63"/>
      <c r="D961" s="60"/>
      <c r="E961" s="9">
        <v>1359</v>
      </c>
      <c r="F961" s="25">
        <v>43006</v>
      </c>
      <c r="G961" s="61" t="s">
        <v>13</v>
      </c>
      <c r="H961" s="9"/>
      <c r="I961" s="8"/>
      <c r="J961" s="8"/>
      <c r="K961" s="8"/>
      <c r="L961" s="8"/>
      <c r="M961" s="8"/>
    </row>
    <row r="962" spans="1:13">
      <c r="A962" s="62" t="s">
        <v>1468</v>
      </c>
      <c r="B962" s="58">
        <v>6943742884</v>
      </c>
      <c r="C962" s="63"/>
      <c r="D962" s="60"/>
      <c r="E962" s="9">
        <v>1555</v>
      </c>
      <c r="F962" s="25">
        <v>43049</v>
      </c>
      <c r="G962" s="61" t="s">
        <v>13</v>
      </c>
      <c r="H962" s="9"/>
      <c r="I962" s="8"/>
      <c r="J962" s="8"/>
      <c r="K962" s="8"/>
      <c r="L962" s="9" t="s">
        <v>398</v>
      </c>
      <c r="M962" s="8"/>
    </row>
    <row r="963" spans="1:13">
      <c r="A963" s="15" t="s">
        <v>1469</v>
      </c>
      <c r="B963" s="58">
        <v>854189351</v>
      </c>
      <c r="C963" s="63"/>
      <c r="D963" s="60"/>
      <c r="E963" s="9">
        <v>85</v>
      </c>
      <c r="F963" s="25">
        <v>43109</v>
      </c>
      <c r="G963" s="61" t="s">
        <v>13</v>
      </c>
      <c r="H963" s="25">
        <v>43151</v>
      </c>
      <c r="I963" s="8"/>
      <c r="J963" s="8"/>
      <c r="K963" s="8"/>
      <c r="L963" s="8"/>
      <c r="M963" s="8"/>
    </row>
    <row r="964" spans="1:13">
      <c r="A964" s="62" t="s">
        <v>1470</v>
      </c>
      <c r="B964" s="58">
        <v>46248420300</v>
      </c>
      <c r="C964" s="63" t="s">
        <v>1471</v>
      </c>
      <c r="D964" s="60">
        <v>17485330888</v>
      </c>
      <c r="E964" s="9">
        <v>262</v>
      </c>
      <c r="F964" s="25">
        <v>43160</v>
      </c>
      <c r="G964" s="61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62" t="s">
        <v>1472</v>
      </c>
      <c r="B965" s="58">
        <v>84090294304</v>
      </c>
      <c r="C965" s="63" t="s">
        <v>1473</v>
      </c>
      <c r="D965" s="60">
        <v>31398589810</v>
      </c>
      <c r="E965" s="9"/>
      <c r="F965" s="25"/>
      <c r="G965" s="61"/>
      <c r="H965" s="9"/>
      <c r="I965" s="8"/>
      <c r="J965" s="8"/>
      <c r="K965" s="8"/>
      <c r="L965" s="8"/>
      <c r="M965" s="8"/>
    </row>
    <row r="966" spans="1:13">
      <c r="A966" s="63" t="s">
        <v>1474</v>
      </c>
      <c r="B966" s="58">
        <v>8018563888</v>
      </c>
      <c r="C966" s="63"/>
      <c r="D966" s="60"/>
      <c r="E966" s="9"/>
      <c r="F966" s="25"/>
      <c r="G966" s="61"/>
      <c r="H966" s="9"/>
      <c r="I966" s="8"/>
      <c r="J966" s="8"/>
      <c r="K966" s="8"/>
      <c r="L966" s="8"/>
      <c r="M966" s="8"/>
    </row>
    <row r="967" spans="1:13">
      <c r="A967" s="62" t="s">
        <v>1475</v>
      </c>
      <c r="B967" s="58">
        <v>918071313</v>
      </c>
      <c r="C967" s="63" t="s">
        <v>1476</v>
      </c>
      <c r="D967" s="60">
        <v>98555502349</v>
      </c>
      <c r="E967" s="9">
        <v>443</v>
      </c>
      <c r="F967" s="25">
        <v>43188</v>
      </c>
      <c r="G967" s="61"/>
      <c r="H967" s="9"/>
      <c r="I967" s="8"/>
      <c r="J967" s="8"/>
      <c r="K967" s="8"/>
      <c r="L967" s="8"/>
      <c r="M967" s="8"/>
    </row>
    <row r="968" spans="1:13">
      <c r="A968" s="15" t="s">
        <v>1477</v>
      </c>
      <c r="B968" s="58">
        <v>25700869837</v>
      </c>
      <c r="C968" s="63"/>
      <c r="D968" s="60"/>
      <c r="E968" s="9">
        <v>117</v>
      </c>
      <c r="F968" s="25">
        <v>43117</v>
      </c>
      <c r="G968" s="61" t="s">
        <v>13</v>
      </c>
      <c r="H968" s="9"/>
      <c r="I968" s="8"/>
      <c r="J968" s="8"/>
      <c r="K968" s="8"/>
      <c r="L968" s="9" t="s">
        <v>170</v>
      </c>
      <c r="M968" s="8"/>
    </row>
    <row r="969" spans="1:13">
      <c r="A969" s="62" t="s">
        <v>1478</v>
      </c>
      <c r="B969" s="58">
        <v>86465651300</v>
      </c>
      <c r="C969" s="63" t="s">
        <v>1479</v>
      </c>
      <c r="D969" s="60">
        <v>7091216792</v>
      </c>
      <c r="E969" s="9">
        <v>1350</v>
      </c>
      <c r="F969" s="25">
        <v>43006</v>
      </c>
      <c r="G969" s="61" t="s">
        <v>13</v>
      </c>
      <c r="H969" s="9"/>
      <c r="I969" s="8"/>
      <c r="J969" s="8"/>
      <c r="K969" s="8"/>
      <c r="L969" s="8"/>
      <c r="M969" s="8"/>
    </row>
    <row r="970" spans="1:13">
      <c r="A970" s="63" t="s">
        <v>1480</v>
      </c>
      <c r="B970" s="58">
        <v>22893362893</v>
      </c>
      <c r="C970" s="63" t="s">
        <v>1481</v>
      </c>
      <c r="D970" s="60">
        <v>41762002434</v>
      </c>
      <c r="E970" s="9"/>
      <c r="F970" s="25"/>
      <c r="G970" s="61"/>
      <c r="H970" s="9"/>
      <c r="I970" s="8"/>
      <c r="J970" s="8"/>
      <c r="K970" s="8"/>
      <c r="L970" s="8"/>
      <c r="M970" s="8"/>
    </row>
    <row r="971" spans="1:13">
      <c r="A971" s="62" t="s">
        <v>1482</v>
      </c>
      <c r="B971" s="58">
        <v>11448120896</v>
      </c>
      <c r="C971" s="63"/>
      <c r="D971" s="60"/>
      <c r="E971" s="9">
        <v>1417</v>
      </c>
      <c r="F971" s="25">
        <v>43017</v>
      </c>
      <c r="G971" s="61" t="s">
        <v>13</v>
      </c>
      <c r="H971" s="9"/>
      <c r="I971" s="8"/>
      <c r="J971" s="8"/>
      <c r="K971" s="8"/>
      <c r="L971" s="9" t="s">
        <v>253</v>
      </c>
      <c r="M971" s="8"/>
    </row>
    <row r="972" spans="1:13">
      <c r="A972" s="27" t="s">
        <v>1483</v>
      </c>
      <c r="B972" s="58">
        <v>9964640854</v>
      </c>
      <c r="C972" s="18" t="s">
        <v>129</v>
      </c>
      <c r="D972" s="60"/>
      <c r="E972" s="9"/>
      <c r="F972" s="25"/>
      <c r="G972" s="61"/>
      <c r="H972" s="9"/>
      <c r="I972" s="8"/>
      <c r="J972" s="8"/>
      <c r="K972" s="8"/>
      <c r="L972" s="8"/>
      <c r="M972" s="8"/>
    </row>
    <row r="973" spans="1:13">
      <c r="A973" s="27" t="s">
        <v>1484</v>
      </c>
      <c r="B973" s="58">
        <v>46593499854</v>
      </c>
      <c r="C973" s="27" t="s">
        <v>1485</v>
      </c>
      <c r="D973" s="60">
        <v>46146841811</v>
      </c>
      <c r="E973" s="9"/>
      <c r="F973" s="25"/>
      <c r="G973" s="61"/>
      <c r="H973" s="9"/>
      <c r="I973" s="8"/>
      <c r="J973" s="8"/>
      <c r="K973" s="8"/>
      <c r="L973" s="8"/>
      <c r="M973" s="8"/>
    </row>
    <row r="974" spans="1:13">
      <c r="A974" s="62" t="s">
        <v>1486</v>
      </c>
      <c r="B974" s="58">
        <v>34412339807</v>
      </c>
      <c r="C974" s="63" t="s">
        <v>1487</v>
      </c>
      <c r="D974" s="60">
        <v>30849792860</v>
      </c>
      <c r="E974" s="9">
        <v>1824</v>
      </c>
      <c r="F974" s="25">
        <v>43091</v>
      </c>
      <c r="G974" s="61" t="s">
        <v>13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1488</v>
      </c>
      <c r="B975" s="58">
        <v>63905825449</v>
      </c>
      <c r="C975" s="63" t="s">
        <v>1489</v>
      </c>
      <c r="D975" s="60">
        <v>11803331879</v>
      </c>
      <c r="E975" s="9"/>
      <c r="F975" s="25"/>
      <c r="G975" s="61"/>
      <c r="H975" s="9"/>
      <c r="I975" s="8"/>
      <c r="J975" s="8"/>
      <c r="K975" s="8"/>
      <c r="L975" s="8"/>
      <c r="M975" s="8"/>
    </row>
    <row r="976" spans="1:13">
      <c r="A976" s="62" t="s">
        <v>1490</v>
      </c>
      <c r="B976" s="58">
        <v>24869568837</v>
      </c>
      <c r="C976" s="63"/>
      <c r="D976" s="60"/>
      <c r="E976" s="9">
        <v>810</v>
      </c>
      <c r="F976" s="25">
        <v>42915</v>
      </c>
      <c r="G976" s="61" t="s">
        <v>13</v>
      </c>
      <c r="H976" s="9"/>
      <c r="I976" s="8"/>
      <c r="J976" s="8"/>
      <c r="K976" s="8"/>
      <c r="L976" s="9" t="s">
        <v>138</v>
      </c>
      <c r="M976" s="8"/>
    </row>
    <row r="977" spans="1:13">
      <c r="A977" s="62" t="s">
        <v>1491</v>
      </c>
      <c r="B977" s="58">
        <v>1916417400</v>
      </c>
      <c r="C977" s="63"/>
      <c r="D977" s="60"/>
      <c r="E977" s="9">
        <v>292</v>
      </c>
      <c r="F977" s="25">
        <v>43168</v>
      </c>
      <c r="G977" s="61" t="s">
        <v>13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1492</v>
      </c>
      <c r="B978" s="58">
        <v>18548695315</v>
      </c>
      <c r="C978" s="63"/>
      <c r="D978" s="60"/>
      <c r="E978" s="9">
        <v>229</v>
      </c>
      <c r="F978" s="25">
        <v>43151</v>
      </c>
      <c r="G978" s="61" t="s">
        <v>13</v>
      </c>
      <c r="H978" s="9"/>
      <c r="I978" s="8"/>
      <c r="J978" s="8"/>
      <c r="K978" s="8"/>
      <c r="L978" s="9">
        <v>232</v>
      </c>
      <c r="M978" s="8"/>
    </row>
    <row r="979" spans="1:13">
      <c r="A979" s="62" t="s">
        <v>1493</v>
      </c>
      <c r="B979" s="58">
        <v>14900594822</v>
      </c>
      <c r="C979" s="63"/>
      <c r="D979" s="60"/>
      <c r="E979" s="9">
        <v>810</v>
      </c>
      <c r="F979" s="25">
        <v>42915</v>
      </c>
      <c r="G979" s="61" t="s">
        <v>13</v>
      </c>
      <c r="H979" s="9"/>
      <c r="I979" s="8"/>
      <c r="J979" s="8"/>
      <c r="K979" s="8"/>
      <c r="L979" s="9" t="s">
        <v>138</v>
      </c>
      <c r="M979" s="8"/>
    </row>
    <row r="980" spans="1:13">
      <c r="A980" s="18" t="s">
        <v>1494</v>
      </c>
      <c r="B980" s="58">
        <v>18473037812</v>
      </c>
      <c r="C980" s="18" t="s">
        <v>1495</v>
      </c>
      <c r="D980" s="60">
        <v>81225245834</v>
      </c>
      <c r="E980" s="9"/>
      <c r="F980" s="25"/>
      <c r="G980" s="61"/>
      <c r="H980" s="9"/>
      <c r="I980" s="8"/>
      <c r="J980" s="8"/>
      <c r="K980" s="8"/>
      <c r="L980" s="8"/>
      <c r="M980" s="8"/>
    </row>
    <row r="981" spans="1:13">
      <c r="A981" s="62" t="s">
        <v>1496</v>
      </c>
      <c r="B981" s="58">
        <v>38327303899</v>
      </c>
      <c r="C981" s="63"/>
      <c r="D981" s="60"/>
      <c r="E981" s="9">
        <v>443</v>
      </c>
      <c r="F981" s="25">
        <v>43188</v>
      </c>
      <c r="G981" s="61"/>
      <c r="H981" s="9"/>
      <c r="I981" s="8"/>
      <c r="J981" s="8"/>
      <c r="K981" s="8"/>
      <c r="L981" s="8"/>
      <c r="M981" s="8"/>
    </row>
    <row r="982" spans="1:13">
      <c r="A982" s="13" t="s">
        <v>1497</v>
      </c>
      <c r="B982" s="58">
        <v>63037432349</v>
      </c>
      <c r="C982" s="63"/>
      <c r="D982" s="60"/>
      <c r="E982" s="9">
        <v>1350</v>
      </c>
      <c r="F982" s="25">
        <v>43006</v>
      </c>
      <c r="G982" s="61" t="s">
        <v>13</v>
      </c>
      <c r="H982" s="9"/>
      <c r="I982" s="8"/>
      <c r="J982" s="8"/>
      <c r="K982" s="8"/>
      <c r="L982" s="8"/>
      <c r="M982" s="8"/>
    </row>
    <row r="983" spans="1:13">
      <c r="A983" s="62" t="s">
        <v>1498</v>
      </c>
      <c r="B983" s="58">
        <v>17010311838</v>
      </c>
      <c r="C983" s="63"/>
      <c r="D983" s="60"/>
      <c r="E983" s="9"/>
      <c r="F983" s="25"/>
      <c r="G983" s="61"/>
      <c r="H983" s="9"/>
      <c r="I983" s="8"/>
      <c r="J983" s="8"/>
      <c r="K983" s="8"/>
      <c r="L983" s="8"/>
      <c r="M983" s="8"/>
    </row>
    <row r="984" spans="1:13">
      <c r="A984" s="62" t="s">
        <v>1499</v>
      </c>
      <c r="B984" s="58">
        <v>30458696889</v>
      </c>
      <c r="C984" s="59" t="s">
        <v>1500</v>
      </c>
      <c r="D984" s="60">
        <v>25196748814</v>
      </c>
      <c r="E984" s="9">
        <v>1267</v>
      </c>
      <c r="F984" s="25">
        <v>42998</v>
      </c>
      <c r="G984" s="61" t="s">
        <v>20</v>
      </c>
      <c r="H984" s="9"/>
      <c r="I984" s="8"/>
      <c r="J984" s="8"/>
      <c r="K984" s="8"/>
      <c r="L984" s="8"/>
      <c r="M984" s="8"/>
    </row>
    <row r="985" spans="1:13">
      <c r="A985" s="62" t="s">
        <v>1501</v>
      </c>
      <c r="B985" s="58">
        <v>6918108425</v>
      </c>
      <c r="C985" s="63"/>
      <c r="D985" s="60"/>
      <c r="E985" s="9">
        <v>1359</v>
      </c>
      <c r="F985" s="25">
        <v>43006</v>
      </c>
      <c r="G985" s="61" t="s">
        <v>13</v>
      </c>
      <c r="H985" s="9"/>
      <c r="I985" s="8"/>
      <c r="J985" s="8"/>
      <c r="K985" s="8"/>
      <c r="L985" s="8"/>
      <c r="M985" s="8"/>
    </row>
    <row r="986" spans="1:13">
      <c r="A986" s="27" t="s">
        <v>1502</v>
      </c>
      <c r="B986" s="58"/>
      <c r="C986" s="27" t="s">
        <v>1503</v>
      </c>
      <c r="D986" s="60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62" t="s">
        <v>1504</v>
      </c>
      <c r="B987" s="58">
        <v>3605902413</v>
      </c>
      <c r="C987" s="63"/>
      <c r="D987" s="60"/>
      <c r="E987" s="9"/>
      <c r="F987" s="25"/>
      <c r="G987" s="61"/>
      <c r="H987" s="9"/>
      <c r="I987" s="8"/>
      <c r="J987" s="8"/>
      <c r="K987" s="8"/>
      <c r="L987" s="8"/>
      <c r="M987" s="8"/>
    </row>
    <row r="988" spans="1:13">
      <c r="A988" s="62" t="s">
        <v>1505</v>
      </c>
      <c r="B988" s="58" t="s">
        <v>1506</v>
      </c>
      <c r="C988" s="68"/>
      <c r="D988" s="60"/>
      <c r="E988" s="9"/>
      <c r="F988" s="25"/>
      <c r="G988" s="61"/>
      <c r="H988" s="9"/>
      <c r="I988" s="8"/>
      <c r="J988" s="8"/>
      <c r="K988" s="8"/>
      <c r="L988" s="8"/>
      <c r="M988" s="8"/>
    </row>
    <row r="989" spans="1:13">
      <c r="A989" s="63" t="s">
        <v>1507</v>
      </c>
      <c r="B989" s="58">
        <v>39745805300</v>
      </c>
      <c r="C989" s="63"/>
      <c r="D989" s="60"/>
      <c r="E989" s="9"/>
      <c r="F989" s="25"/>
      <c r="G989" s="61"/>
      <c r="H989" s="9"/>
      <c r="I989" s="8"/>
      <c r="J989" s="8"/>
      <c r="K989" s="8"/>
      <c r="L989" s="8"/>
      <c r="M989" s="8"/>
    </row>
    <row r="990" spans="1:13">
      <c r="A990" s="13" t="s">
        <v>1508</v>
      </c>
      <c r="B990" s="58">
        <v>83640363604</v>
      </c>
      <c r="C990" s="59"/>
      <c r="D990" s="60"/>
      <c r="E990" s="9"/>
      <c r="F990" s="25"/>
      <c r="G990" s="61"/>
      <c r="H990" s="9"/>
      <c r="I990" s="8"/>
      <c r="J990" s="8"/>
      <c r="K990" s="8"/>
      <c r="L990" s="8"/>
      <c r="M990" s="8"/>
    </row>
    <row r="991" spans="1:13">
      <c r="A991" s="27" t="s">
        <v>1509</v>
      </c>
      <c r="B991" s="58"/>
      <c r="C991" s="18" t="s">
        <v>129</v>
      </c>
      <c r="D991" s="60"/>
      <c r="E991" s="9"/>
      <c r="F991" s="25"/>
      <c r="G991" s="61"/>
      <c r="H991" s="9"/>
      <c r="I991" s="8"/>
      <c r="J991" s="8"/>
      <c r="K991" s="8"/>
      <c r="L991" s="8"/>
      <c r="M991" s="8"/>
    </row>
    <row r="992" spans="1:13">
      <c r="A992" s="15" t="s">
        <v>1510</v>
      </c>
      <c r="B992" s="58">
        <v>2393196722</v>
      </c>
      <c r="C992" s="63"/>
      <c r="D992" s="60"/>
      <c r="E992" s="9"/>
      <c r="F992" s="25"/>
      <c r="G992" s="61"/>
      <c r="H992" s="9"/>
      <c r="I992" s="8"/>
      <c r="J992" s="8"/>
      <c r="K992" s="8"/>
      <c r="L992" s="8"/>
      <c r="M992" s="8"/>
    </row>
    <row r="993" spans="1:13">
      <c r="A993" s="14" t="s">
        <v>1511</v>
      </c>
      <c r="B993" s="58">
        <v>12324487888</v>
      </c>
      <c r="C993" s="63"/>
      <c r="D993" s="60"/>
      <c r="E993" s="9"/>
      <c r="F993" s="25"/>
      <c r="G993" s="61"/>
      <c r="H993" s="9"/>
      <c r="I993" s="8"/>
      <c r="J993" s="8"/>
      <c r="K993" s="8"/>
      <c r="L993" s="8"/>
      <c r="M993" s="8"/>
    </row>
    <row r="994" spans="1:13">
      <c r="A994" s="15" t="s">
        <v>1512</v>
      </c>
      <c r="B994" s="58">
        <v>17007953840</v>
      </c>
      <c r="C994" s="63"/>
      <c r="D994" s="60"/>
      <c r="E994" s="9">
        <v>85</v>
      </c>
      <c r="F994" s="25">
        <v>43109</v>
      </c>
      <c r="G994" s="61" t="s">
        <v>13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1513</v>
      </c>
      <c r="B995" s="58">
        <v>43143938404</v>
      </c>
      <c r="C995" s="59"/>
      <c r="D995" s="60"/>
      <c r="E995" s="9"/>
      <c r="F995" s="25"/>
      <c r="G995" s="61"/>
      <c r="H995" s="9"/>
      <c r="I995" s="8"/>
      <c r="J995" s="8"/>
      <c r="K995" s="8"/>
      <c r="L995" s="8"/>
      <c r="M995" s="8"/>
    </row>
    <row r="996" spans="1:13">
      <c r="A996" s="62" t="s">
        <v>1514</v>
      </c>
      <c r="B996" s="58">
        <v>17487600840</v>
      </c>
      <c r="C996" s="63"/>
      <c r="D996" s="60"/>
      <c r="E996" s="9">
        <v>292</v>
      </c>
      <c r="F996" s="25">
        <v>43168</v>
      </c>
      <c r="G996" s="9" t="s">
        <v>13</v>
      </c>
      <c r="H996" s="9"/>
      <c r="I996" s="8"/>
      <c r="J996" s="8"/>
      <c r="K996" s="8"/>
      <c r="L996" s="9">
        <v>318</v>
      </c>
      <c r="M996" s="8"/>
    </row>
    <row r="997" spans="1:13">
      <c r="A997" s="62" t="s">
        <v>1515</v>
      </c>
      <c r="B997" s="58">
        <v>12523078880</v>
      </c>
      <c r="C997" s="63"/>
      <c r="D997" s="60"/>
      <c r="E997" s="9"/>
      <c r="F997" s="25"/>
      <c r="G997" s="61"/>
      <c r="H997" s="9"/>
      <c r="I997" s="8"/>
      <c r="J997" s="8"/>
      <c r="K997" s="8"/>
      <c r="L997" s="8"/>
      <c r="M997" s="8"/>
    </row>
    <row r="998" spans="1:13">
      <c r="A998" s="62" t="s">
        <v>1516</v>
      </c>
      <c r="B998" s="58">
        <v>5704263321</v>
      </c>
      <c r="C998" s="63"/>
      <c r="D998" s="60"/>
      <c r="E998" s="9">
        <v>443</v>
      </c>
      <c r="F998" s="25">
        <v>43188</v>
      </c>
      <c r="G998" s="61"/>
      <c r="H998" s="9"/>
      <c r="I998" s="8"/>
      <c r="J998" s="8"/>
      <c r="K998" s="8"/>
      <c r="L998" s="8"/>
      <c r="M998" s="8"/>
    </row>
    <row r="999" spans="1:13">
      <c r="A999" s="62" t="s">
        <v>1517</v>
      </c>
      <c r="B999" s="58">
        <v>56631421420</v>
      </c>
      <c r="C999" s="63"/>
      <c r="D999" s="60"/>
      <c r="E999" s="9"/>
      <c r="F999" s="25"/>
      <c r="G999" s="61"/>
      <c r="H999" s="9"/>
      <c r="I999" s="8"/>
      <c r="J999" s="8"/>
      <c r="K999" s="8"/>
      <c r="L999" s="8"/>
      <c r="M999" s="8"/>
    </row>
    <row r="1000" spans="1:13">
      <c r="A1000" s="13" t="s">
        <v>1518</v>
      </c>
      <c r="B1000" s="58">
        <v>28183775870</v>
      </c>
      <c r="C1000" s="59"/>
      <c r="D1000" s="60"/>
      <c r="E1000" s="9">
        <v>1343</v>
      </c>
      <c r="F1000" s="25">
        <v>43004</v>
      </c>
      <c r="G1000" s="61" t="s">
        <v>13</v>
      </c>
      <c r="H1000" s="9"/>
      <c r="I1000" s="8"/>
      <c r="J1000" s="8"/>
      <c r="K1000" s="8"/>
      <c r="L1000" s="8"/>
      <c r="M1000" s="8"/>
    </row>
    <row r="1001" spans="1:13">
      <c r="A1001" s="15" t="s">
        <v>1519</v>
      </c>
      <c r="B1001" s="58">
        <v>39651975334</v>
      </c>
      <c r="C1001" s="63" t="s">
        <v>1520</v>
      </c>
      <c r="D1001" s="60">
        <v>35104799808</v>
      </c>
      <c r="E1001" s="9">
        <v>229</v>
      </c>
      <c r="F1001" s="25">
        <v>43151</v>
      </c>
      <c r="G1001" s="61" t="s">
        <v>13</v>
      </c>
      <c r="H1001" s="9"/>
      <c r="I1001" s="8"/>
      <c r="J1001" s="8"/>
      <c r="K1001" s="8"/>
      <c r="L1001" s="9">
        <v>232</v>
      </c>
      <c r="M1001" s="8"/>
    </row>
    <row r="1002" spans="1:13">
      <c r="A1002" s="62" t="s">
        <v>1521</v>
      </c>
      <c r="B1002" s="58">
        <v>54535891320</v>
      </c>
      <c r="C1002" s="63"/>
      <c r="D1002" s="60"/>
      <c r="E1002" s="9">
        <v>1350</v>
      </c>
      <c r="F1002" s="25">
        <v>43006</v>
      </c>
      <c r="G1002" s="61" t="s">
        <v>13</v>
      </c>
      <c r="H1002" s="9"/>
      <c r="I1002" s="8"/>
      <c r="J1002" s="8"/>
      <c r="K1002" s="8"/>
      <c r="L1002" s="8"/>
      <c r="M1002" s="8"/>
    </row>
    <row r="1003" spans="1:13">
      <c r="A1003" s="62" t="s">
        <v>1522</v>
      </c>
      <c r="B1003" s="58">
        <v>35949708334</v>
      </c>
      <c r="C1003" s="63"/>
      <c r="D1003" s="60"/>
      <c r="E1003" s="9">
        <v>1350</v>
      </c>
      <c r="F1003" s="25">
        <v>43006</v>
      </c>
      <c r="G1003" s="61" t="s">
        <v>13</v>
      </c>
      <c r="H1003" s="9"/>
      <c r="I1003" s="8"/>
      <c r="J1003" s="8"/>
      <c r="K1003" s="8"/>
      <c r="L1003" s="8"/>
      <c r="M1003" s="8"/>
    </row>
    <row r="1004" spans="1:13">
      <c r="A1004" s="14" t="s">
        <v>1523</v>
      </c>
      <c r="B1004" s="58">
        <v>46226383801</v>
      </c>
      <c r="C1004" s="63" t="s">
        <v>1524</v>
      </c>
      <c r="D1004" s="60">
        <v>46166460821</v>
      </c>
      <c r="E1004" s="9">
        <v>292</v>
      </c>
      <c r="F1004" s="25">
        <v>43168</v>
      </c>
      <c r="G1004" s="61" t="s">
        <v>13</v>
      </c>
      <c r="H1004" s="9"/>
      <c r="I1004" s="8"/>
      <c r="J1004" s="8"/>
      <c r="K1004" s="8"/>
      <c r="L1004" s="9">
        <v>318</v>
      </c>
      <c r="M1004" s="8"/>
    </row>
    <row r="1005" spans="1:13">
      <c r="A1005" s="63" t="s">
        <v>1525</v>
      </c>
      <c r="B1005" s="58">
        <v>39899795828</v>
      </c>
      <c r="C1005" s="63"/>
      <c r="D1005" s="60"/>
      <c r="E1005" s="9">
        <v>292</v>
      </c>
      <c r="F1005" s="25">
        <v>43168</v>
      </c>
      <c r="G1005" s="9" t="s">
        <v>13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1526</v>
      </c>
      <c r="B1006" s="58">
        <v>37051448803</v>
      </c>
      <c r="C1006" s="63" t="s">
        <v>1527</v>
      </c>
      <c r="D1006" s="60">
        <v>22442223813</v>
      </c>
      <c r="E1006" s="9">
        <v>1489</v>
      </c>
      <c r="F1006" s="25">
        <v>43038</v>
      </c>
      <c r="G1006" s="61" t="s">
        <v>13</v>
      </c>
      <c r="H1006" s="9"/>
      <c r="I1006" s="8"/>
      <c r="J1006" s="8"/>
      <c r="K1006" s="8"/>
      <c r="L1006" s="9" t="s">
        <v>160</v>
      </c>
      <c r="M1006" s="8"/>
    </row>
    <row r="1007" spans="1:13">
      <c r="A1007" s="62" t="s">
        <v>1528</v>
      </c>
      <c r="B1007" s="58">
        <v>23154604847</v>
      </c>
      <c r="C1007" s="63"/>
      <c r="D1007" s="60"/>
      <c r="E1007" s="9"/>
      <c r="F1007" s="25"/>
      <c r="G1007" s="61"/>
      <c r="H1007" s="9"/>
      <c r="I1007" s="8"/>
      <c r="J1007" s="8"/>
      <c r="K1007" s="8"/>
      <c r="L1007" s="8"/>
      <c r="M1007" s="8"/>
    </row>
    <row r="1008" spans="1:13">
      <c r="A1008" s="64" t="s">
        <v>1529</v>
      </c>
      <c r="B1008" s="58">
        <v>50092450865</v>
      </c>
      <c r="C1008" s="63" t="s">
        <v>1530</v>
      </c>
      <c r="D1008" s="60">
        <v>34366320827</v>
      </c>
      <c r="E1008" s="9">
        <v>608</v>
      </c>
      <c r="F1008" s="25">
        <v>43012</v>
      </c>
      <c r="G1008" s="61" t="s">
        <v>13</v>
      </c>
      <c r="H1008" s="9"/>
      <c r="I1008" s="8"/>
      <c r="J1008" s="8"/>
      <c r="K1008" s="8"/>
      <c r="L1008" s="8"/>
      <c r="M1008" s="8"/>
    </row>
    <row r="1009" spans="1:13">
      <c r="A1009" s="62" t="s">
        <v>1531</v>
      </c>
      <c r="B1009" s="58">
        <v>50861734858</v>
      </c>
      <c r="C1009" s="63"/>
      <c r="D1009" s="60"/>
      <c r="E1009" s="9">
        <v>292</v>
      </c>
      <c r="F1009" s="25">
        <v>43168</v>
      </c>
      <c r="G1009" s="9" t="s">
        <v>13</v>
      </c>
      <c r="H1009" s="9"/>
      <c r="I1009" s="8"/>
      <c r="J1009" s="8"/>
      <c r="K1009" s="8"/>
      <c r="L1009" s="9">
        <v>318</v>
      </c>
      <c r="M1009" s="8"/>
    </row>
    <row r="1010" spans="1:13">
      <c r="A1010" s="62" t="s">
        <v>1532</v>
      </c>
      <c r="B1010" s="58">
        <v>39433646827</v>
      </c>
      <c r="C1010" s="63"/>
      <c r="D1010" s="60"/>
      <c r="E1010" s="9">
        <v>1570</v>
      </c>
      <c r="F1010" s="25">
        <v>43077</v>
      </c>
      <c r="G1010" s="9" t="s">
        <v>13</v>
      </c>
      <c r="H1010" s="9"/>
      <c r="I1010" s="8"/>
      <c r="J1010" s="8"/>
      <c r="K1010" s="8"/>
      <c r="L1010" s="8"/>
      <c r="M1010" s="8"/>
    </row>
    <row r="1011" spans="1:13">
      <c r="A1011" s="15" t="s">
        <v>1533</v>
      </c>
      <c r="B1011" s="58">
        <v>32344204830</v>
      </c>
      <c r="C1011" s="63"/>
      <c r="D1011" s="60"/>
      <c r="E1011" s="9">
        <v>262</v>
      </c>
      <c r="F1011" s="25">
        <v>43160</v>
      </c>
      <c r="G1011" s="61" t="s">
        <v>13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1534</v>
      </c>
      <c r="B1012" s="58">
        <v>36501110807</v>
      </c>
      <c r="C1012" s="63" t="s">
        <v>1535</v>
      </c>
      <c r="D1012" s="60">
        <v>36592467860</v>
      </c>
      <c r="E1012" s="9">
        <v>262</v>
      </c>
      <c r="F1012" s="25">
        <v>43160</v>
      </c>
      <c r="G1012" s="61" t="s">
        <v>13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7" t="s">
        <v>1536</v>
      </c>
      <c r="B1013" s="58">
        <v>34470374822</v>
      </c>
      <c r="C1013" s="27" t="s">
        <v>1537</v>
      </c>
      <c r="D1013" s="60">
        <v>1154837130</v>
      </c>
      <c r="E1013" s="9"/>
      <c r="F1013" s="25"/>
      <c r="G1013" s="61"/>
      <c r="H1013" s="9"/>
      <c r="I1013" s="8"/>
      <c r="J1013" s="8"/>
      <c r="K1013" s="8"/>
      <c r="L1013" s="8"/>
      <c r="M1013" s="8"/>
    </row>
    <row r="1014" spans="1:13">
      <c r="A1014" s="64" t="s">
        <v>1538</v>
      </c>
      <c r="B1014" s="58">
        <v>40814125883</v>
      </c>
      <c r="C1014" s="63" t="s">
        <v>1539</v>
      </c>
      <c r="D1014" s="60">
        <v>27095684898</v>
      </c>
      <c r="E1014" s="9">
        <v>810</v>
      </c>
      <c r="F1014" s="25">
        <v>42915</v>
      </c>
      <c r="G1014" s="61" t="s">
        <v>13</v>
      </c>
      <c r="H1014" s="9"/>
      <c r="I1014" s="8"/>
      <c r="J1014" s="8"/>
      <c r="K1014" s="8"/>
      <c r="L1014" s="9" t="s">
        <v>138</v>
      </c>
      <c r="M1014" s="8"/>
    </row>
    <row r="1015" spans="1:13">
      <c r="A1015" s="62" t="s">
        <v>1540</v>
      </c>
      <c r="B1015" s="58">
        <v>376992883</v>
      </c>
      <c r="C1015" s="63"/>
      <c r="D1015" s="60"/>
      <c r="E1015" s="9"/>
      <c r="F1015" s="25"/>
      <c r="G1015" s="61"/>
      <c r="H1015" s="9"/>
      <c r="I1015" s="8"/>
      <c r="J1015" s="8"/>
      <c r="K1015" s="8"/>
      <c r="L1015" s="8"/>
      <c r="M1015" s="8"/>
    </row>
    <row r="1016" spans="1:13">
      <c r="A1016" s="62" t="s">
        <v>1541</v>
      </c>
      <c r="B1016" s="58">
        <v>30076615871</v>
      </c>
      <c r="C1016" s="63"/>
      <c r="D1016" s="60"/>
      <c r="E1016" s="9">
        <v>1214</v>
      </c>
      <c r="F1016" s="25">
        <v>42989</v>
      </c>
      <c r="G1016" s="61" t="s">
        <v>13</v>
      </c>
      <c r="H1016" s="9"/>
      <c r="I1016" s="8"/>
      <c r="J1016" s="8"/>
      <c r="K1016" s="8"/>
      <c r="L1016" s="8"/>
      <c r="M1016" s="8"/>
    </row>
    <row r="1017" spans="1:13">
      <c r="A1017" s="62" t="s">
        <v>1542</v>
      </c>
      <c r="B1017" s="58">
        <v>54023351415</v>
      </c>
      <c r="C1017" s="63"/>
      <c r="D1017" s="60"/>
      <c r="E1017" s="9">
        <v>527</v>
      </c>
      <c r="F1017" s="25">
        <v>43210</v>
      </c>
      <c r="G1017" s="61"/>
      <c r="H1017" s="9"/>
      <c r="I1017" s="8"/>
      <c r="J1017" s="8"/>
      <c r="K1017" s="8"/>
      <c r="L1017" s="9">
        <v>528</v>
      </c>
      <c r="M1017" s="8"/>
    </row>
    <row r="1018" spans="1:13">
      <c r="A1018" s="27" t="s">
        <v>1543</v>
      </c>
      <c r="B1018" s="58"/>
      <c r="C1018" s="18" t="s">
        <v>129</v>
      </c>
      <c r="D1018" s="60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7" t="s">
        <v>1544</v>
      </c>
      <c r="B1019" s="58">
        <v>26492754808</v>
      </c>
      <c r="C1019" s="9" t="s">
        <v>129</v>
      </c>
      <c r="D1019" s="60"/>
      <c r="E1019" s="9"/>
      <c r="F1019" s="25"/>
      <c r="G1019" s="61"/>
      <c r="H1019" s="9"/>
      <c r="I1019" s="8"/>
      <c r="J1019" s="8"/>
      <c r="K1019" s="8"/>
      <c r="L1019" s="8"/>
      <c r="M1019" s="8"/>
    </row>
    <row r="1020" spans="1:13">
      <c r="A1020" s="62" t="s">
        <v>1545</v>
      </c>
      <c r="B1020" s="58">
        <v>526417595</v>
      </c>
      <c r="C1020" s="63" t="s">
        <v>1546</v>
      </c>
      <c r="D1020" s="60">
        <v>25810630847</v>
      </c>
      <c r="E1020" s="9">
        <v>262</v>
      </c>
      <c r="F1020" s="25">
        <v>43160</v>
      </c>
      <c r="G1020" s="9" t="s">
        <v>13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62" t="s">
        <v>1547</v>
      </c>
      <c r="B1021" s="58">
        <v>26362064852</v>
      </c>
      <c r="C1021" s="68" t="s">
        <v>1548</v>
      </c>
      <c r="D1021" s="60">
        <v>34799615840</v>
      </c>
      <c r="E1021" s="9">
        <v>563</v>
      </c>
      <c r="F1021" s="25">
        <v>43217</v>
      </c>
      <c r="G1021" s="61"/>
      <c r="H1021" s="9"/>
      <c r="I1021" s="8"/>
      <c r="J1021" s="8"/>
      <c r="K1021" s="8"/>
      <c r="L1021" s="9" t="s">
        <v>299</v>
      </c>
      <c r="M1021" s="8"/>
    </row>
    <row r="1022" spans="1:13">
      <c r="A1022" s="62" t="s">
        <v>1549</v>
      </c>
      <c r="B1022" s="58">
        <v>17339382810</v>
      </c>
      <c r="C1022" s="63"/>
      <c r="D1022" s="60"/>
      <c r="E1022" s="9">
        <v>1489</v>
      </c>
      <c r="F1022" s="25">
        <v>43038</v>
      </c>
      <c r="G1022" s="61" t="s">
        <v>13</v>
      </c>
      <c r="H1022" s="9"/>
      <c r="I1022" s="8"/>
      <c r="J1022" s="8"/>
      <c r="K1022" s="8"/>
      <c r="L1022" s="9" t="s">
        <v>160</v>
      </c>
      <c r="M1022" s="8"/>
    </row>
    <row r="1023" spans="1:13">
      <c r="A1023" s="62" t="s">
        <v>1550</v>
      </c>
      <c r="B1023" s="58">
        <v>30100618898</v>
      </c>
      <c r="C1023" s="63"/>
      <c r="D1023" s="60"/>
      <c r="E1023" s="9">
        <v>810</v>
      </c>
      <c r="F1023" s="25">
        <v>42915</v>
      </c>
      <c r="G1023" s="61" t="s">
        <v>13</v>
      </c>
      <c r="H1023" s="9"/>
      <c r="I1023" s="8"/>
      <c r="J1023" s="8"/>
      <c r="K1023" s="8"/>
      <c r="L1023" s="9" t="s">
        <v>138</v>
      </c>
      <c r="M1023" s="8"/>
    </row>
    <row r="1024" spans="1:13">
      <c r="A1024" s="62" t="s">
        <v>1551</v>
      </c>
      <c r="B1024" s="58">
        <v>58494278568</v>
      </c>
      <c r="C1024" s="63"/>
      <c r="D1024" s="60"/>
      <c r="E1024" s="9"/>
      <c r="F1024" s="25"/>
      <c r="G1024" s="61"/>
      <c r="H1024" s="9"/>
      <c r="I1024" s="8"/>
      <c r="J1024" s="8"/>
      <c r="K1024" s="8"/>
      <c r="L1024" s="8"/>
      <c r="M1024" s="8"/>
    </row>
    <row r="1025" spans="1:13">
      <c r="A1025" s="27" t="s">
        <v>1552</v>
      </c>
      <c r="B1025" s="58">
        <v>28473424867</v>
      </c>
      <c r="C1025" s="8"/>
      <c r="D1025" s="60"/>
      <c r="E1025" s="9"/>
      <c r="F1025" s="25"/>
      <c r="G1025" s="61"/>
      <c r="H1025" s="9"/>
      <c r="I1025" s="8"/>
      <c r="J1025" s="8"/>
      <c r="K1025" s="8"/>
      <c r="L1025" s="8"/>
      <c r="M1025" s="8"/>
    </row>
    <row r="1026" spans="1:13">
      <c r="A1026" s="14" t="s">
        <v>1553</v>
      </c>
      <c r="B1026" s="58">
        <v>41791708846</v>
      </c>
      <c r="C1026" s="63" t="s">
        <v>1554</v>
      </c>
      <c r="D1026" s="60">
        <v>41003253806</v>
      </c>
      <c r="E1026" s="9">
        <v>262</v>
      </c>
      <c r="F1026" s="25">
        <v>43160</v>
      </c>
      <c r="G1026" s="61" t="s">
        <v>13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7" t="s">
        <v>1555</v>
      </c>
      <c r="B1027" s="58"/>
      <c r="C1027" s="27" t="s">
        <v>1556</v>
      </c>
      <c r="D1027" s="60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62" t="s">
        <v>1557</v>
      </c>
      <c r="B1028" s="58">
        <v>34575373800</v>
      </c>
      <c r="C1028" s="63" t="s">
        <v>1558</v>
      </c>
      <c r="D1028" s="60">
        <v>22427117846</v>
      </c>
      <c r="E1028" s="9">
        <v>1350</v>
      </c>
      <c r="F1028" s="25">
        <v>43006</v>
      </c>
      <c r="G1028" s="61" t="s">
        <v>13</v>
      </c>
      <c r="H1028" s="9"/>
      <c r="I1028" s="8"/>
      <c r="J1028" s="8"/>
      <c r="K1028" s="8"/>
      <c r="L1028" s="8"/>
      <c r="M1028" s="8"/>
    </row>
    <row r="1029" spans="1:13">
      <c r="A1029" s="62" t="s">
        <v>1559</v>
      </c>
      <c r="B1029" s="58">
        <v>79215262334</v>
      </c>
      <c r="C1029" s="63" t="s">
        <v>1560</v>
      </c>
      <c r="D1029" s="60">
        <v>76370372315</v>
      </c>
      <c r="E1029" s="9">
        <v>1451</v>
      </c>
      <c r="F1029" s="25">
        <v>43027</v>
      </c>
      <c r="G1029" s="61" t="s">
        <v>20</v>
      </c>
      <c r="H1029" s="9"/>
      <c r="I1029" s="8"/>
      <c r="J1029" s="8"/>
      <c r="K1029" s="8"/>
      <c r="L1029" s="8"/>
      <c r="M1029" s="8"/>
    </row>
    <row r="1030" spans="1:13">
      <c r="A1030" s="13" t="s">
        <v>1561</v>
      </c>
      <c r="B1030" s="58">
        <v>15208922843</v>
      </c>
      <c r="C1030" s="63" t="s">
        <v>1562</v>
      </c>
      <c r="D1030" s="60">
        <v>34068960810</v>
      </c>
      <c r="E1030" s="9">
        <v>229</v>
      </c>
      <c r="F1030" s="25">
        <v>43151</v>
      </c>
      <c r="G1030" s="61" t="s">
        <v>28</v>
      </c>
      <c r="H1030" s="9"/>
      <c r="I1030" s="8"/>
      <c r="J1030" s="8"/>
      <c r="K1030" s="8"/>
      <c r="L1030" s="9">
        <v>232</v>
      </c>
      <c r="M1030" s="8"/>
    </row>
    <row r="1031" spans="1:13">
      <c r="A1031" s="62" t="s">
        <v>1563</v>
      </c>
      <c r="B1031" s="58">
        <v>16112511843</v>
      </c>
      <c r="C1031" s="63"/>
      <c r="D1031" s="60"/>
      <c r="E1031" s="9">
        <v>509</v>
      </c>
      <c r="F1031" s="25">
        <v>43203</v>
      </c>
      <c r="G1031" s="67"/>
      <c r="H1031" s="67">
        <v>43213</v>
      </c>
      <c r="I1031" s="8"/>
      <c r="J1031" s="8"/>
      <c r="K1031" s="8"/>
      <c r="L1031" s="8"/>
      <c r="M1031" s="8"/>
    </row>
    <row r="1032" spans="1:13">
      <c r="A1032" s="15" t="s">
        <v>1564</v>
      </c>
      <c r="B1032" s="58">
        <v>5117301870</v>
      </c>
      <c r="C1032" s="15"/>
      <c r="D1032" s="60"/>
      <c r="E1032" s="9"/>
      <c r="F1032" s="25"/>
      <c r="G1032" s="61"/>
      <c r="H1032" s="67">
        <v>43213</v>
      </c>
      <c r="I1032" s="8"/>
      <c r="J1032" s="8"/>
      <c r="K1032" s="8"/>
      <c r="L1032" s="8"/>
      <c r="M1032" s="8"/>
    </row>
    <row r="1033" spans="1:13">
      <c r="A1033" s="62" t="s">
        <v>1565</v>
      </c>
      <c r="B1033" s="58">
        <v>2090762322</v>
      </c>
      <c r="C1033" s="63"/>
      <c r="D1033" s="60"/>
      <c r="E1033" s="9">
        <v>1128</v>
      </c>
      <c r="F1033" s="25">
        <v>42972</v>
      </c>
      <c r="G1033" s="61" t="s">
        <v>13</v>
      </c>
      <c r="H1033" s="67">
        <v>43213</v>
      </c>
      <c r="I1033" s="8"/>
      <c r="J1033" s="8"/>
      <c r="K1033" s="8"/>
      <c r="L1033" s="8"/>
      <c r="M1033" s="8"/>
    </row>
    <row r="1034" spans="1:13">
      <c r="A1034" s="62" t="s">
        <v>1566</v>
      </c>
      <c r="B1034" s="58">
        <v>40442540876</v>
      </c>
      <c r="C1034" s="63"/>
      <c r="D1034" s="60"/>
      <c r="E1034" s="9">
        <v>563</v>
      </c>
      <c r="F1034" s="25">
        <v>43217</v>
      </c>
      <c r="G1034" s="61"/>
      <c r="H1034" s="67">
        <v>43213</v>
      </c>
      <c r="I1034" s="8"/>
      <c r="J1034" s="8"/>
      <c r="K1034" s="8"/>
      <c r="L1034" s="9" t="s">
        <v>299</v>
      </c>
      <c r="M1034" s="8"/>
    </row>
    <row r="1035" spans="1:13">
      <c r="A1035" s="62" t="s">
        <v>1567</v>
      </c>
      <c r="B1035" s="58">
        <v>4716989895</v>
      </c>
      <c r="C1035" s="63"/>
      <c r="D1035" s="60"/>
      <c r="E1035" s="9">
        <v>443</v>
      </c>
      <c r="F1035" s="25">
        <v>43188</v>
      </c>
      <c r="G1035" s="61"/>
      <c r="H1035" s="67">
        <v>43213</v>
      </c>
      <c r="I1035" s="8"/>
      <c r="J1035" s="8"/>
      <c r="K1035" s="8"/>
      <c r="L1035" s="8"/>
      <c r="M1035" s="8"/>
    </row>
    <row r="1036" spans="1:13">
      <c r="A1036" s="15" t="s">
        <v>1568</v>
      </c>
      <c r="B1036" s="58">
        <v>99570467304</v>
      </c>
      <c r="C1036" s="63" t="s">
        <v>1569</v>
      </c>
      <c r="D1036" s="60">
        <v>7702980877</v>
      </c>
      <c r="E1036" s="9">
        <v>229</v>
      </c>
      <c r="F1036" s="25">
        <v>43151</v>
      </c>
      <c r="G1036" s="61" t="s">
        <v>13</v>
      </c>
      <c r="H1036" s="67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1570</v>
      </c>
      <c r="B1037" s="58">
        <v>18710956549</v>
      </c>
      <c r="C1037" s="63" t="s">
        <v>1571</v>
      </c>
      <c r="D1037" s="60">
        <v>85859141572</v>
      </c>
      <c r="E1037" s="9">
        <v>1417</v>
      </c>
      <c r="F1037" s="25">
        <v>43017</v>
      </c>
      <c r="G1037" s="61" t="s">
        <v>13</v>
      </c>
      <c r="H1037" s="67">
        <v>43213</v>
      </c>
      <c r="I1037" s="8"/>
      <c r="J1037" s="8"/>
      <c r="K1037" s="8"/>
      <c r="L1037" s="9" t="s">
        <v>253</v>
      </c>
      <c r="M1037" s="8"/>
    </row>
    <row r="1038" spans="1:13">
      <c r="A1038" s="62" t="s">
        <v>1572</v>
      </c>
      <c r="B1038" s="58">
        <v>23377582819</v>
      </c>
      <c r="C1038" s="63"/>
      <c r="D1038" s="60"/>
      <c r="E1038" s="9"/>
      <c r="F1038" s="25"/>
      <c r="G1038" s="61"/>
      <c r="H1038" s="67">
        <v>43213</v>
      </c>
      <c r="I1038" s="8"/>
      <c r="J1038" s="8"/>
      <c r="K1038" s="8"/>
      <c r="L1038" s="8"/>
      <c r="M1038" s="8"/>
    </row>
    <row r="1039" spans="1:13">
      <c r="A1039" s="18" t="s">
        <v>1573</v>
      </c>
      <c r="B1039" s="58">
        <v>42748662890</v>
      </c>
      <c r="C1039" s="18" t="s">
        <v>1574</v>
      </c>
      <c r="D1039" s="60">
        <v>9455052482</v>
      </c>
      <c r="E1039" s="9"/>
      <c r="F1039" s="25"/>
      <c r="G1039" s="61"/>
      <c r="H1039" s="67">
        <v>43213</v>
      </c>
      <c r="I1039" s="8"/>
      <c r="J1039" s="8"/>
      <c r="K1039" s="8"/>
      <c r="L1039" s="8"/>
      <c r="M1039" s="8"/>
    </row>
    <row r="1040" spans="1:13">
      <c r="A1040" s="15" t="s">
        <v>1575</v>
      </c>
      <c r="B1040" s="58">
        <v>19523839861</v>
      </c>
      <c r="C1040" s="63"/>
      <c r="D1040" s="60"/>
      <c r="E1040" s="9">
        <v>262</v>
      </c>
      <c r="F1040" s="25">
        <v>43160</v>
      </c>
      <c r="G1040" s="61" t="s">
        <v>13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62" t="s">
        <v>1576</v>
      </c>
      <c r="B1041" s="58">
        <v>23367537829</v>
      </c>
      <c r="C1041" s="63" t="s">
        <v>1577</v>
      </c>
      <c r="D1041" s="60">
        <v>28648977843</v>
      </c>
      <c r="E1041" s="9"/>
      <c r="F1041" s="25"/>
      <c r="G1041" s="61"/>
      <c r="H1041" s="9"/>
      <c r="I1041" s="8"/>
      <c r="J1041" s="8"/>
      <c r="K1041" s="8"/>
      <c r="L1041" s="8"/>
      <c r="M1041" s="8"/>
    </row>
    <row r="1042" spans="1:13">
      <c r="A1042" s="62" t="s">
        <v>1578</v>
      </c>
      <c r="B1042" s="58">
        <v>26844429835</v>
      </c>
      <c r="C1042" s="63"/>
      <c r="D1042" s="60"/>
      <c r="E1042" s="9">
        <v>608</v>
      </c>
      <c r="F1042" s="25">
        <v>43012</v>
      </c>
      <c r="G1042" s="61" t="s">
        <v>13</v>
      </c>
      <c r="H1042" s="9"/>
      <c r="I1042" s="8"/>
      <c r="J1042" s="8"/>
      <c r="K1042" s="8"/>
      <c r="L1042" s="8"/>
      <c r="M1042" s="8"/>
    </row>
    <row r="1043" spans="1:13">
      <c r="A1043" s="15" t="s">
        <v>1579</v>
      </c>
      <c r="B1043" s="58">
        <v>32201392803</v>
      </c>
      <c r="C1043" s="63"/>
      <c r="D1043" s="60"/>
      <c r="E1043" s="9">
        <v>443</v>
      </c>
      <c r="F1043" s="25">
        <v>43188</v>
      </c>
      <c r="G1043" s="61"/>
      <c r="H1043" s="9"/>
      <c r="I1043" s="8"/>
      <c r="J1043" s="8"/>
      <c r="K1043" s="8"/>
      <c r="L1043" s="8"/>
      <c r="M1043" s="8"/>
    </row>
    <row r="1044" spans="1:13">
      <c r="A1044" s="15" t="s">
        <v>1580</v>
      </c>
      <c r="B1044" s="58">
        <v>22078152854</v>
      </c>
      <c r="C1044" s="63"/>
      <c r="D1044" s="60"/>
      <c r="E1044" s="9">
        <v>262</v>
      </c>
      <c r="F1044" s="25">
        <v>43160</v>
      </c>
      <c r="G1044" s="61" t="s">
        <v>13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62" t="s">
        <v>1581</v>
      </c>
      <c r="B1045" s="58">
        <v>35145273851</v>
      </c>
      <c r="C1045" s="63"/>
      <c r="D1045" s="60"/>
      <c r="E1045" s="9">
        <v>1752</v>
      </c>
      <c r="F1045" s="25">
        <v>43051</v>
      </c>
      <c r="G1045" s="61" t="s">
        <v>13</v>
      </c>
      <c r="H1045" s="9"/>
      <c r="I1045" s="8"/>
      <c r="J1045" s="8"/>
      <c r="K1045" s="8"/>
      <c r="L1045" s="9">
        <v>1759</v>
      </c>
      <c r="M1045" s="8"/>
    </row>
    <row r="1046" spans="1:13">
      <c r="A1046" s="62" t="s">
        <v>1582</v>
      </c>
      <c r="B1046" s="58">
        <v>74603671415</v>
      </c>
      <c r="C1046" s="63" t="s">
        <v>1583</v>
      </c>
      <c r="D1046" s="60">
        <v>28040569885</v>
      </c>
      <c r="E1046" s="9">
        <v>1267</v>
      </c>
      <c r="F1046" s="25">
        <v>42998</v>
      </c>
      <c r="G1046" s="61" t="s">
        <v>20</v>
      </c>
      <c r="H1046" s="9"/>
      <c r="I1046" s="8"/>
      <c r="J1046" s="8"/>
      <c r="K1046" s="8"/>
      <c r="L1046" s="8"/>
      <c r="M1046" s="8"/>
    </row>
    <row r="1047" spans="1:13">
      <c r="A1047" s="63" t="s">
        <v>1584</v>
      </c>
      <c r="B1047" s="58">
        <v>41590060865</v>
      </c>
      <c r="C1047" s="63" t="s">
        <v>1585</v>
      </c>
      <c r="D1047" s="60">
        <v>7785406693</v>
      </c>
      <c r="E1047" s="9"/>
      <c r="F1047" s="25"/>
      <c r="G1047" s="61"/>
      <c r="H1047" s="9"/>
      <c r="I1047" s="8"/>
      <c r="J1047" s="8"/>
      <c r="K1047" s="8"/>
      <c r="L1047" s="8"/>
      <c r="M1047" s="8"/>
    </row>
    <row r="1048" spans="1:13">
      <c r="A1048" s="62" t="s">
        <v>1586</v>
      </c>
      <c r="B1048" s="58">
        <v>35143134404</v>
      </c>
      <c r="C1048" s="63"/>
      <c r="D1048" s="60"/>
      <c r="E1048" s="9">
        <v>810</v>
      </c>
      <c r="F1048" s="25">
        <v>42915</v>
      </c>
      <c r="G1048" s="61" t="s">
        <v>13</v>
      </c>
      <c r="H1048" s="9"/>
      <c r="I1048" s="8"/>
      <c r="J1048" s="8"/>
      <c r="K1048" s="8"/>
      <c r="L1048" s="9" t="s">
        <v>138</v>
      </c>
      <c r="M1048" s="8"/>
    </row>
    <row r="1049" spans="1:13">
      <c r="A1049" s="13" t="s">
        <v>1587</v>
      </c>
      <c r="B1049" s="58">
        <v>35317818800</v>
      </c>
      <c r="C1049" s="59"/>
      <c r="D1049" s="60"/>
      <c r="E1049" s="9">
        <v>1128</v>
      </c>
      <c r="F1049" s="25">
        <v>42972</v>
      </c>
      <c r="G1049" s="61" t="s">
        <v>13</v>
      </c>
      <c r="H1049" s="9"/>
      <c r="I1049" s="8"/>
      <c r="J1049" s="8"/>
      <c r="K1049" s="8"/>
      <c r="L1049" s="8"/>
      <c r="M1049" s="8"/>
    </row>
    <row r="1050" spans="1:13">
      <c r="A1050" s="62" t="s">
        <v>1588</v>
      </c>
      <c r="B1050" s="58">
        <v>35741867898</v>
      </c>
      <c r="C1050" s="63" t="s">
        <v>1589</v>
      </c>
      <c r="D1050" s="60">
        <v>85005045368</v>
      </c>
      <c r="E1050" s="9">
        <v>1824</v>
      </c>
      <c r="F1050" s="25">
        <v>43091</v>
      </c>
      <c r="G1050" s="61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1590</v>
      </c>
      <c r="B1051" s="58">
        <v>6903933859</v>
      </c>
      <c r="C1051" s="59"/>
      <c r="D1051" s="60"/>
      <c r="E1051" s="9"/>
      <c r="F1051" s="25"/>
      <c r="G1051" s="61"/>
      <c r="H1051" s="9"/>
      <c r="I1051" s="8"/>
      <c r="J1051" s="8"/>
      <c r="K1051" s="8"/>
      <c r="L1051" s="8"/>
      <c r="M1051" s="8"/>
    </row>
    <row r="1052" spans="1:13">
      <c r="A1052" s="62" t="s">
        <v>1591</v>
      </c>
      <c r="B1052" s="58">
        <v>32799691072</v>
      </c>
      <c r="C1052" s="63"/>
      <c r="D1052" s="60"/>
      <c r="E1052" s="9">
        <v>527</v>
      </c>
      <c r="F1052" s="25">
        <v>43210</v>
      </c>
      <c r="G1052" s="61"/>
      <c r="H1052" s="9"/>
      <c r="I1052" s="8"/>
      <c r="J1052" s="8"/>
      <c r="K1052" s="8"/>
      <c r="L1052" s="9">
        <v>528</v>
      </c>
      <c r="M1052" s="8"/>
    </row>
    <row r="1053" spans="1:13">
      <c r="A1053" s="62" t="s">
        <v>1592</v>
      </c>
      <c r="B1053" s="58">
        <v>27928359820</v>
      </c>
      <c r="C1053" s="63" t="s">
        <v>1593</v>
      </c>
      <c r="D1053" s="60">
        <v>61803766468</v>
      </c>
      <c r="E1053" s="9">
        <v>810</v>
      </c>
      <c r="F1053" s="25">
        <v>42915</v>
      </c>
      <c r="G1053" s="61" t="s">
        <v>13</v>
      </c>
      <c r="H1053" s="9"/>
      <c r="I1053" s="8"/>
      <c r="J1053" s="8"/>
      <c r="K1053" s="8"/>
      <c r="L1053" s="9" t="s">
        <v>138</v>
      </c>
      <c r="M1053" s="8"/>
    </row>
    <row r="1054" spans="1:13">
      <c r="A1054" s="62" t="s">
        <v>1594</v>
      </c>
      <c r="B1054" s="58">
        <v>29008764865</v>
      </c>
      <c r="C1054" s="63"/>
      <c r="D1054" s="60"/>
      <c r="E1054" s="9">
        <v>292</v>
      </c>
      <c r="F1054" s="25">
        <v>43168</v>
      </c>
      <c r="G1054" s="9" t="s">
        <v>13</v>
      </c>
      <c r="H1054" s="9"/>
      <c r="I1054" s="8"/>
      <c r="J1054" s="8"/>
      <c r="K1054" s="8"/>
      <c r="L1054" s="9">
        <v>318</v>
      </c>
      <c r="M1054" s="8"/>
    </row>
    <row r="1055" spans="1:13">
      <c r="A1055" s="27" t="s">
        <v>1595</v>
      </c>
      <c r="B1055" s="58">
        <v>59431920506</v>
      </c>
      <c r="C1055" s="18" t="s">
        <v>129</v>
      </c>
      <c r="D1055" s="60"/>
      <c r="E1055" s="9"/>
      <c r="F1055" s="25"/>
      <c r="G1055" s="61"/>
      <c r="H1055" s="9"/>
      <c r="I1055" s="8"/>
      <c r="J1055" s="8"/>
      <c r="K1055" s="8"/>
      <c r="L1055" s="8"/>
      <c r="M1055" s="8"/>
    </row>
    <row r="1056" spans="1:13">
      <c r="A1056" s="13" t="s">
        <v>1596</v>
      </c>
      <c r="B1056" s="58">
        <v>10788957678</v>
      </c>
      <c r="C1056" s="59"/>
      <c r="D1056" s="60"/>
      <c r="E1056" s="9">
        <v>1128</v>
      </c>
      <c r="F1056" s="25">
        <v>42972</v>
      </c>
      <c r="G1056" s="61" t="s">
        <v>13</v>
      </c>
      <c r="H1056" s="9"/>
      <c r="I1056" s="8"/>
      <c r="J1056" s="8"/>
      <c r="K1056" s="8"/>
      <c r="L1056" s="8"/>
      <c r="M1056" s="8"/>
    </row>
    <row r="1057" spans="1:13">
      <c r="A1057" s="62" t="s">
        <v>1597</v>
      </c>
      <c r="B1057" s="58" t="s">
        <v>1598</v>
      </c>
      <c r="C1057" s="64"/>
      <c r="D1057" s="60"/>
      <c r="E1057" s="9"/>
      <c r="F1057" s="25"/>
      <c r="G1057" s="61"/>
      <c r="H1057" s="9"/>
      <c r="I1057" s="8"/>
      <c r="J1057" s="8"/>
      <c r="K1057" s="8"/>
      <c r="L1057" s="8"/>
      <c r="M1057" s="8"/>
    </row>
    <row r="1058" spans="1:13">
      <c r="A1058" s="62" t="s">
        <v>1599</v>
      </c>
      <c r="B1058" s="58">
        <v>34366747880</v>
      </c>
      <c r="C1058" s="68" t="s">
        <v>1600</v>
      </c>
      <c r="D1058" s="60">
        <v>718973569</v>
      </c>
      <c r="E1058" s="9">
        <v>563</v>
      </c>
      <c r="F1058" s="25">
        <v>43217</v>
      </c>
      <c r="G1058" s="61"/>
      <c r="H1058" s="9"/>
      <c r="I1058" s="8"/>
      <c r="J1058" s="8"/>
      <c r="K1058" s="8"/>
      <c r="L1058" s="9" t="s">
        <v>299</v>
      </c>
      <c r="M1058" s="8"/>
    </row>
    <row r="1059" spans="1:13">
      <c r="A1059" s="62" t="s">
        <v>1601</v>
      </c>
      <c r="B1059" s="58">
        <v>4170771575</v>
      </c>
      <c r="C1059" s="63"/>
      <c r="D1059" s="60"/>
      <c r="E1059" s="9">
        <v>1489</v>
      </c>
      <c r="F1059" s="25">
        <v>43038</v>
      </c>
      <c r="G1059" s="61" t="s">
        <v>13</v>
      </c>
      <c r="H1059" s="9"/>
      <c r="I1059" s="8"/>
      <c r="J1059" s="8"/>
      <c r="K1059" s="8"/>
      <c r="L1059" s="9" t="s">
        <v>160</v>
      </c>
      <c r="M1059" s="8"/>
    </row>
    <row r="1060" spans="1:13">
      <c r="A1060" s="14" t="s">
        <v>1602</v>
      </c>
      <c r="B1060" s="58">
        <v>48083873870</v>
      </c>
      <c r="C1060" s="63"/>
      <c r="D1060" s="60"/>
      <c r="E1060" s="9">
        <v>262</v>
      </c>
      <c r="F1060" s="25">
        <v>43160</v>
      </c>
      <c r="G1060" s="61" t="s">
        <v>13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1603</v>
      </c>
      <c r="B1061" s="58">
        <v>19580560811</v>
      </c>
      <c r="C1061" s="59" t="s">
        <v>1604</v>
      </c>
      <c r="D1061" s="60">
        <v>28925414848</v>
      </c>
      <c r="E1061" s="9">
        <v>1359</v>
      </c>
      <c r="F1061" s="25">
        <v>43006</v>
      </c>
      <c r="G1061" s="61" t="s">
        <v>20</v>
      </c>
      <c r="H1061" s="9"/>
      <c r="I1061" s="8"/>
      <c r="J1061" s="8"/>
      <c r="K1061" s="8"/>
      <c r="L1061" s="8"/>
      <c r="M1061" s="8"/>
    </row>
    <row r="1062" spans="1:13">
      <c r="A1062" s="27" t="s">
        <v>1605</v>
      </c>
      <c r="B1062" s="58">
        <v>34230472838</v>
      </c>
      <c r="C1062" s="9" t="s">
        <v>129</v>
      </c>
      <c r="D1062" s="60"/>
      <c r="E1062" s="9"/>
      <c r="F1062" s="25"/>
      <c r="G1062" s="61"/>
      <c r="H1062" s="9"/>
      <c r="I1062" s="8"/>
      <c r="J1062" s="8"/>
      <c r="K1062" s="8"/>
      <c r="L1062" s="8"/>
      <c r="M1062" s="8"/>
    </row>
    <row r="1063" spans="1:13">
      <c r="A1063" s="62" t="s">
        <v>1606</v>
      </c>
      <c r="B1063" s="58">
        <v>31353431894</v>
      </c>
      <c r="C1063" s="68"/>
      <c r="D1063" s="60"/>
      <c r="E1063" s="9"/>
      <c r="F1063" s="25"/>
      <c r="G1063" s="61"/>
      <c r="H1063" s="9"/>
      <c r="I1063" s="8"/>
      <c r="J1063" s="8"/>
      <c r="K1063" s="8"/>
      <c r="L1063" s="8"/>
      <c r="M1063" s="8"/>
    </row>
    <row r="1064" spans="1:13">
      <c r="A1064" s="62" t="s">
        <v>1607</v>
      </c>
      <c r="B1064" s="58">
        <v>42398811883</v>
      </c>
      <c r="C1064" s="63" t="s">
        <v>1608</v>
      </c>
      <c r="D1064" s="60">
        <v>33876650836</v>
      </c>
      <c r="E1064" s="9">
        <v>117</v>
      </c>
      <c r="F1064" s="25">
        <v>43117</v>
      </c>
      <c r="G1064" s="61" t="s">
        <v>20</v>
      </c>
      <c r="H1064" s="9"/>
      <c r="I1064" s="8"/>
      <c r="J1064" s="8"/>
      <c r="K1064" s="8"/>
      <c r="L1064" s="9" t="s">
        <v>170</v>
      </c>
      <c r="M1064" s="8"/>
    </row>
    <row r="1065" spans="1:13">
      <c r="A1065" s="13" t="s">
        <v>1609</v>
      </c>
      <c r="B1065" s="58">
        <v>3876363829</v>
      </c>
      <c r="C1065" s="63" t="s">
        <v>1610</v>
      </c>
      <c r="D1065" s="60">
        <v>9491364847</v>
      </c>
      <c r="E1065" s="9">
        <v>1359</v>
      </c>
      <c r="F1065" s="25">
        <v>43006</v>
      </c>
      <c r="G1065" s="61" t="s">
        <v>13</v>
      </c>
      <c r="H1065" s="9"/>
      <c r="I1065" s="8"/>
      <c r="J1065" s="8"/>
      <c r="K1065" s="8"/>
      <c r="L1065" s="8"/>
      <c r="M1065" s="8"/>
    </row>
    <row r="1066" spans="1:13">
      <c r="A1066" s="62" t="s">
        <v>1611</v>
      </c>
      <c r="B1066" s="58">
        <v>27340044884</v>
      </c>
      <c r="C1066" s="63" t="s">
        <v>1612</v>
      </c>
      <c r="D1066" s="60">
        <v>12555941878</v>
      </c>
      <c r="E1066" s="9"/>
      <c r="F1066" s="25"/>
      <c r="G1066" s="61"/>
      <c r="H1066" s="9"/>
      <c r="I1066" s="8"/>
      <c r="J1066" s="8"/>
      <c r="K1066" s="8"/>
      <c r="L1066" s="8"/>
      <c r="M1066" s="8"/>
    </row>
    <row r="1067" spans="1:13">
      <c r="A1067" s="15" t="s">
        <v>1613</v>
      </c>
      <c r="B1067" s="58">
        <v>5282573580</v>
      </c>
      <c r="C1067" s="63"/>
      <c r="D1067" s="60"/>
      <c r="E1067" s="9">
        <v>527</v>
      </c>
      <c r="F1067" s="25">
        <v>43210</v>
      </c>
      <c r="G1067" s="61"/>
      <c r="H1067" s="9"/>
      <c r="I1067" s="8"/>
      <c r="J1067" s="8"/>
      <c r="K1067" s="8"/>
      <c r="L1067" s="9">
        <v>528</v>
      </c>
      <c r="M1067" s="8"/>
    </row>
    <row r="1068" spans="1:13">
      <c r="A1068" s="64" t="s">
        <v>1614</v>
      </c>
      <c r="B1068" s="58">
        <v>38422303892</v>
      </c>
      <c r="C1068" s="63" t="s">
        <v>1615</v>
      </c>
      <c r="D1068" s="60">
        <v>33753889857</v>
      </c>
      <c r="E1068" s="9">
        <v>608</v>
      </c>
      <c r="F1068" s="25">
        <v>43012</v>
      </c>
      <c r="G1068" s="61" t="s">
        <v>13</v>
      </c>
      <c r="H1068" s="9"/>
      <c r="I1068" s="8"/>
      <c r="J1068" s="8"/>
      <c r="K1068" s="8"/>
      <c r="L1068" s="8"/>
      <c r="M1068" s="8"/>
    </row>
    <row r="1069" spans="1:13">
      <c r="A1069" s="13" t="s">
        <v>1616</v>
      </c>
      <c r="B1069" s="58">
        <v>36171676837</v>
      </c>
      <c r="C1069" s="59" t="s">
        <v>1617</v>
      </c>
      <c r="D1069" s="60">
        <v>1470162580</v>
      </c>
      <c r="E1069" s="9">
        <v>1128</v>
      </c>
      <c r="F1069" s="25">
        <v>42972</v>
      </c>
      <c r="G1069" s="61" t="s">
        <v>13</v>
      </c>
      <c r="H1069" s="9"/>
      <c r="I1069" s="8"/>
      <c r="J1069" s="8"/>
      <c r="K1069" s="8"/>
      <c r="L1069" s="8"/>
      <c r="M1069" s="8"/>
    </row>
    <row r="1070" spans="1:13">
      <c r="A1070" s="14" t="s">
        <v>1618</v>
      </c>
      <c r="B1070" s="58">
        <v>42047014859</v>
      </c>
      <c r="C1070" s="63" t="s">
        <v>1619</v>
      </c>
      <c r="D1070" s="60">
        <v>9300065424</v>
      </c>
      <c r="E1070" s="9">
        <v>1417</v>
      </c>
      <c r="F1070" s="25">
        <v>43017</v>
      </c>
      <c r="G1070" s="61" t="s">
        <v>20</v>
      </c>
      <c r="H1070" s="9"/>
      <c r="I1070" s="8"/>
      <c r="J1070" s="8"/>
      <c r="K1070" s="8"/>
      <c r="L1070" s="9" t="s">
        <v>253</v>
      </c>
      <c r="M1070" s="8"/>
    </row>
    <row r="1071" spans="1:13">
      <c r="A1071" s="27" t="s">
        <v>1620</v>
      </c>
      <c r="B1071" s="58">
        <v>34822545830</v>
      </c>
      <c r="C1071" s="18" t="s">
        <v>129</v>
      </c>
      <c r="D1071" s="60"/>
      <c r="E1071" s="9"/>
      <c r="F1071" s="25"/>
      <c r="G1071" s="61"/>
      <c r="H1071" s="9"/>
      <c r="I1071" s="8"/>
      <c r="J1071" s="8"/>
      <c r="K1071" s="8"/>
      <c r="L1071" s="8"/>
      <c r="M1071" s="8"/>
    </row>
    <row r="1072" spans="1:13">
      <c r="A1072" s="14" t="s">
        <v>1621</v>
      </c>
      <c r="B1072" s="58">
        <v>33014247839</v>
      </c>
      <c r="C1072" s="63"/>
      <c r="D1072" s="60"/>
      <c r="E1072" s="9"/>
      <c r="F1072" s="25"/>
      <c r="G1072" s="61"/>
      <c r="H1072" s="9"/>
      <c r="I1072" s="8"/>
      <c r="J1072" s="8"/>
      <c r="K1072" s="8"/>
      <c r="L1072" s="8"/>
      <c r="M1072" s="8"/>
    </row>
    <row r="1073" spans="1:13">
      <c r="A1073" s="62" t="s">
        <v>1622</v>
      </c>
      <c r="B1073" s="58">
        <v>26844627807</v>
      </c>
      <c r="C1073" s="63"/>
      <c r="D1073" s="60"/>
      <c r="E1073" s="9">
        <v>608</v>
      </c>
      <c r="F1073" s="25">
        <v>43012</v>
      </c>
      <c r="G1073" s="61" t="s">
        <v>13</v>
      </c>
      <c r="H1073" s="9"/>
      <c r="I1073" s="8"/>
      <c r="J1073" s="8"/>
      <c r="K1073" s="8"/>
      <c r="L1073" s="8"/>
      <c r="M1073" s="8"/>
    </row>
    <row r="1074" spans="1:13">
      <c r="A1074" s="62" t="s">
        <v>1623</v>
      </c>
      <c r="B1074" s="58">
        <v>1737249308</v>
      </c>
      <c r="C1074" s="63" t="s">
        <v>1624</v>
      </c>
      <c r="D1074" s="60">
        <v>31936321807</v>
      </c>
      <c r="E1074" s="9"/>
      <c r="F1074" s="25"/>
      <c r="G1074" s="61"/>
      <c r="H1074" s="9"/>
      <c r="I1074" s="8"/>
      <c r="J1074" s="8"/>
      <c r="K1074" s="8"/>
      <c r="L1074" s="8"/>
      <c r="M1074" s="8"/>
    </row>
    <row r="1075" spans="1:13">
      <c r="A1075" s="62" t="s">
        <v>1625</v>
      </c>
      <c r="B1075" s="58">
        <v>3844142576</v>
      </c>
      <c r="C1075" s="63" t="s">
        <v>1626</v>
      </c>
      <c r="D1075" s="60">
        <v>35502503801</v>
      </c>
      <c r="E1075" s="9">
        <v>810</v>
      </c>
      <c r="F1075" s="25">
        <v>42915</v>
      </c>
      <c r="G1075" s="61" t="s">
        <v>13</v>
      </c>
      <c r="H1075" s="9"/>
      <c r="I1075" s="8"/>
      <c r="J1075" s="8"/>
      <c r="K1075" s="8"/>
      <c r="L1075" s="9" t="s">
        <v>138</v>
      </c>
      <c r="M1075" s="8"/>
    </row>
    <row r="1076" spans="1:13">
      <c r="A1076" s="62" t="s">
        <v>1627</v>
      </c>
      <c r="B1076" s="58">
        <v>36588472803</v>
      </c>
      <c r="C1076" s="63"/>
      <c r="D1076" s="60"/>
      <c r="E1076" s="9"/>
      <c r="F1076" s="25"/>
      <c r="G1076" s="61"/>
      <c r="H1076" s="9"/>
      <c r="I1076" s="8"/>
      <c r="J1076" s="8"/>
      <c r="K1076" s="8"/>
      <c r="L1076" s="8"/>
      <c r="M1076" s="8"/>
    </row>
    <row r="1077" spans="1:13">
      <c r="A1077" s="13" t="s">
        <v>1628</v>
      </c>
      <c r="B1077" s="58">
        <v>3790378402</v>
      </c>
      <c r="C1077" s="59"/>
      <c r="D1077" s="60"/>
      <c r="E1077" s="9">
        <v>1128</v>
      </c>
      <c r="F1077" s="25">
        <v>42972</v>
      </c>
      <c r="G1077" s="61" t="s">
        <v>13</v>
      </c>
      <c r="H1077" s="9"/>
      <c r="I1077" s="8"/>
      <c r="J1077" s="8"/>
      <c r="K1077" s="8"/>
      <c r="L1077" s="8"/>
      <c r="M1077" s="8"/>
    </row>
    <row r="1078" spans="1:13">
      <c r="A1078" s="28" t="s">
        <v>1629</v>
      </c>
      <c r="B1078" s="58">
        <v>5864113565</v>
      </c>
      <c r="C1078" s="63"/>
      <c r="D1078" s="60"/>
      <c r="E1078" s="9"/>
      <c r="F1078" s="25"/>
      <c r="G1078" s="61"/>
      <c r="H1078" s="9"/>
      <c r="I1078" s="8"/>
      <c r="J1078" s="8"/>
      <c r="K1078" s="8"/>
      <c r="L1078" s="8"/>
      <c r="M1078" s="8"/>
    </row>
    <row r="1079" spans="1:13">
      <c r="A1079" s="62" t="s">
        <v>1630</v>
      </c>
      <c r="B1079" s="58">
        <v>34853166874</v>
      </c>
      <c r="C1079" s="63"/>
      <c r="D1079" s="60"/>
      <c r="E1079" s="9">
        <v>117</v>
      </c>
      <c r="F1079" s="25">
        <v>43117</v>
      </c>
      <c r="G1079" s="61" t="s">
        <v>13</v>
      </c>
      <c r="H1079" s="9"/>
      <c r="I1079" s="8"/>
      <c r="J1079" s="8"/>
      <c r="K1079" s="8"/>
      <c r="L1079" s="9" t="s">
        <v>170</v>
      </c>
      <c r="M1079" s="8"/>
    </row>
    <row r="1080" spans="1:13">
      <c r="A1080" s="18" t="s">
        <v>1631</v>
      </c>
      <c r="B1080" s="58">
        <v>35794263890</v>
      </c>
      <c r="C1080" s="18"/>
      <c r="D1080" s="60"/>
      <c r="E1080" s="9"/>
      <c r="F1080" s="25"/>
      <c r="G1080" s="61"/>
      <c r="H1080" s="9"/>
      <c r="I1080" s="8"/>
      <c r="J1080" s="8"/>
      <c r="K1080" s="8"/>
      <c r="L1080" s="8"/>
      <c r="M1080" s="8"/>
    </row>
    <row r="1081" spans="1:13">
      <c r="A1081" s="15" t="s">
        <v>1632</v>
      </c>
      <c r="B1081" s="58">
        <v>44410556843</v>
      </c>
      <c r="C1081" s="63" t="s">
        <v>1633</v>
      </c>
      <c r="D1081" s="60">
        <v>39436457898</v>
      </c>
      <c r="E1081" s="9">
        <v>262</v>
      </c>
      <c r="F1081" s="25">
        <v>43160</v>
      </c>
      <c r="G1081" s="61" t="s">
        <v>13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63" t="s">
        <v>1634</v>
      </c>
      <c r="B1082" s="58">
        <v>36357540803</v>
      </c>
      <c r="C1082" s="63"/>
      <c r="D1082" s="60"/>
      <c r="E1082" s="9">
        <v>292</v>
      </c>
      <c r="F1082" s="25">
        <v>43168</v>
      </c>
      <c r="G1082" s="9" t="s">
        <v>13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1635</v>
      </c>
      <c r="B1083" s="58">
        <v>29089297839</v>
      </c>
      <c r="C1083" s="63"/>
      <c r="D1083" s="60"/>
      <c r="E1083" s="9"/>
      <c r="F1083" s="25"/>
      <c r="G1083" s="61"/>
      <c r="H1083" s="9"/>
      <c r="I1083" s="8"/>
      <c r="J1083" s="8"/>
      <c r="K1083" s="8"/>
      <c r="L1083" s="8"/>
      <c r="M1083" s="8"/>
    </row>
    <row r="1084" spans="1:13">
      <c r="A1084" s="63" t="s">
        <v>1636</v>
      </c>
      <c r="B1084" s="58">
        <v>7838810884</v>
      </c>
      <c r="C1084" s="63" t="s">
        <v>1637</v>
      </c>
      <c r="D1084" s="60">
        <v>49312413449</v>
      </c>
      <c r="E1084" s="9">
        <v>573</v>
      </c>
      <c r="F1084" s="25">
        <v>43224</v>
      </c>
      <c r="G1084" s="61"/>
      <c r="H1084" s="9"/>
      <c r="I1084" s="8"/>
      <c r="J1084" s="8"/>
      <c r="K1084" s="8"/>
      <c r="L1084" s="8"/>
      <c r="M1084" s="8"/>
    </row>
    <row r="1085" spans="1:13">
      <c r="A1085" s="15" t="s">
        <v>1638</v>
      </c>
      <c r="B1085" s="58">
        <v>30707658829</v>
      </c>
      <c r="C1085" s="63"/>
      <c r="D1085" s="60"/>
      <c r="E1085" s="9">
        <v>423</v>
      </c>
      <c r="F1085" s="25">
        <v>43182</v>
      </c>
      <c r="G1085" s="61" t="s">
        <v>13</v>
      </c>
      <c r="H1085" s="9"/>
      <c r="I1085" s="8"/>
      <c r="J1085" s="8"/>
      <c r="K1085" s="8"/>
      <c r="L1085" s="8"/>
      <c r="M1085" s="8"/>
    </row>
    <row r="1086" spans="1:13">
      <c r="A1086" s="64" t="s">
        <v>1639</v>
      </c>
      <c r="B1086" s="58">
        <v>18239878857</v>
      </c>
      <c r="C1086" s="63" t="s">
        <v>1640</v>
      </c>
      <c r="D1086" s="60">
        <v>18871709870</v>
      </c>
      <c r="E1086" s="9">
        <v>85</v>
      </c>
      <c r="F1086" s="25">
        <v>43109</v>
      </c>
      <c r="G1086" s="61" t="s">
        <v>13</v>
      </c>
      <c r="H1086" s="25">
        <v>43151</v>
      </c>
      <c r="I1086" s="8"/>
      <c r="J1086" s="8"/>
      <c r="K1086" s="8"/>
      <c r="L1086" s="8"/>
      <c r="M1086" s="8"/>
    </row>
    <row r="1087" spans="1:13">
      <c r="A1087" s="27" t="s">
        <v>1641</v>
      </c>
      <c r="B1087" s="58">
        <v>33213821802</v>
      </c>
      <c r="C1087" s="18" t="s">
        <v>129</v>
      </c>
      <c r="D1087" s="60"/>
      <c r="E1087" s="9"/>
      <c r="F1087" s="25"/>
      <c r="G1087" s="61"/>
      <c r="H1087" s="9"/>
      <c r="I1087" s="8"/>
      <c r="J1087" s="8"/>
      <c r="K1087" s="8"/>
      <c r="L1087" s="8"/>
      <c r="M1087" s="8"/>
    </row>
    <row r="1088" spans="1:13">
      <c r="A1088" s="62" t="s">
        <v>1642</v>
      </c>
      <c r="B1088" s="58">
        <v>39075719833</v>
      </c>
      <c r="C1088" s="63" t="s">
        <v>1643</v>
      </c>
      <c r="D1088" s="60">
        <v>29754975809</v>
      </c>
      <c r="E1088" s="9">
        <v>810</v>
      </c>
      <c r="F1088" s="25">
        <v>42915</v>
      </c>
      <c r="G1088" s="61" t="s">
        <v>20</v>
      </c>
      <c r="H1088" s="9"/>
      <c r="I1088" s="8"/>
      <c r="J1088" s="8"/>
      <c r="K1088" s="8"/>
      <c r="L1088" s="9" t="s">
        <v>138</v>
      </c>
      <c r="M1088" s="8"/>
    </row>
    <row r="1089" spans="1:13">
      <c r="A1089" s="62" t="s">
        <v>1644</v>
      </c>
      <c r="B1089" s="58">
        <v>22599824842</v>
      </c>
      <c r="C1089" s="64" t="s">
        <v>1645</v>
      </c>
      <c r="D1089" s="60" t="s">
        <v>1646</v>
      </c>
      <c r="E1089" s="9">
        <v>573</v>
      </c>
      <c r="F1089" s="25">
        <v>43224</v>
      </c>
      <c r="G1089" s="61"/>
      <c r="H1089" s="9"/>
      <c r="I1089" s="8"/>
      <c r="J1089" s="8"/>
      <c r="K1089" s="8"/>
      <c r="L1089" s="8"/>
      <c r="M1089" s="8"/>
    </row>
    <row r="1090" spans="1:13">
      <c r="A1090" s="62" t="s">
        <v>1647</v>
      </c>
      <c r="B1090" s="58">
        <v>41719739889</v>
      </c>
      <c r="C1090" s="63" t="s">
        <v>1648</v>
      </c>
      <c r="D1090" s="60">
        <v>35883252800</v>
      </c>
      <c r="E1090" s="9">
        <v>1752</v>
      </c>
      <c r="F1090" s="25">
        <v>43051</v>
      </c>
      <c r="G1090" s="61" t="s">
        <v>13</v>
      </c>
      <c r="H1090" s="9"/>
      <c r="I1090" s="8"/>
      <c r="J1090" s="8"/>
      <c r="K1090" s="8"/>
      <c r="L1090" s="9">
        <v>1759</v>
      </c>
      <c r="M1090" s="8"/>
    </row>
    <row r="1091" spans="1:13">
      <c r="A1091" s="63" t="s">
        <v>1649</v>
      </c>
      <c r="B1091" s="58">
        <v>31524778800</v>
      </c>
      <c r="C1091" s="63" t="s">
        <v>1650</v>
      </c>
      <c r="D1091" s="60">
        <v>7322672852</v>
      </c>
      <c r="E1091" s="9"/>
      <c r="F1091" s="25"/>
      <c r="G1091" s="61"/>
      <c r="H1091" s="9"/>
      <c r="I1091" s="8"/>
      <c r="J1091" s="8"/>
      <c r="K1091" s="8"/>
      <c r="L1091" s="8"/>
      <c r="M1091" s="8"/>
    </row>
    <row r="1092" spans="1:13">
      <c r="A1092" s="15" t="s">
        <v>1651</v>
      </c>
      <c r="B1092" s="58">
        <v>44807003828</v>
      </c>
      <c r="C1092" s="63"/>
      <c r="D1092" s="60"/>
      <c r="E1092" s="9"/>
      <c r="F1092" s="25"/>
      <c r="G1092" s="61"/>
      <c r="H1092" s="9"/>
      <c r="I1092" s="8"/>
      <c r="J1092" s="8"/>
      <c r="K1092" s="8"/>
      <c r="L1092" s="8"/>
      <c r="M1092" s="8"/>
    </row>
    <row r="1093" spans="1:13">
      <c r="A1093" s="18" t="s">
        <v>1652</v>
      </c>
      <c r="B1093" s="58"/>
      <c r="C1093" s="18"/>
      <c r="D1093" s="60"/>
      <c r="E1093" s="9"/>
      <c r="F1093" s="25"/>
      <c r="G1093" s="61"/>
      <c r="H1093" s="9"/>
      <c r="I1093" s="8"/>
      <c r="J1093" s="8"/>
      <c r="K1093" s="8"/>
      <c r="L1093" s="8"/>
      <c r="M1093" s="8"/>
    </row>
    <row r="1094" spans="1:13">
      <c r="A1094" s="62" t="s">
        <v>1653</v>
      </c>
      <c r="B1094" s="58">
        <v>6614830376</v>
      </c>
      <c r="C1094" s="63" t="s">
        <v>1654</v>
      </c>
      <c r="D1094" s="60">
        <v>6372277352</v>
      </c>
      <c r="E1094" s="9">
        <v>229</v>
      </c>
      <c r="F1094" s="25">
        <v>43151</v>
      </c>
      <c r="G1094" s="61" t="s">
        <v>13</v>
      </c>
      <c r="H1094" s="9"/>
      <c r="I1094" s="8"/>
      <c r="J1094" s="8"/>
      <c r="K1094" s="8"/>
      <c r="L1094" s="9">
        <v>232</v>
      </c>
      <c r="M1094" s="8"/>
    </row>
    <row r="1095" spans="1:13">
      <c r="A1095" s="62" t="s">
        <v>1655</v>
      </c>
      <c r="B1095" s="58">
        <v>44518229800</v>
      </c>
      <c r="C1095" s="63"/>
      <c r="D1095" s="60"/>
      <c r="E1095" s="9"/>
      <c r="F1095" s="25"/>
      <c r="G1095" s="61"/>
      <c r="H1095" s="9"/>
      <c r="I1095" s="8"/>
      <c r="J1095" s="8"/>
      <c r="K1095" s="8"/>
      <c r="L1095" s="8"/>
      <c r="M1095" s="8"/>
    </row>
    <row r="1096" spans="1:13">
      <c r="A1096" s="62" t="s">
        <v>1656</v>
      </c>
      <c r="B1096" s="58">
        <v>36382134805</v>
      </c>
      <c r="C1096" s="63"/>
      <c r="D1096" s="60"/>
      <c r="E1096" s="9">
        <v>1359</v>
      </c>
      <c r="F1096" s="25">
        <v>43006</v>
      </c>
      <c r="G1096" s="61" t="s">
        <v>13</v>
      </c>
      <c r="H1096" s="9"/>
      <c r="I1096" s="8"/>
      <c r="J1096" s="8"/>
      <c r="K1096" s="8"/>
      <c r="L1096" s="8"/>
      <c r="M1096" s="8"/>
    </row>
    <row r="1097" spans="1:13">
      <c r="A1097" s="62" t="s">
        <v>1657</v>
      </c>
      <c r="B1097" s="58">
        <v>25670732804</v>
      </c>
      <c r="C1097" s="63"/>
      <c r="D1097" s="60"/>
      <c r="E1097" s="9"/>
      <c r="F1097" s="25"/>
      <c r="G1097" s="61"/>
      <c r="H1097" s="9"/>
      <c r="I1097" s="8"/>
      <c r="J1097" s="8"/>
      <c r="K1097" s="8"/>
      <c r="L1097" s="8"/>
      <c r="M1097" s="8"/>
    </row>
    <row r="1098" spans="1:13">
      <c r="A1098" s="15" t="s">
        <v>1658</v>
      </c>
      <c r="B1098" s="58">
        <v>98438107591</v>
      </c>
      <c r="C1098" s="63"/>
      <c r="D1098" s="60"/>
      <c r="E1098" s="9">
        <v>85</v>
      </c>
      <c r="F1098" s="25">
        <v>43109</v>
      </c>
      <c r="G1098" s="61" t="s">
        <v>13</v>
      </c>
      <c r="H1098" s="25">
        <v>43151</v>
      </c>
      <c r="I1098" s="8"/>
      <c r="J1098" s="8"/>
      <c r="K1098" s="8"/>
      <c r="L1098" s="8"/>
      <c r="M1098" s="8"/>
    </row>
    <row r="1099" spans="1:13">
      <c r="A1099" s="27" t="s">
        <v>1659</v>
      </c>
      <c r="B1099" s="58">
        <v>23047254818</v>
      </c>
      <c r="C1099" s="18" t="s">
        <v>129</v>
      </c>
      <c r="D1099" s="60"/>
      <c r="E1099" s="9"/>
      <c r="F1099" s="25"/>
      <c r="G1099" s="61"/>
      <c r="H1099" s="9"/>
      <c r="I1099" s="8"/>
      <c r="J1099" s="8"/>
      <c r="K1099" s="8"/>
      <c r="L1099" s="8"/>
      <c r="M1099" s="8"/>
    </row>
    <row r="1100" spans="1:13">
      <c r="A1100" s="63" t="s">
        <v>1660</v>
      </c>
      <c r="B1100" s="60">
        <v>15755371504</v>
      </c>
      <c r="C1100" s="62" t="s">
        <v>1661</v>
      </c>
      <c r="D1100" s="58">
        <v>14596377553</v>
      </c>
      <c r="E1100" s="9"/>
      <c r="F1100" s="25"/>
      <c r="G1100" s="61"/>
      <c r="H1100" s="9"/>
      <c r="I1100" s="8"/>
      <c r="J1100" s="8"/>
      <c r="K1100" s="8"/>
      <c r="L1100" s="8"/>
      <c r="M1100" s="8"/>
    </row>
    <row r="1101" spans="1:13">
      <c r="A1101" s="27" t="s">
        <v>1662</v>
      </c>
      <c r="B1101" s="58"/>
      <c r="C1101" s="27" t="s">
        <v>129</v>
      </c>
      <c r="D1101" s="60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64" t="s">
        <v>1663</v>
      </c>
      <c r="B1102" s="58">
        <v>37975016845</v>
      </c>
      <c r="C1102" s="63" t="s">
        <v>1664</v>
      </c>
      <c r="D1102" s="60">
        <v>31274964865</v>
      </c>
      <c r="E1102" s="9">
        <v>810</v>
      </c>
      <c r="F1102" s="25">
        <v>42915</v>
      </c>
      <c r="G1102" s="61" t="s">
        <v>13</v>
      </c>
      <c r="H1102" s="9"/>
      <c r="I1102" s="8"/>
      <c r="J1102" s="8"/>
      <c r="K1102" s="8"/>
      <c r="L1102" s="9" t="s">
        <v>138</v>
      </c>
      <c r="M1102" s="8"/>
    </row>
    <row r="1103" spans="1:13">
      <c r="A1103" s="62" t="s">
        <v>1665</v>
      </c>
      <c r="B1103" s="58">
        <v>40964976811</v>
      </c>
      <c r="C1103" s="63"/>
      <c r="D1103" s="60"/>
      <c r="E1103" s="9">
        <v>573</v>
      </c>
      <c r="F1103" s="25">
        <v>43224</v>
      </c>
      <c r="G1103" s="61"/>
      <c r="H1103" s="9"/>
      <c r="I1103" s="8"/>
      <c r="J1103" s="8"/>
      <c r="K1103" s="8"/>
      <c r="L1103" s="8"/>
      <c r="M1103" s="8"/>
    </row>
    <row r="1104" spans="1:13">
      <c r="A1104" s="15" t="s">
        <v>1666</v>
      </c>
      <c r="B1104" s="58">
        <v>28077257836</v>
      </c>
      <c r="C1104" s="63"/>
      <c r="D1104" s="60"/>
      <c r="E1104" s="9"/>
      <c r="F1104" s="25"/>
      <c r="G1104" s="61"/>
      <c r="H1104" s="9"/>
      <c r="I1104" s="8"/>
      <c r="J1104" s="8"/>
      <c r="K1104" s="8"/>
      <c r="L1104" s="8"/>
      <c r="M1104" s="8"/>
    </row>
    <row r="1105" spans="1:13">
      <c r="A1105" s="62" t="s">
        <v>1667</v>
      </c>
      <c r="B1105" s="58">
        <v>16130607857</v>
      </c>
      <c r="C1105" s="63"/>
      <c r="D1105" s="60"/>
      <c r="E1105" s="9">
        <v>117</v>
      </c>
      <c r="F1105" s="25">
        <v>43117</v>
      </c>
      <c r="G1105" s="61" t="s">
        <v>13</v>
      </c>
      <c r="H1105" s="9"/>
      <c r="I1105" s="8"/>
      <c r="J1105" s="8"/>
      <c r="K1105" s="8"/>
      <c r="L1105" s="9" t="s">
        <v>170</v>
      </c>
      <c r="M1105" s="8"/>
    </row>
    <row r="1106" spans="1:13">
      <c r="A1106" s="14" t="s">
        <v>1668</v>
      </c>
      <c r="B1106" s="58">
        <v>27747323875</v>
      </c>
      <c r="C1106" s="63"/>
      <c r="D1106" s="60"/>
      <c r="E1106" s="9">
        <v>262</v>
      </c>
      <c r="F1106" s="25">
        <v>43160</v>
      </c>
      <c r="G1106" s="61" t="s">
        <v>13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1669</v>
      </c>
      <c r="B1107" s="58">
        <v>46889759885</v>
      </c>
      <c r="C1107" s="63"/>
      <c r="D1107" s="60"/>
      <c r="E1107" s="9"/>
      <c r="F1107" s="25"/>
      <c r="G1107" s="61"/>
      <c r="H1107" s="9"/>
      <c r="I1107" s="8"/>
      <c r="J1107" s="8"/>
      <c r="K1107" s="8"/>
      <c r="L1107" s="8"/>
      <c r="M1107" s="8"/>
    </row>
    <row r="1108" spans="1:13">
      <c r="A1108" s="62" t="s">
        <v>1670</v>
      </c>
      <c r="B1108" s="58">
        <v>22833429886</v>
      </c>
      <c r="C1108" s="63"/>
      <c r="D1108" s="60"/>
      <c r="E1108" s="9">
        <v>1752</v>
      </c>
      <c r="F1108" s="25">
        <v>43051</v>
      </c>
      <c r="G1108" s="74" t="s">
        <v>13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1671</v>
      </c>
      <c r="B1109" s="58">
        <v>15957110582</v>
      </c>
      <c r="C1109" s="78"/>
      <c r="D1109" s="60"/>
      <c r="E1109" s="9"/>
      <c r="F1109" s="25"/>
      <c r="G1109" s="61"/>
      <c r="H1109" s="9"/>
      <c r="I1109" s="8"/>
      <c r="J1109" s="8"/>
      <c r="K1109" s="8"/>
      <c r="L1109" s="8"/>
      <c r="M1109" s="8"/>
    </row>
    <row r="1110" spans="1:13">
      <c r="A1110" s="18" t="s">
        <v>1672</v>
      </c>
      <c r="B1110" s="58">
        <v>14913495810</v>
      </c>
      <c r="C1110" s="18"/>
      <c r="D1110" s="60"/>
      <c r="E1110" s="9"/>
      <c r="F1110" s="25"/>
      <c r="G1110" s="61"/>
      <c r="H1110" s="9"/>
      <c r="I1110" s="8"/>
      <c r="J1110" s="8"/>
      <c r="K1110" s="8"/>
      <c r="L1110" s="8"/>
      <c r="M1110" s="8"/>
    </row>
    <row r="1111" spans="1:13">
      <c r="A1111" s="62" t="s">
        <v>1673</v>
      </c>
      <c r="B1111" s="58">
        <v>7604072828</v>
      </c>
      <c r="C1111" s="63"/>
      <c r="D1111" s="60"/>
      <c r="E1111" s="9">
        <v>262</v>
      </c>
      <c r="F1111" s="25">
        <v>43160</v>
      </c>
      <c r="G1111" s="9" t="s">
        <v>13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7" t="s">
        <v>1674</v>
      </c>
      <c r="B1112" s="58"/>
      <c r="C1112" s="27" t="s">
        <v>1675</v>
      </c>
      <c r="D1112" s="60"/>
      <c r="E1112" s="9"/>
      <c r="F1112" s="25"/>
      <c r="G1112" s="61"/>
      <c r="H1112" s="9"/>
      <c r="I1112" s="8"/>
      <c r="J1112" s="8"/>
      <c r="K1112" s="8"/>
      <c r="L1112" s="8"/>
      <c r="M1112" s="8"/>
    </row>
    <row r="1113" spans="1:13">
      <c r="A1113" s="18" t="s">
        <v>1676</v>
      </c>
      <c r="B1113" s="58"/>
      <c r="C1113" s="18"/>
      <c r="D1113" s="60"/>
      <c r="E1113" s="9"/>
      <c r="F1113" s="25"/>
      <c r="G1113" s="61"/>
      <c r="H1113" s="9"/>
      <c r="I1113" s="8"/>
      <c r="J1113" s="8"/>
      <c r="K1113" s="8"/>
      <c r="L1113" s="8"/>
      <c r="M1113" s="8"/>
    </row>
    <row r="1114" spans="1:13">
      <c r="A1114" s="15" t="s">
        <v>1677</v>
      </c>
      <c r="B1114" s="58">
        <v>4983532811</v>
      </c>
      <c r="C1114" s="63"/>
      <c r="D1114" s="60"/>
      <c r="E1114" s="9"/>
      <c r="F1114" s="25"/>
      <c r="G1114" s="61"/>
      <c r="H1114" s="9"/>
      <c r="I1114" s="8"/>
      <c r="J1114" s="8"/>
      <c r="K1114" s="8"/>
      <c r="L1114" s="8"/>
      <c r="M1114" s="8"/>
    </row>
    <row r="1115" spans="1:13">
      <c r="A1115" s="18" t="s">
        <v>1678</v>
      </c>
      <c r="B1115" s="58">
        <v>31228148899</v>
      </c>
      <c r="C1115" s="18" t="s">
        <v>1679</v>
      </c>
      <c r="D1115" s="60">
        <v>37290767870</v>
      </c>
      <c r="E1115" s="9"/>
      <c r="F1115" s="25"/>
      <c r="G1115" s="61"/>
      <c r="H1115" s="9"/>
      <c r="I1115" s="8"/>
      <c r="J1115" s="8"/>
      <c r="K1115" s="8"/>
      <c r="L1115" s="8"/>
      <c r="M1115" s="8"/>
    </row>
    <row r="1116" spans="1:13">
      <c r="A1116" s="64" t="s">
        <v>1680</v>
      </c>
      <c r="B1116" s="58">
        <v>28077309810</v>
      </c>
      <c r="C1116" s="63" t="s">
        <v>1681</v>
      </c>
      <c r="D1116" s="60">
        <v>62568370530</v>
      </c>
      <c r="E1116" s="9">
        <v>229</v>
      </c>
      <c r="F1116" s="25">
        <v>43151</v>
      </c>
      <c r="G1116" s="61" t="s">
        <v>13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1682</v>
      </c>
      <c r="B1117" s="58">
        <v>43681754845</v>
      </c>
      <c r="C1117" s="63" t="s">
        <v>1683</v>
      </c>
      <c r="D1117" s="60">
        <v>51120226805</v>
      </c>
      <c r="E1117" s="9">
        <v>1555</v>
      </c>
      <c r="F1117" s="25">
        <v>43049</v>
      </c>
      <c r="G1117" s="61" t="s">
        <v>13</v>
      </c>
      <c r="H1117" s="9"/>
      <c r="I1117" s="8"/>
      <c r="J1117" s="8"/>
      <c r="K1117" s="8"/>
      <c r="L1117" s="9" t="s">
        <v>398</v>
      </c>
      <c r="M1117" s="8"/>
    </row>
    <row r="1118" spans="1:13">
      <c r="A1118" s="27" t="s">
        <v>1684</v>
      </c>
      <c r="B1118" s="58"/>
      <c r="C1118" s="27" t="s">
        <v>1685</v>
      </c>
      <c r="D1118" s="60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62" t="s">
        <v>1686</v>
      </c>
      <c r="B1119" s="58"/>
      <c r="C1119" s="63"/>
      <c r="D1119" s="60"/>
      <c r="E1119" s="9"/>
      <c r="F1119" s="25"/>
      <c r="G1119" s="61"/>
      <c r="H1119" s="9"/>
      <c r="I1119" s="8"/>
      <c r="J1119" s="8"/>
      <c r="K1119" s="8"/>
      <c r="L1119" s="8"/>
      <c r="M1119" s="8"/>
    </row>
    <row r="1120" spans="1:13">
      <c r="A1120" s="14" t="s">
        <v>1687</v>
      </c>
      <c r="B1120" s="58">
        <v>11898774811</v>
      </c>
      <c r="C1120" s="63"/>
      <c r="D1120" s="60"/>
      <c r="E1120" s="9">
        <v>262</v>
      </c>
      <c r="F1120" s="25">
        <v>43160</v>
      </c>
      <c r="G1120" s="61" t="s">
        <v>13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62" t="s">
        <v>1688</v>
      </c>
      <c r="B1121" s="58">
        <v>44708151870</v>
      </c>
      <c r="C1121" s="79" t="s">
        <v>1689</v>
      </c>
      <c r="D1121" s="60">
        <v>38842284807</v>
      </c>
      <c r="E1121" s="9"/>
      <c r="F1121" s="25"/>
      <c r="G1121" s="61"/>
      <c r="H1121" s="9"/>
      <c r="I1121" s="8"/>
      <c r="J1121" s="8"/>
      <c r="K1121" s="8"/>
      <c r="L1121" s="8"/>
      <c r="M1121" s="8"/>
    </row>
    <row r="1122" spans="1:13">
      <c r="A1122" s="62" t="s">
        <v>1690</v>
      </c>
      <c r="B1122" s="58">
        <v>3633309845</v>
      </c>
      <c r="C1122" s="63"/>
      <c r="D1122" s="60"/>
      <c r="E1122" s="9"/>
      <c r="F1122" s="25"/>
      <c r="G1122" s="61"/>
      <c r="H1122" s="9"/>
      <c r="I1122" s="8"/>
      <c r="J1122" s="8"/>
      <c r="K1122" s="8"/>
      <c r="L1122" s="8"/>
      <c r="M1122" s="8"/>
    </row>
    <row r="1123" spans="1:13">
      <c r="A1123" s="18" t="s">
        <v>1691</v>
      </c>
      <c r="B1123" s="58">
        <v>33594224813</v>
      </c>
      <c r="C1123" s="18"/>
      <c r="D1123" s="60"/>
      <c r="E1123" s="9"/>
      <c r="F1123" s="25"/>
      <c r="G1123" s="61"/>
      <c r="H1123" s="9"/>
      <c r="I1123" s="8"/>
      <c r="J1123" s="8"/>
      <c r="K1123" s="8"/>
      <c r="L1123" s="8"/>
      <c r="M1123" s="8"/>
    </row>
    <row r="1124" spans="1:13">
      <c r="A1124" s="62" t="s">
        <v>1692</v>
      </c>
      <c r="B1124" s="58">
        <v>8368671817</v>
      </c>
      <c r="C1124" s="63" t="s">
        <v>1693</v>
      </c>
      <c r="D1124" s="60">
        <v>19184424877</v>
      </c>
      <c r="E1124" s="9">
        <v>292</v>
      </c>
      <c r="F1124" s="25">
        <v>43168</v>
      </c>
      <c r="G1124" s="61" t="s">
        <v>13</v>
      </c>
      <c r="H1124" s="9"/>
      <c r="I1124" s="8"/>
      <c r="J1124" s="8"/>
      <c r="K1124" s="8"/>
      <c r="L1124" s="9">
        <v>318</v>
      </c>
      <c r="M1124" s="8"/>
    </row>
    <row r="1125" spans="1:13">
      <c r="A1125" s="62" t="s">
        <v>1694</v>
      </c>
      <c r="B1125" s="58">
        <v>3103189478</v>
      </c>
      <c r="C1125" s="63"/>
      <c r="D1125" s="60"/>
      <c r="E1125" s="9">
        <v>262</v>
      </c>
      <c r="F1125" s="25">
        <v>43160</v>
      </c>
      <c r="G1125" s="9" t="s">
        <v>13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62" t="s">
        <v>1695</v>
      </c>
      <c r="B1126" s="58">
        <v>8230783888</v>
      </c>
      <c r="C1126" s="63"/>
      <c r="D1126" s="60"/>
      <c r="E1126" s="9">
        <v>810</v>
      </c>
      <c r="F1126" s="25">
        <v>42915</v>
      </c>
      <c r="G1126" s="61" t="s">
        <v>13</v>
      </c>
      <c r="H1126" s="9"/>
      <c r="I1126" s="8"/>
      <c r="J1126" s="8"/>
      <c r="K1126" s="8"/>
      <c r="L1126" s="9" t="s">
        <v>138</v>
      </c>
      <c r="M1126" s="8"/>
    </row>
    <row r="1127" spans="1:13">
      <c r="A1127" s="18" t="s">
        <v>1696</v>
      </c>
      <c r="B1127" s="58">
        <v>14688534817</v>
      </c>
      <c r="C1127" s="18"/>
      <c r="D1127" s="60"/>
      <c r="E1127" s="9"/>
      <c r="F1127" s="25"/>
      <c r="G1127" s="61"/>
      <c r="H1127" s="9"/>
      <c r="I1127" s="8"/>
      <c r="J1127" s="8"/>
      <c r="K1127" s="8"/>
      <c r="L1127" s="8"/>
      <c r="M1127" s="8"/>
    </row>
    <row r="1128" spans="1:13">
      <c r="A1128" s="15" t="s">
        <v>1697</v>
      </c>
      <c r="B1128" s="58">
        <v>45127604825</v>
      </c>
      <c r="C1128" s="63" t="s">
        <v>1698</v>
      </c>
      <c r="D1128" s="60" t="s">
        <v>1699</v>
      </c>
      <c r="E1128" s="9">
        <v>229</v>
      </c>
      <c r="F1128" s="25">
        <v>43151</v>
      </c>
      <c r="G1128" s="61" t="s">
        <v>28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1700</v>
      </c>
      <c r="B1129" s="58">
        <v>42987674856</v>
      </c>
      <c r="C1129" s="63" t="s">
        <v>1701</v>
      </c>
      <c r="D1129" s="60">
        <v>38745840890</v>
      </c>
      <c r="E1129" s="9">
        <v>85</v>
      </c>
      <c r="F1129" s="25">
        <v>43109</v>
      </c>
      <c r="G1129" s="61" t="s">
        <v>13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1702</v>
      </c>
      <c r="B1130" s="58">
        <v>36406558855</v>
      </c>
      <c r="C1130" s="63" t="s">
        <v>1703</v>
      </c>
      <c r="D1130" s="60">
        <v>37561765843</v>
      </c>
      <c r="E1130" s="9"/>
      <c r="F1130" s="25"/>
      <c r="G1130" s="61"/>
      <c r="H1130" s="9"/>
      <c r="I1130" s="8"/>
      <c r="J1130" s="8"/>
      <c r="K1130" s="8"/>
      <c r="L1130" s="8"/>
      <c r="M1130" s="8"/>
    </row>
    <row r="1131" spans="1:13">
      <c r="A1131" s="62" t="s">
        <v>1704</v>
      </c>
      <c r="B1131" s="58">
        <v>22758320843</v>
      </c>
      <c r="C1131" s="63" t="s">
        <v>1705</v>
      </c>
      <c r="D1131" s="60">
        <v>14229403810</v>
      </c>
      <c r="E1131" s="9">
        <v>1752</v>
      </c>
      <c r="F1131" s="25">
        <v>43051</v>
      </c>
      <c r="G1131" s="61" t="s">
        <v>13</v>
      </c>
      <c r="H1131" s="9"/>
      <c r="I1131" s="8"/>
      <c r="J1131" s="8"/>
      <c r="K1131" s="8"/>
      <c r="L1131" s="9">
        <v>1759</v>
      </c>
      <c r="M1131" s="8"/>
    </row>
    <row r="1132" spans="1:13">
      <c r="A1132" s="28" t="s">
        <v>1706</v>
      </c>
      <c r="B1132" s="58">
        <v>4943769535</v>
      </c>
      <c r="C1132" s="63"/>
      <c r="D1132" s="60"/>
      <c r="E1132" s="9"/>
      <c r="F1132" s="25"/>
      <c r="G1132" s="61"/>
      <c r="H1132" s="9"/>
      <c r="I1132" s="8"/>
      <c r="J1132" s="8"/>
      <c r="K1132" s="8"/>
      <c r="L1132" s="8"/>
      <c r="M1132" s="8"/>
    </row>
    <row r="1133" spans="1:13">
      <c r="A1133" s="62" t="s">
        <v>1707</v>
      </c>
      <c r="B1133" s="58">
        <v>25135632808</v>
      </c>
      <c r="C1133" s="63"/>
      <c r="D1133" s="60"/>
      <c r="E1133" s="9">
        <v>608</v>
      </c>
      <c r="F1133" s="25">
        <v>43012</v>
      </c>
      <c r="G1133" s="61" t="s">
        <v>13</v>
      </c>
      <c r="H1133" s="9"/>
      <c r="I1133" s="8"/>
      <c r="J1133" s="8"/>
      <c r="K1133" s="8"/>
      <c r="L1133" s="8"/>
      <c r="M1133" s="8"/>
    </row>
    <row r="1134" spans="1:13">
      <c r="A1134" s="62" t="s">
        <v>1708</v>
      </c>
      <c r="B1134" s="58">
        <v>82469210453</v>
      </c>
      <c r="C1134" s="63"/>
      <c r="D1134" s="60"/>
      <c r="E1134" s="9">
        <v>608</v>
      </c>
      <c r="F1134" s="25">
        <v>43012</v>
      </c>
      <c r="G1134" s="61" t="s">
        <v>13</v>
      </c>
      <c r="H1134" s="9"/>
      <c r="I1134" s="8"/>
      <c r="J1134" s="8"/>
      <c r="K1134" s="8"/>
      <c r="L1134" s="8"/>
      <c r="M1134" s="8"/>
    </row>
    <row r="1135" spans="1:13">
      <c r="A1135" s="13" t="s">
        <v>1709</v>
      </c>
      <c r="B1135" s="58">
        <v>10316594806</v>
      </c>
      <c r="C1135" s="77"/>
      <c r="D1135" s="60"/>
      <c r="E1135" s="9">
        <v>1128</v>
      </c>
      <c r="F1135" s="25">
        <v>42972</v>
      </c>
      <c r="G1135" s="61" t="s">
        <v>13</v>
      </c>
      <c r="H1135" s="9"/>
      <c r="I1135" s="8"/>
      <c r="J1135" s="8"/>
      <c r="K1135" s="8"/>
      <c r="L1135" s="8"/>
      <c r="M1135" s="8"/>
    </row>
    <row r="1136" spans="1:13">
      <c r="A1136" s="64" t="s">
        <v>1710</v>
      </c>
      <c r="B1136" s="58">
        <v>32518683810</v>
      </c>
      <c r="C1136" s="63" t="s">
        <v>1711</v>
      </c>
      <c r="D1136" s="60">
        <v>32570919829</v>
      </c>
      <c r="E1136" s="9">
        <v>262</v>
      </c>
      <c r="F1136" s="25">
        <v>43160</v>
      </c>
      <c r="G1136" s="61" t="s">
        <v>20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7" t="s">
        <v>1712</v>
      </c>
      <c r="B1137" s="58">
        <v>35723911805</v>
      </c>
      <c r="C1137" s="18" t="s">
        <v>129</v>
      </c>
      <c r="D1137" s="60"/>
      <c r="E1137" s="9"/>
      <c r="F1137" s="25"/>
      <c r="G1137" s="61"/>
      <c r="H1137" s="9"/>
      <c r="I1137" s="8"/>
      <c r="J1137" s="8"/>
      <c r="K1137" s="8"/>
      <c r="L1137" s="8"/>
      <c r="M1137" s="8"/>
    </row>
    <row r="1138" spans="1:13">
      <c r="A1138" s="62" t="s">
        <v>1713</v>
      </c>
      <c r="B1138" s="58">
        <v>10318952807</v>
      </c>
      <c r="C1138" s="63"/>
      <c r="D1138" s="60"/>
      <c r="E1138" s="9">
        <v>1106</v>
      </c>
      <c r="F1138" s="25">
        <v>42965</v>
      </c>
      <c r="G1138" s="61" t="s">
        <v>13</v>
      </c>
      <c r="H1138" s="9"/>
      <c r="I1138" s="8"/>
      <c r="J1138" s="8"/>
      <c r="K1138" s="8"/>
      <c r="L1138" s="8"/>
      <c r="M1138" s="8"/>
    </row>
    <row r="1139" spans="1:13">
      <c r="A1139" s="62" t="s">
        <v>1714</v>
      </c>
      <c r="B1139" s="58">
        <v>4194301560</v>
      </c>
      <c r="C1139" s="63"/>
      <c r="D1139" s="60"/>
      <c r="E1139" s="9">
        <v>1214</v>
      </c>
      <c r="F1139" s="25">
        <v>42989</v>
      </c>
      <c r="G1139" s="61" t="s">
        <v>13</v>
      </c>
      <c r="H1139" s="9"/>
      <c r="I1139" s="8"/>
      <c r="J1139" s="8"/>
      <c r="K1139" s="8"/>
      <c r="L1139" s="8"/>
      <c r="M1139" s="8"/>
    </row>
    <row r="1140" spans="1:13">
      <c r="A1140" s="62" t="s">
        <v>1715</v>
      </c>
      <c r="B1140" s="58">
        <v>9484796800</v>
      </c>
      <c r="C1140" s="63"/>
      <c r="D1140" s="60"/>
      <c r="E1140" s="9">
        <v>85</v>
      </c>
      <c r="F1140" s="25">
        <v>43109</v>
      </c>
      <c r="G1140" s="61" t="s">
        <v>13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1716</v>
      </c>
      <c r="B1141" s="58">
        <v>9527670667</v>
      </c>
      <c r="C1141" s="18" t="s">
        <v>1717</v>
      </c>
      <c r="D1141" s="60">
        <v>3817602600</v>
      </c>
      <c r="E1141" s="9"/>
      <c r="F1141" s="25"/>
      <c r="G1141" s="61"/>
      <c r="H1141" s="9"/>
      <c r="I1141" s="8"/>
      <c r="J1141" s="8"/>
      <c r="K1141" s="8"/>
      <c r="L1141" s="8"/>
      <c r="M1141" s="8"/>
    </row>
    <row r="1142" spans="1:13">
      <c r="A1142" s="62" t="s">
        <v>1718</v>
      </c>
      <c r="B1142" s="58">
        <v>1228452857</v>
      </c>
      <c r="C1142" s="63"/>
      <c r="D1142" s="60"/>
      <c r="E1142" s="9">
        <v>1214</v>
      </c>
      <c r="F1142" s="25">
        <v>42989</v>
      </c>
      <c r="G1142" s="61" t="s">
        <v>13</v>
      </c>
      <c r="H1142" s="9"/>
      <c r="I1142" s="8"/>
      <c r="J1142" s="8"/>
      <c r="K1142" s="8"/>
      <c r="L1142" s="8"/>
      <c r="M1142" s="8"/>
    </row>
    <row r="1143" spans="1:13">
      <c r="A1143" s="49" t="s">
        <v>1719</v>
      </c>
      <c r="B1143" s="71">
        <v>15404916842</v>
      </c>
      <c r="C1143" s="72" t="s">
        <v>1720</v>
      </c>
      <c r="D1143" s="73">
        <v>26437120487</v>
      </c>
      <c r="E1143" s="45">
        <v>1752</v>
      </c>
      <c r="F1143" s="46">
        <v>43051</v>
      </c>
      <c r="G1143" s="74" t="s">
        <v>28</v>
      </c>
      <c r="H1143" s="45"/>
      <c r="I1143" s="47"/>
      <c r="J1143" s="47"/>
      <c r="K1143" s="47"/>
      <c r="L1143" s="9">
        <v>1759</v>
      </c>
      <c r="M1143" s="47"/>
    </row>
    <row r="1144" spans="1:13">
      <c r="A1144" s="62" t="s">
        <v>1721</v>
      </c>
      <c r="B1144" s="58">
        <v>12991463848</v>
      </c>
      <c r="C1144" s="63"/>
      <c r="D1144" s="60"/>
      <c r="E1144" s="9">
        <v>262</v>
      </c>
      <c r="F1144" s="25">
        <v>43160</v>
      </c>
      <c r="G1144" s="61" t="s">
        <v>13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62" t="s">
        <v>1722</v>
      </c>
      <c r="B1145" s="58">
        <v>16618981816</v>
      </c>
      <c r="C1145" s="68" t="s">
        <v>1723</v>
      </c>
      <c r="D1145" s="60">
        <v>41182268803</v>
      </c>
      <c r="E1145" s="9"/>
      <c r="F1145" s="25"/>
      <c r="G1145" s="61"/>
      <c r="H1145" s="9"/>
      <c r="I1145" s="8"/>
      <c r="J1145" s="8"/>
      <c r="K1145" s="8"/>
      <c r="L1145" s="8"/>
      <c r="M1145" s="8"/>
    </row>
    <row r="1146" spans="1:13">
      <c r="A1146" s="62" t="s">
        <v>1724</v>
      </c>
      <c r="B1146" s="58">
        <v>17618357854</v>
      </c>
      <c r="C1146" s="63"/>
      <c r="D1146" s="60"/>
      <c r="E1146" s="9">
        <v>1752</v>
      </c>
      <c r="F1146" s="25">
        <v>43051</v>
      </c>
      <c r="G1146" s="61" t="s">
        <v>13</v>
      </c>
      <c r="H1146" s="9"/>
      <c r="I1146" s="8"/>
      <c r="J1146" s="8"/>
      <c r="K1146" s="8"/>
      <c r="L1146" s="9">
        <v>1759</v>
      </c>
      <c r="M1146" s="8"/>
    </row>
    <row r="1147" spans="1:13">
      <c r="A1147" s="62" t="s">
        <v>1725</v>
      </c>
      <c r="B1147" s="58">
        <v>14396561857</v>
      </c>
      <c r="C1147" s="63" t="s">
        <v>1726</v>
      </c>
      <c r="D1147" s="60">
        <v>26877955854</v>
      </c>
      <c r="E1147" s="9">
        <v>1350</v>
      </c>
      <c r="F1147" s="25">
        <v>43006</v>
      </c>
      <c r="G1147" s="61" t="s">
        <v>13</v>
      </c>
      <c r="H1147" s="9"/>
      <c r="I1147" s="8"/>
      <c r="J1147" s="8"/>
      <c r="K1147" s="8"/>
      <c r="L1147" s="8"/>
      <c r="M1147" s="8"/>
    </row>
    <row r="1148" spans="1:13">
      <c r="A1148" s="62" t="s">
        <v>1727</v>
      </c>
      <c r="B1148" s="58">
        <v>89014774591</v>
      </c>
      <c r="C1148" s="63" t="s">
        <v>1728</v>
      </c>
      <c r="D1148" s="60">
        <v>63982650500</v>
      </c>
      <c r="E1148" s="9"/>
      <c r="F1148" s="25"/>
      <c r="G1148" s="61"/>
      <c r="H1148" s="9"/>
      <c r="I1148" s="8"/>
      <c r="J1148" s="8"/>
      <c r="K1148" s="8"/>
      <c r="L1148" s="8"/>
      <c r="M1148" s="8"/>
    </row>
    <row r="1149" spans="1:13">
      <c r="A1149" s="62" t="s">
        <v>1729</v>
      </c>
      <c r="B1149" s="58">
        <v>36708561883</v>
      </c>
      <c r="C1149" s="63" t="s">
        <v>1730</v>
      </c>
      <c r="D1149" s="60">
        <v>2327353440</v>
      </c>
      <c r="E1149" s="9"/>
      <c r="F1149" s="25"/>
      <c r="G1149" s="61"/>
      <c r="H1149" s="9"/>
      <c r="I1149" s="8"/>
      <c r="J1149" s="8"/>
      <c r="K1149" s="8"/>
      <c r="L1149" s="8"/>
      <c r="M1149" s="8"/>
    </row>
    <row r="1150" spans="1:13">
      <c r="A1150" s="62" t="s">
        <v>1731</v>
      </c>
      <c r="B1150" s="58">
        <v>34053400805</v>
      </c>
      <c r="C1150" s="63"/>
      <c r="D1150" s="60"/>
      <c r="E1150" s="9">
        <v>1752</v>
      </c>
      <c r="F1150" s="25">
        <v>43051</v>
      </c>
      <c r="G1150" s="61" t="s">
        <v>13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1732</v>
      </c>
      <c r="B1151" s="58">
        <v>96998164572</v>
      </c>
      <c r="C1151" s="63"/>
      <c r="D1151" s="60"/>
      <c r="E1151" s="9">
        <v>85</v>
      </c>
      <c r="F1151" s="25">
        <v>43109</v>
      </c>
      <c r="G1151" s="61" t="s">
        <v>13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1733</v>
      </c>
      <c r="B1152" s="58">
        <v>11448724481</v>
      </c>
      <c r="C1152" s="63"/>
      <c r="D1152" s="60"/>
      <c r="E1152" s="9">
        <v>85</v>
      </c>
      <c r="F1152" s="25">
        <v>43109</v>
      </c>
      <c r="G1152" s="61" t="s">
        <v>13</v>
      </c>
      <c r="H1152" s="25">
        <v>43151</v>
      </c>
      <c r="I1152" s="8"/>
      <c r="J1152" s="8"/>
      <c r="K1152" s="8"/>
      <c r="L1152" s="8"/>
      <c r="M1152" s="8"/>
    </row>
    <row r="1153" spans="1:13">
      <c r="A1153" s="62" t="s">
        <v>1734</v>
      </c>
      <c r="B1153" s="58">
        <v>36082898877</v>
      </c>
      <c r="C1153" s="63"/>
      <c r="D1153" s="60"/>
      <c r="E1153" s="9"/>
      <c r="F1153" s="25"/>
      <c r="G1153" s="61"/>
      <c r="H1153" s="9"/>
      <c r="I1153" s="8"/>
      <c r="J1153" s="8"/>
      <c r="K1153" s="8"/>
      <c r="L1153" s="8"/>
      <c r="M1153" s="8"/>
    </row>
    <row r="1154" spans="1:13">
      <c r="A1154" s="62" t="s">
        <v>1735</v>
      </c>
      <c r="B1154" s="58">
        <v>35744098852</v>
      </c>
      <c r="C1154" s="63"/>
      <c r="D1154" s="60"/>
      <c r="E1154" s="9"/>
      <c r="F1154" s="25"/>
      <c r="G1154" s="61"/>
      <c r="H1154" s="9"/>
      <c r="I1154" s="8"/>
      <c r="J1154" s="8"/>
      <c r="K1154" s="8"/>
      <c r="L1154" s="8"/>
      <c r="M1154" s="8"/>
    </row>
    <row r="1155" spans="1:13">
      <c r="A1155" s="62" t="s">
        <v>1736</v>
      </c>
      <c r="B1155" s="58">
        <v>26114066855</v>
      </c>
      <c r="C1155" s="63"/>
      <c r="D1155" s="60"/>
      <c r="E1155" s="9">
        <v>1350</v>
      </c>
      <c r="F1155" s="25">
        <v>43006</v>
      </c>
      <c r="G1155" s="61" t="s">
        <v>13</v>
      </c>
      <c r="H1155" s="9"/>
      <c r="I1155" s="8"/>
      <c r="J1155" s="8"/>
      <c r="K1155" s="8"/>
      <c r="L1155" s="8"/>
      <c r="M1155" s="8"/>
    </row>
    <row r="1156" spans="1:13">
      <c r="A1156" s="62" t="s">
        <v>1737</v>
      </c>
      <c r="B1156" s="58">
        <v>35706404852</v>
      </c>
      <c r="C1156" s="63"/>
      <c r="D1156" s="60"/>
      <c r="E1156" s="9">
        <v>117</v>
      </c>
      <c r="F1156" s="25"/>
      <c r="G1156" s="61" t="s">
        <v>28</v>
      </c>
      <c r="H1156" s="9"/>
      <c r="I1156" s="8"/>
      <c r="J1156" s="8"/>
      <c r="K1156" s="8"/>
      <c r="L1156" s="8"/>
      <c r="M1156" s="8"/>
    </row>
    <row r="1157" spans="1:13">
      <c r="A1157" s="62" t="s">
        <v>1738</v>
      </c>
      <c r="B1157" s="58">
        <v>2044062348</v>
      </c>
      <c r="C1157" s="63" t="s">
        <v>1739</v>
      </c>
      <c r="D1157" s="60">
        <v>61505005353</v>
      </c>
      <c r="E1157" s="9">
        <v>1214</v>
      </c>
      <c r="F1157" s="25">
        <v>42989</v>
      </c>
      <c r="G1157" s="61" t="s">
        <v>13</v>
      </c>
      <c r="H1157" s="9"/>
      <c r="I1157" s="8"/>
      <c r="J1157" s="8"/>
      <c r="K1157" s="8"/>
      <c r="L1157" s="8"/>
      <c r="M1157" s="8"/>
    </row>
    <row r="1158" spans="1:13">
      <c r="A1158" s="62" t="s">
        <v>1740</v>
      </c>
      <c r="B1158" s="58">
        <v>17426779831</v>
      </c>
      <c r="C1158" s="63"/>
      <c r="D1158" s="60"/>
      <c r="E1158" s="9">
        <v>292</v>
      </c>
      <c r="F1158" s="25">
        <v>43168</v>
      </c>
      <c r="G1158" s="61" t="s">
        <v>13</v>
      </c>
      <c r="H1158" s="9"/>
      <c r="I1158" s="8"/>
      <c r="J1158" s="8"/>
      <c r="K1158" s="8"/>
      <c r="L1158" s="9">
        <v>318</v>
      </c>
      <c r="M1158" s="8"/>
    </row>
    <row r="1159" spans="1:13">
      <c r="A1159" s="75" t="s">
        <v>1741</v>
      </c>
      <c r="B1159" s="58">
        <v>8650626840</v>
      </c>
      <c r="C1159" s="63"/>
      <c r="D1159" s="60"/>
      <c r="E1159" s="9"/>
      <c r="F1159" s="25"/>
      <c r="G1159" s="61"/>
      <c r="H1159" s="9"/>
      <c r="I1159" s="8"/>
      <c r="J1159" s="8"/>
      <c r="K1159" s="8"/>
      <c r="L1159" s="8"/>
      <c r="M1159" s="8"/>
    </row>
    <row r="1160" spans="1:13">
      <c r="A1160" s="62" t="s">
        <v>1742</v>
      </c>
      <c r="B1160" s="58">
        <v>32376309859</v>
      </c>
      <c r="C1160" s="63"/>
      <c r="D1160" s="60"/>
      <c r="E1160" s="9">
        <v>262</v>
      </c>
      <c r="F1160" s="25">
        <v>43160</v>
      </c>
      <c r="G1160" s="61" t="s">
        <v>13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62" t="s">
        <v>1743</v>
      </c>
      <c r="B1161" s="58">
        <v>11126789801</v>
      </c>
      <c r="C1161" s="63" t="s">
        <v>1744</v>
      </c>
      <c r="D1161" s="60">
        <v>13442330823</v>
      </c>
      <c r="E1161" s="9">
        <v>85</v>
      </c>
      <c r="F1161" s="25">
        <v>43109</v>
      </c>
      <c r="G1161" s="61" t="s">
        <v>13</v>
      </c>
      <c r="H1161" s="25">
        <v>43151</v>
      </c>
      <c r="I1161" s="8"/>
      <c r="J1161" s="8"/>
      <c r="K1161" s="8"/>
      <c r="L1161" s="8"/>
      <c r="M1161" s="8"/>
    </row>
    <row r="1162" spans="1:13">
      <c r="A1162" s="62" t="s">
        <v>1745</v>
      </c>
      <c r="B1162" s="58">
        <v>24547333823</v>
      </c>
      <c r="C1162" s="63"/>
      <c r="D1162" s="60"/>
      <c r="E1162" s="9">
        <v>262</v>
      </c>
      <c r="F1162" s="25">
        <v>43160</v>
      </c>
      <c r="G1162" s="61" t="s">
        <v>13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62" t="s">
        <v>1746</v>
      </c>
      <c r="B1163" s="58">
        <v>27902290823</v>
      </c>
      <c r="C1163" s="63"/>
      <c r="D1163" s="60"/>
      <c r="E1163" s="9">
        <v>1824</v>
      </c>
      <c r="F1163" s="25">
        <v>43091</v>
      </c>
      <c r="G1163" s="61" t="s">
        <v>13</v>
      </c>
      <c r="H1163" s="9"/>
      <c r="I1163" s="8"/>
      <c r="J1163" s="8"/>
      <c r="K1163" s="8"/>
      <c r="L1163" s="9">
        <v>1828</v>
      </c>
      <c r="M1163" s="8"/>
    </row>
    <row r="1164" spans="1:13">
      <c r="A1164" s="62" t="s">
        <v>1747</v>
      </c>
      <c r="B1164" s="58">
        <v>42134258861</v>
      </c>
      <c r="C1164" s="63" t="s">
        <v>1748</v>
      </c>
      <c r="D1164" s="60">
        <v>36485490817</v>
      </c>
      <c r="E1164" s="9">
        <v>262</v>
      </c>
      <c r="F1164" s="25">
        <v>43160</v>
      </c>
      <c r="G1164" s="9" t="s">
        <v>13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1749</v>
      </c>
      <c r="B1165" s="58">
        <v>1772681318</v>
      </c>
      <c r="C1165" s="63" t="s">
        <v>1750</v>
      </c>
      <c r="D1165" s="60">
        <v>88109810306</v>
      </c>
      <c r="E1165" s="9">
        <v>85</v>
      </c>
      <c r="F1165" s="25">
        <v>43109</v>
      </c>
      <c r="G1165" s="61" t="s">
        <v>13</v>
      </c>
      <c r="H1165" s="25">
        <v>43151</v>
      </c>
      <c r="I1165" s="8"/>
      <c r="J1165" s="8"/>
      <c r="K1165" s="8"/>
      <c r="L1165" s="8"/>
      <c r="M1165" s="8"/>
    </row>
    <row r="1166" spans="1:13">
      <c r="A1166" s="62" t="s">
        <v>1751</v>
      </c>
      <c r="B1166" s="58">
        <v>88244881291</v>
      </c>
      <c r="C1166" s="63" t="s">
        <v>1752</v>
      </c>
      <c r="D1166" s="60">
        <v>71885609272</v>
      </c>
      <c r="E1166" s="9">
        <v>292</v>
      </c>
      <c r="F1166" s="25">
        <v>43168</v>
      </c>
      <c r="G1166" s="9" t="s">
        <v>13</v>
      </c>
      <c r="H1166" s="9"/>
      <c r="I1166" s="8"/>
      <c r="J1166" s="8"/>
      <c r="K1166" s="8"/>
      <c r="L1166" s="9">
        <v>318</v>
      </c>
      <c r="M1166" s="8"/>
    </row>
    <row r="1167" spans="1:13">
      <c r="A1167" s="62" t="s">
        <v>1753</v>
      </c>
      <c r="B1167" s="58">
        <v>33535539838</v>
      </c>
      <c r="C1167" s="63" t="s">
        <v>1754</v>
      </c>
      <c r="D1167" s="60">
        <v>19438586830</v>
      </c>
      <c r="E1167" s="9">
        <v>85</v>
      </c>
      <c r="F1167" s="25">
        <v>43109</v>
      </c>
      <c r="G1167" s="61" t="s">
        <v>13</v>
      </c>
      <c r="H1167" s="25">
        <v>43151</v>
      </c>
      <c r="I1167" s="8"/>
      <c r="J1167" s="8"/>
      <c r="K1167" s="8"/>
      <c r="L1167" s="8"/>
      <c r="M1167" s="8"/>
    </row>
    <row r="1168" spans="1:13">
      <c r="A1168" s="62" t="s">
        <v>1755</v>
      </c>
      <c r="B1168" s="58">
        <v>48136867534</v>
      </c>
      <c r="C1168" s="63"/>
      <c r="D1168" s="60"/>
      <c r="E1168" s="9">
        <v>1628</v>
      </c>
      <c r="F1168" s="25">
        <v>43077</v>
      </c>
      <c r="G1168" s="9" t="s">
        <v>13</v>
      </c>
      <c r="H1168" s="9"/>
      <c r="I1168" s="8"/>
      <c r="J1168" s="8"/>
      <c r="K1168" s="8"/>
      <c r="L1168" s="8"/>
      <c r="M1168" s="8"/>
    </row>
    <row r="1169" spans="1:13">
      <c r="A1169" s="62" t="s">
        <v>1756</v>
      </c>
      <c r="B1169" s="58">
        <v>70743070410</v>
      </c>
      <c r="C1169" s="63"/>
      <c r="D1169" s="60"/>
      <c r="E1169" s="9">
        <v>117</v>
      </c>
      <c r="F1169" s="25">
        <v>43117</v>
      </c>
      <c r="G1169" s="61" t="s">
        <v>13</v>
      </c>
      <c r="H1169" s="9"/>
      <c r="I1169" s="8"/>
      <c r="J1169" s="8"/>
      <c r="K1169" s="8"/>
      <c r="L1169" s="9" t="s">
        <v>170</v>
      </c>
      <c r="M1169" s="8"/>
    </row>
    <row r="1170" spans="1:13">
      <c r="A1170" s="62" t="s">
        <v>1757</v>
      </c>
      <c r="B1170" s="58">
        <v>45709200808</v>
      </c>
      <c r="C1170" s="68"/>
      <c r="D1170" s="60"/>
      <c r="E1170" s="9"/>
      <c r="F1170" s="25"/>
      <c r="G1170" s="61"/>
      <c r="H1170" s="9"/>
      <c r="I1170" s="8"/>
      <c r="J1170" s="8"/>
      <c r="K1170" s="8"/>
      <c r="L1170" s="8"/>
      <c r="M1170" s="8"/>
    </row>
    <row r="1171" spans="1:13">
      <c r="A1171" s="62" t="s">
        <v>1758</v>
      </c>
      <c r="B1171" s="58">
        <v>1785278584</v>
      </c>
      <c r="C1171" s="63"/>
      <c r="D1171" s="60"/>
      <c r="E1171" s="9">
        <v>810</v>
      </c>
      <c r="F1171" s="25">
        <v>42915</v>
      </c>
      <c r="G1171" s="61" t="s">
        <v>13</v>
      </c>
      <c r="H1171" s="9"/>
      <c r="I1171" s="8"/>
      <c r="J1171" s="8"/>
      <c r="K1171" s="8"/>
      <c r="L1171" s="9" t="s">
        <v>138</v>
      </c>
      <c r="M1171" s="8"/>
    </row>
    <row r="1172" spans="1:13">
      <c r="A1172" s="62" t="s">
        <v>1759</v>
      </c>
      <c r="B1172" s="58">
        <v>92262848572</v>
      </c>
      <c r="C1172" s="63"/>
      <c r="D1172" s="60"/>
      <c r="E1172" s="9">
        <v>1555</v>
      </c>
      <c r="F1172" s="25">
        <v>43049</v>
      </c>
      <c r="G1172" s="74" t="s">
        <v>13</v>
      </c>
      <c r="H1172" s="9"/>
      <c r="I1172" s="8"/>
      <c r="J1172" s="8"/>
      <c r="K1172" s="8"/>
      <c r="L1172" s="9" t="s">
        <v>398</v>
      </c>
      <c r="M1172" s="8"/>
    </row>
    <row r="1173" spans="1:13">
      <c r="A1173" s="63" t="s">
        <v>1760</v>
      </c>
      <c r="B1173" s="58">
        <v>42160981850</v>
      </c>
      <c r="C1173" s="63" t="s">
        <v>1761</v>
      </c>
      <c r="D1173" s="60">
        <v>40077808894</v>
      </c>
      <c r="E1173" s="9">
        <v>608</v>
      </c>
      <c r="F1173" s="25">
        <v>43012</v>
      </c>
      <c r="G1173" s="61" t="s">
        <v>13</v>
      </c>
      <c r="H1173" s="9"/>
      <c r="I1173" s="8"/>
      <c r="J1173" s="8"/>
      <c r="K1173" s="8"/>
      <c r="L1173" s="8"/>
      <c r="M1173" s="8"/>
    </row>
    <row r="1174" spans="1:13">
      <c r="A1174" s="62" t="s">
        <v>1762</v>
      </c>
      <c r="B1174" s="58">
        <v>73684600504</v>
      </c>
      <c r="C1174" s="63"/>
      <c r="D1174" s="60"/>
      <c r="E1174" s="9">
        <v>1628</v>
      </c>
      <c r="F1174" s="25">
        <v>43077</v>
      </c>
      <c r="G1174" s="61" t="s">
        <v>20</v>
      </c>
      <c r="H1174" s="9"/>
      <c r="I1174" s="8"/>
      <c r="J1174" s="8"/>
      <c r="K1174" s="8"/>
      <c r="L1174" s="8"/>
      <c r="M1174" s="8"/>
    </row>
    <row r="1175" spans="1:13">
      <c r="A1175" s="62" t="s">
        <v>1763</v>
      </c>
      <c r="B1175" s="58">
        <v>6426658502</v>
      </c>
      <c r="C1175" s="68"/>
      <c r="D1175" s="60"/>
      <c r="E1175" s="9"/>
      <c r="F1175" s="25"/>
      <c r="G1175" s="61"/>
      <c r="H1175" s="9"/>
      <c r="I1175" s="8"/>
      <c r="J1175" s="8"/>
      <c r="K1175" s="8"/>
      <c r="L1175" s="8"/>
      <c r="M1175" s="8"/>
    </row>
    <row r="1176" spans="1:13">
      <c r="A1176" s="62" t="s">
        <v>1764</v>
      </c>
      <c r="B1176" s="58">
        <v>28651118813</v>
      </c>
      <c r="C1176" s="63"/>
      <c r="D1176" s="60"/>
      <c r="E1176" s="9">
        <v>563</v>
      </c>
      <c r="F1176" s="25">
        <v>43217</v>
      </c>
      <c r="G1176" s="61"/>
      <c r="H1176" s="9"/>
      <c r="I1176" s="8"/>
      <c r="J1176" s="8"/>
      <c r="K1176" s="8"/>
      <c r="L1176" s="9" t="s">
        <v>299</v>
      </c>
      <c r="M1176" s="8"/>
    </row>
    <row r="1177" spans="1:13">
      <c r="A1177" s="27" t="s">
        <v>1765</v>
      </c>
      <c r="B1177" s="58"/>
      <c r="C1177" s="27" t="s">
        <v>1766</v>
      </c>
      <c r="D1177" s="60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62" t="s">
        <v>1767</v>
      </c>
      <c r="B1178" s="58">
        <v>19181635885</v>
      </c>
      <c r="C1178" s="63"/>
      <c r="D1178" s="60"/>
      <c r="E1178" s="9"/>
      <c r="F1178" s="25"/>
      <c r="G1178" s="61"/>
      <c r="H1178" s="9"/>
      <c r="I1178" s="8"/>
      <c r="J1178" s="8"/>
      <c r="K1178" s="8"/>
      <c r="L1178" s="8"/>
      <c r="M1178" s="8"/>
    </row>
    <row r="1179" spans="1:13">
      <c r="A1179" s="62" t="s">
        <v>1768</v>
      </c>
      <c r="B1179" s="58">
        <v>11754585469</v>
      </c>
      <c r="C1179" s="68" t="s">
        <v>1769</v>
      </c>
      <c r="D1179" s="60">
        <v>9504153402</v>
      </c>
      <c r="E1179" s="9">
        <v>563</v>
      </c>
      <c r="F1179" s="25">
        <v>43217</v>
      </c>
      <c r="G1179" s="61"/>
      <c r="H1179" s="9"/>
      <c r="I1179" s="8"/>
      <c r="J1179" s="8"/>
      <c r="K1179" s="8"/>
      <c r="L1179" s="9" t="s">
        <v>299</v>
      </c>
      <c r="M1179" s="8"/>
    </row>
    <row r="1180" spans="1:13">
      <c r="A1180" s="27" t="s">
        <v>1770</v>
      </c>
      <c r="B1180" s="58">
        <v>7621874503</v>
      </c>
      <c r="C1180" s="27" t="s">
        <v>1771</v>
      </c>
      <c r="D1180" s="60">
        <v>9206244809</v>
      </c>
      <c r="E1180" s="9"/>
      <c r="F1180" s="25"/>
      <c r="G1180" s="61"/>
      <c r="H1180" s="9"/>
      <c r="I1180" s="8"/>
      <c r="J1180" s="8"/>
      <c r="K1180" s="8"/>
      <c r="L1180" s="8"/>
      <c r="M1180" s="8"/>
    </row>
    <row r="1181" spans="1:13">
      <c r="A1181" s="62" t="s">
        <v>1772</v>
      </c>
      <c r="B1181" s="58">
        <v>33550053800</v>
      </c>
      <c r="C1181" s="63"/>
      <c r="D1181" s="60"/>
      <c r="E1181" s="9">
        <v>608</v>
      </c>
      <c r="F1181" s="25">
        <v>43012</v>
      </c>
      <c r="G1181" s="61" t="s">
        <v>13</v>
      </c>
      <c r="H1181" s="9"/>
      <c r="I1181" s="8"/>
      <c r="J1181" s="8"/>
      <c r="K1181" s="8"/>
      <c r="L1181" s="8"/>
      <c r="M1181" s="8"/>
    </row>
    <row r="1182" spans="1:13">
      <c r="A1182" s="13" t="s">
        <v>1773</v>
      </c>
      <c r="B1182" s="58">
        <v>16310109804</v>
      </c>
      <c r="C1182" s="59"/>
      <c r="D1182" s="60"/>
      <c r="E1182" s="9">
        <v>1555</v>
      </c>
      <c r="F1182" s="25">
        <v>43049</v>
      </c>
      <c r="G1182" s="61" t="s">
        <v>13</v>
      </c>
      <c r="H1182" s="9"/>
      <c r="I1182" s="8"/>
      <c r="J1182" s="8"/>
      <c r="K1182" s="8"/>
      <c r="L1182" s="9" t="s">
        <v>398</v>
      </c>
      <c r="M1182" s="8"/>
    </row>
    <row r="1183" spans="1:13">
      <c r="A1183" s="27" t="s">
        <v>1774</v>
      </c>
      <c r="B1183" s="58">
        <v>29913700841</v>
      </c>
      <c r="C1183" s="18" t="s">
        <v>129</v>
      </c>
      <c r="D1183" s="60"/>
      <c r="E1183" s="9"/>
      <c r="F1183" s="25"/>
      <c r="G1183" s="61"/>
      <c r="H1183" s="9"/>
      <c r="I1183" s="8"/>
      <c r="J1183" s="8"/>
      <c r="K1183" s="8"/>
      <c r="L1183" s="8"/>
      <c r="M1183" s="8"/>
    </row>
    <row r="1184" spans="1:13">
      <c r="A1184" s="27" t="s">
        <v>1775</v>
      </c>
      <c r="B1184" s="58">
        <v>28907743843</v>
      </c>
      <c r="C1184" s="27" t="s">
        <v>1776</v>
      </c>
      <c r="D1184" s="60">
        <v>3303974861</v>
      </c>
      <c r="E1184" s="9"/>
      <c r="F1184" s="25"/>
      <c r="G1184" s="61"/>
      <c r="H1184" s="9"/>
      <c r="I1184" s="8"/>
      <c r="J1184" s="8"/>
      <c r="K1184" s="8"/>
      <c r="L1184" s="8"/>
      <c r="M1184" s="8"/>
    </row>
    <row r="1185" spans="1:13">
      <c r="A1185" s="62" t="s">
        <v>1777</v>
      </c>
      <c r="B1185" s="58">
        <v>60957190468</v>
      </c>
      <c r="C1185" s="63"/>
      <c r="D1185" s="60"/>
      <c r="E1185" s="9">
        <v>810</v>
      </c>
      <c r="F1185" s="25">
        <v>42915</v>
      </c>
      <c r="G1185" s="61" t="s">
        <v>13</v>
      </c>
      <c r="H1185" s="9"/>
      <c r="I1185" s="8"/>
      <c r="J1185" s="8"/>
      <c r="K1185" s="8"/>
      <c r="L1185" s="9" t="s">
        <v>138</v>
      </c>
      <c r="M1185" s="8"/>
    </row>
    <row r="1186" spans="1:13">
      <c r="A1186" s="27" t="s">
        <v>1778</v>
      </c>
      <c r="B1186" s="58"/>
      <c r="C1186" s="18" t="s">
        <v>129</v>
      </c>
      <c r="D1186" s="60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62" t="s">
        <v>1779</v>
      </c>
      <c r="B1187" s="58">
        <v>16468436818</v>
      </c>
      <c r="C1187" s="63"/>
      <c r="D1187" s="60"/>
      <c r="E1187" s="9">
        <v>810</v>
      </c>
      <c r="F1187" s="25">
        <v>42915</v>
      </c>
      <c r="G1187" s="61" t="s">
        <v>13</v>
      </c>
      <c r="H1187" s="9"/>
      <c r="I1187" s="8"/>
      <c r="J1187" s="8"/>
      <c r="K1187" s="8"/>
      <c r="L1187" s="9" t="s">
        <v>138</v>
      </c>
      <c r="M1187" s="8"/>
    </row>
    <row r="1188" spans="1:13">
      <c r="A1188" s="64" t="s">
        <v>1780</v>
      </c>
      <c r="B1188" s="58">
        <v>1198397500</v>
      </c>
      <c r="C1188" s="63" t="s">
        <v>1781</v>
      </c>
      <c r="D1188" s="60">
        <v>87142503572</v>
      </c>
      <c r="E1188" s="9">
        <v>810</v>
      </c>
      <c r="F1188" s="25">
        <v>42915</v>
      </c>
      <c r="G1188" s="61" t="s">
        <v>13</v>
      </c>
      <c r="H1188" s="9"/>
      <c r="I1188" s="8"/>
      <c r="J1188" s="8"/>
      <c r="K1188" s="8"/>
      <c r="L1188" s="9" t="s">
        <v>138</v>
      </c>
      <c r="M1188" s="8"/>
    </row>
    <row r="1189" spans="1:13">
      <c r="A1189" s="27" t="s">
        <v>1782</v>
      </c>
      <c r="B1189" s="58">
        <v>17487364852</v>
      </c>
      <c r="C1189" s="27" t="s">
        <v>1783</v>
      </c>
      <c r="D1189" s="60">
        <v>17007791840</v>
      </c>
      <c r="E1189" s="9"/>
      <c r="F1189" s="25"/>
      <c r="G1189" s="61"/>
      <c r="H1189" s="9"/>
      <c r="I1189" s="8"/>
      <c r="J1189" s="8"/>
      <c r="K1189" s="8"/>
      <c r="L1189" s="8"/>
      <c r="M1189" s="8"/>
    </row>
    <row r="1190" spans="1:13">
      <c r="A1190" s="15" t="s">
        <v>1784</v>
      </c>
      <c r="B1190" s="58">
        <v>13421467862</v>
      </c>
      <c r="C1190" s="63"/>
      <c r="D1190" s="60"/>
      <c r="E1190" s="9">
        <v>262</v>
      </c>
      <c r="F1190" s="25">
        <v>43160</v>
      </c>
      <c r="G1190" s="61" t="s">
        <v>13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62" t="s">
        <v>1785</v>
      </c>
      <c r="B1191" s="58">
        <v>33874635880</v>
      </c>
      <c r="C1191" s="59"/>
      <c r="D1191" s="60"/>
      <c r="E1191" s="9"/>
      <c r="F1191" s="25"/>
      <c r="G1191" s="61"/>
      <c r="H1191" s="9"/>
      <c r="I1191" s="8"/>
      <c r="J1191" s="8"/>
      <c r="K1191" s="8"/>
      <c r="L1191" s="8"/>
      <c r="M1191" s="8"/>
    </row>
    <row r="1192" spans="1:13">
      <c r="A1192" s="62" t="s">
        <v>1786</v>
      </c>
      <c r="B1192" s="58">
        <v>28539588846</v>
      </c>
      <c r="C1192" s="63"/>
      <c r="D1192" s="60"/>
      <c r="E1192" s="9"/>
      <c r="F1192" s="25"/>
      <c r="G1192" s="61"/>
      <c r="H1192" s="9"/>
      <c r="I1192" s="8"/>
      <c r="J1192" s="8"/>
      <c r="K1192" s="8"/>
      <c r="L1192" s="8"/>
      <c r="M1192" s="8"/>
    </row>
    <row r="1193" spans="1:13">
      <c r="A1193" s="62" t="s">
        <v>1787</v>
      </c>
      <c r="B1193" s="58">
        <v>32993187805</v>
      </c>
      <c r="C1193" s="63" t="s">
        <v>1788</v>
      </c>
      <c r="D1193" s="60">
        <v>2605272460</v>
      </c>
      <c r="E1193" s="9">
        <v>1439</v>
      </c>
      <c r="F1193" s="25">
        <v>43025</v>
      </c>
      <c r="G1193" s="61" t="s">
        <v>13</v>
      </c>
      <c r="H1193" s="9"/>
      <c r="I1193" s="8"/>
      <c r="J1193" s="8"/>
      <c r="K1193" s="8"/>
      <c r="L1193" s="9" t="s">
        <v>502</v>
      </c>
      <c r="M1193" s="8"/>
    </row>
    <row r="1194" spans="1:13">
      <c r="A1194" s="62" t="s">
        <v>1789</v>
      </c>
      <c r="B1194" s="58">
        <v>33182368885</v>
      </c>
      <c r="C1194" s="68" t="s">
        <v>1790</v>
      </c>
      <c r="D1194" s="60">
        <v>18461801806</v>
      </c>
      <c r="E1194" s="9"/>
      <c r="F1194" s="25"/>
      <c r="G1194" s="61"/>
      <c r="H1194" s="9"/>
      <c r="I1194" s="8"/>
      <c r="J1194" s="8"/>
      <c r="K1194" s="8"/>
      <c r="L1194" s="8"/>
      <c r="M1194" s="8"/>
    </row>
    <row r="1195" spans="1:13">
      <c r="A1195" s="62" t="s">
        <v>1791</v>
      </c>
      <c r="B1195" s="58">
        <v>22675476862</v>
      </c>
      <c r="C1195" s="63"/>
      <c r="D1195" s="60"/>
      <c r="E1195" s="9">
        <v>608</v>
      </c>
      <c r="F1195" s="25">
        <v>43012</v>
      </c>
      <c r="G1195" s="61" t="s">
        <v>13</v>
      </c>
      <c r="H1195" s="9"/>
      <c r="I1195" s="8"/>
      <c r="J1195" s="8"/>
      <c r="K1195" s="8"/>
      <c r="L1195" s="8"/>
      <c r="M1195" s="8"/>
    </row>
    <row r="1196" spans="1:13">
      <c r="A1196" s="62" t="s">
        <v>1792</v>
      </c>
      <c r="B1196" s="58">
        <v>26559297802</v>
      </c>
      <c r="C1196" s="63"/>
      <c r="D1196" s="60"/>
      <c r="E1196" s="9">
        <v>262</v>
      </c>
      <c r="F1196" s="25">
        <v>43160</v>
      </c>
      <c r="G1196" s="61" t="s">
        <v>13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62" t="s">
        <v>1793</v>
      </c>
      <c r="B1197" s="58">
        <v>30907802591</v>
      </c>
      <c r="C1197" s="63"/>
      <c r="D1197" s="60"/>
      <c r="E1197" s="9">
        <v>1241</v>
      </c>
      <c r="F1197" s="25">
        <v>42992</v>
      </c>
      <c r="G1197" s="61" t="s">
        <v>13</v>
      </c>
      <c r="H1197" s="9"/>
      <c r="I1197" s="8"/>
      <c r="J1197" s="8"/>
      <c r="K1197" s="8"/>
      <c r="L1197" s="8"/>
      <c r="M1197" s="8"/>
    </row>
    <row r="1198" spans="1:13">
      <c r="A1198" s="62" t="s">
        <v>1794</v>
      </c>
      <c r="B1198" s="58">
        <v>32557609846</v>
      </c>
      <c r="C1198" s="63" t="s">
        <v>1795</v>
      </c>
      <c r="D1198" s="60">
        <v>19150806904</v>
      </c>
      <c r="E1198" s="9">
        <v>1241</v>
      </c>
      <c r="F1198" s="25">
        <v>42992</v>
      </c>
      <c r="G1198" s="61" t="s">
        <v>13</v>
      </c>
      <c r="H1198" s="9"/>
      <c r="I1198" s="8"/>
      <c r="J1198" s="8"/>
      <c r="K1198" s="8"/>
      <c r="L1198" s="8"/>
      <c r="M1198" s="8"/>
    </row>
    <row r="1199" spans="1:13">
      <c r="A1199" s="13" t="s">
        <v>1796</v>
      </c>
      <c r="B1199" s="58">
        <v>38402923879</v>
      </c>
      <c r="C1199" s="59"/>
      <c r="D1199" s="60"/>
      <c r="E1199" s="9">
        <v>1214</v>
      </c>
      <c r="F1199" s="25">
        <v>42989</v>
      </c>
      <c r="G1199" s="61" t="s">
        <v>13</v>
      </c>
      <c r="H1199" s="9"/>
      <c r="I1199" s="8"/>
      <c r="J1199" s="8"/>
      <c r="K1199" s="8"/>
      <c r="L1199" s="8"/>
      <c r="M1199" s="8"/>
    </row>
    <row r="1200" spans="1:13">
      <c r="A1200" s="14" t="s">
        <v>1797</v>
      </c>
      <c r="B1200" s="58">
        <v>38236980871</v>
      </c>
      <c r="C1200" s="63" t="s">
        <v>1798</v>
      </c>
      <c r="D1200" s="60">
        <v>5177834360</v>
      </c>
      <c r="E1200" s="9">
        <v>262</v>
      </c>
      <c r="F1200" s="25">
        <v>43160</v>
      </c>
      <c r="G1200" s="61" t="s">
        <v>13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62" t="s">
        <v>1799</v>
      </c>
      <c r="B1201" s="58">
        <v>30534850871</v>
      </c>
      <c r="C1201" s="63"/>
      <c r="D1201" s="60"/>
      <c r="E1201" s="9">
        <v>810</v>
      </c>
      <c r="F1201" s="25">
        <v>42915</v>
      </c>
      <c r="G1201" s="61" t="s">
        <v>13</v>
      </c>
      <c r="H1201" s="9"/>
      <c r="I1201" s="8"/>
      <c r="J1201" s="8"/>
      <c r="K1201" s="8"/>
      <c r="L1201" s="9" t="s">
        <v>138</v>
      </c>
      <c r="M1201" s="8"/>
    </row>
    <row r="1202" spans="1:13">
      <c r="A1202" s="63" t="s">
        <v>1800</v>
      </c>
      <c r="B1202" s="58">
        <v>2932004832</v>
      </c>
      <c r="C1202" s="63"/>
      <c r="D1202" s="60"/>
      <c r="E1202" s="9"/>
      <c r="F1202" s="25"/>
      <c r="G1202" s="61"/>
      <c r="H1202" s="9"/>
      <c r="I1202" s="8"/>
      <c r="J1202" s="8"/>
      <c r="K1202" s="8"/>
      <c r="L1202" s="8"/>
      <c r="M1202" s="8"/>
    </row>
    <row r="1203" spans="1:13">
      <c r="A1203" s="15" t="s">
        <v>1801</v>
      </c>
      <c r="B1203" s="58">
        <v>177446102</v>
      </c>
      <c r="C1203" s="63" t="s">
        <v>1802</v>
      </c>
      <c r="D1203" s="60">
        <v>31301235806</v>
      </c>
      <c r="E1203" s="9">
        <v>229</v>
      </c>
      <c r="F1203" s="25">
        <v>43151</v>
      </c>
      <c r="G1203" s="61" t="s">
        <v>13</v>
      </c>
      <c r="H1203" s="9"/>
      <c r="I1203" s="8"/>
      <c r="J1203" s="8"/>
      <c r="K1203" s="8"/>
      <c r="L1203" s="9">
        <v>232</v>
      </c>
      <c r="M1203" s="8"/>
    </row>
    <row r="1204" spans="1:13">
      <c r="A1204" s="27" t="s">
        <v>1803</v>
      </c>
      <c r="B1204" s="58"/>
      <c r="C1204" s="27" t="s">
        <v>129</v>
      </c>
      <c r="D1204" s="60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62" t="s">
        <v>1804</v>
      </c>
      <c r="B1205" s="58">
        <v>22394984805</v>
      </c>
      <c r="C1205" s="63" t="s">
        <v>1805</v>
      </c>
      <c r="D1205" s="60">
        <v>29161087858</v>
      </c>
      <c r="E1205" s="9">
        <v>1106</v>
      </c>
      <c r="F1205" s="25">
        <v>42965</v>
      </c>
      <c r="G1205" s="61" t="s">
        <v>13</v>
      </c>
      <c r="H1205" s="9"/>
      <c r="I1205" s="8"/>
      <c r="J1205" s="8"/>
      <c r="K1205" s="8"/>
      <c r="L1205" s="8"/>
      <c r="M1205" s="8"/>
    </row>
    <row r="1206" spans="1:13">
      <c r="A1206" s="13" t="s">
        <v>1806</v>
      </c>
      <c r="B1206" s="58">
        <v>22495577806</v>
      </c>
      <c r="C1206" s="63" t="s">
        <v>1807</v>
      </c>
      <c r="D1206" s="60">
        <v>28219312807</v>
      </c>
      <c r="E1206" s="9"/>
      <c r="F1206" s="25"/>
      <c r="G1206" s="61"/>
      <c r="H1206" s="9"/>
      <c r="I1206" s="8"/>
      <c r="J1206" s="8"/>
      <c r="K1206" s="8"/>
      <c r="L1206" s="8"/>
      <c r="M1206" s="8"/>
    </row>
    <row r="1207" spans="1:13">
      <c r="A1207" s="62" t="s">
        <v>1808</v>
      </c>
      <c r="B1207" s="58">
        <v>31586367862</v>
      </c>
      <c r="C1207" s="63"/>
      <c r="D1207" s="60"/>
      <c r="E1207" s="9"/>
      <c r="F1207" s="25"/>
      <c r="G1207" s="61"/>
      <c r="H1207" s="9"/>
      <c r="I1207" s="8"/>
      <c r="J1207" s="8"/>
      <c r="K1207" s="8"/>
      <c r="L1207" s="8"/>
      <c r="M1207" s="8"/>
    </row>
    <row r="1208" spans="1:13">
      <c r="A1208" s="62" t="s">
        <v>1809</v>
      </c>
      <c r="B1208" s="58">
        <v>38904444829</v>
      </c>
      <c r="C1208" s="63"/>
      <c r="D1208" s="60"/>
      <c r="E1208" s="9">
        <v>509</v>
      </c>
      <c r="F1208" s="25">
        <v>43203</v>
      </c>
      <c r="G1208" s="67"/>
      <c r="H1208" s="67">
        <v>43213</v>
      </c>
      <c r="I1208" s="8"/>
      <c r="J1208" s="8"/>
      <c r="K1208" s="8"/>
      <c r="L1208" s="8"/>
      <c r="M1208" s="8"/>
    </row>
    <row r="1209" spans="1:13">
      <c r="A1209" s="62" t="s">
        <v>1810</v>
      </c>
      <c r="B1209" s="58">
        <v>19678307898</v>
      </c>
      <c r="C1209" s="63"/>
      <c r="D1209" s="60"/>
      <c r="E1209" s="9">
        <v>1214</v>
      </c>
      <c r="F1209" s="25">
        <v>42989</v>
      </c>
      <c r="G1209" s="61" t="s">
        <v>13</v>
      </c>
      <c r="H1209" s="67">
        <v>43213</v>
      </c>
      <c r="I1209" s="8"/>
      <c r="J1209" s="8"/>
      <c r="K1209" s="8"/>
      <c r="L1209" s="8"/>
      <c r="M1209" s="8"/>
    </row>
    <row r="1210" spans="1:13">
      <c r="A1210" s="62" t="s">
        <v>1811</v>
      </c>
      <c r="B1210" s="58"/>
      <c r="C1210" s="63"/>
      <c r="D1210" s="60"/>
      <c r="E1210" s="9"/>
      <c r="F1210" s="25"/>
      <c r="G1210" s="61"/>
      <c r="H1210" s="67">
        <v>43213</v>
      </c>
      <c r="I1210" s="8"/>
      <c r="J1210" s="8"/>
      <c r="K1210" s="8"/>
      <c r="L1210" s="8"/>
      <c r="M1210" s="8"/>
    </row>
    <row r="1211" spans="1:13">
      <c r="A1211" s="63" t="s">
        <v>1812</v>
      </c>
      <c r="B1211" s="58">
        <v>37304527897</v>
      </c>
      <c r="C1211" s="63" t="s">
        <v>1813</v>
      </c>
      <c r="D1211" s="60">
        <v>24051935825</v>
      </c>
      <c r="E1211" s="9"/>
      <c r="F1211" s="25"/>
      <c r="G1211" s="61"/>
      <c r="H1211" s="67">
        <v>43213</v>
      </c>
      <c r="I1211" s="8"/>
      <c r="J1211" s="8"/>
      <c r="K1211" s="8"/>
      <c r="L1211" s="8"/>
      <c r="M1211" s="8"/>
    </row>
    <row r="1212" spans="1:13">
      <c r="A1212" s="14" t="s">
        <v>1814</v>
      </c>
      <c r="B1212" s="58">
        <v>11328067807</v>
      </c>
      <c r="C1212" s="63" t="s">
        <v>1815</v>
      </c>
      <c r="D1212" s="60">
        <v>60769793800</v>
      </c>
      <c r="E1212" s="9">
        <v>262</v>
      </c>
      <c r="F1212" s="25">
        <v>43160</v>
      </c>
      <c r="G1212" s="61" t="s">
        <v>13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62" t="s">
        <v>1816</v>
      </c>
      <c r="B1213" s="58">
        <v>4007781575</v>
      </c>
      <c r="C1213" s="63" t="s">
        <v>1817</v>
      </c>
      <c r="D1213" s="60">
        <v>31812904835</v>
      </c>
      <c r="E1213" s="9"/>
      <c r="F1213" s="25"/>
      <c r="G1213" s="61"/>
      <c r="H1213" s="67">
        <v>43213</v>
      </c>
      <c r="I1213" s="8"/>
      <c r="J1213" s="8"/>
      <c r="K1213" s="8"/>
      <c r="L1213" s="8"/>
      <c r="M1213" s="8"/>
    </row>
    <row r="1214" spans="1:13">
      <c r="A1214" s="62" t="s">
        <v>1818</v>
      </c>
      <c r="B1214" s="58">
        <v>38448111842</v>
      </c>
      <c r="C1214" s="63" t="s">
        <v>1819</v>
      </c>
      <c r="D1214" s="60">
        <v>38350911824</v>
      </c>
      <c r="E1214" s="9"/>
      <c r="F1214" s="25"/>
      <c r="G1214" s="61" t="s">
        <v>13</v>
      </c>
      <c r="H1214" s="67">
        <v>43213</v>
      </c>
      <c r="I1214" s="8"/>
      <c r="J1214" s="8"/>
      <c r="K1214" s="8"/>
      <c r="L1214" s="8"/>
      <c r="M1214" s="8"/>
    </row>
    <row r="1215" spans="1:13">
      <c r="A1215" s="27" t="s">
        <v>1820</v>
      </c>
      <c r="B1215" s="58"/>
      <c r="C1215" s="18" t="s">
        <v>129</v>
      </c>
      <c r="D1215" s="60"/>
      <c r="E1215" s="9"/>
      <c r="F1215" s="25"/>
      <c r="G1215" s="61"/>
      <c r="H1215" s="67">
        <v>43213</v>
      </c>
      <c r="I1215" s="8"/>
      <c r="J1215" s="8"/>
      <c r="K1215" s="8"/>
      <c r="L1215" s="8"/>
      <c r="M1215" s="8"/>
    </row>
    <row r="1216" spans="1:13">
      <c r="A1216" s="15" t="s">
        <v>1821</v>
      </c>
      <c r="B1216" s="58">
        <v>104666579</v>
      </c>
      <c r="C1216" s="63"/>
      <c r="D1216" s="60"/>
      <c r="E1216" s="9">
        <v>229</v>
      </c>
      <c r="F1216" s="25">
        <v>43151</v>
      </c>
      <c r="G1216" s="61" t="s">
        <v>13</v>
      </c>
      <c r="H1216" s="67">
        <v>43213</v>
      </c>
      <c r="I1216" s="8"/>
      <c r="J1216" s="8"/>
      <c r="K1216" s="8"/>
      <c r="L1216" s="9">
        <v>232</v>
      </c>
      <c r="M1216" s="8"/>
    </row>
    <row r="1217" spans="1:13">
      <c r="A1217" s="62" t="s">
        <v>1822</v>
      </c>
      <c r="B1217" s="58">
        <v>39893425840</v>
      </c>
      <c r="C1217" s="63"/>
      <c r="D1217" s="60"/>
      <c r="E1217" s="9">
        <v>1106</v>
      </c>
      <c r="F1217" s="25">
        <v>42965</v>
      </c>
      <c r="G1217" s="61" t="s">
        <v>13</v>
      </c>
      <c r="H1217" s="67">
        <v>43213</v>
      </c>
      <c r="I1217" s="8"/>
      <c r="J1217" s="8"/>
      <c r="K1217" s="8"/>
      <c r="L1217" s="8"/>
      <c r="M1217" s="8"/>
    </row>
    <row r="1218" spans="1:13">
      <c r="A1218" s="13" t="s">
        <v>1823</v>
      </c>
      <c r="B1218" s="58">
        <v>29040829802</v>
      </c>
      <c r="C1218" s="59" t="s">
        <v>1824</v>
      </c>
      <c r="D1218" s="60">
        <v>17804755864</v>
      </c>
      <c r="E1218" s="9">
        <v>1128</v>
      </c>
      <c r="F1218" s="25">
        <v>42972</v>
      </c>
      <c r="G1218" s="61" t="s">
        <v>13</v>
      </c>
      <c r="H1218" s="9"/>
      <c r="I1218" s="8"/>
      <c r="J1218" s="8"/>
      <c r="K1218" s="8"/>
      <c r="L1218" s="8"/>
      <c r="M1218" s="8"/>
    </row>
    <row r="1219" spans="1:13">
      <c r="A1219" s="62" t="s">
        <v>1825</v>
      </c>
      <c r="B1219" s="58">
        <v>41459843827</v>
      </c>
      <c r="C1219" s="63"/>
      <c r="D1219" s="60"/>
      <c r="E1219" s="9"/>
      <c r="F1219" s="25"/>
      <c r="G1219" s="61"/>
      <c r="H1219" s="9"/>
      <c r="I1219" s="8"/>
      <c r="J1219" s="8"/>
      <c r="K1219" s="8"/>
      <c r="L1219" s="8"/>
      <c r="M1219" s="8"/>
    </row>
    <row r="1220" spans="1:13">
      <c r="A1220" s="62" t="s">
        <v>1826</v>
      </c>
      <c r="B1220" s="58">
        <v>43311254830</v>
      </c>
      <c r="C1220" s="63"/>
      <c r="D1220" s="60"/>
      <c r="E1220" s="9">
        <v>1417</v>
      </c>
      <c r="F1220" s="25">
        <v>43017</v>
      </c>
      <c r="G1220" s="61" t="s">
        <v>13</v>
      </c>
      <c r="H1220" s="9"/>
      <c r="I1220" s="8"/>
      <c r="J1220" s="8"/>
      <c r="K1220" s="8"/>
      <c r="L1220" s="9" t="s">
        <v>253</v>
      </c>
      <c r="M1220" s="8"/>
    </row>
    <row r="1221" spans="1:13">
      <c r="A1221" s="14" t="s">
        <v>1827</v>
      </c>
      <c r="B1221" s="58">
        <v>38633385880</v>
      </c>
      <c r="C1221" s="63"/>
      <c r="D1221" s="60"/>
      <c r="E1221" s="9"/>
      <c r="F1221" s="25"/>
      <c r="G1221" s="61"/>
      <c r="H1221" s="9"/>
      <c r="I1221" s="8"/>
      <c r="J1221" s="8"/>
      <c r="K1221" s="8"/>
      <c r="L1221" s="8"/>
      <c r="M1221" s="8"/>
    </row>
    <row r="1222" spans="1:13">
      <c r="A1222" s="27" t="s">
        <v>1828</v>
      </c>
      <c r="B1222" s="58">
        <v>22614376841</v>
      </c>
      <c r="C1222" s="18" t="s">
        <v>129</v>
      </c>
      <c r="D1222" s="60"/>
      <c r="E1222" s="9"/>
      <c r="F1222" s="25"/>
      <c r="G1222" s="61"/>
      <c r="H1222" s="9"/>
      <c r="I1222" s="8"/>
      <c r="J1222" s="8"/>
      <c r="K1222" s="8"/>
      <c r="L1222" s="8"/>
      <c r="M1222" s="8"/>
    </row>
    <row r="1223" spans="1:13">
      <c r="A1223" s="62" t="s">
        <v>1829</v>
      </c>
      <c r="B1223" s="58">
        <v>37814224888</v>
      </c>
      <c r="C1223" s="63"/>
      <c r="D1223" s="60"/>
      <c r="E1223" s="9"/>
      <c r="F1223" s="25"/>
      <c r="G1223" s="61"/>
      <c r="H1223" s="9"/>
      <c r="I1223" s="8"/>
      <c r="J1223" s="8"/>
      <c r="K1223" s="8"/>
      <c r="L1223" s="8"/>
      <c r="M1223" s="8"/>
    </row>
    <row r="1224" spans="1:13">
      <c r="A1224" s="15" t="s">
        <v>1830</v>
      </c>
      <c r="B1224" s="58">
        <v>95023003515</v>
      </c>
      <c r="C1224" s="63" t="s">
        <v>1831</v>
      </c>
      <c r="D1224" s="60">
        <v>2283584507</v>
      </c>
      <c r="E1224" s="9">
        <v>117</v>
      </c>
      <c r="F1224" s="25">
        <v>43117</v>
      </c>
      <c r="G1224" s="61" t="s">
        <v>13</v>
      </c>
      <c r="H1224" s="9"/>
      <c r="I1224" s="8"/>
      <c r="J1224" s="8"/>
      <c r="K1224" s="8"/>
      <c r="L1224" s="9" t="s">
        <v>170</v>
      </c>
      <c r="M1224" s="8"/>
    </row>
    <row r="1225" spans="1:13">
      <c r="A1225" s="15" t="s">
        <v>1832</v>
      </c>
      <c r="B1225" s="58">
        <v>618375554</v>
      </c>
      <c r="C1225" s="63"/>
      <c r="D1225" s="60"/>
      <c r="E1225" s="9">
        <v>229</v>
      </c>
      <c r="F1225" s="25">
        <v>43151</v>
      </c>
      <c r="G1225" s="61" t="s">
        <v>13</v>
      </c>
      <c r="H1225" s="9"/>
      <c r="I1225" s="8"/>
      <c r="J1225" s="8"/>
      <c r="K1225" s="8"/>
      <c r="L1225" s="9">
        <v>232</v>
      </c>
      <c r="M1225" s="8"/>
    </row>
    <row r="1226" spans="1:13">
      <c r="A1226" s="62" t="s">
        <v>1833</v>
      </c>
      <c r="B1226" s="58">
        <v>2235225896</v>
      </c>
      <c r="C1226" s="63"/>
      <c r="D1226" s="60"/>
      <c r="E1226" s="9"/>
      <c r="F1226" s="25"/>
      <c r="G1226" s="61"/>
      <c r="H1226" s="9"/>
      <c r="I1226" s="8"/>
      <c r="J1226" s="8"/>
      <c r="K1226" s="8"/>
      <c r="L1226" s="8"/>
      <c r="M1226" s="8"/>
    </row>
    <row r="1227" spans="1:13">
      <c r="A1227" s="15" t="s">
        <v>1834</v>
      </c>
      <c r="B1227" s="58">
        <v>3288115565</v>
      </c>
      <c r="C1227" s="63"/>
      <c r="D1227" s="60"/>
      <c r="E1227" s="9">
        <v>229</v>
      </c>
      <c r="F1227" s="25">
        <v>43151</v>
      </c>
      <c r="G1227" s="61" t="s">
        <v>13</v>
      </c>
      <c r="H1227" s="9"/>
      <c r="I1227" s="8"/>
      <c r="J1227" s="8"/>
      <c r="K1227" s="8"/>
      <c r="L1227" s="9">
        <v>232</v>
      </c>
      <c r="M1227" s="8"/>
    </row>
    <row r="1228" spans="1:13">
      <c r="A1228" s="62" t="s">
        <v>1835</v>
      </c>
      <c r="B1228" s="58">
        <v>40584610807</v>
      </c>
      <c r="C1228" s="63" t="s">
        <v>1836</v>
      </c>
      <c r="D1228" s="60">
        <v>29182543801</v>
      </c>
      <c r="E1228" s="9">
        <v>810</v>
      </c>
      <c r="F1228" s="25">
        <v>42915</v>
      </c>
      <c r="G1228" s="61" t="s">
        <v>13</v>
      </c>
      <c r="H1228" s="9"/>
      <c r="I1228" s="8"/>
      <c r="J1228" s="8"/>
      <c r="K1228" s="8"/>
      <c r="L1228" s="9" t="s">
        <v>138</v>
      </c>
      <c r="M1228" s="8"/>
    </row>
    <row r="1229" spans="1:13">
      <c r="A1229" s="62" t="s">
        <v>1837</v>
      </c>
      <c r="B1229" s="58">
        <v>36098983801</v>
      </c>
      <c r="C1229" s="63"/>
      <c r="D1229" s="60"/>
      <c r="E1229" s="9">
        <v>1106</v>
      </c>
      <c r="F1229" s="25">
        <v>42965</v>
      </c>
      <c r="G1229" s="61" t="s">
        <v>13</v>
      </c>
      <c r="H1229" s="9"/>
      <c r="I1229" s="8"/>
      <c r="J1229" s="8"/>
      <c r="K1229" s="8"/>
      <c r="L1229" s="8"/>
      <c r="M1229" s="8"/>
    </row>
    <row r="1230" spans="1:13">
      <c r="A1230" s="18" t="s">
        <v>1838</v>
      </c>
      <c r="B1230" s="58">
        <v>2330650590</v>
      </c>
      <c r="C1230" s="18" t="s">
        <v>392</v>
      </c>
      <c r="D1230" s="60">
        <v>38338305812</v>
      </c>
      <c r="E1230" s="9"/>
      <c r="F1230" s="25"/>
      <c r="G1230" s="61"/>
      <c r="H1230" s="9"/>
      <c r="I1230" s="8"/>
      <c r="J1230" s="8"/>
      <c r="K1230" s="8"/>
      <c r="L1230" s="8"/>
      <c r="M1230" s="8"/>
    </row>
    <row r="1231" spans="1:13">
      <c r="A1231" s="15" t="s">
        <v>1839</v>
      </c>
      <c r="B1231" s="58">
        <v>84324937591</v>
      </c>
      <c r="C1231" s="63"/>
      <c r="D1231" s="60"/>
      <c r="E1231" s="9">
        <v>563</v>
      </c>
      <c r="F1231" s="25">
        <v>43217</v>
      </c>
      <c r="G1231" s="61"/>
      <c r="H1231" s="9"/>
      <c r="I1231" s="8"/>
      <c r="J1231" s="8"/>
      <c r="K1231" s="8"/>
      <c r="L1231" s="9" t="s">
        <v>299</v>
      </c>
      <c r="M1231" s="8"/>
    </row>
    <row r="1232" spans="1:13">
      <c r="A1232" s="62" t="s">
        <v>1840</v>
      </c>
      <c r="B1232" s="58">
        <v>30065520831</v>
      </c>
      <c r="C1232" s="63"/>
      <c r="D1232" s="60"/>
      <c r="E1232" s="9">
        <v>1350</v>
      </c>
      <c r="F1232" s="25">
        <v>43006</v>
      </c>
      <c r="G1232" s="61" t="s">
        <v>13</v>
      </c>
      <c r="H1232" s="9"/>
      <c r="I1232" s="8"/>
      <c r="J1232" s="8"/>
      <c r="K1232" s="8"/>
      <c r="L1232" s="8"/>
      <c r="M1232" s="8"/>
    </row>
    <row r="1233" spans="1:13">
      <c r="A1233" s="62" t="s">
        <v>1841</v>
      </c>
      <c r="B1233" s="58">
        <v>45235006810</v>
      </c>
      <c r="C1233" s="63"/>
      <c r="D1233" s="60"/>
      <c r="E1233" s="9"/>
      <c r="F1233" s="25"/>
      <c r="G1233" s="61"/>
      <c r="H1233" s="9"/>
      <c r="I1233" s="8"/>
      <c r="J1233" s="8"/>
      <c r="K1233" s="8"/>
      <c r="L1233" s="8"/>
      <c r="M1233" s="8"/>
    </row>
    <row r="1234" spans="1:13">
      <c r="A1234" s="13" t="s">
        <v>1842</v>
      </c>
      <c r="B1234" s="58">
        <v>35116318826</v>
      </c>
      <c r="C1234" s="63" t="s">
        <v>1843</v>
      </c>
      <c r="D1234" s="60">
        <v>22432837860</v>
      </c>
      <c r="E1234" s="9">
        <v>1824</v>
      </c>
      <c r="F1234" s="25">
        <v>43091</v>
      </c>
      <c r="G1234" s="61" t="s">
        <v>13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1844</v>
      </c>
      <c r="B1235" s="58">
        <v>40048912808</v>
      </c>
      <c r="C1235" s="63" t="s">
        <v>1845</v>
      </c>
      <c r="D1235" s="60">
        <v>43519054841</v>
      </c>
      <c r="E1235" s="9">
        <v>262</v>
      </c>
      <c r="F1235" s="25">
        <v>43160</v>
      </c>
      <c r="G1235" s="61" t="s">
        <v>13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1846</v>
      </c>
      <c r="B1236" s="58">
        <v>26016197831</v>
      </c>
      <c r="C1236" s="15" t="s">
        <v>1847</v>
      </c>
      <c r="D1236" s="58">
        <v>60231920504</v>
      </c>
      <c r="E1236" s="9"/>
      <c r="F1236" s="25"/>
      <c r="G1236" s="61"/>
      <c r="H1236" s="9"/>
      <c r="I1236" s="8"/>
      <c r="J1236" s="8"/>
      <c r="K1236" s="8"/>
      <c r="L1236" s="8"/>
      <c r="M1236" s="8"/>
    </row>
    <row r="1237" spans="1:13">
      <c r="A1237" s="15" t="s">
        <v>1848</v>
      </c>
      <c r="B1237" s="58">
        <v>43412243876</v>
      </c>
      <c r="C1237" s="63"/>
      <c r="D1237" s="60"/>
      <c r="E1237" s="9">
        <v>229</v>
      </c>
      <c r="F1237" s="25">
        <v>43151</v>
      </c>
      <c r="G1237" s="61" t="s">
        <v>13</v>
      </c>
      <c r="H1237" s="9"/>
      <c r="I1237" s="8"/>
      <c r="J1237" s="8"/>
      <c r="K1237" s="8"/>
      <c r="L1237" s="9">
        <v>232</v>
      </c>
      <c r="M1237" s="8"/>
    </row>
    <row r="1238" spans="1:13">
      <c r="A1238" s="62" t="s">
        <v>1849</v>
      </c>
      <c r="B1238" s="58">
        <v>40121535878</v>
      </c>
      <c r="C1238" s="63" t="s">
        <v>1850</v>
      </c>
      <c r="D1238" s="60">
        <v>33343601802</v>
      </c>
      <c r="E1238" s="9">
        <v>292</v>
      </c>
      <c r="F1238" s="25">
        <v>43168</v>
      </c>
      <c r="G1238" s="61" t="s">
        <v>13</v>
      </c>
      <c r="H1238" s="9"/>
      <c r="I1238" s="8"/>
      <c r="J1238" s="8"/>
      <c r="K1238" s="8"/>
      <c r="L1238" s="9">
        <v>318</v>
      </c>
      <c r="M1238" s="8"/>
    </row>
    <row r="1239" spans="1:13">
      <c r="A1239" s="62" t="s">
        <v>1851</v>
      </c>
      <c r="B1239" s="58">
        <v>4056444501</v>
      </c>
      <c r="C1239" s="63"/>
      <c r="D1239" s="60"/>
      <c r="E1239" s="9">
        <v>262</v>
      </c>
      <c r="F1239" s="25">
        <v>43160</v>
      </c>
      <c r="G1239" s="61" t="s">
        <v>13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1852</v>
      </c>
      <c r="B1240" s="58">
        <v>5388702570</v>
      </c>
      <c r="C1240" s="63"/>
      <c r="D1240" s="60"/>
      <c r="E1240" s="9">
        <v>85</v>
      </c>
      <c r="F1240" s="25">
        <v>43109</v>
      </c>
      <c r="G1240" s="61" t="s">
        <v>13</v>
      </c>
      <c r="H1240" s="25">
        <v>43151</v>
      </c>
      <c r="I1240" s="8"/>
      <c r="J1240" s="8"/>
      <c r="K1240" s="8"/>
      <c r="L1240" s="8"/>
      <c r="M1240" s="8"/>
    </row>
    <row r="1241" spans="1:13">
      <c r="A1241" s="62" t="s">
        <v>1853</v>
      </c>
      <c r="B1241" s="58">
        <v>31029975892</v>
      </c>
      <c r="C1241" s="63" t="s">
        <v>1854</v>
      </c>
      <c r="D1241" s="60">
        <v>36873004472</v>
      </c>
      <c r="E1241" s="9">
        <v>1106</v>
      </c>
      <c r="F1241" s="25">
        <v>42965</v>
      </c>
      <c r="G1241" s="9" t="s">
        <v>13</v>
      </c>
      <c r="H1241" s="9"/>
      <c r="I1241" s="8"/>
      <c r="J1241" s="8"/>
      <c r="K1241" s="8"/>
      <c r="L1241" s="8"/>
      <c r="M1241" s="8"/>
    </row>
    <row r="1242" spans="1:13">
      <c r="A1242" s="63" t="s">
        <v>1855</v>
      </c>
      <c r="B1242" s="58">
        <v>38951708870</v>
      </c>
      <c r="C1242" s="63"/>
      <c r="D1242" s="60"/>
      <c r="E1242" s="9">
        <v>292</v>
      </c>
      <c r="F1242" s="25">
        <v>43168</v>
      </c>
      <c r="G1242" s="9" t="s">
        <v>13</v>
      </c>
      <c r="H1242" s="9"/>
      <c r="I1242" s="8"/>
      <c r="J1242" s="8"/>
      <c r="K1242" s="8"/>
      <c r="L1242" s="9">
        <v>318</v>
      </c>
      <c r="M1242" s="8"/>
    </row>
    <row r="1243" spans="1:13">
      <c r="A1243" s="62" t="s">
        <v>1856</v>
      </c>
      <c r="B1243" s="58">
        <v>36051592814</v>
      </c>
      <c r="C1243" s="63" t="s">
        <v>1857</v>
      </c>
      <c r="D1243" s="60">
        <v>13109522847</v>
      </c>
      <c r="E1243" s="9">
        <v>810</v>
      </c>
      <c r="F1243" s="25">
        <v>42915</v>
      </c>
      <c r="G1243" s="61" t="s">
        <v>13</v>
      </c>
      <c r="H1243" s="9"/>
      <c r="I1243" s="8"/>
      <c r="J1243" s="8"/>
      <c r="K1243" s="8"/>
      <c r="L1243" s="9" t="s">
        <v>138</v>
      </c>
      <c r="M1243" s="8"/>
    </row>
    <row r="1244" spans="1:13">
      <c r="A1244" s="62" t="s">
        <v>1858</v>
      </c>
      <c r="B1244" s="58">
        <v>33681405824</v>
      </c>
      <c r="C1244" s="63"/>
      <c r="D1244" s="60"/>
      <c r="E1244" s="9"/>
      <c r="F1244" s="25"/>
      <c r="G1244" s="61"/>
      <c r="H1244" s="9"/>
      <c r="I1244" s="8"/>
      <c r="J1244" s="8"/>
      <c r="K1244" s="8"/>
      <c r="L1244" s="8"/>
      <c r="M1244" s="8"/>
    </row>
    <row r="1245" spans="1:13">
      <c r="A1245" s="18" t="s">
        <v>1859</v>
      </c>
      <c r="B1245" s="58">
        <v>28142782820</v>
      </c>
      <c r="C1245" s="18" t="s">
        <v>1860</v>
      </c>
      <c r="D1245" s="60"/>
      <c r="E1245" s="9"/>
      <c r="F1245" s="25"/>
      <c r="G1245" s="61"/>
      <c r="H1245" s="9"/>
      <c r="I1245" s="8"/>
      <c r="J1245" s="8"/>
      <c r="K1245" s="8"/>
      <c r="L1245" s="8"/>
      <c r="M1245" s="8"/>
    </row>
    <row r="1246" spans="1:13">
      <c r="A1246" s="62" t="s">
        <v>1861</v>
      </c>
      <c r="B1246" s="58">
        <v>30088939880</v>
      </c>
      <c r="C1246" s="63" t="s">
        <v>1862</v>
      </c>
      <c r="D1246" s="60">
        <v>2051861579</v>
      </c>
      <c r="E1246" s="9">
        <v>292</v>
      </c>
      <c r="F1246" s="25">
        <v>43168</v>
      </c>
      <c r="G1246" s="9" t="s">
        <v>13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1863</v>
      </c>
      <c r="B1247" s="58">
        <v>11525085476</v>
      </c>
      <c r="C1247" s="63" t="s">
        <v>1864</v>
      </c>
      <c r="D1247" s="60">
        <v>9293576473</v>
      </c>
      <c r="E1247" s="9">
        <v>262</v>
      </c>
      <c r="F1247" s="25">
        <v>43160</v>
      </c>
      <c r="G1247" s="61" t="s">
        <v>13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7" t="s">
        <v>1865</v>
      </c>
      <c r="B1248" s="58"/>
      <c r="C1248" s="27" t="s">
        <v>1866</v>
      </c>
      <c r="D1248" s="60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1867</v>
      </c>
      <c r="B1249" s="58">
        <v>31265129843</v>
      </c>
      <c r="C1249" s="59" t="s">
        <v>1868</v>
      </c>
      <c r="D1249" s="60">
        <v>2078435546</v>
      </c>
      <c r="E1249" s="9">
        <v>1241</v>
      </c>
      <c r="F1249" s="25">
        <v>42992</v>
      </c>
      <c r="G1249" s="61" t="s">
        <v>13</v>
      </c>
      <c r="H1249" s="9"/>
      <c r="I1249" s="8"/>
      <c r="J1249" s="8"/>
      <c r="K1249" s="8"/>
      <c r="L1249" s="8"/>
      <c r="M1249" s="8"/>
    </row>
    <row r="1250" spans="1:13">
      <c r="A1250" s="15" t="s">
        <v>1869</v>
      </c>
      <c r="B1250" s="58">
        <v>22524200817</v>
      </c>
      <c r="C1250" s="63" t="s">
        <v>1870</v>
      </c>
      <c r="D1250" s="60">
        <v>22961531861</v>
      </c>
      <c r="E1250" s="9">
        <v>229</v>
      </c>
      <c r="F1250" s="25">
        <v>43151</v>
      </c>
      <c r="G1250" s="61" t="s">
        <v>20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1871</v>
      </c>
      <c r="B1251" s="58">
        <v>33374817874</v>
      </c>
      <c r="C1251" s="63"/>
      <c r="D1251" s="60"/>
      <c r="E1251" s="9">
        <v>85</v>
      </c>
      <c r="F1251" s="25">
        <v>43109</v>
      </c>
      <c r="G1251" s="61" t="s">
        <v>13</v>
      </c>
      <c r="H1251" s="25">
        <v>43151</v>
      </c>
      <c r="I1251" s="8"/>
      <c r="J1251" s="8"/>
      <c r="K1251" s="8"/>
      <c r="L1251" s="8"/>
      <c r="M1251" s="8"/>
    </row>
    <row r="1252" spans="1:13">
      <c r="A1252" s="63" t="s">
        <v>1872</v>
      </c>
      <c r="B1252" s="58">
        <v>29736807860</v>
      </c>
      <c r="C1252" s="63" t="s">
        <v>1873</v>
      </c>
      <c r="D1252" s="60">
        <v>29733572845</v>
      </c>
      <c r="E1252" s="9"/>
      <c r="F1252" s="25"/>
      <c r="G1252" s="61"/>
      <c r="H1252" s="9"/>
      <c r="I1252" s="8"/>
      <c r="J1252" s="8"/>
      <c r="K1252" s="8"/>
      <c r="L1252" s="8"/>
      <c r="M1252" s="8"/>
    </row>
    <row r="1253" spans="1:13">
      <c r="A1253" s="62" t="s">
        <v>1874</v>
      </c>
      <c r="B1253" s="58">
        <v>4890860398</v>
      </c>
      <c r="C1253" s="63" t="s">
        <v>1875</v>
      </c>
      <c r="D1253" s="60">
        <v>43034983867</v>
      </c>
      <c r="E1253" s="9">
        <v>262</v>
      </c>
      <c r="F1253" s="25">
        <v>43160</v>
      </c>
      <c r="G1253" s="61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1876</v>
      </c>
      <c r="B1254" s="58">
        <v>10412889803</v>
      </c>
      <c r="C1254" s="63"/>
      <c r="D1254" s="60"/>
      <c r="E1254" s="9">
        <v>85</v>
      </c>
      <c r="F1254" s="25">
        <v>43109</v>
      </c>
      <c r="G1254" s="61" t="s">
        <v>13</v>
      </c>
      <c r="H1254" s="25">
        <v>43151</v>
      </c>
      <c r="I1254" s="8"/>
      <c r="J1254" s="8"/>
      <c r="K1254" s="8"/>
      <c r="L1254" s="8"/>
      <c r="M1254" s="8"/>
    </row>
    <row r="1255" spans="1:13">
      <c r="A1255" s="27" t="s">
        <v>1877</v>
      </c>
      <c r="B1255" s="58">
        <v>35336343889</v>
      </c>
      <c r="C1255" s="18" t="s">
        <v>1878</v>
      </c>
      <c r="D1255" s="60">
        <v>3929463512</v>
      </c>
      <c r="E1255" s="9"/>
      <c r="F1255" s="25"/>
      <c r="G1255" s="61"/>
      <c r="H1255" s="9"/>
      <c r="I1255" s="8"/>
      <c r="J1255" s="8"/>
      <c r="K1255" s="8"/>
      <c r="L1255" s="8"/>
      <c r="M1255" s="8"/>
    </row>
    <row r="1256" spans="1:13">
      <c r="A1256" s="62" t="s">
        <v>1879</v>
      </c>
      <c r="B1256" s="58">
        <v>94907293887</v>
      </c>
      <c r="C1256" s="63"/>
      <c r="D1256" s="60"/>
      <c r="E1256" s="9">
        <v>563</v>
      </c>
      <c r="F1256" s="25">
        <v>43217</v>
      </c>
      <c r="G1256" s="61"/>
      <c r="H1256" s="9"/>
      <c r="I1256" s="8"/>
      <c r="J1256" s="8"/>
      <c r="K1256" s="8"/>
      <c r="L1256" s="9" t="s">
        <v>299</v>
      </c>
      <c r="M1256" s="8"/>
    </row>
    <row r="1257" spans="1:13">
      <c r="A1257" s="14" t="s">
        <v>1880</v>
      </c>
      <c r="B1257" s="58">
        <v>38772091819</v>
      </c>
      <c r="C1257" s="63"/>
      <c r="D1257" s="60"/>
      <c r="E1257" s="9"/>
      <c r="F1257" s="25"/>
      <c r="G1257" s="61"/>
      <c r="H1257" s="9"/>
      <c r="I1257" s="8"/>
      <c r="J1257" s="8"/>
      <c r="K1257" s="8"/>
      <c r="L1257" s="8"/>
      <c r="M1257" s="8"/>
    </row>
    <row r="1258" spans="1:13">
      <c r="A1258" s="15" t="s">
        <v>1881</v>
      </c>
      <c r="B1258" s="58">
        <v>39107511809</v>
      </c>
      <c r="C1258" s="63" t="s">
        <v>1882</v>
      </c>
      <c r="D1258" s="60">
        <v>33332246828</v>
      </c>
      <c r="E1258" s="9">
        <v>262</v>
      </c>
      <c r="F1258" s="25">
        <v>43160</v>
      </c>
      <c r="G1258" s="61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62" t="s">
        <v>1883</v>
      </c>
      <c r="B1259" s="58">
        <v>6652314584</v>
      </c>
      <c r="C1259" s="63" t="s">
        <v>1884</v>
      </c>
      <c r="D1259" s="60">
        <v>4945754500</v>
      </c>
      <c r="E1259" s="9">
        <v>85</v>
      </c>
      <c r="F1259" s="25">
        <v>43109</v>
      </c>
      <c r="G1259" s="61" t="s">
        <v>20</v>
      </c>
      <c r="H1259" s="25">
        <v>43151</v>
      </c>
      <c r="I1259" s="8"/>
      <c r="J1259" s="8"/>
      <c r="K1259" s="8"/>
      <c r="L1259" s="8"/>
      <c r="M1259" s="8"/>
    </row>
    <row r="1260" spans="1:13">
      <c r="A1260" s="62" t="s">
        <v>1885</v>
      </c>
      <c r="B1260" s="58">
        <v>43135974847</v>
      </c>
      <c r="C1260" s="64" t="s">
        <v>1886</v>
      </c>
      <c r="D1260" s="60" t="s">
        <v>1887</v>
      </c>
      <c r="E1260" s="9">
        <v>563</v>
      </c>
      <c r="F1260" s="25">
        <v>43217</v>
      </c>
      <c r="G1260" s="61"/>
      <c r="H1260" s="9"/>
      <c r="I1260" s="8"/>
      <c r="J1260" s="8"/>
      <c r="K1260" s="8"/>
      <c r="L1260" s="9" t="s">
        <v>299</v>
      </c>
      <c r="M1260" s="8"/>
    </row>
    <row r="1261" spans="1:13">
      <c r="A1261" s="13" t="s">
        <v>1888</v>
      </c>
      <c r="B1261" s="58">
        <v>18481038830</v>
      </c>
      <c r="C1261" s="59"/>
      <c r="D1261" s="60"/>
      <c r="E1261" s="9">
        <v>1128</v>
      </c>
      <c r="F1261" s="25">
        <v>42972</v>
      </c>
      <c r="G1261" s="61" t="s">
        <v>13</v>
      </c>
      <c r="H1261" s="9"/>
      <c r="I1261" s="8"/>
      <c r="J1261" s="8"/>
      <c r="K1261" s="8"/>
      <c r="L1261" s="8"/>
      <c r="M1261" s="8"/>
    </row>
    <row r="1262" spans="1:13">
      <c r="A1262" s="62" t="s">
        <v>1889</v>
      </c>
      <c r="B1262" s="58">
        <v>24952272877</v>
      </c>
      <c r="C1262" s="68"/>
      <c r="D1262" s="60"/>
      <c r="E1262" s="9">
        <v>563</v>
      </c>
      <c r="F1262" s="25">
        <v>43217</v>
      </c>
      <c r="G1262" s="61"/>
      <c r="H1262" s="9"/>
      <c r="I1262" s="8"/>
      <c r="J1262" s="8"/>
      <c r="K1262" s="8"/>
      <c r="L1262" s="9" t="s">
        <v>299</v>
      </c>
      <c r="M1262" s="8"/>
    </row>
    <row r="1263" spans="1:13">
      <c r="A1263" s="14" t="s">
        <v>1890</v>
      </c>
      <c r="B1263" s="58">
        <v>40950857890</v>
      </c>
      <c r="C1263" s="63"/>
      <c r="D1263" s="60"/>
      <c r="E1263" s="9">
        <v>292</v>
      </c>
      <c r="F1263" s="25">
        <v>43168</v>
      </c>
      <c r="G1263" s="61" t="s">
        <v>13</v>
      </c>
      <c r="H1263" s="9"/>
      <c r="I1263" s="8"/>
      <c r="J1263" s="8"/>
      <c r="K1263" s="8"/>
      <c r="L1263" s="9">
        <v>318</v>
      </c>
      <c r="M1263" s="8"/>
    </row>
    <row r="1264" spans="1:13">
      <c r="A1264" s="62" t="s">
        <v>1891</v>
      </c>
      <c r="B1264" s="58">
        <v>35510628898</v>
      </c>
      <c r="C1264" s="63"/>
      <c r="D1264" s="60"/>
      <c r="E1264" s="9"/>
      <c r="F1264" s="25"/>
      <c r="G1264" s="61"/>
      <c r="H1264" s="9"/>
      <c r="I1264" s="8"/>
      <c r="J1264" s="8"/>
      <c r="K1264" s="8"/>
      <c r="L1264" s="8"/>
      <c r="M1264" s="8"/>
    </row>
    <row r="1265" spans="1:13">
      <c r="A1265" s="62" t="s">
        <v>1892</v>
      </c>
      <c r="B1265" s="58">
        <v>29767521844</v>
      </c>
      <c r="C1265" s="63"/>
      <c r="D1265" s="60"/>
      <c r="E1265" s="9">
        <v>85</v>
      </c>
      <c r="F1265" s="25">
        <v>43109</v>
      </c>
      <c r="G1265" s="61" t="s">
        <v>20</v>
      </c>
      <c r="H1265" s="25">
        <v>43151</v>
      </c>
      <c r="I1265" s="8"/>
      <c r="J1265" s="8"/>
      <c r="K1265" s="8"/>
      <c r="L1265" s="8"/>
      <c r="M1265" s="8"/>
    </row>
    <row r="1266" spans="1:13">
      <c r="A1266" s="62" t="s">
        <v>1893</v>
      </c>
      <c r="B1266" s="58">
        <v>1748350943</v>
      </c>
      <c r="C1266" s="63" t="s">
        <v>1894</v>
      </c>
      <c r="D1266" s="60">
        <v>42332889817</v>
      </c>
      <c r="E1266" s="9"/>
      <c r="F1266" s="25"/>
      <c r="G1266" s="61"/>
      <c r="H1266" s="9"/>
      <c r="I1266" s="8"/>
      <c r="J1266" s="8"/>
      <c r="K1266" s="8"/>
      <c r="L1266" s="8"/>
      <c r="M1266" s="8"/>
    </row>
    <row r="1267" spans="1:13">
      <c r="A1267" s="62" t="s">
        <v>1895</v>
      </c>
      <c r="B1267" s="58">
        <v>15751377800</v>
      </c>
      <c r="C1267" s="63"/>
      <c r="D1267" s="60"/>
      <c r="E1267" s="9"/>
      <c r="F1267" s="25"/>
      <c r="G1267" s="61"/>
      <c r="H1267" s="9"/>
      <c r="I1267" s="8"/>
      <c r="J1267" s="8"/>
      <c r="K1267" s="8"/>
      <c r="L1267" s="8"/>
      <c r="M1267" s="8"/>
    </row>
    <row r="1268" spans="1:13">
      <c r="A1268" s="62" t="s">
        <v>1896</v>
      </c>
      <c r="B1268" s="58">
        <v>23502610851</v>
      </c>
      <c r="C1268" s="64" t="s">
        <v>1897</v>
      </c>
      <c r="D1268" s="60" t="s">
        <v>1898</v>
      </c>
      <c r="E1268" s="9"/>
      <c r="F1268" s="25"/>
      <c r="G1268" s="61"/>
      <c r="H1268" s="9"/>
      <c r="I1268" s="8"/>
      <c r="J1268" s="8"/>
      <c r="K1268" s="8"/>
      <c r="L1268" s="8"/>
      <c r="M1268" s="8"/>
    </row>
    <row r="1269" spans="1:13">
      <c r="A1269" s="37" t="s">
        <v>1899</v>
      </c>
      <c r="B1269" s="58">
        <v>48857598896</v>
      </c>
      <c r="C1269" s="63" t="s">
        <v>1900</v>
      </c>
      <c r="D1269" s="60">
        <v>36223394896</v>
      </c>
      <c r="E1269" s="9">
        <v>262</v>
      </c>
      <c r="F1269" s="25">
        <v>43160</v>
      </c>
      <c r="G1269" s="44" t="s">
        <v>20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1901</v>
      </c>
      <c r="B1270" s="58">
        <v>45967878831</v>
      </c>
      <c r="C1270" s="63"/>
      <c r="D1270" s="60"/>
      <c r="E1270" s="9">
        <v>485</v>
      </c>
      <c r="F1270" s="25">
        <v>43196</v>
      </c>
      <c r="G1270" s="61"/>
      <c r="H1270" s="9"/>
      <c r="I1270" s="8"/>
      <c r="J1270" s="8"/>
      <c r="K1270" s="8"/>
      <c r="L1270" s="9">
        <v>483</v>
      </c>
      <c r="M1270" s="8"/>
    </row>
    <row r="1271" spans="1:13">
      <c r="A1271" s="63" t="s">
        <v>1902</v>
      </c>
      <c r="B1271" s="58">
        <v>44889177809</v>
      </c>
      <c r="C1271" s="63"/>
      <c r="D1271" s="60"/>
      <c r="E1271" s="9">
        <v>443</v>
      </c>
      <c r="F1271" s="25">
        <v>43188</v>
      </c>
      <c r="G1271" s="61"/>
      <c r="H1271" s="9"/>
      <c r="I1271" s="8"/>
      <c r="J1271" s="8"/>
      <c r="K1271" s="8"/>
      <c r="L1271" s="8"/>
      <c r="M1271" s="8"/>
    </row>
    <row r="1272" spans="1:13">
      <c r="A1272" s="62" t="s">
        <v>1903</v>
      </c>
      <c r="B1272" s="58">
        <v>43581566818</v>
      </c>
      <c r="C1272" s="63"/>
      <c r="D1272" s="60"/>
      <c r="E1272" s="9">
        <v>229</v>
      </c>
      <c r="F1272" s="25">
        <v>43151</v>
      </c>
      <c r="G1272" s="61" t="s">
        <v>13</v>
      </c>
      <c r="H1272" s="9"/>
      <c r="I1272" s="8"/>
      <c r="J1272" s="8"/>
      <c r="K1272" s="8"/>
      <c r="L1272" s="9">
        <v>232</v>
      </c>
      <c r="M1272" s="8"/>
    </row>
    <row r="1273" spans="1:13">
      <c r="A1273" s="62" t="s">
        <v>1904</v>
      </c>
      <c r="B1273" s="58">
        <v>44886132847</v>
      </c>
      <c r="C1273" s="63"/>
      <c r="D1273" s="60"/>
      <c r="E1273" s="9">
        <v>563</v>
      </c>
      <c r="F1273" s="25">
        <v>43217</v>
      </c>
      <c r="G1273" s="61"/>
      <c r="H1273" s="9"/>
      <c r="I1273" s="8"/>
      <c r="J1273" s="8"/>
      <c r="K1273" s="8"/>
      <c r="L1273" s="9" t="s">
        <v>299</v>
      </c>
      <c r="M1273" s="8"/>
    </row>
    <row r="1274" spans="1:13">
      <c r="A1274" s="62" t="s">
        <v>1905</v>
      </c>
      <c r="B1274" s="69" t="s">
        <v>1906</v>
      </c>
      <c r="C1274" s="68"/>
      <c r="D1274" s="60"/>
      <c r="E1274" s="9"/>
      <c r="F1274" s="25"/>
      <c r="G1274" s="61"/>
      <c r="H1274" s="9"/>
      <c r="I1274" s="8"/>
      <c r="J1274" s="8"/>
      <c r="K1274" s="8"/>
      <c r="L1274" s="8"/>
      <c r="M1274" s="8"/>
    </row>
    <row r="1275" spans="1:13">
      <c r="A1275" s="62" t="s">
        <v>1907</v>
      </c>
      <c r="B1275" s="58">
        <v>62267990482</v>
      </c>
      <c r="C1275" s="63"/>
      <c r="D1275" s="60"/>
      <c r="E1275" s="9">
        <v>423</v>
      </c>
      <c r="F1275" s="25">
        <v>43182</v>
      </c>
      <c r="G1275" s="61" t="s">
        <v>13</v>
      </c>
      <c r="H1275" s="9"/>
      <c r="I1275" s="8"/>
      <c r="J1275" s="8"/>
      <c r="K1275" s="8"/>
      <c r="L1275" s="8"/>
      <c r="M1275" s="8"/>
    </row>
    <row r="1276" spans="1:13">
      <c r="A1276" s="62" t="s">
        <v>1908</v>
      </c>
      <c r="B1276" s="58">
        <v>16354483876</v>
      </c>
      <c r="C1276" s="59" t="s">
        <v>1909</v>
      </c>
      <c r="D1276" s="60">
        <v>2853992845</v>
      </c>
      <c r="E1276" s="9">
        <v>1267</v>
      </c>
      <c r="F1276" s="25">
        <v>42998</v>
      </c>
      <c r="G1276" s="61" t="s">
        <v>13</v>
      </c>
      <c r="H1276" s="9"/>
      <c r="I1276" s="8"/>
      <c r="J1276" s="8"/>
      <c r="K1276" s="8"/>
      <c r="L1276" s="8"/>
      <c r="M1276" s="8"/>
    </row>
    <row r="1277" spans="1:13">
      <c r="A1277" s="62" t="s">
        <v>1910</v>
      </c>
      <c r="B1277" s="58">
        <v>40753885816</v>
      </c>
      <c r="C1277" s="63" t="s">
        <v>1911</v>
      </c>
      <c r="D1277" s="60">
        <v>35877507850</v>
      </c>
      <c r="E1277" s="9">
        <v>85</v>
      </c>
      <c r="F1277" s="25">
        <v>43109</v>
      </c>
      <c r="G1277" s="61" t="s">
        <v>13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1912</v>
      </c>
      <c r="B1278" s="58">
        <v>23725076804</v>
      </c>
      <c r="C1278" s="63"/>
      <c r="D1278" s="60"/>
      <c r="E1278" s="9">
        <v>262</v>
      </c>
      <c r="F1278" s="25">
        <v>43160</v>
      </c>
      <c r="G1278" s="61" t="s">
        <v>13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62" t="s">
        <v>1913</v>
      </c>
      <c r="B1279" s="58">
        <v>39311045837</v>
      </c>
      <c r="C1279" s="63"/>
      <c r="D1279" s="60"/>
      <c r="E1279" s="9">
        <v>292</v>
      </c>
      <c r="F1279" s="25">
        <v>43168</v>
      </c>
      <c r="G1279" s="61" t="s">
        <v>13</v>
      </c>
      <c r="H1279" s="9"/>
      <c r="I1279" s="8"/>
      <c r="J1279" s="8"/>
      <c r="K1279" s="8"/>
      <c r="L1279" s="9">
        <v>318</v>
      </c>
      <c r="M1279" s="8"/>
    </row>
    <row r="1280" spans="1:13">
      <c r="A1280" s="62" t="s">
        <v>1914</v>
      </c>
      <c r="B1280" s="58">
        <v>41200936892</v>
      </c>
      <c r="C1280" s="68"/>
      <c r="D1280" s="60"/>
      <c r="E1280" s="9"/>
      <c r="F1280" s="25"/>
      <c r="G1280" s="61"/>
      <c r="H1280" s="9"/>
      <c r="I1280" s="8"/>
      <c r="J1280" s="8"/>
      <c r="K1280" s="8"/>
      <c r="L1280" s="8"/>
      <c r="M1280" s="8"/>
    </row>
    <row r="1281" spans="1:13">
      <c r="A1281" s="62" t="s">
        <v>1915</v>
      </c>
      <c r="B1281" s="58">
        <v>22938943806</v>
      </c>
      <c r="C1281" s="63"/>
      <c r="D1281" s="60"/>
      <c r="E1281" s="9">
        <v>262</v>
      </c>
      <c r="F1281" s="25">
        <v>43160</v>
      </c>
      <c r="G1281" s="9" t="s">
        <v>13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62" t="s">
        <v>1916</v>
      </c>
      <c r="B1282" s="58">
        <v>42792081821</v>
      </c>
      <c r="C1282" s="63"/>
      <c r="D1282" s="60"/>
      <c r="E1282" s="9">
        <v>443</v>
      </c>
      <c r="F1282" s="25">
        <v>43188</v>
      </c>
      <c r="G1282" s="61"/>
      <c r="H1282" s="9"/>
      <c r="I1282" s="8"/>
      <c r="J1282" s="8"/>
      <c r="K1282" s="8"/>
      <c r="L1282" s="8"/>
      <c r="M1282" s="8"/>
    </row>
    <row r="1283" spans="1:13">
      <c r="A1283" s="62" t="s">
        <v>1917</v>
      </c>
      <c r="B1283" s="58">
        <v>44632196800</v>
      </c>
      <c r="C1283" s="63" t="s">
        <v>1918</v>
      </c>
      <c r="D1283" s="60">
        <v>38901506831</v>
      </c>
      <c r="E1283" s="9">
        <v>1359</v>
      </c>
      <c r="F1283" s="25">
        <v>43006</v>
      </c>
      <c r="G1283" s="9" t="s">
        <v>13</v>
      </c>
      <c r="H1283" s="9"/>
      <c r="I1283" s="8"/>
      <c r="J1283" s="8"/>
      <c r="K1283" s="8"/>
      <c r="L1283" s="8"/>
      <c r="M1283" s="8"/>
    </row>
    <row r="1284" spans="1:13">
      <c r="A1284" s="18" t="s">
        <v>1919</v>
      </c>
      <c r="B1284" s="58"/>
      <c r="C1284" s="18" t="s">
        <v>1920</v>
      </c>
      <c r="D1284" s="60"/>
      <c r="E1284" s="9"/>
      <c r="F1284" s="25"/>
      <c r="G1284" s="61"/>
      <c r="H1284" s="9"/>
      <c r="I1284" s="8"/>
      <c r="J1284" s="8"/>
      <c r="K1284" s="8"/>
      <c r="L1284" s="8"/>
      <c r="M1284" s="8"/>
    </row>
    <row r="1285" spans="1:13">
      <c r="A1285" s="62" t="s">
        <v>1921</v>
      </c>
      <c r="B1285" s="58">
        <v>40522805809</v>
      </c>
      <c r="C1285" s="63"/>
      <c r="D1285" s="60"/>
      <c r="E1285" s="9">
        <v>229</v>
      </c>
      <c r="F1285" s="25">
        <v>43151</v>
      </c>
      <c r="G1285" s="61" t="s">
        <v>13</v>
      </c>
      <c r="H1285" s="9"/>
      <c r="I1285" s="8"/>
      <c r="J1285" s="8"/>
      <c r="K1285" s="8"/>
      <c r="L1285" s="9">
        <v>232</v>
      </c>
      <c r="M1285" s="8"/>
    </row>
    <row r="1286" spans="1:13">
      <c r="A1286" s="62" t="s">
        <v>1922</v>
      </c>
      <c r="B1286" s="58">
        <v>7354753505</v>
      </c>
      <c r="C1286" s="63" t="s">
        <v>1923</v>
      </c>
      <c r="D1286" s="60">
        <v>26646541876</v>
      </c>
      <c r="E1286" s="9">
        <v>117</v>
      </c>
      <c r="F1286" s="25">
        <v>43117</v>
      </c>
      <c r="G1286" s="61" t="s">
        <v>13</v>
      </c>
      <c r="H1286" s="9"/>
      <c r="I1286" s="8"/>
      <c r="J1286" s="8"/>
      <c r="K1286" s="8"/>
      <c r="L1286" s="9" t="s">
        <v>170</v>
      </c>
      <c r="M1286" s="8"/>
    </row>
    <row r="1287" spans="1:13">
      <c r="A1287" s="62" t="s">
        <v>1924</v>
      </c>
      <c r="B1287" s="58">
        <v>45378515890</v>
      </c>
      <c r="C1287" s="63" t="s">
        <v>1925</v>
      </c>
      <c r="D1287" s="60">
        <v>35635754520</v>
      </c>
      <c r="E1287" s="9">
        <v>1752</v>
      </c>
      <c r="F1287" s="25">
        <v>43051</v>
      </c>
      <c r="G1287" s="61" t="s">
        <v>13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1926</v>
      </c>
      <c r="B1288" s="58">
        <v>41274505844</v>
      </c>
      <c r="C1288" s="18" t="s">
        <v>1927</v>
      </c>
      <c r="D1288" s="60">
        <v>37995816855</v>
      </c>
      <c r="E1288" s="9"/>
      <c r="F1288" s="25"/>
      <c r="G1288" s="61"/>
      <c r="H1288" s="9"/>
      <c r="I1288" s="8"/>
      <c r="J1288" s="8"/>
      <c r="K1288" s="8"/>
      <c r="L1288" s="8"/>
      <c r="M1288" s="8"/>
    </row>
    <row r="1289" spans="1:13">
      <c r="A1289" s="63" t="s">
        <v>1928</v>
      </c>
      <c r="B1289" s="58">
        <v>46583836831</v>
      </c>
      <c r="C1289" s="63" t="s">
        <v>1929</v>
      </c>
      <c r="D1289" s="60">
        <v>39199167867</v>
      </c>
      <c r="E1289" s="9">
        <v>292</v>
      </c>
      <c r="F1289" s="25">
        <v>43168</v>
      </c>
      <c r="G1289" s="9" t="s">
        <v>13</v>
      </c>
      <c r="H1289" s="9"/>
      <c r="I1289" s="8"/>
      <c r="J1289" s="8"/>
      <c r="K1289" s="8"/>
      <c r="L1289" s="9">
        <v>318</v>
      </c>
      <c r="M1289" s="8"/>
    </row>
    <row r="1290" spans="1:13">
      <c r="A1290" s="27" t="s">
        <v>1930</v>
      </c>
      <c r="B1290" s="58"/>
      <c r="C1290" s="27" t="s">
        <v>1931</v>
      </c>
      <c r="D1290" s="60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7" t="s">
        <v>1932</v>
      </c>
      <c r="B1291" s="58">
        <v>37483362847</v>
      </c>
      <c r="C1291" s="27" t="s">
        <v>1933</v>
      </c>
      <c r="D1291" s="60">
        <v>33637268809</v>
      </c>
      <c r="E1291" s="9"/>
      <c r="F1291" s="25"/>
      <c r="G1291" s="61"/>
      <c r="H1291" s="9"/>
      <c r="I1291" s="8"/>
      <c r="J1291" s="8"/>
      <c r="K1291" s="8"/>
      <c r="L1291" s="8"/>
      <c r="M1291" s="8"/>
    </row>
    <row r="1292" spans="1:13">
      <c r="A1292" s="18" t="s">
        <v>1934</v>
      </c>
      <c r="B1292" s="58">
        <v>43663899837</v>
      </c>
      <c r="C1292" s="18" t="s">
        <v>1935</v>
      </c>
      <c r="D1292" s="60">
        <v>40179072889</v>
      </c>
      <c r="E1292" s="9"/>
      <c r="F1292" s="25"/>
      <c r="G1292" s="61"/>
      <c r="H1292" s="9"/>
      <c r="I1292" s="8"/>
      <c r="J1292" s="8"/>
      <c r="K1292" s="8"/>
      <c r="L1292" s="8"/>
      <c r="M1292" s="8"/>
    </row>
    <row r="1293" spans="1:13">
      <c r="A1293" s="62" t="s">
        <v>1936</v>
      </c>
      <c r="B1293" s="58">
        <v>39203446850</v>
      </c>
      <c r="C1293" s="63" t="s">
        <v>1937</v>
      </c>
      <c r="D1293" s="60">
        <v>39255518836</v>
      </c>
      <c r="E1293" s="9">
        <v>292</v>
      </c>
      <c r="F1293" s="25">
        <v>43168</v>
      </c>
      <c r="G1293" s="61" t="s">
        <v>13</v>
      </c>
      <c r="H1293" s="9"/>
      <c r="I1293" s="8"/>
      <c r="J1293" s="8"/>
      <c r="K1293" s="8"/>
      <c r="L1293" s="9">
        <v>318</v>
      </c>
      <c r="M1293" s="8"/>
    </row>
    <row r="1294" spans="1:13">
      <c r="A1294" s="62" t="s">
        <v>1938</v>
      </c>
      <c r="B1294" s="58">
        <v>37165598812</v>
      </c>
      <c r="C1294" s="63"/>
      <c r="D1294" s="60"/>
      <c r="E1294" s="9"/>
      <c r="F1294" s="25"/>
      <c r="G1294" s="61"/>
      <c r="H1294" s="9"/>
      <c r="I1294" s="8"/>
      <c r="J1294" s="8"/>
      <c r="K1294" s="8"/>
      <c r="L1294" s="8"/>
      <c r="M1294" s="8"/>
    </row>
    <row r="1295" spans="1:13">
      <c r="A1295" s="15" t="s">
        <v>1939</v>
      </c>
      <c r="B1295" s="58">
        <v>45722318850</v>
      </c>
      <c r="C1295" s="63" t="s">
        <v>1940</v>
      </c>
      <c r="D1295" s="60">
        <v>61122102313</v>
      </c>
      <c r="E1295" s="9">
        <v>229</v>
      </c>
      <c r="F1295" s="25">
        <v>43151</v>
      </c>
      <c r="G1295" s="61" t="s">
        <v>13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1941</v>
      </c>
      <c r="B1296" s="58">
        <v>8478216847</v>
      </c>
      <c r="C1296" s="63"/>
      <c r="D1296" s="60"/>
      <c r="E1296" s="9">
        <v>262</v>
      </c>
      <c r="F1296" s="25">
        <v>43160</v>
      </c>
      <c r="G1296" s="61" t="s">
        <v>13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1942</v>
      </c>
      <c r="B1297" s="58">
        <v>47697684861</v>
      </c>
      <c r="C1297" s="63" t="s">
        <v>1943</v>
      </c>
      <c r="D1297" s="60">
        <v>42642601838</v>
      </c>
      <c r="E1297" s="9">
        <v>229</v>
      </c>
      <c r="F1297" s="25">
        <v>43151</v>
      </c>
      <c r="G1297" s="61" t="s">
        <v>13</v>
      </c>
      <c r="H1297" s="9"/>
      <c r="I1297" s="8"/>
      <c r="J1297" s="8"/>
      <c r="K1297" s="8"/>
      <c r="L1297" s="9">
        <v>232</v>
      </c>
      <c r="M1297" s="8"/>
    </row>
    <row r="1298" spans="1:13">
      <c r="A1298" s="63" t="s">
        <v>1944</v>
      </c>
      <c r="B1298" s="58">
        <v>97503479515</v>
      </c>
      <c r="C1298" s="15" t="s">
        <v>1945</v>
      </c>
      <c r="D1298" s="60">
        <v>28269015830</v>
      </c>
      <c r="E1298" s="9">
        <v>262</v>
      </c>
      <c r="F1298" s="25">
        <v>43160</v>
      </c>
      <c r="G1298" s="61" t="s">
        <v>13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62" t="s">
        <v>1946</v>
      </c>
      <c r="B1299" s="58">
        <v>84327510491</v>
      </c>
      <c r="C1299" s="63" t="s">
        <v>1947</v>
      </c>
      <c r="D1299" s="60">
        <v>17305875856</v>
      </c>
      <c r="E1299" s="9">
        <v>292</v>
      </c>
      <c r="F1299" s="25">
        <v>43168</v>
      </c>
      <c r="G1299" s="61" t="s">
        <v>13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1948</v>
      </c>
      <c r="B1300" s="58">
        <v>24870791854</v>
      </c>
      <c r="C1300" s="59" t="s">
        <v>1949</v>
      </c>
      <c r="D1300" s="60">
        <v>4398744835</v>
      </c>
      <c r="E1300" s="9">
        <v>1128</v>
      </c>
      <c r="F1300" s="25">
        <v>42972</v>
      </c>
      <c r="G1300" s="61" t="s">
        <v>13</v>
      </c>
      <c r="H1300" s="9"/>
      <c r="I1300" s="8"/>
      <c r="J1300" s="8"/>
      <c r="K1300" s="8"/>
      <c r="L1300" s="8"/>
      <c r="M1300" s="8"/>
    </row>
    <row r="1301" spans="1:13">
      <c r="A1301" s="62" t="s">
        <v>1950</v>
      </c>
      <c r="B1301" s="58">
        <v>5426932328</v>
      </c>
      <c r="C1301" s="63"/>
      <c r="D1301" s="60"/>
      <c r="E1301" s="9">
        <v>1241</v>
      </c>
      <c r="F1301" s="25">
        <v>42992</v>
      </c>
      <c r="G1301" s="61" t="s">
        <v>13</v>
      </c>
      <c r="H1301" s="9"/>
      <c r="I1301" s="8"/>
      <c r="J1301" s="8"/>
      <c r="K1301" s="8"/>
      <c r="L1301" s="8"/>
      <c r="M1301" s="8"/>
    </row>
    <row r="1302" spans="1:13">
      <c r="A1302" s="27" t="s">
        <v>1951</v>
      </c>
      <c r="B1302" s="58"/>
      <c r="C1302" s="18" t="s">
        <v>129</v>
      </c>
      <c r="D1302" s="60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62" t="s">
        <v>1952</v>
      </c>
      <c r="B1303" s="58">
        <v>25533246851</v>
      </c>
      <c r="C1303" s="63" t="s">
        <v>1953</v>
      </c>
      <c r="D1303" s="60">
        <v>2336832836</v>
      </c>
      <c r="E1303" s="9">
        <v>810</v>
      </c>
      <c r="F1303" s="25">
        <v>42915</v>
      </c>
      <c r="G1303" s="61" t="s">
        <v>13</v>
      </c>
      <c r="H1303" s="9"/>
      <c r="I1303" s="8"/>
      <c r="J1303" s="8"/>
      <c r="K1303" s="8"/>
      <c r="L1303" s="9" t="s">
        <v>138</v>
      </c>
      <c r="M1303" s="8"/>
    </row>
    <row r="1304" spans="1:13">
      <c r="A1304" s="62" t="s">
        <v>1954</v>
      </c>
      <c r="B1304" s="58">
        <v>47116625453</v>
      </c>
      <c r="C1304" s="63"/>
      <c r="D1304" s="60"/>
      <c r="E1304" s="9">
        <v>1350</v>
      </c>
      <c r="F1304" s="25">
        <v>43006</v>
      </c>
      <c r="G1304" s="61" t="s">
        <v>13</v>
      </c>
      <c r="H1304" s="9"/>
      <c r="I1304" s="8"/>
      <c r="J1304" s="8"/>
      <c r="K1304" s="8"/>
      <c r="L1304" s="8"/>
      <c r="M1304" s="8"/>
    </row>
    <row r="1305" spans="1:13">
      <c r="A1305" s="15" t="s">
        <v>1955</v>
      </c>
      <c r="B1305" s="58">
        <v>29279558838</v>
      </c>
      <c r="C1305" s="63"/>
      <c r="D1305" s="60"/>
      <c r="E1305" s="9"/>
      <c r="F1305" s="25"/>
      <c r="G1305" s="61"/>
      <c r="H1305" s="9"/>
      <c r="I1305" s="8"/>
      <c r="J1305" s="8"/>
      <c r="K1305" s="8"/>
      <c r="L1305" s="8"/>
      <c r="M1305" s="8"/>
    </row>
    <row r="1306" spans="1:13">
      <c r="A1306" s="15" t="s">
        <v>1956</v>
      </c>
      <c r="B1306" s="58">
        <v>78092965404</v>
      </c>
      <c r="C1306" s="63"/>
      <c r="D1306" s="60"/>
      <c r="E1306" s="9"/>
      <c r="F1306" s="25"/>
      <c r="G1306" s="61"/>
      <c r="H1306" s="9"/>
      <c r="I1306" s="8"/>
      <c r="J1306" s="8"/>
      <c r="K1306" s="8"/>
      <c r="L1306" s="8"/>
      <c r="M1306" s="8"/>
    </row>
    <row r="1307" spans="1:13">
      <c r="A1307" s="63" t="s">
        <v>1957</v>
      </c>
      <c r="B1307" s="58">
        <v>90077814800</v>
      </c>
      <c r="C1307" s="63"/>
      <c r="D1307" s="60"/>
      <c r="E1307" s="9"/>
      <c r="F1307" s="25"/>
      <c r="G1307" s="61"/>
      <c r="H1307" s="9"/>
      <c r="I1307" s="8"/>
      <c r="J1307" s="8"/>
      <c r="K1307" s="8"/>
      <c r="L1307" s="8"/>
      <c r="M1307" s="8"/>
    </row>
    <row r="1308" spans="1:13">
      <c r="A1308" s="18" t="s">
        <v>1958</v>
      </c>
      <c r="B1308" s="58">
        <v>89273710891</v>
      </c>
      <c r="C1308" s="18"/>
      <c r="D1308" s="60"/>
      <c r="E1308" s="9"/>
      <c r="F1308" s="25"/>
      <c r="G1308" s="61"/>
      <c r="H1308" s="9"/>
      <c r="I1308" s="8"/>
      <c r="J1308" s="8"/>
      <c r="K1308" s="8"/>
      <c r="L1308" s="8"/>
      <c r="M1308" s="8"/>
    </row>
    <row r="1309" spans="1:13">
      <c r="A1309" s="62" t="s">
        <v>1959</v>
      </c>
      <c r="B1309" s="58">
        <v>98433466453</v>
      </c>
      <c r="C1309" s="63"/>
      <c r="D1309" s="60"/>
      <c r="E1309" s="9"/>
      <c r="F1309" s="25"/>
      <c r="G1309" s="61"/>
      <c r="H1309" s="9"/>
      <c r="I1309" s="8"/>
      <c r="J1309" s="8"/>
      <c r="K1309" s="8"/>
      <c r="L1309" s="8"/>
      <c r="M1309" s="8"/>
    </row>
    <row r="1310" spans="1:13">
      <c r="A1310" s="15" t="s">
        <v>1960</v>
      </c>
      <c r="B1310" s="58">
        <v>2993507893</v>
      </c>
      <c r="C1310" s="63"/>
      <c r="D1310" s="60"/>
      <c r="E1310" s="9"/>
      <c r="F1310" s="25"/>
      <c r="G1310" s="61"/>
      <c r="H1310" s="9"/>
      <c r="I1310" s="8"/>
      <c r="J1310" s="8"/>
      <c r="K1310" s="8"/>
      <c r="L1310" s="8"/>
      <c r="M1310" s="8"/>
    </row>
    <row r="1311" spans="1:13">
      <c r="A1311" s="63" t="s">
        <v>1961</v>
      </c>
      <c r="B1311" s="58">
        <v>38941886856</v>
      </c>
      <c r="C1311" s="63"/>
      <c r="D1311" s="60"/>
      <c r="E1311" s="9">
        <v>292</v>
      </c>
      <c r="F1311" s="25">
        <v>43168</v>
      </c>
      <c r="G1311" s="9" t="s">
        <v>13</v>
      </c>
      <c r="H1311" s="9"/>
      <c r="I1311" s="8"/>
      <c r="J1311" s="8"/>
      <c r="K1311" s="8"/>
      <c r="L1311" s="9">
        <v>318</v>
      </c>
      <c r="M1311" s="8"/>
    </row>
    <row r="1312" spans="1:13">
      <c r="A1312" s="62" t="s">
        <v>1962</v>
      </c>
      <c r="B1312" s="58">
        <v>24992183808</v>
      </c>
      <c r="C1312" s="63"/>
      <c r="D1312" s="60"/>
      <c r="E1312" s="9">
        <v>1106</v>
      </c>
      <c r="F1312" s="25">
        <v>42965</v>
      </c>
      <c r="G1312" s="61" t="s">
        <v>13</v>
      </c>
      <c r="H1312" s="9"/>
      <c r="I1312" s="8"/>
      <c r="J1312" s="8"/>
      <c r="K1312" s="8"/>
      <c r="L1312" s="8"/>
      <c r="M1312" s="8"/>
    </row>
    <row r="1313" spans="1:13">
      <c r="A1313" s="18" t="s">
        <v>1963</v>
      </c>
      <c r="B1313" s="58">
        <v>17245334870</v>
      </c>
      <c r="C1313" s="18"/>
      <c r="D1313" s="60"/>
      <c r="E1313" s="9"/>
      <c r="F1313" s="25"/>
      <c r="G1313" s="61"/>
      <c r="H1313" s="9"/>
      <c r="I1313" s="8"/>
      <c r="J1313" s="8"/>
      <c r="K1313" s="8"/>
      <c r="L1313" s="8"/>
      <c r="M1313" s="8"/>
    </row>
    <row r="1314" spans="1:13">
      <c r="A1314" s="15" t="s">
        <v>1964</v>
      </c>
      <c r="B1314" s="58">
        <v>35553677491</v>
      </c>
      <c r="C1314" s="63"/>
      <c r="D1314" s="60"/>
      <c r="E1314" s="9"/>
      <c r="F1314" s="25"/>
      <c r="G1314" s="61"/>
      <c r="H1314" s="9"/>
      <c r="I1314" s="8"/>
      <c r="J1314" s="8"/>
      <c r="K1314" s="8"/>
      <c r="L1314" s="8"/>
      <c r="M1314" s="8"/>
    </row>
    <row r="1315" spans="1:13">
      <c r="A1315" s="62" t="s">
        <v>1965</v>
      </c>
      <c r="B1315" s="58">
        <v>10359607888</v>
      </c>
      <c r="C1315" s="63"/>
      <c r="D1315" s="60"/>
      <c r="E1315" s="9">
        <v>1417</v>
      </c>
      <c r="F1315" s="25">
        <v>43017</v>
      </c>
      <c r="G1315" s="61" t="s">
        <v>13</v>
      </c>
      <c r="H1315" s="9"/>
      <c r="I1315" s="8"/>
      <c r="J1315" s="8"/>
      <c r="K1315" s="8"/>
      <c r="L1315" s="9" t="s">
        <v>253</v>
      </c>
      <c r="M1315" s="8"/>
    </row>
    <row r="1316" spans="1:13">
      <c r="A1316" s="62" t="s">
        <v>1966</v>
      </c>
      <c r="B1316" s="58">
        <v>73756393534</v>
      </c>
      <c r="C1316" s="63"/>
      <c r="D1316" s="60"/>
      <c r="E1316" s="9">
        <v>1106</v>
      </c>
      <c r="F1316" s="25">
        <v>42965</v>
      </c>
      <c r="G1316" s="61" t="s">
        <v>13</v>
      </c>
      <c r="H1316" s="9"/>
      <c r="I1316" s="8"/>
      <c r="J1316" s="8"/>
      <c r="K1316" s="8"/>
      <c r="L1316" s="8"/>
      <c r="M1316" s="8"/>
    </row>
    <row r="1317" spans="1:13">
      <c r="A1317" s="18" t="s">
        <v>1967</v>
      </c>
      <c r="B1317" s="58">
        <v>10450938824</v>
      </c>
      <c r="C1317" s="18"/>
      <c r="D1317" s="60"/>
      <c r="E1317" s="9"/>
      <c r="F1317" s="25"/>
      <c r="G1317" s="61"/>
      <c r="H1317" s="9"/>
      <c r="I1317" s="8"/>
      <c r="J1317" s="8"/>
      <c r="K1317" s="8"/>
      <c r="L1317" s="8"/>
      <c r="M1317" s="8"/>
    </row>
    <row r="1318" spans="1:13">
      <c r="A1318" s="62" t="s">
        <v>1968</v>
      </c>
      <c r="B1318" s="58">
        <v>30077566858</v>
      </c>
      <c r="C1318" s="63"/>
      <c r="D1318" s="60"/>
      <c r="E1318" s="9">
        <v>1439</v>
      </c>
      <c r="F1318" s="25">
        <v>43025</v>
      </c>
      <c r="G1318" s="61" t="s">
        <v>13</v>
      </c>
      <c r="H1318" s="9"/>
      <c r="I1318" s="8"/>
      <c r="J1318" s="8"/>
      <c r="K1318" s="8"/>
      <c r="L1318" s="9" t="s">
        <v>502</v>
      </c>
      <c r="M1318" s="8"/>
    </row>
    <row r="1319" spans="1:13">
      <c r="A1319" s="15" t="s">
        <v>1969</v>
      </c>
      <c r="B1319" s="58">
        <v>6354096589</v>
      </c>
      <c r="C1319" s="64"/>
      <c r="D1319" s="60"/>
      <c r="E1319" s="9"/>
      <c r="F1319" s="25"/>
      <c r="G1319" s="61"/>
      <c r="H1319" s="9"/>
      <c r="I1319" s="8"/>
      <c r="J1319" s="8"/>
      <c r="K1319" s="8"/>
      <c r="L1319" s="8"/>
      <c r="M1319" s="8"/>
    </row>
    <row r="1320" spans="1:13">
      <c r="A1320" s="15" t="s">
        <v>1970</v>
      </c>
      <c r="B1320" s="58">
        <v>70771006420</v>
      </c>
      <c r="C1320" s="63"/>
      <c r="D1320" s="60"/>
      <c r="E1320" s="9"/>
      <c r="F1320" s="25"/>
      <c r="G1320" s="61"/>
      <c r="H1320" s="9"/>
      <c r="I1320" s="8"/>
      <c r="J1320" s="8"/>
      <c r="K1320" s="8"/>
      <c r="L1320" s="8"/>
      <c r="M1320" s="8"/>
    </row>
    <row r="1321" spans="1:13">
      <c r="A1321" s="15" t="s">
        <v>1971</v>
      </c>
      <c r="B1321" s="58">
        <v>34076893816</v>
      </c>
      <c r="C1321" s="63"/>
      <c r="D1321" s="60"/>
      <c r="E1321" s="9">
        <v>85</v>
      </c>
      <c r="F1321" s="25">
        <v>43109</v>
      </c>
      <c r="G1321" s="61" t="s">
        <v>13</v>
      </c>
      <c r="H1321" s="25">
        <v>43151</v>
      </c>
      <c r="I1321" s="8"/>
      <c r="J1321" s="8"/>
      <c r="K1321" s="8"/>
      <c r="L1321" s="8"/>
      <c r="M1321" s="8"/>
    </row>
    <row r="1322" spans="1:13">
      <c r="A1322" s="62" t="s">
        <v>1972</v>
      </c>
      <c r="B1322" s="58">
        <v>10519320921</v>
      </c>
      <c r="C1322" s="68" t="s">
        <v>1973</v>
      </c>
      <c r="D1322" s="60">
        <v>2310751545</v>
      </c>
      <c r="E1322" s="9"/>
      <c r="F1322" s="25"/>
      <c r="G1322" s="61"/>
      <c r="H1322" s="9"/>
      <c r="I1322" s="8"/>
      <c r="J1322" s="8"/>
      <c r="K1322" s="8"/>
      <c r="L1322" s="8"/>
      <c r="M1322" s="8"/>
    </row>
    <row r="1323" spans="1:13">
      <c r="A1323" s="62" t="s">
        <v>1974</v>
      </c>
      <c r="B1323" s="58">
        <v>26845797846</v>
      </c>
      <c r="C1323" s="63"/>
      <c r="D1323" s="60"/>
      <c r="E1323" s="9">
        <v>1214</v>
      </c>
      <c r="F1323" s="25">
        <v>42989</v>
      </c>
      <c r="G1323" s="61" t="s">
        <v>13</v>
      </c>
      <c r="H1323" s="9"/>
      <c r="I1323" s="8"/>
      <c r="J1323" s="8"/>
      <c r="K1323" s="8"/>
      <c r="L1323" s="8"/>
      <c r="M1323" s="8"/>
    </row>
    <row r="1324" spans="1:13">
      <c r="A1324" s="27" t="s">
        <v>1975</v>
      </c>
      <c r="B1324" s="58"/>
      <c r="C1324" s="18" t="s">
        <v>129</v>
      </c>
      <c r="D1324" s="60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62" t="s">
        <v>1976</v>
      </c>
      <c r="B1325" s="58">
        <v>2186448505</v>
      </c>
      <c r="C1325" s="63"/>
      <c r="D1325" s="60"/>
      <c r="E1325" s="9"/>
      <c r="F1325" s="25"/>
      <c r="G1325" s="61"/>
      <c r="H1325" s="9"/>
      <c r="I1325" s="8"/>
      <c r="J1325" s="8"/>
      <c r="K1325" s="8"/>
      <c r="L1325" s="8"/>
      <c r="M1325" s="8"/>
    </row>
    <row r="1326" spans="1:13">
      <c r="A1326" s="27" t="s">
        <v>1977</v>
      </c>
      <c r="B1326" s="58"/>
      <c r="C1326" s="27" t="s">
        <v>129</v>
      </c>
      <c r="D1326" s="60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62" t="s">
        <v>1978</v>
      </c>
      <c r="B1327" s="58">
        <v>26446436866</v>
      </c>
      <c r="C1327" s="63"/>
      <c r="D1327" s="60"/>
      <c r="E1327" s="9">
        <v>1214</v>
      </c>
      <c r="F1327" s="25">
        <v>42989</v>
      </c>
      <c r="G1327" s="61" t="s">
        <v>13</v>
      </c>
      <c r="H1327" s="9"/>
      <c r="I1327" s="8"/>
      <c r="J1327" s="8"/>
      <c r="K1327" s="8"/>
      <c r="L1327" s="8"/>
      <c r="M1327" s="8"/>
    </row>
    <row r="1328" spans="1:13">
      <c r="A1328" s="62" t="s">
        <v>1979</v>
      </c>
      <c r="B1328" s="58">
        <v>14047193852</v>
      </c>
      <c r="C1328" s="63"/>
      <c r="D1328" s="60"/>
      <c r="E1328" s="9"/>
      <c r="F1328" s="25"/>
      <c r="G1328" s="61"/>
      <c r="H1328" s="9"/>
      <c r="I1328" s="8"/>
      <c r="J1328" s="8"/>
      <c r="K1328" s="8"/>
      <c r="L1328" s="8"/>
      <c r="M1328" s="8"/>
    </row>
    <row r="1329" spans="1:13">
      <c r="A1329" s="62" t="s">
        <v>1980</v>
      </c>
      <c r="B1329" s="58">
        <v>52674142472</v>
      </c>
      <c r="C1329" s="63"/>
      <c r="D1329" s="60"/>
      <c r="E1329" s="9">
        <v>1106</v>
      </c>
      <c r="F1329" s="25">
        <v>42965</v>
      </c>
      <c r="G1329" s="61" t="s">
        <v>13</v>
      </c>
      <c r="H1329" s="9"/>
      <c r="I1329" s="8"/>
      <c r="J1329" s="8"/>
      <c r="K1329" s="8"/>
      <c r="L1329" s="8"/>
      <c r="M1329" s="8"/>
    </row>
    <row r="1330" spans="1:13">
      <c r="A1330" s="15" t="s">
        <v>1981</v>
      </c>
      <c r="B1330" s="58">
        <v>85700274434</v>
      </c>
      <c r="C1330" s="64"/>
      <c r="D1330" s="60"/>
      <c r="E1330" s="9"/>
      <c r="F1330" s="25"/>
      <c r="G1330" s="61"/>
      <c r="H1330" s="9"/>
      <c r="I1330" s="8"/>
      <c r="J1330" s="8"/>
      <c r="K1330" s="8"/>
      <c r="L1330" s="8"/>
      <c r="M1330" s="8"/>
    </row>
    <row r="1331" spans="1:13">
      <c r="A1331" s="62" t="s">
        <v>1982</v>
      </c>
      <c r="B1331" s="58">
        <v>25824127832</v>
      </c>
      <c r="C1331" s="63"/>
      <c r="D1331" s="60"/>
      <c r="E1331" s="9">
        <v>1752</v>
      </c>
      <c r="F1331" s="25">
        <v>43051</v>
      </c>
      <c r="G1331" s="61" t="s">
        <v>13</v>
      </c>
      <c r="H1331" s="9"/>
      <c r="I1331" s="8"/>
      <c r="J1331" s="8"/>
      <c r="K1331" s="8"/>
      <c r="L1331" s="9">
        <v>1759</v>
      </c>
      <c r="M1331" s="8"/>
    </row>
    <row r="1332" spans="1:13">
      <c r="A1332" s="63" t="s">
        <v>1983</v>
      </c>
      <c r="B1332" s="58">
        <v>27211072830</v>
      </c>
      <c r="C1332" s="63" t="s">
        <v>1984</v>
      </c>
      <c r="D1332" s="60">
        <v>33489007867</v>
      </c>
      <c r="E1332" s="9"/>
      <c r="F1332" s="25"/>
      <c r="G1332" s="61"/>
      <c r="H1332" s="9"/>
      <c r="I1332" s="8"/>
      <c r="J1332" s="8"/>
      <c r="K1332" s="8"/>
      <c r="L1332" s="8"/>
      <c r="M1332" s="8"/>
    </row>
    <row r="1333" spans="1:13">
      <c r="A1333" s="63" t="s">
        <v>1985</v>
      </c>
      <c r="B1333" s="58">
        <v>42824118806</v>
      </c>
      <c r="C1333" s="63"/>
      <c r="D1333" s="60"/>
      <c r="E1333" s="9"/>
      <c r="F1333" s="25"/>
      <c r="G1333" s="61"/>
      <c r="H1333" s="9"/>
      <c r="I1333" s="8"/>
      <c r="J1333" s="8"/>
      <c r="K1333" s="8"/>
      <c r="L1333" s="8"/>
      <c r="M1333" s="8"/>
    </row>
    <row r="1334" spans="1:13">
      <c r="A1334" s="62" t="s">
        <v>1986</v>
      </c>
      <c r="B1334" s="58">
        <v>35197770880</v>
      </c>
      <c r="C1334" s="63" t="s">
        <v>1987</v>
      </c>
      <c r="D1334" s="60">
        <v>40663771811</v>
      </c>
      <c r="E1334" s="9">
        <v>509</v>
      </c>
      <c r="F1334" s="25">
        <v>43203</v>
      </c>
      <c r="G1334" s="67"/>
      <c r="H1334" s="67">
        <v>43213</v>
      </c>
      <c r="I1334" s="8"/>
      <c r="J1334" s="8"/>
      <c r="K1334" s="8"/>
      <c r="L1334" s="8">
        <v>516</v>
      </c>
      <c r="M1334" s="8"/>
    </row>
    <row r="1335" spans="1:13">
      <c r="A1335" s="62" t="s">
        <v>1988</v>
      </c>
      <c r="B1335" s="58">
        <v>40291686800</v>
      </c>
      <c r="C1335" s="63"/>
      <c r="D1335" s="60"/>
      <c r="E1335" s="9"/>
      <c r="F1335" s="25"/>
      <c r="G1335" s="61"/>
      <c r="H1335" s="67">
        <v>43213</v>
      </c>
      <c r="I1335" s="8"/>
      <c r="J1335" s="8"/>
      <c r="K1335" s="8"/>
      <c r="L1335" s="8"/>
      <c r="M1335" s="8"/>
    </row>
    <row r="1336" spans="1:13">
      <c r="A1336" s="62" t="s">
        <v>1989</v>
      </c>
      <c r="B1336" s="58">
        <v>35236970857</v>
      </c>
      <c r="C1336" s="59" t="s">
        <v>1990</v>
      </c>
      <c r="D1336" s="60">
        <v>41901199894</v>
      </c>
      <c r="E1336" s="9">
        <v>1417</v>
      </c>
      <c r="F1336" s="25">
        <v>43017</v>
      </c>
      <c r="G1336" s="61" t="s">
        <v>13</v>
      </c>
      <c r="H1336" s="67">
        <v>43213</v>
      </c>
      <c r="I1336" s="8"/>
      <c r="J1336" s="8"/>
      <c r="K1336" s="8"/>
      <c r="L1336" s="9" t="s">
        <v>253</v>
      </c>
      <c r="M1336" s="8"/>
    </row>
    <row r="1337" spans="1:13">
      <c r="A1337" s="62" t="s">
        <v>1991</v>
      </c>
      <c r="B1337" s="58">
        <v>34455580867</v>
      </c>
      <c r="C1337" s="59"/>
      <c r="D1337" s="60"/>
      <c r="E1337" s="9">
        <v>1128</v>
      </c>
      <c r="F1337" s="25">
        <v>42972</v>
      </c>
      <c r="G1337" s="61" t="s">
        <v>13</v>
      </c>
      <c r="H1337" s="67">
        <v>43213</v>
      </c>
      <c r="I1337" s="8"/>
      <c r="J1337" s="8"/>
      <c r="K1337" s="8"/>
      <c r="L1337" s="8"/>
      <c r="M1337" s="8"/>
    </row>
    <row r="1338" spans="1:13">
      <c r="A1338" s="27" t="s">
        <v>1992</v>
      </c>
      <c r="B1338" s="58"/>
      <c r="C1338" s="27" t="s">
        <v>129</v>
      </c>
      <c r="D1338" s="60"/>
      <c r="E1338" s="9"/>
      <c r="F1338" s="25"/>
      <c r="G1338" s="2"/>
      <c r="H1338" s="67">
        <v>43213</v>
      </c>
      <c r="I1338" s="8"/>
      <c r="J1338" s="8"/>
      <c r="K1338" s="8"/>
      <c r="L1338" s="8"/>
      <c r="M1338" s="8"/>
    </row>
    <row r="1339" spans="1:13">
      <c r="A1339" s="62" t="s">
        <v>1993</v>
      </c>
      <c r="B1339" s="58">
        <v>4310949690</v>
      </c>
      <c r="C1339" s="63"/>
      <c r="D1339" s="60"/>
      <c r="E1339" s="9">
        <v>292</v>
      </c>
      <c r="F1339" s="25">
        <v>43168</v>
      </c>
      <c r="G1339" s="9" t="s">
        <v>13</v>
      </c>
      <c r="H1339" s="67">
        <v>43213</v>
      </c>
      <c r="I1339" s="8"/>
      <c r="J1339" s="8"/>
      <c r="K1339" s="8"/>
      <c r="L1339" s="9">
        <v>318</v>
      </c>
      <c r="M1339" s="8"/>
    </row>
    <row r="1340" spans="1:13">
      <c r="A1340" s="63" t="s">
        <v>1994</v>
      </c>
      <c r="B1340" s="58">
        <v>5263835850</v>
      </c>
      <c r="C1340" s="63" t="s">
        <v>1995</v>
      </c>
      <c r="D1340" s="60">
        <v>18461500865</v>
      </c>
      <c r="E1340" s="9"/>
      <c r="F1340" s="25"/>
      <c r="G1340" s="61"/>
      <c r="H1340" s="67">
        <v>43213</v>
      </c>
      <c r="I1340" s="8"/>
      <c r="J1340" s="8"/>
      <c r="K1340" s="8"/>
      <c r="L1340" s="8"/>
      <c r="M1340" s="8"/>
    </row>
    <row r="1341" spans="1:13">
      <c r="A1341" s="62" t="s">
        <v>1996</v>
      </c>
      <c r="B1341" s="58">
        <v>29230365572</v>
      </c>
      <c r="C1341" s="63"/>
      <c r="D1341" s="60"/>
      <c r="E1341" s="9">
        <v>1824</v>
      </c>
      <c r="F1341" s="25">
        <v>43091</v>
      </c>
      <c r="G1341" s="61" t="s">
        <v>13</v>
      </c>
      <c r="H1341" s="67">
        <v>43213</v>
      </c>
      <c r="I1341" s="8"/>
      <c r="J1341" s="8"/>
      <c r="K1341" s="8"/>
      <c r="L1341" s="9">
        <v>1828</v>
      </c>
      <c r="M1341" s="8"/>
    </row>
    <row r="1342" spans="1:13">
      <c r="A1342" s="62" t="s">
        <v>1997</v>
      </c>
      <c r="B1342" s="58">
        <v>18506628865</v>
      </c>
      <c r="C1342" s="63"/>
      <c r="D1342" s="60"/>
      <c r="E1342" s="9">
        <v>117</v>
      </c>
      <c r="F1342" s="25">
        <v>43117</v>
      </c>
      <c r="G1342" s="61" t="s">
        <v>13</v>
      </c>
      <c r="H1342" s="67">
        <v>43213</v>
      </c>
      <c r="I1342" s="8"/>
      <c r="J1342" s="8"/>
      <c r="K1342" s="8"/>
      <c r="L1342" s="9" t="s">
        <v>170</v>
      </c>
      <c r="M1342" s="8"/>
    </row>
    <row r="1343" spans="1:13">
      <c r="A1343" s="27" t="s">
        <v>1998</v>
      </c>
      <c r="B1343" s="58">
        <v>31148209808</v>
      </c>
      <c r="C1343" s="18" t="s">
        <v>129</v>
      </c>
      <c r="D1343" s="60"/>
      <c r="E1343" s="9"/>
      <c r="F1343" s="25"/>
      <c r="G1343" s="61"/>
      <c r="H1343" s="67">
        <v>43213</v>
      </c>
      <c r="I1343" s="8"/>
      <c r="J1343" s="8"/>
      <c r="K1343" s="8"/>
      <c r="L1343" s="8"/>
      <c r="M1343" s="8"/>
    </row>
    <row r="1344" spans="1:13">
      <c r="A1344" s="62" t="s">
        <v>1999</v>
      </c>
      <c r="B1344" s="58">
        <v>32072608880</v>
      </c>
      <c r="C1344" s="63"/>
      <c r="D1344" s="60"/>
      <c r="E1344" s="9"/>
      <c r="F1344" s="25"/>
      <c r="G1344" s="61"/>
      <c r="H1344" s="9"/>
      <c r="I1344" s="8"/>
      <c r="J1344" s="8"/>
      <c r="K1344" s="8"/>
      <c r="L1344" s="8"/>
      <c r="M1344" s="8"/>
    </row>
    <row r="1345" spans="1:13">
      <c r="A1345" s="62" t="s">
        <v>2000</v>
      </c>
      <c r="B1345" s="58">
        <v>11907186859</v>
      </c>
      <c r="C1345" s="63"/>
      <c r="D1345" s="60"/>
      <c r="E1345" s="9">
        <v>1752</v>
      </c>
      <c r="F1345" s="25">
        <v>43051</v>
      </c>
      <c r="G1345" s="61" t="s">
        <v>13</v>
      </c>
      <c r="H1345" s="9"/>
      <c r="I1345" s="8"/>
      <c r="J1345" s="8"/>
      <c r="K1345" s="8"/>
      <c r="L1345" s="9">
        <v>1759</v>
      </c>
      <c r="M1345" s="8"/>
    </row>
    <row r="1346" spans="1:13">
      <c r="A1346" s="62" t="s">
        <v>2001</v>
      </c>
      <c r="B1346" s="58">
        <v>85794398507</v>
      </c>
      <c r="C1346" s="63" t="s">
        <v>2002</v>
      </c>
      <c r="D1346" s="60">
        <v>59689188534</v>
      </c>
      <c r="E1346" s="9">
        <v>292</v>
      </c>
      <c r="F1346" s="25">
        <v>43168</v>
      </c>
      <c r="G1346" s="61" t="s">
        <v>13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2003</v>
      </c>
      <c r="B1347" s="58">
        <v>2770765442</v>
      </c>
      <c r="C1347" s="63" t="s">
        <v>2004</v>
      </c>
      <c r="D1347" s="60">
        <v>24730161866</v>
      </c>
      <c r="E1347" s="9">
        <v>229</v>
      </c>
      <c r="F1347" s="25">
        <v>43151</v>
      </c>
      <c r="G1347" s="61" t="s">
        <v>13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2005</v>
      </c>
      <c r="B1348" s="58">
        <v>1295044838</v>
      </c>
      <c r="C1348" s="63" t="s">
        <v>2006</v>
      </c>
      <c r="D1348" s="60">
        <v>29976206860</v>
      </c>
      <c r="E1348" s="9">
        <v>485</v>
      </c>
      <c r="F1348" s="25">
        <v>43196</v>
      </c>
      <c r="G1348" s="61" t="s">
        <v>20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2007</v>
      </c>
      <c r="B1349" s="58">
        <v>25137412856</v>
      </c>
      <c r="C1349" s="63"/>
      <c r="D1349" s="60"/>
      <c r="E1349" s="9">
        <v>1824</v>
      </c>
      <c r="F1349" s="25">
        <v>43091</v>
      </c>
      <c r="G1349" s="61" t="s">
        <v>13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2008</v>
      </c>
      <c r="B1350" s="58">
        <v>3298866652</v>
      </c>
      <c r="C1350" s="63"/>
      <c r="D1350" s="60"/>
      <c r="E1350" s="9"/>
      <c r="F1350" s="25"/>
      <c r="G1350" s="61"/>
      <c r="H1350" s="9"/>
      <c r="I1350" s="8"/>
      <c r="J1350" s="8"/>
      <c r="K1350" s="8"/>
      <c r="L1350" s="8"/>
      <c r="M1350" s="8"/>
    </row>
    <row r="1351" spans="1:13">
      <c r="A1351" s="62" t="s">
        <v>2009</v>
      </c>
      <c r="B1351" s="58">
        <v>6391703825</v>
      </c>
      <c r="C1351" s="63"/>
      <c r="D1351" s="60"/>
      <c r="E1351" s="9"/>
      <c r="F1351" s="25"/>
      <c r="G1351" s="61"/>
      <c r="H1351" s="9"/>
      <c r="I1351" s="8"/>
      <c r="J1351" s="8"/>
      <c r="K1351" s="8"/>
      <c r="L1351" s="8"/>
      <c r="M1351" s="8"/>
    </row>
    <row r="1352" spans="1:13">
      <c r="A1352" s="62" t="s">
        <v>2010</v>
      </c>
      <c r="B1352" s="58">
        <v>52479242315</v>
      </c>
      <c r="C1352" s="63"/>
      <c r="D1352" s="60"/>
      <c r="E1352" s="9">
        <v>1214</v>
      </c>
      <c r="F1352" s="25">
        <v>42989</v>
      </c>
      <c r="G1352" s="61" t="s">
        <v>13</v>
      </c>
      <c r="H1352" s="9"/>
      <c r="I1352" s="8"/>
      <c r="J1352" s="8"/>
      <c r="K1352" s="8"/>
      <c r="L1352" s="8"/>
      <c r="M1352" s="8"/>
    </row>
    <row r="1353" spans="1:13">
      <c r="A1353" s="62" t="s">
        <v>2011</v>
      </c>
      <c r="B1353" s="58">
        <v>80932819320</v>
      </c>
      <c r="C1353" s="63"/>
      <c r="D1353" s="60"/>
      <c r="E1353" s="9">
        <v>1214</v>
      </c>
      <c r="F1353" s="25">
        <v>42989</v>
      </c>
      <c r="G1353" s="61" t="s">
        <v>13</v>
      </c>
      <c r="H1353" s="9"/>
      <c r="I1353" s="8"/>
      <c r="J1353" s="8"/>
      <c r="K1353" s="8"/>
      <c r="L1353" s="8"/>
      <c r="M1353" s="8"/>
    </row>
    <row r="1354" spans="1:13">
      <c r="A1354" s="15" t="s">
        <v>2012</v>
      </c>
      <c r="B1354" s="58">
        <v>28298254899</v>
      </c>
      <c r="C1354" s="63"/>
      <c r="D1354" s="60"/>
      <c r="E1354" s="9"/>
      <c r="F1354" s="25"/>
      <c r="G1354" s="61"/>
      <c r="H1354" s="9"/>
      <c r="I1354" s="8"/>
      <c r="J1354" s="8"/>
      <c r="K1354" s="8"/>
      <c r="L1354" s="8"/>
      <c r="M1354" s="8"/>
    </row>
    <row r="1355" spans="1:13">
      <c r="A1355" s="14" t="s">
        <v>2013</v>
      </c>
      <c r="B1355" s="58">
        <v>75678772520</v>
      </c>
      <c r="C1355" s="63" t="s">
        <v>2014</v>
      </c>
      <c r="D1355" s="60">
        <v>2724517466</v>
      </c>
      <c r="E1355" s="9"/>
      <c r="F1355" s="25"/>
      <c r="G1355" s="61"/>
      <c r="H1355" s="9"/>
      <c r="I1355" s="8"/>
      <c r="J1355" s="8"/>
      <c r="K1355" s="8"/>
      <c r="L1355" s="8"/>
      <c r="M1355" s="8"/>
    </row>
    <row r="1356" spans="1:13">
      <c r="A1356" s="62" t="s">
        <v>2015</v>
      </c>
      <c r="B1356" s="58">
        <v>48196240325</v>
      </c>
      <c r="C1356" s="63"/>
      <c r="D1356" s="60"/>
      <c r="E1356" s="9"/>
      <c r="F1356" s="25"/>
      <c r="G1356" s="61"/>
      <c r="H1356" s="9"/>
      <c r="I1356" s="8"/>
      <c r="J1356" s="8"/>
      <c r="K1356" s="8"/>
      <c r="L1356" s="8"/>
      <c r="M1356" s="8"/>
    </row>
    <row r="1357" spans="1:13">
      <c r="A1357" s="62" t="s">
        <v>2016</v>
      </c>
      <c r="B1357" s="58">
        <v>14608508822</v>
      </c>
      <c r="C1357" s="63"/>
      <c r="D1357" s="60"/>
      <c r="E1357" s="9"/>
      <c r="F1357" s="25"/>
      <c r="G1357" s="61"/>
      <c r="H1357" s="9"/>
      <c r="I1357" s="8"/>
      <c r="J1357" s="8"/>
      <c r="K1357" s="8"/>
      <c r="L1357" s="8"/>
      <c r="M1357" s="8"/>
    </row>
    <row r="1358" spans="1:13">
      <c r="A1358" s="15" t="s">
        <v>2017</v>
      </c>
      <c r="B1358" s="58">
        <v>1810483883</v>
      </c>
      <c r="C1358" s="63"/>
      <c r="D1358" s="60"/>
      <c r="E1358" s="9">
        <v>85</v>
      </c>
      <c r="F1358" s="25">
        <v>43109</v>
      </c>
      <c r="G1358" s="61" t="s">
        <v>13</v>
      </c>
      <c r="H1358" s="25">
        <v>43151</v>
      </c>
      <c r="I1358" s="8"/>
      <c r="J1358" s="8"/>
      <c r="K1358" s="8"/>
      <c r="L1358" s="8"/>
      <c r="M1358" s="8"/>
    </row>
    <row r="1359" spans="1:13">
      <c r="A1359" s="62" t="s">
        <v>2018</v>
      </c>
      <c r="B1359" s="58">
        <v>16621243847</v>
      </c>
      <c r="C1359" s="63"/>
      <c r="D1359" s="60"/>
      <c r="E1359" s="9">
        <v>262</v>
      </c>
      <c r="F1359" s="25">
        <v>43160</v>
      </c>
      <c r="G1359" s="9" t="s">
        <v>13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62" t="s">
        <v>2019</v>
      </c>
      <c r="B1360" s="58">
        <v>1634430506</v>
      </c>
      <c r="C1360" s="63"/>
      <c r="D1360" s="60"/>
      <c r="E1360" s="9">
        <v>292</v>
      </c>
      <c r="F1360" s="25">
        <v>43168</v>
      </c>
      <c r="G1360" s="9" t="s">
        <v>13</v>
      </c>
      <c r="H1360" s="9"/>
      <c r="I1360" s="8"/>
      <c r="J1360" s="8"/>
      <c r="K1360" s="8"/>
      <c r="L1360" s="9">
        <v>318</v>
      </c>
      <c r="M1360" s="8"/>
    </row>
    <row r="1361" spans="1:13">
      <c r="A1361" s="63" t="s">
        <v>2020</v>
      </c>
      <c r="B1361" s="58">
        <v>23374244807</v>
      </c>
      <c r="C1361" s="63"/>
      <c r="D1361" s="60"/>
      <c r="E1361" s="9">
        <v>608</v>
      </c>
      <c r="F1361" s="25">
        <v>43012</v>
      </c>
      <c r="G1361" s="61" t="s">
        <v>13</v>
      </c>
      <c r="H1361" s="9"/>
      <c r="I1361" s="8"/>
      <c r="J1361" s="8"/>
      <c r="K1361" s="8"/>
      <c r="L1361" s="8"/>
      <c r="M1361" s="8"/>
    </row>
    <row r="1362" spans="1:13">
      <c r="A1362" s="27" t="s">
        <v>2021</v>
      </c>
      <c r="B1362" s="58"/>
      <c r="C1362" s="18" t="s">
        <v>129</v>
      </c>
      <c r="D1362" s="60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62" t="s">
        <v>2022</v>
      </c>
      <c r="B1363" s="58">
        <v>3231449855</v>
      </c>
      <c r="C1363" s="63"/>
      <c r="D1363" s="60"/>
      <c r="E1363" s="9"/>
      <c r="F1363" s="25"/>
      <c r="G1363" s="61"/>
      <c r="H1363" s="9"/>
      <c r="I1363" s="8"/>
      <c r="J1363" s="8"/>
      <c r="K1363" s="8"/>
      <c r="L1363" s="8"/>
      <c r="M1363" s="8"/>
    </row>
    <row r="1364" spans="1:13">
      <c r="A1364" s="15" t="s">
        <v>2023</v>
      </c>
      <c r="B1364" s="58">
        <v>25191008855</v>
      </c>
      <c r="C1364" s="63"/>
      <c r="D1364" s="60"/>
      <c r="E1364" s="9"/>
      <c r="F1364" s="25"/>
      <c r="G1364" s="61"/>
      <c r="H1364" s="9"/>
      <c r="I1364" s="8"/>
      <c r="J1364" s="8"/>
      <c r="K1364" s="8"/>
      <c r="L1364" s="8"/>
      <c r="M1364" s="8"/>
    </row>
    <row r="1365" spans="1:13">
      <c r="A1365" s="62" t="s">
        <v>2024</v>
      </c>
      <c r="B1365" s="58">
        <v>32851598805</v>
      </c>
      <c r="C1365" s="63"/>
      <c r="D1365" s="60"/>
      <c r="E1365" s="9">
        <v>262</v>
      </c>
      <c r="F1365" s="25">
        <v>43160</v>
      </c>
      <c r="G1365" s="61" t="s">
        <v>13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2025</v>
      </c>
      <c r="B1366" s="58">
        <v>39207068893</v>
      </c>
      <c r="C1366" s="63"/>
      <c r="D1366" s="60"/>
      <c r="E1366" s="9">
        <v>229</v>
      </c>
      <c r="F1366" s="25">
        <v>43151</v>
      </c>
      <c r="G1366" s="61" t="s">
        <v>13</v>
      </c>
      <c r="H1366" s="9"/>
      <c r="I1366" s="8"/>
      <c r="J1366" s="8"/>
      <c r="K1366" s="8"/>
      <c r="L1366" s="9">
        <v>232</v>
      </c>
      <c r="M1366" s="8"/>
    </row>
    <row r="1367" spans="1:13">
      <c r="A1367" s="63" t="s">
        <v>2026</v>
      </c>
      <c r="B1367" s="58">
        <v>44992401821</v>
      </c>
      <c r="C1367" s="63"/>
      <c r="D1367" s="60"/>
      <c r="E1367" s="9"/>
      <c r="F1367" s="25"/>
      <c r="G1367" s="61"/>
      <c r="H1367" s="9"/>
      <c r="I1367" s="8"/>
      <c r="J1367" s="8"/>
      <c r="K1367" s="8"/>
      <c r="L1367" s="8"/>
      <c r="M1367" s="8"/>
    </row>
    <row r="1368" spans="1:13">
      <c r="A1368" s="62" t="s">
        <v>2027</v>
      </c>
      <c r="B1368" s="58">
        <v>26096680828</v>
      </c>
      <c r="C1368" s="63"/>
      <c r="D1368" s="60"/>
      <c r="E1368" s="9">
        <v>117</v>
      </c>
      <c r="F1368" s="25">
        <v>43117</v>
      </c>
      <c r="G1368" s="61" t="s">
        <v>13</v>
      </c>
      <c r="H1368" s="9"/>
      <c r="I1368" s="8"/>
      <c r="J1368" s="8"/>
      <c r="K1368" s="8"/>
      <c r="L1368" s="9" t="s">
        <v>170</v>
      </c>
      <c r="M1368" s="8"/>
    </row>
    <row r="1369" spans="1:13">
      <c r="A1369" s="27" t="s">
        <v>2028</v>
      </c>
      <c r="B1369" s="58"/>
      <c r="C1369" s="27" t="s">
        <v>129</v>
      </c>
      <c r="D1369" s="60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2029</v>
      </c>
      <c r="B1370" s="58">
        <v>87915170520</v>
      </c>
      <c r="C1370" s="63" t="s">
        <v>2030</v>
      </c>
      <c r="D1370" s="60">
        <v>28175744863</v>
      </c>
      <c r="E1370" s="9"/>
      <c r="F1370" s="25"/>
      <c r="G1370" s="61"/>
      <c r="H1370" s="9"/>
      <c r="I1370" s="8"/>
      <c r="J1370" s="8"/>
      <c r="K1370" s="8"/>
      <c r="L1370" s="8"/>
      <c r="M1370" s="8"/>
    </row>
    <row r="1371" spans="1:13">
      <c r="A1371" s="62" t="s">
        <v>2031</v>
      </c>
      <c r="B1371" s="58">
        <v>30693970855</v>
      </c>
      <c r="C1371" s="63" t="s">
        <v>2032</v>
      </c>
      <c r="D1371" s="60">
        <v>6402681610</v>
      </c>
      <c r="E1371" s="9">
        <v>608</v>
      </c>
      <c r="F1371" s="25">
        <v>43012</v>
      </c>
      <c r="G1371" s="61" t="s">
        <v>20</v>
      </c>
      <c r="H1371" s="9"/>
      <c r="I1371" s="8"/>
      <c r="J1371" s="8"/>
      <c r="K1371" s="8"/>
      <c r="L1371" s="8"/>
      <c r="M1371" s="8"/>
    </row>
    <row r="1372" spans="1:13">
      <c r="A1372" s="62" t="s">
        <v>2033</v>
      </c>
      <c r="B1372" s="58">
        <v>2091286400</v>
      </c>
      <c r="C1372" s="63"/>
      <c r="D1372" s="60"/>
      <c r="E1372" s="9"/>
      <c r="F1372" s="25"/>
      <c r="G1372" s="61"/>
      <c r="H1372" s="9"/>
      <c r="I1372" s="8"/>
      <c r="J1372" s="8"/>
      <c r="K1372" s="8"/>
      <c r="L1372" s="8"/>
      <c r="M1372" s="8"/>
    </row>
    <row r="1373" spans="1:13">
      <c r="A1373" s="14" t="s">
        <v>2034</v>
      </c>
      <c r="B1373" s="58">
        <v>32032994453</v>
      </c>
      <c r="C1373" s="63"/>
      <c r="D1373" s="60"/>
      <c r="E1373" s="9"/>
      <c r="F1373" s="25"/>
      <c r="G1373" s="61"/>
      <c r="H1373" s="9"/>
      <c r="I1373" s="8"/>
      <c r="J1373" s="8"/>
      <c r="K1373" s="8"/>
      <c r="L1373" s="8"/>
      <c r="M1373" s="8"/>
    </row>
    <row r="1374" spans="1:13">
      <c r="A1374" s="62" t="s">
        <v>2035</v>
      </c>
      <c r="B1374" s="58">
        <v>76687210882</v>
      </c>
      <c r="C1374" s="63"/>
      <c r="D1374" s="60"/>
      <c r="E1374" s="9"/>
      <c r="F1374" s="25"/>
      <c r="G1374" s="61"/>
      <c r="H1374" s="9"/>
      <c r="I1374" s="8"/>
      <c r="J1374" s="8"/>
      <c r="K1374" s="8"/>
      <c r="L1374" s="8"/>
      <c r="M1374" s="8"/>
    </row>
    <row r="1375" spans="1:13">
      <c r="A1375" s="62" t="s">
        <v>2036</v>
      </c>
      <c r="B1375" s="58">
        <v>65528450578</v>
      </c>
      <c r="C1375" s="63"/>
      <c r="D1375" s="60"/>
      <c r="E1375" s="9">
        <v>1106</v>
      </c>
      <c r="F1375" s="25">
        <v>42965</v>
      </c>
      <c r="G1375" s="61" t="s">
        <v>13</v>
      </c>
      <c r="H1375" s="9"/>
      <c r="I1375" s="8"/>
      <c r="J1375" s="8"/>
      <c r="K1375" s="8"/>
      <c r="L1375" s="8"/>
      <c r="M1375" s="8"/>
    </row>
    <row r="1376" spans="1:13">
      <c r="A1376" s="62" t="s">
        <v>2037</v>
      </c>
      <c r="B1376" s="58">
        <v>11048471837</v>
      </c>
      <c r="C1376" s="63"/>
      <c r="D1376" s="60"/>
      <c r="E1376" s="9">
        <v>810</v>
      </c>
      <c r="F1376" s="25">
        <v>42915</v>
      </c>
      <c r="G1376" s="61" t="s">
        <v>13</v>
      </c>
      <c r="H1376" s="9"/>
      <c r="I1376" s="8"/>
      <c r="J1376" s="8"/>
      <c r="K1376" s="8"/>
      <c r="L1376" s="9" t="s">
        <v>138</v>
      </c>
      <c r="M1376" s="8"/>
    </row>
    <row r="1377" spans="1:13">
      <c r="A1377" s="62" t="s">
        <v>2038</v>
      </c>
      <c r="B1377" s="58">
        <v>337174865</v>
      </c>
      <c r="C1377" s="63"/>
      <c r="D1377" s="60"/>
      <c r="E1377" s="9">
        <v>292</v>
      </c>
      <c r="F1377" s="25">
        <v>43168</v>
      </c>
      <c r="G1377" s="61" t="s">
        <v>13</v>
      </c>
      <c r="H1377" s="9"/>
      <c r="I1377" s="8"/>
      <c r="J1377" s="8"/>
      <c r="K1377" s="8"/>
      <c r="L1377" s="9">
        <v>318</v>
      </c>
      <c r="M1377" s="8"/>
    </row>
    <row r="1378" spans="1:13">
      <c r="A1378" s="62" t="s">
        <v>2039</v>
      </c>
      <c r="B1378" s="69" t="s">
        <v>2040</v>
      </c>
      <c r="C1378" s="63"/>
      <c r="D1378" s="60"/>
      <c r="E1378" s="9">
        <v>292</v>
      </c>
      <c r="F1378" s="25">
        <v>43168</v>
      </c>
      <c r="G1378" s="9" t="s">
        <v>13</v>
      </c>
      <c r="H1378" s="9"/>
      <c r="I1378" s="8"/>
      <c r="J1378" s="8"/>
      <c r="K1378" s="8"/>
      <c r="L1378" s="9">
        <v>318</v>
      </c>
      <c r="M1378" s="8"/>
    </row>
    <row r="1379" spans="1:13">
      <c r="A1379" s="62" t="s">
        <v>2041</v>
      </c>
      <c r="B1379" s="58">
        <v>9137625802</v>
      </c>
      <c r="C1379" s="63"/>
      <c r="D1379" s="60"/>
      <c r="E1379" s="9"/>
      <c r="F1379" s="25"/>
      <c r="G1379" s="61"/>
      <c r="H1379" s="9"/>
      <c r="I1379" s="8"/>
      <c r="J1379" s="8"/>
      <c r="K1379" s="8"/>
      <c r="L1379" s="8"/>
      <c r="M1379" s="8"/>
    </row>
    <row r="1380" spans="1:13">
      <c r="A1380" s="13" t="s">
        <v>2042</v>
      </c>
      <c r="B1380" s="58">
        <v>31194905803</v>
      </c>
      <c r="C1380" s="63"/>
      <c r="D1380" s="60"/>
      <c r="E1380" s="9">
        <v>1350</v>
      </c>
      <c r="F1380" s="25">
        <v>43006</v>
      </c>
      <c r="G1380" s="61" t="s">
        <v>13</v>
      </c>
      <c r="H1380" s="9"/>
      <c r="I1380" s="8"/>
      <c r="J1380" s="8"/>
      <c r="K1380" s="8"/>
      <c r="L1380" s="8"/>
      <c r="M1380" s="8"/>
    </row>
    <row r="1381" spans="1:13">
      <c r="A1381" s="62" t="s">
        <v>2043</v>
      </c>
      <c r="B1381" s="58">
        <v>3277958329</v>
      </c>
      <c r="C1381" s="63"/>
      <c r="D1381" s="60"/>
      <c r="E1381" s="9">
        <v>1555</v>
      </c>
      <c r="F1381" s="25">
        <v>43049</v>
      </c>
      <c r="G1381" s="61" t="s">
        <v>13</v>
      </c>
      <c r="H1381" s="9"/>
      <c r="I1381" s="8"/>
      <c r="J1381" s="8"/>
      <c r="K1381" s="8"/>
      <c r="L1381" s="9" t="s">
        <v>398</v>
      </c>
      <c r="M1381" s="8"/>
    </row>
    <row r="1382" spans="1:13">
      <c r="A1382" s="62" t="s">
        <v>2044</v>
      </c>
      <c r="B1382" s="58">
        <v>67595715415</v>
      </c>
      <c r="C1382" s="68"/>
      <c r="D1382" s="60"/>
      <c r="E1382" s="9"/>
      <c r="F1382" s="25"/>
      <c r="G1382" s="61"/>
      <c r="H1382" s="9"/>
      <c r="I1382" s="8"/>
      <c r="J1382" s="8"/>
      <c r="K1382" s="8"/>
      <c r="L1382" s="8"/>
      <c r="M1382" s="8"/>
    </row>
    <row r="1383" spans="1:13">
      <c r="A1383" s="13" t="s">
        <v>2045</v>
      </c>
      <c r="B1383" s="58">
        <v>14683142899</v>
      </c>
      <c r="C1383" s="63"/>
      <c r="D1383" s="60"/>
      <c r="E1383" s="9"/>
      <c r="F1383" s="25"/>
      <c r="G1383" s="61"/>
      <c r="H1383" s="9"/>
      <c r="I1383" s="8"/>
      <c r="J1383" s="8"/>
      <c r="K1383" s="8"/>
      <c r="L1383" s="8"/>
      <c r="M1383" s="8"/>
    </row>
    <row r="1384" spans="1:13">
      <c r="A1384" s="62" t="s">
        <v>2046</v>
      </c>
      <c r="B1384" s="58">
        <v>5676742402</v>
      </c>
      <c r="C1384" s="63"/>
      <c r="D1384" s="60"/>
      <c r="E1384" s="9">
        <v>262</v>
      </c>
      <c r="F1384" s="25">
        <v>43160</v>
      </c>
      <c r="G1384" s="61" t="s">
        <v>13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62" t="s">
        <v>2047</v>
      </c>
      <c r="B1385" s="58">
        <v>25333346852</v>
      </c>
      <c r="C1385" s="63"/>
      <c r="D1385" s="60"/>
      <c r="E1385" s="9">
        <v>292</v>
      </c>
      <c r="F1385" s="25">
        <v>43168</v>
      </c>
      <c r="G1385" s="61" t="s">
        <v>13</v>
      </c>
      <c r="H1385" s="9"/>
      <c r="I1385" s="8"/>
      <c r="J1385" s="8"/>
      <c r="K1385" s="8"/>
      <c r="L1385" s="9">
        <v>318</v>
      </c>
      <c r="M1385" s="8"/>
    </row>
    <row r="1386" spans="1:13">
      <c r="A1386" s="62" t="s">
        <v>2048</v>
      </c>
      <c r="B1386" s="58">
        <v>44936958468</v>
      </c>
      <c r="C1386" s="63"/>
      <c r="D1386" s="60"/>
      <c r="E1386" s="9">
        <v>1214</v>
      </c>
      <c r="F1386" s="25">
        <v>42989</v>
      </c>
      <c r="G1386" s="61" t="s">
        <v>13</v>
      </c>
      <c r="H1386" s="9"/>
      <c r="I1386" s="8"/>
      <c r="J1386" s="8"/>
      <c r="K1386" s="8"/>
      <c r="L1386" s="8"/>
      <c r="M1386" s="8"/>
    </row>
    <row r="1387" spans="1:13">
      <c r="A1387" s="27" t="s">
        <v>2049</v>
      </c>
      <c r="B1387" s="58">
        <v>5753509894</v>
      </c>
      <c r="C1387" s="9" t="s">
        <v>129</v>
      </c>
      <c r="D1387" s="60"/>
      <c r="E1387" s="9"/>
      <c r="F1387" s="25"/>
      <c r="G1387" s="61"/>
      <c r="H1387" s="9"/>
      <c r="I1387" s="8"/>
      <c r="J1387" s="8"/>
      <c r="K1387" s="8"/>
      <c r="L1387" s="8"/>
      <c r="M1387" s="8"/>
    </row>
    <row r="1388" spans="1:13">
      <c r="A1388" s="18" t="s">
        <v>2050</v>
      </c>
      <c r="B1388" s="58"/>
      <c r="C1388" s="18" t="s">
        <v>2051</v>
      </c>
      <c r="D1388" s="60"/>
      <c r="E1388" s="9"/>
      <c r="F1388" s="25"/>
      <c r="G1388" s="61"/>
      <c r="H1388" s="9"/>
      <c r="I1388" s="8"/>
      <c r="J1388" s="8"/>
      <c r="K1388" s="8"/>
      <c r="L1388" s="8"/>
      <c r="M1388" s="8"/>
    </row>
    <row r="1389" spans="1:13">
      <c r="A1389" s="62" t="s">
        <v>2052</v>
      </c>
      <c r="B1389" s="58">
        <v>1103155377</v>
      </c>
      <c r="C1389" s="80"/>
      <c r="D1389" s="60"/>
      <c r="E1389" s="9"/>
      <c r="F1389" s="25"/>
      <c r="G1389" s="61"/>
      <c r="H1389" s="9"/>
      <c r="I1389" s="8"/>
      <c r="J1389" s="8"/>
      <c r="K1389" s="8"/>
      <c r="L1389" s="8"/>
      <c r="M1389" s="8"/>
    </row>
    <row r="1390" spans="1:13">
      <c r="A1390" s="62" t="s">
        <v>2053</v>
      </c>
      <c r="B1390" s="58">
        <v>5132262570</v>
      </c>
      <c r="C1390" s="63"/>
      <c r="D1390" s="60"/>
      <c r="E1390" s="9">
        <v>810</v>
      </c>
      <c r="F1390" s="25">
        <v>42915</v>
      </c>
      <c r="G1390" s="9" t="s">
        <v>13</v>
      </c>
      <c r="H1390" s="9"/>
      <c r="I1390" s="8"/>
      <c r="J1390" s="8"/>
      <c r="K1390" s="8"/>
      <c r="L1390" s="9" t="s">
        <v>138</v>
      </c>
      <c r="M1390" s="8"/>
    </row>
    <row r="1391" spans="1:13">
      <c r="A1391" s="62" t="s">
        <v>2054</v>
      </c>
      <c r="B1391" s="58">
        <v>49423657400</v>
      </c>
      <c r="C1391" s="63"/>
      <c r="D1391" s="60"/>
      <c r="E1391" s="9">
        <v>810</v>
      </c>
      <c r="F1391" s="25">
        <v>42915</v>
      </c>
      <c r="G1391" s="61" t="s">
        <v>13</v>
      </c>
      <c r="H1391" s="9"/>
      <c r="I1391" s="8"/>
      <c r="J1391" s="8"/>
      <c r="K1391" s="8"/>
      <c r="L1391" s="9" t="s">
        <v>138</v>
      </c>
      <c r="M1391" s="8"/>
    </row>
    <row r="1392" spans="1:13">
      <c r="A1392" s="13" t="s">
        <v>2055</v>
      </c>
      <c r="B1392" s="58">
        <v>1109563892</v>
      </c>
      <c r="C1392" s="59"/>
      <c r="D1392" s="60"/>
      <c r="E1392" s="9">
        <v>1752</v>
      </c>
      <c r="F1392" s="25">
        <v>43051</v>
      </c>
      <c r="G1392" s="61" t="s">
        <v>13</v>
      </c>
      <c r="H1392" s="9"/>
      <c r="I1392" s="8"/>
      <c r="J1392" s="8"/>
      <c r="K1392" s="8"/>
      <c r="L1392" s="9">
        <v>1759</v>
      </c>
      <c r="M1392" s="8"/>
    </row>
    <row r="1393" spans="1:13">
      <c r="A1393" s="62" t="s">
        <v>2056</v>
      </c>
      <c r="B1393" s="58">
        <v>43356229885</v>
      </c>
      <c r="C1393" s="63"/>
      <c r="D1393" s="60"/>
      <c r="E1393" s="9">
        <v>85</v>
      </c>
      <c r="F1393" s="25">
        <v>43109</v>
      </c>
      <c r="G1393" s="61" t="s">
        <v>20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2057</v>
      </c>
      <c r="B1394" s="58">
        <v>6644491820</v>
      </c>
      <c r="C1394" s="64"/>
      <c r="D1394" s="60"/>
      <c r="E1394" s="9"/>
      <c r="F1394" s="25"/>
      <c r="G1394" s="61"/>
      <c r="H1394" s="9"/>
      <c r="I1394" s="8"/>
      <c r="J1394" s="8"/>
      <c r="K1394" s="8"/>
      <c r="L1394" s="8"/>
      <c r="M1394" s="8"/>
    </row>
    <row r="1395" spans="1:13">
      <c r="A1395" s="63" t="s">
        <v>2058</v>
      </c>
      <c r="B1395" s="58">
        <v>61260606449</v>
      </c>
      <c r="C1395" s="63" t="s">
        <v>2059</v>
      </c>
      <c r="D1395" s="60">
        <v>73505854468</v>
      </c>
      <c r="E1395" s="9">
        <v>608</v>
      </c>
      <c r="F1395" s="25">
        <v>43012</v>
      </c>
      <c r="G1395" s="61" t="s">
        <v>13</v>
      </c>
      <c r="H1395" s="9"/>
      <c r="I1395" s="8"/>
      <c r="J1395" s="8"/>
      <c r="K1395" s="8"/>
      <c r="L1395" s="8"/>
      <c r="M1395" s="8"/>
    </row>
    <row r="1396" spans="1:13">
      <c r="A1396" s="62" t="s">
        <v>2060</v>
      </c>
      <c r="B1396" s="58">
        <v>42522433865</v>
      </c>
      <c r="C1396" s="63"/>
      <c r="D1396" s="60"/>
      <c r="E1396" s="9">
        <v>1752</v>
      </c>
      <c r="F1396" s="25">
        <v>43051</v>
      </c>
      <c r="G1396" s="61" t="s">
        <v>13</v>
      </c>
      <c r="H1396" s="9"/>
      <c r="I1396" s="8"/>
      <c r="J1396" s="8"/>
      <c r="K1396" s="8"/>
      <c r="L1396" s="9">
        <v>1759</v>
      </c>
      <c r="M1396" s="8"/>
    </row>
    <row r="1397" spans="1:13">
      <c r="A1397" s="62" t="s">
        <v>2061</v>
      </c>
      <c r="B1397" s="58">
        <v>1565324501</v>
      </c>
      <c r="C1397" s="63"/>
      <c r="D1397" s="60"/>
      <c r="E1397" s="9"/>
      <c r="F1397" s="25"/>
      <c r="G1397" s="61"/>
      <c r="H1397" s="9"/>
      <c r="I1397" s="8"/>
      <c r="J1397" s="8"/>
      <c r="K1397" s="8"/>
      <c r="L1397" s="8"/>
      <c r="M1397" s="8"/>
    </row>
    <row r="1398" spans="1:13">
      <c r="A1398" s="27" t="s">
        <v>2062</v>
      </c>
      <c r="B1398" s="58">
        <v>68516274853</v>
      </c>
      <c r="C1398" s="18" t="s">
        <v>129</v>
      </c>
      <c r="D1398" s="60"/>
      <c r="E1398" s="9"/>
      <c r="F1398" s="25"/>
      <c r="G1398" s="61"/>
      <c r="H1398" s="9"/>
      <c r="I1398" s="8"/>
      <c r="J1398" s="8"/>
      <c r="K1398" s="8"/>
      <c r="L1398" s="8"/>
      <c r="M1398" s="8"/>
    </row>
    <row r="1399" spans="1:13">
      <c r="A1399" s="62" t="s">
        <v>2063</v>
      </c>
      <c r="B1399" s="58">
        <v>12435437870</v>
      </c>
      <c r="C1399" s="63"/>
      <c r="D1399" s="60"/>
      <c r="E1399" s="9">
        <v>1489</v>
      </c>
      <c r="F1399" s="25">
        <v>43038</v>
      </c>
      <c r="G1399" s="61" t="s">
        <v>13</v>
      </c>
      <c r="H1399" s="9"/>
      <c r="I1399" s="8"/>
      <c r="J1399" s="8"/>
      <c r="K1399" s="8"/>
      <c r="L1399" s="9" t="s">
        <v>160</v>
      </c>
      <c r="M1399" s="8"/>
    </row>
    <row r="1400" spans="1:13">
      <c r="A1400" s="15" t="s">
        <v>2064</v>
      </c>
      <c r="B1400" s="58">
        <v>29538850807</v>
      </c>
      <c r="C1400" s="63"/>
      <c r="D1400" s="60"/>
      <c r="E1400" s="9">
        <v>85</v>
      </c>
      <c r="F1400" s="25">
        <v>43109</v>
      </c>
      <c r="G1400" s="61" t="s">
        <v>13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2065</v>
      </c>
      <c r="B1401" s="58">
        <v>85576492820</v>
      </c>
      <c r="C1401" s="63" t="s">
        <v>2066</v>
      </c>
      <c r="D1401" s="60">
        <v>81968779434</v>
      </c>
      <c r="E1401" s="9">
        <v>527</v>
      </c>
      <c r="F1401" s="25">
        <v>43210</v>
      </c>
      <c r="G1401" s="61"/>
      <c r="H1401" s="9"/>
      <c r="I1401" s="8"/>
      <c r="J1401" s="8"/>
      <c r="K1401" s="8"/>
      <c r="L1401" s="9">
        <v>528</v>
      </c>
      <c r="M1401" s="8"/>
    </row>
    <row r="1402" spans="1:13">
      <c r="A1402" s="62" t="s">
        <v>2067</v>
      </c>
      <c r="B1402" s="58">
        <v>67345301591</v>
      </c>
      <c r="C1402" s="63"/>
      <c r="D1402" s="60"/>
      <c r="E1402" s="9"/>
      <c r="F1402" s="25"/>
      <c r="G1402" s="61"/>
      <c r="H1402" s="9"/>
      <c r="I1402" s="8"/>
      <c r="J1402" s="8"/>
      <c r="K1402" s="8"/>
      <c r="L1402" s="8"/>
      <c r="M1402" s="8"/>
    </row>
    <row r="1403" spans="1:13">
      <c r="A1403" s="62" t="s">
        <v>2068</v>
      </c>
      <c r="B1403" s="58">
        <v>23527439404</v>
      </c>
      <c r="C1403" s="63"/>
      <c r="D1403" s="60"/>
      <c r="E1403" s="9">
        <v>292</v>
      </c>
      <c r="F1403" s="25">
        <v>43168</v>
      </c>
      <c r="G1403" s="9" t="s">
        <v>13</v>
      </c>
      <c r="H1403" s="9"/>
      <c r="I1403" s="8"/>
      <c r="J1403" s="8"/>
      <c r="K1403" s="8"/>
      <c r="L1403" s="9">
        <v>318</v>
      </c>
      <c r="M1403" s="8"/>
    </row>
    <row r="1404" spans="1:13">
      <c r="A1404" s="28" t="s">
        <v>2069</v>
      </c>
      <c r="B1404" s="58">
        <v>27903916882</v>
      </c>
      <c r="C1404" s="30" t="s">
        <v>2070</v>
      </c>
      <c r="D1404" s="60"/>
      <c r="E1404" s="9"/>
      <c r="F1404" s="25"/>
      <c r="G1404" s="61"/>
      <c r="H1404" s="9"/>
      <c r="I1404" s="8"/>
      <c r="J1404" s="8"/>
      <c r="K1404" s="8"/>
      <c r="L1404" s="8"/>
      <c r="M1404" s="8"/>
    </row>
    <row r="1405" spans="1:13">
      <c r="A1405" s="62" t="s">
        <v>2071</v>
      </c>
      <c r="B1405" s="58">
        <v>18243063854</v>
      </c>
      <c r="C1405" s="63"/>
      <c r="D1405" s="60"/>
      <c r="E1405" s="9">
        <v>1489</v>
      </c>
      <c r="F1405" s="25">
        <v>43038</v>
      </c>
      <c r="G1405" s="61" t="s">
        <v>13</v>
      </c>
      <c r="H1405" s="9"/>
      <c r="I1405" s="8"/>
      <c r="J1405" s="8"/>
      <c r="K1405" s="8"/>
      <c r="L1405" s="9" t="s">
        <v>160</v>
      </c>
      <c r="M1405" s="8"/>
    </row>
    <row r="1406" spans="1:13">
      <c r="A1406" s="62" t="s">
        <v>2072</v>
      </c>
      <c r="B1406" s="58">
        <v>27628221300</v>
      </c>
      <c r="C1406" s="63"/>
      <c r="D1406" s="60"/>
      <c r="E1406" s="9">
        <v>1106</v>
      </c>
      <c r="F1406" s="25">
        <v>42965</v>
      </c>
      <c r="G1406" s="61" t="s">
        <v>20</v>
      </c>
      <c r="H1406" s="9"/>
      <c r="I1406" s="8"/>
      <c r="J1406" s="8"/>
      <c r="K1406" s="8"/>
      <c r="L1406" s="8"/>
      <c r="M1406" s="8"/>
    </row>
    <row r="1407" spans="1:13">
      <c r="A1407" s="62" t="s">
        <v>2073</v>
      </c>
      <c r="B1407" s="58">
        <v>63413337572</v>
      </c>
      <c r="C1407" s="63"/>
      <c r="D1407" s="60"/>
      <c r="E1407" s="9">
        <v>262</v>
      </c>
      <c r="F1407" s="25">
        <v>43160</v>
      </c>
      <c r="G1407" s="61" t="s">
        <v>13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62" t="s">
        <v>2074</v>
      </c>
      <c r="B1408" s="58">
        <v>2928428569</v>
      </c>
      <c r="C1408" s="63"/>
      <c r="D1408" s="60"/>
      <c r="E1408" s="9">
        <v>810</v>
      </c>
      <c r="F1408" s="25">
        <v>42915</v>
      </c>
      <c r="G1408" s="61" t="s">
        <v>13</v>
      </c>
      <c r="H1408" s="9"/>
      <c r="I1408" s="8"/>
      <c r="J1408" s="8"/>
      <c r="K1408" s="8"/>
      <c r="L1408" s="9" t="s">
        <v>138</v>
      </c>
      <c r="M1408" s="8"/>
    </row>
    <row r="1409" spans="1:13">
      <c r="A1409" s="15" t="s">
        <v>2075</v>
      </c>
      <c r="B1409" s="58">
        <v>3279564450</v>
      </c>
      <c r="C1409" s="63"/>
      <c r="D1409" s="60"/>
      <c r="E1409" s="9">
        <v>262</v>
      </c>
      <c r="F1409" s="25">
        <v>43160</v>
      </c>
      <c r="G1409" s="61" t="s">
        <v>13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63" t="s">
        <v>2076</v>
      </c>
      <c r="B1410" s="58">
        <v>754731863</v>
      </c>
      <c r="C1410" s="63" t="s">
        <v>2077</v>
      </c>
      <c r="D1410" s="60">
        <v>25557405895</v>
      </c>
      <c r="E1410" s="9"/>
      <c r="F1410" s="25"/>
      <c r="G1410" s="61"/>
      <c r="H1410" s="9"/>
      <c r="I1410" s="8"/>
      <c r="J1410" s="8"/>
      <c r="K1410" s="8"/>
      <c r="L1410" s="8"/>
      <c r="M1410" s="8"/>
    </row>
    <row r="1411" spans="1:13">
      <c r="A1411" s="62" t="s">
        <v>2078</v>
      </c>
      <c r="B1411" s="58">
        <v>17317559881</v>
      </c>
      <c r="C1411" s="63"/>
      <c r="D1411" s="60"/>
      <c r="E1411" s="9">
        <v>292</v>
      </c>
      <c r="F1411" s="25">
        <v>43168</v>
      </c>
      <c r="G1411" s="9" t="s">
        <v>13</v>
      </c>
      <c r="H1411" s="9"/>
      <c r="I1411" s="8"/>
      <c r="J1411" s="8"/>
      <c r="K1411" s="8"/>
      <c r="L1411" s="9">
        <v>318</v>
      </c>
      <c r="M1411" s="8"/>
    </row>
    <row r="1412" spans="1:13">
      <c r="A1412" s="62" t="s">
        <v>2079</v>
      </c>
      <c r="B1412" s="58">
        <v>34097938878</v>
      </c>
      <c r="C1412" s="63"/>
      <c r="D1412" s="60"/>
      <c r="E1412" s="9">
        <v>292</v>
      </c>
      <c r="F1412" s="25">
        <v>43168</v>
      </c>
      <c r="G1412" s="61" t="s">
        <v>13</v>
      </c>
      <c r="H1412" s="9"/>
      <c r="I1412" s="8"/>
      <c r="J1412" s="8"/>
      <c r="K1412" s="8"/>
      <c r="L1412" s="9">
        <v>318</v>
      </c>
      <c r="M1412" s="8"/>
    </row>
    <row r="1413" spans="1:13">
      <c r="A1413" s="62" t="s">
        <v>2080</v>
      </c>
      <c r="B1413" s="58" t="s">
        <v>2081</v>
      </c>
      <c r="C1413" s="68"/>
      <c r="D1413" s="60"/>
      <c r="E1413" s="9"/>
      <c r="F1413" s="25"/>
      <c r="G1413" s="61"/>
      <c r="H1413" s="9"/>
      <c r="I1413" s="8"/>
      <c r="J1413" s="8"/>
      <c r="K1413" s="8"/>
      <c r="L1413" s="8"/>
      <c r="M1413" s="8"/>
    </row>
    <row r="1414" spans="1:13">
      <c r="A1414" s="15" t="s">
        <v>2082</v>
      </c>
      <c r="B1414" s="58">
        <v>7727254894</v>
      </c>
      <c r="C1414" s="63"/>
      <c r="D1414" s="60"/>
      <c r="E1414" s="9">
        <v>85</v>
      </c>
      <c r="F1414" s="25">
        <v>43109</v>
      </c>
      <c r="G1414" s="61" t="s">
        <v>13</v>
      </c>
      <c r="H1414" s="25">
        <v>43151</v>
      </c>
      <c r="I1414" s="8"/>
      <c r="J1414" s="8"/>
      <c r="K1414" s="8"/>
      <c r="L1414" s="8"/>
      <c r="M1414" s="8"/>
    </row>
    <row r="1415" spans="1:13">
      <c r="A1415" s="62" t="s">
        <v>2083</v>
      </c>
      <c r="B1415" s="58">
        <v>9667570843</v>
      </c>
      <c r="C1415" s="63"/>
      <c r="D1415" s="60"/>
      <c r="E1415" s="9">
        <v>810</v>
      </c>
      <c r="F1415" s="25">
        <v>42915</v>
      </c>
      <c r="G1415" s="61" t="s">
        <v>13</v>
      </c>
      <c r="H1415" s="9"/>
      <c r="I1415" s="8"/>
      <c r="J1415" s="8"/>
      <c r="K1415" s="8"/>
      <c r="L1415" s="9" t="s">
        <v>138</v>
      </c>
      <c r="M1415" s="8"/>
    </row>
    <row r="1416" spans="1:13">
      <c r="A1416" s="62" t="s">
        <v>2084</v>
      </c>
      <c r="B1416" s="58">
        <v>36988828842</v>
      </c>
      <c r="C1416" s="63"/>
      <c r="D1416" s="60"/>
      <c r="E1416" s="9">
        <v>1570</v>
      </c>
      <c r="F1416" s="25">
        <v>43077</v>
      </c>
      <c r="G1416" s="61" t="s">
        <v>13</v>
      </c>
      <c r="H1416" s="9"/>
      <c r="I1416" s="8"/>
      <c r="J1416" s="8"/>
      <c r="K1416" s="8"/>
      <c r="L1416" s="8"/>
      <c r="M1416" s="8"/>
    </row>
    <row r="1417" spans="1:13">
      <c r="A1417" s="15" t="s">
        <v>2085</v>
      </c>
      <c r="B1417" s="58">
        <v>32045988880</v>
      </c>
      <c r="C1417" s="63" t="s">
        <v>2086</v>
      </c>
      <c r="D1417" s="60">
        <v>28522432880</v>
      </c>
      <c r="E1417" s="9">
        <v>85</v>
      </c>
      <c r="F1417" s="25">
        <v>43109</v>
      </c>
      <c r="G1417" s="61" t="s">
        <v>13</v>
      </c>
      <c r="H1417" s="25">
        <v>43151</v>
      </c>
      <c r="I1417" s="8"/>
      <c r="J1417" s="8"/>
      <c r="K1417" s="8"/>
      <c r="L1417" s="8"/>
      <c r="M1417" s="8"/>
    </row>
    <row r="1418" spans="1:13">
      <c r="A1418" s="27" t="s">
        <v>2087</v>
      </c>
      <c r="B1418" s="58">
        <v>14692639806</v>
      </c>
      <c r="C1418" s="18" t="s">
        <v>129</v>
      </c>
      <c r="D1418" s="60"/>
      <c r="E1418" s="9"/>
      <c r="F1418" s="25"/>
      <c r="G1418" s="61"/>
      <c r="H1418" s="9"/>
      <c r="I1418" s="8"/>
      <c r="J1418" s="8"/>
      <c r="K1418" s="8"/>
      <c r="L1418" s="8"/>
      <c r="M1418" s="8"/>
    </row>
    <row r="1419" spans="1:13">
      <c r="A1419" s="62" t="s">
        <v>2088</v>
      </c>
      <c r="B1419" s="58">
        <v>10657804860</v>
      </c>
      <c r="C1419" s="63"/>
      <c r="D1419" s="60"/>
      <c r="E1419" s="9">
        <v>573</v>
      </c>
      <c r="F1419" s="25">
        <v>43224</v>
      </c>
      <c r="G1419" s="61"/>
      <c r="H1419" s="9"/>
      <c r="I1419" s="8"/>
      <c r="J1419" s="8"/>
      <c r="K1419" s="8"/>
      <c r="L1419" s="8"/>
      <c r="M1419" s="8"/>
    </row>
    <row r="1420" spans="1:13">
      <c r="A1420" s="27" t="s">
        <v>2089</v>
      </c>
      <c r="B1420" s="58">
        <v>25745713801</v>
      </c>
      <c r="C1420" s="27" t="s">
        <v>2090</v>
      </c>
      <c r="D1420" s="60">
        <v>1983704822</v>
      </c>
      <c r="E1420" s="9"/>
      <c r="F1420" s="25"/>
      <c r="G1420" s="61"/>
      <c r="H1420" s="9"/>
      <c r="I1420" s="8"/>
      <c r="J1420" s="8"/>
      <c r="K1420" s="8"/>
      <c r="L1420" s="8"/>
      <c r="M1420" s="8"/>
    </row>
    <row r="1421" spans="1:13">
      <c r="A1421" s="62" t="s">
        <v>2091</v>
      </c>
      <c r="B1421" s="58">
        <v>10373973802</v>
      </c>
      <c r="C1421" s="63" t="s">
        <v>2092</v>
      </c>
      <c r="D1421" s="60">
        <v>3613530813</v>
      </c>
      <c r="E1421" s="9">
        <v>1752</v>
      </c>
      <c r="F1421" s="25">
        <v>43051</v>
      </c>
      <c r="G1421" s="61" t="s">
        <v>13</v>
      </c>
      <c r="H1421" s="9"/>
      <c r="I1421" s="8"/>
      <c r="J1421" s="8"/>
      <c r="K1421" s="8"/>
      <c r="L1421" s="9">
        <v>1759</v>
      </c>
      <c r="M1421" s="8"/>
    </row>
    <row r="1422" spans="1:13">
      <c r="A1422" s="27" t="s">
        <v>2093</v>
      </c>
      <c r="B1422" s="58">
        <v>25397304859</v>
      </c>
      <c r="C1422" s="27" t="s">
        <v>2094</v>
      </c>
      <c r="D1422" s="60">
        <v>13241305805</v>
      </c>
      <c r="E1422" s="9"/>
      <c r="F1422" s="25"/>
      <c r="G1422" s="61"/>
      <c r="H1422" s="9"/>
      <c r="I1422" s="8"/>
      <c r="J1422" s="8"/>
      <c r="K1422" s="8"/>
      <c r="L1422" s="8"/>
      <c r="M1422" s="8"/>
    </row>
    <row r="1423" spans="1:13">
      <c r="A1423" s="13" t="s">
        <v>2095</v>
      </c>
      <c r="B1423" s="58">
        <v>21703365836</v>
      </c>
      <c r="C1423" s="59"/>
      <c r="D1423" s="60"/>
      <c r="E1423" s="9"/>
      <c r="F1423" s="25"/>
      <c r="G1423" s="61"/>
      <c r="H1423" s="9"/>
      <c r="I1423" s="8"/>
      <c r="J1423" s="8"/>
      <c r="K1423" s="8"/>
      <c r="L1423" s="8"/>
      <c r="M1423" s="8"/>
    </row>
    <row r="1424" spans="1:13">
      <c r="A1424" s="62" t="s">
        <v>2096</v>
      </c>
      <c r="B1424" s="58">
        <v>26926775877</v>
      </c>
      <c r="C1424" s="63"/>
      <c r="D1424" s="60"/>
      <c r="E1424" s="9">
        <v>1752</v>
      </c>
      <c r="F1424" s="25">
        <v>43051</v>
      </c>
      <c r="G1424" s="61" t="s">
        <v>13</v>
      </c>
      <c r="H1424" s="9"/>
      <c r="I1424" s="8"/>
      <c r="J1424" s="8"/>
      <c r="K1424" s="8"/>
      <c r="L1424" s="9">
        <v>1759</v>
      </c>
      <c r="M1424" s="8"/>
    </row>
    <row r="1425" spans="1:13">
      <c r="A1425" s="62" t="s">
        <v>2097</v>
      </c>
      <c r="B1425" s="58">
        <v>28186250840</v>
      </c>
      <c r="C1425" s="63"/>
      <c r="D1425" s="60"/>
      <c r="E1425" s="9"/>
      <c r="F1425" s="25"/>
      <c r="G1425" s="61"/>
      <c r="H1425" s="9"/>
      <c r="I1425" s="8"/>
      <c r="J1425" s="8"/>
      <c r="K1425" s="8"/>
      <c r="L1425" s="8"/>
      <c r="M1425" s="8"/>
    </row>
    <row r="1426" spans="1:13">
      <c r="A1426" s="62" t="s">
        <v>2098</v>
      </c>
      <c r="B1426" s="58">
        <v>27135970802</v>
      </c>
      <c r="C1426" s="63"/>
      <c r="D1426" s="60"/>
      <c r="E1426" s="9">
        <v>443</v>
      </c>
      <c r="F1426" s="25">
        <v>43188</v>
      </c>
      <c r="G1426" s="61"/>
      <c r="H1426" s="9"/>
      <c r="I1426" s="8"/>
      <c r="J1426" s="8"/>
      <c r="K1426" s="8"/>
      <c r="L1426" s="8"/>
      <c r="M1426" s="8"/>
    </row>
    <row r="1427" spans="1:13">
      <c r="A1427" s="13" t="s">
        <v>2099</v>
      </c>
      <c r="B1427" s="58">
        <v>18287400805</v>
      </c>
      <c r="C1427" s="59"/>
      <c r="D1427" s="60"/>
      <c r="E1427" s="9">
        <v>1570</v>
      </c>
      <c r="F1427" s="25">
        <v>43077</v>
      </c>
      <c r="G1427" s="61" t="s">
        <v>13</v>
      </c>
      <c r="H1427" s="9"/>
      <c r="I1427" s="8"/>
      <c r="J1427" s="8"/>
      <c r="K1427" s="8"/>
      <c r="L1427" s="8"/>
      <c r="M1427" s="8"/>
    </row>
    <row r="1428" spans="1:13">
      <c r="A1428" s="63" t="s">
        <v>2100</v>
      </c>
      <c r="B1428" s="58">
        <v>76435962472</v>
      </c>
      <c r="C1428" s="63"/>
      <c r="D1428" s="60"/>
      <c r="E1428" s="9">
        <v>292</v>
      </c>
      <c r="F1428" s="25">
        <v>43168</v>
      </c>
      <c r="G1428" s="9" t="s">
        <v>13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2101</v>
      </c>
      <c r="B1429" s="58">
        <v>31115215833</v>
      </c>
      <c r="C1429" s="63" t="s">
        <v>2102</v>
      </c>
      <c r="D1429" s="60">
        <v>54134781515</v>
      </c>
      <c r="E1429" s="9">
        <v>608</v>
      </c>
      <c r="F1429" s="25">
        <v>43012</v>
      </c>
      <c r="G1429" s="61" t="s">
        <v>13</v>
      </c>
      <c r="H1429" s="9"/>
      <c r="I1429" s="8"/>
      <c r="J1429" s="8"/>
      <c r="K1429" s="8"/>
      <c r="L1429" s="8"/>
      <c r="M1429" s="8"/>
    </row>
    <row r="1430" spans="1:13">
      <c r="A1430" s="15" t="s">
        <v>2103</v>
      </c>
      <c r="B1430" s="58">
        <v>33223746889</v>
      </c>
      <c r="C1430" s="63"/>
      <c r="D1430" s="60"/>
      <c r="E1430" s="9">
        <v>262</v>
      </c>
      <c r="F1430" s="25">
        <v>43160</v>
      </c>
      <c r="G1430" s="61" t="s">
        <v>13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62" t="s">
        <v>2104</v>
      </c>
      <c r="B1431" s="58">
        <v>27207642806</v>
      </c>
      <c r="C1431" s="63"/>
      <c r="D1431" s="60"/>
      <c r="E1431" s="9">
        <v>1752</v>
      </c>
      <c r="F1431" s="25">
        <v>43051</v>
      </c>
      <c r="G1431" s="61" t="s">
        <v>13</v>
      </c>
      <c r="H1431" s="9"/>
      <c r="I1431" s="8"/>
      <c r="J1431" s="8"/>
      <c r="K1431" s="8"/>
      <c r="L1431" s="9">
        <v>1759</v>
      </c>
      <c r="M1431" s="8"/>
    </row>
    <row r="1432" spans="1:13">
      <c r="A1432" s="62" t="s">
        <v>2105</v>
      </c>
      <c r="B1432" s="58">
        <v>8587525816</v>
      </c>
      <c r="C1432" s="63"/>
      <c r="D1432" s="60"/>
      <c r="E1432" s="9">
        <v>608</v>
      </c>
      <c r="F1432" s="25">
        <v>43012</v>
      </c>
      <c r="G1432" s="61" t="s">
        <v>13</v>
      </c>
      <c r="H1432" s="9"/>
      <c r="I1432" s="8"/>
      <c r="J1432" s="8"/>
      <c r="K1432" s="8"/>
      <c r="L1432" s="8"/>
      <c r="M1432" s="8"/>
    </row>
    <row r="1433" spans="1:13">
      <c r="A1433" s="62" t="s">
        <v>2106</v>
      </c>
      <c r="B1433" s="58">
        <v>64682544500</v>
      </c>
      <c r="C1433" s="63"/>
      <c r="D1433" s="60"/>
      <c r="E1433" s="9">
        <v>1350</v>
      </c>
      <c r="F1433" s="25">
        <v>43006</v>
      </c>
      <c r="G1433" s="61" t="s">
        <v>13</v>
      </c>
      <c r="H1433" s="9"/>
      <c r="I1433" s="8"/>
      <c r="J1433" s="8"/>
      <c r="K1433" s="8"/>
      <c r="L1433" s="8"/>
      <c r="M1433" s="8"/>
    </row>
    <row r="1434" spans="1:13">
      <c r="A1434" s="62" t="s">
        <v>2107</v>
      </c>
      <c r="B1434" s="58">
        <v>35198444863</v>
      </c>
      <c r="C1434" s="63" t="s">
        <v>2108</v>
      </c>
      <c r="D1434" s="60">
        <v>30956969810</v>
      </c>
      <c r="E1434" s="9">
        <v>1489</v>
      </c>
      <c r="F1434" s="25">
        <v>43038</v>
      </c>
      <c r="G1434" s="61" t="s">
        <v>13</v>
      </c>
      <c r="H1434" s="9"/>
      <c r="I1434" s="8"/>
      <c r="J1434" s="8"/>
      <c r="K1434" s="8"/>
      <c r="L1434" s="9" t="s">
        <v>160</v>
      </c>
      <c r="M1434" s="8"/>
    </row>
    <row r="1435" spans="1:13">
      <c r="A1435" s="63" t="s">
        <v>2109</v>
      </c>
      <c r="B1435" s="58">
        <v>24766625854</v>
      </c>
      <c r="C1435" s="63"/>
      <c r="D1435" s="60"/>
      <c r="E1435" s="9">
        <v>573</v>
      </c>
      <c r="F1435" s="25">
        <v>43224</v>
      </c>
      <c r="G1435" s="61"/>
      <c r="H1435" s="9"/>
      <c r="I1435" s="8"/>
      <c r="J1435" s="8"/>
      <c r="K1435" s="8"/>
      <c r="L1435" s="8"/>
      <c r="M1435" s="8"/>
    </row>
    <row r="1436" spans="1:13">
      <c r="A1436" s="62" t="s">
        <v>2110</v>
      </c>
      <c r="B1436" s="58">
        <v>3877896421</v>
      </c>
      <c r="C1436" s="63"/>
      <c r="D1436" s="60"/>
      <c r="E1436" s="9">
        <v>292</v>
      </c>
      <c r="F1436" s="25">
        <v>43168</v>
      </c>
      <c r="G1436" s="61" t="s">
        <v>13</v>
      </c>
      <c r="H1436" s="9"/>
      <c r="I1436" s="8"/>
      <c r="J1436" s="8"/>
      <c r="K1436" s="8"/>
      <c r="L1436" s="9">
        <v>318</v>
      </c>
      <c r="M1436" s="8"/>
    </row>
    <row r="1437" spans="1:13">
      <c r="A1437" s="62" t="s">
        <v>2111</v>
      </c>
      <c r="B1437" s="58">
        <v>11290057800</v>
      </c>
      <c r="C1437" s="63"/>
      <c r="D1437" s="60"/>
      <c r="E1437" s="9">
        <v>1824</v>
      </c>
      <c r="F1437" s="25">
        <v>43091</v>
      </c>
      <c r="G1437" s="61" t="s">
        <v>13</v>
      </c>
      <c r="H1437" s="9"/>
      <c r="I1437" s="8"/>
      <c r="J1437" s="8"/>
      <c r="K1437" s="8"/>
      <c r="L1437" s="9">
        <v>1828</v>
      </c>
      <c r="M1437" s="8"/>
    </row>
    <row r="1438" spans="1:13">
      <c r="A1438" s="62" t="s">
        <v>2112</v>
      </c>
      <c r="B1438" s="58">
        <v>22472713835</v>
      </c>
      <c r="C1438" s="63"/>
      <c r="D1438" s="60"/>
      <c r="E1438" s="9">
        <v>85</v>
      </c>
      <c r="F1438" s="25">
        <v>43109</v>
      </c>
      <c r="G1438" s="61" t="s">
        <v>13</v>
      </c>
      <c r="H1438" s="25">
        <v>43151</v>
      </c>
      <c r="I1438" s="8"/>
      <c r="J1438" s="8"/>
      <c r="K1438" s="8"/>
      <c r="L1438" s="8"/>
      <c r="M1438" s="8"/>
    </row>
    <row r="1439" spans="1:13">
      <c r="A1439" s="62" t="s">
        <v>2113</v>
      </c>
      <c r="B1439" s="58">
        <v>1930099517</v>
      </c>
      <c r="C1439" s="59" t="s">
        <v>2114</v>
      </c>
      <c r="D1439" s="60">
        <v>91788226534</v>
      </c>
      <c r="E1439" s="9">
        <v>1752</v>
      </c>
      <c r="F1439" s="25">
        <v>43051</v>
      </c>
      <c r="G1439" s="61" t="s">
        <v>13</v>
      </c>
      <c r="H1439" s="9"/>
      <c r="I1439" s="8"/>
      <c r="J1439" s="8"/>
      <c r="K1439" s="8"/>
      <c r="L1439" s="9">
        <v>1759</v>
      </c>
      <c r="M1439" s="8"/>
    </row>
    <row r="1440" spans="1:13">
      <c r="A1440" s="62" t="s">
        <v>2115</v>
      </c>
      <c r="B1440" s="58">
        <v>1941225497</v>
      </c>
      <c r="C1440" s="63"/>
      <c r="D1440" s="60"/>
      <c r="E1440" s="9"/>
      <c r="F1440" s="25"/>
      <c r="G1440" s="61"/>
      <c r="H1440" s="9"/>
      <c r="I1440" s="8"/>
      <c r="J1440" s="8"/>
      <c r="K1440" s="8"/>
      <c r="L1440" s="8"/>
      <c r="M1440" s="8"/>
    </row>
    <row r="1441" spans="1:13">
      <c r="A1441" s="62" t="s">
        <v>2116</v>
      </c>
      <c r="B1441" s="58">
        <v>31068143819</v>
      </c>
      <c r="C1441" s="63" t="s">
        <v>2117</v>
      </c>
      <c r="D1441" s="60">
        <v>27121002809</v>
      </c>
      <c r="E1441" s="9">
        <v>608</v>
      </c>
      <c r="F1441" s="25">
        <v>43012</v>
      </c>
      <c r="G1441" s="61" t="s">
        <v>20</v>
      </c>
      <c r="H1441" s="9"/>
      <c r="I1441" s="8"/>
      <c r="J1441" s="8"/>
      <c r="K1441" s="8"/>
      <c r="L1441" s="8"/>
      <c r="M1441" s="8"/>
    </row>
    <row r="1442" spans="1:13">
      <c r="A1442" s="62" t="s">
        <v>2118</v>
      </c>
      <c r="B1442" s="58">
        <v>30845554867</v>
      </c>
      <c r="C1442" s="63"/>
      <c r="D1442" s="60"/>
      <c r="E1442" s="9">
        <v>1439</v>
      </c>
      <c r="F1442" s="25">
        <v>43025</v>
      </c>
      <c r="G1442" s="61" t="s">
        <v>13</v>
      </c>
      <c r="H1442" s="9"/>
      <c r="I1442" s="8"/>
      <c r="J1442" s="8"/>
      <c r="K1442" s="8"/>
      <c r="L1442" s="9" t="s">
        <v>502</v>
      </c>
      <c r="M1442" s="8"/>
    </row>
    <row r="1443" spans="1:13">
      <c r="A1443" s="15" t="s">
        <v>2119</v>
      </c>
      <c r="B1443" s="58">
        <v>33100600800</v>
      </c>
      <c r="C1443" s="63" t="s">
        <v>2120</v>
      </c>
      <c r="D1443" s="60">
        <v>1505310520</v>
      </c>
      <c r="E1443" s="9">
        <v>485</v>
      </c>
      <c r="F1443" s="25">
        <v>43196</v>
      </c>
      <c r="G1443" s="61"/>
      <c r="H1443" s="9"/>
      <c r="I1443" s="8"/>
      <c r="J1443" s="8"/>
      <c r="K1443" s="8"/>
      <c r="L1443" s="9">
        <v>483</v>
      </c>
      <c r="M1443" s="8"/>
    </row>
    <row r="1444" spans="1:13">
      <c r="A1444" s="62" t="s">
        <v>2121</v>
      </c>
      <c r="B1444" s="58">
        <v>23284980865</v>
      </c>
      <c r="C1444" s="63" t="s">
        <v>2122</v>
      </c>
      <c r="D1444" s="60">
        <v>8170993792</v>
      </c>
      <c r="E1444" s="9">
        <v>1214</v>
      </c>
      <c r="F1444" s="25">
        <v>42989</v>
      </c>
      <c r="G1444" s="61" t="s">
        <v>13</v>
      </c>
      <c r="H1444" s="9"/>
      <c r="I1444" s="8"/>
      <c r="J1444" s="8"/>
      <c r="K1444" s="8"/>
      <c r="L1444" s="8"/>
      <c r="M1444" s="8"/>
    </row>
    <row r="1445" spans="1:13">
      <c r="A1445" s="64" t="s">
        <v>2123</v>
      </c>
      <c r="B1445" s="58">
        <v>27235231874</v>
      </c>
      <c r="C1445" s="63" t="s">
        <v>2124</v>
      </c>
      <c r="D1445" s="60">
        <v>36182133520</v>
      </c>
      <c r="E1445" s="9">
        <v>1106</v>
      </c>
      <c r="F1445" s="25">
        <v>42965</v>
      </c>
      <c r="G1445" s="61" t="s">
        <v>13</v>
      </c>
      <c r="H1445" s="9"/>
      <c r="I1445" s="8"/>
      <c r="J1445" s="8"/>
      <c r="K1445" s="8"/>
      <c r="L1445" s="8"/>
      <c r="M1445" s="8"/>
    </row>
    <row r="1446" spans="1:13">
      <c r="A1446" s="62" t="s">
        <v>2125</v>
      </c>
      <c r="B1446" s="58">
        <v>91539358534</v>
      </c>
      <c r="C1446" s="63"/>
      <c r="D1446" s="60"/>
      <c r="E1446" s="9"/>
      <c r="F1446" s="25"/>
      <c r="G1446" s="61"/>
      <c r="H1446" s="9"/>
      <c r="I1446" s="8"/>
      <c r="J1446" s="8"/>
      <c r="K1446" s="8"/>
      <c r="L1446" s="8"/>
      <c r="M1446" s="8"/>
    </row>
    <row r="1447" spans="1:13">
      <c r="A1447" s="62" t="s">
        <v>2126</v>
      </c>
      <c r="B1447" s="58">
        <v>38328397803</v>
      </c>
      <c r="C1447" s="63"/>
      <c r="D1447" s="60"/>
      <c r="E1447" s="9">
        <v>262</v>
      </c>
      <c r="F1447" s="25">
        <v>43160</v>
      </c>
      <c r="G1447" s="61" t="s">
        <v>13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62" t="s">
        <v>2127</v>
      </c>
      <c r="B1448" s="58">
        <v>34862428819</v>
      </c>
      <c r="C1448" s="68"/>
      <c r="D1448" s="60"/>
      <c r="E1448" s="9"/>
      <c r="F1448" s="25"/>
      <c r="G1448" s="61"/>
      <c r="H1448" s="9"/>
      <c r="I1448" s="8"/>
      <c r="J1448" s="8"/>
      <c r="K1448" s="8"/>
      <c r="L1448" s="8"/>
      <c r="M1448" s="8"/>
    </row>
    <row r="1449" spans="1:13">
      <c r="A1449" s="64" t="s">
        <v>2128</v>
      </c>
      <c r="B1449" s="58">
        <v>22012002897</v>
      </c>
      <c r="C1449" s="63"/>
      <c r="D1449" s="60"/>
      <c r="E1449" s="9"/>
      <c r="F1449" s="25"/>
      <c r="G1449" s="61"/>
      <c r="H1449" s="9"/>
      <c r="I1449" s="8"/>
      <c r="J1449" s="8"/>
      <c r="K1449" s="8"/>
      <c r="L1449" s="8"/>
      <c r="M1449" s="8"/>
    </row>
    <row r="1450" spans="1:13">
      <c r="A1450" s="64" t="s">
        <v>2129</v>
      </c>
      <c r="B1450" s="58">
        <v>68904304415</v>
      </c>
      <c r="C1450" s="63"/>
      <c r="D1450" s="60"/>
      <c r="E1450" s="9"/>
      <c r="F1450" s="25"/>
      <c r="G1450" s="61"/>
      <c r="H1450" s="9"/>
      <c r="I1450" s="8"/>
      <c r="J1450" s="8"/>
      <c r="K1450" s="8"/>
      <c r="L1450" s="8"/>
      <c r="M1450" s="8"/>
    </row>
    <row r="1451" spans="1:13">
      <c r="A1451" s="62" t="s">
        <v>2130</v>
      </c>
      <c r="B1451" s="58">
        <v>774242809</v>
      </c>
      <c r="C1451" s="63" t="s">
        <v>2131</v>
      </c>
      <c r="D1451" s="60">
        <v>16619607829</v>
      </c>
      <c r="E1451" s="9">
        <v>1824</v>
      </c>
      <c r="F1451" s="25">
        <v>43091</v>
      </c>
      <c r="G1451" s="61" t="s">
        <v>13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2132</v>
      </c>
      <c r="B1452" s="58">
        <v>32317196822</v>
      </c>
      <c r="C1452" s="59"/>
      <c r="D1452" s="60"/>
      <c r="E1452" s="9">
        <v>1267</v>
      </c>
      <c r="F1452" s="25">
        <v>42998</v>
      </c>
      <c r="G1452" s="61" t="s">
        <v>13</v>
      </c>
      <c r="H1452" s="9"/>
      <c r="I1452" s="8"/>
      <c r="J1452" s="8"/>
      <c r="K1452" s="8"/>
      <c r="L1452" s="8"/>
      <c r="M1452" s="8"/>
    </row>
    <row r="1453" spans="1:13">
      <c r="A1453" s="62" t="s">
        <v>2133</v>
      </c>
      <c r="B1453" s="58">
        <v>34817829850</v>
      </c>
      <c r="C1453" s="63" t="s">
        <v>2134</v>
      </c>
      <c r="D1453" s="60">
        <v>8025534863</v>
      </c>
      <c r="E1453" s="9">
        <v>1241</v>
      </c>
      <c r="F1453" s="25">
        <v>42992</v>
      </c>
      <c r="G1453" s="61" t="s">
        <v>28</v>
      </c>
      <c r="H1453" s="9"/>
      <c r="I1453" s="8"/>
      <c r="J1453" s="8"/>
      <c r="K1453" s="8"/>
      <c r="L1453" s="8"/>
      <c r="M1453" s="8"/>
    </row>
    <row r="1454" spans="1:13">
      <c r="A1454" s="62" t="s">
        <v>2135</v>
      </c>
      <c r="B1454" s="58">
        <v>42992112860</v>
      </c>
      <c r="C1454" s="63"/>
      <c r="D1454" s="60"/>
      <c r="E1454" s="9"/>
      <c r="F1454" s="25"/>
      <c r="G1454" s="61"/>
      <c r="H1454" s="9"/>
      <c r="I1454" s="8"/>
      <c r="J1454" s="8"/>
      <c r="K1454" s="8"/>
      <c r="L1454" s="8"/>
      <c r="M1454" s="8"/>
    </row>
    <row r="1455" spans="1:13">
      <c r="A1455" s="14" t="s">
        <v>2136</v>
      </c>
      <c r="B1455" s="58">
        <v>11162298898</v>
      </c>
      <c r="C1455" s="63"/>
      <c r="D1455" s="60"/>
      <c r="E1455" s="9">
        <v>262</v>
      </c>
      <c r="F1455" s="25">
        <v>43160</v>
      </c>
      <c r="G1455" s="61" t="s">
        <v>13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62" t="s">
        <v>2137</v>
      </c>
      <c r="B1456" s="58">
        <v>38154090805</v>
      </c>
      <c r="C1456" s="63"/>
      <c r="D1456" s="60"/>
      <c r="E1456" s="9">
        <v>1106</v>
      </c>
      <c r="F1456" s="25">
        <v>42965</v>
      </c>
      <c r="G1456" s="61" t="s">
        <v>13</v>
      </c>
      <c r="H1456" s="9"/>
      <c r="I1456" s="8"/>
      <c r="J1456" s="8"/>
      <c r="K1456" s="8"/>
      <c r="L1456" s="8"/>
      <c r="M1456" s="8"/>
    </row>
    <row r="1457" spans="1:13">
      <c r="A1457" s="62" t="s">
        <v>2138</v>
      </c>
      <c r="B1457" s="58">
        <v>30142727873</v>
      </c>
      <c r="C1457" s="68"/>
      <c r="D1457" s="60"/>
      <c r="E1457" s="9">
        <v>563</v>
      </c>
      <c r="F1457" s="25">
        <v>43217</v>
      </c>
      <c r="G1457" s="61"/>
      <c r="H1457" s="9"/>
      <c r="I1457" s="8"/>
      <c r="J1457" s="8"/>
      <c r="K1457" s="8"/>
      <c r="L1457" s="9" t="s">
        <v>299</v>
      </c>
      <c r="M1457" s="8"/>
    </row>
    <row r="1458" spans="1:13">
      <c r="A1458" s="14" t="s">
        <v>2139</v>
      </c>
      <c r="B1458" s="58">
        <v>36648473851</v>
      </c>
      <c r="C1458" s="63"/>
      <c r="D1458" s="60"/>
      <c r="E1458" s="9">
        <v>262</v>
      </c>
      <c r="F1458" s="25">
        <v>43160</v>
      </c>
      <c r="G1458" s="61" t="s">
        <v>13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2140</v>
      </c>
      <c r="B1459" s="58">
        <v>32547457873</v>
      </c>
      <c r="C1459" s="63" t="s">
        <v>2141</v>
      </c>
      <c r="D1459" s="60">
        <v>23172645851</v>
      </c>
      <c r="E1459" s="9"/>
      <c r="F1459" s="25"/>
      <c r="G1459" s="61"/>
      <c r="H1459" s="9"/>
      <c r="I1459" s="8"/>
      <c r="J1459" s="8"/>
      <c r="K1459" s="8"/>
      <c r="L1459" s="8"/>
      <c r="M1459" s="8"/>
    </row>
    <row r="1460" spans="1:13">
      <c r="A1460" s="62" t="s">
        <v>2142</v>
      </c>
      <c r="B1460" s="58">
        <v>16784597800</v>
      </c>
      <c r="C1460" s="63" t="s">
        <v>2143</v>
      </c>
      <c r="D1460" s="60">
        <v>31123603898</v>
      </c>
      <c r="E1460" s="9"/>
      <c r="F1460" s="25"/>
      <c r="G1460" s="61"/>
      <c r="H1460" s="9"/>
      <c r="I1460" s="8"/>
      <c r="J1460" s="8"/>
      <c r="K1460" s="8"/>
      <c r="L1460" s="8"/>
      <c r="M1460" s="8"/>
    </row>
    <row r="1461" spans="1:13">
      <c r="A1461" s="15" t="s">
        <v>1190</v>
      </c>
      <c r="B1461" s="58">
        <v>5418522566</v>
      </c>
      <c r="C1461" s="63"/>
      <c r="D1461" s="60"/>
      <c r="E1461" s="9"/>
      <c r="F1461" s="25"/>
      <c r="G1461" s="61"/>
      <c r="H1461" s="9"/>
      <c r="I1461" s="8"/>
      <c r="J1461" s="8"/>
      <c r="K1461" s="8"/>
      <c r="L1461" s="8"/>
      <c r="M1461" s="8"/>
    </row>
    <row r="1462" spans="1:13">
      <c r="A1462" s="62" t="s">
        <v>2144</v>
      </c>
      <c r="B1462" s="58">
        <v>40709582404</v>
      </c>
      <c r="C1462" s="63"/>
      <c r="D1462" s="60"/>
      <c r="E1462" s="9">
        <v>1106</v>
      </c>
      <c r="F1462" s="25">
        <v>42965</v>
      </c>
      <c r="G1462" s="61" t="s">
        <v>13</v>
      </c>
      <c r="H1462" s="9"/>
      <c r="I1462" s="8"/>
      <c r="J1462" s="8"/>
      <c r="K1462" s="8"/>
      <c r="L1462" s="8"/>
      <c r="M1462" s="8"/>
    </row>
    <row r="1463" spans="1:13">
      <c r="A1463" s="62" t="s">
        <v>2145</v>
      </c>
      <c r="B1463" s="58">
        <v>36639689871</v>
      </c>
      <c r="C1463" s="63"/>
      <c r="D1463" s="60"/>
      <c r="E1463" s="9"/>
      <c r="F1463" s="25"/>
      <c r="G1463" s="61"/>
      <c r="H1463" s="9"/>
      <c r="I1463" s="8"/>
      <c r="J1463" s="8"/>
      <c r="K1463" s="8"/>
      <c r="L1463" s="8"/>
      <c r="M1463" s="8"/>
    </row>
    <row r="1464" spans="1:13">
      <c r="A1464" s="63" t="s">
        <v>2146</v>
      </c>
      <c r="B1464" s="58">
        <v>2467378403</v>
      </c>
      <c r="C1464" s="63" t="s">
        <v>2147</v>
      </c>
      <c r="D1464" s="60">
        <v>70485232472</v>
      </c>
      <c r="E1464" s="9"/>
      <c r="F1464" s="25"/>
      <c r="G1464" s="61"/>
      <c r="H1464" s="9"/>
      <c r="I1464" s="8"/>
      <c r="J1464" s="8"/>
      <c r="K1464" s="8"/>
      <c r="L1464" s="8"/>
      <c r="M1464" s="8"/>
    </row>
    <row r="1465" spans="1:13">
      <c r="A1465" s="62" t="s">
        <v>2148</v>
      </c>
      <c r="B1465" s="58">
        <v>26932806487</v>
      </c>
      <c r="C1465" s="63"/>
      <c r="D1465" s="60"/>
      <c r="E1465" s="9"/>
      <c r="F1465" s="25"/>
      <c r="G1465" s="61"/>
      <c r="H1465" s="9"/>
      <c r="I1465" s="8"/>
      <c r="J1465" s="8"/>
      <c r="K1465" s="8"/>
      <c r="L1465" s="8"/>
      <c r="M1465" s="8"/>
    </row>
    <row r="1466" spans="1:13">
      <c r="A1466" s="62" t="s">
        <v>2149</v>
      </c>
      <c r="B1466" s="58">
        <v>34247512862</v>
      </c>
      <c r="C1466" s="68" t="s">
        <v>2150</v>
      </c>
      <c r="D1466" s="60">
        <v>23228557820</v>
      </c>
      <c r="E1466" s="9">
        <v>563</v>
      </c>
      <c r="F1466" s="25">
        <v>43217</v>
      </c>
      <c r="G1466" s="61"/>
      <c r="H1466" s="9"/>
      <c r="I1466" s="8"/>
      <c r="J1466" s="8"/>
      <c r="K1466" s="8"/>
      <c r="L1466" s="9" t="s">
        <v>299</v>
      </c>
      <c r="M1466" s="8"/>
    </row>
    <row r="1467" spans="1:13">
      <c r="A1467" s="62" t="s">
        <v>2151</v>
      </c>
      <c r="B1467" s="58" t="s">
        <v>2152</v>
      </c>
      <c r="C1467" s="64"/>
      <c r="D1467" s="60"/>
      <c r="E1467" s="9">
        <v>573</v>
      </c>
      <c r="F1467" s="25">
        <v>43224</v>
      </c>
      <c r="G1467" s="61"/>
      <c r="H1467" s="9"/>
      <c r="I1467" s="8"/>
      <c r="J1467" s="8"/>
      <c r="K1467" s="8"/>
      <c r="L1467" s="8"/>
      <c r="M1467" s="8"/>
    </row>
    <row r="1468" spans="1:13">
      <c r="A1468" s="15" t="s">
        <v>2153</v>
      </c>
      <c r="B1468" s="58">
        <v>47168211889</v>
      </c>
      <c r="C1468" s="63" t="s">
        <v>2154</v>
      </c>
      <c r="D1468" s="60">
        <v>46765554823</v>
      </c>
      <c r="E1468" s="9"/>
      <c r="F1468" s="25"/>
      <c r="G1468" s="61"/>
      <c r="H1468" s="9"/>
      <c r="I1468" s="8"/>
      <c r="J1468" s="8"/>
      <c r="K1468" s="8"/>
      <c r="L1468" s="8"/>
      <c r="M1468" s="8"/>
    </row>
    <row r="1469" spans="1:13">
      <c r="A1469" s="13" t="s">
        <v>2155</v>
      </c>
      <c r="B1469" s="58">
        <v>16700203805</v>
      </c>
      <c r="C1469" s="59"/>
      <c r="D1469" s="60"/>
      <c r="E1469" s="9">
        <v>1128</v>
      </c>
      <c r="F1469" s="25">
        <v>42972</v>
      </c>
      <c r="G1469" s="61" t="s">
        <v>13</v>
      </c>
      <c r="H1469" s="9"/>
      <c r="I1469" s="8"/>
      <c r="J1469" s="8"/>
      <c r="K1469" s="8"/>
      <c r="L1469" s="8"/>
      <c r="M1469" s="8"/>
    </row>
    <row r="1470" spans="1:13">
      <c r="A1470" s="62" t="s">
        <v>2156</v>
      </c>
      <c r="B1470" s="58">
        <v>1532239521</v>
      </c>
      <c r="C1470" s="63" t="s">
        <v>2157</v>
      </c>
      <c r="D1470" s="60">
        <v>37104060804</v>
      </c>
      <c r="E1470" s="9">
        <v>810</v>
      </c>
      <c r="F1470" s="25">
        <v>42915</v>
      </c>
      <c r="G1470" s="61" t="s">
        <v>13</v>
      </c>
      <c r="H1470" s="9"/>
      <c r="I1470" s="8"/>
      <c r="J1470" s="8"/>
      <c r="K1470" s="8"/>
      <c r="L1470" s="9" t="s">
        <v>138</v>
      </c>
      <c r="M1470" s="8"/>
    </row>
    <row r="1471" spans="1:13">
      <c r="A1471" s="15" t="s">
        <v>2158</v>
      </c>
      <c r="B1471" s="58">
        <v>52648281568</v>
      </c>
      <c r="C1471" s="63"/>
      <c r="D1471" s="60"/>
      <c r="E1471" s="9">
        <v>229</v>
      </c>
      <c r="F1471" s="25">
        <v>43151</v>
      </c>
      <c r="G1471" s="61" t="s">
        <v>13</v>
      </c>
      <c r="H1471" s="9"/>
      <c r="I1471" s="8"/>
      <c r="J1471" s="8"/>
      <c r="K1471" s="8"/>
      <c r="L1471" s="9">
        <v>232</v>
      </c>
      <c r="M1471" s="8"/>
    </row>
    <row r="1472" spans="1:13">
      <c r="A1472" s="62" t="s">
        <v>2159</v>
      </c>
      <c r="B1472" s="58">
        <v>37734630812</v>
      </c>
      <c r="C1472" s="63"/>
      <c r="D1472" s="60"/>
      <c r="E1472" s="9">
        <v>810</v>
      </c>
      <c r="F1472" s="25">
        <v>42915</v>
      </c>
      <c r="G1472" s="61" t="s">
        <v>13</v>
      </c>
      <c r="H1472" s="9"/>
      <c r="I1472" s="8"/>
      <c r="J1472" s="8"/>
      <c r="K1472" s="8"/>
      <c r="L1472" s="9" t="s">
        <v>138</v>
      </c>
      <c r="M1472" s="8"/>
    </row>
    <row r="1473" spans="1:13">
      <c r="A1473" s="62" t="s">
        <v>2160</v>
      </c>
      <c r="B1473" s="58">
        <v>37117512881</v>
      </c>
      <c r="C1473" s="66" t="s">
        <v>2161</v>
      </c>
      <c r="D1473" s="60">
        <v>39740259871</v>
      </c>
      <c r="E1473" s="9">
        <v>1106</v>
      </c>
      <c r="F1473" s="25">
        <v>42965</v>
      </c>
      <c r="G1473" s="61" t="s">
        <v>13</v>
      </c>
      <c r="H1473" s="9"/>
      <c r="I1473" s="8"/>
      <c r="J1473" s="8"/>
      <c r="K1473" s="8"/>
      <c r="L1473" s="8"/>
      <c r="M1473" s="8"/>
    </row>
    <row r="1474" spans="1:13">
      <c r="A1474" s="13" t="s">
        <v>2162</v>
      </c>
      <c r="B1474" s="58">
        <v>39967942827</v>
      </c>
      <c r="C1474" s="63" t="s">
        <v>2163</v>
      </c>
      <c r="D1474" s="60">
        <v>32777947848</v>
      </c>
      <c r="E1474" s="9">
        <v>1267</v>
      </c>
      <c r="F1474" s="25">
        <v>42998</v>
      </c>
      <c r="G1474" s="61" t="s">
        <v>13</v>
      </c>
      <c r="H1474" s="9"/>
      <c r="I1474" s="8"/>
      <c r="J1474" s="8"/>
      <c r="K1474" s="8"/>
      <c r="L1474" s="8"/>
      <c r="M1474" s="8"/>
    </row>
    <row r="1475" spans="1:13">
      <c r="A1475" s="62" t="s">
        <v>2164</v>
      </c>
      <c r="B1475" s="58">
        <v>18464307802</v>
      </c>
      <c r="C1475" s="63" t="s">
        <v>2165</v>
      </c>
      <c r="D1475" s="60">
        <v>13642437842</v>
      </c>
      <c r="E1475" s="9">
        <v>608</v>
      </c>
      <c r="F1475" s="25">
        <v>43012</v>
      </c>
      <c r="G1475" s="61" t="s">
        <v>20</v>
      </c>
      <c r="H1475" s="9"/>
      <c r="I1475" s="8"/>
      <c r="J1475" s="8"/>
      <c r="K1475" s="8"/>
      <c r="L1475" s="8"/>
      <c r="M1475" s="8"/>
    </row>
    <row r="1476" spans="1:13">
      <c r="A1476" s="62" t="s">
        <v>2166</v>
      </c>
      <c r="B1476" s="58">
        <v>29790847866</v>
      </c>
      <c r="C1476" s="59"/>
      <c r="D1476" s="60"/>
      <c r="E1476" s="9">
        <v>1570</v>
      </c>
      <c r="F1476" s="25">
        <v>43077</v>
      </c>
      <c r="G1476" s="61" t="s">
        <v>13</v>
      </c>
      <c r="H1476" s="9"/>
      <c r="I1476" s="8"/>
      <c r="J1476" s="8"/>
      <c r="K1476" s="8"/>
      <c r="L1476" s="8"/>
      <c r="M1476" s="8"/>
    </row>
    <row r="1477" spans="1:13">
      <c r="A1477" s="62" t="s">
        <v>2167</v>
      </c>
      <c r="B1477" s="58">
        <v>38572422803</v>
      </c>
      <c r="C1477" s="63"/>
      <c r="D1477" s="60"/>
      <c r="E1477" s="9">
        <v>1350</v>
      </c>
      <c r="F1477" s="25">
        <v>43006</v>
      </c>
      <c r="G1477" s="61" t="s">
        <v>13</v>
      </c>
      <c r="H1477" s="9"/>
      <c r="I1477" s="8"/>
      <c r="J1477" s="8"/>
      <c r="K1477" s="8"/>
      <c r="L1477" s="8"/>
      <c r="M1477" s="8"/>
    </row>
    <row r="1478" spans="1:13">
      <c r="A1478" s="62" t="s">
        <v>2168</v>
      </c>
      <c r="B1478" s="58">
        <v>91413168515</v>
      </c>
      <c r="C1478" s="63" t="s">
        <v>2169</v>
      </c>
      <c r="D1478" s="60">
        <v>12713438861</v>
      </c>
      <c r="E1478" s="9">
        <v>810</v>
      </c>
      <c r="F1478" s="25">
        <v>42915</v>
      </c>
      <c r="G1478" s="61" t="s">
        <v>13</v>
      </c>
      <c r="H1478" s="9"/>
      <c r="I1478" s="8"/>
      <c r="J1478" s="8"/>
      <c r="K1478" s="8"/>
      <c r="L1478" s="9" t="s">
        <v>138</v>
      </c>
      <c r="M1478" s="8"/>
    </row>
    <row r="1479" spans="1:13">
      <c r="A1479" s="63" t="s">
        <v>2170</v>
      </c>
      <c r="B1479" s="58">
        <v>13554461806</v>
      </c>
      <c r="C1479" s="63" t="s">
        <v>2171</v>
      </c>
      <c r="D1479" s="60">
        <v>10720281822</v>
      </c>
      <c r="E1479" s="9"/>
      <c r="F1479" s="25"/>
      <c r="G1479" s="61"/>
      <c r="H1479" s="9"/>
      <c r="I1479" s="8"/>
      <c r="J1479" s="8"/>
      <c r="K1479" s="8"/>
      <c r="L1479" s="8"/>
      <c r="M1479" s="8"/>
    </row>
    <row r="1480" spans="1:13">
      <c r="A1480" s="62" t="s">
        <v>2172</v>
      </c>
      <c r="B1480" s="58">
        <v>6941864818</v>
      </c>
      <c r="C1480" s="63"/>
      <c r="D1480" s="60"/>
      <c r="E1480" s="9">
        <v>229</v>
      </c>
      <c r="F1480" s="25">
        <v>43151</v>
      </c>
      <c r="G1480" s="61" t="s">
        <v>13</v>
      </c>
      <c r="H1480" s="9"/>
      <c r="I1480" s="8"/>
      <c r="J1480" s="8"/>
      <c r="K1480" s="8"/>
      <c r="L1480" s="9">
        <v>232</v>
      </c>
      <c r="M1480" s="8"/>
    </row>
    <row r="1481" spans="1:13">
      <c r="A1481" s="62" t="s">
        <v>2173</v>
      </c>
      <c r="B1481" s="58">
        <v>23473313882</v>
      </c>
      <c r="C1481" s="63" t="s">
        <v>2174</v>
      </c>
      <c r="D1481" s="60">
        <v>51042797404</v>
      </c>
      <c r="E1481" s="9">
        <v>485</v>
      </c>
      <c r="F1481" s="25">
        <v>43196</v>
      </c>
      <c r="G1481" s="61" t="s">
        <v>20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2175</v>
      </c>
      <c r="B1482" s="58">
        <v>7753877895</v>
      </c>
      <c r="C1482" s="59" t="s">
        <v>2176</v>
      </c>
      <c r="D1482" s="60">
        <v>66725372872</v>
      </c>
      <c r="E1482" s="9">
        <v>1214</v>
      </c>
      <c r="F1482" s="25">
        <v>42989</v>
      </c>
      <c r="G1482" s="61" t="s">
        <v>13</v>
      </c>
      <c r="H1482" s="9"/>
      <c r="I1482" s="8"/>
      <c r="J1482" s="8"/>
      <c r="K1482" s="8"/>
      <c r="L1482" s="8"/>
      <c r="M1482" s="8"/>
    </row>
    <row r="1483" spans="1:13">
      <c r="A1483" s="62" t="s">
        <v>2177</v>
      </c>
      <c r="B1483" s="58">
        <v>33977518534</v>
      </c>
      <c r="C1483" s="63"/>
      <c r="D1483" s="60"/>
      <c r="E1483" s="9"/>
      <c r="F1483" s="25"/>
      <c r="G1483" s="61"/>
      <c r="H1483" s="9"/>
      <c r="I1483" s="8"/>
      <c r="J1483" s="8"/>
      <c r="K1483" s="8"/>
      <c r="L1483" s="8"/>
      <c r="M1483" s="8"/>
    </row>
    <row r="1484" spans="1:13">
      <c r="A1484" s="62" t="s">
        <v>2178</v>
      </c>
      <c r="B1484" s="58">
        <v>17802538858</v>
      </c>
      <c r="C1484" s="63"/>
      <c r="D1484" s="60"/>
      <c r="E1484" s="9">
        <v>810</v>
      </c>
      <c r="F1484" s="25">
        <v>42915</v>
      </c>
      <c r="G1484" s="61" t="s">
        <v>13</v>
      </c>
      <c r="H1484" s="9"/>
      <c r="I1484" s="8"/>
      <c r="J1484" s="8"/>
      <c r="K1484" s="8"/>
      <c r="L1484" s="9" t="s">
        <v>138</v>
      </c>
      <c r="M1484" s="8"/>
    </row>
    <row r="1485" spans="1:13">
      <c r="A1485" s="62" t="s">
        <v>2179</v>
      </c>
      <c r="B1485" s="58">
        <v>5037830800</v>
      </c>
      <c r="C1485" s="63"/>
      <c r="D1485" s="60"/>
      <c r="E1485" s="9">
        <v>810</v>
      </c>
      <c r="F1485" s="25">
        <v>42915</v>
      </c>
      <c r="G1485" s="61" t="s">
        <v>13</v>
      </c>
      <c r="H1485" s="9"/>
      <c r="I1485" s="8"/>
      <c r="J1485" s="8"/>
      <c r="K1485" s="8"/>
      <c r="L1485" s="9" t="s">
        <v>138</v>
      </c>
      <c r="M1485" s="8"/>
    </row>
    <row r="1486" spans="1:13">
      <c r="A1486" s="13" t="s">
        <v>2180</v>
      </c>
      <c r="B1486" s="58">
        <v>40779583850</v>
      </c>
      <c r="C1486" s="59" t="s">
        <v>2181</v>
      </c>
      <c r="D1486" s="60">
        <v>36411481890</v>
      </c>
      <c r="E1486" s="9">
        <v>1343</v>
      </c>
      <c r="F1486" s="25">
        <v>43004</v>
      </c>
      <c r="G1486" s="61" t="s">
        <v>13</v>
      </c>
      <c r="H1486" s="9"/>
      <c r="I1486" s="8"/>
      <c r="J1486" s="8"/>
      <c r="K1486" s="8"/>
      <c r="L1486" s="8"/>
      <c r="M1486" s="8"/>
    </row>
    <row r="1487" spans="1:13">
      <c r="A1487" s="27" t="s">
        <v>2182</v>
      </c>
      <c r="B1487" s="58"/>
      <c r="C1487" s="27" t="s">
        <v>129</v>
      </c>
      <c r="D1487" s="60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62" t="s">
        <v>2183</v>
      </c>
      <c r="B1488" s="58">
        <v>35486024878</v>
      </c>
      <c r="C1488" s="63"/>
      <c r="D1488" s="60"/>
      <c r="E1488" s="9"/>
      <c r="F1488" s="25"/>
      <c r="G1488" s="61"/>
      <c r="H1488" s="9"/>
      <c r="I1488" s="8"/>
      <c r="J1488" s="8"/>
      <c r="K1488" s="8"/>
      <c r="L1488" s="8"/>
      <c r="M1488" s="8"/>
    </row>
    <row r="1489" spans="1:13">
      <c r="A1489" s="62" t="s">
        <v>2184</v>
      </c>
      <c r="B1489" s="58">
        <v>37900094822</v>
      </c>
      <c r="C1489" s="63"/>
      <c r="D1489" s="60"/>
      <c r="E1489" s="9">
        <v>810</v>
      </c>
      <c r="F1489" s="25">
        <v>42915</v>
      </c>
      <c r="G1489" s="61" t="s">
        <v>13</v>
      </c>
      <c r="H1489" s="9"/>
      <c r="I1489" s="8"/>
      <c r="J1489" s="8"/>
      <c r="K1489" s="8"/>
      <c r="L1489" s="9" t="s">
        <v>138</v>
      </c>
      <c r="M1489" s="8"/>
    </row>
    <row r="1490" spans="1:13">
      <c r="A1490" s="15" t="s">
        <v>2185</v>
      </c>
      <c r="B1490" s="58">
        <v>45854900866</v>
      </c>
      <c r="C1490" s="63" t="s">
        <v>2186</v>
      </c>
      <c r="D1490" s="60">
        <v>23474048813</v>
      </c>
      <c r="E1490" s="9">
        <v>229</v>
      </c>
      <c r="F1490" s="25">
        <v>43151</v>
      </c>
      <c r="G1490" s="61" t="s">
        <v>13</v>
      </c>
      <c r="H1490" s="9"/>
      <c r="I1490" s="8"/>
      <c r="J1490" s="8"/>
      <c r="K1490" s="8"/>
      <c r="L1490" s="9">
        <v>232</v>
      </c>
      <c r="M1490" s="8"/>
    </row>
    <row r="1491" spans="1:13">
      <c r="A1491" s="62" t="s">
        <v>2187</v>
      </c>
      <c r="B1491" s="58">
        <v>40870285858</v>
      </c>
      <c r="C1491" s="63" t="s">
        <v>2188</v>
      </c>
      <c r="D1491" s="60">
        <v>39638342854</v>
      </c>
      <c r="E1491" s="9">
        <v>229</v>
      </c>
      <c r="F1491" s="25">
        <v>43151</v>
      </c>
      <c r="G1491" s="61" t="s">
        <v>28</v>
      </c>
      <c r="H1491" s="9"/>
      <c r="I1491" s="8"/>
      <c r="J1491" s="8"/>
      <c r="K1491" s="8"/>
      <c r="L1491" s="9">
        <v>232</v>
      </c>
      <c r="M1491" s="8"/>
    </row>
    <row r="1492" spans="1:13">
      <c r="A1492" s="63" t="s">
        <v>2189</v>
      </c>
      <c r="B1492" s="58">
        <v>43053164809</v>
      </c>
      <c r="C1492" s="62" t="s">
        <v>2190</v>
      </c>
      <c r="D1492" s="60">
        <v>35649973857</v>
      </c>
      <c r="E1492" s="9">
        <v>292</v>
      </c>
      <c r="F1492" s="25">
        <v>43168</v>
      </c>
      <c r="G1492" s="61" t="s">
        <v>20</v>
      </c>
      <c r="H1492" s="9"/>
      <c r="I1492" s="8"/>
      <c r="J1492" s="8"/>
      <c r="K1492" s="8"/>
      <c r="L1492" s="9">
        <v>318</v>
      </c>
      <c r="M1492" s="8"/>
    </row>
    <row r="1493" spans="1:13">
      <c r="A1493" s="62" t="s">
        <v>2191</v>
      </c>
      <c r="B1493" s="58">
        <v>36082912888</v>
      </c>
      <c r="C1493" s="63"/>
      <c r="D1493" s="60"/>
      <c r="E1493" s="9"/>
      <c r="F1493" s="25"/>
      <c r="G1493" s="61"/>
      <c r="H1493" s="9"/>
      <c r="I1493" s="8"/>
      <c r="J1493" s="8"/>
      <c r="K1493" s="8"/>
      <c r="L1493" s="8"/>
      <c r="M1493" s="8"/>
    </row>
    <row r="1494" spans="1:13">
      <c r="A1494" s="15" t="s">
        <v>2192</v>
      </c>
      <c r="B1494" s="58">
        <v>34727823829</v>
      </c>
      <c r="C1494" s="63" t="s">
        <v>2193</v>
      </c>
      <c r="D1494" s="60">
        <v>33790197807</v>
      </c>
      <c r="E1494" s="9">
        <v>262</v>
      </c>
      <c r="F1494" s="25">
        <v>43160</v>
      </c>
      <c r="G1494" s="61" t="s">
        <v>20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62" t="s">
        <v>2194</v>
      </c>
      <c r="B1495" s="58">
        <v>8034712620</v>
      </c>
      <c r="C1495" s="63"/>
      <c r="D1495" s="60"/>
      <c r="E1495" s="9"/>
      <c r="F1495" s="25"/>
      <c r="G1495" s="61"/>
      <c r="H1495" s="9"/>
      <c r="I1495" s="8"/>
      <c r="J1495" s="8"/>
      <c r="K1495" s="8"/>
      <c r="L1495" s="8"/>
      <c r="M1495" s="8"/>
    </row>
    <row r="1496" spans="1:13">
      <c r="A1496" s="62" t="s">
        <v>2195</v>
      </c>
      <c r="B1496" s="58">
        <v>121667820</v>
      </c>
      <c r="C1496" s="63"/>
      <c r="D1496" s="60"/>
      <c r="E1496" s="9">
        <v>292</v>
      </c>
      <c r="F1496" s="25">
        <v>43168</v>
      </c>
      <c r="G1496" s="9" t="s">
        <v>13</v>
      </c>
      <c r="H1496" s="9"/>
      <c r="I1496" s="8"/>
      <c r="J1496" s="8"/>
      <c r="K1496" s="8"/>
      <c r="L1496" s="9">
        <v>318</v>
      </c>
      <c r="M1496" s="8"/>
    </row>
    <row r="1497" spans="1:13">
      <c r="A1497" s="63" t="s">
        <v>2196</v>
      </c>
      <c r="B1497" s="58">
        <v>35021423860</v>
      </c>
      <c r="C1497" s="63"/>
      <c r="D1497" s="60"/>
      <c r="E1497" s="9"/>
      <c r="F1497" s="25"/>
      <c r="G1497" s="61"/>
      <c r="H1497" s="9"/>
      <c r="I1497" s="8"/>
      <c r="J1497" s="8"/>
      <c r="K1497" s="8"/>
      <c r="L1497" s="8"/>
      <c r="M1497" s="8"/>
    </row>
    <row r="1498" spans="1:13">
      <c r="A1498" s="15" t="s">
        <v>2197</v>
      </c>
      <c r="B1498" s="58">
        <v>22056512858</v>
      </c>
      <c r="C1498" s="63"/>
      <c r="D1498" s="60"/>
      <c r="E1498" s="9">
        <v>85</v>
      </c>
      <c r="F1498" s="25">
        <v>43109</v>
      </c>
      <c r="G1498" s="61" t="s">
        <v>13</v>
      </c>
      <c r="H1498" s="25">
        <v>43151</v>
      </c>
      <c r="I1498" s="8"/>
      <c r="J1498" s="8"/>
      <c r="K1498" s="8"/>
      <c r="L1498" s="8"/>
      <c r="M1498" s="8"/>
    </row>
    <row r="1499" spans="1:13">
      <c r="A1499" s="62" t="s">
        <v>2198</v>
      </c>
      <c r="B1499" s="58">
        <v>13576812830</v>
      </c>
      <c r="C1499" s="63" t="s">
        <v>2199</v>
      </c>
      <c r="D1499" s="60">
        <v>1075554845</v>
      </c>
      <c r="E1499" s="9">
        <v>1489</v>
      </c>
      <c r="F1499" s="25">
        <v>43038</v>
      </c>
      <c r="G1499" s="61" t="s">
        <v>13</v>
      </c>
      <c r="H1499" s="9"/>
      <c r="I1499" s="8"/>
      <c r="J1499" s="8"/>
      <c r="K1499" s="8"/>
      <c r="L1499" s="9" t="s">
        <v>160</v>
      </c>
      <c r="M1499" s="8"/>
    </row>
    <row r="1500" spans="1:13">
      <c r="A1500" s="62" t="s">
        <v>2200</v>
      </c>
      <c r="B1500" s="58">
        <v>10324539827</v>
      </c>
      <c r="C1500" s="63"/>
      <c r="D1500" s="60"/>
      <c r="E1500" s="9"/>
      <c r="F1500" s="25"/>
      <c r="G1500" s="61"/>
      <c r="H1500" s="9"/>
      <c r="I1500" s="8"/>
      <c r="J1500" s="8"/>
      <c r="K1500" s="8"/>
      <c r="L1500" s="8"/>
      <c r="M1500" s="8"/>
    </row>
    <row r="1501" spans="1:13">
      <c r="A1501" s="62" t="s">
        <v>2201</v>
      </c>
      <c r="B1501" s="58">
        <v>10705685896</v>
      </c>
      <c r="C1501" s="63"/>
      <c r="D1501" s="60"/>
      <c r="E1501" s="9"/>
      <c r="F1501" s="25"/>
      <c r="G1501" s="61"/>
      <c r="H1501" s="9"/>
      <c r="I1501" s="8"/>
      <c r="J1501" s="8"/>
      <c r="K1501" s="8"/>
      <c r="L1501" s="8"/>
      <c r="M1501" s="8"/>
    </row>
    <row r="1502" spans="1:13">
      <c r="A1502" s="62" t="s">
        <v>2202</v>
      </c>
      <c r="B1502" s="58">
        <v>37693517898</v>
      </c>
      <c r="C1502" s="63"/>
      <c r="D1502" s="60"/>
      <c r="E1502" s="9">
        <v>810</v>
      </c>
      <c r="F1502" s="25">
        <v>42915</v>
      </c>
      <c r="G1502" s="61" t="s">
        <v>13</v>
      </c>
      <c r="H1502" s="9"/>
      <c r="I1502" s="8"/>
      <c r="J1502" s="8"/>
      <c r="K1502" s="8"/>
      <c r="L1502" s="9" t="s">
        <v>138</v>
      </c>
      <c r="M1502" s="8"/>
    </row>
    <row r="1503" spans="1:13">
      <c r="A1503" s="62" t="s">
        <v>2203</v>
      </c>
      <c r="B1503" s="58">
        <v>42490041800</v>
      </c>
      <c r="C1503" s="62" t="s">
        <v>2204</v>
      </c>
      <c r="D1503" s="60">
        <v>33324957800</v>
      </c>
      <c r="E1503" s="9"/>
      <c r="F1503" s="25"/>
      <c r="G1503" s="61"/>
      <c r="H1503" s="9"/>
      <c r="I1503" s="8"/>
      <c r="J1503" s="8"/>
      <c r="K1503" s="8"/>
      <c r="L1503" s="8"/>
      <c r="M1503" s="8"/>
    </row>
    <row r="1504" spans="1:13">
      <c r="A1504" s="62" t="s">
        <v>2205</v>
      </c>
      <c r="B1504" s="58">
        <v>37150144829</v>
      </c>
      <c r="C1504" s="63" t="s">
        <v>2206</v>
      </c>
      <c r="D1504" s="60">
        <v>33420633866</v>
      </c>
      <c r="E1504" s="9">
        <v>1417</v>
      </c>
      <c r="F1504" s="25">
        <v>43017</v>
      </c>
      <c r="G1504" s="61" t="s">
        <v>28</v>
      </c>
      <c r="H1504" s="9"/>
      <c r="I1504" s="8"/>
      <c r="J1504" s="8"/>
      <c r="K1504" s="8"/>
      <c r="L1504" s="9" t="s">
        <v>253</v>
      </c>
      <c r="M1504" s="8"/>
    </row>
    <row r="1505" spans="1:13">
      <c r="A1505" s="62" t="s">
        <v>2207</v>
      </c>
      <c r="B1505" s="58">
        <v>14336666857</v>
      </c>
      <c r="C1505" s="63"/>
      <c r="D1505" s="60"/>
      <c r="E1505" s="9">
        <v>443</v>
      </c>
      <c r="F1505" s="25">
        <v>43188</v>
      </c>
      <c r="G1505" s="61"/>
      <c r="H1505" s="9"/>
      <c r="I1505" s="8"/>
      <c r="J1505" s="8"/>
      <c r="K1505" s="8"/>
      <c r="L1505" s="8"/>
      <c r="M1505" s="8"/>
    </row>
    <row r="1506" spans="1:13">
      <c r="A1506" s="62" t="s">
        <v>2208</v>
      </c>
      <c r="B1506" s="58">
        <v>95482300544</v>
      </c>
      <c r="C1506" s="63" t="s">
        <v>2209</v>
      </c>
      <c r="D1506" s="60">
        <v>86925130406</v>
      </c>
      <c r="E1506" s="9"/>
      <c r="F1506" s="25"/>
      <c r="G1506" s="61"/>
      <c r="H1506" s="9"/>
      <c r="I1506" s="8"/>
      <c r="J1506" s="8"/>
      <c r="K1506" s="8"/>
      <c r="L1506" s="8"/>
      <c r="M1506" s="8"/>
    </row>
    <row r="1507" spans="1:13">
      <c r="A1507" s="15" t="s">
        <v>2210</v>
      </c>
      <c r="B1507" s="58">
        <v>3915987590</v>
      </c>
      <c r="C1507" s="63" t="s">
        <v>2211</v>
      </c>
      <c r="D1507" s="60">
        <v>1733607501</v>
      </c>
      <c r="E1507" s="9">
        <v>85</v>
      </c>
      <c r="F1507" s="25">
        <v>43109</v>
      </c>
      <c r="G1507" s="61" t="s">
        <v>13</v>
      </c>
      <c r="H1507" s="25">
        <v>43151</v>
      </c>
      <c r="I1507" s="8"/>
      <c r="J1507" s="8"/>
      <c r="K1507" s="8"/>
      <c r="L1507" s="8"/>
      <c r="M1507" s="8"/>
    </row>
    <row r="1508" spans="1:13">
      <c r="A1508" s="62" t="s">
        <v>2212</v>
      </c>
      <c r="B1508" s="58">
        <v>19266092800</v>
      </c>
      <c r="C1508" s="63"/>
      <c r="D1508" s="60"/>
      <c r="E1508" s="9">
        <v>1439</v>
      </c>
      <c r="F1508" s="25">
        <v>43025</v>
      </c>
      <c r="G1508" s="61" t="s">
        <v>13</v>
      </c>
      <c r="H1508" s="9"/>
      <c r="I1508" s="8"/>
      <c r="J1508" s="8"/>
      <c r="K1508" s="8"/>
      <c r="L1508" s="9" t="s">
        <v>502</v>
      </c>
      <c r="M1508" s="8"/>
    </row>
    <row r="1509" spans="1:13">
      <c r="A1509" s="62" t="s">
        <v>2213</v>
      </c>
      <c r="B1509" s="58">
        <v>30489665870</v>
      </c>
      <c r="C1509" s="63"/>
      <c r="D1509" s="60"/>
      <c r="E1509" s="9">
        <v>117</v>
      </c>
      <c r="F1509" s="25">
        <v>43117</v>
      </c>
      <c r="G1509" s="61" t="s">
        <v>13</v>
      </c>
      <c r="H1509" s="9"/>
      <c r="I1509" s="8"/>
      <c r="J1509" s="8"/>
      <c r="K1509" s="8"/>
      <c r="L1509" s="9" t="s">
        <v>170</v>
      </c>
      <c r="M1509" s="8"/>
    </row>
    <row r="1510" spans="1:13">
      <c r="A1510" s="27" t="s">
        <v>2214</v>
      </c>
      <c r="B1510" s="58"/>
      <c r="C1510" s="18" t="s">
        <v>129</v>
      </c>
      <c r="D1510" s="60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72" t="s">
        <v>2215</v>
      </c>
      <c r="B1511" s="71">
        <v>39490354864</v>
      </c>
      <c r="C1511" s="72" t="s">
        <v>2216</v>
      </c>
      <c r="D1511" s="73">
        <v>22686520841</v>
      </c>
      <c r="E1511" s="45">
        <v>423</v>
      </c>
      <c r="F1511" s="46">
        <v>43182</v>
      </c>
      <c r="G1511" s="74"/>
      <c r="H1511" s="45"/>
      <c r="I1511" s="47"/>
      <c r="J1511" s="47"/>
      <c r="K1511" s="47"/>
      <c r="L1511" s="47"/>
      <c r="M1511" s="47"/>
    </row>
    <row r="1512" spans="1:13">
      <c r="A1512" s="62" t="s">
        <v>2217</v>
      </c>
      <c r="B1512" s="58">
        <v>36190827829</v>
      </c>
      <c r="C1512" s="63" t="s">
        <v>2218</v>
      </c>
      <c r="D1512" s="60">
        <v>6501914809</v>
      </c>
      <c r="E1512" s="9">
        <v>1489</v>
      </c>
      <c r="F1512" s="25">
        <v>43038</v>
      </c>
      <c r="G1512" s="61" t="s">
        <v>13</v>
      </c>
      <c r="H1512" s="9"/>
      <c r="I1512" s="8"/>
      <c r="J1512" s="8"/>
      <c r="K1512" s="8"/>
      <c r="L1512" s="9" t="s">
        <v>160</v>
      </c>
      <c r="M1512" s="8"/>
    </row>
    <row r="1513" spans="1:13">
      <c r="A1513" s="62" t="s">
        <v>2219</v>
      </c>
      <c r="B1513" s="58">
        <v>41044253894</v>
      </c>
      <c r="C1513" s="63"/>
      <c r="D1513" s="60"/>
      <c r="E1513" s="9">
        <v>292</v>
      </c>
      <c r="F1513" s="25">
        <v>43168</v>
      </c>
      <c r="G1513" s="61" t="s">
        <v>13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2220</v>
      </c>
      <c r="B1514" s="58">
        <v>37978221890</v>
      </c>
      <c r="C1514" s="15" t="s">
        <v>2221</v>
      </c>
      <c r="D1514" s="60">
        <v>31525485830</v>
      </c>
      <c r="E1514" s="9"/>
      <c r="F1514" s="25"/>
      <c r="G1514" s="61"/>
      <c r="H1514" s="9"/>
      <c r="I1514" s="8"/>
      <c r="J1514" s="8"/>
      <c r="K1514" s="8"/>
      <c r="L1514" s="8"/>
      <c r="M1514" s="8"/>
    </row>
    <row r="1515" spans="1:13">
      <c r="A1515" s="62" t="s">
        <v>2222</v>
      </c>
      <c r="B1515" s="58">
        <v>41352323885</v>
      </c>
      <c r="C1515" s="68"/>
      <c r="D1515" s="60"/>
      <c r="E1515" s="9">
        <v>563</v>
      </c>
      <c r="F1515" s="25">
        <v>43217</v>
      </c>
      <c r="G1515" s="61"/>
      <c r="H1515" s="9"/>
      <c r="I1515" s="8"/>
      <c r="J1515" s="8"/>
      <c r="K1515" s="8"/>
      <c r="L1515" s="9" t="s">
        <v>299</v>
      </c>
      <c r="M1515" s="8"/>
    </row>
    <row r="1516" spans="1:13">
      <c r="A1516" s="62" t="s">
        <v>2223</v>
      </c>
      <c r="B1516" s="58">
        <v>23341671854</v>
      </c>
      <c r="C1516" s="63" t="s">
        <v>2224</v>
      </c>
      <c r="D1516" s="60">
        <v>34413431820</v>
      </c>
      <c r="E1516" s="9">
        <v>810</v>
      </c>
      <c r="F1516" s="25">
        <v>42915</v>
      </c>
      <c r="G1516" s="74" t="s">
        <v>13</v>
      </c>
      <c r="H1516" s="9"/>
      <c r="I1516" s="8"/>
      <c r="J1516" s="8"/>
      <c r="K1516" s="8"/>
      <c r="L1516" s="9" t="s">
        <v>138</v>
      </c>
      <c r="M1516" s="8"/>
    </row>
    <row r="1517" spans="1:13">
      <c r="A1517" s="62" t="s">
        <v>2225</v>
      </c>
      <c r="B1517" s="58">
        <v>35934079816</v>
      </c>
      <c r="C1517" s="63" t="s">
        <v>2226</v>
      </c>
      <c r="D1517" s="60">
        <v>2511538512</v>
      </c>
      <c r="E1517" s="9">
        <v>262</v>
      </c>
      <c r="F1517" s="25">
        <v>43160</v>
      </c>
      <c r="G1517" s="61" t="s">
        <v>13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62" t="s">
        <v>2227</v>
      </c>
      <c r="B1518" s="58">
        <v>38500063874</v>
      </c>
      <c r="C1518" s="63"/>
      <c r="D1518" s="60"/>
      <c r="E1518" s="9">
        <v>117</v>
      </c>
      <c r="F1518" s="25">
        <v>43117</v>
      </c>
      <c r="G1518" s="61" t="s">
        <v>13</v>
      </c>
      <c r="H1518" s="9"/>
      <c r="I1518" s="8"/>
      <c r="J1518" s="8"/>
      <c r="K1518" s="8"/>
      <c r="L1518" s="9" t="s">
        <v>170</v>
      </c>
      <c r="M1518" s="8"/>
    </row>
    <row r="1519" spans="1:13">
      <c r="A1519" s="62" t="s">
        <v>2228</v>
      </c>
      <c r="B1519" s="58">
        <v>36888640850</v>
      </c>
      <c r="C1519" s="63"/>
      <c r="D1519" s="60"/>
      <c r="E1519" s="9">
        <v>262</v>
      </c>
      <c r="F1519" s="25">
        <v>43160</v>
      </c>
      <c r="G1519" s="61" t="s">
        <v>13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64" t="s">
        <v>2229</v>
      </c>
      <c r="B1520" s="58">
        <v>37395316819</v>
      </c>
      <c r="C1520" s="63" t="s">
        <v>2230</v>
      </c>
      <c r="D1520" s="60">
        <v>33924311846</v>
      </c>
      <c r="E1520" s="9"/>
      <c r="F1520" s="25"/>
      <c r="G1520" s="61"/>
      <c r="H1520" s="9"/>
      <c r="I1520" s="8"/>
      <c r="J1520" s="8"/>
      <c r="K1520" s="8"/>
      <c r="L1520" s="8"/>
      <c r="M1520" s="8"/>
    </row>
    <row r="1521" spans="1:13">
      <c r="A1521" s="72" t="s">
        <v>2231</v>
      </c>
      <c r="B1521" s="71">
        <v>47168651854</v>
      </c>
      <c r="C1521" s="48" t="s">
        <v>2232</v>
      </c>
      <c r="D1521" s="73">
        <v>43506708821</v>
      </c>
      <c r="E1521" s="45">
        <v>292</v>
      </c>
      <c r="F1521" s="46">
        <v>43168</v>
      </c>
      <c r="G1521" s="74"/>
      <c r="H1521" s="45"/>
      <c r="I1521" s="47"/>
      <c r="J1521" s="47"/>
      <c r="K1521" s="47"/>
      <c r="L1521" s="9">
        <v>318</v>
      </c>
      <c r="M1521" s="47"/>
    </row>
    <row r="1522" spans="1:13">
      <c r="A1522" s="62" t="s">
        <v>2233</v>
      </c>
      <c r="B1522" s="58">
        <v>44475449898</v>
      </c>
      <c r="C1522" s="63"/>
      <c r="D1522" s="60"/>
      <c r="E1522" s="9"/>
      <c r="F1522" s="25"/>
      <c r="G1522" s="61"/>
      <c r="H1522" s="9"/>
      <c r="I1522" s="8"/>
      <c r="J1522" s="8"/>
      <c r="K1522" s="8"/>
      <c r="L1522" s="8"/>
      <c r="M1522" s="8"/>
    </row>
    <row r="1523" spans="1:13">
      <c r="A1523" s="62" t="s">
        <v>2234</v>
      </c>
      <c r="B1523" s="58">
        <v>23041828871</v>
      </c>
      <c r="C1523" s="63"/>
      <c r="D1523" s="60"/>
      <c r="E1523" s="9">
        <v>292</v>
      </c>
      <c r="F1523" s="25">
        <v>43168</v>
      </c>
      <c r="G1523" s="61" t="s">
        <v>13</v>
      </c>
      <c r="H1523" s="9"/>
      <c r="I1523" s="8"/>
      <c r="J1523" s="8"/>
      <c r="K1523" s="8"/>
      <c r="L1523" s="9">
        <v>318</v>
      </c>
      <c r="M1523" s="8"/>
    </row>
    <row r="1524" spans="1:13">
      <c r="A1524" s="62" t="s">
        <v>2235</v>
      </c>
      <c r="B1524" s="58">
        <v>5351568470</v>
      </c>
      <c r="C1524" s="63"/>
      <c r="D1524" s="60"/>
      <c r="E1524" s="9">
        <v>1824</v>
      </c>
      <c r="F1524" s="25">
        <v>43091</v>
      </c>
      <c r="G1524" s="61" t="s">
        <v>13</v>
      </c>
      <c r="H1524" s="9"/>
      <c r="I1524" s="8"/>
      <c r="J1524" s="8"/>
      <c r="K1524" s="8"/>
      <c r="L1524" s="9">
        <v>1828</v>
      </c>
      <c r="M1524" s="8"/>
    </row>
    <row r="1525" spans="1:13">
      <c r="A1525" s="62" t="s">
        <v>2236</v>
      </c>
      <c r="B1525" s="58">
        <v>38904061814</v>
      </c>
      <c r="C1525" s="63"/>
      <c r="D1525" s="60"/>
      <c r="E1525" s="9"/>
      <c r="F1525" s="25"/>
      <c r="G1525" s="61"/>
      <c r="H1525" s="9"/>
      <c r="I1525" s="8"/>
      <c r="J1525" s="8"/>
      <c r="K1525" s="8"/>
      <c r="L1525" s="8"/>
      <c r="M1525" s="8"/>
    </row>
    <row r="1526" spans="1:13">
      <c r="A1526" s="64" t="s">
        <v>2237</v>
      </c>
      <c r="B1526" s="58">
        <v>36776791848</v>
      </c>
      <c r="C1526" s="63" t="s">
        <v>2238</v>
      </c>
      <c r="D1526" s="60">
        <v>23340578869</v>
      </c>
      <c r="E1526" s="9">
        <v>608</v>
      </c>
      <c r="F1526" s="25">
        <v>43012</v>
      </c>
      <c r="G1526" s="61" t="s">
        <v>13</v>
      </c>
      <c r="H1526" s="9"/>
      <c r="I1526" s="8"/>
      <c r="J1526" s="8"/>
      <c r="K1526" s="8"/>
      <c r="L1526" s="8"/>
      <c r="M1526" s="8"/>
    </row>
    <row r="1527" spans="1:13">
      <c r="A1527" s="62" t="s">
        <v>2239</v>
      </c>
      <c r="B1527" s="58">
        <v>34897196892</v>
      </c>
      <c r="C1527" s="63"/>
      <c r="D1527" s="60"/>
      <c r="E1527" s="9">
        <v>292</v>
      </c>
      <c r="F1527" s="25">
        <v>43168</v>
      </c>
      <c r="G1527" s="61"/>
      <c r="H1527" s="9"/>
      <c r="I1527" s="8"/>
      <c r="J1527" s="8"/>
      <c r="K1527" s="8"/>
      <c r="L1527" s="9">
        <v>318</v>
      </c>
      <c r="M1527" s="8"/>
    </row>
    <row r="1528" spans="1:13">
      <c r="A1528" s="62" t="s">
        <v>2240</v>
      </c>
      <c r="B1528" s="58">
        <v>32561817830</v>
      </c>
      <c r="C1528" s="63" t="s">
        <v>2241</v>
      </c>
      <c r="D1528" s="60">
        <v>30328335827</v>
      </c>
      <c r="E1528" s="9">
        <v>1824</v>
      </c>
      <c r="F1528" s="25">
        <v>43091</v>
      </c>
      <c r="G1528" s="61" t="s">
        <v>20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2242</v>
      </c>
      <c r="B1529" s="58">
        <v>32443660826</v>
      </c>
      <c r="C1529" s="59"/>
      <c r="D1529" s="60"/>
      <c r="E1529" s="9">
        <v>1752</v>
      </c>
      <c r="F1529" s="25">
        <v>43051</v>
      </c>
      <c r="G1529" s="61" t="s">
        <v>13</v>
      </c>
      <c r="H1529" s="9"/>
      <c r="I1529" s="8"/>
      <c r="J1529" s="8"/>
      <c r="K1529" s="8"/>
      <c r="L1529" s="9">
        <v>1759</v>
      </c>
      <c r="M1529" s="8"/>
    </row>
    <row r="1530" spans="1:13">
      <c r="A1530" s="62" t="s">
        <v>2243</v>
      </c>
      <c r="B1530" s="58">
        <v>36044847829</v>
      </c>
      <c r="C1530" s="63" t="s">
        <v>2244</v>
      </c>
      <c r="D1530" s="60">
        <v>38308190804</v>
      </c>
      <c r="E1530" s="9">
        <v>443</v>
      </c>
      <c r="F1530" s="25">
        <v>43188</v>
      </c>
      <c r="G1530" s="61"/>
      <c r="H1530" s="9"/>
      <c r="I1530" s="8"/>
      <c r="J1530" s="8"/>
      <c r="K1530" s="8"/>
      <c r="L1530" s="8"/>
      <c r="M1530" s="8"/>
    </row>
    <row r="1531" spans="1:13">
      <c r="A1531" s="62" t="s">
        <v>2245</v>
      </c>
      <c r="B1531" s="58">
        <v>31679812882</v>
      </c>
      <c r="C1531" s="63"/>
      <c r="D1531" s="60"/>
      <c r="E1531" s="9"/>
      <c r="F1531" s="25"/>
      <c r="G1531" s="61"/>
      <c r="H1531" s="9"/>
      <c r="I1531" s="8"/>
      <c r="J1531" s="8"/>
      <c r="K1531" s="8"/>
      <c r="L1531" s="8"/>
      <c r="M1531" s="8"/>
    </row>
    <row r="1532" spans="1:13">
      <c r="A1532" s="62" t="s">
        <v>2246</v>
      </c>
      <c r="B1532" s="58">
        <v>35070422820</v>
      </c>
      <c r="C1532" s="63" t="s">
        <v>2247</v>
      </c>
      <c r="D1532" s="60">
        <v>24871235831</v>
      </c>
      <c r="E1532" s="9">
        <v>292</v>
      </c>
      <c r="F1532" s="25">
        <v>43168</v>
      </c>
      <c r="G1532" s="61" t="s">
        <v>13</v>
      </c>
      <c r="H1532" s="9"/>
      <c r="I1532" s="8"/>
      <c r="J1532" s="8"/>
      <c r="K1532" s="8"/>
      <c r="L1532" s="9">
        <v>318</v>
      </c>
      <c r="M1532" s="8"/>
    </row>
    <row r="1533" spans="1:13">
      <c r="A1533" s="62" t="s">
        <v>2248</v>
      </c>
      <c r="B1533" s="58">
        <v>33973397821</v>
      </c>
      <c r="C1533" s="68"/>
      <c r="D1533" s="60"/>
      <c r="E1533" s="9">
        <v>563</v>
      </c>
      <c r="F1533" s="25">
        <v>43217</v>
      </c>
      <c r="G1533" s="61"/>
      <c r="H1533" s="9"/>
      <c r="I1533" s="8"/>
      <c r="J1533" s="8"/>
      <c r="K1533" s="8"/>
      <c r="L1533" s="9" t="s">
        <v>299</v>
      </c>
      <c r="M1533" s="8"/>
    </row>
    <row r="1534" spans="1:13">
      <c r="A1534" s="15" t="s">
        <v>2249</v>
      </c>
      <c r="B1534" s="58">
        <v>34649795800</v>
      </c>
      <c r="C1534" s="63"/>
      <c r="D1534" s="60"/>
      <c r="E1534" s="9">
        <v>509</v>
      </c>
      <c r="F1534" s="25">
        <v>43203</v>
      </c>
      <c r="G1534" s="67"/>
      <c r="H1534" s="67">
        <v>43213</v>
      </c>
      <c r="I1534" s="8"/>
      <c r="J1534" s="8"/>
      <c r="K1534" s="8"/>
      <c r="L1534" s="8"/>
      <c r="M1534" s="8"/>
    </row>
    <row r="1535" spans="1:13">
      <c r="A1535" s="27" t="s">
        <v>2250</v>
      </c>
      <c r="B1535" s="58"/>
      <c r="C1535" s="27" t="s">
        <v>2251</v>
      </c>
      <c r="D1535" s="60"/>
      <c r="E1535" s="9"/>
      <c r="F1535" s="25"/>
      <c r="G1535" s="61"/>
      <c r="H1535" s="67">
        <v>43213</v>
      </c>
      <c r="I1535" s="8"/>
      <c r="J1535" s="8"/>
      <c r="K1535" s="8"/>
      <c r="L1535" s="8"/>
      <c r="M1535" s="8"/>
    </row>
    <row r="1536" spans="1:13">
      <c r="A1536" s="13" t="s">
        <v>2252</v>
      </c>
      <c r="B1536" s="58">
        <v>47240915840</v>
      </c>
      <c r="C1536" s="63"/>
      <c r="D1536" s="60"/>
      <c r="E1536" s="9"/>
      <c r="F1536" s="25"/>
      <c r="G1536" s="61" t="s">
        <v>13</v>
      </c>
      <c r="H1536" s="67">
        <v>43213</v>
      </c>
      <c r="I1536" s="8"/>
      <c r="J1536" s="8"/>
      <c r="K1536" s="8"/>
      <c r="L1536" s="8"/>
      <c r="M1536" s="8"/>
    </row>
    <row r="1537" spans="1:13">
      <c r="A1537" s="27" t="s">
        <v>2253</v>
      </c>
      <c r="B1537" s="58"/>
      <c r="C1537" s="18" t="s">
        <v>129</v>
      </c>
      <c r="D1537" s="60"/>
      <c r="E1537" s="9"/>
      <c r="F1537" s="25"/>
      <c r="G1537" s="61"/>
      <c r="H1537" s="67">
        <v>43213</v>
      </c>
      <c r="I1537" s="8"/>
      <c r="J1537" s="8"/>
      <c r="K1537" s="8"/>
      <c r="L1537" s="8"/>
      <c r="M1537" s="8"/>
    </row>
    <row r="1538" spans="1:13">
      <c r="A1538" s="64" t="s">
        <v>2254</v>
      </c>
      <c r="B1538" s="58">
        <v>42424051895</v>
      </c>
      <c r="C1538" s="63" t="s">
        <v>2255</v>
      </c>
      <c r="D1538" s="60">
        <v>34920392869</v>
      </c>
      <c r="E1538" s="9">
        <v>1214</v>
      </c>
      <c r="F1538" s="25">
        <v>42989</v>
      </c>
      <c r="G1538" s="61" t="s">
        <v>13</v>
      </c>
      <c r="H1538" s="67">
        <v>43213</v>
      </c>
      <c r="I1538" s="8"/>
      <c r="J1538" s="8"/>
      <c r="K1538" s="8"/>
      <c r="L1538" s="8"/>
      <c r="M1538" s="8"/>
    </row>
    <row r="1539" spans="1:13">
      <c r="A1539" s="27" t="s">
        <v>2256</v>
      </c>
      <c r="B1539" s="58">
        <v>45298965873</v>
      </c>
      <c r="C1539" s="18" t="s">
        <v>129</v>
      </c>
      <c r="D1539" s="60"/>
      <c r="E1539" s="9"/>
      <c r="F1539" s="25"/>
      <c r="G1539" s="61"/>
      <c r="H1539" s="67">
        <v>43213</v>
      </c>
      <c r="I1539" s="8"/>
      <c r="J1539" s="8"/>
      <c r="K1539" s="8"/>
      <c r="L1539" s="8"/>
      <c r="M1539" s="8"/>
    </row>
    <row r="1540" spans="1:13">
      <c r="A1540" s="27" t="s">
        <v>2257</v>
      </c>
      <c r="B1540" s="58">
        <v>48176009857</v>
      </c>
      <c r="C1540" s="18" t="s">
        <v>129</v>
      </c>
      <c r="D1540" s="60"/>
      <c r="E1540" s="9"/>
      <c r="F1540" s="25"/>
      <c r="G1540" s="61"/>
      <c r="H1540" s="67">
        <v>43213</v>
      </c>
      <c r="I1540" s="8"/>
      <c r="J1540" s="8"/>
      <c r="K1540" s="8"/>
      <c r="L1540" s="8"/>
      <c r="M1540" s="8"/>
    </row>
    <row r="1541" spans="1:13">
      <c r="A1541" s="62" t="s">
        <v>2258</v>
      </c>
      <c r="B1541" s="58">
        <v>32645353860</v>
      </c>
      <c r="C1541" s="62" t="s">
        <v>2259</v>
      </c>
      <c r="D1541" s="60">
        <v>23432184808</v>
      </c>
      <c r="E1541" s="9"/>
      <c r="F1541" s="25"/>
      <c r="G1541" s="61"/>
      <c r="H1541" s="67">
        <v>43213</v>
      </c>
      <c r="I1541" s="8"/>
      <c r="J1541" s="8"/>
      <c r="K1541" s="8"/>
      <c r="L1541" s="8"/>
      <c r="M1541" s="8"/>
    </row>
    <row r="1542" spans="1:13">
      <c r="A1542" s="62" t="s">
        <v>2260</v>
      </c>
      <c r="B1542" s="58">
        <v>35663923837</v>
      </c>
      <c r="C1542" s="63"/>
      <c r="D1542" s="60"/>
      <c r="E1542" s="9">
        <v>262</v>
      </c>
      <c r="F1542" s="25">
        <v>43160</v>
      </c>
      <c r="G1542" s="61" t="s">
        <v>13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62" t="s">
        <v>2261</v>
      </c>
      <c r="B1543" s="58">
        <v>34899686897</v>
      </c>
      <c r="C1543" s="63" t="s">
        <v>2262</v>
      </c>
      <c r="D1543" s="60">
        <v>34782852835</v>
      </c>
      <c r="E1543" s="9">
        <v>810</v>
      </c>
      <c r="F1543" s="25">
        <v>42915</v>
      </c>
      <c r="G1543" s="61" t="s">
        <v>13</v>
      </c>
      <c r="H1543" s="67">
        <v>43213</v>
      </c>
      <c r="I1543" s="8"/>
      <c r="J1543" s="8"/>
      <c r="K1543" s="8"/>
      <c r="L1543" s="9" t="s">
        <v>138</v>
      </c>
      <c r="M1543" s="8"/>
    </row>
    <row r="1544" spans="1:13">
      <c r="A1544" s="62" t="s">
        <v>2263</v>
      </c>
      <c r="B1544" s="58">
        <v>39778910812</v>
      </c>
      <c r="C1544" s="59" t="s">
        <v>2264</v>
      </c>
      <c r="D1544" s="60">
        <v>34703237806</v>
      </c>
      <c r="E1544" s="9">
        <v>1128</v>
      </c>
      <c r="F1544" s="25">
        <v>42972</v>
      </c>
      <c r="G1544" s="61" t="s">
        <v>13</v>
      </c>
      <c r="H1544" s="9"/>
      <c r="I1544" s="8"/>
      <c r="J1544" s="8"/>
      <c r="K1544" s="8"/>
      <c r="L1544" s="8"/>
      <c r="M1544" s="8"/>
    </row>
    <row r="1545" spans="1:13">
      <c r="A1545" s="62" t="s">
        <v>2265</v>
      </c>
      <c r="B1545" s="58">
        <v>21646087801</v>
      </c>
      <c r="C1545" s="68"/>
      <c r="D1545" s="60"/>
      <c r="E1545" s="9">
        <v>563</v>
      </c>
      <c r="F1545" s="25">
        <v>43217</v>
      </c>
      <c r="G1545" s="61"/>
      <c r="H1545" s="9"/>
      <c r="I1545" s="8"/>
      <c r="J1545" s="8"/>
      <c r="K1545" s="8"/>
      <c r="L1545" s="9" t="s">
        <v>299</v>
      </c>
      <c r="M1545" s="8"/>
    </row>
    <row r="1546" spans="1:13">
      <c r="A1546" s="63" t="s">
        <v>2266</v>
      </c>
      <c r="B1546" s="58">
        <v>22429349884</v>
      </c>
      <c r="C1546" s="63" t="s">
        <v>2267</v>
      </c>
      <c r="D1546" s="60">
        <v>32307277897</v>
      </c>
      <c r="E1546" s="9">
        <v>1417</v>
      </c>
      <c r="F1546" s="25">
        <v>43017</v>
      </c>
      <c r="G1546" s="61" t="s">
        <v>13</v>
      </c>
      <c r="H1546" s="9"/>
      <c r="I1546" s="8"/>
      <c r="J1546" s="8"/>
      <c r="K1546" s="8"/>
      <c r="L1546" s="9" t="s">
        <v>253</v>
      </c>
      <c r="M1546" s="8"/>
    </row>
    <row r="1547" spans="1:13">
      <c r="A1547" s="13" t="s">
        <v>2268</v>
      </c>
      <c r="B1547" s="58">
        <v>23131226897</v>
      </c>
      <c r="C1547" s="63"/>
      <c r="D1547" s="60"/>
      <c r="E1547" s="9">
        <v>1350</v>
      </c>
      <c r="F1547" s="25">
        <v>43006</v>
      </c>
      <c r="G1547" s="61" t="s">
        <v>13</v>
      </c>
      <c r="H1547" s="9"/>
      <c r="I1547" s="8"/>
      <c r="J1547" s="8"/>
      <c r="K1547" s="8"/>
      <c r="L1547" s="8"/>
      <c r="M1547" s="8"/>
    </row>
    <row r="1548" spans="1:13">
      <c r="A1548" s="62" t="s">
        <v>2269</v>
      </c>
      <c r="B1548" s="58">
        <v>42829835824</v>
      </c>
      <c r="C1548" s="68"/>
      <c r="D1548" s="60"/>
      <c r="E1548" s="9">
        <v>563</v>
      </c>
      <c r="F1548" s="25">
        <v>43217</v>
      </c>
      <c r="G1548" s="61"/>
      <c r="H1548" s="9"/>
      <c r="I1548" s="8"/>
      <c r="J1548" s="8"/>
      <c r="K1548" s="8"/>
      <c r="L1548" s="9" t="s">
        <v>299</v>
      </c>
      <c r="M1548" s="8"/>
    </row>
    <row r="1549" spans="1:13">
      <c r="A1549" s="15" t="s">
        <v>2270</v>
      </c>
      <c r="B1549" s="58">
        <v>6872674474</v>
      </c>
      <c r="C1549" s="63"/>
      <c r="D1549" s="60"/>
      <c r="E1549" s="9">
        <v>117</v>
      </c>
      <c r="F1549" s="25">
        <v>43117</v>
      </c>
      <c r="G1549" s="61" t="s">
        <v>13</v>
      </c>
      <c r="H1549" s="9"/>
      <c r="I1549" s="8"/>
      <c r="J1549" s="8"/>
      <c r="K1549" s="8"/>
      <c r="L1549" s="9" t="s">
        <v>170</v>
      </c>
      <c r="M1549" s="8"/>
    </row>
    <row r="1550" spans="1:13">
      <c r="A1550" s="15" t="s">
        <v>2271</v>
      </c>
      <c r="B1550" s="58">
        <v>7081215432</v>
      </c>
      <c r="C1550" s="15" t="s">
        <v>2272</v>
      </c>
      <c r="D1550" s="60">
        <v>34273628848</v>
      </c>
      <c r="E1550" s="9">
        <v>563</v>
      </c>
      <c r="F1550" s="25">
        <v>43217</v>
      </c>
      <c r="G1550" s="61"/>
      <c r="H1550" s="9"/>
      <c r="I1550" s="8"/>
      <c r="J1550" s="8"/>
      <c r="K1550" s="8"/>
      <c r="L1550" s="9" t="s">
        <v>299</v>
      </c>
      <c r="M1550" s="8"/>
    </row>
    <row r="1551" spans="1:13">
      <c r="A1551" s="62" t="s">
        <v>2273</v>
      </c>
      <c r="B1551" s="58">
        <v>37104895809</v>
      </c>
      <c r="C1551" s="63" t="s">
        <v>2274</v>
      </c>
      <c r="D1551" s="60">
        <v>34256763856</v>
      </c>
      <c r="E1551" s="9">
        <v>1752</v>
      </c>
      <c r="F1551" s="25">
        <v>43051</v>
      </c>
      <c r="G1551" s="61" t="s">
        <v>28</v>
      </c>
      <c r="H1551" s="9"/>
      <c r="I1551" s="8"/>
      <c r="J1551" s="8"/>
      <c r="K1551" s="8"/>
      <c r="L1551" s="9">
        <v>1759</v>
      </c>
      <c r="M1551" s="8"/>
    </row>
    <row r="1552" spans="1:13">
      <c r="A1552" s="27" t="s">
        <v>2275</v>
      </c>
      <c r="B1552" s="58"/>
      <c r="C1552" s="27" t="s">
        <v>129</v>
      </c>
      <c r="D1552" s="60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62" t="s">
        <v>2276</v>
      </c>
      <c r="B1553" s="58">
        <v>4265155529</v>
      </c>
      <c r="C1553" s="63"/>
      <c r="D1553" s="60"/>
      <c r="E1553" s="9">
        <v>563</v>
      </c>
      <c r="F1553" s="25">
        <v>43217</v>
      </c>
      <c r="G1553" s="61"/>
      <c r="H1553" s="9"/>
      <c r="I1553" s="8"/>
      <c r="J1553" s="8"/>
      <c r="K1553" s="8"/>
      <c r="L1553" s="9" t="s">
        <v>299</v>
      </c>
      <c r="M1553" s="8"/>
    </row>
    <row r="1554" spans="1:13">
      <c r="A1554" s="14" t="s">
        <v>2277</v>
      </c>
      <c r="B1554" s="58">
        <v>45529283845</v>
      </c>
      <c r="C1554" s="63"/>
      <c r="D1554" s="60"/>
      <c r="E1554" s="9">
        <v>292</v>
      </c>
      <c r="F1554" s="25">
        <v>43168</v>
      </c>
      <c r="G1554" s="61" t="s">
        <v>13</v>
      </c>
      <c r="H1554" s="9"/>
      <c r="I1554" s="8"/>
      <c r="J1554" s="8"/>
      <c r="K1554" s="8"/>
      <c r="L1554" s="9">
        <v>318</v>
      </c>
      <c r="M1554" s="8"/>
    </row>
    <row r="1555" spans="1:13">
      <c r="A1555" s="62" t="s">
        <v>2278</v>
      </c>
      <c r="B1555" s="58">
        <v>45862437835</v>
      </c>
      <c r="C1555" s="63" t="s">
        <v>2279</v>
      </c>
      <c r="D1555" s="60">
        <v>2301226280</v>
      </c>
      <c r="E1555" s="9">
        <v>1752</v>
      </c>
      <c r="F1555" s="25">
        <v>43051</v>
      </c>
      <c r="G1555" s="61" t="s">
        <v>13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2280</v>
      </c>
      <c r="B1556" s="58">
        <v>41957089822</v>
      </c>
      <c r="C1556" s="63"/>
      <c r="D1556" s="60"/>
      <c r="E1556" s="9">
        <v>1350</v>
      </c>
      <c r="F1556" s="25">
        <v>43006</v>
      </c>
      <c r="G1556" s="61" t="s">
        <v>13</v>
      </c>
      <c r="H1556" s="9"/>
      <c r="I1556" s="8"/>
      <c r="J1556" s="8"/>
      <c r="K1556" s="8"/>
      <c r="L1556" s="8"/>
      <c r="M1556" s="8"/>
    </row>
    <row r="1557" spans="1:13">
      <c r="A1557" s="27" t="s">
        <v>2281</v>
      </c>
      <c r="B1557" s="58"/>
      <c r="C1557" s="27" t="s">
        <v>2282</v>
      </c>
      <c r="D1557" s="60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63" t="s">
        <v>2283</v>
      </c>
      <c r="B1558" s="58">
        <v>48245426857</v>
      </c>
      <c r="C1558" s="63"/>
      <c r="D1558" s="60"/>
      <c r="E1558" s="9"/>
      <c r="F1558" s="25"/>
      <c r="G1558" s="61"/>
      <c r="H1558" s="9"/>
      <c r="I1558" s="8"/>
      <c r="J1558" s="8"/>
      <c r="K1558" s="8"/>
      <c r="L1558" s="8"/>
      <c r="M1558" s="8"/>
    </row>
    <row r="1559" spans="1:13">
      <c r="A1559" s="62" t="s">
        <v>2284</v>
      </c>
      <c r="B1559" s="58">
        <v>94914680815</v>
      </c>
      <c r="C1559" s="68"/>
      <c r="D1559" s="60"/>
      <c r="E1559" s="9">
        <v>563</v>
      </c>
      <c r="F1559" s="25">
        <v>43217</v>
      </c>
      <c r="G1559" s="61"/>
      <c r="H1559" s="9"/>
      <c r="I1559" s="8"/>
      <c r="J1559" s="8"/>
      <c r="K1559" s="8"/>
      <c r="L1559" s="9" t="s">
        <v>299</v>
      </c>
      <c r="M1559" s="8"/>
    </row>
    <row r="1560" spans="1:13">
      <c r="A1560" s="62" t="s">
        <v>2285</v>
      </c>
      <c r="B1560" s="58">
        <v>38488019572</v>
      </c>
      <c r="C1560" s="63"/>
      <c r="D1560" s="60"/>
      <c r="E1560" s="9">
        <v>262</v>
      </c>
      <c r="F1560" s="25">
        <v>43160</v>
      </c>
      <c r="G1560" s="61" t="s">
        <v>13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62" t="s">
        <v>2286</v>
      </c>
      <c r="B1561" s="58">
        <v>14041229820</v>
      </c>
      <c r="C1561" s="59"/>
      <c r="D1561" s="60"/>
      <c r="E1561" s="9">
        <v>1128</v>
      </c>
      <c r="F1561" s="25">
        <v>42972</v>
      </c>
      <c r="G1561" s="61" t="s">
        <v>13</v>
      </c>
      <c r="H1561" s="9"/>
      <c r="I1561" s="8"/>
      <c r="J1561" s="8"/>
      <c r="K1561" s="8"/>
      <c r="L1561" s="8"/>
      <c r="M1561" s="8"/>
    </row>
    <row r="1562" spans="1:13">
      <c r="A1562" s="62" t="s">
        <v>2287</v>
      </c>
      <c r="B1562" s="58">
        <v>18360292841</v>
      </c>
      <c r="C1562" s="63"/>
      <c r="D1562" s="60"/>
      <c r="E1562" s="9">
        <v>810</v>
      </c>
      <c r="F1562" s="25">
        <v>42915</v>
      </c>
      <c r="G1562" s="61" t="s">
        <v>13</v>
      </c>
      <c r="H1562" s="9"/>
      <c r="I1562" s="8"/>
      <c r="J1562" s="8"/>
      <c r="K1562" s="8"/>
      <c r="L1562" s="9" t="s">
        <v>138</v>
      </c>
      <c r="M1562" s="8"/>
    </row>
    <row r="1563" spans="1:13">
      <c r="A1563" s="15" t="s">
        <v>2288</v>
      </c>
      <c r="B1563" s="58">
        <v>86071015529</v>
      </c>
      <c r="C1563" s="63"/>
      <c r="D1563" s="60"/>
      <c r="E1563" s="9">
        <v>262</v>
      </c>
      <c r="F1563" s="25">
        <v>43160</v>
      </c>
      <c r="G1563" s="61" t="s">
        <v>13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62" t="s">
        <v>2289</v>
      </c>
      <c r="B1564" s="58">
        <v>37077237800</v>
      </c>
      <c r="C1564" s="63"/>
      <c r="D1564" s="60"/>
      <c r="E1564" s="9">
        <v>292</v>
      </c>
      <c r="F1564" s="25">
        <v>43168</v>
      </c>
      <c r="G1564" s="9" t="s">
        <v>13</v>
      </c>
      <c r="H1564" s="9"/>
      <c r="I1564" s="8"/>
      <c r="J1564" s="8"/>
      <c r="K1564" s="8"/>
      <c r="L1564" s="9">
        <v>318</v>
      </c>
      <c r="M1564" s="8"/>
    </row>
    <row r="1565" spans="1:13">
      <c r="A1565" s="62" t="s">
        <v>2290</v>
      </c>
      <c r="B1565" s="58">
        <v>33390811826</v>
      </c>
      <c r="C1565" s="63" t="s">
        <v>2291</v>
      </c>
      <c r="D1565" s="60">
        <v>39478349856</v>
      </c>
      <c r="E1565" s="9"/>
      <c r="F1565" s="25"/>
      <c r="G1565" s="61"/>
      <c r="H1565" s="9"/>
      <c r="I1565" s="8"/>
      <c r="J1565" s="8"/>
      <c r="K1565" s="8"/>
      <c r="L1565" s="8"/>
      <c r="M1565" s="8"/>
    </row>
    <row r="1566" spans="1:13">
      <c r="A1566" s="13" t="s">
        <v>2292</v>
      </c>
      <c r="B1566" s="58">
        <v>27696865854</v>
      </c>
      <c r="C1566" s="63"/>
      <c r="D1566" s="60"/>
      <c r="E1566" s="9">
        <v>1417</v>
      </c>
      <c r="F1566" s="25">
        <v>43017</v>
      </c>
      <c r="G1566" s="61" t="s">
        <v>13</v>
      </c>
      <c r="H1566" s="9"/>
      <c r="I1566" s="8"/>
      <c r="J1566" s="8"/>
      <c r="K1566" s="8"/>
      <c r="L1566" s="9" t="s">
        <v>253</v>
      </c>
      <c r="M1566" s="8"/>
    </row>
    <row r="1567" spans="1:13">
      <c r="A1567" s="27" t="s">
        <v>2293</v>
      </c>
      <c r="B1567" s="58">
        <v>22173656813</v>
      </c>
      <c r="C1567" s="18" t="s">
        <v>129</v>
      </c>
      <c r="D1567" s="60"/>
      <c r="E1567" s="9"/>
      <c r="F1567" s="25"/>
      <c r="G1567" s="61"/>
      <c r="H1567" s="9"/>
      <c r="I1567" s="8"/>
      <c r="J1567" s="8"/>
      <c r="K1567" s="8"/>
      <c r="L1567" s="8"/>
      <c r="M1567" s="8"/>
    </row>
    <row r="1568" spans="1:13">
      <c r="A1568" s="63" t="s">
        <v>2294</v>
      </c>
      <c r="B1568" s="58">
        <v>30690514808</v>
      </c>
      <c r="C1568" s="63" t="s">
        <v>2295</v>
      </c>
      <c r="D1568" s="60">
        <v>22622085818</v>
      </c>
      <c r="E1568" s="9">
        <v>423</v>
      </c>
      <c r="F1568" s="25">
        <v>43182</v>
      </c>
      <c r="G1568" s="9" t="s">
        <v>13</v>
      </c>
      <c r="H1568" s="9"/>
      <c r="I1568" s="8"/>
      <c r="J1568" s="8"/>
      <c r="K1568" s="8"/>
      <c r="L1568" s="8"/>
      <c r="M1568" s="8"/>
    </row>
    <row r="1569" spans="1:13">
      <c r="A1569" s="62" t="s">
        <v>2296</v>
      </c>
      <c r="B1569" s="58">
        <v>43901748865</v>
      </c>
      <c r="C1569" s="63" t="s">
        <v>2297</v>
      </c>
      <c r="D1569" s="60">
        <v>34818027812</v>
      </c>
      <c r="E1569" s="9">
        <v>1824</v>
      </c>
      <c r="F1569" s="25">
        <v>43091</v>
      </c>
      <c r="G1569" s="61" t="s">
        <v>13</v>
      </c>
      <c r="H1569" s="9"/>
      <c r="I1569" s="8"/>
      <c r="J1569" s="8"/>
      <c r="K1569" s="8"/>
      <c r="L1569" s="9">
        <v>1828</v>
      </c>
      <c r="M1569" s="8"/>
    </row>
    <row r="1570" spans="1:13">
      <c r="A1570" s="27" t="s">
        <v>2298</v>
      </c>
      <c r="B1570" s="58"/>
      <c r="C1570" s="18" t="s">
        <v>129</v>
      </c>
      <c r="D1570" s="60"/>
      <c r="E1570" s="9"/>
      <c r="F1570" s="25"/>
      <c r="G1570" s="61"/>
      <c r="H1570" s="9"/>
      <c r="I1570" s="8"/>
      <c r="J1570" s="8"/>
      <c r="K1570" s="8"/>
      <c r="L1570" s="8"/>
      <c r="M1570" s="8"/>
    </row>
    <row r="1571" spans="1:13">
      <c r="A1571" s="63" t="s">
        <v>2299</v>
      </c>
      <c r="B1571" s="58">
        <v>5212444390</v>
      </c>
      <c r="C1571" s="15" t="s">
        <v>2300</v>
      </c>
      <c r="D1571" s="60">
        <v>2231738350</v>
      </c>
      <c r="E1571" s="9">
        <v>292</v>
      </c>
      <c r="F1571" s="25">
        <v>43168</v>
      </c>
      <c r="G1571" s="61" t="s">
        <v>13</v>
      </c>
      <c r="H1571" s="9"/>
      <c r="I1571" s="8"/>
      <c r="J1571" s="8"/>
      <c r="K1571" s="8"/>
      <c r="L1571" s="9">
        <v>318</v>
      </c>
      <c r="M1571" s="8"/>
    </row>
    <row r="1572" spans="1:13">
      <c r="A1572" s="62" t="s">
        <v>2301</v>
      </c>
      <c r="B1572" s="58">
        <v>33113101875</v>
      </c>
      <c r="C1572" s="68"/>
      <c r="D1572" s="60"/>
      <c r="E1572" s="9"/>
      <c r="F1572" s="25"/>
      <c r="G1572" s="61"/>
      <c r="H1572" s="9"/>
      <c r="I1572" s="8"/>
      <c r="J1572" s="8"/>
      <c r="K1572" s="8"/>
      <c r="L1572" s="8"/>
      <c r="M1572" s="8"/>
    </row>
    <row r="1573" spans="1:13">
      <c r="A1573" s="62" t="s">
        <v>2302</v>
      </c>
      <c r="B1573" s="58">
        <v>15750840824</v>
      </c>
      <c r="C1573" s="63"/>
      <c r="D1573" s="60"/>
      <c r="E1573" s="9">
        <v>262</v>
      </c>
      <c r="F1573" s="25">
        <v>43160</v>
      </c>
      <c r="G1573" s="9" t="s">
        <v>13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2303</v>
      </c>
      <c r="B1574" s="58">
        <v>40681630817</v>
      </c>
      <c r="C1574" s="63"/>
      <c r="D1574" s="60"/>
      <c r="E1574" s="9"/>
      <c r="F1574" s="25"/>
      <c r="G1574" s="61"/>
      <c r="H1574" s="9"/>
      <c r="I1574" s="8"/>
      <c r="J1574" s="8"/>
      <c r="K1574" s="8"/>
      <c r="L1574" s="8"/>
      <c r="M1574" s="8"/>
    </row>
    <row r="1575" spans="1:13">
      <c r="A1575" s="62" t="s">
        <v>2304</v>
      </c>
      <c r="B1575" s="58">
        <v>38665460845</v>
      </c>
      <c r="C1575" s="63"/>
      <c r="D1575" s="60"/>
      <c r="E1575" s="9">
        <v>810</v>
      </c>
      <c r="F1575" s="25">
        <v>42915</v>
      </c>
      <c r="G1575" s="61" t="s">
        <v>13</v>
      </c>
      <c r="H1575" s="9"/>
      <c r="I1575" s="8"/>
      <c r="J1575" s="8"/>
      <c r="K1575" s="8"/>
      <c r="L1575" s="9" t="s">
        <v>138</v>
      </c>
      <c r="M1575" s="8"/>
    </row>
    <row r="1576" spans="1:13">
      <c r="A1576" s="62" t="s">
        <v>2305</v>
      </c>
      <c r="B1576" s="58">
        <v>8612530601</v>
      </c>
      <c r="C1576" s="63"/>
      <c r="D1576" s="60"/>
      <c r="E1576" s="9">
        <v>1214</v>
      </c>
      <c r="F1576" s="25">
        <v>42989</v>
      </c>
      <c r="G1576" s="61" t="s">
        <v>13</v>
      </c>
      <c r="H1576" s="9"/>
      <c r="I1576" s="8"/>
      <c r="J1576" s="8"/>
      <c r="K1576" s="8"/>
      <c r="L1576" s="8"/>
      <c r="M1576" s="8"/>
    </row>
    <row r="1577" spans="1:13">
      <c r="A1577" s="62" t="s">
        <v>2306</v>
      </c>
      <c r="B1577" s="58">
        <v>80643582487</v>
      </c>
      <c r="C1577" s="63"/>
      <c r="D1577" s="60"/>
      <c r="E1577" s="9"/>
      <c r="F1577" s="25"/>
      <c r="G1577" s="61"/>
      <c r="H1577" s="9"/>
      <c r="I1577" s="8"/>
      <c r="J1577" s="8"/>
      <c r="K1577" s="8"/>
      <c r="L1577" s="8"/>
      <c r="M1577" s="8"/>
    </row>
    <row r="1578" spans="1:13">
      <c r="A1578" s="62" t="s">
        <v>2307</v>
      </c>
      <c r="B1578" s="58">
        <v>29749309804</v>
      </c>
      <c r="C1578" s="63"/>
      <c r="D1578" s="60"/>
      <c r="E1578" s="9"/>
      <c r="F1578" s="25"/>
      <c r="G1578" s="61"/>
      <c r="H1578" s="9"/>
      <c r="I1578" s="8"/>
      <c r="J1578" s="8"/>
      <c r="K1578" s="8"/>
      <c r="L1578" s="8"/>
      <c r="M1578" s="8"/>
    </row>
    <row r="1579" spans="1:13">
      <c r="A1579" s="62" t="s">
        <v>2308</v>
      </c>
      <c r="B1579" s="58">
        <v>36196624873</v>
      </c>
      <c r="C1579" s="68"/>
      <c r="D1579" s="60"/>
      <c r="E1579" s="9"/>
      <c r="F1579" s="25"/>
      <c r="G1579" s="61"/>
      <c r="H1579" s="9"/>
      <c r="I1579" s="8"/>
      <c r="J1579" s="8"/>
      <c r="K1579" s="8"/>
      <c r="L1579" s="8"/>
      <c r="M1579" s="8"/>
    </row>
    <row r="1580" spans="1:13">
      <c r="A1580" s="27" t="s">
        <v>2309</v>
      </c>
      <c r="B1580" s="58">
        <v>88436144520</v>
      </c>
      <c r="C1580" s="27" t="s">
        <v>129</v>
      </c>
      <c r="D1580" s="60"/>
      <c r="E1580" s="9"/>
      <c r="F1580" s="25"/>
      <c r="G1580" s="61"/>
      <c r="H1580" s="9"/>
      <c r="I1580" s="8"/>
      <c r="J1580" s="8"/>
      <c r="K1580" s="8"/>
      <c r="L1580" s="8"/>
      <c r="M1580" s="8"/>
    </row>
    <row r="1581" spans="1:13">
      <c r="A1581" s="63" t="s">
        <v>2310</v>
      </c>
      <c r="B1581" s="58">
        <v>40099259818</v>
      </c>
      <c r="C1581" s="63"/>
      <c r="D1581" s="60"/>
      <c r="E1581" s="9"/>
      <c r="F1581" s="25"/>
      <c r="G1581" s="61"/>
      <c r="H1581" s="9"/>
      <c r="I1581" s="8"/>
      <c r="J1581" s="8"/>
      <c r="K1581" s="8"/>
      <c r="L1581" s="8"/>
      <c r="M1581" s="8"/>
    </row>
    <row r="1582" spans="1:13">
      <c r="A1582" s="62" t="s">
        <v>2311</v>
      </c>
      <c r="B1582" s="58">
        <v>61154911500</v>
      </c>
      <c r="C1582" s="59"/>
      <c r="D1582" s="60"/>
      <c r="E1582" s="9">
        <v>1214</v>
      </c>
      <c r="F1582" s="25">
        <v>42989</v>
      </c>
      <c r="G1582" s="61" t="s">
        <v>13</v>
      </c>
      <c r="H1582" s="9"/>
      <c r="I1582" s="8"/>
      <c r="J1582" s="8"/>
      <c r="K1582" s="8"/>
      <c r="L1582" s="8"/>
      <c r="M1582" s="8"/>
    </row>
    <row r="1583" spans="1:13">
      <c r="A1583" s="63" t="s">
        <v>2312</v>
      </c>
      <c r="B1583" s="58">
        <v>4967493580</v>
      </c>
      <c r="C1583" s="15" t="s">
        <v>2313</v>
      </c>
      <c r="D1583" s="60">
        <v>28305274888</v>
      </c>
      <c r="E1583" s="9">
        <v>443</v>
      </c>
      <c r="F1583" s="25">
        <v>43188</v>
      </c>
      <c r="G1583" s="61"/>
      <c r="H1583" s="9"/>
      <c r="I1583" s="8"/>
      <c r="J1583" s="8"/>
      <c r="K1583" s="8"/>
      <c r="L1583" s="8"/>
      <c r="M1583" s="8"/>
    </row>
    <row r="1584" spans="1:13">
      <c r="A1584" s="15" t="s">
        <v>2314</v>
      </c>
      <c r="B1584" s="58">
        <v>28043649847</v>
      </c>
      <c r="C1584" s="63" t="s">
        <v>2315</v>
      </c>
      <c r="D1584" s="60">
        <v>37064432870</v>
      </c>
      <c r="E1584" s="9">
        <v>117</v>
      </c>
      <c r="F1584" s="25">
        <v>43117</v>
      </c>
      <c r="G1584" s="61" t="s">
        <v>13</v>
      </c>
      <c r="H1584" s="9"/>
      <c r="I1584" s="8"/>
      <c r="J1584" s="8"/>
      <c r="K1584" s="8"/>
      <c r="L1584" s="9" t="s">
        <v>170</v>
      </c>
      <c r="M1584" s="8"/>
    </row>
    <row r="1585" spans="1:13">
      <c r="A1585" s="62" t="s">
        <v>2316</v>
      </c>
      <c r="B1585" s="58">
        <v>360190898</v>
      </c>
      <c r="C1585" s="63"/>
      <c r="D1585" s="60"/>
      <c r="E1585" s="9">
        <v>810</v>
      </c>
      <c r="F1585" s="25">
        <v>42915</v>
      </c>
      <c r="G1585" s="61" t="s">
        <v>13</v>
      </c>
      <c r="H1585" s="9"/>
      <c r="I1585" s="8"/>
      <c r="J1585" s="8"/>
      <c r="K1585" s="8"/>
      <c r="L1585" s="9" t="s">
        <v>138</v>
      </c>
      <c r="M1585" s="8"/>
    </row>
    <row r="1586" spans="1:13">
      <c r="A1586" s="64" t="s">
        <v>2317</v>
      </c>
      <c r="B1586" s="58">
        <v>9988196890</v>
      </c>
      <c r="C1586" s="63"/>
      <c r="D1586" s="60"/>
      <c r="E1586" s="9">
        <v>1350</v>
      </c>
      <c r="F1586" s="25">
        <v>43006</v>
      </c>
      <c r="G1586" s="61" t="s">
        <v>13</v>
      </c>
      <c r="H1586" s="9"/>
      <c r="I1586" s="8"/>
      <c r="J1586" s="8"/>
      <c r="K1586" s="8"/>
      <c r="L1586" s="8"/>
      <c r="M1586" s="8"/>
    </row>
    <row r="1587" spans="1:13">
      <c r="A1587" s="15" t="s">
        <v>2318</v>
      </c>
      <c r="B1587" s="58">
        <v>45671290325</v>
      </c>
      <c r="C1587" s="63" t="s">
        <v>2319</v>
      </c>
      <c r="D1587" s="60">
        <v>13019071895</v>
      </c>
      <c r="E1587" s="9">
        <v>117</v>
      </c>
      <c r="F1587" s="25">
        <v>43117</v>
      </c>
      <c r="G1587" s="61" t="s">
        <v>28</v>
      </c>
      <c r="H1587" s="9"/>
      <c r="I1587" s="8"/>
      <c r="J1587" s="8"/>
      <c r="K1587" s="8"/>
      <c r="L1587" s="9" t="s">
        <v>170</v>
      </c>
      <c r="M1587" s="8"/>
    </row>
    <row r="1588" spans="1:13">
      <c r="A1588" s="13" t="s">
        <v>2320</v>
      </c>
      <c r="B1588" s="58">
        <v>7677424864</v>
      </c>
      <c r="C1588" s="63" t="s">
        <v>2321</v>
      </c>
      <c r="D1588" s="60">
        <v>6128186831</v>
      </c>
      <c r="E1588" s="9">
        <v>1570</v>
      </c>
      <c r="F1588" s="25">
        <v>43077</v>
      </c>
      <c r="G1588" s="61" t="s">
        <v>13</v>
      </c>
      <c r="H1588" s="9"/>
      <c r="I1588" s="8"/>
      <c r="J1588" s="8"/>
      <c r="K1588" s="8"/>
      <c r="L1588" s="8"/>
      <c r="M1588" s="8"/>
    </row>
    <row r="1589" spans="1:13">
      <c r="A1589" s="13" t="s">
        <v>2322</v>
      </c>
      <c r="B1589" s="58">
        <v>978138341</v>
      </c>
      <c r="C1589" s="59"/>
      <c r="D1589" s="60"/>
      <c r="E1589" s="9"/>
      <c r="F1589" s="25"/>
      <c r="G1589" s="61"/>
      <c r="H1589" s="9"/>
      <c r="I1589" s="8"/>
      <c r="J1589" s="8"/>
      <c r="K1589" s="8"/>
      <c r="L1589" s="8"/>
      <c r="M1589" s="8"/>
    </row>
    <row r="1590" spans="1:13">
      <c r="A1590" s="15" t="s">
        <v>2323</v>
      </c>
      <c r="B1590" s="58">
        <v>40630815836</v>
      </c>
      <c r="C1590" s="63"/>
      <c r="D1590" s="60"/>
      <c r="E1590" s="9">
        <v>262</v>
      </c>
      <c r="F1590" s="25">
        <v>43160</v>
      </c>
      <c r="G1590" s="61" t="s">
        <v>13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62" t="s">
        <v>2324</v>
      </c>
      <c r="B1591" s="58">
        <v>38262101820</v>
      </c>
      <c r="C1591" s="63"/>
      <c r="D1591" s="60"/>
      <c r="E1591" s="9">
        <v>1824</v>
      </c>
      <c r="F1591" s="25">
        <v>43091</v>
      </c>
      <c r="G1591" s="61" t="s">
        <v>13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2325</v>
      </c>
      <c r="B1592" s="58">
        <v>37482450840</v>
      </c>
      <c r="C1592" s="63"/>
      <c r="D1592" s="60"/>
      <c r="E1592" s="9">
        <v>443</v>
      </c>
      <c r="F1592" s="25">
        <v>43188</v>
      </c>
      <c r="G1592" s="61"/>
      <c r="H1592" s="9"/>
      <c r="I1592" s="8"/>
      <c r="J1592" s="8"/>
      <c r="K1592" s="8"/>
      <c r="L1592" s="8"/>
      <c r="M1592" s="8"/>
    </row>
    <row r="1593" spans="1:13">
      <c r="A1593" s="62" t="s">
        <v>2326</v>
      </c>
      <c r="B1593" s="58">
        <v>38728350847</v>
      </c>
      <c r="C1593" s="63"/>
      <c r="D1593" s="60"/>
      <c r="E1593" s="9">
        <v>1824</v>
      </c>
      <c r="F1593" s="25">
        <v>43091</v>
      </c>
      <c r="G1593" s="61" t="s">
        <v>13</v>
      </c>
      <c r="H1593" s="9"/>
      <c r="I1593" s="8"/>
      <c r="J1593" s="8"/>
      <c r="K1593" s="8"/>
      <c r="L1593" s="9">
        <v>1828</v>
      </c>
      <c r="M1593" s="8"/>
    </row>
    <row r="1594" spans="1:13">
      <c r="A1594" s="27" t="s">
        <v>2327</v>
      </c>
      <c r="B1594" s="58"/>
      <c r="C1594" s="27" t="s">
        <v>129</v>
      </c>
      <c r="D1594" s="60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2328</v>
      </c>
      <c r="B1595" s="58">
        <v>43693335800</v>
      </c>
      <c r="C1595" s="63"/>
      <c r="D1595" s="60"/>
      <c r="E1595" s="9">
        <v>292</v>
      </c>
      <c r="F1595" s="25">
        <v>43168</v>
      </c>
      <c r="G1595" s="61" t="s">
        <v>13</v>
      </c>
      <c r="H1595" s="9"/>
      <c r="I1595" s="8"/>
      <c r="J1595" s="8"/>
      <c r="K1595" s="8"/>
      <c r="L1595" s="9">
        <v>318</v>
      </c>
      <c r="M1595" s="8"/>
    </row>
    <row r="1596" spans="1:13">
      <c r="A1596" s="27" t="s">
        <v>2329</v>
      </c>
      <c r="B1596" s="58">
        <v>47555303850</v>
      </c>
      <c r="C1596" s="18" t="s">
        <v>129</v>
      </c>
      <c r="D1596" s="60"/>
      <c r="E1596" s="9"/>
      <c r="F1596" s="25"/>
      <c r="G1596" s="61"/>
      <c r="H1596" s="9"/>
      <c r="I1596" s="8"/>
      <c r="J1596" s="8"/>
      <c r="K1596" s="8"/>
      <c r="L1596" s="8"/>
      <c r="M1596" s="8"/>
    </row>
    <row r="1597" spans="1:13">
      <c r="A1597" s="62" t="s">
        <v>2330</v>
      </c>
      <c r="B1597" s="58">
        <v>38152940534</v>
      </c>
      <c r="C1597" s="63"/>
      <c r="D1597" s="60"/>
      <c r="E1597" s="9">
        <v>292</v>
      </c>
      <c r="F1597" s="25">
        <v>43168</v>
      </c>
      <c r="G1597" s="9" t="s">
        <v>13</v>
      </c>
      <c r="H1597" s="9"/>
      <c r="I1597" s="8"/>
      <c r="J1597" s="8"/>
      <c r="K1597" s="8"/>
      <c r="L1597" s="9">
        <v>318</v>
      </c>
      <c r="M1597" s="8"/>
    </row>
    <row r="1598" spans="1:13">
      <c r="A1598" s="62" t="s">
        <v>2331</v>
      </c>
      <c r="B1598" s="58">
        <v>25966733805</v>
      </c>
      <c r="C1598" s="63" t="s">
        <v>2332</v>
      </c>
      <c r="D1598" s="60">
        <v>19681706854</v>
      </c>
      <c r="E1598" s="9">
        <v>1752</v>
      </c>
      <c r="F1598" s="25">
        <v>43051</v>
      </c>
      <c r="G1598" s="61" t="s">
        <v>20</v>
      </c>
      <c r="H1598" s="9"/>
      <c r="I1598" s="8"/>
      <c r="J1598" s="8"/>
      <c r="K1598" s="8"/>
      <c r="L1598" s="9">
        <v>1759</v>
      </c>
      <c r="M1598" s="8"/>
    </row>
    <row r="1599" spans="1:13">
      <c r="A1599" s="62" t="s">
        <v>2333</v>
      </c>
      <c r="B1599" s="58">
        <v>40091566860</v>
      </c>
      <c r="C1599" s="63"/>
      <c r="D1599" s="60"/>
      <c r="E1599" s="9">
        <v>85</v>
      </c>
      <c r="F1599" s="25">
        <v>43109</v>
      </c>
      <c r="G1599" s="61" t="s">
        <v>13</v>
      </c>
      <c r="H1599" s="25">
        <v>43151</v>
      </c>
      <c r="I1599" s="8"/>
      <c r="J1599" s="8"/>
      <c r="K1599" s="8"/>
      <c r="L1599" s="8"/>
      <c r="M1599" s="8"/>
    </row>
    <row r="1600" spans="1:13">
      <c r="A1600" s="63" t="s">
        <v>2334</v>
      </c>
      <c r="B1600" s="58">
        <v>38287160839</v>
      </c>
      <c r="C1600" s="63"/>
      <c r="D1600" s="60"/>
      <c r="E1600" s="9">
        <v>292</v>
      </c>
      <c r="F1600" s="25">
        <v>43168</v>
      </c>
      <c r="G1600" s="9" t="s">
        <v>13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2335</v>
      </c>
      <c r="B1601" s="58">
        <v>2258603501</v>
      </c>
      <c r="C1601" s="59"/>
      <c r="D1601" s="60"/>
      <c r="E1601" s="9"/>
      <c r="F1601" s="25"/>
      <c r="G1601" s="61"/>
      <c r="H1601" s="9"/>
      <c r="I1601" s="8"/>
      <c r="J1601" s="8"/>
      <c r="K1601" s="8"/>
      <c r="L1601" s="8"/>
      <c r="M1601" s="8"/>
    </row>
    <row r="1602" spans="1:13">
      <c r="A1602" s="14" t="s">
        <v>2336</v>
      </c>
      <c r="B1602" s="58">
        <v>39621762847</v>
      </c>
      <c r="C1602" s="63"/>
      <c r="D1602" s="60"/>
      <c r="E1602" s="9">
        <v>262</v>
      </c>
      <c r="F1602" s="25">
        <v>43160</v>
      </c>
      <c r="G1602" s="61" t="s">
        <v>13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2337</v>
      </c>
      <c r="B1603" s="58">
        <v>32448230846</v>
      </c>
      <c r="C1603" s="18" t="s">
        <v>2338</v>
      </c>
      <c r="D1603" s="60">
        <v>17618620814</v>
      </c>
      <c r="E1603" s="9"/>
      <c r="F1603" s="25"/>
      <c r="G1603" s="61"/>
      <c r="H1603" s="9"/>
      <c r="I1603" s="8"/>
      <c r="J1603" s="8"/>
      <c r="K1603" s="8"/>
      <c r="L1603" s="8"/>
      <c r="M1603" s="8"/>
    </row>
    <row r="1604" spans="1:13">
      <c r="A1604" s="18" t="s">
        <v>2339</v>
      </c>
      <c r="B1604" s="58">
        <v>56151250559</v>
      </c>
      <c r="C1604" s="18" t="s">
        <v>2340</v>
      </c>
      <c r="D1604" s="60">
        <v>29767449809</v>
      </c>
      <c r="E1604" s="9"/>
      <c r="F1604" s="25"/>
      <c r="G1604" s="61"/>
      <c r="H1604" s="9"/>
      <c r="I1604" s="8"/>
      <c r="J1604" s="8"/>
      <c r="K1604" s="8"/>
      <c r="L1604" s="8"/>
      <c r="M1604" s="8"/>
    </row>
    <row r="1605" spans="1:13">
      <c r="A1605" s="63" t="s">
        <v>2341</v>
      </c>
      <c r="B1605" s="58">
        <v>26373792862</v>
      </c>
      <c r="C1605" s="63"/>
      <c r="D1605" s="60"/>
      <c r="E1605" s="9">
        <v>292</v>
      </c>
      <c r="F1605" s="25">
        <v>43168</v>
      </c>
      <c r="G1605" s="9" t="s">
        <v>13</v>
      </c>
      <c r="H1605" s="9"/>
      <c r="I1605" s="8"/>
      <c r="J1605" s="8"/>
      <c r="K1605" s="8"/>
      <c r="L1605" s="9">
        <v>318</v>
      </c>
      <c r="M1605" s="8"/>
    </row>
    <row r="1606" spans="1:13">
      <c r="A1606" s="62" t="s">
        <v>2342</v>
      </c>
      <c r="B1606" s="58">
        <v>39308932828</v>
      </c>
      <c r="C1606" s="68"/>
      <c r="D1606" s="60"/>
      <c r="E1606" s="9"/>
      <c r="F1606" s="25"/>
      <c r="G1606" s="61"/>
      <c r="H1606" s="9"/>
      <c r="I1606" s="8"/>
      <c r="J1606" s="8"/>
      <c r="K1606" s="8"/>
      <c r="L1606" s="8"/>
      <c r="M1606" s="8"/>
    </row>
    <row r="1607" spans="1:13">
      <c r="A1607" s="15" t="s">
        <v>2343</v>
      </c>
      <c r="B1607" s="58">
        <v>89047710304</v>
      </c>
      <c r="C1607" s="63"/>
      <c r="D1607" s="60"/>
      <c r="E1607" s="9">
        <v>85</v>
      </c>
      <c r="F1607" s="25">
        <v>43109</v>
      </c>
      <c r="G1607" s="61" t="s">
        <v>13</v>
      </c>
      <c r="H1607" s="25">
        <v>43151</v>
      </c>
      <c r="I1607" s="8"/>
      <c r="J1607" s="8"/>
      <c r="K1607" s="8"/>
      <c r="L1607" s="8"/>
      <c r="M1607" s="8"/>
    </row>
    <row r="1608" spans="1:13">
      <c r="A1608" s="62" t="s">
        <v>2344</v>
      </c>
      <c r="B1608" s="58">
        <v>36713930840</v>
      </c>
      <c r="C1608" s="59" t="s">
        <v>2345</v>
      </c>
      <c r="D1608" s="60">
        <v>30171047885</v>
      </c>
      <c r="E1608" s="9">
        <v>1128</v>
      </c>
      <c r="F1608" s="25">
        <v>42972</v>
      </c>
      <c r="G1608" s="61" t="s">
        <v>13</v>
      </c>
      <c r="H1608" s="9"/>
      <c r="I1608" s="8"/>
      <c r="J1608" s="8"/>
      <c r="K1608" s="8"/>
      <c r="L1608" s="8"/>
      <c r="M1608" s="8"/>
    </row>
    <row r="1609" spans="1:13">
      <c r="A1609" s="27" t="s">
        <v>2346</v>
      </c>
      <c r="B1609" s="58">
        <v>37138221827</v>
      </c>
      <c r="C1609" s="27" t="s">
        <v>2347</v>
      </c>
      <c r="D1609" s="60">
        <v>40497197898</v>
      </c>
      <c r="E1609" s="9"/>
      <c r="F1609" s="25"/>
      <c r="G1609" s="61"/>
      <c r="H1609" s="9"/>
      <c r="I1609" s="8"/>
      <c r="J1609" s="8"/>
      <c r="K1609" s="8"/>
      <c r="L1609" s="8"/>
      <c r="M1609" s="8"/>
    </row>
    <row r="1610" spans="1:13">
      <c r="A1610" s="62" t="s">
        <v>2348</v>
      </c>
      <c r="B1610" s="58">
        <v>35503868854</v>
      </c>
      <c r="C1610" s="63"/>
      <c r="D1610" s="60"/>
      <c r="E1610" s="9">
        <v>608</v>
      </c>
      <c r="F1610" s="25">
        <v>43012</v>
      </c>
      <c r="G1610" s="61" t="s">
        <v>13</v>
      </c>
      <c r="H1610" s="9"/>
      <c r="I1610" s="8"/>
      <c r="J1610" s="8"/>
      <c r="K1610" s="8"/>
      <c r="L1610" s="8"/>
      <c r="M1610" s="8"/>
    </row>
    <row r="1611" spans="1:13">
      <c r="A1611" s="62" t="s">
        <v>2349</v>
      </c>
      <c r="B1611" s="58">
        <v>38011879855</v>
      </c>
      <c r="C1611" s="63"/>
      <c r="D1611" s="60"/>
      <c r="E1611" s="9">
        <v>1106</v>
      </c>
      <c r="F1611" s="25">
        <v>42965</v>
      </c>
      <c r="G1611" s="61" t="s">
        <v>13</v>
      </c>
      <c r="H1611" s="9"/>
      <c r="I1611" s="8"/>
      <c r="J1611" s="8"/>
      <c r="K1611" s="8"/>
      <c r="L1611" s="8"/>
      <c r="M1611" s="8"/>
    </row>
    <row r="1612" spans="1:13">
      <c r="A1612" s="62" t="s">
        <v>2350</v>
      </c>
      <c r="B1612" s="58">
        <v>40082602859</v>
      </c>
      <c r="C1612" s="63"/>
      <c r="D1612" s="60"/>
      <c r="E1612" s="9">
        <v>1752</v>
      </c>
      <c r="F1612" s="25">
        <v>43051</v>
      </c>
      <c r="G1612" s="61" t="s">
        <v>13</v>
      </c>
      <c r="H1612" s="9"/>
      <c r="I1612" s="8"/>
      <c r="J1612" s="8"/>
      <c r="K1612" s="8"/>
      <c r="L1612" s="9">
        <v>1759</v>
      </c>
      <c r="M1612" s="8"/>
    </row>
    <row r="1613" spans="1:13">
      <c r="A1613" s="62" t="s">
        <v>2351</v>
      </c>
      <c r="B1613" s="58">
        <v>35720985808</v>
      </c>
      <c r="C1613" s="63"/>
      <c r="D1613" s="60"/>
      <c r="E1613" s="9">
        <v>527</v>
      </c>
      <c r="F1613" s="25">
        <v>43210</v>
      </c>
      <c r="G1613" s="61"/>
      <c r="H1613" s="9"/>
      <c r="I1613" s="8"/>
      <c r="J1613" s="8"/>
      <c r="K1613" s="8"/>
      <c r="L1613" s="9">
        <v>528</v>
      </c>
      <c r="M1613" s="8"/>
    </row>
    <row r="1614" spans="1:13">
      <c r="A1614" s="62" t="s">
        <v>2352</v>
      </c>
      <c r="B1614" s="58">
        <v>36709469859</v>
      </c>
      <c r="C1614" s="63"/>
      <c r="D1614" s="60"/>
      <c r="E1614" s="9">
        <v>1570</v>
      </c>
      <c r="F1614" s="25">
        <v>43055</v>
      </c>
      <c r="G1614" s="61" t="s">
        <v>13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62" t="s">
        <v>2353</v>
      </c>
      <c r="B1615" s="58">
        <v>51413583806</v>
      </c>
      <c r="C1615" s="63"/>
      <c r="D1615" s="60"/>
      <c r="E1615" s="9">
        <v>1752</v>
      </c>
      <c r="F1615" s="25">
        <v>43051</v>
      </c>
      <c r="G1615" s="61" t="s">
        <v>13</v>
      </c>
      <c r="H1615" s="9"/>
      <c r="I1615" s="8"/>
      <c r="J1615" s="8"/>
      <c r="K1615" s="8"/>
      <c r="L1615" s="9">
        <v>1759</v>
      </c>
      <c r="M1615" s="8"/>
    </row>
    <row r="1616" spans="1:13">
      <c r="A1616" s="62" t="s">
        <v>2354</v>
      </c>
      <c r="B1616" s="58">
        <v>42268137821</v>
      </c>
      <c r="C1616" s="63"/>
      <c r="D1616" s="60"/>
      <c r="E1616" s="9">
        <v>1824</v>
      </c>
      <c r="F1616" s="25">
        <v>43091</v>
      </c>
      <c r="G1616" s="61" t="s">
        <v>13</v>
      </c>
      <c r="H1616" s="9"/>
      <c r="I1616" s="8"/>
      <c r="J1616" s="8"/>
      <c r="K1616" s="8"/>
      <c r="L1616" s="9">
        <v>1828</v>
      </c>
      <c r="M1616" s="8"/>
    </row>
    <row r="1617" spans="1:13">
      <c r="A1617" s="62" t="s">
        <v>2355</v>
      </c>
      <c r="B1617" s="58">
        <v>35411761808</v>
      </c>
      <c r="C1617" s="63"/>
      <c r="D1617" s="60"/>
      <c r="E1617" s="9"/>
      <c r="F1617" s="25"/>
      <c r="G1617" s="61"/>
      <c r="H1617" s="9"/>
      <c r="I1617" s="8"/>
      <c r="J1617" s="8"/>
      <c r="K1617" s="8"/>
      <c r="L1617" s="8"/>
      <c r="M1617" s="8"/>
    </row>
    <row r="1618" spans="1:13">
      <c r="A1618" s="62" t="s">
        <v>2356</v>
      </c>
      <c r="B1618" s="58">
        <v>3141394350</v>
      </c>
      <c r="C1618" s="63"/>
      <c r="D1618" s="60"/>
      <c r="E1618" s="9">
        <v>810</v>
      </c>
      <c r="F1618" s="25">
        <v>42915</v>
      </c>
      <c r="G1618" s="61" t="s">
        <v>13</v>
      </c>
      <c r="H1618" s="9"/>
      <c r="I1618" s="8"/>
      <c r="J1618" s="8"/>
      <c r="K1618" s="8"/>
      <c r="L1618" s="9" t="s">
        <v>138</v>
      </c>
      <c r="M1618" s="8"/>
    </row>
    <row r="1619" spans="1:13">
      <c r="A1619" s="62" t="s">
        <v>2357</v>
      </c>
      <c r="B1619" s="58">
        <v>2054203548</v>
      </c>
      <c r="C1619" s="63"/>
      <c r="D1619" s="60"/>
      <c r="E1619" s="9">
        <v>85</v>
      </c>
      <c r="F1619" s="25">
        <v>43109</v>
      </c>
      <c r="G1619" s="61" t="s">
        <v>13</v>
      </c>
      <c r="H1619" s="25">
        <v>43151</v>
      </c>
      <c r="I1619" s="8"/>
      <c r="J1619" s="8"/>
      <c r="K1619" s="8"/>
      <c r="L1619" s="8"/>
      <c r="M1619" s="8"/>
    </row>
    <row r="1620" spans="1:13">
      <c r="A1620" s="63" t="s">
        <v>2358</v>
      </c>
      <c r="B1620" s="58">
        <v>16932893851</v>
      </c>
      <c r="C1620" s="63"/>
      <c r="D1620" s="60"/>
      <c r="E1620" s="9">
        <v>292</v>
      </c>
      <c r="F1620" s="25">
        <v>43168</v>
      </c>
      <c r="G1620" s="9" t="s">
        <v>13</v>
      </c>
      <c r="H1620" s="9"/>
      <c r="I1620" s="8"/>
      <c r="J1620" s="8"/>
      <c r="K1620" s="8"/>
      <c r="L1620" s="9">
        <v>318</v>
      </c>
      <c r="M1620" s="8"/>
    </row>
    <row r="1621" spans="1:13">
      <c r="A1621" s="62" t="s">
        <v>2359</v>
      </c>
      <c r="B1621" s="58">
        <v>27136520819</v>
      </c>
      <c r="C1621" s="59"/>
      <c r="D1621" s="60"/>
      <c r="E1621" s="9">
        <v>1214</v>
      </c>
      <c r="F1621" s="25">
        <v>42989</v>
      </c>
      <c r="G1621" s="61"/>
      <c r="H1621" s="9"/>
      <c r="I1621" s="8"/>
      <c r="J1621" s="8"/>
      <c r="K1621" s="8"/>
      <c r="L1621" s="8"/>
      <c r="M1621" s="8"/>
    </row>
    <row r="1622" spans="1:13">
      <c r="A1622" s="62" t="s">
        <v>2360</v>
      </c>
      <c r="B1622" s="58">
        <v>36273665818</v>
      </c>
      <c r="C1622" s="63"/>
      <c r="D1622" s="60"/>
      <c r="E1622" s="9"/>
      <c r="F1622" s="25"/>
      <c r="G1622" s="61"/>
      <c r="H1622" s="9"/>
      <c r="I1622" s="8"/>
      <c r="J1622" s="8"/>
      <c r="K1622" s="8"/>
      <c r="L1622" s="8"/>
      <c r="M1622" s="8"/>
    </row>
    <row r="1623" spans="1:13">
      <c r="A1623" s="62" t="s">
        <v>2361</v>
      </c>
      <c r="B1623" s="58">
        <v>14701130826</v>
      </c>
      <c r="C1623" s="63"/>
      <c r="D1623" s="60"/>
      <c r="E1623" s="9">
        <v>262</v>
      </c>
      <c r="F1623" s="25">
        <v>43160</v>
      </c>
      <c r="G1623" s="61" t="s">
        <v>13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62" t="s">
        <v>2362</v>
      </c>
      <c r="B1624" s="58">
        <v>22084992800</v>
      </c>
      <c r="C1624" s="63"/>
      <c r="D1624" s="60"/>
      <c r="E1624" s="9"/>
      <c r="F1624" s="25"/>
      <c r="G1624" s="61"/>
      <c r="H1624" s="9"/>
      <c r="I1624" s="8"/>
      <c r="J1624" s="8"/>
      <c r="K1624" s="8"/>
      <c r="L1624" s="8"/>
      <c r="M1624" s="8"/>
    </row>
    <row r="1625" spans="1:13">
      <c r="A1625" s="62" t="s">
        <v>2363</v>
      </c>
      <c r="B1625" s="58">
        <v>37338189897</v>
      </c>
      <c r="C1625" s="63" t="s">
        <v>2364</v>
      </c>
      <c r="D1625" s="60">
        <v>27359655897</v>
      </c>
      <c r="E1625" s="9">
        <v>1824</v>
      </c>
      <c r="F1625" s="25">
        <v>43091</v>
      </c>
      <c r="G1625" s="61" t="s">
        <v>13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2365</v>
      </c>
      <c r="B1626" s="58">
        <v>45632601854</v>
      </c>
      <c r="C1626" s="30" t="s">
        <v>2366</v>
      </c>
      <c r="D1626" s="81">
        <v>37984145806</v>
      </c>
      <c r="E1626" s="9">
        <v>563</v>
      </c>
      <c r="F1626" s="25">
        <v>43217</v>
      </c>
      <c r="G1626" s="61"/>
      <c r="H1626" s="9"/>
      <c r="I1626" s="8"/>
      <c r="J1626" s="8"/>
      <c r="K1626" s="8"/>
      <c r="L1626" s="9" t="s">
        <v>299</v>
      </c>
      <c r="M1626" s="8"/>
    </row>
    <row r="1627" spans="1:13">
      <c r="A1627" s="27" t="s">
        <v>2367</v>
      </c>
      <c r="B1627" s="58"/>
      <c r="C1627" s="27" t="s">
        <v>2368</v>
      </c>
      <c r="D1627" s="60"/>
      <c r="E1627" s="9"/>
      <c r="F1627" s="25"/>
      <c r="G1627" s="61"/>
      <c r="H1627" s="9"/>
      <c r="I1627" s="8"/>
      <c r="J1627" s="8"/>
      <c r="K1627" s="8"/>
      <c r="L1627" s="8"/>
      <c r="M1627" s="8"/>
    </row>
    <row r="1628" spans="1:13">
      <c r="A1628" s="62" t="s">
        <v>2369</v>
      </c>
      <c r="B1628" s="58">
        <v>38656179802</v>
      </c>
      <c r="C1628" s="63"/>
      <c r="D1628" s="60"/>
      <c r="E1628" s="9"/>
      <c r="F1628" s="25"/>
      <c r="G1628" s="61"/>
      <c r="H1628" s="9"/>
      <c r="I1628" s="8"/>
      <c r="J1628" s="8"/>
      <c r="K1628" s="8"/>
      <c r="L1628" s="8"/>
      <c r="M1628" s="8"/>
    </row>
    <row r="1629" spans="1:13">
      <c r="A1629" s="62" t="s">
        <v>2370</v>
      </c>
      <c r="B1629" s="58">
        <v>38150547886</v>
      </c>
      <c r="C1629" s="63" t="s">
        <v>2371</v>
      </c>
      <c r="D1629" s="60">
        <v>36270820871</v>
      </c>
      <c r="E1629" s="9">
        <v>262</v>
      </c>
      <c r="F1629" s="25">
        <v>43160</v>
      </c>
      <c r="G1629" s="9" t="s">
        <v>13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2372</v>
      </c>
      <c r="B1630" s="58">
        <v>59306696</v>
      </c>
      <c r="C1630" s="18"/>
      <c r="D1630" s="60"/>
      <c r="E1630" s="9"/>
      <c r="F1630" s="25"/>
      <c r="G1630" s="61"/>
      <c r="H1630" s="9"/>
      <c r="I1630" s="8"/>
      <c r="J1630" s="8"/>
      <c r="K1630" s="8"/>
      <c r="L1630" s="8"/>
      <c r="M1630" s="8"/>
    </row>
    <row r="1631" spans="1:13">
      <c r="A1631" s="18" t="s">
        <v>2373</v>
      </c>
      <c r="B1631" s="58"/>
      <c r="C1631" s="18"/>
      <c r="D1631" s="60"/>
      <c r="E1631" s="9"/>
      <c r="F1631" s="25"/>
      <c r="G1631" s="61"/>
      <c r="H1631" s="9"/>
      <c r="I1631" s="8"/>
      <c r="J1631" s="8"/>
      <c r="K1631" s="8"/>
      <c r="L1631" s="8"/>
      <c r="M1631" s="8"/>
    </row>
    <row r="1632" spans="1:13">
      <c r="A1632" s="19" t="s">
        <v>2374</v>
      </c>
      <c r="B1632" s="58">
        <v>9276403841</v>
      </c>
      <c r="C1632" s="68"/>
      <c r="D1632" s="58"/>
      <c r="E1632" s="9"/>
      <c r="F1632" s="25"/>
      <c r="G1632" s="61"/>
      <c r="H1632" s="9"/>
      <c r="I1632" s="8"/>
      <c r="J1632" s="8"/>
      <c r="K1632" s="8"/>
      <c r="L1632" s="8"/>
      <c r="M1632" s="8"/>
    </row>
    <row r="1633" spans="1:13">
      <c r="A1633" s="62" t="s">
        <v>2375</v>
      </c>
      <c r="B1633" s="58">
        <v>26608066830</v>
      </c>
      <c r="C1633" s="59"/>
      <c r="D1633" s="60"/>
      <c r="E1633" s="9"/>
      <c r="F1633" s="25"/>
      <c r="G1633" s="61"/>
      <c r="H1633" s="9"/>
      <c r="I1633" s="8"/>
      <c r="J1633" s="8"/>
      <c r="K1633" s="8"/>
      <c r="L1633" s="8"/>
      <c r="M1633" s="8"/>
    </row>
    <row r="1634" spans="1:13">
      <c r="A1634" s="62" t="s">
        <v>2376</v>
      </c>
      <c r="B1634" s="58">
        <v>46467969880</v>
      </c>
      <c r="C1634" s="63"/>
      <c r="D1634" s="60"/>
      <c r="E1634" s="9">
        <v>608</v>
      </c>
      <c r="F1634" s="25">
        <v>43012</v>
      </c>
      <c r="G1634" s="61" t="s">
        <v>13</v>
      </c>
      <c r="H1634" s="9"/>
      <c r="I1634" s="8"/>
      <c r="J1634" s="8"/>
      <c r="K1634" s="8"/>
      <c r="L1634" s="8"/>
      <c r="M1634" s="8"/>
    </row>
    <row r="1635" spans="1:13">
      <c r="A1635" s="62" t="s">
        <v>2377</v>
      </c>
      <c r="B1635" s="58">
        <v>4958133542</v>
      </c>
      <c r="C1635" s="63"/>
      <c r="D1635" s="60"/>
      <c r="E1635" s="9">
        <v>229</v>
      </c>
      <c r="F1635" s="25">
        <v>43151</v>
      </c>
      <c r="G1635" s="61" t="s">
        <v>13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2378</v>
      </c>
      <c r="B1636" s="58">
        <v>44852605858</v>
      </c>
      <c r="C1636" s="15" t="s">
        <v>2379</v>
      </c>
      <c r="D1636" s="60">
        <v>44600006879</v>
      </c>
      <c r="E1636" s="9">
        <v>527</v>
      </c>
      <c r="F1636" s="25">
        <v>43210</v>
      </c>
      <c r="G1636" s="61"/>
      <c r="H1636" s="9"/>
      <c r="I1636" s="8"/>
      <c r="J1636" s="8"/>
      <c r="K1636" s="8"/>
      <c r="L1636" s="9">
        <v>528</v>
      </c>
      <c r="M1636" s="8"/>
    </row>
    <row r="1637" spans="1:13">
      <c r="A1637" s="27" t="s">
        <v>2380</v>
      </c>
      <c r="B1637" s="58">
        <v>42130610862</v>
      </c>
      <c r="C1637" s="27" t="s">
        <v>2381</v>
      </c>
      <c r="D1637" s="60">
        <v>34982732809</v>
      </c>
      <c r="E1637" s="9"/>
      <c r="F1637" s="25"/>
      <c r="G1637" s="61"/>
      <c r="H1637" s="9"/>
      <c r="I1637" s="8"/>
      <c r="J1637" s="8"/>
      <c r="K1637" s="8"/>
      <c r="L1637" s="8"/>
      <c r="M1637" s="8"/>
    </row>
    <row r="1638" spans="1:13">
      <c r="A1638" s="62" t="s">
        <v>2382</v>
      </c>
      <c r="B1638" s="58">
        <v>42910431800</v>
      </c>
      <c r="C1638" s="63"/>
      <c r="D1638" s="60"/>
      <c r="E1638" s="9">
        <v>117</v>
      </c>
      <c r="F1638" s="25">
        <v>43117</v>
      </c>
      <c r="G1638" s="61" t="s">
        <v>13</v>
      </c>
      <c r="H1638" s="9"/>
      <c r="I1638" s="8"/>
      <c r="J1638" s="8"/>
      <c r="K1638" s="8"/>
      <c r="L1638" s="9" t="s">
        <v>170</v>
      </c>
      <c r="M1638" s="8"/>
    </row>
    <row r="1639" spans="1:13">
      <c r="A1639" s="15" t="s">
        <v>2383</v>
      </c>
      <c r="B1639" s="58">
        <v>22661252819</v>
      </c>
      <c r="C1639" s="63"/>
      <c r="D1639" s="60"/>
      <c r="E1639" s="9"/>
      <c r="F1639" s="25"/>
      <c r="G1639" s="61"/>
      <c r="H1639" s="9"/>
      <c r="I1639" s="8"/>
      <c r="J1639" s="8"/>
      <c r="K1639" s="8"/>
      <c r="L1639" s="8"/>
      <c r="M1639" s="8"/>
    </row>
    <row r="1640" spans="1:13">
      <c r="A1640" s="15" t="s">
        <v>2384</v>
      </c>
      <c r="B1640" s="58">
        <v>46435904839</v>
      </c>
      <c r="C1640" s="63"/>
      <c r="D1640" s="60"/>
      <c r="E1640" s="9">
        <v>117</v>
      </c>
      <c r="F1640" s="25">
        <v>43117</v>
      </c>
      <c r="G1640" s="61" t="s">
        <v>13</v>
      </c>
      <c r="H1640" s="9"/>
      <c r="I1640" s="8"/>
      <c r="J1640" s="8"/>
      <c r="K1640" s="8"/>
      <c r="L1640" s="9" t="s">
        <v>170</v>
      </c>
      <c r="M1640" s="8"/>
    </row>
    <row r="1641" spans="1:13">
      <c r="A1641" s="62" t="s">
        <v>2385</v>
      </c>
      <c r="B1641" s="58">
        <v>39453524875</v>
      </c>
      <c r="C1641" s="63"/>
      <c r="D1641" s="60"/>
      <c r="E1641" s="9">
        <v>262</v>
      </c>
      <c r="F1641" s="25">
        <v>43160</v>
      </c>
      <c r="G1641" s="9" t="s">
        <v>13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63" t="s">
        <v>2386</v>
      </c>
      <c r="B1642" s="58">
        <v>41160706883</v>
      </c>
      <c r="C1642" s="63"/>
      <c r="D1642" s="60"/>
      <c r="E1642" s="9">
        <v>485</v>
      </c>
      <c r="F1642" s="25">
        <v>43196</v>
      </c>
      <c r="G1642" s="61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2387</v>
      </c>
      <c r="B1643" s="58">
        <v>25399089858</v>
      </c>
      <c r="C1643" s="18" t="s">
        <v>2388</v>
      </c>
      <c r="D1643" s="60">
        <v>11514624893</v>
      </c>
      <c r="E1643" s="9"/>
      <c r="F1643" s="25"/>
      <c r="G1643" s="61"/>
      <c r="H1643" s="9"/>
      <c r="I1643" s="8"/>
      <c r="J1643" s="8"/>
      <c r="K1643" s="8"/>
      <c r="L1643" s="8"/>
      <c r="M1643" s="8"/>
    </row>
    <row r="1644" spans="1:13">
      <c r="A1644" s="15" t="s">
        <v>2389</v>
      </c>
      <c r="B1644" s="58">
        <v>36758489817</v>
      </c>
      <c r="C1644" s="63" t="s">
        <v>2390</v>
      </c>
      <c r="D1644" s="60">
        <v>15602238808</v>
      </c>
      <c r="E1644" s="9">
        <v>117</v>
      </c>
      <c r="F1644" s="25">
        <v>43117</v>
      </c>
      <c r="G1644" s="61" t="s">
        <v>13</v>
      </c>
      <c r="H1644" s="9"/>
      <c r="I1644" s="8"/>
      <c r="J1644" s="8"/>
      <c r="K1644" s="8"/>
      <c r="L1644" s="9" t="s">
        <v>170</v>
      </c>
      <c r="M1644" s="8"/>
    </row>
    <row r="1645" spans="1:13">
      <c r="A1645" s="62" t="s">
        <v>2391</v>
      </c>
      <c r="B1645" s="58">
        <v>24721711883</v>
      </c>
      <c r="C1645" s="59"/>
      <c r="D1645" s="60"/>
      <c r="E1645" s="9">
        <v>1128</v>
      </c>
      <c r="F1645" s="25">
        <v>42972</v>
      </c>
      <c r="G1645" s="61" t="s">
        <v>13</v>
      </c>
      <c r="H1645" s="9"/>
      <c r="I1645" s="8"/>
      <c r="J1645" s="8"/>
      <c r="K1645" s="8"/>
      <c r="L1645" s="8"/>
      <c r="M1645" s="8"/>
    </row>
    <row r="1646" spans="1:13">
      <c r="A1646" s="62" t="s">
        <v>2392</v>
      </c>
      <c r="B1646" s="58">
        <v>35890093819</v>
      </c>
      <c r="C1646" s="63"/>
      <c r="D1646" s="60"/>
      <c r="E1646" s="9"/>
      <c r="F1646" s="25"/>
      <c r="G1646" s="61"/>
      <c r="H1646" s="9"/>
      <c r="I1646" s="8"/>
      <c r="J1646" s="8"/>
      <c r="K1646" s="8"/>
      <c r="L1646" s="8"/>
      <c r="M1646" s="8"/>
    </row>
    <row r="1647" spans="1:13">
      <c r="A1647" s="62" t="s">
        <v>2393</v>
      </c>
      <c r="B1647" s="58">
        <v>3051791440</v>
      </c>
      <c r="C1647" s="63" t="s">
        <v>2394</v>
      </c>
      <c r="D1647" s="60">
        <v>16781433830</v>
      </c>
      <c r="E1647" s="9"/>
      <c r="F1647" s="25"/>
      <c r="G1647" s="61"/>
      <c r="H1647" s="9"/>
      <c r="I1647" s="8"/>
      <c r="J1647" s="8"/>
      <c r="K1647" s="8"/>
      <c r="L1647" s="8"/>
      <c r="M1647" s="8"/>
    </row>
    <row r="1648" spans="1:13">
      <c r="A1648" s="15" t="s">
        <v>2395</v>
      </c>
      <c r="B1648" s="58">
        <v>93557604420</v>
      </c>
      <c r="C1648" s="63"/>
      <c r="D1648" s="60"/>
      <c r="E1648" s="9">
        <v>262</v>
      </c>
      <c r="F1648" s="25">
        <v>43160</v>
      </c>
      <c r="G1648" s="61" t="s">
        <v>13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7" t="s">
        <v>2396</v>
      </c>
      <c r="B1649" s="58">
        <v>19585637812</v>
      </c>
      <c r="C1649" s="18"/>
      <c r="D1649" s="60"/>
      <c r="E1649" s="9"/>
      <c r="F1649" s="25"/>
      <c r="G1649" s="61"/>
      <c r="H1649" s="9"/>
      <c r="I1649" s="8"/>
      <c r="J1649" s="8"/>
      <c r="K1649" s="8"/>
      <c r="L1649" s="8"/>
      <c r="M1649" s="8"/>
    </row>
    <row r="1650" spans="1:13">
      <c r="A1650" s="27" t="s">
        <v>2397</v>
      </c>
      <c r="B1650" s="58">
        <v>8774817841</v>
      </c>
      <c r="C1650" s="18" t="s">
        <v>129</v>
      </c>
      <c r="D1650" s="60"/>
      <c r="E1650" s="9"/>
      <c r="F1650" s="25"/>
      <c r="G1650" s="61"/>
      <c r="H1650" s="9"/>
      <c r="I1650" s="8"/>
      <c r="J1650" s="8"/>
      <c r="K1650" s="8"/>
      <c r="L1650" s="8"/>
      <c r="M1650" s="8"/>
    </row>
    <row r="1651" spans="1:13">
      <c r="A1651" s="62" t="s">
        <v>2398</v>
      </c>
      <c r="B1651" s="58">
        <v>15730438850</v>
      </c>
      <c r="C1651" s="63" t="s">
        <v>2399</v>
      </c>
      <c r="D1651" s="60">
        <v>11253544883</v>
      </c>
      <c r="E1651" s="9">
        <v>1628</v>
      </c>
      <c r="F1651" s="25">
        <v>43077</v>
      </c>
      <c r="G1651" s="61" t="s">
        <v>13</v>
      </c>
      <c r="H1651" s="9"/>
      <c r="I1651" s="8"/>
      <c r="J1651" s="8"/>
      <c r="K1651" s="8"/>
      <c r="L1651" s="8"/>
      <c r="M1651" s="8"/>
    </row>
    <row r="1652" spans="1:13">
      <c r="A1652" s="63" t="s">
        <v>2400</v>
      </c>
      <c r="B1652" s="58">
        <v>30740494805</v>
      </c>
      <c r="C1652" s="63"/>
      <c r="D1652" s="60"/>
      <c r="E1652" s="9"/>
      <c r="F1652" s="25"/>
      <c r="G1652" s="61"/>
      <c r="H1652" s="9"/>
      <c r="I1652" s="8"/>
      <c r="J1652" s="8"/>
      <c r="K1652" s="8"/>
      <c r="L1652" s="8"/>
      <c r="M1652" s="8"/>
    </row>
    <row r="1653" spans="1:13">
      <c r="A1653" s="63" t="s">
        <v>2401</v>
      </c>
      <c r="B1653" s="58">
        <v>16416601800</v>
      </c>
      <c r="C1653" s="63" t="s">
        <v>2402</v>
      </c>
      <c r="D1653" s="60">
        <v>6573656881</v>
      </c>
      <c r="E1653" s="9"/>
      <c r="F1653" s="25"/>
      <c r="G1653" s="61"/>
      <c r="H1653" s="9"/>
      <c r="I1653" s="8"/>
      <c r="J1653" s="8"/>
      <c r="K1653" s="8"/>
      <c r="L1653" s="8"/>
      <c r="M1653" s="8"/>
    </row>
    <row r="1654" spans="1:13">
      <c r="A1654" s="15" t="s">
        <v>2403</v>
      </c>
      <c r="B1654" s="58">
        <v>36407820898</v>
      </c>
      <c r="C1654" s="63"/>
      <c r="D1654" s="60"/>
      <c r="E1654" s="9"/>
      <c r="F1654" s="25"/>
      <c r="G1654" s="61"/>
      <c r="H1654" s="9"/>
      <c r="I1654" s="8"/>
      <c r="J1654" s="8"/>
      <c r="K1654" s="8"/>
      <c r="L1654" s="8"/>
      <c r="M1654" s="8"/>
    </row>
    <row r="1655" spans="1:13">
      <c r="A1655" s="62" t="s">
        <v>2404</v>
      </c>
      <c r="B1655" s="58">
        <v>33443830862</v>
      </c>
      <c r="C1655" s="63"/>
      <c r="D1655" s="60"/>
      <c r="E1655" s="9">
        <v>1752</v>
      </c>
      <c r="F1655" s="25">
        <v>43051</v>
      </c>
      <c r="G1655" s="61" t="s">
        <v>13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2405</v>
      </c>
      <c r="B1656" s="58">
        <v>6595999617</v>
      </c>
      <c r="C1656" s="59" t="s">
        <v>2406</v>
      </c>
      <c r="D1656" s="60">
        <v>9929242430</v>
      </c>
      <c r="E1656" s="9">
        <v>1128</v>
      </c>
      <c r="F1656" s="25">
        <v>42972</v>
      </c>
      <c r="G1656" s="61" t="s">
        <v>13</v>
      </c>
      <c r="H1656" s="9"/>
      <c r="I1656" s="8"/>
      <c r="J1656" s="8"/>
      <c r="K1656" s="8"/>
      <c r="L1656" s="8"/>
      <c r="M1656" s="8"/>
    </row>
    <row r="1657" spans="1:13">
      <c r="A1657" s="62" t="s">
        <v>2407</v>
      </c>
      <c r="B1657" s="58">
        <v>29886029803</v>
      </c>
      <c r="C1657" s="63"/>
      <c r="D1657" s="60"/>
      <c r="E1657" s="9">
        <v>292</v>
      </c>
      <c r="F1657" s="25">
        <v>43168</v>
      </c>
      <c r="G1657" s="61" t="s">
        <v>13</v>
      </c>
      <c r="H1657" s="9"/>
      <c r="I1657" s="8"/>
      <c r="J1657" s="8"/>
      <c r="K1657" s="8"/>
      <c r="L1657" s="9">
        <v>318</v>
      </c>
      <c r="M1657" s="8"/>
    </row>
    <row r="1658" spans="1:13">
      <c r="A1658" s="62" t="s">
        <v>2408</v>
      </c>
      <c r="B1658" s="58">
        <v>23766323822</v>
      </c>
      <c r="C1658" s="59"/>
      <c r="D1658" s="60"/>
      <c r="E1658" s="9"/>
      <c r="F1658" s="25"/>
      <c r="G1658" s="61"/>
      <c r="H1658" s="9"/>
      <c r="I1658" s="8"/>
      <c r="J1658" s="8"/>
      <c r="K1658" s="8"/>
      <c r="L1658" s="8"/>
      <c r="M1658" s="8"/>
    </row>
    <row r="1659" spans="1:13">
      <c r="A1659" s="62" t="s">
        <v>2409</v>
      </c>
      <c r="B1659" s="58">
        <v>28785359874</v>
      </c>
      <c r="C1659" s="63" t="s">
        <v>2410</v>
      </c>
      <c r="D1659" s="60">
        <v>17804545894</v>
      </c>
      <c r="E1659" s="9">
        <v>443</v>
      </c>
      <c r="F1659" s="25">
        <v>43188</v>
      </c>
      <c r="G1659" s="61"/>
      <c r="H1659" s="9"/>
      <c r="I1659" s="8"/>
      <c r="J1659" s="8"/>
      <c r="K1659" s="8"/>
      <c r="L1659" s="8"/>
      <c r="M1659" s="8"/>
    </row>
    <row r="1660" spans="1:13">
      <c r="A1660" s="62" t="s">
        <v>2411</v>
      </c>
      <c r="B1660" s="58">
        <v>36460261890</v>
      </c>
      <c r="C1660" s="63" t="s">
        <v>2412</v>
      </c>
      <c r="D1660" s="60">
        <v>7468402841</v>
      </c>
      <c r="E1660" s="9">
        <v>608</v>
      </c>
      <c r="F1660" s="25">
        <v>43012</v>
      </c>
      <c r="G1660" s="61" t="s">
        <v>13</v>
      </c>
      <c r="H1660" s="9"/>
      <c r="I1660" s="8"/>
      <c r="J1660" s="8"/>
      <c r="K1660" s="8"/>
      <c r="L1660" s="8"/>
      <c r="M1660" s="8"/>
    </row>
    <row r="1661" spans="1:13">
      <c r="A1661" s="15" t="s">
        <v>2413</v>
      </c>
      <c r="B1661" s="58">
        <v>10859877442</v>
      </c>
      <c r="C1661" s="63"/>
      <c r="D1661" s="60"/>
      <c r="E1661" s="9">
        <v>262</v>
      </c>
      <c r="F1661" s="25">
        <v>43160</v>
      </c>
      <c r="G1661" s="61" t="s">
        <v>13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62" t="s">
        <v>2414</v>
      </c>
      <c r="B1662" s="58">
        <v>26206257851</v>
      </c>
      <c r="C1662" s="63"/>
      <c r="D1662" s="60"/>
      <c r="E1662" s="9">
        <v>85</v>
      </c>
      <c r="F1662" s="25">
        <v>43109</v>
      </c>
      <c r="G1662" s="61" t="s">
        <v>13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2415</v>
      </c>
      <c r="B1663" s="58">
        <v>34385358826</v>
      </c>
      <c r="C1663" s="63" t="s">
        <v>2416</v>
      </c>
      <c r="D1663" s="60">
        <v>90930843487</v>
      </c>
      <c r="E1663" s="9"/>
      <c r="F1663" s="25"/>
      <c r="G1663" s="61"/>
      <c r="H1663" s="9"/>
      <c r="I1663" s="8"/>
      <c r="J1663" s="8"/>
      <c r="K1663" s="8"/>
      <c r="L1663" s="8"/>
      <c r="M1663" s="8"/>
    </row>
    <row r="1664" spans="1:13">
      <c r="A1664" s="62" t="s">
        <v>2417</v>
      </c>
      <c r="B1664" s="58">
        <v>24820428870</v>
      </c>
      <c r="C1664" s="63" t="s">
        <v>2418</v>
      </c>
      <c r="D1664" s="60">
        <v>22012255833</v>
      </c>
      <c r="E1664" s="9">
        <v>1417</v>
      </c>
      <c r="F1664" s="25">
        <v>43017</v>
      </c>
      <c r="G1664" s="61" t="s">
        <v>13</v>
      </c>
      <c r="H1664" s="9"/>
      <c r="I1664" s="8"/>
      <c r="J1664" s="8"/>
      <c r="K1664" s="8"/>
      <c r="L1664" s="9" t="s">
        <v>253</v>
      </c>
      <c r="M1664" s="8"/>
    </row>
    <row r="1665" spans="1:13">
      <c r="A1665" s="27" t="s">
        <v>2419</v>
      </c>
      <c r="B1665" s="58">
        <v>31148609822</v>
      </c>
      <c r="C1665" s="27" t="s">
        <v>2420</v>
      </c>
      <c r="D1665" s="60">
        <v>38179704807</v>
      </c>
      <c r="E1665" s="9"/>
      <c r="F1665" s="25"/>
      <c r="G1665" s="61"/>
      <c r="H1665" s="9"/>
      <c r="I1665" s="8"/>
      <c r="J1665" s="8"/>
      <c r="K1665" s="8"/>
      <c r="L1665" s="8"/>
      <c r="M1665" s="8"/>
    </row>
    <row r="1666" spans="1:13">
      <c r="A1666" s="62" t="s">
        <v>2421</v>
      </c>
      <c r="B1666" s="58">
        <v>33996438885</v>
      </c>
      <c r="C1666" s="63"/>
      <c r="D1666" s="60"/>
      <c r="E1666" s="9">
        <v>117</v>
      </c>
      <c r="F1666" s="25">
        <v>43117</v>
      </c>
      <c r="G1666" s="61" t="s">
        <v>28</v>
      </c>
      <c r="H1666" s="9"/>
      <c r="I1666" s="8"/>
      <c r="J1666" s="8"/>
      <c r="K1666" s="8"/>
      <c r="L1666" s="9" t="s">
        <v>170</v>
      </c>
      <c r="M1666" s="8"/>
    </row>
    <row r="1667" spans="1:13">
      <c r="A1667" s="14" t="s">
        <v>2422</v>
      </c>
      <c r="B1667" s="58">
        <v>38661599865</v>
      </c>
      <c r="C1667" s="63"/>
      <c r="D1667" s="60"/>
      <c r="E1667" s="9"/>
      <c r="F1667" s="25"/>
      <c r="G1667" s="61"/>
      <c r="H1667" s="9"/>
      <c r="I1667" s="8"/>
      <c r="J1667" s="8"/>
      <c r="K1667" s="8"/>
      <c r="L1667" s="8"/>
      <c r="M1667" s="8"/>
    </row>
    <row r="1668" spans="1:13">
      <c r="A1668" s="62" t="s">
        <v>2422</v>
      </c>
      <c r="B1668" s="58">
        <v>22903913870</v>
      </c>
      <c r="C1668" s="63"/>
      <c r="D1668" s="60"/>
      <c r="E1668" s="9">
        <v>262</v>
      </c>
      <c r="F1668" s="25">
        <v>43160</v>
      </c>
      <c r="G1668" s="61" t="s">
        <v>13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2423</v>
      </c>
      <c r="B1669" s="58">
        <v>44772896856</v>
      </c>
      <c r="C1669" s="63" t="s">
        <v>2424</v>
      </c>
      <c r="D1669" s="60">
        <v>39313729873</v>
      </c>
      <c r="E1669" s="9">
        <v>117</v>
      </c>
      <c r="F1669" s="25">
        <v>43117</v>
      </c>
      <c r="G1669" s="61" t="s">
        <v>13</v>
      </c>
      <c r="H1669" s="9"/>
      <c r="I1669" s="8"/>
      <c r="J1669" s="8"/>
      <c r="K1669" s="8"/>
      <c r="L1669" s="9" t="s">
        <v>170</v>
      </c>
      <c r="M1669" s="8"/>
    </row>
    <row r="1670" spans="1:13">
      <c r="A1670" s="27" t="s">
        <v>2425</v>
      </c>
      <c r="B1670" s="58">
        <v>28501359840</v>
      </c>
      <c r="C1670" s="27" t="s">
        <v>2426</v>
      </c>
      <c r="D1670" s="60">
        <v>30604533810</v>
      </c>
      <c r="E1670" s="9"/>
      <c r="F1670" s="25"/>
      <c r="G1670" s="61"/>
      <c r="H1670" s="9"/>
      <c r="I1670" s="8"/>
      <c r="J1670" s="8"/>
      <c r="K1670" s="8"/>
      <c r="L1670" s="8"/>
      <c r="M1670" s="8"/>
    </row>
    <row r="1671" spans="1:13">
      <c r="A1671" s="62" t="s">
        <v>2427</v>
      </c>
      <c r="B1671" s="58">
        <v>26374706315</v>
      </c>
      <c r="C1671" s="63"/>
      <c r="D1671" s="60"/>
      <c r="E1671" s="9"/>
      <c r="F1671" s="25"/>
      <c r="G1671" s="61"/>
      <c r="H1671" s="9"/>
      <c r="I1671" s="8"/>
      <c r="J1671" s="8"/>
      <c r="K1671" s="8"/>
      <c r="L1671" s="8"/>
      <c r="M1671" s="8"/>
    </row>
    <row r="1672" spans="1:13">
      <c r="A1672" s="62" t="s">
        <v>2428</v>
      </c>
      <c r="B1672" s="58">
        <v>30131142828</v>
      </c>
      <c r="C1672" s="68" t="s">
        <v>2429</v>
      </c>
      <c r="D1672" s="60">
        <v>58958843420</v>
      </c>
      <c r="E1672" s="9"/>
      <c r="F1672" s="25"/>
      <c r="G1672" s="61"/>
      <c r="H1672" s="9"/>
      <c r="I1672" s="8"/>
      <c r="J1672" s="8"/>
      <c r="K1672" s="8"/>
      <c r="L1672" s="8"/>
      <c r="M1672" s="8"/>
    </row>
    <row r="1673" spans="1:13">
      <c r="A1673" s="27" t="s">
        <v>2430</v>
      </c>
      <c r="B1673" s="58"/>
      <c r="C1673" s="27" t="s">
        <v>129</v>
      </c>
      <c r="D1673" s="60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62" t="s">
        <v>2431</v>
      </c>
      <c r="B1674" s="58">
        <v>22397188899</v>
      </c>
      <c r="C1674" s="63"/>
      <c r="D1674" s="60"/>
      <c r="E1674" s="9">
        <v>1350</v>
      </c>
      <c r="F1674" s="25">
        <v>43006</v>
      </c>
      <c r="G1674" s="61" t="s">
        <v>13</v>
      </c>
      <c r="H1674" s="9"/>
      <c r="I1674" s="8"/>
      <c r="J1674" s="8"/>
      <c r="K1674" s="8"/>
      <c r="L1674" s="8"/>
      <c r="M1674" s="8"/>
    </row>
    <row r="1675" spans="1:13">
      <c r="A1675" s="15" t="s">
        <v>2432</v>
      </c>
      <c r="B1675" s="58">
        <v>2090045507</v>
      </c>
      <c r="C1675" s="63"/>
      <c r="D1675" s="60"/>
      <c r="E1675" s="9">
        <v>229</v>
      </c>
      <c r="F1675" s="25">
        <v>43151</v>
      </c>
      <c r="G1675" s="61" t="s">
        <v>13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2433</v>
      </c>
      <c r="B1676" s="58">
        <v>31420205862</v>
      </c>
      <c r="C1676" s="63"/>
      <c r="D1676" s="60"/>
      <c r="E1676" s="9">
        <v>262</v>
      </c>
      <c r="F1676" s="25">
        <v>43160</v>
      </c>
      <c r="G1676" s="61" t="s">
        <v>13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62" t="s">
        <v>2434</v>
      </c>
      <c r="B1677" s="58">
        <v>78689619372</v>
      </c>
      <c r="C1677" s="63"/>
      <c r="D1677" s="60"/>
      <c r="E1677" s="9">
        <v>262</v>
      </c>
      <c r="F1677" s="25">
        <v>43160</v>
      </c>
      <c r="G1677" s="9" t="s">
        <v>13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7" t="s">
        <v>2435</v>
      </c>
      <c r="B1678" s="58">
        <v>30319988805</v>
      </c>
      <c r="C1678" s="27" t="s">
        <v>129</v>
      </c>
      <c r="D1678" s="60"/>
      <c r="E1678" s="9"/>
      <c r="F1678" s="25"/>
      <c r="G1678" s="61"/>
      <c r="H1678" s="9"/>
      <c r="I1678" s="8"/>
      <c r="J1678" s="8"/>
      <c r="K1678" s="8"/>
      <c r="L1678" s="8"/>
      <c r="M1678" s="8"/>
    </row>
    <row r="1679" spans="1:13">
      <c r="A1679" s="62" t="s">
        <v>2436</v>
      </c>
      <c r="B1679" s="58">
        <v>30287548864</v>
      </c>
      <c r="C1679" s="63"/>
      <c r="D1679" s="60"/>
      <c r="E1679" s="9"/>
      <c r="F1679" s="25"/>
      <c r="G1679" s="61"/>
      <c r="H1679" s="9"/>
      <c r="I1679" s="8"/>
      <c r="J1679" s="8"/>
      <c r="K1679" s="8"/>
      <c r="L1679" s="8"/>
      <c r="M1679" s="8"/>
    </row>
    <row r="1680" spans="1:13">
      <c r="A1680" s="62" t="s">
        <v>2437</v>
      </c>
      <c r="B1680" s="58">
        <v>4430967830</v>
      </c>
      <c r="C1680" s="63"/>
      <c r="D1680" s="60"/>
      <c r="E1680" s="9">
        <v>262</v>
      </c>
      <c r="F1680" s="25">
        <v>43160</v>
      </c>
      <c r="G1680" s="61" t="s">
        <v>13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62" t="s">
        <v>2438</v>
      </c>
      <c r="B1681" s="58">
        <v>1565236122</v>
      </c>
      <c r="C1681" s="63" t="s">
        <v>2439</v>
      </c>
      <c r="D1681" s="60">
        <v>218506589</v>
      </c>
      <c r="E1681" s="9">
        <v>1241</v>
      </c>
      <c r="F1681" s="25">
        <v>42992</v>
      </c>
      <c r="G1681" s="61" t="s">
        <v>13</v>
      </c>
      <c r="H1681" s="9"/>
      <c r="I1681" s="8"/>
      <c r="J1681" s="8"/>
      <c r="K1681" s="8"/>
      <c r="L1681" s="8"/>
      <c r="M1681" s="8"/>
    </row>
    <row r="1682" spans="1:13">
      <c r="A1682" s="62" t="s">
        <v>2440</v>
      </c>
      <c r="B1682" s="58">
        <v>37938795852</v>
      </c>
      <c r="C1682" s="63"/>
      <c r="D1682" s="60"/>
      <c r="E1682" s="9"/>
      <c r="F1682" s="25"/>
      <c r="G1682" s="61"/>
      <c r="H1682" s="9"/>
      <c r="I1682" s="8"/>
      <c r="J1682" s="8"/>
      <c r="K1682" s="8"/>
      <c r="L1682" s="8"/>
      <c r="M1682" s="8"/>
    </row>
    <row r="1683" spans="1:13">
      <c r="A1683" s="62" t="s">
        <v>2441</v>
      </c>
      <c r="B1683" s="58">
        <v>31103425889</v>
      </c>
      <c r="C1683" s="63"/>
      <c r="D1683" s="60"/>
      <c r="E1683" s="9">
        <v>292</v>
      </c>
      <c r="F1683" s="25">
        <v>43168</v>
      </c>
      <c r="G1683" s="61" t="s">
        <v>13</v>
      </c>
      <c r="H1683" s="9"/>
      <c r="I1683" s="8"/>
      <c r="J1683" s="8"/>
      <c r="K1683" s="8"/>
      <c r="L1683" s="9">
        <v>318</v>
      </c>
      <c r="M1683" s="8"/>
    </row>
    <row r="1684" spans="1:13">
      <c r="A1684" s="62" t="s">
        <v>2442</v>
      </c>
      <c r="B1684" s="58">
        <v>90944410391</v>
      </c>
      <c r="C1684" s="63"/>
      <c r="D1684" s="60"/>
      <c r="E1684" s="9">
        <v>443</v>
      </c>
      <c r="F1684" s="25">
        <v>43188</v>
      </c>
      <c r="G1684" s="61"/>
      <c r="H1684" s="9"/>
      <c r="I1684" s="8"/>
      <c r="J1684" s="8"/>
      <c r="K1684" s="8"/>
      <c r="L1684" s="8"/>
      <c r="M1684" s="8"/>
    </row>
    <row r="1685" spans="1:13">
      <c r="A1685" s="62" t="s">
        <v>2443</v>
      </c>
      <c r="B1685" s="58">
        <v>25789702899</v>
      </c>
      <c r="C1685" s="68"/>
      <c r="D1685" s="60"/>
      <c r="E1685" s="9"/>
      <c r="F1685" s="25"/>
      <c r="G1685" s="61"/>
      <c r="H1685" s="9"/>
      <c r="I1685" s="8"/>
      <c r="J1685" s="8"/>
      <c r="K1685" s="8"/>
      <c r="L1685" s="8"/>
      <c r="M1685" s="8"/>
    </row>
    <row r="1686" spans="1:13">
      <c r="A1686" s="14" t="s">
        <v>2444</v>
      </c>
      <c r="B1686" s="58">
        <v>28842233803</v>
      </c>
      <c r="C1686" s="63" t="s">
        <v>2445</v>
      </c>
      <c r="D1686" s="60">
        <v>39207708892</v>
      </c>
      <c r="E1686" s="9">
        <v>262</v>
      </c>
      <c r="F1686" s="25">
        <v>43160</v>
      </c>
      <c r="G1686" s="61" t="s">
        <v>20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62" t="s">
        <v>2446</v>
      </c>
      <c r="B1687" s="58">
        <v>37035420800</v>
      </c>
      <c r="C1687" s="63"/>
      <c r="D1687" s="60"/>
      <c r="E1687" s="9">
        <v>810</v>
      </c>
      <c r="F1687" s="25">
        <v>42915</v>
      </c>
      <c r="G1687" s="61" t="s">
        <v>13</v>
      </c>
      <c r="H1687" s="9"/>
      <c r="I1687" s="8"/>
      <c r="J1687" s="8"/>
      <c r="K1687" s="8"/>
      <c r="L1687" s="9" t="s">
        <v>138</v>
      </c>
      <c r="M1687" s="8"/>
    </row>
    <row r="1688" spans="1:13">
      <c r="A1688" s="62" t="s">
        <v>2447</v>
      </c>
      <c r="B1688" s="58">
        <v>39111957883</v>
      </c>
      <c r="C1688" s="63" t="s">
        <v>2448</v>
      </c>
      <c r="D1688" s="60">
        <v>36018657856</v>
      </c>
      <c r="E1688" s="9">
        <v>573</v>
      </c>
      <c r="F1688" s="25">
        <v>43224</v>
      </c>
      <c r="G1688" s="61"/>
      <c r="H1688" s="9"/>
      <c r="I1688" s="8"/>
      <c r="J1688" s="8"/>
      <c r="K1688" s="8"/>
      <c r="L1688" s="8"/>
      <c r="M1688" s="8"/>
    </row>
    <row r="1689" spans="1:13">
      <c r="A1689" s="64" t="s">
        <v>2449</v>
      </c>
      <c r="B1689" s="58">
        <v>26763450877</v>
      </c>
      <c r="C1689" s="63" t="s">
        <v>2450</v>
      </c>
      <c r="D1689" s="60">
        <v>23405053803</v>
      </c>
      <c r="E1689" s="9">
        <v>292</v>
      </c>
      <c r="F1689" s="25">
        <v>43168</v>
      </c>
      <c r="G1689" s="61" t="s">
        <v>13</v>
      </c>
      <c r="H1689" s="9"/>
      <c r="I1689" s="8"/>
      <c r="J1689" s="8"/>
      <c r="K1689" s="8"/>
      <c r="L1689" s="9">
        <v>318</v>
      </c>
      <c r="M1689" s="8"/>
    </row>
    <row r="1690" spans="1:13">
      <c r="A1690" s="62" t="s">
        <v>2451</v>
      </c>
      <c r="B1690" s="58">
        <v>12721944851</v>
      </c>
      <c r="C1690" s="63"/>
      <c r="D1690" s="60"/>
      <c r="E1690" s="9">
        <v>117</v>
      </c>
      <c r="F1690" s="25">
        <v>43117</v>
      </c>
      <c r="G1690" s="61" t="s">
        <v>13</v>
      </c>
      <c r="H1690" s="9"/>
      <c r="I1690" s="8"/>
      <c r="J1690" s="8"/>
      <c r="K1690" s="8"/>
      <c r="L1690" s="9" t="s">
        <v>170</v>
      </c>
      <c r="M1690" s="8"/>
    </row>
    <row r="1691" spans="1:13">
      <c r="A1691" s="27" t="s">
        <v>2452</v>
      </c>
      <c r="B1691" s="58">
        <v>41696411831</v>
      </c>
      <c r="C1691" s="27" t="s">
        <v>2453</v>
      </c>
      <c r="D1691" s="60">
        <v>8056204512</v>
      </c>
      <c r="E1691" s="9"/>
      <c r="F1691" s="25"/>
      <c r="G1691" s="61"/>
      <c r="H1691" s="9"/>
      <c r="I1691" s="8"/>
      <c r="J1691" s="8"/>
      <c r="K1691" s="8"/>
      <c r="L1691" s="8"/>
      <c r="M1691" s="8"/>
    </row>
    <row r="1692" spans="1:13">
      <c r="A1692" s="13" t="s">
        <v>2454</v>
      </c>
      <c r="B1692" s="58">
        <v>45396784857</v>
      </c>
      <c r="C1692" s="63"/>
      <c r="D1692" s="60"/>
      <c r="E1692" s="9">
        <v>527</v>
      </c>
      <c r="F1692" s="25">
        <v>43210</v>
      </c>
      <c r="G1692" s="61"/>
      <c r="H1692" s="9"/>
      <c r="I1692" s="8"/>
      <c r="J1692" s="8"/>
      <c r="K1692" s="8"/>
      <c r="L1692" s="9">
        <v>528</v>
      </c>
      <c r="M1692" s="8"/>
    </row>
    <row r="1693" spans="1:13">
      <c r="A1693" s="27" t="s">
        <v>2455</v>
      </c>
      <c r="B1693" s="58"/>
      <c r="C1693" s="18" t="s">
        <v>129</v>
      </c>
      <c r="D1693" s="60"/>
      <c r="E1693" s="9"/>
      <c r="F1693" s="25"/>
      <c r="G1693" s="61"/>
      <c r="H1693" s="9"/>
      <c r="I1693" s="8"/>
      <c r="J1693" s="8"/>
      <c r="K1693" s="8"/>
      <c r="L1693" s="8"/>
      <c r="M1693" s="8"/>
    </row>
    <row r="1694" spans="1:13">
      <c r="A1694" s="63" t="s">
        <v>2456</v>
      </c>
      <c r="B1694" s="58">
        <v>8946062479</v>
      </c>
      <c r="C1694" s="15" t="s">
        <v>2457</v>
      </c>
      <c r="D1694" s="60">
        <v>9671165460</v>
      </c>
      <c r="E1694" s="9">
        <v>292</v>
      </c>
      <c r="F1694" s="25">
        <v>43168</v>
      </c>
      <c r="G1694" s="61" t="s">
        <v>20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2458</v>
      </c>
      <c r="B1695" s="58">
        <v>20055855806</v>
      </c>
      <c r="C1695" s="63"/>
      <c r="D1695" s="60"/>
      <c r="E1695" s="9">
        <v>262</v>
      </c>
      <c r="F1695" s="25">
        <v>43160</v>
      </c>
      <c r="G1695" s="61" t="s">
        <v>13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2459</v>
      </c>
      <c r="B1696" s="58">
        <v>39620038860</v>
      </c>
      <c r="C1696" s="63"/>
      <c r="D1696" s="60"/>
      <c r="E1696" s="9">
        <v>1570</v>
      </c>
      <c r="F1696" s="25">
        <v>43077</v>
      </c>
      <c r="G1696" s="61" t="s">
        <v>13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7" t="s">
        <v>2460</v>
      </c>
      <c r="B1697" s="58"/>
      <c r="C1697" s="18" t="s">
        <v>129</v>
      </c>
      <c r="D1697" s="60"/>
      <c r="E1697" s="9"/>
      <c r="F1697" s="25"/>
      <c r="G1697" s="61"/>
      <c r="H1697" s="9"/>
      <c r="I1697" s="8"/>
      <c r="J1697" s="8"/>
      <c r="K1697" s="8"/>
      <c r="L1697" s="8"/>
      <c r="M1697" s="8"/>
    </row>
    <row r="1698" spans="1:13">
      <c r="A1698" s="63" t="s">
        <v>2461</v>
      </c>
      <c r="B1698" s="58">
        <v>39738738873</v>
      </c>
      <c r="C1698" s="63"/>
      <c r="D1698" s="60"/>
      <c r="E1698" s="9">
        <v>1824</v>
      </c>
      <c r="F1698" s="25">
        <v>43091</v>
      </c>
      <c r="G1698" s="61" t="s">
        <v>13</v>
      </c>
      <c r="H1698" s="9"/>
      <c r="I1698" s="8"/>
      <c r="J1698" s="8"/>
      <c r="K1698" s="8"/>
      <c r="L1698" s="9">
        <v>1828</v>
      </c>
      <c r="M1698" s="8"/>
    </row>
    <row r="1699" spans="1:13">
      <c r="A1699" s="62" t="s">
        <v>2462</v>
      </c>
      <c r="B1699" s="58">
        <v>32771773864</v>
      </c>
      <c r="C1699" s="68"/>
      <c r="D1699" s="60"/>
      <c r="E1699" s="9"/>
      <c r="F1699" s="25"/>
      <c r="G1699" s="61"/>
      <c r="H1699" s="9"/>
      <c r="I1699" s="8"/>
      <c r="J1699" s="8"/>
      <c r="K1699" s="8"/>
      <c r="L1699" s="8"/>
      <c r="M1699" s="8"/>
    </row>
    <row r="1700" spans="1:13">
      <c r="A1700" s="14" t="s">
        <v>2463</v>
      </c>
      <c r="B1700" s="58">
        <v>42101232855</v>
      </c>
      <c r="C1700" s="63"/>
      <c r="D1700" s="60"/>
      <c r="E1700" s="9"/>
      <c r="F1700" s="25"/>
      <c r="G1700" s="61"/>
      <c r="H1700" s="9"/>
      <c r="I1700" s="8"/>
      <c r="J1700" s="8"/>
      <c r="K1700" s="8"/>
      <c r="L1700" s="8"/>
      <c r="M1700" s="8"/>
    </row>
    <row r="1701" spans="1:13">
      <c r="A1701" s="62" t="s">
        <v>2464</v>
      </c>
      <c r="B1701" s="58">
        <v>89218655515</v>
      </c>
      <c r="C1701" s="68"/>
      <c r="D1701" s="60"/>
      <c r="E1701" s="9"/>
      <c r="F1701" s="25"/>
      <c r="G1701" s="61"/>
      <c r="H1701" s="9"/>
      <c r="I1701" s="8"/>
      <c r="J1701" s="8"/>
      <c r="K1701" s="8"/>
      <c r="L1701" s="8"/>
      <c r="M1701" s="8"/>
    </row>
    <row r="1702" spans="1:13">
      <c r="A1702" s="15" t="s">
        <v>2465</v>
      </c>
      <c r="B1702" s="58">
        <v>15395632867</v>
      </c>
      <c r="C1702" s="64"/>
      <c r="D1702" s="60"/>
      <c r="E1702" s="9"/>
      <c r="F1702" s="25"/>
      <c r="G1702" s="61"/>
      <c r="H1702" s="9"/>
      <c r="I1702" s="8"/>
      <c r="J1702" s="8"/>
      <c r="K1702" s="8"/>
      <c r="L1702" s="8"/>
      <c r="M1702" s="8"/>
    </row>
    <row r="1703" spans="1:13">
      <c r="A1703" s="62" t="s">
        <v>2466</v>
      </c>
      <c r="B1703" s="58">
        <v>17093063861</v>
      </c>
      <c r="C1703" s="63"/>
      <c r="D1703" s="60"/>
      <c r="E1703" s="9"/>
      <c r="F1703" s="25"/>
      <c r="G1703" s="61"/>
      <c r="H1703" s="9"/>
      <c r="I1703" s="8"/>
      <c r="J1703" s="8"/>
      <c r="K1703" s="8"/>
      <c r="L1703" s="8"/>
      <c r="M1703" s="8"/>
    </row>
    <row r="1704" spans="1:13">
      <c r="A1704" s="62" t="s">
        <v>2467</v>
      </c>
      <c r="B1704" s="69">
        <v>12978145846</v>
      </c>
      <c r="C1704" s="68"/>
      <c r="D1704" s="60"/>
      <c r="E1704" s="9"/>
      <c r="F1704" s="25"/>
      <c r="G1704" s="61"/>
      <c r="H1704" s="9"/>
      <c r="I1704" s="8"/>
      <c r="J1704" s="8"/>
      <c r="K1704" s="8"/>
      <c r="L1704" s="8"/>
      <c r="M1704" s="8"/>
    </row>
    <row r="1705" spans="1:13">
      <c r="A1705" s="16" t="s">
        <v>2468</v>
      </c>
      <c r="B1705" s="58">
        <v>65827619515</v>
      </c>
      <c r="C1705" s="64"/>
      <c r="D1705" s="60"/>
      <c r="E1705" s="9"/>
      <c r="F1705" s="25"/>
      <c r="G1705" s="61"/>
      <c r="H1705" s="9"/>
      <c r="I1705" s="8"/>
      <c r="J1705" s="8"/>
      <c r="K1705" s="8"/>
      <c r="L1705" s="8"/>
      <c r="M1705" s="8"/>
    </row>
    <row r="1706" spans="1:13">
      <c r="A1706" s="62" t="s">
        <v>2469</v>
      </c>
      <c r="B1706" s="58">
        <v>23431346855</v>
      </c>
      <c r="C1706" s="63"/>
      <c r="D1706" s="60"/>
      <c r="E1706" s="9">
        <v>292</v>
      </c>
      <c r="F1706" s="25">
        <v>43168</v>
      </c>
      <c r="G1706" s="61" t="s">
        <v>13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2470</v>
      </c>
      <c r="B1707" s="58">
        <v>39163113287</v>
      </c>
      <c r="C1707" s="63"/>
      <c r="D1707" s="60"/>
      <c r="E1707" s="9">
        <v>1417</v>
      </c>
      <c r="F1707" s="25">
        <v>43017</v>
      </c>
      <c r="G1707" s="61" t="s">
        <v>13</v>
      </c>
      <c r="H1707" s="9"/>
      <c r="I1707" s="8"/>
      <c r="J1707" s="8"/>
      <c r="K1707" s="8"/>
      <c r="L1707" s="9" t="s">
        <v>253</v>
      </c>
      <c r="M1707" s="8"/>
    </row>
    <row r="1708" spans="1:13">
      <c r="A1708" s="13" t="s">
        <v>2471</v>
      </c>
      <c r="B1708" s="58">
        <v>26224953821</v>
      </c>
      <c r="C1708" s="63"/>
      <c r="D1708" s="60"/>
      <c r="E1708" s="9">
        <v>1350</v>
      </c>
      <c r="F1708" s="25">
        <v>43006</v>
      </c>
      <c r="G1708" s="61" t="s">
        <v>13</v>
      </c>
      <c r="H1708" s="9"/>
      <c r="I1708" s="8"/>
      <c r="J1708" s="8"/>
      <c r="K1708" s="8"/>
      <c r="L1708" s="8"/>
      <c r="M1708" s="8"/>
    </row>
    <row r="1709" spans="1:13">
      <c r="A1709" s="62" t="s">
        <v>2472</v>
      </c>
      <c r="B1709" s="58">
        <v>36119678824</v>
      </c>
      <c r="C1709" s="63"/>
      <c r="D1709" s="60"/>
      <c r="E1709" s="9"/>
      <c r="F1709" s="25"/>
      <c r="G1709" s="61"/>
      <c r="H1709" s="9"/>
      <c r="I1709" s="8"/>
      <c r="J1709" s="8"/>
      <c r="K1709" s="8"/>
      <c r="L1709" s="8"/>
      <c r="M1709" s="8"/>
    </row>
    <row r="1710" spans="1:13">
      <c r="A1710" s="62" t="s">
        <v>2473</v>
      </c>
      <c r="B1710" s="58">
        <v>5864742856</v>
      </c>
      <c r="C1710" s="63"/>
      <c r="D1710" s="60"/>
      <c r="E1710" s="9"/>
      <c r="F1710" s="25"/>
      <c r="G1710" s="61"/>
      <c r="H1710" s="9"/>
      <c r="I1710" s="8"/>
      <c r="J1710" s="8"/>
      <c r="K1710" s="8"/>
      <c r="L1710" s="8"/>
      <c r="M1710" s="8"/>
    </row>
    <row r="1711" spans="1:13">
      <c r="A1711" s="27" t="s">
        <v>2474</v>
      </c>
      <c r="B1711" s="58"/>
      <c r="C1711" s="18" t="s">
        <v>129</v>
      </c>
      <c r="D1711" s="60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2475</v>
      </c>
      <c r="B1712" s="58">
        <v>40248753886</v>
      </c>
      <c r="C1712" s="63"/>
      <c r="D1712" s="60"/>
      <c r="E1712" s="9">
        <v>117</v>
      </c>
      <c r="F1712" s="25">
        <v>43117</v>
      </c>
      <c r="G1712" s="61" t="s">
        <v>13</v>
      </c>
      <c r="H1712" s="9"/>
      <c r="I1712" s="8"/>
      <c r="J1712" s="8"/>
      <c r="K1712" s="8"/>
      <c r="L1712" s="9" t="s">
        <v>170</v>
      </c>
      <c r="M1712" s="8"/>
    </row>
    <row r="1713" spans="1:13">
      <c r="A1713" s="62" t="s">
        <v>2476</v>
      </c>
      <c r="B1713" s="58">
        <v>16365026870</v>
      </c>
      <c r="C1713" s="63"/>
      <c r="D1713" s="60"/>
      <c r="E1713" s="9">
        <v>292</v>
      </c>
      <c r="F1713" s="25">
        <v>43168</v>
      </c>
      <c r="G1713" s="61" t="s">
        <v>13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2477</v>
      </c>
      <c r="B1714" s="58">
        <v>49555682895</v>
      </c>
      <c r="C1714" s="63"/>
      <c r="D1714" s="60"/>
      <c r="E1714" s="9">
        <v>262</v>
      </c>
      <c r="F1714" s="25">
        <v>43160</v>
      </c>
      <c r="G1714" s="61" t="s">
        <v>13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62" t="s">
        <v>2478</v>
      </c>
      <c r="B1715" s="58">
        <v>8503067870</v>
      </c>
      <c r="C1715" s="68"/>
      <c r="D1715" s="60"/>
      <c r="E1715" s="9"/>
      <c r="F1715" s="25"/>
      <c r="G1715" s="61"/>
      <c r="H1715" s="9"/>
      <c r="I1715" s="8"/>
      <c r="J1715" s="8"/>
      <c r="K1715" s="8"/>
      <c r="L1715" s="8"/>
      <c r="M1715" s="8"/>
    </row>
    <row r="1716" spans="1:13">
      <c r="A1716" s="62" t="s">
        <v>2479</v>
      </c>
      <c r="B1716" s="58">
        <v>61415472491</v>
      </c>
      <c r="C1716" s="63"/>
      <c r="D1716" s="60"/>
      <c r="E1716" s="9">
        <v>810</v>
      </c>
      <c r="F1716" s="25">
        <v>42915</v>
      </c>
      <c r="G1716" s="61" t="s">
        <v>13</v>
      </c>
      <c r="H1716" s="9"/>
      <c r="I1716" s="8"/>
      <c r="J1716" s="8"/>
      <c r="K1716" s="8"/>
      <c r="L1716" s="9" t="s">
        <v>138</v>
      </c>
      <c r="M1716" s="8"/>
    </row>
    <row r="1717" spans="1:13">
      <c r="A1717" s="62" t="s">
        <v>2480</v>
      </c>
      <c r="B1717" s="58">
        <v>24572836809</v>
      </c>
      <c r="C1717" s="63"/>
      <c r="D1717" s="60"/>
      <c r="E1717" s="9"/>
      <c r="F1717" s="25"/>
      <c r="G1717" s="61"/>
      <c r="H1717" s="9"/>
      <c r="I1717" s="8"/>
      <c r="J1717" s="8"/>
      <c r="K1717" s="8"/>
      <c r="L1717" s="8"/>
      <c r="M1717" s="8"/>
    </row>
    <row r="1718" spans="1:13">
      <c r="A1718" s="62" t="s">
        <v>2481</v>
      </c>
      <c r="B1718" s="58">
        <v>26903961810</v>
      </c>
      <c r="C1718" s="63" t="s">
        <v>2482</v>
      </c>
      <c r="D1718" s="60">
        <v>40904229904</v>
      </c>
      <c r="E1718" s="9">
        <v>1555</v>
      </c>
      <c r="F1718" s="25">
        <v>43049</v>
      </c>
      <c r="G1718" s="61" t="s">
        <v>13</v>
      </c>
      <c r="H1718" s="9"/>
      <c r="I1718" s="8"/>
      <c r="J1718" s="8"/>
      <c r="K1718" s="8"/>
      <c r="L1718" s="9" t="s">
        <v>398</v>
      </c>
      <c r="M1718" s="8"/>
    </row>
    <row r="1719" spans="1:13">
      <c r="A1719" s="18" t="s">
        <v>2483</v>
      </c>
      <c r="B1719" s="58">
        <v>31611651875</v>
      </c>
      <c r="C1719" s="18" t="s">
        <v>2484</v>
      </c>
      <c r="D1719" s="60">
        <v>11316246884</v>
      </c>
      <c r="E1719" s="9"/>
      <c r="F1719" s="25"/>
      <c r="G1719" s="61"/>
      <c r="H1719" s="9"/>
      <c r="I1719" s="8"/>
      <c r="J1719" s="8"/>
      <c r="K1719" s="8"/>
      <c r="L1719" s="8"/>
      <c r="M1719" s="8"/>
    </row>
    <row r="1720" spans="1:13">
      <c r="A1720" s="63" t="s">
        <v>2485</v>
      </c>
      <c r="B1720" s="58">
        <v>4094535870</v>
      </c>
      <c r="C1720" s="63"/>
      <c r="D1720" s="60"/>
      <c r="E1720" s="9">
        <v>292</v>
      </c>
      <c r="F1720" s="25">
        <v>43168</v>
      </c>
      <c r="G1720" s="9" t="s">
        <v>13</v>
      </c>
      <c r="H1720" s="9"/>
      <c r="I1720" s="8"/>
      <c r="J1720" s="8"/>
      <c r="K1720" s="8"/>
      <c r="L1720" s="9">
        <v>318</v>
      </c>
      <c r="M1720" s="8"/>
    </row>
    <row r="1721" spans="1:13">
      <c r="A1721" s="62" t="s">
        <v>2486</v>
      </c>
      <c r="B1721" s="58">
        <v>34613726840</v>
      </c>
      <c r="C1721" s="63"/>
      <c r="D1721" s="60"/>
      <c r="E1721" s="9">
        <v>485</v>
      </c>
      <c r="F1721" s="25">
        <v>43196</v>
      </c>
      <c r="G1721" s="61"/>
      <c r="H1721" s="9"/>
      <c r="I1721" s="8"/>
      <c r="J1721" s="8"/>
      <c r="K1721" s="8"/>
      <c r="L1721" s="9">
        <v>483</v>
      </c>
      <c r="M1721" s="8"/>
    </row>
    <row r="1722" spans="1:13">
      <c r="A1722" s="62" t="s">
        <v>2487</v>
      </c>
      <c r="B1722" s="58">
        <v>28003153859</v>
      </c>
      <c r="C1722" s="63"/>
      <c r="D1722" s="60"/>
      <c r="E1722" s="9">
        <v>262</v>
      </c>
      <c r="F1722" s="25">
        <v>43160</v>
      </c>
      <c r="G1722" s="61" t="s">
        <v>13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62" t="s">
        <v>2488</v>
      </c>
      <c r="B1723" s="58">
        <v>29431116863</v>
      </c>
      <c r="C1723" s="63"/>
      <c r="D1723" s="60"/>
      <c r="E1723" s="9"/>
      <c r="F1723" s="25"/>
      <c r="G1723" s="61"/>
      <c r="H1723" s="9"/>
      <c r="I1723" s="8"/>
      <c r="J1723" s="8"/>
      <c r="K1723" s="8"/>
      <c r="L1723" s="8"/>
      <c r="M1723" s="8"/>
    </row>
    <row r="1724" spans="1:13">
      <c r="A1724" s="59" t="s">
        <v>2489</v>
      </c>
      <c r="B1724" s="60">
        <v>22580790802</v>
      </c>
      <c r="C1724" s="62" t="s">
        <v>2490</v>
      </c>
      <c r="D1724" s="58">
        <v>53588339515</v>
      </c>
      <c r="E1724" s="9">
        <v>443</v>
      </c>
      <c r="F1724" s="25">
        <v>43188</v>
      </c>
      <c r="G1724" s="61"/>
      <c r="H1724" s="9"/>
      <c r="I1724" s="8"/>
      <c r="J1724" s="8"/>
      <c r="K1724" s="8"/>
      <c r="L1724" s="8"/>
      <c r="M1724" s="8"/>
    </row>
    <row r="1725" spans="1:13">
      <c r="A1725" s="62" t="s">
        <v>2491</v>
      </c>
      <c r="B1725" s="58">
        <v>34693233803</v>
      </c>
      <c r="C1725" s="63"/>
      <c r="D1725" s="60"/>
      <c r="E1725" s="9">
        <v>443</v>
      </c>
      <c r="F1725" s="25">
        <v>43188</v>
      </c>
      <c r="G1725" s="61"/>
      <c r="H1725" s="9"/>
      <c r="I1725" s="8"/>
      <c r="J1725" s="8"/>
      <c r="K1725" s="8"/>
      <c r="L1725" s="8"/>
      <c r="M1725" s="8"/>
    </row>
    <row r="1726" spans="1:13">
      <c r="A1726" s="62" t="s">
        <v>2492</v>
      </c>
      <c r="B1726" s="58">
        <v>25572985813</v>
      </c>
      <c r="C1726" s="63"/>
      <c r="D1726" s="60"/>
      <c r="E1726" s="9"/>
      <c r="F1726" s="25"/>
      <c r="G1726" s="61"/>
      <c r="H1726" s="9"/>
      <c r="I1726" s="8"/>
      <c r="J1726" s="8"/>
      <c r="K1726" s="8"/>
      <c r="L1726" s="8"/>
      <c r="M1726" s="8"/>
    </row>
    <row r="1727" spans="1:13">
      <c r="A1727" s="63" t="s">
        <v>2493</v>
      </c>
      <c r="B1727" s="60">
        <v>88565386520</v>
      </c>
      <c r="C1727" s="15" t="s">
        <v>2494</v>
      </c>
      <c r="D1727" s="58">
        <v>15536946862</v>
      </c>
      <c r="E1727" s="9"/>
      <c r="F1727" s="25"/>
      <c r="G1727" s="61"/>
      <c r="H1727" s="9"/>
      <c r="I1727" s="8"/>
      <c r="J1727" s="8"/>
      <c r="K1727" s="8"/>
      <c r="L1727" s="8"/>
      <c r="M1727" s="8"/>
    </row>
    <row r="1728" spans="1:13">
      <c r="A1728" s="62" t="s">
        <v>2495</v>
      </c>
      <c r="B1728" s="58">
        <v>1147816565</v>
      </c>
      <c r="C1728" s="63" t="s">
        <v>2496</v>
      </c>
      <c r="D1728" s="60">
        <v>24692193883</v>
      </c>
      <c r="E1728" s="9">
        <v>262</v>
      </c>
      <c r="F1728" s="25">
        <v>43160</v>
      </c>
      <c r="G1728" s="61" t="s">
        <v>13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62" t="s">
        <v>2497</v>
      </c>
      <c r="B1729" s="58">
        <v>39492391899</v>
      </c>
      <c r="C1729" s="63"/>
      <c r="D1729" s="60"/>
      <c r="E1729" s="9">
        <v>810</v>
      </c>
      <c r="F1729" s="25">
        <v>42915</v>
      </c>
      <c r="G1729" s="61" t="s">
        <v>13</v>
      </c>
      <c r="H1729" s="9"/>
      <c r="I1729" s="8"/>
      <c r="J1729" s="8"/>
      <c r="K1729" s="8"/>
      <c r="L1729" s="9" t="s">
        <v>138</v>
      </c>
      <c r="M1729" s="8"/>
    </row>
    <row r="1730" spans="1:13">
      <c r="A1730" s="14" t="s">
        <v>2498</v>
      </c>
      <c r="B1730" s="58">
        <v>7039189402</v>
      </c>
      <c r="C1730" s="63" t="s">
        <v>2499</v>
      </c>
      <c r="D1730" s="60">
        <v>5531291558</v>
      </c>
      <c r="E1730" s="9">
        <v>262</v>
      </c>
      <c r="F1730" s="25">
        <v>43160</v>
      </c>
      <c r="G1730" s="61" t="s">
        <v>13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62" t="s">
        <v>2500</v>
      </c>
      <c r="B1731" s="58">
        <v>34602647804</v>
      </c>
      <c r="C1731" s="63" t="s">
        <v>2501</v>
      </c>
      <c r="D1731" s="60">
        <v>27640163870</v>
      </c>
      <c r="E1731" s="9">
        <v>229</v>
      </c>
      <c r="F1731" s="25">
        <v>43151</v>
      </c>
      <c r="G1731" s="61" t="s">
        <v>13</v>
      </c>
      <c r="H1731" s="9"/>
      <c r="I1731" s="8"/>
      <c r="J1731" s="8"/>
      <c r="K1731" s="8"/>
      <c r="L1731" s="9">
        <v>232</v>
      </c>
      <c r="M1731" s="8"/>
    </row>
    <row r="1732" spans="1:13">
      <c r="A1732" s="62" t="s">
        <v>2502</v>
      </c>
      <c r="B1732" s="58">
        <v>33009445890</v>
      </c>
      <c r="C1732" s="63"/>
      <c r="D1732" s="60"/>
      <c r="E1732" s="9">
        <v>1214</v>
      </c>
      <c r="F1732" s="25">
        <v>42989</v>
      </c>
      <c r="G1732" s="61" t="s">
        <v>13</v>
      </c>
      <c r="H1732" s="9"/>
      <c r="I1732" s="8"/>
      <c r="J1732" s="8"/>
      <c r="K1732" s="8"/>
      <c r="L1732" s="8"/>
      <c r="M1732" s="8"/>
    </row>
    <row r="1733" spans="1:13">
      <c r="A1733" s="62" t="s">
        <v>2503</v>
      </c>
      <c r="B1733" s="58">
        <v>34017736823</v>
      </c>
      <c r="C1733" s="63"/>
      <c r="D1733" s="60"/>
      <c r="E1733" s="9">
        <v>1439</v>
      </c>
      <c r="F1733" s="25">
        <v>43025</v>
      </c>
      <c r="G1733" s="61" t="s">
        <v>13</v>
      </c>
      <c r="H1733" s="9"/>
      <c r="I1733" s="8"/>
      <c r="J1733" s="8"/>
      <c r="K1733" s="8"/>
      <c r="L1733" s="9" t="s">
        <v>502</v>
      </c>
      <c r="M1733" s="8"/>
    </row>
    <row r="1734" spans="1:13">
      <c r="A1734" s="62" t="s">
        <v>2504</v>
      </c>
      <c r="B1734" s="58">
        <v>4656282570</v>
      </c>
      <c r="C1734" s="63" t="s">
        <v>2505</v>
      </c>
      <c r="D1734" s="60">
        <v>85025780578</v>
      </c>
      <c r="E1734" s="9">
        <v>85</v>
      </c>
      <c r="F1734" s="25">
        <v>43109</v>
      </c>
      <c r="G1734" s="61" t="s">
        <v>13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2506</v>
      </c>
      <c r="B1735" s="58">
        <v>31182576877</v>
      </c>
      <c r="C1735" s="63"/>
      <c r="D1735" s="60"/>
      <c r="E1735" s="9"/>
      <c r="F1735" s="25"/>
      <c r="G1735" s="61"/>
      <c r="H1735" s="9"/>
      <c r="I1735" s="8"/>
      <c r="J1735" s="8"/>
      <c r="K1735" s="8"/>
      <c r="L1735" s="8"/>
      <c r="M1735" s="8"/>
    </row>
    <row r="1736" spans="1:13">
      <c r="A1736" s="15" t="s">
        <v>2507</v>
      </c>
      <c r="B1736" s="58">
        <v>44808773805</v>
      </c>
      <c r="C1736" s="63" t="s">
        <v>2508</v>
      </c>
      <c r="D1736" s="60">
        <v>38019169873</v>
      </c>
      <c r="E1736" s="9"/>
      <c r="F1736" s="25"/>
      <c r="G1736" s="61"/>
      <c r="H1736" s="9"/>
      <c r="I1736" s="8"/>
      <c r="J1736" s="8"/>
      <c r="K1736" s="8"/>
      <c r="L1736" s="8"/>
      <c r="M1736" s="8"/>
    </row>
    <row r="1737" spans="1:13">
      <c r="A1737" s="15" t="s">
        <v>2509</v>
      </c>
      <c r="B1737" s="58">
        <v>37051128809</v>
      </c>
      <c r="C1737" s="63"/>
      <c r="D1737" s="60"/>
      <c r="E1737" s="9">
        <v>85</v>
      </c>
      <c r="F1737" s="25">
        <v>43109</v>
      </c>
      <c r="G1737" s="61" t="s">
        <v>13</v>
      </c>
      <c r="H1737" s="25">
        <v>43151</v>
      </c>
      <c r="I1737" s="8"/>
      <c r="J1737" s="8"/>
      <c r="K1737" s="8"/>
      <c r="L1737" s="8"/>
      <c r="M1737" s="8"/>
    </row>
    <row r="1738" spans="1:13">
      <c r="A1738" s="62" t="s">
        <v>2510</v>
      </c>
      <c r="B1738" s="58">
        <v>6957684504</v>
      </c>
      <c r="C1738" s="63"/>
      <c r="D1738" s="60"/>
      <c r="E1738" s="9"/>
      <c r="F1738" s="25"/>
      <c r="G1738" s="61"/>
      <c r="H1738" s="9"/>
      <c r="I1738" s="8"/>
      <c r="J1738" s="8"/>
      <c r="K1738" s="8"/>
      <c r="L1738" s="8"/>
      <c r="M1738" s="8"/>
    </row>
    <row r="1739" spans="1:13">
      <c r="A1739" s="62" t="s">
        <v>2511</v>
      </c>
      <c r="B1739" s="58">
        <v>29541097855</v>
      </c>
      <c r="C1739" s="63"/>
      <c r="D1739" s="60"/>
      <c r="E1739" s="9">
        <v>810</v>
      </c>
      <c r="F1739" s="25">
        <v>42915</v>
      </c>
      <c r="G1739" s="61" t="s">
        <v>13</v>
      </c>
      <c r="H1739" s="9"/>
      <c r="I1739" s="8"/>
      <c r="J1739" s="8"/>
      <c r="K1739" s="8"/>
      <c r="L1739" s="9" t="s">
        <v>138</v>
      </c>
      <c r="M1739" s="8"/>
    </row>
    <row r="1740" spans="1:13">
      <c r="A1740" s="62" t="s">
        <v>2512</v>
      </c>
      <c r="B1740" s="58">
        <v>27582519817</v>
      </c>
      <c r="C1740" s="63"/>
      <c r="D1740" s="60"/>
      <c r="E1740" s="9">
        <v>1417</v>
      </c>
      <c r="F1740" s="25">
        <v>43017</v>
      </c>
      <c r="G1740" s="61" t="s">
        <v>28</v>
      </c>
      <c r="H1740" s="9"/>
      <c r="I1740" s="8"/>
      <c r="J1740" s="8"/>
      <c r="K1740" s="8"/>
      <c r="L1740" s="9" t="s">
        <v>253</v>
      </c>
      <c r="M1740" s="8"/>
    </row>
    <row r="1741" spans="1:13">
      <c r="A1741" s="15" t="s">
        <v>2513</v>
      </c>
      <c r="B1741" s="58">
        <v>2780331569</v>
      </c>
      <c r="C1741" s="63"/>
      <c r="D1741" s="60"/>
      <c r="E1741" s="9">
        <v>292</v>
      </c>
      <c r="F1741" s="25">
        <v>43168</v>
      </c>
      <c r="G1741" s="61" t="s">
        <v>13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2514</v>
      </c>
      <c r="B1742" s="58"/>
      <c r="C1742" s="18"/>
      <c r="D1742" s="60"/>
      <c r="E1742" s="9"/>
      <c r="F1742" s="25"/>
      <c r="G1742" s="61"/>
      <c r="H1742" s="9"/>
      <c r="I1742" s="8"/>
      <c r="J1742" s="8"/>
      <c r="K1742" s="8"/>
      <c r="L1742" s="8"/>
      <c r="M1742" s="8"/>
    </row>
    <row r="1743" spans="1:13">
      <c r="A1743" s="15" t="s">
        <v>2515</v>
      </c>
      <c r="B1743" s="58"/>
      <c r="C1743" s="63"/>
      <c r="D1743" s="60"/>
      <c r="E1743" s="9"/>
      <c r="F1743" s="25"/>
      <c r="G1743" s="61"/>
      <c r="H1743" s="9"/>
      <c r="I1743" s="8"/>
      <c r="J1743" s="8"/>
      <c r="K1743" s="8"/>
      <c r="L1743" s="8"/>
      <c r="M1743" s="8"/>
    </row>
    <row r="1744" spans="1:13">
      <c r="A1744" s="15" t="s">
        <v>2516</v>
      </c>
      <c r="B1744" s="58">
        <v>19129440491</v>
      </c>
      <c r="C1744" s="63" t="s">
        <v>2517</v>
      </c>
      <c r="D1744" s="60">
        <v>15303235840</v>
      </c>
      <c r="E1744" s="9"/>
      <c r="F1744" s="25"/>
      <c r="G1744" s="61"/>
      <c r="H1744" s="9"/>
      <c r="I1744" s="8"/>
      <c r="J1744" s="8"/>
      <c r="K1744" s="8"/>
      <c r="L1744" s="8"/>
      <c r="M1744" s="8"/>
    </row>
    <row r="1745" spans="1:13">
      <c r="A1745" s="13" t="s">
        <v>2518</v>
      </c>
      <c r="B1745" s="58">
        <v>25400494862</v>
      </c>
      <c r="C1745" s="59"/>
      <c r="D1745" s="60"/>
      <c r="E1745" s="9">
        <v>1241</v>
      </c>
      <c r="F1745" s="25">
        <v>42992</v>
      </c>
      <c r="G1745" s="61" t="s">
        <v>13</v>
      </c>
      <c r="H1745" s="9"/>
      <c r="I1745" s="8"/>
      <c r="J1745" s="8"/>
      <c r="K1745" s="8"/>
      <c r="L1745" s="8"/>
      <c r="M1745" s="8"/>
    </row>
    <row r="1746" spans="1:13">
      <c r="A1746" s="62" t="s">
        <v>2519</v>
      </c>
      <c r="B1746" s="58">
        <v>817284842</v>
      </c>
      <c r="C1746" s="63"/>
      <c r="D1746" s="60"/>
      <c r="E1746" s="9">
        <v>1214</v>
      </c>
      <c r="F1746" s="25">
        <v>42989</v>
      </c>
      <c r="G1746" s="61" t="s">
        <v>13</v>
      </c>
      <c r="H1746" s="9"/>
      <c r="I1746" s="8"/>
      <c r="J1746" s="8"/>
      <c r="K1746" s="8"/>
      <c r="L1746" s="8"/>
      <c r="M1746" s="8"/>
    </row>
    <row r="1747" spans="1:13">
      <c r="A1747" s="15" t="s">
        <v>2520</v>
      </c>
      <c r="B1747" s="58">
        <v>27848226808</v>
      </c>
      <c r="C1747" s="63"/>
      <c r="D1747" s="60"/>
      <c r="E1747" s="9">
        <v>85</v>
      </c>
      <c r="F1747" s="25">
        <v>43109</v>
      </c>
      <c r="G1747" s="61" t="s">
        <v>13</v>
      </c>
      <c r="H1747" s="25">
        <v>43151</v>
      </c>
      <c r="I1747" s="8"/>
      <c r="J1747" s="8"/>
      <c r="K1747" s="8"/>
      <c r="L1747" s="8"/>
      <c r="M1747" s="8"/>
    </row>
    <row r="1748" spans="1:13">
      <c r="A1748" s="62" t="s">
        <v>2521</v>
      </c>
      <c r="B1748" s="58">
        <v>468447598</v>
      </c>
      <c r="C1748" s="63"/>
      <c r="D1748" s="60"/>
      <c r="E1748" s="9">
        <v>1555</v>
      </c>
      <c r="F1748" s="25">
        <v>43049</v>
      </c>
      <c r="G1748" s="61" t="s">
        <v>13</v>
      </c>
      <c r="H1748" s="9"/>
      <c r="I1748" s="8"/>
      <c r="J1748" s="8"/>
      <c r="K1748" s="8"/>
      <c r="L1748" s="9" t="s">
        <v>398</v>
      </c>
      <c r="M1748" s="8"/>
    </row>
    <row r="1749" spans="1:13">
      <c r="A1749" s="13" t="s">
        <v>2522</v>
      </c>
      <c r="B1749" s="58">
        <v>34064745515</v>
      </c>
      <c r="C1749" s="63"/>
      <c r="D1749" s="60"/>
      <c r="E1749" s="9">
        <v>1350</v>
      </c>
      <c r="F1749" s="25">
        <v>43006</v>
      </c>
      <c r="G1749" s="61" t="s">
        <v>13</v>
      </c>
      <c r="H1749" s="9"/>
      <c r="I1749" s="8"/>
      <c r="J1749" s="8"/>
      <c r="K1749" s="8"/>
      <c r="L1749" s="8"/>
      <c r="M1749" s="8"/>
    </row>
    <row r="1750" spans="1:13">
      <c r="A1750" s="62" t="s">
        <v>2523</v>
      </c>
      <c r="B1750" s="58">
        <v>84007427372</v>
      </c>
      <c r="C1750" s="59"/>
      <c r="D1750" s="60"/>
      <c r="E1750" s="9"/>
      <c r="F1750" s="25"/>
      <c r="G1750" s="61"/>
      <c r="H1750" s="9"/>
      <c r="I1750" s="8"/>
      <c r="J1750" s="8"/>
      <c r="K1750" s="8"/>
      <c r="L1750" s="8"/>
      <c r="M1750" s="8"/>
    </row>
    <row r="1751" spans="1:13">
      <c r="A1751" s="62" t="s">
        <v>2524</v>
      </c>
      <c r="B1751" s="58">
        <v>37846343890</v>
      </c>
      <c r="C1751" s="63"/>
      <c r="D1751" s="60"/>
      <c r="E1751" s="9">
        <v>85</v>
      </c>
      <c r="F1751" s="25">
        <v>43109</v>
      </c>
      <c r="G1751" s="61" t="s">
        <v>13</v>
      </c>
      <c r="H1751" s="25">
        <v>43151</v>
      </c>
      <c r="I1751" s="8"/>
      <c r="J1751" s="8"/>
      <c r="K1751" s="8"/>
      <c r="L1751" s="8"/>
      <c r="M1751" s="8"/>
    </row>
    <row r="1752" spans="1:13">
      <c r="A1752" s="62" t="s">
        <v>2525</v>
      </c>
      <c r="B1752" s="58">
        <v>15634351871</v>
      </c>
      <c r="C1752" s="63" t="s">
        <v>2526</v>
      </c>
      <c r="D1752" s="60">
        <v>31313403806</v>
      </c>
      <c r="E1752" s="9"/>
      <c r="F1752" s="25"/>
      <c r="G1752" s="61"/>
      <c r="H1752" s="9"/>
      <c r="I1752" s="8"/>
      <c r="J1752" s="8"/>
      <c r="K1752" s="8"/>
      <c r="L1752" s="8"/>
      <c r="M1752" s="8"/>
    </row>
    <row r="1753" spans="1:13">
      <c r="A1753" s="62" t="s">
        <v>2527</v>
      </c>
      <c r="B1753" s="58">
        <v>35994306835</v>
      </c>
      <c r="C1753" s="63" t="s">
        <v>2528</v>
      </c>
      <c r="D1753" s="60">
        <v>25021610880</v>
      </c>
      <c r="E1753" s="9">
        <v>262</v>
      </c>
      <c r="F1753" s="25">
        <v>43160</v>
      </c>
      <c r="G1753" s="61" t="s">
        <v>13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62" t="s">
        <v>2529</v>
      </c>
      <c r="B1754" s="58">
        <v>31128170876</v>
      </c>
      <c r="C1754" s="63"/>
      <c r="D1754" s="60"/>
      <c r="E1754" s="9">
        <v>262</v>
      </c>
      <c r="F1754" s="25">
        <v>43160</v>
      </c>
      <c r="G1754" s="61" t="s">
        <v>13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62" t="s">
        <v>2530</v>
      </c>
      <c r="B1755" s="58">
        <v>39748080862</v>
      </c>
      <c r="C1755" s="63"/>
      <c r="D1755" s="60"/>
      <c r="E1755" s="9"/>
      <c r="F1755" s="25"/>
      <c r="G1755" s="61"/>
      <c r="H1755" s="9"/>
      <c r="I1755" s="8"/>
      <c r="J1755" s="8"/>
      <c r="K1755" s="8"/>
      <c r="L1755" s="8"/>
      <c r="M1755" s="8"/>
    </row>
    <row r="1756" spans="1:13">
      <c r="A1756" s="27" t="s">
        <v>2531</v>
      </c>
      <c r="B1756" s="58">
        <v>32525046854</v>
      </c>
      <c r="C1756" s="27" t="s">
        <v>129</v>
      </c>
      <c r="D1756" s="60"/>
      <c r="E1756" s="9"/>
      <c r="F1756" s="25"/>
      <c r="G1756" s="61"/>
      <c r="H1756" s="9"/>
      <c r="I1756" s="8"/>
      <c r="J1756" s="8"/>
      <c r="K1756" s="8"/>
      <c r="L1756" s="8"/>
      <c r="M1756" s="8"/>
    </row>
    <row r="1757" spans="1:13">
      <c r="A1757" s="62" t="s">
        <v>2532</v>
      </c>
      <c r="B1757" s="58">
        <v>23704553816</v>
      </c>
      <c r="C1757" s="68" t="s">
        <v>2533</v>
      </c>
      <c r="D1757" s="60">
        <v>35264792836</v>
      </c>
      <c r="E1757" s="9">
        <v>563</v>
      </c>
      <c r="F1757" s="25">
        <v>43217</v>
      </c>
      <c r="G1757" s="61"/>
      <c r="H1757" s="9"/>
      <c r="I1757" s="8"/>
      <c r="J1757" s="8"/>
      <c r="K1757" s="8"/>
      <c r="L1757" s="9" t="s">
        <v>299</v>
      </c>
      <c r="M1757" s="8"/>
    </row>
    <row r="1758" spans="1:13">
      <c r="A1758" s="62" t="s">
        <v>2534</v>
      </c>
      <c r="B1758" s="58">
        <v>30931601894</v>
      </c>
      <c r="C1758" s="63"/>
      <c r="D1758" s="60"/>
      <c r="E1758" s="9">
        <v>292</v>
      </c>
      <c r="F1758" s="25">
        <v>43168</v>
      </c>
      <c r="G1758" s="9" t="s">
        <v>13</v>
      </c>
      <c r="H1758" s="9"/>
      <c r="I1758" s="8"/>
      <c r="J1758" s="8"/>
      <c r="K1758" s="8"/>
      <c r="L1758" s="9">
        <v>318</v>
      </c>
      <c r="M1758" s="8"/>
    </row>
    <row r="1759" spans="1:13">
      <c r="A1759" s="62" t="s">
        <v>2535</v>
      </c>
      <c r="B1759" s="58">
        <v>3180351543</v>
      </c>
      <c r="C1759" s="63" t="s">
        <v>2536</v>
      </c>
      <c r="D1759" s="60">
        <v>38259838893</v>
      </c>
      <c r="E1759" s="9">
        <v>1752</v>
      </c>
      <c r="F1759" s="25">
        <v>43051</v>
      </c>
      <c r="G1759" s="61" t="s">
        <v>13</v>
      </c>
      <c r="H1759" s="9"/>
      <c r="I1759" s="8"/>
      <c r="J1759" s="8"/>
      <c r="K1759" s="8"/>
      <c r="L1759" s="9">
        <v>1759</v>
      </c>
      <c r="M1759" s="8"/>
    </row>
    <row r="1760" spans="1:13">
      <c r="A1760" s="62" t="s">
        <v>2537</v>
      </c>
      <c r="B1760" s="58">
        <v>40849283809</v>
      </c>
      <c r="C1760" s="63"/>
      <c r="D1760" s="60"/>
      <c r="E1760" s="9">
        <v>810</v>
      </c>
      <c r="F1760" s="25">
        <v>42915</v>
      </c>
      <c r="G1760" s="61" t="s">
        <v>13</v>
      </c>
      <c r="H1760" s="9"/>
      <c r="I1760" s="8"/>
      <c r="J1760" s="8"/>
      <c r="K1760" s="8"/>
      <c r="L1760" s="9" t="s">
        <v>138</v>
      </c>
      <c r="M1760" s="8"/>
    </row>
    <row r="1761" spans="1:13">
      <c r="A1761" s="62" t="s">
        <v>2538</v>
      </c>
      <c r="B1761" s="58">
        <v>33096171572</v>
      </c>
      <c r="C1761" s="63"/>
      <c r="D1761" s="60"/>
      <c r="E1761" s="9">
        <v>1350</v>
      </c>
      <c r="F1761" s="25">
        <v>43006</v>
      </c>
      <c r="G1761" s="61" t="s">
        <v>13</v>
      </c>
      <c r="H1761" s="9"/>
      <c r="I1761" s="8"/>
      <c r="J1761" s="8"/>
      <c r="K1761" s="8"/>
      <c r="L1761" s="8"/>
      <c r="M1761" s="8"/>
    </row>
    <row r="1762" spans="1:13">
      <c r="A1762" s="14" t="s">
        <v>2539</v>
      </c>
      <c r="B1762" s="58">
        <v>19184312807</v>
      </c>
      <c r="C1762" s="63"/>
      <c r="D1762" s="60"/>
      <c r="E1762" s="9">
        <v>443</v>
      </c>
      <c r="F1762" s="25">
        <v>43188</v>
      </c>
      <c r="G1762" s="61"/>
      <c r="H1762" s="9"/>
      <c r="I1762" s="8"/>
      <c r="J1762" s="8"/>
      <c r="K1762" s="8"/>
      <c r="L1762" s="8"/>
      <c r="M1762" s="8"/>
    </row>
    <row r="1763" spans="1:13">
      <c r="A1763" s="62" t="s">
        <v>2540</v>
      </c>
      <c r="B1763" s="58">
        <v>19187186870</v>
      </c>
      <c r="C1763" s="63"/>
      <c r="D1763" s="60"/>
      <c r="E1763" s="9">
        <v>262</v>
      </c>
      <c r="F1763" s="25">
        <v>43160</v>
      </c>
      <c r="G1763" s="61" t="s">
        <v>13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62" t="s">
        <v>2541</v>
      </c>
      <c r="B1764" s="58">
        <v>34394080860</v>
      </c>
      <c r="C1764" s="63"/>
      <c r="D1764" s="60"/>
      <c r="E1764" s="9">
        <v>229</v>
      </c>
      <c r="F1764" s="25">
        <v>43151</v>
      </c>
      <c r="G1764" s="61" t="s">
        <v>13</v>
      </c>
      <c r="H1764" s="9"/>
      <c r="I1764" s="8"/>
      <c r="J1764" s="8"/>
      <c r="K1764" s="8"/>
      <c r="L1764" s="9">
        <v>232</v>
      </c>
      <c r="M1764" s="8"/>
    </row>
    <row r="1765" spans="1:13">
      <c r="A1765" s="48" t="s">
        <v>2542</v>
      </c>
      <c r="B1765" s="71">
        <v>27034088896</v>
      </c>
      <c r="C1765" s="72" t="s">
        <v>2543</v>
      </c>
      <c r="D1765" s="73">
        <v>31801530831</v>
      </c>
      <c r="E1765" s="45">
        <v>1267</v>
      </c>
      <c r="F1765" s="46">
        <v>42998</v>
      </c>
      <c r="G1765" s="74" t="s">
        <v>20</v>
      </c>
      <c r="H1765" s="45"/>
      <c r="I1765" s="47"/>
      <c r="J1765" s="47"/>
      <c r="K1765" s="47"/>
      <c r="L1765" s="47"/>
      <c r="M1765" s="47"/>
    </row>
    <row r="1766" spans="1:13">
      <c r="A1766" s="15" t="s">
        <v>2544</v>
      </c>
      <c r="B1766" s="58">
        <v>18033728850</v>
      </c>
      <c r="C1766" s="64"/>
      <c r="D1766" s="60"/>
      <c r="E1766" s="9"/>
      <c r="F1766" s="25"/>
      <c r="G1766" s="61"/>
      <c r="H1766" s="9"/>
      <c r="I1766" s="8"/>
      <c r="J1766" s="8"/>
      <c r="K1766" s="8"/>
      <c r="L1766" s="8"/>
      <c r="M1766" s="8"/>
    </row>
    <row r="1767" spans="1:13">
      <c r="A1767" s="18" t="s">
        <v>2545</v>
      </c>
      <c r="B1767" s="58">
        <v>47659857806</v>
      </c>
      <c r="C1767" s="18"/>
      <c r="D1767" s="60"/>
      <c r="E1767" s="9"/>
      <c r="F1767" s="25"/>
      <c r="G1767" s="61"/>
      <c r="H1767" s="9"/>
      <c r="I1767" s="8"/>
      <c r="J1767" s="8"/>
      <c r="K1767" s="8"/>
      <c r="L1767" s="8"/>
      <c r="M1767" s="8"/>
    </row>
    <row r="1768" spans="1:13">
      <c r="A1768" s="13" t="s">
        <v>2546</v>
      </c>
      <c r="B1768" s="58">
        <v>45916381387</v>
      </c>
      <c r="C1768" s="63"/>
      <c r="D1768" s="60"/>
      <c r="E1768" s="9">
        <v>1350</v>
      </c>
      <c r="F1768" s="25">
        <v>43006</v>
      </c>
      <c r="G1768" s="61" t="s">
        <v>13</v>
      </c>
      <c r="H1768" s="9"/>
      <c r="I1768" s="8"/>
      <c r="J1768" s="8"/>
      <c r="K1768" s="8"/>
      <c r="L1768" s="8"/>
      <c r="M1768" s="8"/>
    </row>
    <row r="1769" spans="1:13">
      <c r="A1769" s="62" t="s">
        <v>2547</v>
      </c>
      <c r="B1769" s="58">
        <v>1926267877</v>
      </c>
      <c r="C1769" s="63"/>
      <c r="D1769" s="60"/>
      <c r="E1769" s="9">
        <v>292</v>
      </c>
      <c r="F1769" s="25">
        <v>43168</v>
      </c>
      <c r="G1769" s="61" t="s">
        <v>13</v>
      </c>
      <c r="H1769" s="9"/>
      <c r="I1769" s="8"/>
      <c r="J1769" s="8"/>
      <c r="K1769" s="8"/>
      <c r="L1769" s="9">
        <v>318</v>
      </c>
      <c r="M1769" s="8"/>
    </row>
    <row r="1770" spans="1:13">
      <c r="A1770" s="62" t="s">
        <v>2548</v>
      </c>
      <c r="B1770" s="58">
        <v>13035980861</v>
      </c>
      <c r="C1770" s="63" t="s">
        <v>2549</v>
      </c>
      <c r="D1770" s="60">
        <v>60623608553</v>
      </c>
      <c r="E1770" s="9">
        <v>1752</v>
      </c>
      <c r="F1770" s="25">
        <v>43051</v>
      </c>
      <c r="G1770" s="61" t="s">
        <v>13</v>
      </c>
      <c r="H1770" s="9"/>
      <c r="I1770" s="8"/>
      <c r="J1770" s="8"/>
      <c r="K1770" s="8"/>
      <c r="L1770" s="9">
        <v>1759</v>
      </c>
      <c r="M1770" s="8"/>
    </row>
    <row r="1771" spans="1:13">
      <c r="A1771" s="62" t="s">
        <v>2550</v>
      </c>
      <c r="B1771" s="58">
        <v>10748600809</v>
      </c>
      <c r="C1771" s="59"/>
      <c r="D1771" s="60"/>
      <c r="E1771" s="9"/>
      <c r="F1771" s="25"/>
      <c r="G1771" s="61"/>
      <c r="H1771" s="9"/>
      <c r="I1771" s="8"/>
      <c r="J1771" s="8"/>
      <c r="K1771" s="8"/>
      <c r="L1771" s="8"/>
      <c r="M1771" s="8"/>
    </row>
    <row r="1772" spans="1:13">
      <c r="A1772" s="62" t="s">
        <v>2551</v>
      </c>
      <c r="B1772" s="58">
        <v>32701346819</v>
      </c>
      <c r="C1772" s="63"/>
      <c r="D1772" s="60"/>
      <c r="E1772" s="9">
        <v>810</v>
      </c>
      <c r="F1772" s="25">
        <v>42915</v>
      </c>
      <c r="G1772" s="61" t="s">
        <v>13</v>
      </c>
      <c r="H1772" s="9"/>
      <c r="I1772" s="8"/>
      <c r="J1772" s="8"/>
      <c r="K1772" s="8"/>
      <c r="L1772" s="9" t="s">
        <v>138</v>
      </c>
      <c r="M1772" s="8"/>
    </row>
    <row r="1773" spans="1:13">
      <c r="A1773" s="27" t="s">
        <v>2552</v>
      </c>
      <c r="B1773" s="58">
        <v>7965453401</v>
      </c>
      <c r="C1773" s="27" t="s">
        <v>2553</v>
      </c>
      <c r="D1773" s="60">
        <v>9175781476</v>
      </c>
      <c r="E1773" s="9"/>
      <c r="F1773" s="25"/>
      <c r="G1773" s="61"/>
      <c r="H1773" s="9"/>
      <c r="I1773" s="8"/>
      <c r="J1773" s="8"/>
      <c r="K1773" s="8"/>
      <c r="L1773" s="8"/>
      <c r="M1773" s="8"/>
    </row>
    <row r="1774" spans="1:13">
      <c r="A1774" s="62" t="s">
        <v>2554</v>
      </c>
      <c r="B1774" s="58">
        <v>41601442840</v>
      </c>
      <c r="C1774" s="63"/>
      <c r="D1774" s="60"/>
      <c r="E1774" s="9">
        <v>1106</v>
      </c>
      <c r="F1774" s="25">
        <v>42965</v>
      </c>
      <c r="G1774" s="61" t="s">
        <v>13</v>
      </c>
      <c r="H1774" s="9"/>
      <c r="I1774" s="8"/>
      <c r="J1774" s="8"/>
      <c r="K1774" s="8"/>
      <c r="L1774" s="8"/>
      <c r="M1774" s="8"/>
    </row>
    <row r="1775" spans="1:13">
      <c r="A1775" s="62" t="s">
        <v>2555</v>
      </c>
      <c r="B1775" s="58">
        <v>29335127850</v>
      </c>
      <c r="C1775" s="59" t="s">
        <v>2556</v>
      </c>
      <c r="D1775" s="60">
        <v>18384225877</v>
      </c>
      <c r="E1775" s="9">
        <v>1214</v>
      </c>
      <c r="F1775" s="25">
        <v>42989</v>
      </c>
      <c r="G1775" s="61" t="s">
        <v>13</v>
      </c>
      <c r="H1775" s="9"/>
      <c r="I1775" s="8"/>
      <c r="J1775" s="8"/>
      <c r="K1775" s="8"/>
      <c r="L1775" s="8"/>
      <c r="M1775" s="8"/>
    </row>
    <row r="1776" spans="1:13">
      <c r="A1776" s="62" t="s">
        <v>2557</v>
      </c>
      <c r="B1776" s="58">
        <v>40914868861</v>
      </c>
      <c r="C1776" s="63"/>
      <c r="D1776" s="60"/>
      <c r="E1776" s="9">
        <v>1752</v>
      </c>
      <c r="F1776" s="25">
        <v>43051</v>
      </c>
      <c r="G1776" s="61" t="s">
        <v>13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2558</v>
      </c>
      <c r="B1777" s="58">
        <v>22530539880</v>
      </c>
      <c r="C1777" s="63" t="s">
        <v>2559</v>
      </c>
      <c r="D1777" s="60">
        <v>29713638808</v>
      </c>
      <c r="E1777" s="9"/>
      <c r="F1777" s="25"/>
      <c r="G1777" s="61"/>
      <c r="H1777" s="9"/>
      <c r="I1777" s="8"/>
      <c r="J1777" s="8"/>
      <c r="K1777" s="8"/>
      <c r="L1777" s="8"/>
      <c r="M1777" s="8"/>
    </row>
    <row r="1778" spans="1:13">
      <c r="A1778" s="62" t="s">
        <v>2560</v>
      </c>
      <c r="B1778" s="58">
        <v>22135571873</v>
      </c>
      <c r="C1778" s="63" t="s">
        <v>2561</v>
      </c>
      <c r="D1778" s="60">
        <v>95325123572</v>
      </c>
      <c r="E1778" s="9">
        <v>292</v>
      </c>
      <c r="F1778" s="25">
        <v>43168</v>
      </c>
      <c r="G1778" s="61"/>
      <c r="H1778" s="9"/>
      <c r="I1778" s="8"/>
      <c r="J1778" s="8"/>
      <c r="K1778" s="8"/>
      <c r="L1778" s="9">
        <v>318</v>
      </c>
      <c r="M1778" s="8"/>
    </row>
    <row r="1779" spans="1:13">
      <c r="A1779" s="62" t="s">
        <v>2562</v>
      </c>
      <c r="B1779" s="58">
        <v>29928831823</v>
      </c>
      <c r="C1779" s="63" t="s">
        <v>2563</v>
      </c>
      <c r="D1779" s="60">
        <v>9500916428</v>
      </c>
      <c r="E1779" s="9">
        <v>810</v>
      </c>
      <c r="F1779" s="25">
        <v>42915</v>
      </c>
      <c r="G1779" s="61" t="s">
        <v>13</v>
      </c>
      <c r="H1779" s="9"/>
      <c r="I1779" s="8"/>
      <c r="J1779" s="8"/>
      <c r="K1779" s="8"/>
      <c r="L1779" s="9" t="s">
        <v>138</v>
      </c>
      <c r="M1779" s="8"/>
    </row>
    <row r="1780" spans="1:13">
      <c r="A1780" s="63" t="s">
        <v>2564</v>
      </c>
      <c r="B1780" s="58">
        <v>14696523829</v>
      </c>
      <c r="C1780" s="63"/>
      <c r="D1780" s="60"/>
      <c r="E1780" s="9"/>
      <c r="F1780" s="25"/>
      <c r="G1780" s="61"/>
      <c r="H1780" s="9"/>
      <c r="I1780" s="8"/>
      <c r="J1780" s="8"/>
      <c r="K1780" s="8"/>
      <c r="L1780" s="8"/>
      <c r="M1780" s="8"/>
    </row>
    <row r="1781" spans="1:13">
      <c r="A1781" s="15" t="s">
        <v>2565</v>
      </c>
      <c r="B1781" s="58">
        <v>33929478811</v>
      </c>
      <c r="C1781" s="63"/>
      <c r="D1781" s="60"/>
      <c r="E1781" s="9">
        <v>85</v>
      </c>
      <c r="F1781" s="25">
        <v>43109</v>
      </c>
      <c r="G1781" s="61" t="s">
        <v>13</v>
      </c>
      <c r="H1781" s="25">
        <v>43151</v>
      </c>
      <c r="I1781" s="8"/>
      <c r="J1781" s="8"/>
      <c r="K1781" s="8"/>
      <c r="L1781" s="8"/>
      <c r="M1781" s="8"/>
    </row>
    <row r="1782" spans="1:13">
      <c r="A1782" s="62" t="s">
        <v>2566</v>
      </c>
      <c r="B1782" s="58">
        <v>1198091339</v>
      </c>
      <c r="C1782" s="63"/>
      <c r="D1782" s="60"/>
      <c r="E1782" s="9"/>
      <c r="F1782" s="25"/>
      <c r="G1782" s="61"/>
      <c r="H1782" s="9"/>
      <c r="I1782" s="8"/>
      <c r="J1782" s="8"/>
      <c r="K1782" s="8"/>
      <c r="L1782" s="8"/>
      <c r="M1782" s="8"/>
    </row>
    <row r="1783" spans="1:13">
      <c r="A1783" s="27" t="s">
        <v>2567</v>
      </c>
      <c r="B1783" s="58"/>
      <c r="C1783" s="27" t="s">
        <v>129</v>
      </c>
      <c r="D1783" s="60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62" t="s">
        <v>2568</v>
      </c>
      <c r="B1784" s="58">
        <v>42003889876</v>
      </c>
      <c r="C1784" s="63"/>
      <c r="D1784" s="60"/>
      <c r="E1784" s="9">
        <v>1824</v>
      </c>
      <c r="F1784" s="25">
        <v>43091</v>
      </c>
      <c r="G1784" s="61" t="s">
        <v>13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2569</v>
      </c>
      <c r="B1785" s="58">
        <v>22117077854</v>
      </c>
      <c r="C1785" s="59"/>
      <c r="D1785" s="60"/>
      <c r="E1785" s="9">
        <v>1128</v>
      </c>
      <c r="F1785" s="25">
        <v>42972</v>
      </c>
      <c r="G1785" s="61" t="s">
        <v>13</v>
      </c>
      <c r="H1785" s="9"/>
      <c r="I1785" s="8"/>
      <c r="J1785" s="8"/>
      <c r="K1785" s="8"/>
      <c r="L1785" s="8"/>
      <c r="M1785" s="8"/>
    </row>
    <row r="1786" spans="1:13">
      <c r="A1786" s="62" t="s">
        <v>2570</v>
      </c>
      <c r="B1786" s="58">
        <v>29808270883</v>
      </c>
      <c r="C1786" s="63"/>
      <c r="D1786" s="60"/>
      <c r="E1786" s="9">
        <v>1241</v>
      </c>
      <c r="F1786" s="25">
        <v>42992</v>
      </c>
      <c r="G1786" s="61" t="s">
        <v>13</v>
      </c>
      <c r="H1786" s="9"/>
      <c r="I1786" s="8"/>
      <c r="J1786" s="8"/>
      <c r="K1786" s="8"/>
      <c r="L1786" s="8"/>
      <c r="M1786" s="8"/>
    </row>
    <row r="1787" spans="1:13">
      <c r="A1787" s="62" t="s">
        <v>2571</v>
      </c>
      <c r="B1787" s="58">
        <v>31371424829</v>
      </c>
      <c r="C1787" s="63"/>
      <c r="D1787" s="60"/>
      <c r="E1787" s="9">
        <v>1422</v>
      </c>
      <c r="F1787" s="25">
        <v>43018</v>
      </c>
      <c r="G1787" s="61" t="s">
        <v>13</v>
      </c>
      <c r="H1787" s="9"/>
      <c r="I1787" s="8"/>
      <c r="J1787" s="8"/>
      <c r="K1787" s="8"/>
      <c r="L1787" s="8"/>
      <c r="M1787" s="8"/>
    </row>
    <row r="1788" spans="1:13">
      <c r="A1788" s="62" t="s">
        <v>2572</v>
      </c>
      <c r="B1788" s="58">
        <v>6942707848</v>
      </c>
      <c r="C1788" s="63"/>
      <c r="D1788" s="60"/>
      <c r="E1788" s="9">
        <v>810</v>
      </c>
      <c r="F1788" s="25">
        <v>42915</v>
      </c>
      <c r="G1788" s="61" t="s">
        <v>13</v>
      </c>
      <c r="H1788" s="9"/>
      <c r="I1788" s="8"/>
      <c r="J1788" s="8"/>
      <c r="K1788" s="8"/>
      <c r="L1788" s="9" t="s">
        <v>138</v>
      </c>
      <c r="M1788" s="8"/>
    </row>
    <row r="1789" spans="1:13">
      <c r="A1789" s="62" t="s">
        <v>2573</v>
      </c>
      <c r="B1789" s="58">
        <v>25969168866</v>
      </c>
      <c r="C1789" s="63"/>
      <c r="D1789" s="60"/>
      <c r="E1789" s="9">
        <v>1451</v>
      </c>
      <c r="F1789" s="25">
        <v>43027</v>
      </c>
      <c r="G1789" s="61" t="s">
        <v>13</v>
      </c>
      <c r="H1789" s="9"/>
      <c r="I1789" s="8"/>
      <c r="J1789" s="8"/>
      <c r="K1789" s="8"/>
      <c r="L1789" s="8"/>
      <c r="M1789" s="8"/>
    </row>
    <row r="1790" spans="1:13">
      <c r="A1790" s="62" t="s">
        <v>2574</v>
      </c>
      <c r="B1790" s="58">
        <v>22451067845</v>
      </c>
      <c r="C1790" s="59"/>
      <c r="D1790" s="60"/>
      <c r="E1790" s="9">
        <v>1128</v>
      </c>
      <c r="F1790" s="25">
        <v>42972</v>
      </c>
      <c r="G1790" s="61" t="s">
        <v>13</v>
      </c>
      <c r="H1790" s="9"/>
      <c r="I1790" s="8"/>
      <c r="J1790" s="8"/>
      <c r="K1790" s="8"/>
      <c r="L1790" s="8"/>
      <c r="M1790" s="8"/>
    </row>
    <row r="1791" spans="1:13">
      <c r="A1791" s="15" t="s">
        <v>2575</v>
      </c>
      <c r="B1791" s="58">
        <v>44096131890</v>
      </c>
      <c r="C1791" s="63"/>
      <c r="D1791" s="60"/>
      <c r="E1791" s="9">
        <v>262</v>
      </c>
      <c r="F1791" s="25">
        <v>43160</v>
      </c>
      <c r="G1791" s="61" t="s">
        <v>13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62" t="s">
        <v>2576</v>
      </c>
      <c r="B1792" s="58">
        <v>29652104825</v>
      </c>
      <c r="C1792" s="59" t="s">
        <v>2577</v>
      </c>
      <c r="D1792" s="60">
        <v>3396140567</v>
      </c>
      <c r="E1792" s="9"/>
      <c r="F1792" s="25"/>
      <c r="G1792" s="61"/>
      <c r="H1792" s="9"/>
      <c r="I1792" s="8"/>
      <c r="J1792" s="8"/>
      <c r="K1792" s="8"/>
      <c r="L1792" s="8"/>
      <c r="M1792" s="8"/>
    </row>
    <row r="1793" spans="1:13">
      <c r="A1793" s="62" t="s">
        <v>2578</v>
      </c>
      <c r="B1793" s="58">
        <v>36390605803</v>
      </c>
      <c r="C1793" s="59"/>
      <c r="D1793" s="60"/>
      <c r="E1793" s="9">
        <v>1128</v>
      </c>
      <c r="F1793" s="25">
        <v>42972</v>
      </c>
      <c r="G1793" s="61" t="s">
        <v>13</v>
      </c>
      <c r="H1793" s="9"/>
      <c r="I1793" s="8"/>
      <c r="J1793" s="8"/>
      <c r="K1793" s="8"/>
      <c r="L1793" s="8"/>
      <c r="M1793" s="8"/>
    </row>
    <row r="1794" spans="1:13">
      <c r="A1794" s="14" t="s">
        <v>2579</v>
      </c>
      <c r="B1794" s="58">
        <v>23486883879</v>
      </c>
      <c r="C1794" s="63"/>
      <c r="D1794" s="60"/>
      <c r="E1794" s="9">
        <v>527</v>
      </c>
      <c r="F1794" s="25">
        <v>43210</v>
      </c>
      <c r="G1794" s="61"/>
      <c r="H1794" s="9"/>
      <c r="I1794" s="8"/>
      <c r="J1794" s="8"/>
      <c r="K1794" s="8"/>
      <c r="L1794" s="9">
        <v>528</v>
      </c>
      <c r="M1794" s="8"/>
    </row>
    <row r="1795" spans="1:13">
      <c r="A1795" s="62" t="s">
        <v>2580</v>
      </c>
      <c r="B1795" s="58">
        <v>21917251807</v>
      </c>
      <c r="C1795" s="63"/>
      <c r="D1795" s="60"/>
      <c r="E1795" s="9">
        <v>573</v>
      </c>
      <c r="F1795" s="25">
        <v>43224</v>
      </c>
      <c r="G1795" s="61"/>
      <c r="H1795" s="9"/>
      <c r="I1795" s="8"/>
      <c r="J1795" s="8"/>
      <c r="K1795" s="8"/>
      <c r="L1795" s="8"/>
      <c r="M1795" s="8"/>
    </row>
    <row r="1796" spans="1:13">
      <c r="A1796" s="62" t="s">
        <v>2581</v>
      </c>
      <c r="B1796" s="58">
        <v>18290145870</v>
      </c>
      <c r="C1796" s="63"/>
      <c r="D1796" s="60"/>
      <c r="E1796" s="9">
        <v>1439</v>
      </c>
      <c r="F1796" s="25">
        <v>43025</v>
      </c>
      <c r="G1796" s="61" t="s">
        <v>13</v>
      </c>
      <c r="H1796" s="9"/>
      <c r="I1796" s="8"/>
      <c r="J1796" s="8"/>
      <c r="K1796" s="8"/>
      <c r="L1796" s="9" t="s">
        <v>502</v>
      </c>
      <c r="M1796" s="8"/>
    </row>
    <row r="1797" spans="1:13">
      <c r="A1797" s="62" t="s">
        <v>2582</v>
      </c>
      <c r="B1797" s="58">
        <v>16313842871</v>
      </c>
      <c r="C1797" s="63"/>
      <c r="D1797" s="60"/>
      <c r="E1797" s="9">
        <v>1262</v>
      </c>
      <c r="F1797" s="25">
        <v>42997</v>
      </c>
      <c r="G1797" s="61" t="s">
        <v>13</v>
      </c>
      <c r="H1797" s="9"/>
      <c r="I1797" s="8"/>
      <c r="J1797" s="8"/>
      <c r="K1797" s="8"/>
      <c r="L1797" s="8"/>
      <c r="M1797" s="8"/>
    </row>
    <row r="1798" spans="1:13">
      <c r="A1798" s="27" t="s">
        <v>2583</v>
      </c>
      <c r="B1798" s="58">
        <v>6896659890</v>
      </c>
      <c r="C1798" s="27" t="s">
        <v>2584</v>
      </c>
      <c r="D1798" s="60">
        <v>39700020959</v>
      </c>
      <c r="E1798" s="9"/>
      <c r="F1798" s="25"/>
      <c r="G1798" s="61"/>
      <c r="H1798" s="9"/>
      <c r="I1798" s="8"/>
      <c r="J1798" s="8"/>
      <c r="K1798" s="8"/>
      <c r="L1798" s="8"/>
      <c r="M1798" s="8"/>
    </row>
    <row r="1799" spans="1:13">
      <c r="A1799" s="62" t="s">
        <v>2585</v>
      </c>
      <c r="B1799" s="58">
        <v>17258435875</v>
      </c>
      <c r="C1799" s="63"/>
      <c r="D1799" s="60"/>
      <c r="E1799" s="9">
        <v>85</v>
      </c>
      <c r="F1799" s="25">
        <v>43109</v>
      </c>
      <c r="G1799" s="61" t="s">
        <v>13</v>
      </c>
      <c r="H1799" s="25">
        <v>43151</v>
      </c>
      <c r="I1799" s="8"/>
      <c r="J1799" s="8"/>
      <c r="K1799" s="8"/>
      <c r="L1799" s="8"/>
      <c r="M1799" s="8"/>
    </row>
    <row r="1800" spans="1:13">
      <c r="A1800" s="62" t="s">
        <v>2586</v>
      </c>
      <c r="B1800" s="58">
        <v>60230380506</v>
      </c>
      <c r="C1800" s="63" t="s">
        <v>2587</v>
      </c>
      <c r="D1800" s="60">
        <v>30853536821</v>
      </c>
      <c r="E1800" s="9">
        <v>1570</v>
      </c>
      <c r="F1800" s="25">
        <v>43051</v>
      </c>
      <c r="G1800" s="61" t="s">
        <v>20</v>
      </c>
      <c r="H1800" s="9"/>
      <c r="I1800" s="8"/>
      <c r="J1800" s="8"/>
      <c r="K1800" s="8"/>
      <c r="L1800" s="8"/>
      <c r="M1800" s="8"/>
    </row>
    <row r="1801" spans="1:13">
      <c r="A1801" s="14" t="s">
        <v>2588</v>
      </c>
      <c r="B1801" s="58">
        <v>44556393817</v>
      </c>
      <c r="C1801" s="63" t="s">
        <v>2589</v>
      </c>
      <c r="D1801" s="60">
        <v>35553946816</v>
      </c>
      <c r="E1801" s="9"/>
      <c r="F1801" s="25"/>
      <c r="G1801" s="61"/>
      <c r="H1801" s="9"/>
      <c r="I1801" s="8"/>
      <c r="J1801" s="8"/>
      <c r="K1801" s="8"/>
      <c r="L1801" s="8"/>
      <c r="M1801" s="8"/>
    </row>
    <row r="1802" spans="1:13">
      <c r="A1802" s="27" t="s">
        <v>2590</v>
      </c>
      <c r="B1802" s="58">
        <v>35780076847</v>
      </c>
      <c r="C1802" s="27" t="s">
        <v>2591</v>
      </c>
      <c r="D1802" s="60">
        <v>89212975534</v>
      </c>
      <c r="E1802" s="9"/>
      <c r="F1802" s="25"/>
      <c r="G1802" s="61"/>
      <c r="H1802" s="9"/>
      <c r="I1802" s="8"/>
      <c r="J1802" s="8"/>
      <c r="K1802" s="8"/>
      <c r="L1802" s="8"/>
      <c r="M1802" s="8"/>
    </row>
    <row r="1803" spans="1:13">
      <c r="A1803" s="62" t="s">
        <v>2592</v>
      </c>
      <c r="B1803" s="58">
        <v>29541849814</v>
      </c>
      <c r="C1803" s="63"/>
      <c r="D1803" s="60"/>
      <c r="E1803" s="9">
        <v>262</v>
      </c>
      <c r="F1803" s="25">
        <v>43160</v>
      </c>
      <c r="G1803" s="61" t="s">
        <v>13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62" t="s">
        <v>2593</v>
      </c>
      <c r="B1804" s="58">
        <v>42544122234</v>
      </c>
      <c r="C1804" s="59"/>
      <c r="D1804" s="60"/>
      <c r="E1804" s="9">
        <v>1128</v>
      </c>
      <c r="F1804" s="25">
        <v>42972</v>
      </c>
      <c r="G1804" s="61" t="s">
        <v>13</v>
      </c>
      <c r="H1804" s="9"/>
      <c r="I1804" s="8"/>
      <c r="J1804" s="8"/>
      <c r="K1804" s="8"/>
      <c r="L1804" s="8"/>
      <c r="M1804" s="8"/>
    </row>
    <row r="1805" spans="1:13">
      <c r="A1805" s="62" t="s">
        <v>2594</v>
      </c>
      <c r="B1805" s="58">
        <v>13289203808</v>
      </c>
      <c r="C1805" s="63"/>
      <c r="D1805" s="60"/>
      <c r="E1805" s="9">
        <v>485</v>
      </c>
      <c r="F1805" s="25">
        <v>43196</v>
      </c>
      <c r="G1805" s="61"/>
      <c r="H1805" s="9"/>
      <c r="I1805" s="8"/>
      <c r="J1805" s="8"/>
      <c r="K1805" s="8"/>
      <c r="L1805" s="9">
        <v>483</v>
      </c>
      <c r="M1805" s="8"/>
    </row>
    <row r="1806" spans="1:13">
      <c r="A1806" s="62" t="s">
        <v>2595</v>
      </c>
      <c r="B1806" s="58">
        <v>22839352885</v>
      </c>
      <c r="C1806" s="63"/>
      <c r="D1806" s="60"/>
      <c r="E1806" s="9">
        <v>443</v>
      </c>
      <c r="F1806" s="25">
        <v>43188</v>
      </c>
      <c r="G1806" s="61"/>
      <c r="H1806" s="9"/>
      <c r="I1806" s="8"/>
      <c r="J1806" s="8"/>
      <c r="K1806" s="8"/>
      <c r="L1806" s="8"/>
      <c r="M1806" s="8"/>
    </row>
    <row r="1807" spans="1:13">
      <c r="A1807" s="27" t="s">
        <v>2596</v>
      </c>
      <c r="B1807" s="58">
        <v>8265497806</v>
      </c>
      <c r="C1807" s="18" t="s">
        <v>129</v>
      </c>
      <c r="D1807" s="60"/>
      <c r="E1807" s="9"/>
      <c r="F1807" s="25"/>
      <c r="G1807" s="61"/>
      <c r="H1807" s="9"/>
      <c r="I1807" s="8"/>
      <c r="J1807" s="8"/>
      <c r="K1807" s="8"/>
      <c r="L1807" s="8"/>
      <c r="M1807" s="8"/>
    </row>
    <row r="1808" spans="1:13">
      <c r="A1808" s="27" t="s">
        <v>2597</v>
      </c>
      <c r="B1808" s="58">
        <v>27435732877</v>
      </c>
      <c r="C1808" s="27" t="s">
        <v>129</v>
      </c>
      <c r="D1808" s="60"/>
      <c r="E1808" s="9"/>
      <c r="F1808" s="25"/>
      <c r="G1808" s="61"/>
      <c r="H1808" s="9"/>
      <c r="I1808" s="8"/>
      <c r="J1808" s="8"/>
      <c r="K1808" s="8"/>
      <c r="L1808" s="8"/>
      <c r="M1808" s="8"/>
    </row>
    <row r="1809" spans="1:13">
      <c r="A1809" s="15" t="s">
        <v>2598</v>
      </c>
      <c r="B1809" s="58">
        <v>17620421858</v>
      </c>
      <c r="C1809" s="63" t="s">
        <v>2599</v>
      </c>
      <c r="D1809" s="60">
        <v>10328897809</v>
      </c>
      <c r="E1809" s="9">
        <v>527</v>
      </c>
      <c r="F1809" s="25">
        <v>43210</v>
      </c>
      <c r="G1809" s="61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2600</v>
      </c>
      <c r="B1810" s="58">
        <v>33051956813</v>
      </c>
      <c r="C1810" s="63"/>
      <c r="D1810" s="60"/>
      <c r="E1810" s="9">
        <v>1350</v>
      </c>
      <c r="F1810" s="25">
        <v>43006</v>
      </c>
      <c r="G1810" s="61" t="s">
        <v>13</v>
      </c>
      <c r="H1810" s="9"/>
      <c r="I1810" s="8"/>
      <c r="J1810" s="8"/>
      <c r="K1810" s="8"/>
      <c r="L1810" s="8"/>
      <c r="M1810" s="8"/>
    </row>
    <row r="1811" spans="1:13">
      <c r="A1811" s="62" t="s">
        <v>2601</v>
      </c>
      <c r="B1811" s="69" t="s">
        <v>2602</v>
      </c>
      <c r="C1811" s="68"/>
      <c r="D1811" s="60"/>
      <c r="E1811" s="9"/>
      <c r="F1811" s="25"/>
      <c r="G1811" s="61"/>
      <c r="H1811" s="9"/>
      <c r="I1811" s="8"/>
      <c r="J1811" s="8"/>
      <c r="K1811" s="8"/>
      <c r="L1811" s="8"/>
      <c r="M1811" s="8"/>
    </row>
    <row r="1812" spans="1:13">
      <c r="A1812" s="13" t="s">
        <v>2603</v>
      </c>
      <c r="B1812" s="58">
        <v>33725177848</v>
      </c>
      <c r="C1812" s="59"/>
      <c r="D1812" s="60"/>
      <c r="E1812" s="9">
        <v>1128</v>
      </c>
      <c r="F1812" s="25">
        <v>42972</v>
      </c>
      <c r="G1812" s="61" t="s">
        <v>13</v>
      </c>
      <c r="H1812" s="9"/>
      <c r="I1812" s="8"/>
      <c r="J1812" s="8"/>
      <c r="K1812" s="8"/>
      <c r="L1812" s="8"/>
      <c r="M1812" s="8"/>
    </row>
    <row r="1813" spans="1:13">
      <c r="A1813" s="62" t="s">
        <v>2604</v>
      </c>
      <c r="B1813" s="58">
        <v>4199619500</v>
      </c>
      <c r="C1813" s="63"/>
      <c r="D1813" s="60"/>
      <c r="E1813" s="9">
        <v>1752</v>
      </c>
      <c r="F1813" s="25">
        <v>43051</v>
      </c>
      <c r="G1813" s="61"/>
      <c r="H1813" s="9"/>
      <c r="I1813" s="8"/>
      <c r="J1813" s="8"/>
      <c r="K1813" s="8"/>
      <c r="L1813" s="9">
        <v>1759</v>
      </c>
      <c r="M1813" s="8"/>
    </row>
    <row r="1814" spans="1:13">
      <c r="A1814" s="62" t="s">
        <v>2605</v>
      </c>
      <c r="B1814" s="58">
        <v>37395644824</v>
      </c>
      <c r="C1814" s="63"/>
      <c r="D1814" s="60"/>
      <c r="E1814" s="9"/>
      <c r="F1814" s="25"/>
      <c r="G1814" s="61"/>
      <c r="H1814" s="9"/>
      <c r="I1814" s="8"/>
      <c r="J1814" s="8"/>
      <c r="K1814" s="8"/>
      <c r="L1814" s="8"/>
      <c r="M1814" s="8"/>
    </row>
    <row r="1815" spans="1:13">
      <c r="A1815" s="62" t="s">
        <v>2606</v>
      </c>
      <c r="B1815" s="58">
        <v>10746391897</v>
      </c>
      <c r="C1815" s="63"/>
      <c r="D1815" s="60"/>
      <c r="E1815" s="9">
        <v>292</v>
      </c>
      <c r="F1815" s="25">
        <v>43168</v>
      </c>
      <c r="G1815" s="61" t="s">
        <v>13</v>
      </c>
      <c r="H1815" s="9"/>
      <c r="I1815" s="8"/>
      <c r="J1815" s="8"/>
      <c r="K1815" s="8"/>
      <c r="L1815" s="9">
        <v>318</v>
      </c>
      <c r="M1815" s="8"/>
    </row>
    <row r="1816" spans="1:13">
      <c r="A1816" s="63" t="s">
        <v>2607</v>
      </c>
      <c r="B1816" s="60">
        <v>12811127801</v>
      </c>
      <c r="C1816" s="8"/>
      <c r="D1816" s="21"/>
      <c r="E1816" s="9">
        <v>563</v>
      </c>
      <c r="F1816" s="25">
        <v>43217</v>
      </c>
      <c r="G1816" s="61"/>
      <c r="H1816" s="9"/>
      <c r="I1816" s="8"/>
      <c r="J1816" s="8"/>
      <c r="K1816" s="8"/>
      <c r="L1816" s="9" t="s">
        <v>299</v>
      </c>
      <c r="M1816" s="8"/>
    </row>
    <row r="1817" spans="1:13">
      <c r="A1817" s="14" t="s">
        <v>2608</v>
      </c>
      <c r="B1817" s="58">
        <v>24655581883</v>
      </c>
      <c r="C1817" s="63" t="s">
        <v>2609</v>
      </c>
      <c r="D1817" s="60">
        <v>10449690830</v>
      </c>
      <c r="E1817" s="9"/>
      <c r="F1817" s="25"/>
      <c r="G1817" s="61"/>
      <c r="H1817" s="9"/>
      <c r="I1817" s="8"/>
      <c r="J1817" s="8"/>
      <c r="K1817" s="8"/>
      <c r="L1817" s="8"/>
      <c r="M1817" s="8"/>
    </row>
    <row r="1818" spans="1:13">
      <c r="A1818" s="63" t="s">
        <v>2610</v>
      </c>
      <c r="B1818" s="58">
        <v>6455171861</v>
      </c>
      <c r="C1818" s="63" t="s">
        <v>2611</v>
      </c>
      <c r="D1818" s="60">
        <v>34375910534</v>
      </c>
      <c r="E1818" s="9">
        <v>1417</v>
      </c>
      <c r="F1818" s="25">
        <v>43017</v>
      </c>
      <c r="G1818" s="61" t="s">
        <v>13</v>
      </c>
      <c r="H1818" s="9"/>
      <c r="I1818" s="8"/>
      <c r="J1818" s="8"/>
      <c r="K1818" s="8"/>
      <c r="L1818" s="9" t="s">
        <v>253</v>
      </c>
      <c r="M1818" s="8"/>
    </row>
    <row r="1819" spans="1:13">
      <c r="A1819" s="62" t="s">
        <v>2612</v>
      </c>
      <c r="B1819" s="58">
        <v>30901219304</v>
      </c>
      <c r="C1819" s="63"/>
      <c r="D1819" s="60"/>
      <c r="E1819" s="9">
        <v>1106</v>
      </c>
      <c r="F1819" s="25">
        <v>42965</v>
      </c>
      <c r="G1819" s="61" t="s">
        <v>13</v>
      </c>
      <c r="H1819" s="9"/>
      <c r="I1819" s="8"/>
      <c r="J1819" s="8"/>
      <c r="K1819" s="8"/>
      <c r="L1819" s="8"/>
      <c r="M1819" s="8"/>
    </row>
    <row r="1820" spans="1:13">
      <c r="A1820" s="62" t="s">
        <v>2613</v>
      </c>
      <c r="B1820" s="58">
        <v>22435946848</v>
      </c>
      <c r="C1820" s="63"/>
      <c r="D1820" s="60"/>
      <c r="E1820" s="9">
        <v>292</v>
      </c>
      <c r="F1820" s="25">
        <v>43168</v>
      </c>
      <c r="G1820" s="9" t="s">
        <v>13</v>
      </c>
      <c r="H1820" s="9"/>
      <c r="I1820" s="8"/>
      <c r="J1820" s="8"/>
      <c r="K1820" s="8"/>
      <c r="L1820" s="9">
        <v>318</v>
      </c>
      <c r="M1820" s="8"/>
    </row>
    <row r="1821" spans="1:13">
      <c r="A1821" s="62" t="s">
        <v>2614</v>
      </c>
      <c r="B1821" s="58">
        <v>16417318850</v>
      </c>
      <c r="C1821" s="63" t="s">
        <v>2615</v>
      </c>
      <c r="D1821" s="60">
        <v>18195940846</v>
      </c>
      <c r="E1821" s="9">
        <v>810</v>
      </c>
      <c r="F1821" s="25">
        <v>42915</v>
      </c>
      <c r="G1821" s="61" t="s">
        <v>20</v>
      </c>
      <c r="H1821" s="9"/>
      <c r="I1821" s="8"/>
      <c r="J1821" s="8"/>
      <c r="K1821" s="8"/>
      <c r="L1821" s="9" t="s">
        <v>138</v>
      </c>
      <c r="M1821" s="8"/>
    </row>
    <row r="1822" spans="1:13">
      <c r="A1822" s="14" t="s">
        <v>2616</v>
      </c>
      <c r="B1822" s="58">
        <v>12570160830</v>
      </c>
      <c r="C1822" s="63"/>
      <c r="D1822" s="60"/>
      <c r="E1822" s="9">
        <v>1752</v>
      </c>
      <c r="F1822" s="25">
        <v>43051</v>
      </c>
      <c r="G1822" s="61" t="s">
        <v>13</v>
      </c>
      <c r="H1822" s="9"/>
      <c r="I1822" s="8"/>
      <c r="J1822" s="8"/>
      <c r="K1822" s="8"/>
      <c r="L1822" s="9">
        <v>1759</v>
      </c>
      <c r="M1822" s="8"/>
    </row>
    <row r="1823" spans="1:13">
      <c r="A1823" s="62" t="s">
        <v>2617</v>
      </c>
      <c r="B1823" s="58">
        <v>14369207878</v>
      </c>
      <c r="C1823" s="63" t="s">
        <v>2618</v>
      </c>
      <c r="D1823" s="60">
        <v>7358923421</v>
      </c>
      <c r="E1823" s="9">
        <v>292</v>
      </c>
      <c r="F1823" s="25">
        <v>43168</v>
      </c>
      <c r="G1823" s="9" t="s">
        <v>13</v>
      </c>
      <c r="H1823" s="9"/>
      <c r="I1823" s="8"/>
      <c r="J1823" s="8"/>
      <c r="K1823" s="8"/>
      <c r="L1823" s="9">
        <v>318</v>
      </c>
      <c r="M1823" s="8"/>
    </row>
    <row r="1824" spans="1:13">
      <c r="A1824" s="62" t="s">
        <v>2619</v>
      </c>
      <c r="B1824" s="58">
        <v>22496598858</v>
      </c>
      <c r="C1824" s="63"/>
      <c r="D1824" s="60"/>
      <c r="E1824" s="9"/>
      <c r="F1824" s="25"/>
      <c r="G1824" s="61"/>
      <c r="H1824" s="9"/>
      <c r="I1824" s="8"/>
      <c r="J1824" s="8"/>
      <c r="K1824" s="8"/>
      <c r="L1824" s="8"/>
      <c r="M1824" s="8"/>
    </row>
    <row r="1825" spans="1:13">
      <c r="A1825" s="62" t="s">
        <v>2619</v>
      </c>
      <c r="B1825" s="58">
        <v>15799919807</v>
      </c>
      <c r="C1825" s="63"/>
      <c r="D1825" s="60"/>
      <c r="E1825" s="9">
        <v>527</v>
      </c>
      <c r="F1825" s="25">
        <v>43210</v>
      </c>
      <c r="G1825" s="61"/>
      <c r="H1825" s="9"/>
      <c r="I1825" s="8"/>
      <c r="J1825" s="8"/>
      <c r="K1825" s="8"/>
      <c r="L1825" s="9">
        <v>528</v>
      </c>
      <c r="M1825" s="8"/>
    </row>
    <row r="1826" spans="1:13">
      <c r="A1826" s="62" t="s">
        <v>2620</v>
      </c>
      <c r="B1826" s="58">
        <v>7803534805</v>
      </c>
      <c r="C1826" s="63"/>
      <c r="D1826" s="60"/>
      <c r="E1826" s="9">
        <v>85</v>
      </c>
      <c r="F1826" s="25">
        <v>43109</v>
      </c>
      <c r="G1826" s="61" t="s">
        <v>13</v>
      </c>
      <c r="H1826" s="25">
        <v>43151</v>
      </c>
      <c r="I1826" s="8"/>
      <c r="J1826" s="8"/>
      <c r="K1826" s="8"/>
      <c r="L1826" s="8"/>
      <c r="M1826" s="8"/>
    </row>
    <row r="1827" spans="1:13">
      <c r="A1827" s="38" t="s">
        <v>2621</v>
      </c>
      <c r="B1827" s="58">
        <v>27137412890</v>
      </c>
      <c r="C1827" s="63"/>
      <c r="D1827" s="60"/>
      <c r="E1827" s="9"/>
      <c r="F1827" s="25"/>
      <c r="G1827" s="61"/>
      <c r="H1827" s="9"/>
      <c r="I1827" s="8"/>
      <c r="J1827" s="8"/>
      <c r="K1827" s="8"/>
      <c r="L1827" s="8"/>
      <c r="M1827" s="8"/>
    </row>
    <row r="1828" spans="1:13">
      <c r="A1828" s="62" t="s">
        <v>2622</v>
      </c>
      <c r="B1828" s="58">
        <v>26989783842</v>
      </c>
      <c r="C1828" s="63"/>
      <c r="D1828" s="60"/>
      <c r="E1828" s="9">
        <v>573</v>
      </c>
      <c r="F1828" s="25">
        <v>43224</v>
      </c>
      <c r="G1828" s="61"/>
      <c r="H1828" s="9"/>
      <c r="I1828" s="8"/>
      <c r="J1828" s="8"/>
      <c r="K1828" s="8"/>
      <c r="L1828" s="8"/>
      <c r="M1828" s="8"/>
    </row>
    <row r="1829" spans="1:13">
      <c r="A1829" s="62" t="s">
        <v>2623</v>
      </c>
      <c r="B1829" s="58" t="s">
        <v>2624</v>
      </c>
      <c r="C1829" s="63" t="s">
        <v>2625</v>
      </c>
      <c r="D1829" s="60">
        <v>43860821822</v>
      </c>
      <c r="E1829" s="9">
        <v>1752</v>
      </c>
      <c r="F1829" s="25">
        <v>43051</v>
      </c>
      <c r="G1829" s="61" t="s">
        <v>13</v>
      </c>
      <c r="H1829" s="9"/>
      <c r="I1829" s="8"/>
      <c r="J1829" s="8"/>
      <c r="K1829" s="8"/>
      <c r="L1829" s="9">
        <v>1759</v>
      </c>
      <c r="M1829" s="8"/>
    </row>
    <row r="1830" spans="1:13">
      <c r="A1830" s="27" t="s">
        <v>2623</v>
      </c>
      <c r="B1830" s="58"/>
      <c r="C1830" s="18" t="s">
        <v>129</v>
      </c>
      <c r="D1830" s="60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63" t="s">
        <v>2626</v>
      </c>
      <c r="B1831" s="58">
        <v>32969576856</v>
      </c>
      <c r="C1831" s="63" t="s">
        <v>2627</v>
      </c>
      <c r="D1831" s="60">
        <v>61347418504</v>
      </c>
      <c r="E1831" s="9"/>
      <c r="F1831" s="25"/>
      <c r="G1831" s="61"/>
      <c r="H1831" s="9"/>
      <c r="I1831" s="8"/>
      <c r="J1831" s="8"/>
      <c r="K1831" s="8"/>
      <c r="L1831" s="8"/>
      <c r="M1831" s="8"/>
    </row>
    <row r="1832" spans="1:13">
      <c r="A1832" s="18" t="s">
        <v>2628</v>
      </c>
      <c r="B1832" s="58">
        <v>23651706842</v>
      </c>
      <c r="C1832" s="18" t="s">
        <v>2629</v>
      </c>
      <c r="D1832" s="60">
        <v>61122173415</v>
      </c>
      <c r="E1832" s="9"/>
      <c r="F1832" s="25"/>
      <c r="G1832" s="61"/>
      <c r="H1832" s="9"/>
      <c r="I1832" s="8"/>
      <c r="J1832" s="8"/>
      <c r="K1832" s="8"/>
      <c r="L1832" s="8"/>
      <c r="M1832" s="8"/>
    </row>
    <row r="1833" spans="1:13">
      <c r="A1833" s="27" t="s">
        <v>2630</v>
      </c>
      <c r="B1833" s="58"/>
      <c r="C1833" s="27" t="s">
        <v>2631</v>
      </c>
      <c r="D1833" s="60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62" t="s">
        <v>2632</v>
      </c>
      <c r="B1834" s="58">
        <v>24891699809</v>
      </c>
      <c r="C1834" s="63" t="s">
        <v>2633</v>
      </c>
      <c r="D1834" s="60">
        <v>17610300861</v>
      </c>
      <c r="E1834" s="9">
        <v>262</v>
      </c>
      <c r="F1834" s="25">
        <v>43160</v>
      </c>
      <c r="G1834" s="61" t="s">
        <v>20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2634</v>
      </c>
      <c r="B1835" s="58">
        <v>18581996892</v>
      </c>
      <c r="C1835" s="59"/>
      <c r="D1835" s="60"/>
      <c r="E1835" s="9">
        <v>1128</v>
      </c>
      <c r="F1835" s="25">
        <v>42972</v>
      </c>
      <c r="G1835" s="61" t="s">
        <v>13</v>
      </c>
      <c r="H1835" s="9"/>
      <c r="I1835" s="8"/>
      <c r="J1835" s="8"/>
      <c r="K1835" s="8"/>
      <c r="L1835" s="8"/>
      <c r="M1835" s="8"/>
    </row>
    <row r="1836" spans="1:13">
      <c r="A1836" s="62" t="s">
        <v>2635</v>
      </c>
      <c r="B1836" s="58">
        <v>79465617687</v>
      </c>
      <c r="C1836" s="68" t="s">
        <v>2636</v>
      </c>
      <c r="D1836" s="60">
        <v>36345907855</v>
      </c>
      <c r="E1836" s="9">
        <v>563</v>
      </c>
      <c r="F1836" s="25">
        <v>43217</v>
      </c>
      <c r="G1836" s="61"/>
      <c r="H1836" s="9"/>
      <c r="I1836" s="8"/>
      <c r="J1836" s="8"/>
      <c r="K1836" s="8"/>
      <c r="L1836" s="9" t="s">
        <v>299</v>
      </c>
      <c r="M1836" s="8"/>
    </row>
    <row r="1837" spans="1:13">
      <c r="A1837" s="27" t="s">
        <v>2637</v>
      </c>
      <c r="B1837" s="58"/>
      <c r="C1837" s="27" t="s">
        <v>129</v>
      </c>
      <c r="D1837" s="60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62" t="s">
        <v>2638</v>
      </c>
      <c r="B1838" s="58" t="s">
        <v>2639</v>
      </c>
      <c r="C1838" s="59"/>
      <c r="D1838" s="60"/>
      <c r="E1838" s="9"/>
      <c r="F1838" s="25"/>
      <c r="G1838" s="61"/>
      <c r="H1838" s="9"/>
      <c r="I1838" s="8"/>
      <c r="J1838" s="8"/>
      <c r="K1838" s="8"/>
      <c r="L1838" s="8"/>
      <c r="M1838" s="8"/>
    </row>
    <row r="1839" spans="1:13">
      <c r="A1839" s="18" t="s">
        <v>2640</v>
      </c>
      <c r="B1839" s="58">
        <v>8545670893</v>
      </c>
      <c r="C1839" s="18" t="s">
        <v>2641</v>
      </c>
      <c r="D1839" s="60">
        <v>11705567878</v>
      </c>
      <c r="E1839" s="9"/>
      <c r="F1839" s="25"/>
      <c r="G1839" s="61"/>
      <c r="H1839" s="9"/>
      <c r="I1839" s="8"/>
      <c r="J1839" s="8"/>
      <c r="K1839" s="8"/>
      <c r="L1839" s="8"/>
      <c r="M1839" s="8"/>
    </row>
    <row r="1840" spans="1:13">
      <c r="A1840" s="62" t="s">
        <v>2640</v>
      </c>
      <c r="B1840" s="58">
        <v>24858022897</v>
      </c>
      <c r="C1840" s="63"/>
      <c r="D1840" s="60"/>
      <c r="E1840" s="9">
        <v>810</v>
      </c>
      <c r="F1840" s="25">
        <v>42915</v>
      </c>
      <c r="G1840" s="61" t="s">
        <v>13</v>
      </c>
      <c r="H1840" s="9"/>
      <c r="I1840" s="8"/>
      <c r="J1840" s="8"/>
      <c r="K1840" s="8"/>
      <c r="L1840" s="9" t="s">
        <v>138</v>
      </c>
      <c r="M1840" s="8"/>
    </row>
    <row r="1841" spans="1:13">
      <c r="A1841" s="63" t="s">
        <v>2642</v>
      </c>
      <c r="B1841" s="58">
        <v>16519436801</v>
      </c>
      <c r="C1841" s="63"/>
      <c r="D1841" s="60"/>
      <c r="E1841" s="9"/>
      <c r="F1841" s="25"/>
      <c r="G1841" s="61"/>
      <c r="H1841" s="9"/>
      <c r="I1841" s="8"/>
      <c r="J1841" s="8"/>
      <c r="K1841" s="8"/>
      <c r="L1841" s="8"/>
      <c r="M1841" s="8"/>
    </row>
    <row r="1842" spans="1:13">
      <c r="A1842" s="27" t="s">
        <v>2643</v>
      </c>
      <c r="B1842" s="58"/>
      <c r="C1842" s="27" t="s">
        <v>129</v>
      </c>
      <c r="D1842" s="60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2644</v>
      </c>
      <c r="B1843" s="58">
        <v>41771284811</v>
      </c>
      <c r="C1843" s="63"/>
      <c r="D1843" s="60"/>
      <c r="E1843" s="9">
        <v>1350</v>
      </c>
      <c r="F1843" s="25">
        <v>43006</v>
      </c>
      <c r="G1843" s="61" t="s">
        <v>13</v>
      </c>
      <c r="H1843" s="9"/>
      <c r="I1843" s="8"/>
      <c r="J1843" s="8"/>
      <c r="K1843" s="8"/>
      <c r="L1843" s="8"/>
      <c r="M1843" s="8"/>
    </row>
    <row r="1844" spans="1:13">
      <c r="A1844" s="63" t="s">
        <v>2645</v>
      </c>
      <c r="B1844" s="60">
        <v>84920157487</v>
      </c>
      <c r="C1844" s="62" t="s">
        <v>2646</v>
      </c>
      <c r="D1844" s="58">
        <v>33479359850</v>
      </c>
      <c r="E1844" s="9"/>
      <c r="F1844" s="25"/>
      <c r="G1844" s="61"/>
      <c r="H1844" s="9"/>
      <c r="I1844" s="8"/>
      <c r="J1844" s="8"/>
      <c r="K1844" s="8"/>
      <c r="L1844" s="8"/>
      <c r="M1844" s="8"/>
    </row>
    <row r="1845" spans="1:13">
      <c r="A1845" s="27" t="s">
        <v>2647</v>
      </c>
      <c r="B1845" s="58">
        <v>18463154840</v>
      </c>
      <c r="C1845" s="8"/>
      <c r="D1845" s="60"/>
      <c r="E1845" s="9"/>
      <c r="F1845" s="25"/>
      <c r="G1845" s="61"/>
      <c r="H1845" s="9"/>
      <c r="I1845" s="8"/>
      <c r="J1845" s="8"/>
      <c r="K1845" s="8"/>
      <c r="L1845" s="8"/>
      <c r="M1845" s="8"/>
    </row>
    <row r="1846" spans="1:13">
      <c r="A1846" s="62" t="s">
        <v>2648</v>
      </c>
      <c r="B1846" s="58">
        <v>35331745814</v>
      </c>
      <c r="C1846" s="66" t="s">
        <v>2649</v>
      </c>
      <c r="D1846" s="60">
        <v>33184459837</v>
      </c>
      <c r="E1846" s="9">
        <v>1106</v>
      </c>
      <c r="F1846" s="25">
        <v>42965</v>
      </c>
      <c r="G1846" s="61" t="s">
        <v>13</v>
      </c>
      <c r="H1846" s="9"/>
      <c r="I1846" s="8"/>
      <c r="J1846" s="8"/>
      <c r="K1846" s="8"/>
      <c r="L1846" s="8"/>
      <c r="M1846" s="8"/>
    </row>
    <row r="1847" spans="1:13">
      <c r="A1847" s="15" t="s">
        <v>2650</v>
      </c>
      <c r="B1847" s="58">
        <v>8224273466</v>
      </c>
      <c r="C1847" s="63"/>
      <c r="D1847" s="60"/>
      <c r="E1847" s="9">
        <v>229</v>
      </c>
      <c r="F1847" s="25">
        <v>43151</v>
      </c>
      <c r="G1847" s="61" t="s">
        <v>13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2651</v>
      </c>
      <c r="B1848" s="58">
        <v>3173915852</v>
      </c>
      <c r="C1848" s="63"/>
      <c r="D1848" s="60"/>
      <c r="E1848" s="9"/>
      <c r="F1848" s="25"/>
      <c r="G1848" s="61"/>
      <c r="H1848" s="9"/>
      <c r="I1848" s="8"/>
      <c r="J1848" s="8"/>
      <c r="K1848" s="8"/>
      <c r="L1848" s="8"/>
      <c r="M1848" s="8"/>
    </row>
    <row r="1849" spans="1:13">
      <c r="A1849" s="62" t="s">
        <v>2652</v>
      </c>
      <c r="B1849" s="58">
        <v>11861512856</v>
      </c>
      <c r="C1849" s="63"/>
      <c r="D1849" s="60"/>
      <c r="E1849" s="9">
        <v>1824</v>
      </c>
      <c r="F1849" s="25">
        <v>43091</v>
      </c>
      <c r="G1849" s="61" t="s">
        <v>13</v>
      </c>
      <c r="H1849" s="9"/>
      <c r="I1849" s="8"/>
      <c r="J1849" s="8"/>
      <c r="K1849" s="8"/>
      <c r="L1849" s="9">
        <v>1828</v>
      </c>
      <c r="M1849" s="8"/>
    </row>
    <row r="1850" spans="1:13">
      <c r="A1850" s="27" t="s">
        <v>2653</v>
      </c>
      <c r="B1850" s="58">
        <v>14686278805</v>
      </c>
      <c r="C1850" s="18" t="s">
        <v>129</v>
      </c>
      <c r="D1850" s="60"/>
      <c r="E1850" s="9"/>
      <c r="F1850" s="25"/>
      <c r="G1850" s="61"/>
      <c r="H1850" s="9"/>
      <c r="I1850" s="8"/>
      <c r="J1850" s="8"/>
      <c r="K1850" s="8"/>
      <c r="L1850" s="8"/>
      <c r="M1850" s="8"/>
    </row>
    <row r="1851" spans="1:13">
      <c r="A1851" s="64" t="s">
        <v>2654</v>
      </c>
      <c r="B1851" s="58">
        <v>14857592851</v>
      </c>
      <c r="C1851" s="63" t="s">
        <v>2655</v>
      </c>
      <c r="D1851" s="60">
        <v>35142215885</v>
      </c>
      <c r="E1851" s="9">
        <v>1106</v>
      </c>
      <c r="F1851" s="25">
        <v>42965</v>
      </c>
      <c r="G1851" s="61" t="s">
        <v>13</v>
      </c>
      <c r="H1851" s="9"/>
      <c r="I1851" s="8"/>
      <c r="J1851" s="8"/>
      <c r="K1851" s="8"/>
      <c r="L1851" s="8"/>
      <c r="M1851" s="8"/>
    </row>
    <row r="1852" spans="1:13">
      <c r="A1852" s="62" t="s">
        <v>2656</v>
      </c>
      <c r="B1852" s="58">
        <v>26028940879</v>
      </c>
      <c r="C1852" s="63"/>
      <c r="D1852" s="60"/>
      <c r="E1852" s="9">
        <v>1824</v>
      </c>
      <c r="F1852" s="25">
        <v>43091</v>
      </c>
      <c r="G1852" s="61" t="s">
        <v>13</v>
      </c>
      <c r="H1852" s="9"/>
      <c r="I1852" s="8"/>
      <c r="J1852" s="8"/>
      <c r="K1852" s="8"/>
      <c r="L1852" s="9">
        <v>1828</v>
      </c>
      <c r="M1852" s="8"/>
    </row>
    <row r="1853" spans="1:13">
      <c r="A1853" s="64" t="s">
        <v>2657</v>
      </c>
      <c r="B1853" s="58">
        <v>35714112857</v>
      </c>
      <c r="C1853" s="63" t="s">
        <v>2658</v>
      </c>
      <c r="D1853" s="60">
        <v>32342783850</v>
      </c>
      <c r="E1853" s="9">
        <v>810</v>
      </c>
      <c r="F1853" s="25">
        <v>42915</v>
      </c>
      <c r="G1853" s="61" t="s">
        <v>13</v>
      </c>
      <c r="H1853" s="9"/>
      <c r="I1853" s="8"/>
      <c r="J1853" s="8"/>
      <c r="K1853" s="8"/>
      <c r="L1853" s="9" t="s">
        <v>138</v>
      </c>
      <c r="M1853" s="8"/>
    </row>
    <row r="1854" spans="1:13">
      <c r="A1854" s="15" t="s">
        <v>2659</v>
      </c>
      <c r="B1854" s="58"/>
      <c r="C1854" s="63"/>
      <c r="D1854" s="60"/>
      <c r="E1854" s="9"/>
      <c r="F1854" s="25"/>
      <c r="G1854" s="61"/>
      <c r="H1854" s="9"/>
      <c r="I1854" s="8"/>
      <c r="J1854" s="8"/>
      <c r="K1854" s="8"/>
      <c r="L1854" s="8"/>
      <c r="M1854" s="8"/>
    </row>
    <row r="1855" spans="1:13">
      <c r="A1855" s="62" t="s">
        <v>2660</v>
      </c>
      <c r="B1855" s="58">
        <v>41256193879</v>
      </c>
      <c r="C1855" s="64"/>
      <c r="D1855" s="60"/>
      <c r="E1855" s="9">
        <v>292</v>
      </c>
      <c r="F1855" s="25">
        <v>43168</v>
      </c>
      <c r="G1855" s="61" t="s">
        <v>13</v>
      </c>
      <c r="H1855" s="9"/>
      <c r="I1855" s="8"/>
      <c r="J1855" s="8"/>
      <c r="K1855" s="8"/>
      <c r="L1855" s="9">
        <v>318</v>
      </c>
      <c r="M1855" s="8"/>
    </row>
    <row r="1856" spans="1:13">
      <c r="A1856" s="62" t="s">
        <v>2661</v>
      </c>
      <c r="B1856" s="58">
        <v>22009621859</v>
      </c>
      <c r="C1856" s="63" t="s">
        <v>2662</v>
      </c>
      <c r="D1856" s="60">
        <v>1801336830</v>
      </c>
      <c r="E1856" s="9"/>
      <c r="F1856" s="25"/>
      <c r="G1856" s="61"/>
      <c r="H1856" s="9"/>
      <c r="I1856" s="8"/>
      <c r="J1856" s="8"/>
      <c r="K1856" s="8"/>
      <c r="L1856" s="8"/>
      <c r="M1856" s="8"/>
    </row>
    <row r="1857" spans="1:13">
      <c r="A1857" s="62" t="s">
        <v>2663</v>
      </c>
      <c r="B1857" s="58">
        <v>23709530806</v>
      </c>
      <c r="C1857" s="63"/>
      <c r="D1857" s="60"/>
      <c r="E1857" s="9">
        <v>810</v>
      </c>
      <c r="F1857" s="25">
        <v>42915</v>
      </c>
      <c r="G1857" s="61" t="s">
        <v>13</v>
      </c>
      <c r="H1857" s="9"/>
      <c r="I1857" s="8"/>
      <c r="J1857" s="8"/>
      <c r="K1857" s="8"/>
      <c r="L1857" s="9" t="s">
        <v>138</v>
      </c>
      <c r="M1857" s="8"/>
    </row>
    <row r="1858" spans="1:13">
      <c r="A1858" s="62" t="s">
        <v>2664</v>
      </c>
      <c r="B1858" s="58">
        <v>15217360810</v>
      </c>
      <c r="C1858" s="63"/>
      <c r="D1858" s="60"/>
      <c r="E1858" s="9">
        <v>85</v>
      </c>
      <c r="F1858" s="25">
        <v>43109</v>
      </c>
      <c r="G1858" s="61" t="s">
        <v>13</v>
      </c>
      <c r="H1858" s="25">
        <v>43151</v>
      </c>
      <c r="I1858" s="8"/>
      <c r="J1858" s="8"/>
      <c r="K1858" s="8"/>
      <c r="L1858" s="8"/>
      <c r="M1858" s="8"/>
    </row>
    <row r="1859" spans="1:13">
      <c r="A1859" s="62" t="s">
        <v>2665</v>
      </c>
      <c r="B1859" s="58">
        <v>32752183879</v>
      </c>
      <c r="C1859" s="63" t="s">
        <v>2666</v>
      </c>
      <c r="D1859" s="60">
        <v>15202346867</v>
      </c>
      <c r="E1859" s="9">
        <v>85</v>
      </c>
      <c r="F1859" s="25">
        <v>43109</v>
      </c>
      <c r="G1859" s="61" t="s">
        <v>13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2667</v>
      </c>
      <c r="B1860" s="58">
        <v>18472650812</v>
      </c>
      <c r="C1860" s="18"/>
      <c r="D1860" s="60"/>
      <c r="E1860" s="9"/>
      <c r="F1860" s="25"/>
      <c r="G1860" s="61"/>
      <c r="H1860" s="9"/>
      <c r="I1860" s="8"/>
      <c r="J1860" s="8"/>
      <c r="K1860" s="8"/>
      <c r="L1860" s="8"/>
      <c r="M1860" s="8"/>
    </row>
    <row r="1861" spans="1:13">
      <c r="A1861" s="13" t="s">
        <v>2668</v>
      </c>
      <c r="B1861" s="58">
        <v>13622732873</v>
      </c>
      <c r="C1861" s="59"/>
      <c r="D1861" s="60"/>
      <c r="E1861" s="9"/>
      <c r="F1861" s="25"/>
      <c r="G1861" s="61" t="s">
        <v>13</v>
      </c>
      <c r="H1861" s="9"/>
      <c r="I1861" s="8"/>
      <c r="J1861" s="8"/>
      <c r="K1861" s="8"/>
      <c r="L1861" s="8"/>
      <c r="M1861" s="8"/>
    </row>
    <row r="1862" spans="1:13">
      <c r="A1862" s="62" t="s">
        <v>2669</v>
      </c>
      <c r="B1862" s="58">
        <v>15767152802</v>
      </c>
      <c r="C1862" s="63"/>
      <c r="D1862" s="60"/>
      <c r="E1862" s="9"/>
      <c r="F1862" s="25"/>
      <c r="G1862" s="61"/>
      <c r="H1862" s="9"/>
      <c r="I1862" s="8"/>
      <c r="J1862" s="8"/>
      <c r="K1862" s="8"/>
      <c r="L1862" s="8"/>
      <c r="M1862" s="8"/>
    </row>
    <row r="1863" spans="1:13">
      <c r="A1863" s="62" t="s">
        <v>2670</v>
      </c>
      <c r="B1863" s="58">
        <v>17094778813</v>
      </c>
      <c r="C1863" s="63" t="s">
        <v>2671</v>
      </c>
      <c r="D1863" s="60">
        <v>52431843734</v>
      </c>
      <c r="E1863" s="9">
        <v>573</v>
      </c>
      <c r="F1863" s="25">
        <v>43224</v>
      </c>
      <c r="G1863" s="61"/>
      <c r="H1863" s="9"/>
      <c r="I1863" s="8"/>
      <c r="J1863" s="8"/>
      <c r="K1863" s="8"/>
      <c r="L1863" s="8"/>
      <c r="M1863" s="8"/>
    </row>
    <row r="1864" spans="1:13">
      <c r="A1864" s="62" t="s">
        <v>2672</v>
      </c>
      <c r="B1864" s="58"/>
      <c r="C1864" s="63" t="s">
        <v>2673</v>
      </c>
      <c r="D1864" s="60"/>
      <c r="E1864" s="9"/>
      <c r="F1864" s="25"/>
      <c r="G1864" s="61"/>
      <c r="H1864" s="9"/>
      <c r="I1864" s="8"/>
      <c r="J1864" s="8"/>
      <c r="K1864" s="8"/>
      <c r="L1864" s="8"/>
      <c r="M1864" s="8"/>
    </row>
    <row r="1865" spans="1:13">
      <c r="A1865" s="64" t="s">
        <v>2674</v>
      </c>
      <c r="B1865" s="58">
        <v>43289674878</v>
      </c>
      <c r="C1865" s="63" t="s">
        <v>2675</v>
      </c>
      <c r="D1865" s="60">
        <v>39726735823</v>
      </c>
      <c r="E1865" s="9">
        <v>810</v>
      </c>
      <c r="F1865" s="25">
        <v>42915</v>
      </c>
      <c r="G1865" s="61" t="s">
        <v>13</v>
      </c>
      <c r="H1865" s="9"/>
      <c r="I1865" s="8"/>
      <c r="J1865" s="8"/>
      <c r="K1865" s="8"/>
      <c r="L1865" s="9" t="s">
        <v>138</v>
      </c>
      <c r="M1865" s="8"/>
    </row>
    <row r="1866" spans="1:13">
      <c r="A1866" s="27" t="s">
        <v>2676</v>
      </c>
      <c r="B1866" s="58">
        <v>3778856812</v>
      </c>
      <c r="C1866" s="18" t="s">
        <v>129</v>
      </c>
      <c r="D1866" s="60"/>
      <c r="E1866" s="9"/>
      <c r="F1866" s="25"/>
      <c r="G1866" s="61"/>
      <c r="H1866" s="9"/>
      <c r="I1866" s="8"/>
      <c r="J1866" s="8"/>
      <c r="K1866" s="8"/>
      <c r="L1866" s="8"/>
      <c r="M1866" s="8"/>
    </row>
    <row r="1867" spans="1:13">
      <c r="A1867" s="27" t="s">
        <v>2677</v>
      </c>
      <c r="B1867" s="58">
        <v>36074731888</v>
      </c>
      <c r="C1867" s="27" t="s">
        <v>129</v>
      </c>
      <c r="D1867" s="60"/>
      <c r="E1867" s="9"/>
      <c r="F1867" s="25"/>
      <c r="G1867" s="61"/>
      <c r="H1867" s="9"/>
      <c r="I1867" s="8"/>
      <c r="J1867" s="8"/>
      <c r="K1867" s="8"/>
      <c r="L1867" s="8"/>
      <c r="M1867" s="8"/>
    </row>
    <row r="1868" spans="1:13">
      <c r="A1868" s="62" t="s">
        <v>2678</v>
      </c>
      <c r="B1868" s="58">
        <v>24627830831</v>
      </c>
      <c r="C1868" s="63"/>
      <c r="D1868" s="60"/>
      <c r="E1868" s="9"/>
      <c r="F1868" s="25"/>
      <c r="G1868" s="61"/>
      <c r="H1868" s="9"/>
      <c r="I1868" s="8"/>
      <c r="J1868" s="8"/>
      <c r="K1868" s="8"/>
      <c r="L1868" s="8"/>
      <c r="M1868" s="8"/>
    </row>
    <row r="1869" spans="1:13">
      <c r="A1869" s="62" t="s">
        <v>2679</v>
      </c>
      <c r="B1869" s="58">
        <v>4781728855</v>
      </c>
      <c r="C1869" s="63"/>
      <c r="D1869" s="60"/>
      <c r="E1869" s="9">
        <v>1752</v>
      </c>
      <c r="F1869" s="25">
        <v>43051</v>
      </c>
      <c r="G1869" s="61" t="s">
        <v>13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2680</v>
      </c>
      <c r="B1870" s="58">
        <v>24604031860</v>
      </c>
      <c r="C1870" s="63"/>
      <c r="D1870" s="60"/>
      <c r="E1870" s="9">
        <v>563</v>
      </c>
      <c r="F1870" s="25">
        <v>43217</v>
      </c>
      <c r="G1870" s="61"/>
      <c r="H1870" s="9"/>
      <c r="I1870" s="8"/>
      <c r="J1870" s="8"/>
      <c r="K1870" s="8"/>
      <c r="L1870" s="9" t="s">
        <v>299</v>
      </c>
      <c r="M1870" s="8"/>
    </row>
    <row r="1871" spans="1:13">
      <c r="A1871" s="62" t="s">
        <v>2681</v>
      </c>
      <c r="B1871" s="58">
        <v>4947795514</v>
      </c>
      <c r="C1871" s="63"/>
      <c r="D1871" s="60"/>
      <c r="E1871" s="9"/>
      <c r="F1871" s="25"/>
      <c r="G1871" s="61"/>
      <c r="H1871" s="9"/>
      <c r="I1871" s="8"/>
      <c r="J1871" s="8"/>
      <c r="K1871" s="8"/>
      <c r="L1871" s="8"/>
      <c r="M1871" s="8"/>
    </row>
    <row r="1872" spans="1:13">
      <c r="A1872" s="62" t="s">
        <v>2682</v>
      </c>
      <c r="B1872" s="58">
        <v>30969153856</v>
      </c>
      <c r="C1872" s="63"/>
      <c r="D1872" s="60"/>
      <c r="E1872" s="9">
        <v>1824</v>
      </c>
      <c r="F1872" s="25">
        <v>43091</v>
      </c>
      <c r="G1872" s="61" t="s">
        <v>13</v>
      </c>
      <c r="H1872" s="9"/>
      <c r="I1872" s="8"/>
      <c r="J1872" s="8"/>
      <c r="K1872" s="8"/>
      <c r="L1872" s="9">
        <v>1828</v>
      </c>
      <c r="M1872" s="8"/>
    </row>
    <row r="1873" spans="1:13">
      <c r="A1873" s="62" t="s">
        <v>2683</v>
      </c>
      <c r="B1873" s="58">
        <v>35885861803</v>
      </c>
      <c r="C1873" s="63" t="s">
        <v>2684</v>
      </c>
      <c r="D1873" s="60">
        <v>41692376845</v>
      </c>
      <c r="E1873" s="9"/>
      <c r="F1873" s="25"/>
      <c r="G1873" s="61"/>
      <c r="H1873" s="9"/>
      <c r="I1873" s="8"/>
      <c r="J1873" s="8"/>
      <c r="K1873" s="8"/>
      <c r="L1873" s="8"/>
      <c r="M1873" s="8"/>
    </row>
    <row r="1874" spans="1:13">
      <c r="A1874" s="62" t="s">
        <v>2685</v>
      </c>
      <c r="B1874" s="58">
        <v>12446748856</v>
      </c>
      <c r="C1874" s="63"/>
      <c r="D1874" s="60"/>
      <c r="E1874" s="9">
        <v>485</v>
      </c>
      <c r="F1874" s="25">
        <v>43196</v>
      </c>
      <c r="G1874" s="61"/>
      <c r="H1874" s="9"/>
      <c r="I1874" s="8"/>
      <c r="J1874" s="8"/>
      <c r="K1874" s="8"/>
      <c r="L1874" s="9">
        <v>483</v>
      </c>
      <c r="M1874" s="8"/>
    </row>
    <row r="1875" spans="1:13">
      <c r="A1875" s="62" t="s">
        <v>2686</v>
      </c>
      <c r="B1875" s="58">
        <v>11324145803</v>
      </c>
      <c r="C1875" s="63"/>
      <c r="D1875" s="60"/>
      <c r="E1875" s="9">
        <v>810</v>
      </c>
      <c r="F1875" s="25">
        <v>42915</v>
      </c>
      <c r="G1875" s="61" t="s">
        <v>13</v>
      </c>
      <c r="H1875" s="9"/>
      <c r="I1875" s="8"/>
      <c r="J1875" s="8"/>
      <c r="K1875" s="8"/>
      <c r="L1875" s="9" t="s">
        <v>138</v>
      </c>
      <c r="M1875" s="8"/>
    </row>
    <row r="1876" spans="1:13">
      <c r="A1876" s="13" t="s">
        <v>2687</v>
      </c>
      <c r="B1876" s="58">
        <v>14888258821</v>
      </c>
      <c r="C1876" s="63" t="s">
        <v>2688</v>
      </c>
      <c r="D1876" s="60">
        <v>9173891827</v>
      </c>
      <c r="E1876" s="9">
        <v>229</v>
      </c>
      <c r="F1876" s="25">
        <v>43151</v>
      </c>
      <c r="G1876" s="61" t="s">
        <v>13</v>
      </c>
      <c r="H1876" s="9"/>
      <c r="I1876" s="8"/>
      <c r="J1876" s="8"/>
      <c r="K1876" s="8"/>
      <c r="L1876" s="9">
        <v>232</v>
      </c>
      <c r="M1876" s="8"/>
    </row>
    <row r="1877" spans="1:13">
      <c r="A1877" s="62" t="s">
        <v>2689</v>
      </c>
      <c r="B1877" s="58">
        <v>9692183729</v>
      </c>
      <c r="C1877" s="63"/>
      <c r="D1877" s="60"/>
      <c r="E1877" s="9">
        <v>1439</v>
      </c>
      <c r="F1877" s="25">
        <v>43025</v>
      </c>
      <c r="G1877" s="61" t="s">
        <v>13</v>
      </c>
      <c r="H1877" s="9"/>
      <c r="I1877" s="8"/>
      <c r="J1877" s="8"/>
      <c r="K1877" s="8"/>
      <c r="L1877" s="9" t="s">
        <v>502</v>
      </c>
      <c r="M1877" s="8"/>
    </row>
    <row r="1878" spans="1:13">
      <c r="A1878" s="64" t="s">
        <v>2690</v>
      </c>
      <c r="B1878" s="58">
        <v>36238125870</v>
      </c>
      <c r="C1878" s="63" t="s">
        <v>2691</v>
      </c>
      <c r="D1878" s="60">
        <v>44321368391</v>
      </c>
      <c r="E1878" s="9">
        <v>1106</v>
      </c>
      <c r="F1878" s="25">
        <v>42965</v>
      </c>
      <c r="G1878" s="61" t="s">
        <v>13</v>
      </c>
      <c r="H1878" s="9"/>
      <c r="I1878" s="8"/>
      <c r="J1878" s="8"/>
      <c r="K1878" s="8"/>
      <c r="L1878" s="8"/>
      <c r="M1878" s="8"/>
    </row>
    <row r="1879" spans="1:13">
      <c r="A1879" s="62" t="s">
        <v>2692</v>
      </c>
      <c r="B1879" s="58">
        <v>39131693857</v>
      </c>
      <c r="C1879" s="63"/>
      <c r="D1879" s="60"/>
      <c r="E1879" s="9">
        <v>292</v>
      </c>
      <c r="F1879" s="25">
        <v>43168</v>
      </c>
      <c r="G1879" s="61" t="s">
        <v>13</v>
      </c>
      <c r="H1879" s="9"/>
      <c r="I1879" s="8"/>
      <c r="J1879" s="8"/>
      <c r="K1879" s="8"/>
      <c r="L1879" s="9">
        <v>318</v>
      </c>
      <c r="M1879" s="8"/>
    </row>
    <row r="1880" spans="1:13">
      <c r="A1880" s="62" t="s">
        <v>2693</v>
      </c>
      <c r="B1880" s="58">
        <v>11317085809</v>
      </c>
      <c r="C1880" s="63"/>
      <c r="D1880" s="60"/>
      <c r="E1880" s="9"/>
      <c r="F1880" s="25"/>
      <c r="G1880" s="61"/>
      <c r="H1880" s="9"/>
      <c r="I1880" s="8"/>
      <c r="J1880" s="8"/>
      <c r="K1880" s="8"/>
      <c r="L1880" s="8"/>
      <c r="M1880" s="8"/>
    </row>
    <row r="1881" spans="1:13">
      <c r="A1881" s="27" t="s">
        <v>2694</v>
      </c>
      <c r="B1881" s="58">
        <v>25970465836</v>
      </c>
      <c r="C1881" s="27" t="s">
        <v>2695</v>
      </c>
      <c r="D1881" s="60">
        <v>22294921879</v>
      </c>
      <c r="E1881" s="9"/>
      <c r="F1881" s="25"/>
      <c r="G1881" s="61"/>
      <c r="H1881" s="9"/>
      <c r="I1881" s="8"/>
      <c r="J1881" s="8"/>
      <c r="K1881" s="8"/>
      <c r="L1881" s="8"/>
      <c r="M1881" s="8"/>
    </row>
    <row r="1882" spans="1:13">
      <c r="A1882" s="63" t="s">
        <v>2696</v>
      </c>
      <c r="B1882" s="58">
        <v>26569869825</v>
      </c>
      <c r="C1882" s="15" t="s">
        <v>2697</v>
      </c>
      <c r="D1882" s="60">
        <v>60505249553</v>
      </c>
      <c r="E1882" s="9"/>
      <c r="F1882" s="25"/>
      <c r="G1882" s="61"/>
      <c r="H1882" s="9"/>
      <c r="I1882" s="8"/>
      <c r="J1882" s="8"/>
      <c r="K1882" s="8"/>
      <c r="L1882" s="8"/>
      <c r="M1882" s="8"/>
    </row>
    <row r="1883" spans="1:13">
      <c r="A1883" s="64" t="s">
        <v>2698</v>
      </c>
      <c r="B1883" s="58">
        <v>87835053349</v>
      </c>
      <c r="C1883" s="63" t="s">
        <v>2699</v>
      </c>
      <c r="D1883" s="60">
        <v>18172850840</v>
      </c>
      <c r="E1883" s="9">
        <v>1106</v>
      </c>
      <c r="F1883" s="25">
        <v>42965</v>
      </c>
      <c r="G1883" s="61" t="s">
        <v>13</v>
      </c>
      <c r="H1883" s="9"/>
      <c r="I1883" s="8"/>
      <c r="J1883" s="8"/>
      <c r="K1883" s="8"/>
      <c r="L1883" s="8"/>
      <c r="M1883" s="8"/>
    </row>
    <row r="1884" spans="1:13">
      <c r="A1884" s="62" t="s">
        <v>2700</v>
      </c>
      <c r="B1884" s="58">
        <v>6109739839</v>
      </c>
      <c r="C1884" s="68"/>
      <c r="D1884" s="60"/>
      <c r="E1884" s="9">
        <v>563</v>
      </c>
      <c r="F1884" s="25">
        <v>43217</v>
      </c>
      <c r="G1884" s="61"/>
      <c r="H1884" s="9"/>
      <c r="I1884" s="8"/>
      <c r="J1884" s="8"/>
      <c r="K1884" s="8"/>
      <c r="L1884" s="9" t="s">
        <v>299</v>
      </c>
      <c r="M1884" s="8"/>
    </row>
    <row r="1885" spans="1:13">
      <c r="A1885" s="63" t="s">
        <v>2701</v>
      </c>
      <c r="B1885" s="58">
        <v>32747471810</v>
      </c>
      <c r="C1885" s="63" t="s">
        <v>2702</v>
      </c>
      <c r="D1885" s="60">
        <v>89906810491</v>
      </c>
      <c r="E1885" s="9"/>
      <c r="F1885" s="25"/>
      <c r="G1885" s="61"/>
      <c r="H1885" s="9"/>
      <c r="I1885" s="8"/>
      <c r="J1885" s="8"/>
      <c r="K1885" s="8"/>
      <c r="L1885" s="8"/>
      <c r="M1885" s="8"/>
    </row>
    <row r="1886" spans="1:13">
      <c r="A1886" s="75" t="s">
        <v>2703</v>
      </c>
      <c r="B1886" s="58">
        <v>8885841805</v>
      </c>
      <c r="C1886" s="63"/>
      <c r="D1886" s="60"/>
      <c r="E1886" s="9"/>
      <c r="F1886" s="25"/>
      <c r="G1886" s="61"/>
      <c r="H1886" s="9"/>
      <c r="I1886" s="8"/>
      <c r="J1886" s="8"/>
      <c r="K1886" s="8"/>
      <c r="L1886" s="8"/>
      <c r="M1886" s="8"/>
    </row>
    <row r="1887" spans="1:13">
      <c r="A1887" s="62" t="s">
        <v>2704</v>
      </c>
      <c r="B1887" s="58">
        <v>2190954347</v>
      </c>
      <c r="C1887" s="63"/>
      <c r="D1887" s="60"/>
      <c r="E1887" s="9">
        <v>292</v>
      </c>
      <c r="F1887" s="25">
        <v>43168</v>
      </c>
      <c r="G1887" s="61" t="s">
        <v>13</v>
      </c>
      <c r="H1887" s="9"/>
      <c r="I1887" s="8"/>
      <c r="J1887" s="8"/>
      <c r="K1887" s="8"/>
      <c r="L1887" s="9">
        <v>318</v>
      </c>
      <c r="M1887" s="8"/>
    </row>
    <row r="1888" spans="1:13">
      <c r="A1888" s="64" t="s">
        <v>2705</v>
      </c>
      <c r="B1888" s="58">
        <v>31413965822</v>
      </c>
      <c r="C1888" s="63" t="s">
        <v>2706</v>
      </c>
      <c r="D1888" s="60">
        <v>17486425882</v>
      </c>
      <c r="E1888" s="9">
        <v>1106</v>
      </c>
      <c r="F1888" s="25">
        <v>42965</v>
      </c>
      <c r="G1888" s="61" t="s">
        <v>13</v>
      </c>
      <c r="H1888" s="9"/>
      <c r="I1888" s="8"/>
      <c r="J1888" s="8"/>
      <c r="K1888" s="8"/>
      <c r="L1888" s="8"/>
      <c r="M1888" s="8"/>
    </row>
    <row r="1889" spans="1:13">
      <c r="A1889" s="31" t="s">
        <v>2707</v>
      </c>
      <c r="B1889" s="58">
        <v>35736302861</v>
      </c>
      <c r="C1889" s="63" t="s">
        <v>2708</v>
      </c>
      <c r="D1889" s="60">
        <v>39355200854</v>
      </c>
      <c r="E1889" s="9">
        <v>229</v>
      </c>
      <c r="F1889" s="25">
        <v>43151</v>
      </c>
      <c r="G1889" s="61" t="s">
        <v>13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2709</v>
      </c>
      <c r="B1890" s="58">
        <v>53868331549</v>
      </c>
      <c r="C1890" s="59"/>
      <c r="D1890" s="60"/>
      <c r="E1890" s="9">
        <v>1128</v>
      </c>
      <c r="F1890" s="25">
        <v>42972</v>
      </c>
      <c r="G1890" s="61" t="s">
        <v>13</v>
      </c>
      <c r="H1890" s="9"/>
      <c r="I1890" s="8"/>
      <c r="J1890" s="8"/>
      <c r="K1890" s="8"/>
      <c r="L1890" s="8"/>
      <c r="M1890" s="8"/>
    </row>
    <row r="1891" spans="1:13">
      <c r="A1891" s="15" t="s">
        <v>2710</v>
      </c>
      <c r="B1891" s="58">
        <v>16364261825</v>
      </c>
      <c r="C1891" s="63" t="s">
        <v>2711</v>
      </c>
      <c r="D1891" s="60">
        <v>3293003427</v>
      </c>
      <c r="E1891" s="9">
        <v>117</v>
      </c>
      <c r="F1891" s="25">
        <v>43117</v>
      </c>
      <c r="G1891" s="61" t="s">
        <v>13</v>
      </c>
      <c r="H1891" s="9"/>
      <c r="I1891" s="8"/>
      <c r="J1891" s="8"/>
      <c r="K1891" s="8"/>
      <c r="L1891" s="9" t="s">
        <v>170</v>
      </c>
      <c r="M1891" s="8"/>
    </row>
    <row r="1892" spans="1:13">
      <c r="A1892" s="75" t="s">
        <v>2712</v>
      </c>
      <c r="B1892" s="58">
        <v>11280854880</v>
      </c>
      <c r="C1892" s="63"/>
      <c r="D1892" s="60"/>
      <c r="E1892" s="9"/>
      <c r="F1892" s="25"/>
      <c r="G1892" s="61"/>
      <c r="H1892" s="9"/>
      <c r="I1892" s="8"/>
      <c r="J1892" s="8"/>
      <c r="K1892" s="8"/>
      <c r="L1892" s="8"/>
      <c r="M1892" s="8"/>
    </row>
    <row r="1893" spans="1:13">
      <c r="A1893" s="62" t="s">
        <v>2713</v>
      </c>
      <c r="B1893" s="58">
        <v>33729129856</v>
      </c>
      <c r="C1893" s="63" t="s">
        <v>2714</v>
      </c>
      <c r="D1893" s="60">
        <v>14661672895</v>
      </c>
      <c r="E1893" s="9"/>
      <c r="F1893" s="25"/>
      <c r="G1893" s="61"/>
      <c r="H1893" s="9"/>
      <c r="I1893" s="8"/>
      <c r="J1893" s="8"/>
      <c r="K1893" s="8"/>
      <c r="L1893" s="8"/>
      <c r="M1893" s="8"/>
    </row>
    <row r="1894" spans="1:13">
      <c r="A1894" s="15" t="s">
        <v>2715</v>
      </c>
      <c r="B1894" s="58">
        <v>27907959837</v>
      </c>
      <c r="C1894" s="63"/>
      <c r="D1894" s="60"/>
      <c r="E1894" s="9">
        <v>292</v>
      </c>
      <c r="F1894" s="25">
        <v>43168</v>
      </c>
      <c r="G1894" s="61" t="s">
        <v>13</v>
      </c>
      <c r="H1894" s="9"/>
      <c r="I1894" s="8"/>
      <c r="J1894" s="8"/>
      <c r="K1894" s="8"/>
      <c r="L1894" s="9">
        <v>318</v>
      </c>
      <c r="M1894" s="8"/>
    </row>
    <row r="1895" spans="1:13">
      <c r="A1895" s="64" t="s">
        <v>2716</v>
      </c>
      <c r="B1895" s="58">
        <v>6579182458</v>
      </c>
      <c r="C1895" s="63" t="s">
        <v>2717</v>
      </c>
      <c r="D1895" s="60">
        <v>7424068490</v>
      </c>
      <c r="E1895" s="9">
        <v>810</v>
      </c>
      <c r="F1895" s="25">
        <v>42915</v>
      </c>
      <c r="G1895" s="61" t="s">
        <v>13</v>
      </c>
      <c r="H1895" s="9"/>
      <c r="I1895" s="8"/>
      <c r="J1895" s="8"/>
      <c r="K1895" s="8"/>
      <c r="L1895" s="9" t="s">
        <v>138</v>
      </c>
      <c r="M1895" s="8"/>
    </row>
    <row r="1896" spans="1:13">
      <c r="A1896" s="62" t="s">
        <v>2718</v>
      </c>
      <c r="B1896" s="58">
        <v>13595937805</v>
      </c>
      <c r="C1896" s="63"/>
      <c r="D1896" s="60"/>
      <c r="E1896" s="9">
        <v>443</v>
      </c>
      <c r="F1896" s="25">
        <v>43188</v>
      </c>
      <c r="G1896" s="61"/>
      <c r="H1896" s="9"/>
      <c r="I1896" s="8"/>
      <c r="J1896" s="8"/>
      <c r="K1896" s="8"/>
      <c r="L1896" s="8"/>
      <c r="M1896" s="8"/>
    </row>
    <row r="1897" spans="1:13">
      <c r="A1897" s="27" t="s">
        <v>2719</v>
      </c>
      <c r="B1897" s="58">
        <v>65195140553</v>
      </c>
      <c r="C1897" s="27" t="s">
        <v>129</v>
      </c>
      <c r="D1897" s="60"/>
      <c r="E1897" s="9"/>
      <c r="F1897" s="25"/>
      <c r="G1897" s="61"/>
      <c r="H1897" s="9"/>
      <c r="I1897" s="8"/>
      <c r="J1897" s="8"/>
      <c r="K1897" s="8"/>
      <c r="L1897" s="8"/>
      <c r="M1897" s="8"/>
    </row>
    <row r="1898" spans="1:13">
      <c r="A1898" s="62" t="s">
        <v>2720</v>
      </c>
      <c r="B1898" s="58">
        <v>37067391865</v>
      </c>
      <c r="C1898" s="64"/>
      <c r="D1898" s="60"/>
      <c r="E1898" s="9"/>
      <c r="F1898" s="25"/>
      <c r="G1898" s="61"/>
      <c r="H1898" s="9"/>
      <c r="I1898" s="8"/>
      <c r="J1898" s="8"/>
      <c r="K1898" s="8"/>
      <c r="L1898" s="8"/>
      <c r="M1898" s="8"/>
    </row>
    <row r="1899" spans="1:13">
      <c r="A1899" s="62" t="s">
        <v>2720</v>
      </c>
      <c r="B1899" s="58">
        <v>13654285830</v>
      </c>
      <c r="C1899" s="63"/>
      <c r="D1899" s="60"/>
      <c r="E1899" s="9">
        <v>1241</v>
      </c>
      <c r="F1899" s="25">
        <v>42992</v>
      </c>
      <c r="G1899" s="61" t="s">
        <v>13</v>
      </c>
      <c r="H1899" s="9"/>
      <c r="I1899" s="8"/>
      <c r="J1899" s="8"/>
      <c r="K1899" s="8"/>
      <c r="L1899" s="8"/>
      <c r="M1899" s="8"/>
    </row>
    <row r="1900" spans="1:13">
      <c r="A1900" s="62" t="s">
        <v>2721</v>
      </c>
      <c r="B1900" s="58">
        <v>17146759806</v>
      </c>
      <c r="C1900" s="63" t="s">
        <v>2722</v>
      </c>
      <c r="D1900" s="60">
        <v>39095494896</v>
      </c>
      <c r="E1900" s="9">
        <v>1262</v>
      </c>
      <c r="F1900" s="25">
        <v>42997</v>
      </c>
      <c r="G1900" s="61" t="s">
        <v>20</v>
      </c>
      <c r="H1900" s="9"/>
      <c r="I1900" s="8"/>
      <c r="J1900" s="8"/>
      <c r="K1900" s="8"/>
      <c r="L1900" s="8"/>
      <c r="M1900" s="8"/>
    </row>
    <row r="1901" spans="1:13">
      <c r="A1901" s="13" t="s">
        <v>2723</v>
      </c>
      <c r="B1901" s="58">
        <v>3893020403</v>
      </c>
      <c r="C1901" s="59" t="s">
        <v>2724</v>
      </c>
      <c r="D1901" s="60">
        <v>31615704809</v>
      </c>
      <c r="E1901" s="9">
        <v>1128</v>
      </c>
      <c r="F1901" s="25">
        <v>42972</v>
      </c>
      <c r="G1901" s="61" t="s">
        <v>13</v>
      </c>
      <c r="H1901" s="9"/>
      <c r="I1901" s="8"/>
      <c r="J1901" s="8"/>
      <c r="K1901" s="8"/>
      <c r="L1901" s="8"/>
      <c r="M1901" s="8"/>
    </row>
    <row r="1902" spans="1:13">
      <c r="A1902" s="64" t="s">
        <v>2725</v>
      </c>
      <c r="B1902" s="58">
        <v>70116695404</v>
      </c>
      <c r="C1902" s="63" t="s">
        <v>2726</v>
      </c>
      <c r="D1902" s="60">
        <v>66319943491</v>
      </c>
      <c r="E1902" s="9">
        <v>1106</v>
      </c>
      <c r="F1902" s="25">
        <v>42965</v>
      </c>
      <c r="G1902" s="61" t="s">
        <v>13</v>
      </c>
      <c r="H1902" s="9"/>
      <c r="I1902" s="8"/>
      <c r="J1902" s="8"/>
      <c r="K1902" s="8"/>
      <c r="L1902" s="8"/>
      <c r="M1902" s="8"/>
    </row>
    <row r="1903" spans="1:13">
      <c r="A1903" s="27" t="s">
        <v>2727</v>
      </c>
      <c r="B1903" s="58"/>
      <c r="C1903" s="27" t="s">
        <v>2728</v>
      </c>
      <c r="D1903" s="60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7" t="s">
        <v>2729</v>
      </c>
      <c r="B1904" s="58"/>
      <c r="C1904" s="27" t="s">
        <v>129</v>
      </c>
      <c r="D1904" s="60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7" t="s">
        <v>2730</v>
      </c>
      <c r="B1905" s="58"/>
      <c r="C1905" s="27" t="s">
        <v>2731</v>
      </c>
      <c r="D1905" s="60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62" t="s">
        <v>2732</v>
      </c>
      <c r="B1906" s="58">
        <v>45803757420</v>
      </c>
      <c r="C1906" s="63"/>
      <c r="D1906" s="60"/>
      <c r="E1906" s="9">
        <v>262</v>
      </c>
      <c r="F1906" s="25">
        <v>43160</v>
      </c>
      <c r="G1906" s="61" t="s">
        <v>13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62" t="s">
        <v>2733</v>
      </c>
      <c r="B1907" s="58">
        <v>6936214436</v>
      </c>
      <c r="C1907" s="63" t="s">
        <v>2734</v>
      </c>
      <c r="D1907" s="60">
        <v>8583452423</v>
      </c>
      <c r="E1907" s="9">
        <v>85</v>
      </c>
      <c r="F1907" s="25">
        <v>43109</v>
      </c>
      <c r="G1907" s="61" t="s">
        <v>13</v>
      </c>
      <c r="H1907" s="25">
        <v>43151</v>
      </c>
      <c r="I1907" s="8"/>
      <c r="J1907" s="8"/>
      <c r="K1907" s="8"/>
      <c r="L1907" s="8"/>
      <c r="M1907" s="8"/>
    </row>
    <row r="1908" spans="1:13">
      <c r="A1908" s="62" t="s">
        <v>2735</v>
      </c>
      <c r="B1908" s="58">
        <v>11568834829</v>
      </c>
      <c r="C1908" s="63"/>
      <c r="D1908" s="60"/>
      <c r="E1908" s="9">
        <v>810</v>
      </c>
      <c r="F1908" s="25">
        <v>42915</v>
      </c>
      <c r="G1908" s="61" t="s">
        <v>13</v>
      </c>
      <c r="H1908" s="9"/>
      <c r="I1908" s="8"/>
      <c r="J1908" s="8"/>
      <c r="K1908" s="8"/>
      <c r="L1908" s="9" t="s">
        <v>138</v>
      </c>
      <c r="M1908" s="8"/>
    </row>
    <row r="1909" spans="1:13">
      <c r="A1909" s="15" t="s">
        <v>2736</v>
      </c>
      <c r="B1909" s="58">
        <v>14477718349</v>
      </c>
      <c r="C1909" s="63"/>
      <c r="D1909" s="60"/>
      <c r="E1909" s="9">
        <v>85</v>
      </c>
      <c r="F1909" s="25">
        <v>43109</v>
      </c>
      <c r="G1909" s="61" t="s">
        <v>13</v>
      </c>
      <c r="H1909" s="25">
        <v>43151</v>
      </c>
      <c r="I1909" s="8"/>
      <c r="J1909" s="8"/>
      <c r="K1909" s="8"/>
      <c r="L1909" s="8"/>
      <c r="M1909" s="8"/>
    </row>
    <row r="1910" spans="1:13">
      <c r="A1910" s="27" t="s">
        <v>2737</v>
      </c>
      <c r="B1910" s="58">
        <v>35264817847</v>
      </c>
      <c r="C1910" s="27" t="s">
        <v>129</v>
      </c>
      <c r="D1910" s="60"/>
      <c r="E1910" s="9"/>
      <c r="F1910" s="25"/>
      <c r="G1910" s="61"/>
      <c r="H1910" s="9"/>
      <c r="I1910" s="8"/>
      <c r="J1910" s="8"/>
      <c r="K1910" s="8"/>
      <c r="L1910" s="8"/>
      <c r="M1910" s="8"/>
    </row>
    <row r="1911" spans="1:13">
      <c r="A1911" s="82" t="s">
        <v>2738</v>
      </c>
      <c r="B1911" s="58">
        <v>64368726472</v>
      </c>
      <c r="C1911" s="63"/>
      <c r="D1911" s="60"/>
      <c r="E1911" s="9"/>
      <c r="F1911" s="25"/>
      <c r="G1911" s="61"/>
      <c r="H1911" s="9"/>
      <c r="I1911" s="8"/>
      <c r="J1911" s="8"/>
      <c r="K1911" s="8"/>
      <c r="L1911" s="8"/>
      <c r="M1911" s="8"/>
    </row>
    <row r="1912" spans="1:13">
      <c r="A1912" s="13" t="s">
        <v>2739</v>
      </c>
      <c r="B1912" s="58">
        <v>55673848404</v>
      </c>
      <c r="C1912" s="59"/>
      <c r="D1912" s="60"/>
      <c r="E1912" s="9">
        <v>1359</v>
      </c>
      <c r="F1912" s="25">
        <v>43006</v>
      </c>
      <c r="G1912" s="61" t="s">
        <v>13</v>
      </c>
      <c r="H1912" s="9"/>
      <c r="I1912" s="8"/>
      <c r="J1912" s="8"/>
      <c r="K1912" s="8"/>
      <c r="L1912" s="8"/>
      <c r="M1912" s="8"/>
    </row>
    <row r="1913" spans="1:13">
      <c r="A1913" s="62" t="s">
        <v>2740</v>
      </c>
      <c r="B1913" s="58">
        <v>90046226591</v>
      </c>
      <c r="C1913" s="63" t="s">
        <v>2741</v>
      </c>
      <c r="D1913" s="60">
        <v>74829505591</v>
      </c>
      <c r="E1913" s="9">
        <v>262</v>
      </c>
      <c r="F1913" s="25">
        <v>43160</v>
      </c>
      <c r="G1913" s="9" t="s">
        <v>13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2742</v>
      </c>
      <c r="B1914" s="58">
        <v>29871369867</v>
      </c>
      <c r="C1914" s="63" t="s">
        <v>2743</v>
      </c>
      <c r="D1914" s="60">
        <v>38772217855</v>
      </c>
      <c r="E1914" s="9">
        <v>262</v>
      </c>
      <c r="F1914" s="25">
        <v>43160</v>
      </c>
      <c r="G1914" s="61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62" t="s">
        <v>2744</v>
      </c>
      <c r="B1915" s="58">
        <v>26681571883</v>
      </c>
      <c r="C1915" s="62" t="s">
        <v>2745</v>
      </c>
      <c r="D1915" s="60">
        <v>18465693897</v>
      </c>
      <c r="E1915" s="9">
        <v>292</v>
      </c>
      <c r="F1915" s="25">
        <v>43168</v>
      </c>
      <c r="G1915" s="61" t="s">
        <v>13</v>
      </c>
      <c r="H1915" s="9"/>
      <c r="I1915" s="8"/>
      <c r="J1915" s="8"/>
      <c r="K1915" s="8"/>
      <c r="L1915" s="9">
        <v>318</v>
      </c>
      <c r="M1915" s="8"/>
    </row>
    <row r="1916" spans="1:13">
      <c r="A1916" s="63" t="s">
        <v>2746</v>
      </c>
      <c r="B1916" s="58">
        <v>37101889115</v>
      </c>
      <c r="C1916" s="63"/>
      <c r="D1916" s="60"/>
      <c r="E1916" s="9"/>
      <c r="F1916" s="25"/>
      <c r="G1916" s="61"/>
      <c r="H1916" s="9"/>
      <c r="I1916" s="8"/>
      <c r="J1916" s="8"/>
      <c r="K1916" s="8"/>
      <c r="L1916" s="8"/>
      <c r="M1916" s="8"/>
    </row>
    <row r="1917" spans="1:13">
      <c r="A1917" s="13" t="s">
        <v>2747</v>
      </c>
      <c r="B1917" s="58">
        <v>26526680801</v>
      </c>
      <c r="C1917" s="59" t="s">
        <v>2748</v>
      </c>
      <c r="D1917" s="60">
        <v>7117205631</v>
      </c>
      <c r="E1917" s="9">
        <v>1128</v>
      </c>
      <c r="F1917" s="25">
        <v>42972</v>
      </c>
      <c r="G1917" s="61" t="s">
        <v>13</v>
      </c>
      <c r="H1917" s="9"/>
      <c r="I1917" s="8"/>
      <c r="J1917" s="8"/>
      <c r="K1917" s="8"/>
      <c r="L1917" s="8"/>
      <c r="M1917" s="8"/>
    </row>
    <row r="1918" spans="1:13">
      <c r="A1918" s="62" t="s">
        <v>2749</v>
      </c>
      <c r="B1918" s="58">
        <v>67285902420</v>
      </c>
      <c r="C1918" s="63" t="s">
        <v>1517</v>
      </c>
      <c r="D1918" s="60">
        <v>56631421420</v>
      </c>
      <c r="E1918" s="9">
        <v>563</v>
      </c>
      <c r="F1918" s="25">
        <v>43217</v>
      </c>
      <c r="G1918" s="61"/>
      <c r="H1918" s="9"/>
      <c r="I1918" s="8"/>
      <c r="J1918" s="8"/>
      <c r="K1918" s="8"/>
      <c r="L1918" s="9" t="s">
        <v>299</v>
      </c>
      <c r="M1918" s="8"/>
    </row>
    <row r="1919" spans="1:13">
      <c r="A1919" s="27" t="s">
        <v>2750</v>
      </c>
      <c r="B1919" s="58"/>
      <c r="C1919" s="18" t="s">
        <v>129</v>
      </c>
      <c r="D1919" s="60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62" t="s">
        <v>2751</v>
      </c>
      <c r="B1920" s="58">
        <v>1097111490</v>
      </c>
      <c r="C1920" s="68" t="s">
        <v>2752</v>
      </c>
      <c r="D1920" s="60">
        <v>1103667432</v>
      </c>
      <c r="E1920" s="9">
        <v>563</v>
      </c>
      <c r="F1920" s="25">
        <v>43217</v>
      </c>
      <c r="G1920" s="61"/>
      <c r="H1920" s="9"/>
      <c r="I1920" s="8"/>
      <c r="J1920" s="8"/>
      <c r="K1920" s="8"/>
      <c r="L1920" s="9" t="s">
        <v>299</v>
      </c>
      <c r="M1920" s="8"/>
    </row>
    <row r="1921" spans="1:13">
      <c r="A1921" s="62" t="s">
        <v>2753</v>
      </c>
      <c r="B1921" s="58">
        <v>55194443404</v>
      </c>
      <c r="C1921" s="63"/>
      <c r="D1921" s="60"/>
      <c r="E1921" s="9">
        <v>292</v>
      </c>
      <c r="F1921" s="25">
        <v>43168</v>
      </c>
      <c r="G1921" s="61" t="s">
        <v>13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2754</v>
      </c>
      <c r="B1922" s="58">
        <v>25255733822</v>
      </c>
      <c r="C1922" s="59"/>
      <c r="D1922" s="60"/>
      <c r="E1922" s="9">
        <v>1267</v>
      </c>
      <c r="F1922" s="25">
        <v>42998</v>
      </c>
      <c r="G1922" s="61" t="s">
        <v>13</v>
      </c>
      <c r="H1922" s="9"/>
      <c r="I1922" s="8"/>
      <c r="J1922" s="8"/>
      <c r="K1922" s="8"/>
      <c r="L1922" s="8"/>
      <c r="M1922" s="8"/>
    </row>
    <row r="1923" spans="1:13">
      <c r="A1923" s="62" t="s">
        <v>2755</v>
      </c>
      <c r="B1923" s="58">
        <v>16756911856</v>
      </c>
      <c r="C1923" s="63" t="s">
        <v>2756</v>
      </c>
      <c r="D1923" s="60">
        <v>10411415808</v>
      </c>
      <c r="E1923" s="9">
        <v>1752</v>
      </c>
      <c r="F1923" s="25">
        <v>43051</v>
      </c>
      <c r="G1923" s="61" t="s">
        <v>13</v>
      </c>
      <c r="H1923" s="9"/>
      <c r="I1923" s="8"/>
      <c r="J1923" s="8"/>
      <c r="K1923" s="8"/>
      <c r="L1923" s="9">
        <v>1759</v>
      </c>
      <c r="M1923" s="8"/>
    </row>
    <row r="1924" spans="1:13">
      <c r="A1924" s="62" t="s">
        <v>2757</v>
      </c>
      <c r="B1924" s="58">
        <v>35404459867</v>
      </c>
      <c r="C1924" s="63"/>
      <c r="D1924" s="60"/>
      <c r="E1924" s="9">
        <v>443</v>
      </c>
      <c r="F1924" s="25">
        <v>43188</v>
      </c>
      <c r="G1924" s="61"/>
      <c r="H1924" s="9"/>
      <c r="I1924" s="8"/>
      <c r="J1924" s="8"/>
      <c r="K1924" s="8"/>
      <c r="L1924" s="8"/>
      <c r="M1924" s="8"/>
    </row>
    <row r="1925" spans="1:13">
      <c r="A1925" s="62" t="s">
        <v>2758</v>
      </c>
      <c r="B1925" s="58"/>
      <c r="C1925" s="63" t="s">
        <v>2759</v>
      </c>
      <c r="D1925" s="60"/>
      <c r="E1925" s="9"/>
      <c r="F1925" s="25"/>
      <c r="G1925" s="61"/>
      <c r="H1925" s="9"/>
      <c r="I1925" s="8"/>
      <c r="J1925" s="8"/>
      <c r="K1925" s="8"/>
      <c r="L1925" s="8"/>
      <c r="M1925" s="8"/>
    </row>
    <row r="1926" spans="1:13">
      <c r="A1926" s="13" t="s">
        <v>2760</v>
      </c>
      <c r="B1926" s="58">
        <v>32387950828</v>
      </c>
      <c r="C1926" s="63"/>
      <c r="D1926" s="60"/>
      <c r="E1926" s="9">
        <v>1350</v>
      </c>
      <c r="F1926" s="25">
        <v>43006</v>
      </c>
      <c r="G1926" s="61" t="s">
        <v>20</v>
      </c>
      <c r="H1926" s="9"/>
      <c r="I1926" s="8"/>
      <c r="J1926" s="8"/>
      <c r="K1926" s="8"/>
      <c r="L1926" s="8"/>
      <c r="M1926" s="8"/>
    </row>
    <row r="1927" spans="1:13">
      <c r="A1927" s="63" t="s">
        <v>2761</v>
      </c>
      <c r="B1927" s="58">
        <v>12592280880</v>
      </c>
      <c r="C1927" s="63"/>
      <c r="D1927" s="60"/>
      <c r="E1927" s="9"/>
      <c r="F1927" s="25"/>
      <c r="G1927" s="61"/>
      <c r="H1927" s="9"/>
      <c r="I1927" s="8"/>
      <c r="J1927" s="8"/>
      <c r="K1927" s="8"/>
      <c r="L1927" s="8"/>
      <c r="M1927" s="8"/>
    </row>
    <row r="1928" spans="1:13">
      <c r="A1928" s="13" t="s">
        <v>2762</v>
      </c>
      <c r="B1928" s="58">
        <v>29754197830</v>
      </c>
      <c r="C1928" s="63"/>
      <c r="D1928" s="60"/>
      <c r="E1928" s="9">
        <v>1439</v>
      </c>
      <c r="F1928" s="25">
        <v>43025</v>
      </c>
      <c r="G1928" s="61" t="s">
        <v>13</v>
      </c>
      <c r="H1928" s="9"/>
      <c r="I1928" s="8"/>
      <c r="J1928" s="8"/>
      <c r="K1928" s="8"/>
      <c r="L1928" s="9" t="s">
        <v>502</v>
      </c>
      <c r="M1928" s="8"/>
    </row>
    <row r="1929" spans="1:13">
      <c r="A1929" s="27" t="s">
        <v>2763</v>
      </c>
      <c r="B1929" s="58"/>
      <c r="C1929" s="27" t="s">
        <v>129</v>
      </c>
      <c r="D1929" s="60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7" t="s">
        <v>2764</v>
      </c>
      <c r="B1930" s="58"/>
      <c r="C1930" s="27" t="s">
        <v>2765</v>
      </c>
      <c r="D1930" s="60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62" t="s">
        <v>2766</v>
      </c>
      <c r="B1931" s="58">
        <v>18966143881</v>
      </c>
      <c r="C1931" s="63"/>
      <c r="D1931" s="60"/>
      <c r="E1931" s="9">
        <v>292</v>
      </c>
      <c r="F1931" s="25">
        <v>43168</v>
      </c>
      <c r="G1931" s="9" t="s">
        <v>13</v>
      </c>
      <c r="H1931" s="9"/>
      <c r="I1931" s="8"/>
      <c r="J1931" s="8"/>
      <c r="K1931" s="8"/>
      <c r="L1931" s="9">
        <v>318</v>
      </c>
      <c r="M1931" s="8"/>
    </row>
    <row r="1932" spans="1:13">
      <c r="A1932" s="62" t="s">
        <v>2767</v>
      </c>
      <c r="B1932" s="58">
        <v>30900118830</v>
      </c>
      <c r="C1932" s="63" t="s">
        <v>2768</v>
      </c>
      <c r="D1932" s="60">
        <v>22393785817</v>
      </c>
      <c r="E1932" s="9">
        <v>443</v>
      </c>
      <c r="F1932" s="25">
        <v>43188</v>
      </c>
      <c r="G1932" s="61"/>
      <c r="H1932" s="9"/>
      <c r="I1932" s="8"/>
      <c r="J1932" s="8"/>
      <c r="K1932" s="8"/>
      <c r="L1932" s="8"/>
      <c r="M1932" s="8"/>
    </row>
    <row r="1933" spans="1:13">
      <c r="A1933" s="18" t="s">
        <v>2769</v>
      </c>
      <c r="B1933" s="58">
        <v>64217299400</v>
      </c>
      <c r="C1933" s="18" t="s">
        <v>2770</v>
      </c>
      <c r="D1933" s="60">
        <v>88018997420</v>
      </c>
      <c r="E1933" s="9"/>
      <c r="F1933" s="25"/>
      <c r="G1933" s="61"/>
      <c r="H1933" s="9"/>
      <c r="I1933" s="8"/>
      <c r="J1933" s="8"/>
      <c r="K1933" s="8"/>
      <c r="L1933" s="8"/>
      <c r="M1933" s="8"/>
    </row>
    <row r="1934" spans="1:13">
      <c r="A1934" s="62" t="s">
        <v>2771</v>
      </c>
      <c r="B1934" s="58">
        <v>29739089810</v>
      </c>
      <c r="C1934" s="63"/>
      <c r="D1934" s="60"/>
      <c r="E1934" s="9"/>
      <c r="F1934" s="25"/>
      <c r="G1934" s="61"/>
      <c r="H1934" s="9"/>
      <c r="I1934" s="8"/>
      <c r="J1934" s="8"/>
      <c r="K1934" s="8"/>
      <c r="L1934" s="8"/>
      <c r="M1934" s="8"/>
    </row>
    <row r="1935" spans="1:13">
      <c r="A1935" s="63" t="s">
        <v>2772</v>
      </c>
      <c r="B1935" s="58">
        <v>95875409487</v>
      </c>
      <c r="C1935" s="63" t="s">
        <v>2773</v>
      </c>
      <c r="D1935" s="60">
        <v>64880354449</v>
      </c>
      <c r="E1935" s="9"/>
      <c r="F1935" s="25"/>
      <c r="G1935" s="61"/>
      <c r="H1935" s="9"/>
      <c r="I1935" s="8"/>
      <c r="J1935" s="8"/>
      <c r="K1935" s="8"/>
      <c r="L1935" s="8"/>
      <c r="M1935" s="8"/>
    </row>
    <row r="1936" spans="1:13">
      <c r="A1936" s="18" t="s">
        <v>2774</v>
      </c>
      <c r="B1936" s="58">
        <v>9133441847</v>
      </c>
      <c r="C1936" s="18"/>
      <c r="D1936" s="60"/>
      <c r="E1936" s="9"/>
      <c r="F1936" s="25"/>
      <c r="G1936" s="61"/>
      <c r="H1936" s="9"/>
      <c r="I1936" s="8"/>
      <c r="J1936" s="8"/>
      <c r="K1936" s="8"/>
      <c r="L1936" s="8"/>
      <c r="M1936" s="8"/>
    </row>
    <row r="1937" spans="1:13">
      <c r="A1937" s="62" t="s">
        <v>2775</v>
      </c>
      <c r="B1937" s="58">
        <v>30244279888</v>
      </c>
      <c r="C1937" s="63"/>
      <c r="D1937" s="60"/>
      <c r="E1937" s="9">
        <v>262</v>
      </c>
      <c r="F1937" s="25">
        <v>43160</v>
      </c>
      <c r="G1937" s="9" t="s">
        <v>13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2776</v>
      </c>
      <c r="B1938" s="58">
        <v>26655730325</v>
      </c>
      <c r="C1938" s="63" t="s">
        <v>2777</v>
      </c>
      <c r="D1938" s="60">
        <v>59222891520</v>
      </c>
      <c r="E1938" s="9">
        <v>262</v>
      </c>
      <c r="F1938" s="25">
        <v>43160</v>
      </c>
      <c r="G1938" s="61" t="s">
        <v>13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64" t="s">
        <v>2778</v>
      </c>
      <c r="B1939" s="58">
        <v>15696788807</v>
      </c>
      <c r="C1939" s="63" t="s">
        <v>2779</v>
      </c>
      <c r="D1939" s="60">
        <v>4231184801</v>
      </c>
      <c r="E1939" s="9">
        <v>1555</v>
      </c>
      <c r="F1939" s="25">
        <v>43049</v>
      </c>
      <c r="G1939" s="61" t="s">
        <v>13</v>
      </c>
      <c r="H1939" s="9"/>
      <c r="I1939" s="8"/>
      <c r="J1939" s="8"/>
      <c r="K1939" s="8"/>
      <c r="L1939" s="9" t="s">
        <v>398</v>
      </c>
      <c r="M1939" s="8"/>
    </row>
    <row r="1940" spans="1:13">
      <c r="A1940" s="62" t="s">
        <v>2780</v>
      </c>
      <c r="B1940" s="58">
        <v>8294730840</v>
      </c>
      <c r="C1940" s="63"/>
      <c r="D1940" s="60"/>
      <c r="E1940" s="9">
        <v>1350</v>
      </c>
      <c r="F1940" s="25">
        <v>43006</v>
      </c>
      <c r="G1940" s="61" t="s">
        <v>20</v>
      </c>
      <c r="H1940" s="9"/>
      <c r="I1940" s="8"/>
      <c r="J1940" s="8"/>
      <c r="K1940" s="8"/>
      <c r="L1940" s="8"/>
      <c r="M1940" s="8"/>
    </row>
    <row r="1941" spans="1:13">
      <c r="A1941" s="62" t="s">
        <v>2781</v>
      </c>
      <c r="B1941" s="58">
        <v>34620405884</v>
      </c>
      <c r="C1941" s="63"/>
      <c r="D1941" s="60"/>
      <c r="E1941" s="9">
        <v>117</v>
      </c>
      <c r="F1941" s="25">
        <v>43117</v>
      </c>
      <c r="G1941" s="61" t="s">
        <v>13</v>
      </c>
      <c r="H1941" s="9"/>
      <c r="I1941" s="8"/>
      <c r="J1941" s="8"/>
      <c r="K1941" s="8"/>
      <c r="L1941" s="9" t="s">
        <v>170</v>
      </c>
      <c r="M1941" s="8"/>
    </row>
    <row r="1942" spans="1:13">
      <c r="A1942" s="62" t="s">
        <v>2782</v>
      </c>
      <c r="B1942" s="58">
        <v>26159082353</v>
      </c>
      <c r="C1942" s="63"/>
      <c r="D1942" s="60"/>
      <c r="E1942" s="9">
        <v>1128</v>
      </c>
      <c r="F1942" s="25">
        <v>42972</v>
      </c>
      <c r="G1942" s="61" t="s">
        <v>13</v>
      </c>
      <c r="H1942" s="9"/>
      <c r="I1942" s="8"/>
      <c r="J1942" s="8"/>
      <c r="K1942" s="8"/>
      <c r="L1942" s="8"/>
      <c r="M1942" s="8"/>
    </row>
    <row r="1943" spans="1:13">
      <c r="A1943" s="62" t="s">
        <v>2783</v>
      </c>
      <c r="B1943" s="58">
        <v>1280254688</v>
      </c>
      <c r="C1943" s="63" t="s">
        <v>2784</v>
      </c>
      <c r="D1943" s="60">
        <v>16132160841</v>
      </c>
      <c r="E1943" s="9"/>
      <c r="F1943" s="25"/>
      <c r="G1943" s="61"/>
      <c r="H1943" s="9"/>
      <c r="I1943" s="8"/>
      <c r="J1943" s="8"/>
      <c r="K1943" s="8"/>
      <c r="L1943" s="8"/>
      <c r="M1943" s="8"/>
    </row>
    <row r="1944" spans="1:13">
      <c r="A1944" s="13" t="s">
        <v>2785</v>
      </c>
      <c r="B1944" s="58">
        <v>26250260811</v>
      </c>
      <c r="C1944" s="59"/>
      <c r="D1944" s="60"/>
      <c r="E1944" s="9">
        <v>1241</v>
      </c>
      <c r="F1944" s="25">
        <v>42992</v>
      </c>
      <c r="G1944" s="61" t="s">
        <v>13</v>
      </c>
      <c r="H1944" s="9"/>
      <c r="I1944" s="8"/>
      <c r="J1944" s="8"/>
      <c r="K1944" s="8"/>
      <c r="L1944" s="8"/>
      <c r="M1944" s="8"/>
    </row>
    <row r="1945" spans="1:13">
      <c r="A1945" s="15" t="s">
        <v>2786</v>
      </c>
      <c r="B1945" s="58">
        <v>16141411851</v>
      </c>
      <c r="C1945" s="64"/>
      <c r="D1945" s="60"/>
      <c r="E1945" s="9">
        <v>527</v>
      </c>
      <c r="F1945" s="25">
        <v>43210</v>
      </c>
      <c r="G1945" s="61"/>
      <c r="H1945" s="9"/>
      <c r="I1945" s="8"/>
      <c r="J1945" s="8"/>
      <c r="K1945" s="8"/>
      <c r="L1945" s="9">
        <v>528</v>
      </c>
      <c r="M1945" s="8"/>
    </row>
    <row r="1946" spans="1:13">
      <c r="A1946" s="62" t="s">
        <v>2787</v>
      </c>
      <c r="B1946" s="58">
        <v>34528616866</v>
      </c>
      <c r="C1946" s="63"/>
      <c r="D1946" s="60"/>
      <c r="E1946" s="9"/>
      <c r="F1946" s="25"/>
      <c r="G1946" s="61"/>
      <c r="H1946" s="9"/>
      <c r="I1946" s="8"/>
      <c r="J1946" s="8"/>
      <c r="K1946" s="8"/>
      <c r="L1946" s="8"/>
      <c r="M1946" s="8"/>
    </row>
    <row r="1947" spans="1:13">
      <c r="A1947" s="62" t="s">
        <v>2788</v>
      </c>
      <c r="B1947" s="58">
        <v>15534612827</v>
      </c>
      <c r="C1947" s="63"/>
      <c r="D1947" s="60"/>
      <c r="E1947" s="9">
        <v>1267</v>
      </c>
      <c r="F1947" s="25">
        <v>42998</v>
      </c>
      <c r="G1947" s="61" t="s">
        <v>13</v>
      </c>
      <c r="H1947" s="9"/>
      <c r="I1947" s="8"/>
      <c r="J1947" s="8"/>
      <c r="K1947" s="8"/>
      <c r="L1947" s="8"/>
      <c r="M1947" s="8"/>
    </row>
    <row r="1948" spans="1:13">
      <c r="A1948" s="14" t="s">
        <v>2789</v>
      </c>
      <c r="B1948" s="58">
        <v>47240902862</v>
      </c>
      <c r="C1948" s="63"/>
      <c r="D1948" s="60"/>
      <c r="E1948" s="9">
        <v>1350</v>
      </c>
      <c r="F1948" s="25">
        <v>43006</v>
      </c>
      <c r="G1948" s="61"/>
      <c r="H1948" s="9"/>
      <c r="I1948" s="8"/>
      <c r="J1948" s="8"/>
      <c r="K1948" s="8"/>
      <c r="L1948" s="8"/>
      <c r="M1948" s="8"/>
    </row>
    <row r="1949" spans="1:13">
      <c r="A1949" s="62" t="s">
        <v>2789</v>
      </c>
      <c r="B1949" s="58">
        <v>33281807453</v>
      </c>
      <c r="C1949" s="63"/>
      <c r="D1949" s="60"/>
      <c r="E1949" s="9">
        <v>229</v>
      </c>
      <c r="F1949" s="25">
        <v>43151</v>
      </c>
      <c r="G1949" s="61" t="s">
        <v>13</v>
      </c>
      <c r="H1949" s="9"/>
      <c r="I1949" s="8"/>
      <c r="J1949" s="8"/>
      <c r="K1949" s="8"/>
      <c r="L1949" s="9">
        <v>232</v>
      </c>
      <c r="M1949" s="8"/>
    </row>
    <row r="1950" spans="1:13">
      <c r="A1950" s="62" t="s">
        <v>2789</v>
      </c>
      <c r="B1950" s="58">
        <v>7470387838</v>
      </c>
      <c r="C1950" s="63"/>
      <c r="D1950" s="60"/>
      <c r="E1950" s="9">
        <v>292</v>
      </c>
      <c r="F1950" s="25">
        <v>43168</v>
      </c>
      <c r="G1950" s="61" t="s">
        <v>13</v>
      </c>
      <c r="H1950" s="9"/>
      <c r="I1950" s="8"/>
      <c r="J1950" s="8"/>
      <c r="K1950" s="8"/>
      <c r="L1950" s="9">
        <v>318</v>
      </c>
      <c r="M1950" s="8"/>
    </row>
    <row r="1951" spans="1:13">
      <c r="A1951" s="62" t="s">
        <v>2790</v>
      </c>
      <c r="B1951" s="58">
        <v>13037683805</v>
      </c>
      <c r="C1951" s="63"/>
      <c r="D1951" s="60"/>
      <c r="E1951" s="9"/>
      <c r="F1951" s="25"/>
      <c r="G1951" s="61"/>
      <c r="H1951" s="9"/>
      <c r="I1951" s="8"/>
      <c r="J1951" s="8"/>
      <c r="K1951" s="8"/>
      <c r="L1951" s="8"/>
      <c r="M1951" s="8"/>
    </row>
    <row r="1952" spans="1:13">
      <c r="A1952" s="27" t="s">
        <v>2791</v>
      </c>
      <c r="B1952" s="58">
        <v>33635659843</v>
      </c>
      <c r="C1952" s="27" t="s">
        <v>2792</v>
      </c>
      <c r="D1952" s="60">
        <v>35013582881</v>
      </c>
      <c r="E1952" s="9"/>
      <c r="F1952" s="25"/>
      <c r="G1952" s="61"/>
      <c r="H1952" s="9"/>
      <c r="I1952" s="8"/>
      <c r="J1952" s="8"/>
      <c r="K1952" s="8"/>
      <c r="L1952" s="8"/>
      <c r="M1952" s="8"/>
    </row>
    <row r="1953" spans="1:13">
      <c r="A1953" s="15" t="s">
        <v>2793</v>
      </c>
      <c r="B1953" s="58">
        <v>14888855838</v>
      </c>
      <c r="C1953" s="63"/>
      <c r="D1953" s="60"/>
      <c r="E1953" s="9">
        <v>262</v>
      </c>
      <c r="F1953" s="25">
        <v>43160</v>
      </c>
      <c r="G1953" s="61" t="s">
        <v>13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62" t="s">
        <v>2793</v>
      </c>
      <c r="B1954" s="58">
        <v>17264992861</v>
      </c>
      <c r="C1954" s="68"/>
      <c r="D1954" s="60"/>
      <c r="E1954" s="9">
        <v>563</v>
      </c>
      <c r="F1954" s="25">
        <v>43217</v>
      </c>
      <c r="G1954" s="61"/>
      <c r="H1954" s="9"/>
      <c r="I1954" s="8"/>
      <c r="J1954" s="8"/>
      <c r="K1954" s="8"/>
      <c r="L1954" s="9" t="s">
        <v>299</v>
      </c>
      <c r="M1954" s="8"/>
    </row>
    <row r="1955" spans="1:13">
      <c r="A1955" s="62" t="s">
        <v>2794</v>
      </c>
      <c r="B1955" s="58">
        <v>36841231880</v>
      </c>
      <c r="C1955" s="68" t="s">
        <v>2795</v>
      </c>
      <c r="D1955" s="60">
        <v>9406320479</v>
      </c>
      <c r="E1955" s="9"/>
      <c r="F1955" s="25"/>
      <c r="G1955" s="61"/>
      <c r="H1955" s="9"/>
      <c r="I1955" s="8"/>
      <c r="J1955" s="8"/>
      <c r="K1955" s="8"/>
      <c r="L1955" s="8"/>
      <c r="M1955" s="8"/>
    </row>
    <row r="1956" spans="1:13">
      <c r="A1956" s="13" t="s">
        <v>2796</v>
      </c>
      <c r="B1956" s="58">
        <v>22718092823</v>
      </c>
      <c r="C1956" s="59"/>
      <c r="D1956" s="60"/>
      <c r="E1956" s="9">
        <v>1489</v>
      </c>
      <c r="F1956" s="25">
        <v>43038</v>
      </c>
      <c r="G1956" s="61" t="s">
        <v>13</v>
      </c>
      <c r="H1956" s="9"/>
      <c r="I1956" s="8"/>
      <c r="J1956" s="8"/>
      <c r="K1956" s="8"/>
      <c r="L1956" s="9" t="s">
        <v>160</v>
      </c>
      <c r="M1956" s="8"/>
    </row>
    <row r="1957" spans="1:13">
      <c r="A1957" s="27" t="s">
        <v>2797</v>
      </c>
      <c r="B1957" s="58"/>
      <c r="C1957" s="27" t="s">
        <v>129</v>
      </c>
      <c r="D1957" s="60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62" t="s">
        <v>2798</v>
      </c>
      <c r="B1958" s="58">
        <v>25290972838</v>
      </c>
      <c r="C1958" s="63"/>
      <c r="D1958" s="60"/>
      <c r="E1958" s="9">
        <v>262</v>
      </c>
      <c r="F1958" s="25">
        <v>43160</v>
      </c>
      <c r="G1958" s="61" t="s">
        <v>13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7" t="s">
        <v>2799</v>
      </c>
      <c r="B1959" s="58"/>
      <c r="C1959" s="27" t="s">
        <v>2800</v>
      </c>
      <c r="D1959" s="60"/>
      <c r="E1959" s="9"/>
      <c r="F1959" s="25"/>
      <c r="G1959" s="61"/>
      <c r="H1959" s="9"/>
      <c r="I1959" s="8"/>
      <c r="J1959" s="8"/>
      <c r="K1959" s="8"/>
      <c r="L1959" s="8"/>
      <c r="M1959" s="8"/>
    </row>
    <row r="1960" spans="1:13">
      <c r="A1960" s="62" t="s">
        <v>2801</v>
      </c>
      <c r="B1960" s="58">
        <v>18427090200</v>
      </c>
      <c r="C1960" s="63"/>
      <c r="D1960" s="60"/>
      <c r="E1960" s="9"/>
      <c r="F1960" s="25"/>
      <c r="G1960" s="61"/>
      <c r="H1960" s="9"/>
      <c r="I1960" s="8"/>
      <c r="J1960" s="8"/>
      <c r="K1960" s="8"/>
      <c r="L1960" s="8"/>
      <c r="M1960" s="8"/>
    </row>
    <row r="1961" spans="1:13">
      <c r="A1961" s="27" t="s">
        <v>2802</v>
      </c>
      <c r="B1961" s="58">
        <v>64404714734</v>
      </c>
      <c r="C1961" s="27" t="s">
        <v>2803</v>
      </c>
      <c r="D1961" s="60">
        <v>3670981802</v>
      </c>
      <c r="E1961" s="9"/>
      <c r="F1961" s="25"/>
      <c r="G1961" s="61"/>
      <c r="H1961" s="9"/>
      <c r="I1961" s="8"/>
      <c r="J1961" s="8"/>
      <c r="K1961" s="8"/>
      <c r="L1961" s="8"/>
      <c r="M1961" s="8"/>
    </row>
    <row r="1962" spans="1:13">
      <c r="A1962" s="27" t="s">
        <v>2804</v>
      </c>
      <c r="B1962" s="58">
        <v>29783527878</v>
      </c>
      <c r="C1962" s="27" t="s">
        <v>2805</v>
      </c>
      <c r="D1962" s="60">
        <v>58774955420</v>
      </c>
      <c r="E1962" s="9"/>
      <c r="F1962" s="25"/>
      <c r="G1962" s="61"/>
      <c r="H1962" s="9"/>
      <c r="I1962" s="8"/>
      <c r="J1962" s="8"/>
      <c r="K1962" s="8"/>
      <c r="L1962" s="8"/>
      <c r="M1962" s="8"/>
    </row>
    <row r="1963" spans="1:13">
      <c r="A1963" s="62" t="s">
        <v>2806</v>
      </c>
      <c r="B1963" s="58">
        <v>4214616677</v>
      </c>
      <c r="C1963" s="63"/>
      <c r="D1963" s="60"/>
      <c r="E1963" s="9">
        <v>1106</v>
      </c>
      <c r="F1963" s="25">
        <v>42965</v>
      </c>
      <c r="G1963" s="61" t="s">
        <v>13</v>
      </c>
      <c r="H1963" s="9"/>
      <c r="I1963" s="8"/>
      <c r="J1963" s="8"/>
      <c r="K1963" s="8"/>
      <c r="L1963" s="8"/>
      <c r="M1963" s="8"/>
    </row>
    <row r="1964" spans="1:13">
      <c r="A1964" s="18" t="s">
        <v>2807</v>
      </c>
      <c r="B1964" s="58">
        <v>70155356372</v>
      </c>
      <c r="C1964" s="18" t="s">
        <v>2808</v>
      </c>
      <c r="D1964" s="60">
        <v>111564816</v>
      </c>
      <c r="E1964" s="9"/>
      <c r="F1964" s="25"/>
      <c r="G1964" s="61"/>
      <c r="H1964" s="9"/>
      <c r="I1964" s="8"/>
      <c r="J1964" s="8"/>
      <c r="K1964" s="8"/>
      <c r="L1964" s="8"/>
      <c r="M1964" s="8"/>
    </row>
    <row r="1965" spans="1:13">
      <c r="A1965" s="62" t="s">
        <v>2809</v>
      </c>
      <c r="B1965" s="58">
        <v>4350125337</v>
      </c>
      <c r="C1965" s="63" t="s">
        <v>2810</v>
      </c>
      <c r="D1965" s="60">
        <v>71019016315</v>
      </c>
      <c r="E1965" s="9">
        <v>443</v>
      </c>
      <c r="F1965" s="25">
        <v>43188</v>
      </c>
      <c r="G1965" s="61"/>
      <c r="H1965" s="9"/>
      <c r="I1965" s="8"/>
      <c r="J1965" s="8"/>
      <c r="K1965" s="8"/>
      <c r="L1965" s="8"/>
      <c r="M1965" s="8"/>
    </row>
    <row r="1966" spans="1:13">
      <c r="A1966" s="62" t="s">
        <v>2811</v>
      </c>
      <c r="B1966" s="58">
        <v>30179313827</v>
      </c>
      <c r="C1966" s="63"/>
      <c r="D1966" s="60"/>
      <c r="E1966" s="9">
        <v>1417</v>
      </c>
      <c r="F1966" s="25">
        <v>43017</v>
      </c>
      <c r="G1966" s="61" t="s">
        <v>28</v>
      </c>
      <c r="H1966" s="9"/>
      <c r="I1966" s="8"/>
      <c r="J1966" s="8"/>
      <c r="K1966" s="8"/>
      <c r="L1966" s="9" t="s">
        <v>253</v>
      </c>
      <c r="M1966" s="8"/>
    </row>
    <row r="1967" spans="1:13">
      <c r="A1967" s="63" t="s">
        <v>2812</v>
      </c>
      <c r="B1967" s="58">
        <v>3700721897</v>
      </c>
      <c r="C1967" s="63"/>
      <c r="D1967" s="60"/>
      <c r="E1967" s="9">
        <v>292</v>
      </c>
      <c r="F1967" s="25">
        <v>43168</v>
      </c>
      <c r="G1967" s="9" t="s">
        <v>13</v>
      </c>
      <c r="H1967" s="9"/>
      <c r="I1967" s="8"/>
      <c r="J1967" s="8"/>
      <c r="K1967" s="8"/>
      <c r="L1967" s="9">
        <v>318</v>
      </c>
      <c r="M1967" s="8"/>
    </row>
    <row r="1968" spans="1:13">
      <c r="A1968" s="62" t="s">
        <v>2813</v>
      </c>
      <c r="B1968" s="58">
        <v>604600321</v>
      </c>
      <c r="C1968" s="63"/>
      <c r="D1968" s="60"/>
      <c r="E1968" s="9">
        <v>573</v>
      </c>
      <c r="F1968" s="25">
        <v>43224</v>
      </c>
      <c r="G1968" s="61"/>
      <c r="H1968" s="9"/>
      <c r="I1968" s="8"/>
      <c r="J1968" s="8"/>
      <c r="K1968" s="8"/>
      <c r="L1968" s="8"/>
      <c r="M1968" s="8"/>
    </row>
    <row r="1969" spans="1:13">
      <c r="A1969" s="27" t="s">
        <v>2814</v>
      </c>
      <c r="B1969" s="58"/>
      <c r="C1969" s="27" t="s">
        <v>129</v>
      </c>
      <c r="D1969" s="60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63" t="s">
        <v>2815</v>
      </c>
      <c r="B1970" s="58">
        <v>49628474812</v>
      </c>
      <c r="C1970" s="63" t="s">
        <v>2816</v>
      </c>
      <c r="D1970" s="60">
        <v>15722198315</v>
      </c>
      <c r="E1970" s="9"/>
      <c r="F1970" s="25"/>
      <c r="G1970" s="61"/>
      <c r="H1970" s="9"/>
      <c r="I1970" s="8"/>
      <c r="J1970" s="8"/>
      <c r="K1970" s="8"/>
      <c r="L1970" s="8"/>
      <c r="M1970" s="8"/>
    </row>
    <row r="1971" spans="1:13">
      <c r="A1971" s="62" t="s">
        <v>2817</v>
      </c>
      <c r="B1971" s="58">
        <v>37473032852</v>
      </c>
      <c r="C1971" s="63" t="s">
        <v>2818</v>
      </c>
      <c r="D1971" s="60">
        <v>21894541820</v>
      </c>
      <c r="E1971" s="9">
        <v>1824</v>
      </c>
      <c r="F1971" s="25">
        <v>43091</v>
      </c>
      <c r="G1971" s="61" t="s">
        <v>28</v>
      </c>
      <c r="H1971" s="9"/>
      <c r="I1971" s="8"/>
      <c r="J1971" s="8"/>
      <c r="K1971" s="8"/>
      <c r="L1971" s="9">
        <v>1828</v>
      </c>
      <c r="M1971" s="8"/>
    </row>
    <row r="1972" spans="1:13">
      <c r="A1972" s="62" t="s">
        <v>2819</v>
      </c>
      <c r="B1972" s="58">
        <v>36383878875</v>
      </c>
      <c r="C1972" s="63" t="s">
        <v>2820</v>
      </c>
      <c r="D1972" s="60">
        <v>39907872849</v>
      </c>
      <c r="E1972" s="9">
        <v>117</v>
      </c>
      <c r="F1972" s="25">
        <v>43117</v>
      </c>
      <c r="G1972" s="61" t="s">
        <v>20</v>
      </c>
      <c r="H1972" s="9"/>
      <c r="I1972" s="8"/>
      <c r="J1972" s="8"/>
      <c r="K1972" s="8"/>
      <c r="L1972" s="9" t="s">
        <v>170</v>
      </c>
      <c r="M1972" s="8"/>
    </row>
    <row r="1973" spans="1:13">
      <c r="A1973" s="62" t="s">
        <v>2821</v>
      </c>
      <c r="B1973" s="58">
        <v>6090418862</v>
      </c>
      <c r="C1973" s="63"/>
      <c r="D1973" s="60"/>
      <c r="E1973" s="9">
        <v>1752</v>
      </c>
      <c r="F1973" s="25">
        <v>43051</v>
      </c>
      <c r="G1973" s="61" t="s">
        <v>13</v>
      </c>
      <c r="H1973" s="9"/>
      <c r="I1973" s="8"/>
      <c r="J1973" s="8"/>
      <c r="K1973" s="8"/>
      <c r="L1973" s="9">
        <v>1759</v>
      </c>
      <c r="M1973" s="8"/>
    </row>
    <row r="1974" spans="1:13">
      <c r="A1974" s="62" t="s">
        <v>2822</v>
      </c>
      <c r="B1974" s="58">
        <v>10450162842</v>
      </c>
      <c r="C1974" s="63"/>
      <c r="D1974" s="60"/>
      <c r="E1974" s="9">
        <v>1350</v>
      </c>
      <c r="F1974" s="25">
        <v>43006</v>
      </c>
      <c r="G1974" s="61" t="s">
        <v>13</v>
      </c>
      <c r="H1974" s="9"/>
      <c r="I1974" s="8"/>
      <c r="J1974" s="8"/>
      <c r="K1974" s="8"/>
      <c r="L1974" s="8"/>
      <c r="M1974" s="8"/>
    </row>
    <row r="1975" spans="1:13">
      <c r="A1975" s="62" t="s">
        <v>2822</v>
      </c>
      <c r="B1975" s="58">
        <v>35225850898</v>
      </c>
      <c r="C1975" s="63"/>
      <c r="D1975" s="60"/>
      <c r="E1975" s="9">
        <v>1359</v>
      </c>
      <c r="F1975" s="25">
        <v>43006</v>
      </c>
      <c r="G1975" s="61" t="s">
        <v>13</v>
      </c>
      <c r="H1975" s="9"/>
      <c r="I1975" s="8"/>
      <c r="J1975" s="8"/>
      <c r="K1975" s="8"/>
      <c r="L1975" s="8"/>
      <c r="M1975" s="8"/>
    </row>
    <row r="1976" spans="1:13">
      <c r="A1976" s="62" t="s">
        <v>2822</v>
      </c>
      <c r="B1976" s="58">
        <v>59991704434</v>
      </c>
      <c r="C1976" s="63"/>
      <c r="D1976" s="60"/>
      <c r="E1976" s="9">
        <v>292</v>
      </c>
      <c r="F1976" s="25">
        <v>43168</v>
      </c>
      <c r="G1976" s="61" t="s">
        <v>13</v>
      </c>
      <c r="H1976" s="9"/>
      <c r="I1976" s="8"/>
      <c r="J1976" s="8"/>
      <c r="K1976" s="8"/>
      <c r="L1976" s="9">
        <v>318</v>
      </c>
      <c r="M1976" s="8"/>
    </row>
    <row r="1977" spans="1:13">
      <c r="A1977" s="83" t="s">
        <v>2823</v>
      </c>
      <c r="B1977" s="71">
        <v>87102331487</v>
      </c>
      <c r="C1977" s="72" t="s">
        <v>2824</v>
      </c>
      <c r="D1977" s="73">
        <v>44552246453</v>
      </c>
      <c r="E1977" s="45">
        <v>810</v>
      </c>
      <c r="F1977" s="46">
        <v>42915</v>
      </c>
      <c r="G1977" s="74"/>
      <c r="H1977" s="45"/>
      <c r="I1977" s="47"/>
      <c r="J1977" s="47"/>
      <c r="K1977" s="47"/>
      <c r="L1977" s="9" t="s">
        <v>138</v>
      </c>
      <c r="M1977" s="47"/>
    </row>
    <row r="1978" spans="1:13">
      <c r="A1978" s="15" t="s">
        <v>2825</v>
      </c>
      <c r="B1978" s="58">
        <v>6509259800</v>
      </c>
      <c r="C1978" s="63"/>
      <c r="D1978" s="60"/>
      <c r="E1978" s="9">
        <v>262</v>
      </c>
      <c r="F1978" s="25">
        <v>43160</v>
      </c>
      <c r="G1978" s="61" t="s">
        <v>13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62" t="s">
        <v>2826</v>
      </c>
      <c r="B1979" s="58">
        <v>58636730449</v>
      </c>
      <c r="C1979" s="63"/>
      <c r="D1979" s="60"/>
      <c r="E1979" s="9">
        <v>292</v>
      </c>
      <c r="F1979" s="25">
        <v>43168</v>
      </c>
      <c r="G1979" s="9" t="s">
        <v>13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2827</v>
      </c>
      <c r="B1980" s="58">
        <v>7226982838</v>
      </c>
      <c r="C1980" s="63"/>
      <c r="D1980" s="60"/>
      <c r="E1980" s="9">
        <v>229</v>
      </c>
      <c r="F1980" s="25">
        <v>43151</v>
      </c>
      <c r="G1980" s="61" t="s">
        <v>13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2828</v>
      </c>
      <c r="B1981" s="58">
        <v>6656468870</v>
      </c>
      <c r="C1981" s="63"/>
      <c r="D1981" s="60"/>
      <c r="E1981" s="9">
        <v>117</v>
      </c>
      <c r="F1981" s="25">
        <v>43117</v>
      </c>
      <c r="G1981" s="61" t="s">
        <v>13</v>
      </c>
      <c r="H1981" s="9"/>
      <c r="I1981" s="8"/>
      <c r="J1981" s="8"/>
      <c r="K1981" s="8"/>
      <c r="L1981" s="9" t="s">
        <v>170</v>
      </c>
      <c r="M1981" s="8"/>
    </row>
    <row r="1982" spans="1:13">
      <c r="A1982" s="62" t="s">
        <v>2829</v>
      </c>
      <c r="B1982" s="58">
        <v>18360384886</v>
      </c>
      <c r="C1982" s="63" t="s">
        <v>2830</v>
      </c>
      <c r="D1982" s="60">
        <v>28828648848</v>
      </c>
      <c r="E1982" s="9">
        <v>1214</v>
      </c>
      <c r="F1982" s="25">
        <v>42989</v>
      </c>
      <c r="G1982" s="61" t="s">
        <v>13</v>
      </c>
      <c r="H1982" s="9"/>
      <c r="I1982" s="8"/>
      <c r="J1982" s="8"/>
      <c r="K1982" s="8"/>
      <c r="L1982" s="8"/>
      <c r="M1982" s="8"/>
    </row>
    <row r="1983" spans="1:13">
      <c r="A1983" s="62" t="s">
        <v>2831</v>
      </c>
      <c r="B1983" s="58">
        <v>8224204812</v>
      </c>
      <c r="C1983" s="63" t="s">
        <v>2832</v>
      </c>
      <c r="D1983" s="60">
        <v>5373139823</v>
      </c>
      <c r="E1983" s="9">
        <v>1752</v>
      </c>
      <c r="F1983" s="25">
        <v>43051</v>
      </c>
      <c r="G1983" s="61" t="s">
        <v>13</v>
      </c>
      <c r="H1983" s="9"/>
      <c r="I1983" s="8"/>
      <c r="J1983" s="8"/>
      <c r="K1983" s="8"/>
      <c r="L1983" s="9">
        <v>1759</v>
      </c>
      <c r="M1983" s="8"/>
    </row>
    <row r="1984" spans="1:13">
      <c r="A1984" s="62" t="s">
        <v>2833</v>
      </c>
      <c r="B1984" s="58">
        <v>61232386200</v>
      </c>
      <c r="C1984" s="63" t="s">
        <v>2834</v>
      </c>
      <c r="D1984" s="60">
        <v>30971900310</v>
      </c>
      <c r="E1984" s="9">
        <v>1267</v>
      </c>
      <c r="F1984" s="25">
        <v>42998</v>
      </c>
      <c r="G1984" s="61" t="s">
        <v>13</v>
      </c>
      <c r="H1984" s="9"/>
      <c r="I1984" s="8"/>
      <c r="J1984" s="8"/>
      <c r="K1984" s="8"/>
      <c r="L1984" s="8"/>
      <c r="M1984" s="8"/>
    </row>
    <row r="1985" spans="1:13">
      <c r="A1985" s="28" t="s">
        <v>2835</v>
      </c>
      <c r="B1985" s="58">
        <v>68688210420</v>
      </c>
      <c r="C1985" s="30" t="s">
        <v>2836</v>
      </c>
      <c r="D1985" s="60">
        <v>3241531805</v>
      </c>
      <c r="E1985" s="9">
        <v>1570</v>
      </c>
      <c r="F1985" s="25">
        <v>43077</v>
      </c>
      <c r="G1985" s="61" t="s">
        <v>13</v>
      </c>
      <c r="H1985" s="9"/>
      <c r="I1985" s="8"/>
      <c r="J1985" s="8"/>
      <c r="K1985" s="8"/>
      <c r="L1985" s="8"/>
      <c r="M1985" s="8"/>
    </row>
    <row r="1986" spans="1:13">
      <c r="A1986" s="63" t="s">
        <v>2837</v>
      </c>
      <c r="B1986" s="58">
        <v>5605089480</v>
      </c>
      <c r="C1986" s="63"/>
      <c r="D1986" s="60"/>
      <c r="E1986" s="9">
        <v>292</v>
      </c>
      <c r="F1986" s="25">
        <v>43168</v>
      </c>
      <c r="G1986" s="9" t="s">
        <v>13</v>
      </c>
      <c r="H1986" s="9"/>
      <c r="I1986" s="8"/>
      <c r="J1986" s="8"/>
      <c r="K1986" s="8"/>
      <c r="L1986" s="9">
        <v>318</v>
      </c>
      <c r="M1986" s="8"/>
    </row>
    <row r="1987" spans="1:13">
      <c r="A1987" s="62" t="s">
        <v>2838</v>
      </c>
      <c r="B1987" s="58">
        <v>33426333449</v>
      </c>
      <c r="C1987" s="59"/>
      <c r="D1987" s="60"/>
      <c r="E1987" s="9">
        <v>1128</v>
      </c>
      <c r="F1987" s="25">
        <v>42972</v>
      </c>
      <c r="G1987" s="61" t="s">
        <v>13</v>
      </c>
      <c r="H1987" s="9"/>
      <c r="I1987" s="8"/>
      <c r="J1987" s="8"/>
      <c r="K1987" s="8"/>
      <c r="L1987" s="8"/>
      <c r="M1987" s="8"/>
    </row>
    <row r="1988" spans="1:13">
      <c r="A1988" s="62" t="s">
        <v>2839</v>
      </c>
      <c r="B1988" s="58">
        <v>94896623720</v>
      </c>
      <c r="C1988" s="63"/>
      <c r="D1988" s="60"/>
      <c r="E1988" s="9">
        <v>573</v>
      </c>
      <c r="F1988" s="25">
        <v>43224</v>
      </c>
      <c r="G1988" s="61"/>
      <c r="H1988" s="9"/>
      <c r="I1988" s="8"/>
      <c r="J1988" s="8"/>
      <c r="K1988" s="8"/>
      <c r="L1988" s="8"/>
      <c r="M1988" s="8"/>
    </row>
    <row r="1989" spans="1:13">
      <c r="A1989" s="62" t="s">
        <v>2840</v>
      </c>
      <c r="B1989" s="58">
        <v>3383434583</v>
      </c>
      <c r="C1989" s="63"/>
      <c r="D1989" s="60"/>
      <c r="E1989" s="9">
        <v>810</v>
      </c>
      <c r="F1989" s="25">
        <v>42915</v>
      </c>
      <c r="G1989" s="61" t="s">
        <v>13</v>
      </c>
      <c r="H1989" s="9"/>
      <c r="I1989" s="8"/>
      <c r="J1989" s="8"/>
      <c r="K1989" s="8"/>
      <c r="L1989" s="9" t="s">
        <v>138</v>
      </c>
      <c r="M1989" s="8"/>
    </row>
    <row r="1990" spans="1:13">
      <c r="A1990" s="62" t="s">
        <v>2841</v>
      </c>
      <c r="B1990" s="58">
        <v>25058405806</v>
      </c>
      <c r="C1990" s="63"/>
      <c r="D1990" s="60"/>
      <c r="E1990" s="9">
        <v>1824</v>
      </c>
      <c r="F1990" s="25">
        <v>43091</v>
      </c>
      <c r="G1990" s="61" t="s">
        <v>13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2842</v>
      </c>
      <c r="B1991" s="58">
        <v>97260754672</v>
      </c>
      <c r="C1991" s="18"/>
      <c r="D1991" s="60"/>
      <c r="E1991" s="9"/>
      <c r="F1991" s="25"/>
      <c r="G1991" s="61"/>
      <c r="H1991" s="9"/>
      <c r="I1991" s="8"/>
      <c r="J1991" s="8"/>
      <c r="K1991" s="8"/>
      <c r="L1991" s="8"/>
      <c r="M1991" s="8"/>
    </row>
    <row r="1992" spans="1:13">
      <c r="A1992" s="62" t="s">
        <v>2843</v>
      </c>
      <c r="B1992" s="58">
        <v>11458903850</v>
      </c>
      <c r="C1992" s="63"/>
      <c r="D1992" s="60"/>
      <c r="E1992" s="9"/>
      <c r="F1992" s="25"/>
      <c r="G1992" s="61"/>
      <c r="H1992" s="9"/>
      <c r="I1992" s="8"/>
      <c r="J1992" s="8"/>
      <c r="K1992" s="8"/>
      <c r="L1992" s="8"/>
      <c r="M1992" s="8"/>
    </row>
    <row r="1993" spans="1:13">
      <c r="A1993" s="62" t="s">
        <v>2844</v>
      </c>
      <c r="B1993" s="58">
        <v>22566146896</v>
      </c>
      <c r="C1993" s="63" t="s">
        <v>2845</v>
      </c>
      <c r="D1993" s="60">
        <v>12734804816</v>
      </c>
      <c r="E1993" s="9"/>
      <c r="F1993" s="25"/>
      <c r="G1993" s="61"/>
      <c r="H1993" s="9"/>
      <c r="I1993" s="8"/>
      <c r="J1993" s="8"/>
      <c r="K1993" s="8"/>
      <c r="L1993" s="8"/>
      <c r="M1993" s="8"/>
    </row>
    <row r="1994" spans="1:13">
      <c r="A1994" s="62" t="s">
        <v>2846</v>
      </c>
      <c r="B1994" s="58">
        <v>27957199836</v>
      </c>
      <c r="C1994" s="63" t="s">
        <v>2847</v>
      </c>
      <c r="D1994" s="60">
        <v>14369564808</v>
      </c>
      <c r="E1994" s="9">
        <v>292</v>
      </c>
      <c r="F1994" s="25">
        <v>43168</v>
      </c>
      <c r="G1994" s="61" t="s">
        <v>13</v>
      </c>
      <c r="H1994" s="9"/>
      <c r="I1994" s="8"/>
      <c r="J1994" s="8"/>
      <c r="K1994" s="8"/>
      <c r="L1994" s="9">
        <v>318</v>
      </c>
      <c r="M1994" s="8"/>
    </row>
    <row r="1995" spans="1:13">
      <c r="A1995" s="62" t="s">
        <v>2848</v>
      </c>
      <c r="B1995" s="58">
        <v>18711730862</v>
      </c>
      <c r="C1995" s="63"/>
      <c r="D1995" s="60"/>
      <c r="E1995" s="9">
        <v>1555</v>
      </c>
      <c r="F1995" s="25">
        <v>43049</v>
      </c>
      <c r="G1995" s="61" t="s">
        <v>13</v>
      </c>
      <c r="H1995" s="9"/>
      <c r="I1995" s="8"/>
      <c r="J1995" s="8"/>
      <c r="K1995" s="8"/>
      <c r="L1995" s="9" t="s">
        <v>398</v>
      </c>
      <c r="M1995" s="8"/>
    </row>
    <row r="1996" spans="1:13">
      <c r="A1996" s="18" t="s">
        <v>2849</v>
      </c>
      <c r="B1996" s="58"/>
      <c r="C1996" s="18" t="s">
        <v>2850</v>
      </c>
      <c r="D1996" s="60"/>
      <c r="E1996" s="9"/>
      <c r="F1996" s="25"/>
      <c r="G1996" s="61"/>
      <c r="H1996" s="9"/>
      <c r="I1996" s="8"/>
      <c r="J1996" s="8"/>
      <c r="K1996" s="8"/>
      <c r="L1996" s="8"/>
      <c r="M1996" s="8"/>
    </row>
    <row r="1997" spans="1:13">
      <c r="A1997" s="62" t="s">
        <v>2851</v>
      </c>
      <c r="B1997" s="58">
        <v>12723195805</v>
      </c>
      <c r="C1997" s="63" t="s">
        <v>2852</v>
      </c>
      <c r="D1997" s="60">
        <v>34850007520</v>
      </c>
      <c r="E1997" s="9">
        <v>262</v>
      </c>
      <c r="F1997" s="25">
        <v>43160</v>
      </c>
      <c r="G1997" s="61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62" t="s">
        <v>2853</v>
      </c>
      <c r="B1998" s="58">
        <v>15731373833</v>
      </c>
      <c r="C1998" s="66" t="s">
        <v>2854</v>
      </c>
      <c r="D1998" s="60">
        <v>12858074801</v>
      </c>
      <c r="E1998" s="9">
        <v>1106</v>
      </c>
      <c r="F1998" s="25">
        <v>42965</v>
      </c>
      <c r="G1998" s="61" t="s">
        <v>20</v>
      </c>
      <c r="H1998" s="9"/>
      <c r="I1998" s="8"/>
      <c r="J1998" s="8"/>
      <c r="K1998" s="8"/>
      <c r="L1998" s="8"/>
      <c r="M1998" s="8"/>
    </row>
    <row r="1999" spans="1:13">
      <c r="A1999" s="62" t="s">
        <v>2855</v>
      </c>
      <c r="B1999" s="58">
        <v>31069447811</v>
      </c>
      <c r="C1999" s="63"/>
      <c r="D1999" s="60"/>
      <c r="E1999" s="9">
        <v>810</v>
      </c>
      <c r="F1999" s="25">
        <v>42915</v>
      </c>
      <c r="G1999" s="61" t="s">
        <v>13</v>
      </c>
      <c r="H1999" s="9"/>
      <c r="I1999" s="8"/>
      <c r="J1999" s="8"/>
      <c r="K1999" s="8"/>
      <c r="L1999" s="9" t="s">
        <v>138</v>
      </c>
      <c r="M1999" s="8"/>
    </row>
    <row r="2000" spans="1:13">
      <c r="A2000" s="62" t="s">
        <v>2856</v>
      </c>
      <c r="B2000" s="58">
        <v>31293019844</v>
      </c>
      <c r="C2000" s="63"/>
      <c r="D2000" s="60"/>
      <c r="E2000" s="9">
        <v>573</v>
      </c>
      <c r="F2000" s="25">
        <v>43224</v>
      </c>
      <c r="G2000" s="61"/>
      <c r="H2000" s="9"/>
      <c r="I2000" s="8"/>
      <c r="J2000" s="8"/>
      <c r="K2000" s="8"/>
      <c r="L2000" s="8"/>
      <c r="M2000" s="8"/>
    </row>
    <row r="2001" spans="1:13">
      <c r="A2001" s="62" t="s">
        <v>2857</v>
      </c>
      <c r="B2001" s="58">
        <v>38402878806</v>
      </c>
      <c r="C2001" s="63" t="s">
        <v>2858</v>
      </c>
      <c r="D2001" s="60">
        <v>23700547862</v>
      </c>
      <c r="E2001" s="9">
        <v>262</v>
      </c>
      <c r="F2001" s="25">
        <v>43160</v>
      </c>
      <c r="G2001" s="9" t="s">
        <v>13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2859</v>
      </c>
      <c r="B2002" s="58">
        <v>25725590801</v>
      </c>
      <c r="C2002" s="63"/>
      <c r="D2002" s="60"/>
      <c r="E2002" s="9">
        <v>527</v>
      </c>
      <c r="F2002" s="25">
        <v>43210</v>
      </c>
      <c r="G2002" s="61"/>
      <c r="H2002" s="9"/>
      <c r="I2002" s="8"/>
      <c r="J2002" s="8"/>
      <c r="K2002" s="8"/>
      <c r="L2002" s="9">
        <v>528</v>
      </c>
      <c r="M2002" s="8"/>
    </row>
    <row r="2003" spans="1:13">
      <c r="A2003" s="62" t="s">
        <v>2860</v>
      </c>
      <c r="B2003" s="58">
        <v>26710966828</v>
      </c>
      <c r="C2003" s="63"/>
      <c r="D2003" s="60"/>
      <c r="E2003" s="9">
        <v>443</v>
      </c>
      <c r="F2003" s="25">
        <v>43188</v>
      </c>
      <c r="G2003" s="61"/>
      <c r="H2003" s="9"/>
      <c r="I2003" s="8"/>
      <c r="J2003" s="8"/>
      <c r="K2003" s="8"/>
      <c r="L2003" s="8"/>
      <c r="M2003" s="8"/>
    </row>
    <row r="2004" spans="1:13">
      <c r="A2004" s="62" t="s">
        <v>2861</v>
      </c>
      <c r="B2004" s="58">
        <v>16311478897</v>
      </c>
      <c r="C2004" s="68"/>
      <c r="D2004" s="60"/>
      <c r="E2004" s="9"/>
      <c r="F2004" s="25"/>
      <c r="G2004" s="61"/>
      <c r="H2004" s="9"/>
      <c r="I2004" s="8"/>
      <c r="J2004" s="8"/>
      <c r="K2004" s="8"/>
      <c r="L2004" s="8"/>
      <c r="M2004" s="8"/>
    </row>
    <row r="2005" spans="1:13">
      <c r="A2005" s="62" t="s">
        <v>2862</v>
      </c>
      <c r="B2005" s="58">
        <v>3573607616</v>
      </c>
      <c r="C2005" s="63"/>
      <c r="D2005" s="60"/>
      <c r="E2005" s="9"/>
      <c r="F2005" s="25"/>
      <c r="G2005" s="61"/>
      <c r="H2005" s="9"/>
      <c r="I2005" s="8"/>
      <c r="J2005" s="8"/>
      <c r="K2005" s="8"/>
      <c r="L2005" s="8"/>
      <c r="M2005" s="8"/>
    </row>
    <row r="2006" spans="1:13">
      <c r="A2006" s="27" t="s">
        <v>2863</v>
      </c>
      <c r="B2006" s="58">
        <v>27023833862</v>
      </c>
      <c r="C2006" s="27" t="s">
        <v>2864</v>
      </c>
      <c r="D2006" s="60">
        <v>9004345892</v>
      </c>
      <c r="E2006" s="9"/>
      <c r="F2006" s="25"/>
      <c r="G2006" s="61"/>
      <c r="H2006" s="9"/>
      <c r="I2006" s="8"/>
      <c r="J2006" s="8"/>
      <c r="K2006" s="8"/>
      <c r="L2006" s="8"/>
      <c r="M2006" s="8"/>
    </row>
    <row r="2007" spans="1:13">
      <c r="A2007" s="13" t="s">
        <v>2865</v>
      </c>
      <c r="B2007" s="58">
        <v>4028017840</v>
      </c>
      <c r="C2007" s="59"/>
      <c r="D2007" s="60"/>
      <c r="E2007" s="9"/>
      <c r="F2007" s="25"/>
      <c r="G2007" s="61"/>
      <c r="H2007" s="9"/>
      <c r="I2007" s="8"/>
      <c r="J2007" s="8"/>
      <c r="K2007" s="8"/>
      <c r="L2007" s="8"/>
      <c r="M2007" s="8"/>
    </row>
    <row r="2008" spans="1:13">
      <c r="A2008" s="15" t="s">
        <v>2866</v>
      </c>
      <c r="B2008" s="58">
        <v>5976463410</v>
      </c>
      <c r="C2008" s="63"/>
      <c r="D2008" s="60"/>
      <c r="E2008" s="9">
        <v>117</v>
      </c>
      <c r="F2008" s="25">
        <v>43117</v>
      </c>
      <c r="G2008" s="61" t="s">
        <v>13</v>
      </c>
      <c r="H2008" s="9"/>
      <c r="I2008" s="8"/>
      <c r="J2008" s="8"/>
      <c r="K2008" s="8"/>
      <c r="L2008" s="9" t="s">
        <v>170</v>
      </c>
      <c r="M2008" s="8"/>
    </row>
    <row r="2009" spans="1:13">
      <c r="A2009" s="62" t="s">
        <v>2867</v>
      </c>
      <c r="B2009" s="58">
        <v>38815800344</v>
      </c>
      <c r="C2009" s="63" t="s">
        <v>2868</v>
      </c>
      <c r="D2009" s="60">
        <v>39085252334</v>
      </c>
      <c r="E2009" s="9">
        <v>85</v>
      </c>
      <c r="F2009" s="25">
        <v>43109</v>
      </c>
      <c r="G2009" s="61" t="s">
        <v>13</v>
      </c>
      <c r="H2009" s="25">
        <v>43151</v>
      </c>
      <c r="I2009" s="8"/>
      <c r="J2009" s="8"/>
      <c r="K2009" s="8"/>
      <c r="L2009" s="8"/>
      <c r="M2009" s="8"/>
    </row>
    <row r="2010" spans="1:13">
      <c r="A2010" s="62" t="s">
        <v>2869</v>
      </c>
      <c r="B2010" s="58">
        <v>36154299826</v>
      </c>
      <c r="C2010" s="63" t="s">
        <v>2870</v>
      </c>
      <c r="D2010" s="60">
        <v>34489273843</v>
      </c>
      <c r="E2010" s="9">
        <v>1267</v>
      </c>
      <c r="F2010" s="25">
        <v>42998</v>
      </c>
      <c r="G2010" s="61" t="s">
        <v>20</v>
      </c>
      <c r="H2010" s="9"/>
      <c r="I2010" s="8"/>
      <c r="J2010" s="8"/>
      <c r="K2010" s="8"/>
      <c r="L2010" s="8"/>
      <c r="M2010" s="8"/>
    </row>
    <row r="2011" spans="1:13">
      <c r="A2011" s="15" t="s">
        <v>2871</v>
      </c>
      <c r="B2011" s="58">
        <v>26816969847</v>
      </c>
      <c r="C2011" s="63"/>
      <c r="D2011" s="60"/>
      <c r="E2011" s="9">
        <v>229</v>
      </c>
      <c r="F2011" s="25">
        <v>43151</v>
      </c>
      <c r="G2011" s="61" t="s">
        <v>13</v>
      </c>
      <c r="H2011" s="9"/>
      <c r="I2011" s="8"/>
      <c r="J2011" s="8"/>
      <c r="K2011" s="8"/>
      <c r="L2011" s="9">
        <v>232</v>
      </c>
      <c r="M2011" s="8"/>
    </row>
    <row r="2012" spans="1:13">
      <c r="A2012" s="27" t="s">
        <v>2872</v>
      </c>
      <c r="B2012" s="58"/>
      <c r="C2012" s="18" t="s">
        <v>129</v>
      </c>
      <c r="D2012" s="60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62" t="s">
        <v>2873</v>
      </c>
      <c r="B2013" s="58">
        <v>33410383883</v>
      </c>
      <c r="C2013" s="63"/>
      <c r="D2013" s="60"/>
      <c r="E2013" s="9">
        <v>573</v>
      </c>
      <c r="F2013" s="25">
        <v>43224</v>
      </c>
      <c r="G2013" s="61"/>
      <c r="H2013" s="9"/>
      <c r="I2013" s="8"/>
      <c r="J2013" s="8"/>
      <c r="K2013" s="8"/>
      <c r="L2013" s="8"/>
      <c r="M2013" s="8"/>
    </row>
    <row r="2014" spans="1:13">
      <c r="A2014" s="62" t="s">
        <v>2874</v>
      </c>
      <c r="B2014" s="58">
        <v>95376984400</v>
      </c>
      <c r="C2014" s="63"/>
      <c r="D2014" s="60"/>
      <c r="E2014" s="9">
        <v>292</v>
      </c>
      <c r="F2014" s="25">
        <v>43168</v>
      </c>
      <c r="G2014" s="9" t="s">
        <v>13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2875</v>
      </c>
      <c r="B2015" s="58">
        <v>16410857896</v>
      </c>
      <c r="C2015" s="63"/>
      <c r="D2015" s="60"/>
      <c r="E2015" s="9">
        <v>292</v>
      </c>
      <c r="F2015" s="25">
        <v>43168</v>
      </c>
      <c r="G2015" s="61" t="s">
        <v>13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2876</v>
      </c>
      <c r="B2016" s="58">
        <v>64174182434</v>
      </c>
      <c r="C2016" s="63" t="s">
        <v>2877</v>
      </c>
      <c r="D2016" s="60">
        <v>98105183587</v>
      </c>
      <c r="E2016" s="9">
        <v>262</v>
      </c>
      <c r="F2016" s="25">
        <v>43160</v>
      </c>
      <c r="G2016" s="61" t="s">
        <v>13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7" t="s">
        <v>2878</v>
      </c>
      <c r="B2017" s="58">
        <v>4148505485</v>
      </c>
      <c r="C2017" s="27" t="s">
        <v>2879</v>
      </c>
      <c r="D2017" s="60">
        <v>2651801984</v>
      </c>
      <c r="E2017" s="9"/>
      <c r="F2017" s="25"/>
      <c r="G2017" s="61"/>
      <c r="H2017" s="9"/>
      <c r="I2017" s="8"/>
      <c r="J2017" s="8"/>
      <c r="K2017" s="8"/>
      <c r="L2017" s="8"/>
      <c r="M2017" s="8"/>
    </row>
    <row r="2018" spans="1:13">
      <c r="A2018" s="63" t="s">
        <v>2880</v>
      </c>
      <c r="B2018" s="58">
        <v>39364828372</v>
      </c>
      <c r="C2018" s="63" t="s">
        <v>2881</v>
      </c>
      <c r="D2018" s="60">
        <v>35596979805</v>
      </c>
      <c r="E2018" s="9"/>
      <c r="F2018" s="25"/>
      <c r="G2018" s="61"/>
      <c r="H2018" s="9"/>
      <c r="I2018" s="8"/>
      <c r="J2018" s="8"/>
      <c r="K2018" s="8"/>
      <c r="L2018" s="8"/>
      <c r="M2018" s="8"/>
    </row>
    <row r="2019" spans="1:13">
      <c r="A2019" s="62" t="s">
        <v>2882</v>
      </c>
      <c r="B2019" s="58">
        <v>82046042468</v>
      </c>
      <c r="C2019" s="63" t="s">
        <v>2883</v>
      </c>
      <c r="D2019" s="60">
        <v>88251098491</v>
      </c>
      <c r="E2019" s="9">
        <v>85</v>
      </c>
      <c r="F2019" s="25">
        <v>43109</v>
      </c>
      <c r="G2019" s="61" t="s">
        <v>13</v>
      </c>
      <c r="H2019" s="25">
        <v>43151</v>
      </c>
      <c r="I2019" s="8"/>
      <c r="J2019" s="8"/>
      <c r="K2019" s="8"/>
      <c r="L2019" s="8"/>
      <c r="M2019" s="8"/>
    </row>
    <row r="2020" spans="1:13">
      <c r="A2020" s="62" t="s">
        <v>2884</v>
      </c>
      <c r="B2020" s="58">
        <v>36170102888</v>
      </c>
      <c r="C2020" s="63"/>
      <c r="D2020" s="60"/>
      <c r="E2020" s="9">
        <v>1106</v>
      </c>
      <c r="F2020" s="25">
        <v>42965</v>
      </c>
      <c r="G2020" s="61" t="s">
        <v>13</v>
      </c>
      <c r="H2020" s="9"/>
      <c r="I2020" s="8"/>
      <c r="J2020" s="8"/>
      <c r="K2020" s="8"/>
      <c r="L2020" s="8"/>
      <c r="M2020" s="8"/>
    </row>
    <row r="2021" spans="1:13">
      <c r="A2021" s="14" t="s">
        <v>2885</v>
      </c>
      <c r="B2021" s="58">
        <v>38574420506</v>
      </c>
      <c r="C2021" s="63"/>
      <c r="D2021" s="60"/>
      <c r="E2021" s="9">
        <v>1824</v>
      </c>
      <c r="F2021" s="25">
        <v>43091</v>
      </c>
      <c r="G2021" s="61" t="s">
        <v>13</v>
      </c>
      <c r="H2021" s="9"/>
      <c r="I2021" s="8"/>
      <c r="J2021" s="8"/>
      <c r="K2021" s="8"/>
      <c r="L2021" s="9">
        <v>1828</v>
      </c>
      <c r="M2021" s="8"/>
    </row>
    <row r="2022" spans="1:13">
      <c r="A2022" s="62" t="s">
        <v>2886</v>
      </c>
      <c r="B2022" s="58">
        <v>29652361801</v>
      </c>
      <c r="C2022" s="63"/>
      <c r="D2022" s="60"/>
      <c r="E2022" s="9">
        <v>1417</v>
      </c>
      <c r="F2022" s="25">
        <v>43017</v>
      </c>
      <c r="G2022" s="61" t="s">
        <v>13</v>
      </c>
      <c r="H2022" s="9"/>
      <c r="I2022" s="8"/>
      <c r="J2022" s="8"/>
      <c r="K2022" s="8"/>
      <c r="L2022" s="9" t="s">
        <v>253</v>
      </c>
      <c r="M2022" s="8"/>
    </row>
    <row r="2023" spans="1:13">
      <c r="A2023" s="63" t="s">
        <v>2887</v>
      </c>
      <c r="B2023" s="58">
        <v>37806851836</v>
      </c>
      <c r="C2023" s="63" t="s">
        <v>2888</v>
      </c>
      <c r="D2023" s="60">
        <v>29701722833</v>
      </c>
      <c r="E2023" s="9"/>
      <c r="F2023" s="25"/>
      <c r="G2023" s="61"/>
      <c r="H2023" s="9"/>
      <c r="I2023" s="8"/>
      <c r="J2023" s="8"/>
      <c r="K2023" s="8"/>
      <c r="L2023" s="8"/>
      <c r="M2023" s="8"/>
    </row>
    <row r="2024" spans="1:13">
      <c r="A2024" s="62" t="s">
        <v>2889</v>
      </c>
      <c r="B2024" s="58">
        <v>19720484810</v>
      </c>
      <c r="C2024" s="63"/>
      <c r="D2024" s="60"/>
      <c r="E2024" s="9"/>
      <c r="F2024" s="25"/>
      <c r="G2024" s="61"/>
      <c r="H2024" s="9"/>
      <c r="I2024" s="8"/>
      <c r="J2024" s="8"/>
      <c r="K2024" s="8"/>
      <c r="L2024" s="8"/>
      <c r="M2024" s="8"/>
    </row>
    <row r="2025" spans="1:13">
      <c r="A2025" s="38" t="s">
        <v>2890</v>
      </c>
      <c r="B2025" s="58">
        <v>11615732837</v>
      </c>
      <c r="C2025" s="63"/>
      <c r="D2025" s="60"/>
      <c r="E2025" s="9"/>
      <c r="F2025" s="25"/>
      <c r="G2025" s="61"/>
      <c r="H2025" s="9"/>
      <c r="I2025" s="8"/>
      <c r="J2025" s="8"/>
      <c r="K2025" s="8"/>
      <c r="L2025" s="8"/>
      <c r="M2025" s="8"/>
    </row>
    <row r="2026" spans="1:13">
      <c r="A2026" s="62" t="s">
        <v>2891</v>
      </c>
      <c r="B2026" s="58">
        <v>11299021883</v>
      </c>
      <c r="C2026" s="63"/>
      <c r="D2026" s="60"/>
      <c r="E2026" s="9"/>
      <c r="F2026" s="25"/>
      <c r="G2026" s="61"/>
      <c r="H2026" s="9"/>
      <c r="I2026" s="8"/>
      <c r="J2026" s="8"/>
      <c r="K2026" s="8"/>
      <c r="L2026" s="8"/>
      <c r="M2026" s="8"/>
    </row>
    <row r="2027" spans="1:13">
      <c r="A2027" s="62" t="s">
        <v>2892</v>
      </c>
      <c r="B2027" s="58">
        <v>27506021811</v>
      </c>
      <c r="C2027" s="63" t="s">
        <v>2893</v>
      </c>
      <c r="D2027" s="60">
        <v>13130281851</v>
      </c>
      <c r="E2027" s="9">
        <v>810</v>
      </c>
      <c r="F2027" s="25">
        <v>42915</v>
      </c>
      <c r="G2027" s="61" t="s">
        <v>13</v>
      </c>
      <c r="H2027" s="9"/>
      <c r="I2027" s="8"/>
      <c r="J2027" s="8"/>
      <c r="K2027" s="8"/>
      <c r="L2027" s="9" t="s">
        <v>138</v>
      </c>
      <c r="M2027" s="8"/>
    </row>
    <row r="2028" spans="1:13">
      <c r="A2028" s="15" t="s">
        <v>2894</v>
      </c>
      <c r="B2028" s="58">
        <v>30990738817</v>
      </c>
      <c r="C2028" s="63"/>
      <c r="D2028" s="60"/>
      <c r="E2028" s="9">
        <v>85</v>
      </c>
      <c r="F2028" s="25">
        <v>43109</v>
      </c>
      <c r="G2028" s="61" t="s">
        <v>13</v>
      </c>
      <c r="H2028" s="25">
        <v>43151</v>
      </c>
      <c r="I2028" s="8"/>
      <c r="J2028" s="8"/>
      <c r="K2028" s="8"/>
      <c r="L2028" s="8"/>
      <c r="M2028" s="8"/>
    </row>
    <row r="2029" spans="1:13">
      <c r="A2029" s="62" t="s">
        <v>2895</v>
      </c>
      <c r="B2029" s="58">
        <v>17098727806</v>
      </c>
      <c r="C2029" s="63"/>
      <c r="D2029" s="60"/>
      <c r="E2029" s="9">
        <v>1417</v>
      </c>
      <c r="F2029" s="25">
        <v>43017</v>
      </c>
      <c r="G2029" s="61" t="s">
        <v>13</v>
      </c>
      <c r="H2029" s="9"/>
      <c r="I2029" s="8"/>
      <c r="J2029" s="8"/>
      <c r="K2029" s="8"/>
      <c r="L2029" s="9" t="s">
        <v>253</v>
      </c>
      <c r="M2029" s="8"/>
    </row>
    <row r="2030" spans="1:13">
      <c r="A2030" s="15" t="s">
        <v>2896</v>
      </c>
      <c r="B2030" s="58">
        <v>660919346</v>
      </c>
      <c r="C2030" s="63" t="s">
        <v>2897</v>
      </c>
      <c r="D2030" s="60">
        <v>296516384</v>
      </c>
      <c r="E2030" s="9">
        <v>262</v>
      </c>
      <c r="F2030" s="25">
        <v>43160</v>
      </c>
      <c r="G2030" s="61" t="s">
        <v>20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62" t="s">
        <v>2898</v>
      </c>
      <c r="B2031" s="58">
        <v>15350321897</v>
      </c>
      <c r="C2031" s="63"/>
      <c r="D2031" s="60"/>
      <c r="E2031" s="9">
        <v>1824</v>
      </c>
      <c r="F2031" s="25">
        <v>43091</v>
      </c>
      <c r="G2031" s="61" t="s">
        <v>13</v>
      </c>
      <c r="H2031" s="9"/>
      <c r="I2031" s="8"/>
      <c r="J2031" s="8"/>
      <c r="K2031" s="8"/>
      <c r="L2031" s="9">
        <v>1828</v>
      </c>
      <c r="M2031" s="8"/>
    </row>
    <row r="2032" spans="1:13">
      <c r="A2032" s="63" t="s">
        <v>2899</v>
      </c>
      <c r="B2032" s="58">
        <v>55075746500</v>
      </c>
      <c r="C2032" s="63" t="s">
        <v>2900</v>
      </c>
      <c r="D2032" s="60">
        <v>13128009848</v>
      </c>
      <c r="E2032" s="9"/>
      <c r="F2032" s="25"/>
      <c r="G2032" s="61"/>
      <c r="H2032" s="9"/>
      <c r="I2032" s="8"/>
      <c r="J2032" s="8"/>
      <c r="K2032" s="8"/>
      <c r="L2032" s="8"/>
      <c r="M2032" s="8"/>
    </row>
    <row r="2033" spans="1:13">
      <c r="A2033" s="62" t="s">
        <v>2901</v>
      </c>
      <c r="B2033" s="58">
        <v>34549590807</v>
      </c>
      <c r="C2033" s="63" t="s">
        <v>2902</v>
      </c>
      <c r="D2033" s="60">
        <v>13581578808</v>
      </c>
      <c r="E2033" s="9"/>
      <c r="F2033" s="25"/>
      <c r="G2033" s="61"/>
      <c r="H2033" s="9"/>
      <c r="I2033" s="8"/>
      <c r="J2033" s="8"/>
      <c r="K2033" s="8"/>
      <c r="L2033" s="8"/>
      <c r="M2033" s="8"/>
    </row>
    <row r="2034" spans="1:13">
      <c r="A2034" s="27" t="s">
        <v>2903</v>
      </c>
      <c r="B2034" s="58"/>
      <c r="C2034" s="18" t="s">
        <v>129</v>
      </c>
      <c r="D2034" s="60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62" t="s">
        <v>2904</v>
      </c>
      <c r="B2035" s="58">
        <v>25439060880</v>
      </c>
      <c r="C2035" s="63"/>
      <c r="D2035" s="60"/>
      <c r="E2035" s="9"/>
      <c r="F2035" s="25"/>
      <c r="G2035" s="61"/>
      <c r="H2035" s="9"/>
      <c r="I2035" s="8"/>
      <c r="J2035" s="8"/>
      <c r="K2035" s="8"/>
      <c r="L2035" s="8"/>
      <c r="M2035" s="8"/>
    </row>
    <row r="2036" spans="1:13">
      <c r="A2036" s="15" t="s">
        <v>2905</v>
      </c>
      <c r="B2036" s="58">
        <v>41292199873</v>
      </c>
      <c r="C2036" s="63" t="s">
        <v>2906</v>
      </c>
      <c r="D2036" s="60">
        <v>788209361</v>
      </c>
      <c r="E2036" s="9">
        <v>485</v>
      </c>
      <c r="F2036" s="25">
        <v>43196</v>
      </c>
      <c r="G2036" s="61"/>
      <c r="H2036" s="9"/>
      <c r="I2036" s="8"/>
      <c r="J2036" s="8"/>
      <c r="K2036" s="8"/>
      <c r="L2036" s="9">
        <v>483</v>
      </c>
      <c r="M2036" s="8"/>
    </row>
    <row r="2037" spans="1:13">
      <c r="A2037" s="27" t="s">
        <v>2907</v>
      </c>
      <c r="B2037" s="58"/>
      <c r="C2037" s="27" t="s">
        <v>129</v>
      </c>
      <c r="D2037" s="60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2908</v>
      </c>
      <c r="B2038" s="58">
        <v>14000985809</v>
      </c>
      <c r="C2038" s="63"/>
      <c r="D2038" s="60"/>
      <c r="E2038" s="9">
        <v>485</v>
      </c>
      <c r="F2038" s="25">
        <v>43196</v>
      </c>
      <c r="G2038" s="61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2909</v>
      </c>
      <c r="B2039" s="58">
        <v>42318039860</v>
      </c>
      <c r="C2039" s="63" t="s">
        <v>2910</v>
      </c>
      <c r="D2039" s="60">
        <v>23059375801</v>
      </c>
      <c r="E2039" s="9">
        <v>85</v>
      </c>
      <c r="F2039" s="25">
        <v>43109</v>
      </c>
      <c r="G2039" s="61" t="s">
        <v>13</v>
      </c>
      <c r="H2039" s="25">
        <v>43151</v>
      </c>
      <c r="I2039" s="8"/>
      <c r="J2039" s="8"/>
      <c r="K2039" s="8"/>
      <c r="L2039" s="8"/>
      <c r="M2039" s="8"/>
    </row>
    <row r="2040" spans="1:13">
      <c r="A2040" s="62" t="s">
        <v>2911</v>
      </c>
      <c r="B2040" s="58">
        <v>63956250478</v>
      </c>
      <c r="C2040" s="63"/>
      <c r="D2040" s="60"/>
      <c r="E2040" s="9">
        <v>810</v>
      </c>
      <c r="F2040" s="25">
        <v>42915</v>
      </c>
      <c r="G2040" s="61" t="s">
        <v>13</v>
      </c>
      <c r="H2040" s="9"/>
      <c r="I2040" s="8"/>
      <c r="J2040" s="8"/>
      <c r="K2040" s="8"/>
      <c r="L2040" s="9" t="s">
        <v>138</v>
      </c>
      <c r="M2040" s="8"/>
    </row>
    <row r="2041" spans="1:13">
      <c r="A2041" s="62" t="s">
        <v>2912</v>
      </c>
      <c r="B2041" s="58">
        <v>2693234573</v>
      </c>
      <c r="C2041" s="62" t="s">
        <v>2913</v>
      </c>
      <c r="D2041" s="60">
        <v>36131987890</v>
      </c>
      <c r="E2041" s="9">
        <v>292</v>
      </c>
      <c r="F2041" s="25">
        <v>43168</v>
      </c>
      <c r="G2041" s="9" t="s">
        <v>13</v>
      </c>
      <c r="H2041" s="9"/>
      <c r="I2041" s="8"/>
      <c r="J2041" s="8"/>
      <c r="K2041" s="8"/>
      <c r="L2041" s="9">
        <v>318</v>
      </c>
      <c r="M2041" s="8"/>
    </row>
    <row r="2042" spans="1:13">
      <c r="A2042" s="63" t="s">
        <v>2914</v>
      </c>
      <c r="B2042" s="58">
        <v>19677621807</v>
      </c>
      <c r="C2042" s="63" t="s">
        <v>2915</v>
      </c>
      <c r="D2042" s="60">
        <v>57147752520</v>
      </c>
      <c r="E2042" s="9"/>
      <c r="F2042" s="25"/>
      <c r="G2042" s="61"/>
      <c r="H2042" s="9"/>
      <c r="I2042" s="8"/>
      <c r="J2042" s="8"/>
      <c r="K2042" s="8"/>
      <c r="L2042" s="8"/>
      <c r="M2042" s="8"/>
    </row>
    <row r="2043" spans="1:13">
      <c r="A2043" s="62" t="s">
        <v>2916</v>
      </c>
      <c r="B2043" s="58">
        <v>29638307854</v>
      </c>
      <c r="C2043" s="63"/>
      <c r="D2043" s="60"/>
      <c r="E2043" s="9">
        <v>1752</v>
      </c>
      <c r="F2043" s="25">
        <v>43051</v>
      </c>
      <c r="G2043" s="61" t="s">
        <v>13</v>
      </c>
      <c r="H2043" s="9"/>
      <c r="I2043" s="8"/>
      <c r="J2043" s="8"/>
      <c r="K2043" s="8"/>
      <c r="L2043" s="9">
        <v>1759</v>
      </c>
      <c r="M2043" s="8"/>
    </row>
    <row r="2044" spans="1:13">
      <c r="A2044" s="62" t="s">
        <v>2917</v>
      </c>
      <c r="B2044" s="58">
        <v>4439215807</v>
      </c>
      <c r="C2044" s="63"/>
      <c r="D2044" s="60"/>
      <c r="E2044" s="9"/>
      <c r="F2044" s="25"/>
      <c r="G2044" s="61"/>
      <c r="H2044" s="9"/>
      <c r="I2044" s="8"/>
      <c r="J2044" s="8"/>
      <c r="K2044" s="8"/>
      <c r="L2044" s="8"/>
      <c r="M2044" s="8"/>
    </row>
    <row r="2045" spans="1:13">
      <c r="A2045" s="62" t="s">
        <v>2918</v>
      </c>
      <c r="B2045" s="58">
        <v>11279019824</v>
      </c>
      <c r="C2045" s="63"/>
      <c r="D2045" s="60"/>
      <c r="E2045" s="9">
        <v>292</v>
      </c>
      <c r="F2045" s="25">
        <v>43168</v>
      </c>
      <c r="G2045" s="61" t="s">
        <v>13</v>
      </c>
      <c r="H2045" s="9"/>
      <c r="I2045" s="8"/>
      <c r="J2045" s="8"/>
      <c r="K2045" s="8"/>
      <c r="L2045" s="9">
        <v>318</v>
      </c>
      <c r="M2045" s="8"/>
    </row>
    <row r="2046" spans="1:13">
      <c r="A2046" s="63" t="s">
        <v>2919</v>
      </c>
      <c r="B2046" s="58">
        <v>22583603825</v>
      </c>
      <c r="C2046" s="63" t="s">
        <v>2920</v>
      </c>
      <c r="D2046" s="60">
        <v>4666893571</v>
      </c>
      <c r="E2046" s="9"/>
      <c r="F2046" s="25"/>
      <c r="G2046" s="61"/>
      <c r="H2046" s="9"/>
      <c r="I2046" s="8"/>
      <c r="J2046" s="8"/>
      <c r="K2046" s="8"/>
      <c r="L2046" s="8"/>
      <c r="M2046" s="8"/>
    </row>
    <row r="2047" spans="1:13">
      <c r="A2047" s="15" t="s">
        <v>2921</v>
      </c>
      <c r="B2047" s="58">
        <v>14858077861</v>
      </c>
      <c r="C2047" s="15" t="s">
        <v>2922</v>
      </c>
      <c r="D2047" s="60">
        <v>55994709468</v>
      </c>
      <c r="E2047" s="9"/>
      <c r="F2047" s="25"/>
      <c r="G2047" s="61"/>
      <c r="H2047" s="9"/>
      <c r="I2047" s="8"/>
      <c r="J2047" s="8"/>
      <c r="K2047" s="8"/>
      <c r="L2047" s="8"/>
      <c r="M2047" s="8"/>
    </row>
    <row r="2048" spans="1:13">
      <c r="A2048" s="62" t="s">
        <v>2923</v>
      </c>
      <c r="B2048" s="58">
        <v>32291860879</v>
      </c>
      <c r="C2048" s="27" t="s">
        <v>2924</v>
      </c>
      <c r="D2048" s="60">
        <v>6096567812</v>
      </c>
      <c r="E2048" s="9"/>
      <c r="F2048" s="25"/>
      <c r="G2048" s="61"/>
      <c r="H2048" s="9"/>
      <c r="I2048" s="8"/>
      <c r="J2048" s="8"/>
      <c r="K2048" s="8"/>
      <c r="L2048" s="8"/>
      <c r="M2048" s="8"/>
    </row>
    <row r="2049" spans="1:13">
      <c r="A2049" s="62" t="s">
        <v>2925</v>
      </c>
      <c r="B2049" s="58">
        <v>76396126320</v>
      </c>
      <c r="C2049" s="63" t="s">
        <v>2926</v>
      </c>
      <c r="D2049" s="60">
        <v>62133390510</v>
      </c>
      <c r="E2049" s="9">
        <v>1262</v>
      </c>
      <c r="F2049" s="25">
        <v>42997</v>
      </c>
      <c r="G2049" s="61" t="s">
        <v>13</v>
      </c>
      <c r="H2049" s="9"/>
      <c r="I2049" s="8"/>
      <c r="J2049" s="8"/>
      <c r="K2049" s="8"/>
      <c r="L2049" s="8"/>
      <c r="M2049" s="8"/>
    </row>
    <row r="2050" spans="1:13">
      <c r="A2050" s="14" t="s">
        <v>2927</v>
      </c>
      <c r="B2050" s="58">
        <v>34303186880</v>
      </c>
      <c r="C2050" s="63" t="s">
        <v>2928</v>
      </c>
      <c r="D2050" s="60">
        <v>39695431852</v>
      </c>
      <c r="E2050" s="9">
        <v>1570</v>
      </c>
      <c r="F2050" s="25">
        <v>43077</v>
      </c>
      <c r="G2050" s="61" t="s">
        <v>13</v>
      </c>
      <c r="H2050" s="9"/>
      <c r="I2050" s="8"/>
      <c r="J2050" s="8"/>
      <c r="K2050" s="8"/>
      <c r="L2050" s="8"/>
      <c r="M2050" s="8"/>
    </row>
    <row r="2051" spans="1:13">
      <c r="A2051" s="18" t="s">
        <v>2929</v>
      </c>
      <c r="B2051" s="58">
        <v>14331980880</v>
      </c>
      <c r="C2051" s="8" t="s">
        <v>2930</v>
      </c>
      <c r="D2051" s="60">
        <v>11762054809</v>
      </c>
      <c r="E2051" s="9"/>
      <c r="F2051" s="25"/>
      <c r="G2051" s="61"/>
      <c r="H2051" s="9"/>
      <c r="I2051" s="8"/>
      <c r="J2051" s="8"/>
      <c r="K2051" s="8"/>
      <c r="L2051" s="8"/>
      <c r="M2051" s="8"/>
    </row>
    <row r="2052" spans="1:13">
      <c r="A2052" s="19" t="s">
        <v>2929</v>
      </c>
      <c r="B2052" s="58">
        <v>14331980880</v>
      </c>
      <c r="C2052" s="68" t="s">
        <v>2930</v>
      </c>
      <c r="D2052" s="58">
        <v>11762054809</v>
      </c>
      <c r="E2052" s="9"/>
      <c r="F2052" s="25"/>
      <c r="G2052" s="61"/>
      <c r="H2052" s="9"/>
      <c r="I2052" s="8"/>
      <c r="J2052" s="8"/>
      <c r="K2052" s="8"/>
      <c r="L2052" s="8"/>
      <c r="M2052" s="8"/>
    </row>
    <row r="2053" spans="1:13">
      <c r="A2053" s="18" t="s">
        <v>2931</v>
      </c>
      <c r="B2053" s="58">
        <v>82007454491</v>
      </c>
      <c r="C2053" s="18"/>
      <c r="D2053" s="60"/>
      <c r="E2053" s="9"/>
      <c r="F2053" s="25"/>
      <c r="G2053" s="61"/>
      <c r="H2053" s="9"/>
      <c r="I2053" s="8"/>
      <c r="J2053" s="8"/>
      <c r="K2053" s="8"/>
      <c r="L2053" s="8"/>
      <c r="M2053" s="8"/>
    </row>
    <row r="2054" spans="1:13">
      <c r="A2054" s="27" t="s">
        <v>2932</v>
      </c>
      <c r="B2054" s="58"/>
      <c r="C2054" s="27" t="s">
        <v>2933</v>
      </c>
      <c r="D2054" s="60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62" t="s">
        <v>2934</v>
      </c>
      <c r="B2055" s="58">
        <v>31662836848</v>
      </c>
      <c r="C2055" s="63" t="s">
        <v>2935</v>
      </c>
      <c r="D2055" s="60">
        <v>12871784809</v>
      </c>
      <c r="E2055" s="9">
        <v>1570</v>
      </c>
      <c r="F2055" s="25">
        <v>43077</v>
      </c>
      <c r="G2055" s="61" t="s">
        <v>13</v>
      </c>
      <c r="H2055" s="9"/>
      <c r="I2055" s="8"/>
      <c r="J2055" s="8"/>
      <c r="K2055" s="8"/>
      <c r="L2055" s="8"/>
      <c r="M2055" s="8"/>
    </row>
    <row r="2056" spans="1:13">
      <c r="A2056" s="14" t="s">
        <v>2936</v>
      </c>
      <c r="B2056" s="58">
        <v>39000389372</v>
      </c>
      <c r="C2056" s="63" t="s">
        <v>2937</v>
      </c>
      <c r="D2056" s="60">
        <v>14683732858</v>
      </c>
      <c r="E2056" s="9">
        <v>1417</v>
      </c>
      <c r="F2056" s="25">
        <v>43017</v>
      </c>
      <c r="G2056" s="61" t="s">
        <v>13</v>
      </c>
      <c r="H2056" s="9"/>
      <c r="I2056" s="8"/>
      <c r="J2056" s="8"/>
      <c r="K2056" s="8"/>
      <c r="L2056" s="9" t="s">
        <v>253</v>
      </c>
      <c r="M2056" s="8"/>
    </row>
    <row r="2057" spans="1:13">
      <c r="A2057" s="18" t="s">
        <v>2938</v>
      </c>
      <c r="B2057" s="58">
        <v>10349044856</v>
      </c>
      <c r="C2057" s="18" t="s">
        <v>2209</v>
      </c>
      <c r="D2057" s="60">
        <v>31651998841</v>
      </c>
      <c r="E2057" s="9"/>
      <c r="F2057" s="25"/>
      <c r="G2057" s="61"/>
      <c r="H2057" s="9"/>
      <c r="I2057" s="8"/>
      <c r="J2057" s="8"/>
      <c r="K2057" s="8"/>
      <c r="L2057" s="8"/>
      <c r="M2057" s="8"/>
    </row>
    <row r="2058" spans="1:13">
      <c r="A2058" s="62" t="s">
        <v>2939</v>
      </c>
      <c r="B2058" s="58">
        <v>25058845873</v>
      </c>
      <c r="C2058" s="62" t="s">
        <v>2940</v>
      </c>
      <c r="D2058" s="60">
        <v>57070563868</v>
      </c>
      <c r="E2058" s="9"/>
      <c r="F2058" s="25"/>
      <c r="G2058" s="61"/>
      <c r="H2058" s="9"/>
      <c r="I2058" s="8"/>
      <c r="J2058" s="8"/>
      <c r="K2058" s="8"/>
      <c r="L2058" s="8"/>
      <c r="M2058" s="8"/>
    </row>
    <row r="2059" spans="1:13">
      <c r="A2059" s="27" t="s">
        <v>2941</v>
      </c>
      <c r="B2059" s="58"/>
      <c r="C2059" s="27" t="s">
        <v>2942</v>
      </c>
      <c r="D2059" s="60"/>
      <c r="E2059" s="9"/>
      <c r="F2059" s="25"/>
      <c r="G2059" s="61"/>
      <c r="H2059" s="9"/>
      <c r="I2059" s="8"/>
      <c r="J2059" s="8"/>
      <c r="K2059" s="8"/>
      <c r="L2059" s="8"/>
      <c r="M2059" s="8"/>
    </row>
    <row r="2060" spans="1:13">
      <c r="A2060" s="63" t="s">
        <v>2943</v>
      </c>
      <c r="B2060" s="58">
        <v>5088717431</v>
      </c>
      <c r="C2060" s="63" t="s">
        <v>2944</v>
      </c>
      <c r="D2060" s="60">
        <v>36792180874</v>
      </c>
      <c r="E2060" s="9">
        <v>563</v>
      </c>
      <c r="F2060" s="25">
        <v>43217</v>
      </c>
      <c r="G2060" s="61"/>
      <c r="H2060" s="9"/>
      <c r="I2060" s="8"/>
      <c r="J2060" s="8"/>
      <c r="K2060" s="8"/>
      <c r="L2060" s="9" t="s">
        <v>299</v>
      </c>
      <c r="M2060" s="8"/>
    </row>
    <row r="2061" spans="1:13">
      <c r="A2061" s="13" t="s">
        <v>2945</v>
      </c>
      <c r="B2061" s="58">
        <v>38167815862</v>
      </c>
      <c r="C2061" s="59"/>
      <c r="D2061" s="60"/>
      <c r="E2061" s="9">
        <v>1128</v>
      </c>
      <c r="F2061" s="25">
        <v>42972</v>
      </c>
      <c r="G2061" s="61" t="s">
        <v>13</v>
      </c>
      <c r="H2061" s="9"/>
      <c r="I2061" s="8"/>
      <c r="J2061" s="8"/>
      <c r="K2061" s="8"/>
      <c r="L2061" s="8"/>
      <c r="M2061" s="8"/>
    </row>
    <row r="2062" spans="1:13">
      <c r="A2062" s="62" t="s">
        <v>2946</v>
      </c>
      <c r="B2062" s="58">
        <v>11265529418</v>
      </c>
      <c r="C2062" s="63"/>
      <c r="D2062" s="60"/>
      <c r="E2062" s="9">
        <v>485</v>
      </c>
      <c r="F2062" s="25">
        <v>43196</v>
      </c>
      <c r="G2062" s="61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2947</v>
      </c>
      <c r="B2063" s="58">
        <v>33517044881</v>
      </c>
      <c r="C2063" s="63" t="s">
        <v>2948</v>
      </c>
      <c r="D2063" s="60">
        <v>28076571847</v>
      </c>
      <c r="E2063" s="9">
        <v>85</v>
      </c>
      <c r="F2063" s="25">
        <v>43109</v>
      </c>
      <c r="G2063" s="84" t="s">
        <v>20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2949</v>
      </c>
      <c r="B2064" s="58">
        <v>28067036896</v>
      </c>
      <c r="C2064" s="63"/>
      <c r="D2064" s="60"/>
      <c r="E2064" s="9">
        <v>1350</v>
      </c>
      <c r="F2064" s="25">
        <v>43006</v>
      </c>
      <c r="G2064" s="61" t="s">
        <v>13</v>
      </c>
      <c r="H2064" s="9"/>
      <c r="I2064" s="8"/>
      <c r="J2064" s="8"/>
      <c r="K2064" s="8"/>
      <c r="L2064" s="8"/>
      <c r="M2064" s="8"/>
    </row>
    <row r="2065" spans="1:13">
      <c r="A2065" s="62" t="s">
        <v>2950</v>
      </c>
      <c r="B2065" s="58">
        <v>3754865340</v>
      </c>
      <c r="C2065" s="63"/>
      <c r="D2065" s="60"/>
      <c r="E2065" s="9"/>
      <c r="F2065" s="25"/>
      <c r="G2065" s="61"/>
      <c r="H2065" s="9"/>
      <c r="I2065" s="8"/>
      <c r="J2065" s="8"/>
      <c r="K2065" s="8"/>
      <c r="L2065" s="8"/>
      <c r="M2065" s="8"/>
    </row>
    <row r="2066" spans="1:13">
      <c r="A2066" s="62" t="s">
        <v>2951</v>
      </c>
      <c r="B2066" s="58">
        <v>25165265803</v>
      </c>
      <c r="C2066" s="63"/>
      <c r="D2066" s="60"/>
      <c r="E2066" s="9">
        <v>1555</v>
      </c>
      <c r="F2066" s="25">
        <v>43049</v>
      </c>
      <c r="G2066" s="61" t="s">
        <v>13</v>
      </c>
      <c r="H2066" s="9"/>
      <c r="I2066" s="8"/>
      <c r="J2066" s="8"/>
      <c r="K2066" s="8"/>
      <c r="L2066" s="9" t="s">
        <v>398</v>
      </c>
      <c r="M2066" s="8"/>
    </row>
    <row r="2067" spans="1:13">
      <c r="A2067" s="62" t="s">
        <v>2952</v>
      </c>
      <c r="B2067" s="58">
        <v>16488724843</v>
      </c>
      <c r="C2067" s="64" t="s">
        <v>2953</v>
      </c>
      <c r="D2067" s="85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7" t="s">
        <v>2954</v>
      </c>
      <c r="B2068" s="58">
        <v>22230898876</v>
      </c>
      <c r="C2068" s="18" t="s">
        <v>129</v>
      </c>
      <c r="D2068" s="60"/>
      <c r="E2068" s="9"/>
      <c r="F2068" s="25"/>
      <c r="G2068" s="61"/>
      <c r="H2068" s="9"/>
      <c r="I2068" s="8"/>
      <c r="J2068" s="8"/>
      <c r="K2068" s="8"/>
      <c r="L2068" s="8"/>
      <c r="M2068" s="8"/>
    </row>
    <row r="2069" spans="1:13">
      <c r="A2069" s="27" t="s">
        <v>2955</v>
      </c>
      <c r="B2069" s="58">
        <v>1218219866</v>
      </c>
      <c r="C2069" s="18" t="s">
        <v>129</v>
      </c>
      <c r="D2069" s="60"/>
      <c r="E2069" s="9"/>
      <c r="F2069" s="25"/>
      <c r="G2069" s="61"/>
      <c r="H2069" s="9"/>
      <c r="I2069" s="8"/>
      <c r="J2069" s="8"/>
      <c r="K2069" s="8"/>
      <c r="L2069" s="8"/>
      <c r="M2069" s="8"/>
    </row>
    <row r="2070" spans="1:13">
      <c r="A2070" s="62" t="s">
        <v>2956</v>
      </c>
      <c r="B2070" s="58">
        <v>75696312772</v>
      </c>
      <c r="C2070" s="68" t="s">
        <v>2957</v>
      </c>
      <c r="D2070" s="60">
        <v>4139604808</v>
      </c>
      <c r="E2070" s="9"/>
      <c r="F2070" s="25"/>
      <c r="G2070" s="61"/>
      <c r="H2070" s="9"/>
      <c r="I2070" s="8"/>
      <c r="J2070" s="8"/>
      <c r="K2070" s="8"/>
      <c r="L2070" s="8"/>
      <c r="M2070" s="8"/>
    </row>
    <row r="2071" spans="1:13">
      <c r="A2071" s="27" t="s">
        <v>2958</v>
      </c>
      <c r="B2071" s="58">
        <v>12772099873</v>
      </c>
      <c r="C2071" s="27" t="s">
        <v>2959</v>
      </c>
      <c r="D2071" s="60">
        <v>2256900800</v>
      </c>
      <c r="E2071" s="9"/>
      <c r="F2071" s="25"/>
      <c r="G2071" s="61"/>
      <c r="H2071" s="9"/>
      <c r="I2071" s="8"/>
      <c r="J2071" s="8"/>
      <c r="K2071" s="8"/>
      <c r="L2071" s="8"/>
      <c r="M2071" s="8"/>
    </row>
    <row r="2072" spans="1:13">
      <c r="A2072" s="62" t="s">
        <v>2960</v>
      </c>
      <c r="B2072" s="58">
        <v>8241964811</v>
      </c>
      <c r="C2072" s="68"/>
      <c r="D2072" s="60"/>
      <c r="E2072" s="9">
        <v>563</v>
      </c>
      <c r="F2072" s="25">
        <v>43217</v>
      </c>
      <c r="G2072" s="61"/>
      <c r="H2072" s="9"/>
      <c r="I2072" s="8"/>
      <c r="J2072" s="8"/>
      <c r="K2072" s="8"/>
      <c r="L2072" s="9" t="s">
        <v>299</v>
      </c>
      <c r="M2072" s="8"/>
    </row>
    <row r="2073" spans="1:13">
      <c r="A2073" s="18" t="s">
        <v>417</v>
      </c>
      <c r="B2073" s="58">
        <v>14633138860</v>
      </c>
      <c r="C2073" s="18"/>
      <c r="D2073" s="60"/>
      <c r="E2073" s="9"/>
      <c r="F2073" s="25"/>
      <c r="G2073" s="61"/>
      <c r="H2073" s="9"/>
      <c r="I2073" s="8"/>
      <c r="J2073" s="8"/>
      <c r="K2073" s="8"/>
      <c r="L2073" s="8"/>
      <c r="M2073" s="8"/>
    </row>
    <row r="2074" spans="1:13">
      <c r="A2074" s="62" t="s">
        <v>417</v>
      </c>
      <c r="B2074" s="58">
        <v>40312801491</v>
      </c>
      <c r="C2074" s="63" t="s">
        <v>2961</v>
      </c>
      <c r="D2074" s="60">
        <v>36270235823</v>
      </c>
      <c r="E2074" s="9">
        <v>810</v>
      </c>
      <c r="F2074" s="25">
        <v>42915</v>
      </c>
      <c r="G2074" s="61" t="s">
        <v>13</v>
      </c>
      <c r="H2074" s="9"/>
      <c r="I2074" s="8"/>
      <c r="J2074" s="8"/>
      <c r="K2074" s="8"/>
      <c r="L2074" s="9" t="s">
        <v>138</v>
      </c>
      <c r="M2074" s="8"/>
    </row>
    <row r="2075" spans="1:13">
      <c r="A2075" s="62" t="s">
        <v>417</v>
      </c>
      <c r="B2075" s="58">
        <v>13016641895</v>
      </c>
      <c r="C2075" s="63" t="s">
        <v>2962</v>
      </c>
      <c r="D2075" s="60">
        <v>2681565731</v>
      </c>
      <c r="E2075" s="9">
        <v>810</v>
      </c>
      <c r="F2075" s="25">
        <v>42915</v>
      </c>
      <c r="G2075" s="61" t="s">
        <v>13</v>
      </c>
      <c r="H2075" s="9"/>
      <c r="I2075" s="8"/>
      <c r="J2075" s="8"/>
      <c r="K2075" s="8"/>
      <c r="L2075" s="9" t="s">
        <v>138</v>
      </c>
      <c r="M2075" s="8"/>
    </row>
    <row r="2076" spans="1:13">
      <c r="A2076" s="62" t="s">
        <v>2963</v>
      </c>
      <c r="B2076" s="58">
        <v>14688713827</v>
      </c>
      <c r="C2076" s="63"/>
      <c r="D2076" s="60"/>
      <c r="E2076" s="9"/>
      <c r="F2076" s="25"/>
      <c r="G2076" s="61"/>
      <c r="H2076" s="9"/>
      <c r="I2076" s="8"/>
      <c r="J2076" s="8"/>
      <c r="K2076" s="8"/>
      <c r="L2076" s="8"/>
      <c r="M2076" s="8"/>
    </row>
    <row r="2077" spans="1:13">
      <c r="A2077" s="62" t="s">
        <v>2964</v>
      </c>
      <c r="B2077" s="58">
        <v>18472653838</v>
      </c>
      <c r="C2077" s="63" t="s">
        <v>2965</v>
      </c>
      <c r="D2077" s="60">
        <v>41070391883</v>
      </c>
      <c r="E2077" s="9"/>
      <c r="F2077" s="25"/>
      <c r="G2077" s="61"/>
      <c r="H2077" s="9"/>
      <c r="I2077" s="8"/>
      <c r="J2077" s="8"/>
      <c r="K2077" s="8"/>
      <c r="L2077" s="8"/>
      <c r="M2077" s="8"/>
    </row>
    <row r="2078" spans="1:13">
      <c r="A2078" s="27" t="s">
        <v>2966</v>
      </c>
      <c r="B2078" s="58"/>
      <c r="C2078" s="18" t="s">
        <v>129</v>
      </c>
      <c r="D2078" s="60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62" t="s">
        <v>2967</v>
      </c>
      <c r="B2079" s="58">
        <v>21531362885</v>
      </c>
      <c r="C2079" s="63" t="s">
        <v>2968</v>
      </c>
      <c r="D2079" s="60">
        <v>27454333850</v>
      </c>
      <c r="E2079" s="9">
        <v>117</v>
      </c>
      <c r="F2079" s="25">
        <v>43117</v>
      </c>
      <c r="G2079" s="61" t="s">
        <v>13</v>
      </c>
      <c r="H2079" s="9"/>
      <c r="I2079" s="8"/>
      <c r="J2079" s="8"/>
      <c r="K2079" s="8"/>
      <c r="L2079" s="9" t="s">
        <v>170</v>
      </c>
      <c r="M2079" s="8"/>
    </row>
    <row r="2080" spans="1:13">
      <c r="A2080" s="13" t="s">
        <v>2967</v>
      </c>
      <c r="B2080" s="58">
        <v>35537854899</v>
      </c>
      <c r="C2080" s="63" t="s">
        <v>2969</v>
      </c>
      <c r="D2080" s="60">
        <v>35365081897</v>
      </c>
      <c r="E2080" s="9">
        <v>1128</v>
      </c>
      <c r="F2080" s="25">
        <v>42972</v>
      </c>
      <c r="G2080" s="61" t="s">
        <v>13</v>
      </c>
      <c r="H2080" s="9"/>
      <c r="I2080" s="8"/>
      <c r="J2080" s="8"/>
      <c r="K2080" s="8"/>
      <c r="L2080" s="8"/>
      <c r="M2080" s="8"/>
    </row>
    <row r="2081" spans="1:13">
      <c r="A2081" s="27" t="s">
        <v>2970</v>
      </c>
      <c r="B2081" s="58"/>
      <c r="C2081" s="27" t="s">
        <v>2971</v>
      </c>
      <c r="D2081" s="60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2972</v>
      </c>
      <c r="B2082" s="58">
        <v>2234021413</v>
      </c>
      <c r="C2082" s="63"/>
      <c r="D2082" s="60"/>
      <c r="E2082" s="9">
        <v>85</v>
      </c>
      <c r="F2082" s="25">
        <v>43109</v>
      </c>
      <c r="G2082" s="61" t="s">
        <v>13</v>
      </c>
      <c r="H2082" s="25">
        <v>43151</v>
      </c>
      <c r="I2082" s="8"/>
      <c r="J2082" s="8"/>
      <c r="K2082" s="8"/>
      <c r="L2082" s="8"/>
      <c r="M2082" s="8"/>
    </row>
    <row r="2083" spans="1:13">
      <c r="A2083" s="62" t="s">
        <v>2973</v>
      </c>
      <c r="B2083" s="58">
        <v>35483702840</v>
      </c>
      <c r="C2083" s="63" t="s">
        <v>2974</v>
      </c>
      <c r="D2083" s="60">
        <v>43100368487</v>
      </c>
      <c r="E2083" s="9"/>
      <c r="F2083" s="25"/>
      <c r="G2083" s="61"/>
      <c r="H2083" s="9"/>
      <c r="I2083" s="8"/>
      <c r="J2083" s="8"/>
      <c r="K2083" s="8"/>
      <c r="L2083" s="8"/>
      <c r="M2083" s="8"/>
    </row>
    <row r="2084" spans="1:13">
      <c r="A2084" s="64" t="s">
        <v>2975</v>
      </c>
      <c r="B2084" s="58">
        <v>13143080841</v>
      </c>
      <c r="C2084" s="63"/>
      <c r="D2084" s="60"/>
      <c r="E2084" s="9">
        <v>292</v>
      </c>
      <c r="F2084" s="25">
        <v>43168</v>
      </c>
      <c r="G2084" s="9" t="s">
        <v>13</v>
      </c>
      <c r="H2084" s="9"/>
      <c r="I2084" s="8"/>
      <c r="J2084" s="8"/>
      <c r="K2084" s="8"/>
      <c r="L2084" s="9">
        <v>318</v>
      </c>
      <c r="M2084" s="8"/>
    </row>
    <row r="2085" spans="1:13">
      <c r="A2085" s="62" t="s">
        <v>2976</v>
      </c>
      <c r="B2085" s="58">
        <v>38434367890</v>
      </c>
      <c r="C2085" s="68"/>
      <c r="D2085" s="60"/>
      <c r="E2085" s="9">
        <v>563</v>
      </c>
      <c r="F2085" s="25">
        <v>43217</v>
      </c>
      <c r="G2085" s="61"/>
      <c r="H2085" s="9"/>
      <c r="I2085" s="8"/>
      <c r="J2085" s="8"/>
      <c r="K2085" s="8"/>
      <c r="L2085" s="9" t="s">
        <v>299</v>
      </c>
      <c r="M2085" s="8"/>
    </row>
    <row r="2086" spans="1:13">
      <c r="A2086" s="63" t="s">
        <v>2977</v>
      </c>
      <c r="B2086" s="58">
        <v>93387016468</v>
      </c>
      <c r="C2086" s="63"/>
      <c r="D2086" s="60"/>
      <c r="E2086" s="9"/>
      <c r="F2086" s="25"/>
      <c r="G2086" s="61"/>
      <c r="H2086" s="9"/>
      <c r="I2086" s="8"/>
      <c r="J2086" s="8"/>
      <c r="K2086" s="8"/>
      <c r="L2086" s="8"/>
      <c r="M2086" s="8"/>
    </row>
    <row r="2087" spans="1:13">
      <c r="A2087" s="18" t="s">
        <v>2978</v>
      </c>
      <c r="B2087" s="58">
        <v>3322258440</v>
      </c>
      <c r="C2087" s="18" t="s">
        <v>2979</v>
      </c>
      <c r="D2087" s="60">
        <v>606629564</v>
      </c>
      <c r="E2087" s="9"/>
      <c r="F2087" s="25"/>
      <c r="G2087" s="61"/>
      <c r="H2087" s="9"/>
      <c r="I2087" s="8"/>
      <c r="J2087" s="8"/>
      <c r="K2087" s="8"/>
      <c r="L2087" s="8"/>
      <c r="M2087" s="8"/>
    </row>
    <row r="2088" spans="1:13">
      <c r="A2088" s="63" t="s">
        <v>2980</v>
      </c>
      <c r="B2088" s="58">
        <v>26418574800</v>
      </c>
      <c r="C2088" s="63"/>
      <c r="D2088" s="60"/>
      <c r="E2088" s="9"/>
      <c r="F2088" s="25"/>
      <c r="G2088" s="61"/>
      <c r="H2088" s="9"/>
      <c r="I2088" s="8"/>
      <c r="J2088" s="8"/>
      <c r="K2088" s="8"/>
      <c r="L2088" s="8"/>
      <c r="M2088" s="8"/>
    </row>
    <row r="2089" spans="1:13">
      <c r="A2089" s="27" t="s">
        <v>2981</v>
      </c>
      <c r="B2089" s="58"/>
      <c r="C2089" s="18" t="s">
        <v>129</v>
      </c>
      <c r="D2089" s="60"/>
      <c r="E2089" s="9"/>
      <c r="F2089" s="25"/>
      <c r="G2089" s="61"/>
      <c r="H2089" s="9"/>
      <c r="I2089" s="8"/>
      <c r="J2089" s="8"/>
      <c r="K2089" s="8"/>
      <c r="L2089" s="8"/>
      <c r="M2089" s="8"/>
    </row>
    <row r="2090" spans="1:13">
      <c r="A2090" s="62" t="s">
        <v>2982</v>
      </c>
      <c r="B2090" s="58">
        <v>25564758897</v>
      </c>
      <c r="C2090" s="63" t="s">
        <v>2983</v>
      </c>
      <c r="D2090" s="60">
        <v>72365617468</v>
      </c>
      <c r="E2090" s="9">
        <v>262</v>
      </c>
      <c r="F2090" s="25">
        <v>43160</v>
      </c>
      <c r="G2090" s="61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62" t="s">
        <v>2984</v>
      </c>
      <c r="B2091" s="58">
        <v>9722276875</v>
      </c>
      <c r="C2091" s="63" t="s">
        <v>2985</v>
      </c>
      <c r="D2091" s="60">
        <v>7777516825</v>
      </c>
      <c r="E2091" s="9">
        <v>810</v>
      </c>
      <c r="F2091" s="25">
        <v>42915</v>
      </c>
      <c r="G2091" s="61" t="s">
        <v>13</v>
      </c>
      <c r="H2091" s="9"/>
      <c r="I2091" s="8"/>
      <c r="J2091" s="8"/>
      <c r="K2091" s="8"/>
      <c r="L2091" s="9" t="s">
        <v>138</v>
      </c>
      <c r="M2091" s="8"/>
    </row>
    <row r="2092" spans="1:13">
      <c r="A2092" s="62" t="s">
        <v>2986</v>
      </c>
      <c r="B2092" s="58">
        <v>34579849809</v>
      </c>
      <c r="C2092" s="63"/>
      <c r="D2092" s="60"/>
      <c r="E2092" s="9"/>
      <c r="F2092" s="25"/>
      <c r="G2092" s="61"/>
      <c r="H2092" s="9"/>
      <c r="I2092" s="8"/>
      <c r="J2092" s="8"/>
      <c r="K2092" s="8"/>
      <c r="L2092" s="8"/>
      <c r="M2092" s="8"/>
    </row>
    <row r="2093" spans="1:13">
      <c r="A2093" s="13" t="s">
        <v>2987</v>
      </c>
      <c r="B2093" s="58">
        <v>27192176893</v>
      </c>
      <c r="C2093" s="59" t="s">
        <v>2988</v>
      </c>
      <c r="D2093" s="60">
        <v>8367664825</v>
      </c>
      <c r="E2093" s="9">
        <v>608</v>
      </c>
      <c r="F2093" s="25">
        <v>43012</v>
      </c>
      <c r="G2093" s="61" t="s">
        <v>13</v>
      </c>
      <c r="H2093" s="9"/>
      <c r="I2093" s="8"/>
      <c r="J2093" s="8"/>
      <c r="K2093" s="8"/>
      <c r="L2093" s="8"/>
      <c r="M2093" s="8"/>
    </row>
    <row r="2094" spans="1:13">
      <c r="A2094" s="18" t="s">
        <v>2989</v>
      </c>
      <c r="B2094" s="58">
        <v>16514255825</v>
      </c>
      <c r="C2094" s="18" t="s">
        <v>2990</v>
      </c>
      <c r="D2094" s="60">
        <v>6568302805</v>
      </c>
      <c r="E2094" s="9"/>
      <c r="F2094" s="25"/>
      <c r="G2094" s="61"/>
      <c r="H2094" s="9"/>
      <c r="I2094" s="8"/>
      <c r="J2094" s="8"/>
      <c r="K2094" s="8"/>
      <c r="L2094" s="8"/>
      <c r="M2094" s="8"/>
    </row>
    <row r="2095" spans="1:13">
      <c r="A2095" s="64" t="s">
        <v>2991</v>
      </c>
      <c r="B2095" s="58">
        <v>4809644324</v>
      </c>
      <c r="C2095" s="63" t="s">
        <v>2992</v>
      </c>
      <c r="D2095" s="60">
        <v>31827963808</v>
      </c>
      <c r="E2095" s="9">
        <v>1214</v>
      </c>
      <c r="F2095" s="25">
        <v>42989</v>
      </c>
      <c r="G2095" s="61" t="s">
        <v>13</v>
      </c>
      <c r="H2095" s="9"/>
      <c r="I2095" s="8"/>
      <c r="J2095" s="8"/>
      <c r="K2095" s="8"/>
      <c r="L2095" s="8"/>
      <c r="M2095" s="8"/>
    </row>
    <row r="2096" spans="1:13">
      <c r="A2096" s="62" t="s">
        <v>2993</v>
      </c>
      <c r="B2096" s="58">
        <v>90638883504</v>
      </c>
      <c r="C2096" s="63"/>
      <c r="D2096" s="60"/>
      <c r="E2096" s="9">
        <v>262</v>
      </c>
      <c r="F2096" s="25">
        <v>43160</v>
      </c>
      <c r="G2096" s="61" t="s">
        <v>13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64" t="s">
        <v>2994</v>
      </c>
      <c r="B2097" s="58">
        <v>11894918428</v>
      </c>
      <c r="C2097" s="63" t="s">
        <v>2995</v>
      </c>
      <c r="D2097" s="60">
        <v>37623185810</v>
      </c>
      <c r="E2097" s="9">
        <v>810</v>
      </c>
      <c r="F2097" s="25">
        <v>42915</v>
      </c>
      <c r="G2097" s="61" t="s">
        <v>13</v>
      </c>
      <c r="H2097" s="9"/>
      <c r="I2097" s="8"/>
      <c r="J2097" s="8"/>
      <c r="K2097" s="8"/>
      <c r="L2097" s="9" t="s">
        <v>138</v>
      </c>
      <c r="M2097" s="8"/>
    </row>
    <row r="2098" spans="1:13">
      <c r="A2098" s="15" t="s">
        <v>2996</v>
      </c>
      <c r="B2098" s="58">
        <v>70146081420</v>
      </c>
      <c r="C2098" s="63"/>
      <c r="D2098" s="60"/>
      <c r="E2098" s="9">
        <v>423</v>
      </c>
      <c r="F2098" s="25">
        <v>43182</v>
      </c>
      <c r="G2098" s="61" t="s">
        <v>13</v>
      </c>
      <c r="H2098" s="9"/>
      <c r="I2098" s="8"/>
      <c r="J2098" s="8"/>
      <c r="K2098" s="8"/>
      <c r="L2098" s="8"/>
      <c r="M2098" s="8"/>
    </row>
    <row r="2099" spans="1:13">
      <c r="A2099" s="63" t="s">
        <v>2997</v>
      </c>
      <c r="B2099" s="58">
        <v>14774907871</v>
      </c>
      <c r="C2099" s="63"/>
      <c r="D2099" s="60"/>
      <c r="E2099" s="9"/>
      <c r="F2099" s="25"/>
      <c r="G2099" s="61"/>
      <c r="H2099" s="9"/>
      <c r="I2099" s="8"/>
      <c r="J2099" s="8"/>
      <c r="K2099" s="8"/>
      <c r="L2099" s="8"/>
      <c r="M2099" s="8"/>
    </row>
    <row r="2100" spans="1:13">
      <c r="A2100" s="62" t="s">
        <v>2998</v>
      </c>
      <c r="B2100" s="58">
        <v>11161101802</v>
      </c>
      <c r="C2100" s="68"/>
      <c r="D2100" s="60"/>
      <c r="E2100" s="9">
        <v>563</v>
      </c>
      <c r="F2100" s="25">
        <v>43217</v>
      </c>
      <c r="G2100" s="61"/>
      <c r="H2100" s="9"/>
      <c r="I2100" s="8"/>
      <c r="J2100" s="8"/>
      <c r="K2100" s="8"/>
      <c r="L2100" s="9" t="s">
        <v>299</v>
      </c>
      <c r="M2100" s="8"/>
    </row>
    <row r="2101" spans="1:13">
      <c r="A2101" s="15" t="s">
        <v>2999</v>
      </c>
      <c r="B2101" s="58">
        <v>15311115807</v>
      </c>
      <c r="C2101" s="63"/>
      <c r="D2101" s="60"/>
      <c r="E2101" s="9"/>
      <c r="F2101" s="25"/>
      <c r="G2101" s="61"/>
      <c r="H2101" s="9"/>
      <c r="I2101" s="8"/>
      <c r="J2101" s="8"/>
      <c r="K2101" s="8"/>
      <c r="L2101" s="8"/>
      <c r="M2101" s="8"/>
    </row>
    <row r="2102" spans="1:13">
      <c r="A2102" s="63" t="s">
        <v>3000</v>
      </c>
      <c r="B2102" s="58">
        <v>29167389830</v>
      </c>
      <c r="C2102" s="63"/>
      <c r="D2102" s="60"/>
      <c r="E2102" s="9">
        <v>292</v>
      </c>
      <c r="F2102" s="25">
        <v>43168</v>
      </c>
      <c r="G2102" s="9" t="s">
        <v>13</v>
      </c>
      <c r="H2102" s="9"/>
      <c r="I2102" s="8"/>
      <c r="J2102" s="8"/>
      <c r="K2102" s="8"/>
      <c r="L2102" s="9">
        <v>318</v>
      </c>
      <c r="M2102" s="8"/>
    </row>
    <row r="2103" spans="1:13">
      <c r="A2103" s="27" t="s">
        <v>3001</v>
      </c>
      <c r="B2103" s="58"/>
      <c r="C2103" s="27" t="s">
        <v>129</v>
      </c>
      <c r="D2103" s="60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3002</v>
      </c>
      <c r="B2104" s="58">
        <v>4241745377</v>
      </c>
      <c r="C2104" s="63" t="s">
        <v>3003</v>
      </c>
      <c r="D2104" s="60">
        <v>4417028303</v>
      </c>
      <c r="E2104" s="9">
        <v>85</v>
      </c>
      <c r="F2104" s="25">
        <v>43109</v>
      </c>
      <c r="G2104" s="61" t="s">
        <v>13</v>
      </c>
      <c r="H2104" s="25">
        <v>43151</v>
      </c>
      <c r="I2104" s="8"/>
      <c r="J2104" s="8"/>
      <c r="K2104" s="8"/>
      <c r="L2104" s="8"/>
      <c r="M2104" s="8"/>
    </row>
    <row r="2105" spans="1:13">
      <c r="A2105" s="27" t="s">
        <v>3004</v>
      </c>
      <c r="B2105" s="58"/>
      <c r="C2105" s="27" t="s">
        <v>3005</v>
      </c>
      <c r="D2105" s="60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3006</v>
      </c>
      <c r="B2106" s="58">
        <v>14906913830</v>
      </c>
      <c r="C2106" s="59"/>
      <c r="D2106" s="60"/>
      <c r="E2106" s="9">
        <v>1128</v>
      </c>
      <c r="F2106" s="25">
        <v>42972</v>
      </c>
      <c r="G2106" s="61" t="s">
        <v>13</v>
      </c>
      <c r="H2106" s="9"/>
      <c r="I2106" s="8"/>
      <c r="J2106" s="8"/>
      <c r="K2106" s="8"/>
      <c r="L2106" s="8"/>
      <c r="M2106" s="8"/>
    </row>
    <row r="2107" spans="1:13">
      <c r="A2107" s="62" t="s">
        <v>3007</v>
      </c>
      <c r="B2107" s="58">
        <v>2182682708</v>
      </c>
      <c r="C2107" s="63" t="s">
        <v>3008</v>
      </c>
      <c r="D2107" s="60">
        <v>1409950727</v>
      </c>
      <c r="E2107" s="9">
        <v>810</v>
      </c>
      <c r="F2107" s="25">
        <v>42915</v>
      </c>
      <c r="G2107" s="61" t="s">
        <v>28</v>
      </c>
      <c r="H2107" s="9"/>
      <c r="I2107" s="8"/>
      <c r="J2107" s="8"/>
      <c r="K2107" s="8"/>
      <c r="L2107" s="9" t="s">
        <v>138</v>
      </c>
      <c r="M2107" s="8"/>
    </row>
    <row r="2108" spans="1:13">
      <c r="A2108" s="62" t="s">
        <v>3009</v>
      </c>
      <c r="B2108" s="58">
        <v>4827754403</v>
      </c>
      <c r="C2108" s="63"/>
      <c r="D2108" s="60"/>
      <c r="E2108" s="9">
        <v>509</v>
      </c>
      <c r="F2108" s="25">
        <v>43203</v>
      </c>
      <c r="G2108" s="67"/>
      <c r="H2108" s="67">
        <v>43213</v>
      </c>
      <c r="I2108" s="8"/>
      <c r="J2108" s="8"/>
      <c r="K2108" s="8"/>
      <c r="L2108" s="8"/>
      <c r="M2108" s="8"/>
    </row>
    <row r="2109" spans="1:13">
      <c r="A2109" s="63" t="s">
        <v>3010</v>
      </c>
      <c r="B2109" s="58">
        <v>11694151808</v>
      </c>
      <c r="C2109" s="63" t="s">
        <v>3011</v>
      </c>
      <c r="D2109" s="60">
        <v>29721167800</v>
      </c>
      <c r="E2109" s="9">
        <v>485</v>
      </c>
      <c r="F2109" s="25">
        <v>43196</v>
      </c>
      <c r="G2109" s="61" t="s">
        <v>20</v>
      </c>
      <c r="H2109" s="67">
        <v>43213</v>
      </c>
      <c r="I2109" s="8"/>
      <c r="J2109" s="8"/>
      <c r="K2109" s="8"/>
      <c r="L2109" s="9">
        <v>483</v>
      </c>
      <c r="M2109" s="8"/>
    </row>
    <row r="2110" spans="1:13">
      <c r="A2110" s="62" t="s">
        <v>3012</v>
      </c>
      <c r="B2110" s="58">
        <v>15801331859</v>
      </c>
      <c r="C2110" s="63"/>
      <c r="D2110" s="60"/>
      <c r="E2110" s="9">
        <v>292</v>
      </c>
      <c r="F2110" s="25">
        <v>43168</v>
      </c>
      <c r="G2110" s="61" t="s">
        <v>13</v>
      </c>
      <c r="H2110" s="67">
        <v>43213</v>
      </c>
      <c r="I2110" s="8"/>
      <c r="J2110" s="8"/>
      <c r="K2110" s="8"/>
      <c r="L2110" s="9">
        <v>318</v>
      </c>
      <c r="M2110" s="8"/>
    </row>
    <row r="2111" spans="1:13">
      <c r="A2111" s="62" t="s">
        <v>3013</v>
      </c>
      <c r="B2111" s="58">
        <v>37623190814</v>
      </c>
      <c r="C2111" s="63"/>
      <c r="D2111" s="60"/>
      <c r="E2111" s="9"/>
      <c r="F2111" s="25"/>
      <c r="G2111" s="61"/>
      <c r="H2111" s="67">
        <v>43213</v>
      </c>
      <c r="I2111" s="8"/>
      <c r="J2111" s="8"/>
      <c r="K2111" s="8"/>
      <c r="L2111" s="8"/>
      <c r="M2111" s="8"/>
    </row>
    <row r="2112" spans="1:13">
      <c r="A2112" s="62" t="s">
        <v>3014</v>
      </c>
      <c r="B2112" s="58">
        <v>14360185871</v>
      </c>
      <c r="C2112" s="59"/>
      <c r="D2112" s="60"/>
      <c r="E2112" s="9">
        <v>1752</v>
      </c>
      <c r="F2112" s="25">
        <v>43051</v>
      </c>
      <c r="G2112" s="61" t="s">
        <v>13</v>
      </c>
      <c r="H2112" s="67">
        <v>43213</v>
      </c>
      <c r="I2112" s="8"/>
      <c r="J2112" s="8"/>
      <c r="K2112" s="8"/>
      <c r="L2112" s="9">
        <v>1759</v>
      </c>
      <c r="M2112" s="8"/>
    </row>
    <row r="2113" spans="1:13">
      <c r="A2113" s="62" t="s">
        <v>3015</v>
      </c>
      <c r="B2113" s="58">
        <v>24613427843</v>
      </c>
      <c r="C2113" s="63" t="s">
        <v>3016</v>
      </c>
      <c r="D2113" s="60">
        <v>6003706821</v>
      </c>
      <c r="E2113" s="9">
        <v>810</v>
      </c>
      <c r="F2113" s="25">
        <v>42915</v>
      </c>
      <c r="G2113" s="61" t="s">
        <v>13</v>
      </c>
      <c r="H2113" s="67">
        <v>43213</v>
      </c>
      <c r="I2113" s="8"/>
      <c r="J2113" s="8"/>
      <c r="K2113" s="8"/>
      <c r="L2113" s="9" t="s">
        <v>138</v>
      </c>
      <c r="M2113" s="8"/>
    </row>
    <row r="2114" spans="1:13">
      <c r="A2114" s="63" t="s">
        <v>3017</v>
      </c>
      <c r="B2114" s="58">
        <v>61234508400</v>
      </c>
      <c r="C2114" s="63" t="s">
        <v>3018</v>
      </c>
      <c r="D2114" s="60">
        <v>61614068453</v>
      </c>
      <c r="E2114" s="9"/>
      <c r="F2114" s="25"/>
      <c r="G2114" s="61"/>
      <c r="H2114" s="67">
        <v>43213</v>
      </c>
      <c r="I2114" s="8"/>
      <c r="J2114" s="8"/>
      <c r="K2114" s="8"/>
      <c r="L2114" s="8"/>
      <c r="M2114" s="8"/>
    </row>
    <row r="2115" spans="1:13">
      <c r="A2115" s="27" t="s">
        <v>3019</v>
      </c>
      <c r="B2115" s="58"/>
      <c r="C2115" s="18" t="s">
        <v>129</v>
      </c>
      <c r="D2115" s="60"/>
      <c r="E2115" s="9"/>
      <c r="F2115" s="25"/>
      <c r="G2115" s="2"/>
      <c r="H2115" s="67">
        <v>43213</v>
      </c>
      <c r="I2115" s="8"/>
      <c r="J2115" s="8"/>
      <c r="K2115" s="8"/>
      <c r="L2115" s="8"/>
      <c r="M2115" s="8"/>
    </row>
    <row r="2116" spans="1:13">
      <c r="A2116" s="62" t="s">
        <v>3020</v>
      </c>
      <c r="B2116" s="58">
        <v>13129909885</v>
      </c>
      <c r="C2116" s="63"/>
      <c r="D2116" s="60"/>
      <c r="E2116" s="9">
        <v>810</v>
      </c>
      <c r="F2116" s="25">
        <v>42915</v>
      </c>
      <c r="G2116" s="61" t="s">
        <v>13</v>
      </c>
      <c r="H2116" s="67">
        <v>43213</v>
      </c>
      <c r="I2116" s="8"/>
      <c r="J2116" s="8"/>
      <c r="K2116" s="8"/>
      <c r="L2116" s="9" t="s">
        <v>138</v>
      </c>
      <c r="M2116" s="8"/>
    </row>
    <row r="2117" spans="1:13">
      <c r="A2117" s="62" t="s">
        <v>3021</v>
      </c>
      <c r="B2117" s="58">
        <v>13517391824</v>
      </c>
      <c r="C2117" s="63"/>
      <c r="D2117" s="60"/>
      <c r="E2117" s="9">
        <v>1555</v>
      </c>
      <c r="F2117" s="25">
        <v>43049</v>
      </c>
      <c r="G2117" s="61" t="s">
        <v>28</v>
      </c>
      <c r="H2117" s="67">
        <v>43213</v>
      </c>
      <c r="I2117" s="8"/>
      <c r="J2117" s="8"/>
      <c r="K2117" s="8"/>
      <c r="L2117" s="9" t="s">
        <v>398</v>
      </c>
      <c r="M2117" s="8"/>
    </row>
    <row r="2118" spans="1:13">
      <c r="A2118" s="62" t="s">
        <v>3022</v>
      </c>
      <c r="B2118" s="58">
        <v>16684268898</v>
      </c>
      <c r="C2118" s="59"/>
      <c r="D2118" s="60"/>
      <c r="E2118" s="9"/>
      <c r="F2118" s="25"/>
      <c r="G2118" s="61"/>
      <c r="H2118" s="9"/>
      <c r="I2118" s="8"/>
      <c r="J2118" s="8"/>
      <c r="K2118" s="8"/>
      <c r="L2118" s="8"/>
      <c r="M2118" s="8"/>
    </row>
    <row r="2119" spans="1:13">
      <c r="A2119" s="62" t="s">
        <v>3023</v>
      </c>
      <c r="B2119" s="58">
        <v>26665024814</v>
      </c>
      <c r="C2119" s="68"/>
      <c r="D2119" s="60"/>
      <c r="E2119" s="9"/>
      <c r="F2119" s="25"/>
      <c r="G2119" s="61"/>
      <c r="H2119" s="9"/>
      <c r="I2119" s="8"/>
      <c r="J2119" s="8"/>
      <c r="K2119" s="8"/>
      <c r="L2119" s="8"/>
      <c r="M2119" s="8"/>
    </row>
    <row r="2120" spans="1:13">
      <c r="A2120" s="15" t="s">
        <v>3024</v>
      </c>
      <c r="B2120" s="58">
        <v>3493507364</v>
      </c>
      <c r="C2120" s="63" t="s">
        <v>3025</v>
      </c>
      <c r="D2120" s="60">
        <v>35793827803</v>
      </c>
      <c r="E2120" s="9"/>
      <c r="F2120" s="25"/>
      <c r="G2120" s="61"/>
      <c r="H2120" s="9"/>
      <c r="I2120" s="8"/>
      <c r="J2120" s="8"/>
      <c r="K2120" s="8"/>
      <c r="L2120" s="8"/>
      <c r="M2120" s="8"/>
    </row>
    <row r="2121" spans="1:13">
      <c r="A2121" s="62" t="s">
        <v>3026</v>
      </c>
      <c r="B2121" s="58">
        <v>12722083892</v>
      </c>
      <c r="C2121" s="63"/>
      <c r="D2121" s="60"/>
      <c r="E2121" s="9">
        <v>1824</v>
      </c>
      <c r="F2121" s="25">
        <v>43091</v>
      </c>
      <c r="G2121" s="61" t="s">
        <v>13</v>
      </c>
      <c r="H2121" s="9"/>
      <c r="I2121" s="8"/>
      <c r="J2121" s="8"/>
      <c r="K2121" s="8"/>
      <c r="L2121" s="9">
        <v>1828</v>
      </c>
      <c r="M2121" s="8"/>
    </row>
    <row r="2122" spans="1:13">
      <c r="A2122" s="62" t="s">
        <v>3027</v>
      </c>
      <c r="B2122" s="58">
        <v>72303573572</v>
      </c>
      <c r="C2122" s="63"/>
      <c r="D2122" s="60"/>
      <c r="E2122" s="9">
        <v>810</v>
      </c>
      <c r="F2122" s="25">
        <v>42915</v>
      </c>
      <c r="G2122" s="61" t="s">
        <v>13</v>
      </c>
      <c r="H2122" s="9"/>
      <c r="I2122" s="8"/>
      <c r="J2122" s="8"/>
      <c r="K2122" s="8"/>
      <c r="L2122" s="9" t="s">
        <v>138</v>
      </c>
      <c r="M2122" s="8"/>
    </row>
    <row r="2123" spans="1:13">
      <c r="A2123" s="62" t="s">
        <v>3028</v>
      </c>
      <c r="B2123" s="58">
        <v>9111755806</v>
      </c>
      <c r="C2123" s="63"/>
      <c r="D2123" s="60"/>
      <c r="E2123" s="9">
        <v>527</v>
      </c>
      <c r="F2123" s="25">
        <v>43210</v>
      </c>
      <c r="G2123" s="61"/>
      <c r="H2123" s="9"/>
      <c r="I2123" s="8"/>
      <c r="J2123" s="8"/>
      <c r="K2123" s="8"/>
      <c r="L2123" s="9">
        <v>528</v>
      </c>
      <c r="M2123" s="8"/>
    </row>
    <row r="2124" spans="1:13">
      <c r="A2124" s="62" t="s">
        <v>3029</v>
      </c>
      <c r="B2124" s="58">
        <v>31365484858</v>
      </c>
      <c r="C2124" s="62" t="s">
        <v>3030</v>
      </c>
      <c r="D2124" s="58">
        <v>17087119885</v>
      </c>
      <c r="E2124" s="9"/>
      <c r="F2124" s="25"/>
      <c r="G2124" s="61"/>
      <c r="H2124" s="9"/>
      <c r="I2124" s="8"/>
      <c r="J2124" s="8"/>
      <c r="K2124" s="8"/>
      <c r="L2124" s="8"/>
      <c r="M2124" s="8"/>
    </row>
    <row r="2125" spans="1:13">
      <c r="A2125" s="62" t="s">
        <v>3031</v>
      </c>
      <c r="B2125" s="58">
        <v>24759458859</v>
      </c>
      <c r="C2125" s="59"/>
      <c r="D2125" s="60"/>
      <c r="E2125" s="9">
        <v>1214</v>
      </c>
      <c r="F2125" s="25">
        <v>42989</v>
      </c>
      <c r="G2125" s="61" t="s">
        <v>13</v>
      </c>
      <c r="H2125" s="9"/>
      <c r="I2125" s="8"/>
      <c r="J2125" s="8"/>
      <c r="K2125" s="8"/>
      <c r="L2125" s="8"/>
      <c r="M2125" s="8"/>
    </row>
    <row r="2126" spans="1:13">
      <c r="A2126" s="62" t="s">
        <v>3032</v>
      </c>
      <c r="B2126" s="58">
        <v>27068346847</v>
      </c>
      <c r="C2126" s="63"/>
      <c r="D2126" s="60"/>
      <c r="E2126" s="9">
        <v>810</v>
      </c>
      <c r="F2126" s="25">
        <v>42915</v>
      </c>
      <c r="G2126" s="61" t="s">
        <v>13</v>
      </c>
      <c r="H2126" s="9"/>
      <c r="I2126" s="8"/>
      <c r="J2126" s="8"/>
      <c r="K2126" s="8"/>
      <c r="L2126" s="9" t="s">
        <v>138</v>
      </c>
      <c r="M2126" s="8"/>
    </row>
    <row r="2127" spans="1:13">
      <c r="A2127" s="14" t="s">
        <v>3033</v>
      </c>
      <c r="B2127" s="58">
        <v>69813043504</v>
      </c>
      <c r="C2127" s="63" t="s">
        <v>3034</v>
      </c>
      <c r="D2127" s="60">
        <v>12384582895</v>
      </c>
      <c r="E2127" s="9">
        <v>573</v>
      </c>
      <c r="F2127" s="25">
        <v>43224</v>
      </c>
      <c r="G2127" s="61"/>
      <c r="H2127" s="9"/>
      <c r="I2127" s="8"/>
      <c r="J2127" s="8"/>
      <c r="K2127" s="8"/>
      <c r="L2127" s="8"/>
      <c r="M2127" s="8"/>
    </row>
    <row r="2128" spans="1:13">
      <c r="A2128" s="18" t="s">
        <v>3035</v>
      </c>
      <c r="B2128" s="58">
        <v>22728510881</v>
      </c>
      <c r="C2128" s="18"/>
      <c r="D2128" s="60"/>
      <c r="E2128" s="9"/>
      <c r="F2128" s="25"/>
      <c r="G2128" s="61"/>
      <c r="H2128" s="9"/>
      <c r="I2128" s="8"/>
      <c r="J2128" s="8"/>
      <c r="K2128" s="8"/>
      <c r="L2128" s="8"/>
      <c r="M2128" s="8"/>
    </row>
    <row r="2129" spans="1:13">
      <c r="A2129" s="62" t="s">
        <v>3036</v>
      </c>
      <c r="B2129" s="58">
        <v>8784971886</v>
      </c>
      <c r="C2129" s="63"/>
      <c r="D2129" s="60"/>
      <c r="E2129" s="9">
        <v>117</v>
      </c>
      <c r="F2129" s="25">
        <v>43117</v>
      </c>
      <c r="G2129" s="61" t="s">
        <v>13</v>
      </c>
      <c r="H2129" s="9"/>
      <c r="I2129" s="8"/>
      <c r="J2129" s="8"/>
      <c r="K2129" s="8"/>
      <c r="L2129" s="9" t="s">
        <v>170</v>
      </c>
      <c r="M2129" s="8"/>
    </row>
    <row r="2130" spans="1:13">
      <c r="A2130" s="18" t="s">
        <v>3037</v>
      </c>
      <c r="B2130" s="58">
        <v>15800175845</v>
      </c>
      <c r="C2130" s="18" t="s">
        <v>3038</v>
      </c>
      <c r="D2130" s="60">
        <v>8904506840</v>
      </c>
      <c r="E2130" s="9"/>
      <c r="F2130" s="25"/>
      <c r="G2130" s="61"/>
      <c r="H2130" s="9"/>
      <c r="I2130" s="8"/>
      <c r="J2130" s="8"/>
      <c r="K2130" s="8"/>
      <c r="L2130" s="8"/>
      <c r="M2130" s="8"/>
    </row>
    <row r="2131" spans="1:13">
      <c r="A2131" s="62" t="s">
        <v>3039</v>
      </c>
      <c r="B2131" s="58">
        <v>13018290801</v>
      </c>
      <c r="C2131" s="63" t="s">
        <v>3040</v>
      </c>
      <c r="D2131" s="60">
        <v>13557701816</v>
      </c>
      <c r="E2131" s="9">
        <v>509</v>
      </c>
      <c r="F2131" s="25">
        <v>43203</v>
      </c>
      <c r="G2131" s="67"/>
      <c r="H2131" s="67">
        <v>43213</v>
      </c>
      <c r="I2131" s="8"/>
      <c r="J2131" s="8"/>
      <c r="K2131" s="8"/>
      <c r="L2131" s="8"/>
      <c r="M2131" s="8"/>
    </row>
    <row r="2132" spans="1:13">
      <c r="A2132" s="18" t="s">
        <v>3041</v>
      </c>
      <c r="B2132" s="58">
        <v>61505078318</v>
      </c>
      <c r="C2132" s="18" t="s">
        <v>3042</v>
      </c>
      <c r="D2132" s="60">
        <v>342762893</v>
      </c>
      <c r="E2132" s="9"/>
      <c r="F2132" s="25"/>
      <c r="G2132" s="61"/>
      <c r="H2132" s="67">
        <v>43213</v>
      </c>
      <c r="I2132" s="8"/>
      <c r="J2132" s="8"/>
      <c r="K2132" s="8"/>
      <c r="L2132" s="8"/>
      <c r="M2132" s="8"/>
    </row>
    <row r="2133" spans="1:13">
      <c r="A2133" s="62" t="s">
        <v>3043</v>
      </c>
      <c r="B2133" s="58">
        <v>6097323824</v>
      </c>
      <c r="C2133" s="63" t="s">
        <v>3044</v>
      </c>
      <c r="D2133" s="60">
        <v>4869646803</v>
      </c>
      <c r="E2133" s="9"/>
      <c r="F2133" s="25"/>
      <c r="G2133" s="61"/>
      <c r="H2133" s="67">
        <v>43213</v>
      </c>
      <c r="I2133" s="8"/>
      <c r="J2133" s="8"/>
      <c r="K2133" s="8"/>
      <c r="L2133" s="8"/>
      <c r="M2133" s="8"/>
    </row>
    <row r="2134" spans="1:13">
      <c r="A2134" s="62" t="s">
        <v>3045</v>
      </c>
      <c r="B2134" s="58">
        <v>2280793814</v>
      </c>
      <c r="C2134" s="63"/>
      <c r="D2134" s="60"/>
      <c r="E2134" s="9">
        <v>1824</v>
      </c>
      <c r="F2134" s="25">
        <v>43091</v>
      </c>
      <c r="G2134" s="61" t="s">
        <v>13</v>
      </c>
      <c r="H2134" s="67">
        <v>43213</v>
      </c>
      <c r="I2134" s="8"/>
      <c r="J2134" s="8"/>
      <c r="K2134" s="8"/>
      <c r="L2134" s="9">
        <v>1828</v>
      </c>
      <c r="M2134" s="8"/>
    </row>
    <row r="2135" spans="1:13">
      <c r="A2135" s="62" t="s">
        <v>3046</v>
      </c>
      <c r="B2135" s="58">
        <v>16514582869</v>
      </c>
      <c r="C2135" s="63"/>
      <c r="D2135" s="60"/>
      <c r="E2135" s="9">
        <v>810</v>
      </c>
      <c r="F2135" s="25">
        <v>42915</v>
      </c>
      <c r="G2135" s="61" t="s">
        <v>13</v>
      </c>
      <c r="H2135" s="67">
        <v>43213</v>
      </c>
      <c r="I2135" s="8"/>
      <c r="J2135" s="8"/>
      <c r="K2135" s="8"/>
      <c r="L2135" s="9" t="s">
        <v>138</v>
      </c>
      <c r="M2135" s="8"/>
    </row>
    <row r="2136" spans="1:13">
      <c r="A2136" s="62" t="s">
        <v>3047</v>
      </c>
      <c r="B2136" s="58">
        <v>93387784520</v>
      </c>
      <c r="C2136" s="63"/>
      <c r="D2136" s="60"/>
      <c r="E2136" s="9">
        <v>810</v>
      </c>
      <c r="F2136" s="25">
        <v>42915</v>
      </c>
      <c r="G2136" s="61" t="s">
        <v>13</v>
      </c>
      <c r="H2136" s="67">
        <v>43213</v>
      </c>
      <c r="I2136" s="8"/>
      <c r="J2136" s="8"/>
      <c r="K2136" s="8"/>
      <c r="L2136" s="9" t="s">
        <v>138</v>
      </c>
      <c r="M2136" s="8"/>
    </row>
    <row r="2137" spans="1:13">
      <c r="A2137" s="62" t="s">
        <v>3048</v>
      </c>
      <c r="B2137" s="58">
        <v>19266795801</v>
      </c>
      <c r="C2137" s="63"/>
      <c r="D2137" s="60"/>
      <c r="E2137" s="9">
        <v>810</v>
      </c>
      <c r="F2137" s="25">
        <v>42915</v>
      </c>
      <c r="G2137" s="61" t="s">
        <v>13</v>
      </c>
      <c r="H2137" s="67">
        <v>43213</v>
      </c>
      <c r="I2137" s="8"/>
      <c r="J2137" s="8"/>
      <c r="K2137" s="8"/>
      <c r="L2137" s="9" t="s">
        <v>138</v>
      </c>
      <c r="M2137" s="8"/>
    </row>
    <row r="2138" spans="1:13">
      <c r="A2138" s="62" t="s">
        <v>3049</v>
      </c>
      <c r="B2138" s="58">
        <v>25748697882</v>
      </c>
      <c r="C2138" s="63"/>
      <c r="D2138" s="60"/>
      <c r="E2138" s="9"/>
      <c r="F2138" s="25"/>
      <c r="G2138" s="61"/>
      <c r="H2138" s="67">
        <v>43213</v>
      </c>
      <c r="I2138" s="8"/>
      <c r="J2138" s="8"/>
      <c r="K2138" s="8"/>
      <c r="L2138" s="8"/>
      <c r="M2138" s="8"/>
    </row>
    <row r="2139" spans="1:13">
      <c r="A2139" s="62" t="s">
        <v>3050</v>
      </c>
      <c r="B2139" s="58">
        <v>18020035842</v>
      </c>
      <c r="C2139" s="63"/>
      <c r="D2139" s="60"/>
      <c r="E2139" s="9">
        <v>1752</v>
      </c>
      <c r="F2139" s="25">
        <v>43051</v>
      </c>
      <c r="G2139" s="61" t="s">
        <v>13</v>
      </c>
      <c r="H2139" s="67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3051</v>
      </c>
      <c r="B2140" s="58">
        <v>33005130819</v>
      </c>
      <c r="C2140" s="63" t="s">
        <v>3052</v>
      </c>
      <c r="D2140" s="60">
        <v>29843431820</v>
      </c>
      <c r="E2140" s="9">
        <v>117</v>
      </c>
      <c r="F2140" s="25">
        <v>43117</v>
      </c>
      <c r="G2140" s="61" t="s">
        <v>13</v>
      </c>
      <c r="H2140" s="67">
        <v>43213</v>
      </c>
      <c r="I2140" s="8"/>
      <c r="J2140" s="8"/>
      <c r="K2140" s="8"/>
      <c r="L2140" s="9" t="s">
        <v>170</v>
      </c>
      <c r="M2140" s="8"/>
    </row>
    <row r="2141" spans="1:13">
      <c r="A2141" s="62" t="s">
        <v>3053</v>
      </c>
      <c r="B2141" s="58">
        <v>41277413843</v>
      </c>
      <c r="C2141" s="63"/>
      <c r="D2141" s="60"/>
      <c r="E2141" s="9">
        <v>292</v>
      </c>
      <c r="F2141" s="25">
        <v>43168</v>
      </c>
      <c r="G2141" s="61" t="s">
        <v>13</v>
      </c>
      <c r="H2141" s="9"/>
      <c r="I2141" s="8"/>
      <c r="J2141" s="8"/>
      <c r="K2141" s="8"/>
      <c r="L2141" s="9">
        <v>318</v>
      </c>
      <c r="M2141" s="8"/>
    </row>
    <row r="2142" spans="1:13">
      <c r="A2142" s="62" t="s">
        <v>3054</v>
      </c>
      <c r="B2142" s="58">
        <v>42840674866</v>
      </c>
      <c r="C2142" s="63" t="s">
        <v>3055</v>
      </c>
      <c r="D2142" s="60">
        <v>33066015866</v>
      </c>
      <c r="E2142" s="9">
        <v>117</v>
      </c>
      <c r="F2142" s="25">
        <v>43117</v>
      </c>
      <c r="G2142" s="61" t="s">
        <v>13</v>
      </c>
      <c r="H2142" s="9"/>
      <c r="I2142" s="8"/>
      <c r="J2142" s="8"/>
      <c r="K2142" s="8"/>
      <c r="L2142" s="9" t="s">
        <v>170</v>
      </c>
      <c r="M2142" s="8"/>
    </row>
    <row r="2143" spans="1:13">
      <c r="A2143" s="62" t="s">
        <v>3056</v>
      </c>
      <c r="B2143" s="58">
        <v>35341510895</v>
      </c>
      <c r="C2143" s="63"/>
      <c r="D2143" s="60"/>
      <c r="E2143" s="9"/>
      <c r="F2143" s="25"/>
      <c r="G2143" s="61"/>
      <c r="H2143" s="9"/>
      <c r="I2143" s="8"/>
      <c r="J2143" s="8"/>
      <c r="K2143" s="8"/>
      <c r="L2143" s="8"/>
      <c r="M2143" s="8"/>
    </row>
    <row r="2144" spans="1:13">
      <c r="A2144" s="27" t="s">
        <v>3057</v>
      </c>
      <c r="B2144" s="58">
        <v>2312065851</v>
      </c>
      <c r="C2144" s="64" t="s">
        <v>3058</v>
      </c>
      <c r="D2144" s="60">
        <v>26078428837</v>
      </c>
      <c r="E2144" s="9"/>
      <c r="F2144" s="25"/>
      <c r="G2144" s="61"/>
      <c r="H2144" s="9"/>
      <c r="I2144" s="8"/>
      <c r="J2144" s="8"/>
      <c r="K2144" s="8"/>
      <c r="L2144" s="8"/>
      <c r="M2144" s="8"/>
    </row>
    <row r="2145" spans="1:13">
      <c r="A2145" s="62" t="s">
        <v>3059</v>
      </c>
      <c r="B2145" s="58">
        <v>48549010472</v>
      </c>
      <c r="C2145" s="63" t="s">
        <v>3060</v>
      </c>
      <c r="D2145" s="60">
        <v>7796014830</v>
      </c>
      <c r="E2145" s="9">
        <v>1267</v>
      </c>
      <c r="F2145" s="25">
        <v>42998</v>
      </c>
      <c r="G2145" s="61" t="s">
        <v>13</v>
      </c>
      <c r="H2145" s="9"/>
      <c r="I2145" s="8"/>
      <c r="J2145" s="8"/>
      <c r="K2145" s="8"/>
      <c r="L2145" s="8"/>
      <c r="M2145" s="8"/>
    </row>
    <row r="2146" spans="1:13">
      <c r="A2146" s="27" t="s">
        <v>3061</v>
      </c>
      <c r="B2146" s="58"/>
      <c r="C2146" s="18" t="s">
        <v>129</v>
      </c>
      <c r="D2146" s="60"/>
      <c r="E2146" s="9"/>
      <c r="F2146" s="25"/>
      <c r="G2146" s="61"/>
      <c r="H2146" s="9"/>
      <c r="I2146" s="8"/>
      <c r="J2146" s="8"/>
      <c r="K2146" s="8"/>
      <c r="L2146" s="8"/>
      <c r="M2146" s="8"/>
    </row>
    <row r="2147" spans="1:13">
      <c r="A2147" s="86" t="s">
        <v>3061</v>
      </c>
      <c r="B2147" s="58">
        <v>14907695870</v>
      </c>
      <c r="C2147" s="27"/>
      <c r="D2147" s="60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64" t="s">
        <v>3062</v>
      </c>
      <c r="B2148" s="58">
        <v>38348922890</v>
      </c>
      <c r="C2148" s="63" t="s">
        <v>3063</v>
      </c>
      <c r="D2148" s="60">
        <v>22580367802</v>
      </c>
      <c r="E2148" s="9">
        <v>810</v>
      </c>
      <c r="F2148" s="25">
        <v>42915</v>
      </c>
      <c r="G2148" s="61" t="s">
        <v>13</v>
      </c>
      <c r="H2148" s="9"/>
      <c r="I2148" s="8"/>
      <c r="J2148" s="8"/>
      <c r="K2148" s="8"/>
      <c r="L2148" s="9" t="s">
        <v>138</v>
      </c>
      <c r="M2148" s="8"/>
    </row>
    <row r="2149" spans="1:13">
      <c r="A2149" s="63" t="s">
        <v>3064</v>
      </c>
      <c r="B2149" s="58">
        <v>27123900839</v>
      </c>
      <c r="C2149" s="63"/>
      <c r="D2149" s="60"/>
      <c r="E2149" s="9">
        <v>117</v>
      </c>
      <c r="F2149" s="25">
        <v>43117</v>
      </c>
      <c r="G2149" s="61" t="s">
        <v>13</v>
      </c>
      <c r="H2149" s="9"/>
      <c r="I2149" s="8"/>
      <c r="J2149" s="8"/>
      <c r="K2149" s="8"/>
      <c r="L2149" s="9" t="s">
        <v>170</v>
      </c>
      <c r="M2149" s="8"/>
    </row>
    <row r="2150" spans="1:13">
      <c r="A2150" s="62" t="s">
        <v>3065</v>
      </c>
      <c r="B2150" s="58">
        <v>13529456810</v>
      </c>
      <c r="C2150" s="63"/>
      <c r="D2150" s="60"/>
      <c r="E2150" s="9"/>
      <c r="F2150" s="25"/>
      <c r="G2150" s="61"/>
      <c r="H2150" s="9"/>
      <c r="I2150" s="8"/>
      <c r="J2150" s="8"/>
      <c r="K2150" s="8"/>
      <c r="L2150" s="8"/>
      <c r="M2150" s="8"/>
    </row>
    <row r="2151" spans="1:13">
      <c r="A2151" s="64" t="s">
        <v>3066</v>
      </c>
      <c r="B2151" s="58">
        <v>36691354800</v>
      </c>
      <c r="C2151" s="63" t="s">
        <v>3067</v>
      </c>
      <c r="D2151" s="60">
        <v>33316627634</v>
      </c>
      <c r="E2151" s="9"/>
      <c r="F2151" s="25"/>
      <c r="G2151" s="61"/>
      <c r="H2151" s="9"/>
      <c r="I2151" s="8"/>
      <c r="J2151" s="8"/>
      <c r="K2151" s="8"/>
      <c r="L2151" s="8"/>
      <c r="M2151" s="8"/>
    </row>
    <row r="2152" spans="1:13">
      <c r="A2152" s="15" t="s">
        <v>3068</v>
      </c>
      <c r="B2152" s="58">
        <v>2599679559</v>
      </c>
      <c r="C2152" s="63" t="s">
        <v>3069</v>
      </c>
      <c r="D2152" s="60">
        <v>99002051549</v>
      </c>
      <c r="E2152" s="9">
        <v>1824</v>
      </c>
      <c r="F2152" s="25">
        <v>43091</v>
      </c>
      <c r="G2152" s="61" t="s">
        <v>28</v>
      </c>
      <c r="H2152" s="9"/>
      <c r="I2152" s="8"/>
      <c r="J2152" s="8"/>
      <c r="K2152" s="8"/>
      <c r="L2152" s="9">
        <v>1828</v>
      </c>
      <c r="M2152" s="8"/>
    </row>
    <row r="2153" spans="1:13">
      <c r="A2153" s="27" t="s">
        <v>3070</v>
      </c>
      <c r="B2153" s="58">
        <v>50263790525</v>
      </c>
      <c r="C2153" s="18"/>
      <c r="D2153" s="60"/>
      <c r="E2153" s="9"/>
      <c r="F2153" s="25"/>
      <c r="G2153" s="61"/>
      <c r="H2153" s="9"/>
      <c r="I2153" s="8"/>
      <c r="J2153" s="8"/>
      <c r="K2153" s="8"/>
      <c r="L2153" s="8"/>
      <c r="M2153" s="8"/>
    </row>
    <row r="2154" spans="1:13">
      <c r="A2154" s="62" t="s">
        <v>3071</v>
      </c>
      <c r="B2154" s="58">
        <v>35562252805</v>
      </c>
      <c r="C2154" s="63"/>
      <c r="D2154" s="60"/>
      <c r="E2154" s="9">
        <v>1214</v>
      </c>
      <c r="F2154" s="25">
        <v>42989</v>
      </c>
      <c r="G2154" s="61" t="s">
        <v>13</v>
      </c>
      <c r="H2154" s="9"/>
      <c r="I2154" s="8"/>
      <c r="J2154" s="8"/>
      <c r="K2154" s="8"/>
      <c r="L2154" s="8"/>
      <c r="M2154" s="8"/>
    </row>
    <row r="2155" spans="1:13">
      <c r="A2155" s="15" t="s">
        <v>3072</v>
      </c>
      <c r="B2155" s="58">
        <v>932891381</v>
      </c>
      <c r="C2155" s="63"/>
      <c r="D2155" s="60"/>
      <c r="E2155" s="9">
        <v>229</v>
      </c>
      <c r="F2155" s="25">
        <v>43151</v>
      </c>
      <c r="G2155" s="61" t="s">
        <v>13</v>
      </c>
      <c r="H2155" s="9"/>
      <c r="I2155" s="8"/>
      <c r="J2155" s="8"/>
      <c r="K2155" s="8"/>
      <c r="L2155" s="9">
        <v>232</v>
      </c>
      <c r="M2155" s="8"/>
    </row>
    <row r="2156" spans="1:13">
      <c r="A2156" s="27" t="s">
        <v>3073</v>
      </c>
      <c r="B2156" s="58">
        <v>94813078591</v>
      </c>
      <c r="C2156" s="18" t="s">
        <v>3074</v>
      </c>
      <c r="D2156" s="60">
        <v>18975422836</v>
      </c>
      <c r="E2156" s="9"/>
      <c r="F2156" s="25"/>
      <c r="G2156" s="61"/>
      <c r="H2156" s="9"/>
      <c r="I2156" s="8"/>
      <c r="J2156" s="8"/>
      <c r="K2156" s="8"/>
      <c r="L2156" s="8"/>
      <c r="M2156" s="8"/>
    </row>
    <row r="2157" spans="1:13">
      <c r="A2157" s="15" t="s">
        <v>3075</v>
      </c>
      <c r="B2157" s="58">
        <v>6522038846</v>
      </c>
      <c r="C2157" s="63" t="s">
        <v>3076</v>
      </c>
      <c r="D2157" s="60">
        <v>390582808</v>
      </c>
      <c r="E2157" s="9">
        <v>292</v>
      </c>
      <c r="F2157" s="25">
        <v>43168</v>
      </c>
      <c r="G2157" s="61" t="s">
        <v>13</v>
      </c>
      <c r="H2157" s="9"/>
      <c r="I2157" s="8"/>
      <c r="J2157" s="8"/>
      <c r="K2157" s="8"/>
      <c r="L2157" s="9">
        <v>318</v>
      </c>
      <c r="M2157" s="8"/>
    </row>
    <row r="2158" spans="1:13">
      <c r="A2158" s="62" t="s">
        <v>3077</v>
      </c>
      <c r="B2158" s="58">
        <v>70986847402</v>
      </c>
      <c r="C2158" s="63" t="s">
        <v>3078</v>
      </c>
      <c r="D2158" s="60">
        <v>39640099899</v>
      </c>
      <c r="E2158" s="9">
        <v>229</v>
      </c>
      <c r="F2158" s="25">
        <v>43151</v>
      </c>
      <c r="G2158" s="61" t="s">
        <v>13</v>
      </c>
      <c r="H2158" s="9"/>
      <c r="I2158" s="8"/>
      <c r="J2158" s="8"/>
      <c r="K2158" s="8"/>
      <c r="L2158" s="9">
        <v>232</v>
      </c>
      <c r="M2158" s="8"/>
    </row>
    <row r="2159" spans="1:13">
      <c r="A2159" s="62" t="s">
        <v>3079</v>
      </c>
      <c r="B2159" s="58">
        <v>37737032878</v>
      </c>
      <c r="C2159" s="63" t="s">
        <v>3080</v>
      </c>
      <c r="D2159" s="60">
        <v>24659778819</v>
      </c>
      <c r="E2159" s="9">
        <v>1417</v>
      </c>
      <c r="F2159" s="25">
        <v>43017</v>
      </c>
      <c r="G2159" s="61" t="s">
        <v>20</v>
      </c>
      <c r="H2159" s="9"/>
      <c r="I2159" s="8"/>
      <c r="J2159" s="8"/>
      <c r="K2159" s="8"/>
      <c r="L2159" s="9" t="s">
        <v>253</v>
      </c>
      <c r="M2159" s="8"/>
    </row>
    <row r="2160" spans="1:13">
      <c r="A2160" s="62" t="s">
        <v>3081</v>
      </c>
      <c r="B2160" s="58">
        <v>62239147504</v>
      </c>
      <c r="C2160" s="63"/>
      <c r="D2160" s="60"/>
      <c r="E2160" s="9">
        <v>527</v>
      </c>
      <c r="F2160" s="25">
        <v>43210</v>
      </c>
      <c r="G2160" s="61"/>
      <c r="H2160" s="9"/>
      <c r="I2160" s="8"/>
      <c r="J2160" s="8"/>
      <c r="K2160" s="8"/>
      <c r="L2160" s="9">
        <v>528</v>
      </c>
      <c r="M2160" s="8"/>
    </row>
    <row r="2161" spans="1:13">
      <c r="A2161" s="62" t="s">
        <v>3082</v>
      </c>
      <c r="B2161" s="58">
        <v>15597554824</v>
      </c>
      <c r="C2161" s="63"/>
      <c r="D2161" s="60"/>
      <c r="E2161" s="9">
        <v>1214</v>
      </c>
      <c r="F2161" s="25">
        <v>42989</v>
      </c>
      <c r="G2161" s="61" t="s">
        <v>13</v>
      </c>
      <c r="H2161" s="9"/>
      <c r="I2161" s="8"/>
      <c r="J2161" s="8"/>
      <c r="K2161" s="8"/>
      <c r="L2161" s="8"/>
      <c r="M2161" s="8"/>
    </row>
    <row r="2162" spans="1:13">
      <c r="A2162" s="64" t="s">
        <v>3083</v>
      </c>
      <c r="B2162" s="58">
        <v>15716959822</v>
      </c>
      <c r="C2162" s="63" t="s">
        <v>3084</v>
      </c>
      <c r="D2162" s="60">
        <v>10451985877</v>
      </c>
      <c r="E2162" s="9">
        <v>262</v>
      </c>
      <c r="F2162" s="25">
        <v>43160</v>
      </c>
      <c r="G2162" s="61" t="s">
        <v>13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0" t="s">
        <v>3085</v>
      </c>
      <c r="B2163" s="71">
        <v>12739147830</v>
      </c>
      <c r="C2163" s="72"/>
      <c r="D2163" s="73"/>
      <c r="E2163" s="45">
        <v>262</v>
      </c>
      <c r="F2163" s="46">
        <v>43160</v>
      </c>
      <c r="G2163" s="74"/>
      <c r="H2163" s="46">
        <v>43164</v>
      </c>
      <c r="I2163" s="47"/>
      <c r="J2163" s="47"/>
      <c r="K2163" s="47"/>
      <c r="L2163" s="9">
        <v>255</v>
      </c>
      <c r="M2163" s="47"/>
    </row>
    <row r="2164" spans="1:13">
      <c r="A2164" s="62" t="s">
        <v>3086</v>
      </c>
      <c r="B2164" s="58">
        <v>41976066808</v>
      </c>
      <c r="C2164" s="63"/>
      <c r="D2164" s="60"/>
      <c r="E2164" s="9">
        <v>262</v>
      </c>
      <c r="F2164" s="25">
        <v>43160</v>
      </c>
      <c r="G2164" s="61" t="s">
        <v>13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3087</v>
      </c>
      <c r="B2165" s="58">
        <v>21888553880</v>
      </c>
      <c r="C2165" s="63"/>
      <c r="D2165" s="60"/>
      <c r="E2165" s="9">
        <v>1350</v>
      </c>
      <c r="F2165" s="25">
        <v>43006</v>
      </c>
      <c r="G2165" s="61" t="s">
        <v>13</v>
      </c>
      <c r="H2165" s="9"/>
      <c r="I2165" s="8"/>
      <c r="J2165" s="8"/>
      <c r="K2165" s="8"/>
      <c r="L2165" s="8"/>
      <c r="M2165" s="8"/>
    </row>
    <row r="2166" spans="1:13">
      <c r="A2166" s="62" t="s">
        <v>3088</v>
      </c>
      <c r="B2166" s="58">
        <v>32241408875</v>
      </c>
      <c r="C2166" s="63" t="s">
        <v>3089</v>
      </c>
      <c r="D2166" s="60">
        <v>7164250413</v>
      </c>
      <c r="E2166" s="9">
        <v>1824</v>
      </c>
      <c r="F2166" s="25">
        <v>43091</v>
      </c>
      <c r="G2166" s="61" t="s">
        <v>13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3090</v>
      </c>
      <c r="B2167" s="58">
        <v>2169510460</v>
      </c>
      <c r="C2167" s="63"/>
      <c r="D2167" s="60"/>
      <c r="E2167" s="9">
        <v>262</v>
      </c>
      <c r="F2167" s="25">
        <v>43160</v>
      </c>
      <c r="G2167" s="61" t="s">
        <v>13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62" t="s">
        <v>3091</v>
      </c>
      <c r="B2168" s="58">
        <v>27254252806</v>
      </c>
      <c r="C2168" s="59"/>
      <c r="D2168" s="60"/>
      <c r="E2168" s="9">
        <v>1128</v>
      </c>
      <c r="F2168" s="25">
        <v>42972</v>
      </c>
      <c r="G2168" s="61" t="s">
        <v>13</v>
      </c>
      <c r="H2168" s="9"/>
      <c r="I2168" s="8"/>
      <c r="J2168" s="8"/>
      <c r="K2168" s="8"/>
      <c r="L2168" s="8"/>
      <c r="M2168" s="8"/>
    </row>
    <row r="2169" spans="1:13">
      <c r="A2169" s="63" t="s">
        <v>3092</v>
      </c>
      <c r="B2169" s="58">
        <v>32762788803</v>
      </c>
      <c r="C2169" s="63"/>
      <c r="D2169" s="60"/>
      <c r="E2169" s="9">
        <v>485</v>
      </c>
      <c r="F2169" s="25">
        <v>43196</v>
      </c>
      <c r="G2169" s="61"/>
      <c r="H2169" s="9"/>
      <c r="I2169" s="8"/>
      <c r="J2169" s="8"/>
      <c r="K2169" s="8"/>
      <c r="L2169" s="9">
        <v>483</v>
      </c>
      <c r="M2169" s="8"/>
    </row>
    <row r="2170" spans="1:13">
      <c r="A2170" s="63" t="s">
        <v>3093</v>
      </c>
      <c r="B2170" s="58">
        <v>14691798811</v>
      </c>
      <c r="C2170" s="63"/>
      <c r="D2170" s="60"/>
      <c r="E2170" s="9">
        <v>443</v>
      </c>
      <c r="F2170" s="25">
        <v>43188</v>
      </c>
      <c r="G2170" s="61"/>
      <c r="H2170" s="9"/>
      <c r="I2170" s="8"/>
      <c r="J2170" s="8"/>
      <c r="K2170" s="8"/>
      <c r="L2170" s="8"/>
      <c r="M2170" s="8"/>
    </row>
    <row r="2171" spans="1:13">
      <c r="A2171" s="63" t="s">
        <v>3094</v>
      </c>
      <c r="B2171" s="58">
        <v>25924763854</v>
      </c>
      <c r="C2171" s="63"/>
      <c r="D2171" s="60"/>
      <c r="E2171" s="9">
        <v>292</v>
      </c>
      <c r="F2171" s="25">
        <v>43168</v>
      </c>
      <c r="G2171" s="9" t="s">
        <v>13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3095</v>
      </c>
      <c r="B2172" s="58">
        <v>70044554400</v>
      </c>
      <c r="C2172" s="63"/>
      <c r="D2172" s="60"/>
      <c r="E2172" s="9">
        <v>1417</v>
      </c>
      <c r="F2172" s="25">
        <v>43017</v>
      </c>
      <c r="G2172" s="61" t="s">
        <v>13</v>
      </c>
      <c r="H2172" s="9"/>
      <c r="I2172" s="8"/>
      <c r="J2172" s="8"/>
      <c r="K2172" s="8"/>
      <c r="L2172" s="9" t="s">
        <v>253</v>
      </c>
      <c r="M2172" s="8"/>
    </row>
    <row r="2173" spans="1:13">
      <c r="A2173" s="62" t="s">
        <v>3096</v>
      </c>
      <c r="B2173" s="58">
        <v>8983229870</v>
      </c>
      <c r="C2173" s="63" t="s">
        <v>3097</v>
      </c>
      <c r="D2173" s="60">
        <v>25639387831</v>
      </c>
      <c r="E2173" s="9"/>
      <c r="F2173" s="25"/>
      <c r="G2173" s="61"/>
      <c r="H2173" s="9"/>
      <c r="I2173" s="8"/>
      <c r="J2173" s="8"/>
      <c r="K2173" s="8"/>
      <c r="L2173" s="8"/>
      <c r="M2173" s="8"/>
    </row>
    <row r="2174" spans="1:13">
      <c r="A2174" s="62" t="s">
        <v>3098</v>
      </c>
      <c r="B2174" s="58">
        <v>9269199894</v>
      </c>
      <c r="C2174" s="63" t="s">
        <v>3099</v>
      </c>
      <c r="D2174" s="60">
        <v>11299722871</v>
      </c>
      <c r="E2174" s="9"/>
      <c r="F2174" s="25"/>
      <c r="G2174" s="61"/>
      <c r="H2174" s="9"/>
      <c r="I2174" s="8"/>
      <c r="J2174" s="8"/>
      <c r="K2174" s="8"/>
      <c r="L2174" s="8"/>
      <c r="M2174" s="8"/>
    </row>
    <row r="2175" spans="1:13">
      <c r="A2175" s="62" t="s">
        <v>3100</v>
      </c>
      <c r="B2175" s="58">
        <v>67401376504</v>
      </c>
      <c r="C2175" s="63"/>
      <c r="D2175" s="60"/>
      <c r="E2175" s="9">
        <v>1106</v>
      </c>
      <c r="F2175" s="25">
        <v>42965</v>
      </c>
      <c r="G2175" s="61" t="s">
        <v>13</v>
      </c>
      <c r="H2175" s="9"/>
      <c r="I2175" s="8"/>
      <c r="J2175" s="8"/>
      <c r="K2175" s="8"/>
      <c r="L2175" s="8"/>
      <c r="M2175" s="8"/>
    </row>
    <row r="2176" spans="1:13">
      <c r="A2176" s="13" t="s">
        <v>3101</v>
      </c>
      <c r="B2176" s="58">
        <v>2277633518</v>
      </c>
      <c r="C2176" s="63"/>
      <c r="D2176" s="60"/>
      <c r="E2176" s="9">
        <v>1350</v>
      </c>
      <c r="F2176" s="25">
        <v>43006</v>
      </c>
      <c r="G2176" s="61" t="s">
        <v>13</v>
      </c>
      <c r="H2176" s="9"/>
      <c r="I2176" s="8"/>
      <c r="J2176" s="8"/>
      <c r="K2176" s="8"/>
      <c r="L2176" s="8"/>
      <c r="M2176" s="8"/>
    </row>
    <row r="2177" spans="1:13">
      <c r="A2177" s="62" t="s">
        <v>3102</v>
      </c>
      <c r="B2177" s="58">
        <v>26144961895</v>
      </c>
      <c r="C2177" s="63"/>
      <c r="D2177" s="60"/>
      <c r="E2177" s="9">
        <v>292</v>
      </c>
      <c r="F2177" s="25">
        <v>43168</v>
      </c>
      <c r="G2177" s="61" t="s">
        <v>13</v>
      </c>
      <c r="H2177" s="9"/>
      <c r="I2177" s="8"/>
      <c r="J2177" s="8"/>
      <c r="K2177" s="8"/>
      <c r="L2177" s="9">
        <v>318</v>
      </c>
      <c r="M2177" s="8"/>
    </row>
    <row r="2178" spans="1:13">
      <c r="A2178" s="64" t="s">
        <v>3103</v>
      </c>
      <c r="B2178" s="58">
        <v>34641758808</v>
      </c>
      <c r="C2178" s="63" t="s">
        <v>3104</v>
      </c>
      <c r="D2178" s="60">
        <v>30083315802</v>
      </c>
      <c r="E2178" s="9">
        <v>810</v>
      </c>
      <c r="F2178" s="25">
        <v>42915</v>
      </c>
      <c r="G2178" s="61" t="s">
        <v>13</v>
      </c>
      <c r="H2178" s="9"/>
      <c r="I2178" s="8"/>
      <c r="J2178" s="8"/>
      <c r="K2178" s="8"/>
      <c r="L2178" s="9" t="s">
        <v>138</v>
      </c>
      <c r="M2178" s="8"/>
    </row>
    <row r="2179" spans="1:13">
      <c r="A2179" s="62" t="s">
        <v>3105</v>
      </c>
      <c r="B2179" s="58">
        <v>1335459383</v>
      </c>
      <c r="C2179" s="62" t="s">
        <v>3106</v>
      </c>
      <c r="D2179" s="60">
        <v>2369426381</v>
      </c>
      <c r="E2179" s="9">
        <v>292</v>
      </c>
      <c r="F2179" s="25">
        <v>43168</v>
      </c>
      <c r="G2179" s="61" t="s">
        <v>13</v>
      </c>
      <c r="H2179" s="9"/>
      <c r="I2179" s="8"/>
      <c r="J2179" s="8"/>
      <c r="K2179" s="8"/>
      <c r="L2179" s="9">
        <v>318</v>
      </c>
      <c r="M2179" s="8"/>
    </row>
    <row r="2180" spans="1:13">
      <c r="A2180" s="62" t="s">
        <v>3107</v>
      </c>
      <c r="B2180" s="58">
        <v>14780354803</v>
      </c>
      <c r="C2180" s="63"/>
      <c r="D2180" s="60"/>
      <c r="E2180" s="9">
        <v>117</v>
      </c>
      <c r="F2180" s="25">
        <v>43117</v>
      </c>
      <c r="G2180" s="61" t="s">
        <v>13</v>
      </c>
      <c r="H2180" s="9"/>
      <c r="I2180" s="8"/>
      <c r="J2180" s="8"/>
      <c r="K2180" s="8"/>
      <c r="L2180" s="9" t="s">
        <v>170</v>
      </c>
      <c r="M2180" s="8"/>
    </row>
    <row r="2181" spans="1:13">
      <c r="A2181" s="62" t="s">
        <v>3108</v>
      </c>
      <c r="B2181" s="58">
        <v>95479112368</v>
      </c>
      <c r="C2181" s="63"/>
      <c r="D2181" s="60"/>
      <c r="E2181" s="9">
        <v>1824</v>
      </c>
      <c r="F2181" s="25">
        <v>43091</v>
      </c>
      <c r="G2181" s="9" t="s">
        <v>13</v>
      </c>
      <c r="H2181" s="9"/>
      <c r="I2181" s="8"/>
      <c r="J2181" s="8"/>
      <c r="K2181" s="8"/>
      <c r="L2181" s="9">
        <v>1828</v>
      </c>
      <c r="M2181" s="8"/>
    </row>
    <row r="2182" spans="1:13">
      <c r="A2182" s="27" t="s">
        <v>3109</v>
      </c>
      <c r="B2182" s="58">
        <v>38248770826</v>
      </c>
      <c r="C2182" s="27" t="s">
        <v>3110</v>
      </c>
      <c r="D2182" s="60">
        <v>22681091861</v>
      </c>
      <c r="E2182" s="9"/>
      <c r="F2182" s="25"/>
      <c r="G2182" s="61"/>
      <c r="H2182" s="9"/>
      <c r="I2182" s="8"/>
      <c r="J2182" s="8"/>
      <c r="K2182" s="8"/>
      <c r="L2182" s="8"/>
      <c r="M2182" s="8"/>
    </row>
    <row r="2183" spans="1:13">
      <c r="A2183" s="64" t="s">
        <v>3111</v>
      </c>
      <c r="B2183" s="58">
        <v>32857847840</v>
      </c>
      <c r="C2183" s="63" t="s">
        <v>3112</v>
      </c>
      <c r="D2183" s="60">
        <v>33885204886</v>
      </c>
      <c r="E2183" s="9">
        <v>810</v>
      </c>
      <c r="F2183" s="25">
        <v>42915</v>
      </c>
      <c r="G2183" s="61" t="s">
        <v>13</v>
      </c>
      <c r="H2183" s="9"/>
      <c r="I2183" s="8"/>
      <c r="J2183" s="8"/>
      <c r="K2183" s="8"/>
      <c r="L2183" s="9" t="s">
        <v>138</v>
      </c>
      <c r="M2183" s="8"/>
    </row>
    <row r="2184" spans="1:13">
      <c r="A2184" s="14" t="s">
        <v>3113</v>
      </c>
      <c r="B2184" s="58">
        <v>25367069827</v>
      </c>
      <c r="C2184" s="63" t="s">
        <v>3114</v>
      </c>
      <c r="D2184" s="60">
        <v>28922275855</v>
      </c>
      <c r="E2184" s="9">
        <v>262</v>
      </c>
      <c r="F2184" s="25">
        <v>43160</v>
      </c>
      <c r="G2184" s="61" t="s">
        <v>20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3115</v>
      </c>
      <c r="B2185" s="58">
        <v>26032519880</v>
      </c>
      <c r="C2185" s="63"/>
      <c r="D2185" s="60"/>
      <c r="E2185" s="9">
        <v>117</v>
      </c>
      <c r="F2185" s="25">
        <v>43117</v>
      </c>
      <c r="G2185" s="61" t="s">
        <v>13</v>
      </c>
      <c r="H2185" s="9"/>
      <c r="I2185" s="8"/>
      <c r="J2185" s="8"/>
      <c r="K2185" s="8"/>
      <c r="L2185" s="9" t="s">
        <v>170</v>
      </c>
      <c r="M2185" s="8"/>
    </row>
    <row r="2186" spans="1:13">
      <c r="A2186" s="62" t="s">
        <v>3116</v>
      </c>
      <c r="B2186" s="58">
        <v>29652533866</v>
      </c>
      <c r="C2186" s="63" t="s">
        <v>3117</v>
      </c>
      <c r="D2186" s="60">
        <v>21898199892</v>
      </c>
      <c r="E2186" s="9">
        <v>1752</v>
      </c>
      <c r="F2186" s="25">
        <v>43051</v>
      </c>
      <c r="G2186" s="61" t="s">
        <v>13</v>
      </c>
      <c r="H2186" s="9"/>
      <c r="I2186" s="8"/>
      <c r="J2186" s="8"/>
      <c r="K2186" s="8"/>
      <c r="L2186" s="9">
        <v>1759</v>
      </c>
      <c r="M2186" s="8"/>
    </row>
    <row r="2187" spans="1:13">
      <c r="A2187" s="62" t="s">
        <v>3118</v>
      </c>
      <c r="B2187" s="58">
        <v>69554196415</v>
      </c>
      <c r="C2187" s="63"/>
      <c r="D2187" s="60"/>
      <c r="E2187" s="9">
        <v>608</v>
      </c>
      <c r="F2187" s="25">
        <v>43012</v>
      </c>
      <c r="G2187" s="61" t="s">
        <v>13</v>
      </c>
      <c r="H2187" s="9"/>
      <c r="I2187" s="8"/>
      <c r="J2187" s="8"/>
      <c r="K2187" s="8"/>
      <c r="L2187" s="8"/>
      <c r="M2187" s="8"/>
    </row>
    <row r="2188" spans="1:13">
      <c r="A2188" s="14" t="s">
        <v>3119</v>
      </c>
      <c r="B2188" s="58">
        <v>52584275520</v>
      </c>
      <c r="C2188" s="63"/>
      <c r="D2188" s="60"/>
      <c r="E2188" s="9">
        <v>292</v>
      </c>
      <c r="F2188" s="25">
        <v>43168</v>
      </c>
      <c r="G2188" s="61" t="s">
        <v>13</v>
      </c>
      <c r="H2188" s="9"/>
      <c r="I2188" s="8"/>
      <c r="J2188" s="8"/>
      <c r="K2188" s="8"/>
      <c r="L2188" s="9">
        <v>318</v>
      </c>
      <c r="M2188" s="8"/>
    </row>
    <row r="2189" spans="1:13">
      <c r="A2189" s="62" t="s">
        <v>3120</v>
      </c>
      <c r="B2189" s="58">
        <v>34777966836</v>
      </c>
      <c r="C2189" s="63" t="s">
        <v>3121</v>
      </c>
      <c r="D2189" s="60">
        <v>33600648870</v>
      </c>
      <c r="E2189" s="9">
        <v>117</v>
      </c>
      <c r="F2189" s="25">
        <v>43117</v>
      </c>
      <c r="G2189" s="61" t="s">
        <v>13</v>
      </c>
      <c r="H2189" s="9"/>
      <c r="I2189" s="8"/>
      <c r="J2189" s="8"/>
      <c r="K2189" s="8"/>
      <c r="L2189" s="9" t="s">
        <v>170</v>
      </c>
      <c r="M2189" s="8"/>
    </row>
    <row r="2190" spans="1:13">
      <c r="A2190" s="27" t="s">
        <v>3122</v>
      </c>
      <c r="B2190" s="58"/>
      <c r="C2190" s="27" t="s">
        <v>3123</v>
      </c>
      <c r="D2190" s="60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62" t="s">
        <v>3124</v>
      </c>
      <c r="B2191" s="58">
        <v>30104832878</v>
      </c>
      <c r="C2191" s="63"/>
      <c r="D2191" s="60"/>
      <c r="E2191" s="9">
        <v>292</v>
      </c>
      <c r="F2191" s="25">
        <v>43168</v>
      </c>
      <c r="G2191" s="9" t="s">
        <v>13</v>
      </c>
      <c r="H2191" s="9"/>
      <c r="I2191" s="8"/>
      <c r="J2191" s="8"/>
      <c r="K2191" s="8"/>
      <c r="L2191" s="9">
        <v>318</v>
      </c>
      <c r="M2191" s="8"/>
    </row>
    <row r="2192" spans="1:13">
      <c r="A2192" s="62" t="s">
        <v>3125</v>
      </c>
      <c r="B2192" s="58">
        <v>26930078875</v>
      </c>
      <c r="C2192" s="63"/>
      <c r="D2192" s="60"/>
      <c r="E2192" s="9"/>
      <c r="F2192" s="25"/>
      <c r="G2192" s="61"/>
      <c r="H2192" s="9"/>
      <c r="I2192" s="8"/>
      <c r="J2192" s="8"/>
      <c r="K2192" s="8"/>
      <c r="L2192" s="8"/>
      <c r="M2192" s="8"/>
    </row>
    <row r="2193" spans="1:13">
      <c r="A2193" s="15" t="s">
        <v>3126</v>
      </c>
      <c r="B2193" s="58">
        <v>30080164803</v>
      </c>
      <c r="C2193" s="63"/>
      <c r="D2193" s="60"/>
      <c r="E2193" s="9">
        <v>229</v>
      </c>
      <c r="F2193" s="25">
        <v>43151</v>
      </c>
      <c r="G2193" s="61" t="s">
        <v>13</v>
      </c>
      <c r="H2193" s="9"/>
      <c r="I2193" s="8"/>
      <c r="J2193" s="8"/>
      <c r="K2193" s="8"/>
      <c r="L2193" s="9">
        <v>232</v>
      </c>
      <c r="M2193" s="8"/>
    </row>
    <row r="2194" spans="1:13">
      <c r="A2194" s="62" t="s">
        <v>3127</v>
      </c>
      <c r="B2194" s="58">
        <v>27082581840</v>
      </c>
      <c r="C2194" s="68" t="s">
        <v>3128</v>
      </c>
      <c r="D2194" s="60">
        <v>37976724894</v>
      </c>
      <c r="E2194" s="9"/>
      <c r="F2194" s="25"/>
      <c r="G2194" s="61"/>
      <c r="H2194" s="9"/>
      <c r="I2194" s="8"/>
      <c r="J2194" s="8"/>
      <c r="K2194" s="8"/>
      <c r="L2194" s="8"/>
      <c r="M2194" s="8"/>
    </row>
    <row r="2195" spans="1:13">
      <c r="A2195" s="63" t="s">
        <v>3129</v>
      </c>
      <c r="B2195" s="58">
        <v>8191538857</v>
      </c>
      <c r="C2195" s="63"/>
      <c r="D2195" s="60"/>
      <c r="E2195" s="9">
        <v>485</v>
      </c>
      <c r="F2195" s="25">
        <v>43196</v>
      </c>
      <c r="G2195" s="61"/>
      <c r="H2195" s="9"/>
      <c r="I2195" s="8"/>
      <c r="J2195" s="8"/>
      <c r="K2195" s="8"/>
      <c r="L2195" s="9">
        <v>483</v>
      </c>
      <c r="M2195" s="8"/>
    </row>
    <row r="2196" spans="1:13">
      <c r="A2196" s="63" t="s">
        <v>3130</v>
      </c>
      <c r="B2196" s="58">
        <v>40878539859</v>
      </c>
      <c r="C2196" s="63" t="s">
        <v>3131</v>
      </c>
      <c r="D2196" s="60"/>
      <c r="E2196" s="9">
        <v>1489</v>
      </c>
      <c r="F2196" s="25">
        <v>43038</v>
      </c>
      <c r="G2196" s="61" t="s">
        <v>13</v>
      </c>
      <c r="H2196" s="9"/>
      <c r="I2196" s="8"/>
      <c r="J2196" s="8"/>
      <c r="K2196" s="8"/>
      <c r="L2196" s="9" t="s">
        <v>160</v>
      </c>
      <c r="M2196" s="8"/>
    </row>
    <row r="2197" spans="1:13">
      <c r="A2197" s="62" t="s">
        <v>3132</v>
      </c>
      <c r="B2197" s="58">
        <v>35643661802</v>
      </c>
      <c r="C2197" s="59" t="s">
        <v>3133</v>
      </c>
      <c r="D2197" s="60">
        <v>34613571898</v>
      </c>
      <c r="E2197" s="9">
        <v>1128</v>
      </c>
      <c r="F2197" s="25">
        <v>42972</v>
      </c>
      <c r="G2197" s="61" t="s">
        <v>13</v>
      </c>
      <c r="H2197" s="9"/>
      <c r="I2197" s="8"/>
      <c r="J2197" s="8"/>
      <c r="K2197" s="8"/>
      <c r="L2197" s="8"/>
      <c r="M2197" s="8"/>
    </row>
    <row r="2198" spans="1:13">
      <c r="A2198" s="27" t="s">
        <v>3134</v>
      </c>
      <c r="B2198" s="58">
        <v>89251660549</v>
      </c>
      <c r="C2198" s="18" t="s">
        <v>129</v>
      </c>
      <c r="D2198" s="60"/>
      <c r="E2198" s="9"/>
      <c r="F2198" s="25"/>
      <c r="G2198" s="61"/>
      <c r="H2198" s="9"/>
      <c r="I2198" s="8"/>
      <c r="J2198" s="8"/>
      <c r="K2198" s="8"/>
      <c r="L2198" s="8"/>
      <c r="M2198" s="8"/>
    </row>
    <row r="2199" spans="1:13">
      <c r="A2199" s="13" t="s">
        <v>3135</v>
      </c>
      <c r="B2199" s="58">
        <v>16264017809</v>
      </c>
      <c r="C2199" s="59"/>
      <c r="D2199" s="60"/>
      <c r="E2199" s="9">
        <v>1241</v>
      </c>
      <c r="F2199" s="25">
        <v>42992</v>
      </c>
      <c r="G2199" s="61" t="s">
        <v>13</v>
      </c>
      <c r="H2199" s="9"/>
      <c r="I2199" s="8"/>
      <c r="J2199" s="8"/>
      <c r="K2199" s="8"/>
      <c r="L2199" s="8"/>
      <c r="M2199" s="8"/>
    </row>
    <row r="2200" spans="1:13">
      <c r="A2200" s="13" t="s">
        <v>3136</v>
      </c>
      <c r="B2200" s="58">
        <v>28280731814</v>
      </c>
      <c r="C2200" s="59" t="s">
        <v>3137</v>
      </c>
      <c r="D2200" s="60">
        <v>36523032884</v>
      </c>
      <c r="E2200" s="9">
        <v>1128</v>
      </c>
      <c r="F2200" s="25">
        <v>42972</v>
      </c>
      <c r="G2200" s="61" t="s">
        <v>13</v>
      </c>
      <c r="H2200" s="9"/>
      <c r="I2200" s="8"/>
      <c r="J2200" s="8"/>
      <c r="K2200" s="8"/>
      <c r="L2200" s="8"/>
      <c r="M2200" s="8"/>
    </row>
    <row r="2201" spans="1:13">
      <c r="A2201" s="62" t="s">
        <v>3138</v>
      </c>
      <c r="B2201" s="58">
        <v>12525223802</v>
      </c>
      <c r="C2201" s="59" t="s">
        <v>3139</v>
      </c>
      <c r="D2201" s="60">
        <v>67349218591</v>
      </c>
      <c r="E2201" s="9">
        <v>1343</v>
      </c>
      <c r="F2201" s="25">
        <v>43004</v>
      </c>
      <c r="G2201" s="61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62" t="s">
        <v>3140</v>
      </c>
      <c r="B2202" s="58">
        <v>37014825860</v>
      </c>
      <c r="C2202" s="63" t="s">
        <v>3141</v>
      </c>
      <c r="D2202" s="60">
        <v>38869051870</v>
      </c>
      <c r="E2202" s="9">
        <v>1752</v>
      </c>
      <c r="F2202" s="25">
        <v>43051</v>
      </c>
      <c r="G2202" s="61" t="s">
        <v>13</v>
      </c>
      <c r="H2202" s="9"/>
      <c r="I2202" s="8"/>
      <c r="J2202" s="8"/>
      <c r="K2202" s="8"/>
      <c r="L2202" s="9">
        <v>1759</v>
      </c>
      <c r="M2202" s="8"/>
    </row>
    <row r="2203" spans="1:13">
      <c r="A2203" s="62" t="s">
        <v>3142</v>
      </c>
      <c r="B2203" s="58">
        <v>34927576850</v>
      </c>
      <c r="C2203" s="63"/>
      <c r="D2203" s="60"/>
      <c r="E2203" s="9">
        <v>1106</v>
      </c>
      <c r="F2203" s="25">
        <v>42965</v>
      </c>
      <c r="G2203" s="61" t="s">
        <v>13</v>
      </c>
      <c r="H2203" s="9"/>
      <c r="I2203" s="8"/>
      <c r="J2203" s="8"/>
      <c r="K2203" s="8"/>
      <c r="L2203" s="8"/>
      <c r="M2203" s="8"/>
    </row>
    <row r="2204" spans="1:13">
      <c r="A2204" s="62" t="s">
        <v>3143</v>
      </c>
      <c r="B2204" s="58">
        <v>36059848869</v>
      </c>
      <c r="C2204" s="59"/>
      <c r="D2204" s="60"/>
      <c r="E2204" s="9">
        <v>1128</v>
      </c>
      <c r="F2204" s="25">
        <v>42972</v>
      </c>
      <c r="G2204" s="61" t="s">
        <v>13</v>
      </c>
      <c r="H2204" s="9"/>
      <c r="I2204" s="8"/>
      <c r="J2204" s="8"/>
      <c r="K2204" s="8"/>
      <c r="L2204" s="8"/>
      <c r="M2204" s="8"/>
    </row>
    <row r="2205" spans="1:13">
      <c r="A2205" s="62" t="s">
        <v>3144</v>
      </c>
      <c r="B2205" s="58">
        <v>15095801825</v>
      </c>
      <c r="C2205" s="63" t="s">
        <v>3145</v>
      </c>
      <c r="D2205" s="60">
        <v>16417229831</v>
      </c>
      <c r="E2205" s="9">
        <v>85</v>
      </c>
      <c r="F2205" s="25">
        <v>43109</v>
      </c>
      <c r="G2205" s="61" t="s">
        <v>13</v>
      </c>
      <c r="H2205" s="25">
        <v>43151</v>
      </c>
      <c r="I2205" s="8"/>
      <c r="J2205" s="8"/>
      <c r="K2205" s="8"/>
      <c r="L2205" s="8"/>
      <c r="M2205" s="8"/>
    </row>
    <row r="2206" spans="1:13">
      <c r="A2206" s="62" t="s">
        <v>3146</v>
      </c>
      <c r="B2206" s="58">
        <v>33752444878</v>
      </c>
      <c r="C2206" s="63"/>
      <c r="D2206" s="60"/>
      <c r="E2206" s="9"/>
      <c r="F2206" s="25"/>
      <c r="G2206" s="61"/>
      <c r="H2206" s="9"/>
      <c r="I2206" s="8"/>
      <c r="J2206" s="8"/>
      <c r="K2206" s="8"/>
      <c r="L2206" s="8"/>
      <c r="M2206" s="8"/>
    </row>
    <row r="2207" spans="1:13">
      <c r="A2207" s="15" t="s">
        <v>3147</v>
      </c>
      <c r="B2207" s="58">
        <v>58037845249</v>
      </c>
      <c r="C2207" s="63" t="s">
        <v>3148</v>
      </c>
      <c r="D2207" s="60">
        <v>496500333</v>
      </c>
      <c r="E2207" s="9">
        <v>117</v>
      </c>
      <c r="F2207" s="25">
        <v>43117</v>
      </c>
      <c r="G2207" s="61" t="s">
        <v>13</v>
      </c>
      <c r="H2207" s="9"/>
      <c r="I2207" s="8"/>
      <c r="J2207" s="8"/>
      <c r="K2207" s="8"/>
      <c r="L2207" s="9" t="s">
        <v>170</v>
      </c>
      <c r="M2207" s="8"/>
    </row>
    <row r="2208" spans="1:13">
      <c r="A2208" s="75" t="s">
        <v>3149</v>
      </c>
      <c r="B2208" s="58">
        <v>21380472881</v>
      </c>
      <c r="C2208" s="63"/>
      <c r="D2208" s="60"/>
      <c r="E2208" s="9"/>
      <c r="F2208" s="25"/>
      <c r="G2208" s="61"/>
      <c r="H2208" s="9"/>
      <c r="I2208" s="8"/>
      <c r="J2208" s="8"/>
      <c r="K2208" s="8"/>
      <c r="L2208" s="8"/>
      <c r="M2208" s="8"/>
    </row>
    <row r="2209" spans="1:13">
      <c r="A2209" s="62" t="s">
        <v>3150</v>
      </c>
      <c r="B2209" s="58">
        <v>30245787810</v>
      </c>
      <c r="C2209" s="63"/>
      <c r="D2209" s="60"/>
      <c r="E2209" s="9">
        <v>443</v>
      </c>
      <c r="F2209" s="25">
        <v>43188</v>
      </c>
      <c r="G2209" s="61"/>
      <c r="H2209" s="9"/>
      <c r="I2209" s="8"/>
      <c r="J2209" s="8"/>
      <c r="K2209" s="8"/>
      <c r="L2209" s="8"/>
      <c r="M2209" s="8"/>
    </row>
    <row r="2210" spans="1:13">
      <c r="A2210" s="63" t="s">
        <v>3151</v>
      </c>
      <c r="B2210" s="58">
        <v>4416847858</v>
      </c>
      <c r="C2210" s="63" t="s">
        <v>3152</v>
      </c>
      <c r="D2210" s="60">
        <v>21831994518</v>
      </c>
      <c r="E2210" s="9"/>
      <c r="F2210" s="25"/>
      <c r="G2210" s="61"/>
      <c r="H2210" s="9"/>
      <c r="I2210" s="8"/>
      <c r="J2210" s="8"/>
      <c r="K2210" s="8"/>
      <c r="L2210" s="8"/>
      <c r="M2210" s="8"/>
    </row>
    <row r="2211" spans="1:13">
      <c r="A2211" s="27" t="s">
        <v>3153</v>
      </c>
      <c r="B2211" s="58"/>
      <c r="C2211" s="18" t="s">
        <v>129</v>
      </c>
      <c r="D2211" s="60"/>
      <c r="E2211" s="9"/>
      <c r="F2211" s="25"/>
      <c r="G2211" s="61"/>
      <c r="H2211" s="9"/>
      <c r="I2211" s="8"/>
      <c r="J2211" s="8"/>
      <c r="K2211" s="8"/>
      <c r="L2211" s="8"/>
      <c r="M2211" s="8"/>
    </row>
    <row r="2212" spans="1:13">
      <c r="A2212" s="62" t="s">
        <v>3154</v>
      </c>
      <c r="B2212" s="58">
        <v>16661345896</v>
      </c>
      <c r="C2212" s="63"/>
      <c r="D2212" s="60"/>
      <c r="E2212" s="9">
        <v>1241</v>
      </c>
      <c r="F2212" s="25">
        <v>42992</v>
      </c>
      <c r="G2212" s="61" t="s">
        <v>13</v>
      </c>
      <c r="H2212" s="9"/>
      <c r="I2212" s="8"/>
      <c r="J2212" s="8"/>
      <c r="K2212" s="8"/>
      <c r="L2212" s="8"/>
      <c r="M2212" s="8"/>
    </row>
    <row r="2213" spans="1:13">
      <c r="A2213" s="62" t="s">
        <v>3155</v>
      </c>
      <c r="B2213" s="58">
        <v>35325197800</v>
      </c>
      <c r="C2213" s="63" t="s">
        <v>3156</v>
      </c>
      <c r="D2213" s="60">
        <v>38159378840</v>
      </c>
      <c r="E2213" s="9">
        <v>810</v>
      </c>
      <c r="F2213" s="25">
        <v>42915</v>
      </c>
      <c r="G2213" s="61" t="s">
        <v>13</v>
      </c>
      <c r="H2213" s="9"/>
      <c r="I2213" s="8"/>
      <c r="J2213" s="8"/>
      <c r="K2213" s="8"/>
      <c r="L2213" s="9" t="s">
        <v>138</v>
      </c>
      <c r="M2213" s="8"/>
    </row>
    <row r="2214" spans="1:13">
      <c r="A2214" s="62" t="s">
        <v>3157</v>
      </c>
      <c r="B2214" s="58">
        <v>37527821884</v>
      </c>
      <c r="C2214" s="63" t="s">
        <v>3158</v>
      </c>
      <c r="D2214" s="60">
        <v>69447810420</v>
      </c>
      <c r="E2214" s="9">
        <v>262</v>
      </c>
      <c r="F2214" s="25">
        <v>43160</v>
      </c>
      <c r="G2214" s="61" t="s">
        <v>13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62" t="s">
        <v>3159</v>
      </c>
      <c r="B2215" s="58">
        <v>29116415825</v>
      </c>
      <c r="C2215" s="63"/>
      <c r="D2215" s="60"/>
      <c r="E2215" s="9">
        <v>117</v>
      </c>
      <c r="F2215" s="25">
        <v>43117</v>
      </c>
      <c r="G2215" s="61" t="s">
        <v>13</v>
      </c>
      <c r="H2215" s="9"/>
      <c r="I2215" s="8"/>
      <c r="J2215" s="8"/>
      <c r="K2215" s="8"/>
      <c r="L2215" s="9" t="s">
        <v>170</v>
      </c>
      <c r="M2215" s="8"/>
    </row>
    <row r="2216" spans="1:13">
      <c r="A2216" s="15" t="s">
        <v>3160</v>
      </c>
      <c r="B2216" s="58">
        <v>85281050672</v>
      </c>
      <c r="C2216" s="63" t="s">
        <v>3161</v>
      </c>
      <c r="D2216" s="60">
        <v>5490696664</v>
      </c>
      <c r="E2216" s="9">
        <v>229</v>
      </c>
      <c r="F2216" s="25">
        <v>43151</v>
      </c>
      <c r="G2216" s="61" t="s">
        <v>13</v>
      </c>
      <c r="H2216" s="9"/>
      <c r="I2216" s="8"/>
      <c r="J2216" s="8"/>
      <c r="K2216" s="8"/>
      <c r="L2216" s="9">
        <v>232</v>
      </c>
      <c r="M2216" s="8"/>
    </row>
    <row r="2217" spans="1:13">
      <c r="A2217" s="62" t="s">
        <v>3162</v>
      </c>
      <c r="B2217" s="58">
        <v>28203692869</v>
      </c>
      <c r="C2217" s="63"/>
      <c r="D2217" s="60"/>
      <c r="E2217" s="9">
        <v>292</v>
      </c>
      <c r="F2217" s="25">
        <v>43168</v>
      </c>
      <c r="G2217" s="61" t="s">
        <v>13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3163</v>
      </c>
      <c r="B2218" s="58">
        <v>7414399800</v>
      </c>
      <c r="C2218" s="63"/>
      <c r="D2218" s="60"/>
      <c r="E2218" s="9">
        <v>117</v>
      </c>
      <c r="F2218" s="25">
        <v>43117</v>
      </c>
      <c r="G2218" s="61" t="s">
        <v>20</v>
      </c>
      <c r="H2218" s="9"/>
      <c r="I2218" s="8"/>
      <c r="J2218" s="8"/>
      <c r="K2218" s="8"/>
      <c r="L2218" s="9" t="s">
        <v>170</v>
      </c>
      <c r="M2218" s="8"/>
    </row>
    <row r="2219" spans="1:13">
      <c r="A2219" s="62" t="s">
        <v>3164</v>
      </c>
      <c r="B2219" s="58">
        <v>2939736448</v>
      </c>
      <c r="C2219" s="63"/>
      <c r="D2219" s="60"/>
      <c r="E2219" s="9"/>
      <c r="F2219" s="25"/>
      <c r="G2219" s="61"/>
      <c r="H2219" s="9"/>
      <c r="I2219" s="8"/>
      <c r="J2219" s="8"/>
      <c r="K2219" s="8"/>
      <c r="L2219" s="8"/>
      <c r="M2219" s="8"/>
    </row>
    <row r="2220" spans="1:13">
      <c r="A2220" s="62" t="s">
        <v>3165</v>
      </c>
      <c r="B2220" s="58">
        <v>27851461820</v>
      </c>
      <c r="C2220" s="63" t="s">
        <v>3166</v>
      </c>
      <c r="D2220" s="60">
        <v>27264565882</v>
      </c>
      <c r="E2220" s="9">
        <v>117</v>
      </c>
      <c r="F2220" s="25">
        <v>43117</v>
      </c>
      <c r="G2220" s="61" t="s">
        <v>13</v>
      </c>
      <c r="H2220" s="9"/>
      <c r="I2220" s="8"/>
      <c r="J2220" s="8"/>
      <c r="K2220" s="8"/>
      <c r="L2220" s="9" t="s">
        <v>170</v>
      </c>
      <c r="M2220" s="8"/>
    </row>
    <row r="2221" spans="1:13">
      <c r="A2221" s="62" t="s">
        <v>3167</v>
      </c>
      <c r="B2221" s="58">
        <v>32960731832</v>
      </c>
      <c r="C2221" s="68" t="s">
        <v>3168</v>
      </c>
      <c r="D2221" s="60">
        <v>33264655802</v>
      </c>
      <c r="E2221" s="9"/>
      <c r="F2221" s="25"/>
      <c r="G2221" s="61"/>
      <c r="H2221" s="9"/>
      <c r="I2221" s="8"/>
      <c r="J2221" s="8"/>
      <c r="K2221" s="8"/>
      <c r="L2221" s="8"/>
      <c r="M2221" s="8"/>
    </row>
    <row r="2222" spans="1:13">
      <c r="A2222" s="18" t="s">
        <v>3169</v>
      </c>
      <c r="B2222" s="58"/>
      <c r="C2222" s="18"/>
      <c r="D2222" s="60"/>
      <c r="E2222" s="9"/>
      <c r="F2222" s="25"/>
      <c r="G2222" s="61"/>
      <c r="H2222" s="9"/>
      <c r="I2222" s="8"/>
      <c r="J2222" s="8"/>
      <c r="K2222" s="8"/>
      <c r="L2222" s="8"/>
      <c r="M2222" s="8"/>
    </row>
    <row r="2223" spans="1:13">
      <c r="A2223" s="62" t="s">
        <v>3170</v>
      </c>
      <c r="B2223" s="58">
        <v>11596370831</v>
      </c>
      <c r="C2223" s="63"/>
      <c r="D2223" s="60"/>
      <c r="E2223" s="9">
        <v>1267</v>
      </c>
      <c r="F2223" s="25">
        <v>42998</v>
      </c>
      <c r="G2223" s="61" t="s">
        <v>13</v>
      </c>
      <c r="H2223" s="9"/>
      <c r="I2223" s="8"/>
      <c r="J2223" s="8"/>
      <c r="K2223" s="8"/>
      <c r="L2223" s="8"/>
      <c r="M2223" s="8"/>
    </row>
    <row r="2224" spans="1:13">
      <c r="A2224" s="62" t="s">
        <v>3171</v>
      </c>
      <c r="B2224" s="58">
        <v>32148451871</v>
      </c>
      <c r="C2224" s="63"/>
      <c r="D2224" s="60"/>
      <c r="E2224" s="9">
        <v>1489</v>
      </c>
      <c r="F2224" s="25">
        <v>43038</v>
      </c>
      <c r="G2224" s="61" t="s">
        <v>13</v>
      </c>
      <c r="H2224" s="9"/>
      <c r="I2224" s="8"/>
      <c r="J2224" s="8"/>
      <c r="K2224" s="8"/>
      <c r="L2224" s="9" t="s">
        <v>160</v>
      </c>
      <c r="M2224" s="8"/>
    </row>
    <row r="2225" spans="1:13">
      <c r="A2225" s="62" t="s">
        <v>3172</v>
      </c>
      <c r="B2225" s="58">
        <v>39390467870</v>
      </c>
      <c r="C2225" s="63"/>
      <c r="D2225" s="60"/>
      <c r="E2225" s="9">
        <v>1570</v>
      </c>
      <c r="F2225" s="25">
        <v>43077</v>
      </c>
      <c r="G2225" s="61" t="s">
        <v>13</v>
      </c>
      <c r="H2225" s="9"/>
      <c r="I2225" s="8"/>
      <c r="J2225" s="8"/>
      <c r="K2225" s="8"/>
      <c r="L2225" s="8"/>
      <c r="M2225" s="8"/>
    </row>
    <row r="2226" spans="1:13">
      <c r="A2226" s="62" t="s">
        <v>3173</v>
      </c>
      <c r="B2226" s="58">
        <v>66019133591</v>
      </c>
      <c r="C2226" s="63"/>
      <c r="D2226" s="60"/>
      <c r="E2226" s="9">
        <v>1106</v>
      </c>
      <c r="F2226" s="25">
        <v>42965</v>
      </c>
      <c r="G2226" s="61" t="s">
        <v>13</v>
      </c>
      <c r="H2226" s="9"/>
      <c r="I2226" s="8"/>
      <c r="J2226" s="8"/>
      <c r="K2226" s="8"/>
      <c r="L2226" s="8"/>
      <c r="M2226" s="8"/>
    </row>
    <row r="2227" spans="1:13">
      <c r="A2227" s="27" t="s">
        <v>3174</v>
      </c>
      <c r="B2227" s="58"/>
      <c r="C2227" s="18" t="s">
        <v>129</v>
      </c>
      <c r="D2227" s="60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62" t="s">
        <v>3175</v>
      </c>
      <c r="B2228" s="58">
        <v>31837657807</v>
      </c>
      <c r="C2228" s="63"/>
      <c r="D2228" s="60"/>
      <c r="E2228" s="9">
        <v>1752</v>
      </c>
      <c r="F2228" s="25">
        <v>43051</v>
      </c>
      <c r="G2228" s="61" t="s">
        <v>13</v>
      </c>
      <c r="H2228" s="9"/>
      <c r="I2228" s="8"/>
      <c r="J2228" s="8"/>
      <c r="K2228" s="8"/>
      <c r="L2228" s="9">
        <v>1759</v>
      </c>
      <c r="M2228" s="8"/>
    </row>
    <row r="2229" spans="1:13">
      <c r="A2229" s="62" t="s">
        <v>3176</v>
      </c>
      <c r="B2229" s="58">
        <v>442464045</v>
      </c>
      <c r="C2229" s="63"/>
      <c r="D2229" s="60"/>
      <c r="E2229" s="9">
        <v>292</v>
      </c>
      <c r="F2229" s="25">
        <v>43168</v>
      </c>
      <c r="G2229" s="61" t="s">
        <v>13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3177</v>
      </c>
      <c r="B2230" s="58"/>
      <c r="C2230" s="18"/>
      <c r="D2230" s="60"/>
      <c r="E2230" s="9"/>
      <c r="F2230" s="25"/>
      <c r="G2230" s="61"/>
      <c r="H2230" s="9"/>
      <c r="I2230" s="8"/>
      <c r="J2230" s="8"/>
      <c r="K2230" s="8"/>
      <c r="L2230" s="8"/>
      <c r="M2230" s="8"/>
    </row>
    <row r="2231" spans="1:13">
      <c r="A2231" s="15" t="s">
        <v>3178</v>
      </c>
      <c r="B2231" s="58">
        <v>16699525840</v>
      </c>
      <c r="C2231" s="63"/>
      <c r="D2231" s="60"/>
      <c r="E2231" s="9">
        <v>117</v>
      </c>
      <c r="F2231" s="25">
        <v>43117</v>
      </c>
      <c r="G2231" s="61" t="s">
        <v>13</v>
      </c>
      <c r="H2231" s="9"/>
      <c r="I2231" s="8"/>
      <c r="J2231" s="8"/>
      <c r="K2231" s="8"/>
      <c r="L2231" s="9" t="s">
        <v>170</v>
      </c>
      <c r="M2231" s="8"/>
    </row>
    <row r="2232" spans="1:13">
      <c r="A2232" s="14" t="s">
        <v>3179</v>
      </c>
      <c r="B2232" s="58">
        <v>28144806859</v>
      </c>
      <c r="C2232" s="63"/>
      <c r="D2232" s="60"/>
      <c r="E2232" s="9">
        <v>443</v>
      </c>
      <c r="F2232" s="25">
        <v>43188</v>
      </c>
      <c r="G2232" s="61"/>
      <c r="H2232" s="9"/>
      <c r="I2232" s="8"/>
      <c r="J2232" s="8"/>
      <c r="K2232" s="8"/>
      <c r="L2232" s="8"/>
      <c r="M2232" s="8"/>
    </row>
    <row r="2233" spans="1:13">
      <c r="A2233" s="15" t="s">
        <v>3180</v>
      </c>
      <c r="B2233" s="58">
        <v>7632197893</v>
      </c>
      <c r="C2233" s="63"/>
      <c r="D2233" s="60"/>
      <c r="E2233" s="9">
        <v>85</v>
      </c>
      <c r="F2233" s="25">
        <v>43109</v>
      </c>
      <c r="G2233" s="61" t="s">
        <v>13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3181</v>
      </c>
      <c r="B2234" s="58">
        <v>28135599897</v>
      </c>
      <c r="C2234" s="63"/>
      <c r="D2234" s="60"/>
      <c r="E2234" s="9"/>
      <c r="F2234" s="25"/>
      <c r="G2234" s="61"/>
      <c r="H2234" s="9"/>
      <c r="I2234" s="8"/>
      <c r="J2234" s="8"/>
      <c r="K2234" s="8"/>
      <c r="L2234" s="8"/>
      <c r="M2234" s="8"/>
    </row>
    <row r="2235" spans="1:13">
      <c r="A2235" s="62" t="s">
        <v>3182</v>
      </c>
      <c r="B2235" s="58">
        <v>25257368854</v>
      </c>
      <c r="C2235" s="63"/>
      <c r="D2235" s="60"/>
      <c r="E2235" s="9">
        <v>443</v>
      </c>
      <c r="F2235" s="25">
        <v>43188</v>
      </c>
      <c r="G2235" s="61"/>
      <c r="H2235" s="9"/>
      <c r="I2235" s="8"/>
      <c r="J2235" s="8"/>
      <c r="K2235" s="8"/>
      <c r="L2235" s="8"/>
      <c r="M2235" s="8"/>
    </row>
    <row r="2236" spans="1:13">
      <c r="A2236" s="68" t="s">
        <v>3183</v>
      </c>
      <c r="B2236" s="58">
        <v>65624858604</v>
      </c>
      <c r="C2236" s="63"/>
      <c r="D2236" s="60"/>
      <c r="E2236" s="9"/>
      <c r="F2236" s="25"/>
      <c r="G2236" s="61"/>
      <c r="H2236" s="9"/>
      <c r="I2236" s="8"/>
      <c r="J2236" s="8"/>
      <c r="K2236" s="8"/>
      <c r="L2236" s="8"/>
      <c r="M2236" s="8"/>
    </row>
    <row r="2237" spans="1:13">
      <c r="A2237" s="62" t="s">
        <v>3184</v>
      </c>
      <c r="B2237" s="58">
        <v>22548549844</v>
      </c>
      <c r="C2237" s="68" t="s">
        <v>3185</v>
      </c>
      <c r="D2237" s="60">
        <v>36160419889</v>
      </c>
      <c r="E2237" s="9"/>
      <c r="F2237" s="25"/>
      <c r="G2237" s="61"/>
      <c r="H2237" s="9"/>
      <c r="I2237" s="8"/>
      <c r="J2237" s="8"/>
      <c r="K2237" s="8"/>
      <c r="L2237" s="8"/>
      <c r="M2237" s="8"/>
    </row>
    <row r="2238" spans="1:13">
      <c r="A2238" s="15" t="s">
        <v>3186</v>
      </c>
      <c r="B2238" s="58">
        <v>34028808812</v>
      </c>
      <c r="C2238" s="63"/>
      <c r="D2238" s="60"/>
      <c r="E2238" s="9">
        <v>85</v>
      </c>
      <c r="F2238" s="25">
        <v>43109</v>
      </c>
      <c r="G2238" s="61" t="s">
        <v>13</v>
      </c>
      <c r="H2238" s="25">
        <v>43151</v>
      </c>
      <c r="I2238" s="8"/>
      <c r="J2238" s="8"/>
      <c r="K2238" s="8"/>
      <c r="L2238" s="8"/>
      <c r="M2238" s="8"/>
    </row>
    <row r="2239" spans="1:13">
      <c r="A2239" s="62" t="s">
        <v>3187</v>
      </c>
      <c r="B2239" s="58">
        <v>32944172840</v>
      </c>
      <c r="C2239" s="63"/>
      <c r="D2239" s="60"/>
      <c r="E2239" s="9">
        <v>292</v>
      </c>
      <c r="F2239" s="25">
        <v>43168</v>
      </c>
      <c r="G2239" s="61" t="s">
        <v>13</v>
      </c>
      <c r="H2239" s="9"/>
      <c r="I2239" s="8"/>
      <c r="J2239" s="8"/>
      <c r="K2239" s="8"/>
      <c r="L2239" s="9">
        <v>318</v>
      </c>
      <c r="M2239" s="8"/>
    </row>
    <row r="2240" spans="1:13">
      <c r="A2240" s="62" t="s">
        <v>3188</v>
      </c>
      <c r="B2240" s="58">
        <v>27757716888</v>
      </c>
      <c r="C2240" s="68" t="s">
        <v>3189</v>
      </c>
      <c r="D2240" s="60" t="s">
        <v>3190</v>
      </c>
      <c r="E2240" s="9"/>
      <c r="F2240" s="25"/>
      <c r="G2240" s="61"/>
      <c r="H2240" s="9"/>
      <c r="I2240" s="8"/>
      <c r="J2240" s="8"/>
      <c r="K2240" s="8"/>
      <c r="L2240" s="8"/>
      <c r="M2240" s="8"/>
    </row>
    <row r="2241" spans="1:13">
      <c r="A2241" s="15" t="s">
        <v>3191</v>
      </c>
      <c r="B2241" s="58">
        <v>30926413880</v>
      </c>
      <c r="C2241" s="63" t="s">
        <v>3192</v>
      </c>
      <c r="D2241" s="60">
        <v>29602877898</v>
      </c>
      <c r="E2241" s="9">
        <v>563</v>
      </c>
      <c r="F2241" s="25">
        <v>43217</v>
      </c>
      <c r="G2241" s="61"/>
      <c r="H2241" s="9"/>
      <c r="I2241" s="8"/>
      <c r="J2241" s="8"/>
      <c r="K2241" s="8"/>
      <c r="L2241" s="9" t="s">
        <v>299</v>
      </c>
      <c r="M2241" s="8"/>
    </row>
    <row r="2242" spans="1:13">
      <c r="A2242" s="62" t="s">
        <v>3193</v>
      </c>
      <c r="B2242" s="58">
        <v>32954076810</v>
      </c>
      <c r="C2242" s="63" t="s">
        <v>3194</v>
      </c>
      <c r="D2242" s="60">
        <v>82353131468</v>
      </c>
      <c r="E2242" s="9">
        <v>292</v>
      </c>
      <c r="F2242" s="25">
        <v>43168</v>
      </c>
      <c r="G2242" s="61" t="s">
        <v>13</v>
      </c>
      <c r="H2242" s="9"/>
      <c r="I2242" s="8"/>
      <c r="J2242" s="8"/>
      <c r="K2242" s="8"/>
      <c r="L2242" s="9">
        <v>318</v>
      </c>
      <c r="M2242" s="8"/>
    </row>
    <row r="2243" spans="1:13">
      <c r="A2243" s="62" t="s">
        <v>3195</v>
      </c>
      <c r="B2243" s="58">
        <v>73897264404</v>
      </c>
      <c r="C2243" s="63"/>
      <c r="D2243" s="60"/>
      <c r="E2243" s="9">
        <v>1824</v>
      </c>
      <c r="F2243" s="25">
        <v>43091</v>
      </c>
      <c r="G2243" s="61" t="s">
        <v>20</v>
      </c>
      <c r="H2243" s="9"/>
      <c r="I2243" s="8"/>
      <c r="J2243" s="8"/>
      <c r="K2243" s="8"/>
      <c r="L2243" s="9">
        <v>1828</v>
      </c>
      <c r="M2243" s="8"/>
    </row>
    <row r="2244" spans="1:13">
      <c r="A2244" s="62" t="s">
        <v>3196</v>
      </c>
      <c r="B2244" s="58">
        <v>35516398843</v>
      </c>
      <c r="C2244" s="63"/>
      <c r="D2244" s="60"/>
      <c r="E2244" s="9">
        <v>292</v>
      </c>
      <c r="F2244" s="25">
        <v>43168</v>
      </c>
      <c r="G2244" s="61" t="s">
        <v>13</v>
      </c>
      <c r="H2244" s="9"/>
      <c r="I2244" s="8"/>
      <c r="J2244" s="8"/>
      <c r="K2244" s="8"/>
      <c r="L2244" s="9">
        <v>318</v>
      </c>
      <c r="M2244" s="8"/>
    </row>
    <row r="2245" spans="1:13">
      <c r="A2245" s="62" t="s">
        <v>3197</v>
      </c>
      <c r="B2245" s="58">
        <v>21384986898</v>
      </c>
      <c r="C2245" s="63"/>
      <c r="D2245" s="60"/>
      <c r="E2245" s="9">
        <v>1824</v>
      </c>
      <c r="F2245" s="25">
        <v>43091</v>
      </c>
      <c r="G2245" s="61" t="s">
        <v>13</v>
      </c>
      <c r="H2245" s="9"/>
      <c r="I2245" s="8"/>
      <c r="J2245" s="8"/>
      <c r="K2245" s="8"/>
      <c r="L2245" s="9">
        <v>1828</v>
      </c>
      <c r="M2245" s="8"/>
    </row>
    <row r="2246" spans="1:13">
      <c r="A2246" s="62" t="s">
        <v>3198</v>
      </c>
      <c r="B2246" s="58">
        <v>23171032805</v>
      </c>
      <c r="C2246" s="63" t="s">
        <v>3199</v>
      </c>
      <c r="D2246" s="60">
        <v>23170860836</v>
      </c>
      <c r="E2246" s="9">
        <v>443</v>
      </c>
      <c r="F2246" s="25">
        <v>43188</v>
      </c>
      <c r="G2246" s="61"/>
      <c r="H2246" s="9"/>
      <c r="I2246" s="8"/>
      <c r="J2246" s="8"/>
      <c r="K2246" s="8"/>
      <c r="L2246" s="8"/>
      <c r="M2246" s="8"/>
    </row>
    <row r="2247" spans="1:13">
      <c r="A2247" s="62" t="s">
        <v>3200</v>
      </c>
      <c r="B2247" s="58">
        <v>33375182813</v>
      </c>
      <c r="C2247" s="66" t="s">
        <v>3201</v>
      </c>
      <c r="D2247" s="60">
        <v>30178836800</v>
      </c>
      <c r="E2247" s="9">
        <v>1106</v>
      </c>
      <c r="F2247" s="25">
        <v>42965</v>
      </c>
      <c r="G2247" s="61" t="s">
        <v>13</v>
      </c>
      <c r="H2247" s="9"/>
      <c r="I2247" s="8"/>
      <c r="J2247" s="8"/>
      <c r="K2247" s="8"/>
      <c r="L2247" s="8"/>
      <c r="M2247" s="8"/>
    </row>
    <row r="2248" spans="1:13">
      <c r="A2248" s="62" t="s">
        <v>3202</v>
      </c>
      <c r="B2248" s="58">
        <v>81684215668</v>
      </c>
      <c r="C2248" s="63"/>
      <c r="D2248" s="60"/>
      <c r="E2248" s="9">
        <v>1214</v>
      </c>
      <c r="F2248" s="25">
        <v>42989</v>
      </c>
      <c r="G2248" s="61" t="s">
        <v>13</v>
      </c>
      <c r="H2248" s="9"/>
      <c r="I2248" s="8"/>
      <c r="J2248" s="8"/>
      <c r="K2248" s="8"/>
      <c r="L2248" s="8"/>
      <c r="M2248" s="8"/>
    </row>
    <row r="2249" spans="1:13">
      <c r="A2249" s="62" t="s">
        <v>3203</v>
      </c>
      <c r="B2249" s="58">
        <v>15712243865</v>
      </c>
      <c r="C2249" s="63" t="s">
        <v>3204</v>
      </c>
      <c r="D2249" s="60">
        <v>501095705</v>
      </c>
      <c r="E2249" s="9">
        <v>1752</v>
      </c>
      <c r="F2249" s="25">
        <v>43051</v>
      </c>
      <c r="G2249" s="61" t="s">
        <v>13</v>
      </c>
      <c r="H2249" s="9"/>
      <c r="I2249" s="8"/>
      <c r="J2249" s="8"/>
      <c r="K2249" s="8"/>
      <c r="L2249" s="9">
        <v>1759</v>
      </c>
      <c r="M2249" s="8"/>
    </row>
    <row r="2250" spans="1:13">
      <c r="A2250" s="62" t="s">
        <v>3205</v>
      </c>
      <c r="B2250" s="58">
        <v>19448516827</v>
      </c>
      <c r="C2250" s="63"/>
      <c r="D2250" s="60"/>
      <c r="E2250" s="9">
        <v>810</v>
      </c>
      <c r="F2250" s="25">
        <v>42915</v>
      </c>
      <c r="G2250" s="61" t="s">
        <v>13</v>
      </c>
      <c r="H2250" s="9"/>
      <c r="I2250" s="8"/>
      <c r="J2250" s="8"/>
      <c r="K2250" s="8"/>
      <c r="L2250" s="9" t="s">
        <v>138</v>
      </c>
      <c r="M2250" s="8"/>
    </row>
    <row r="2251" spans="1:13">
      <c r="A2251" s="15" t="s">
        <v>3206</v>
      </c>
      <c r="B2251" s="58">
        <v>2635248419</v>
      </c>
      <c r="C2251" s="63"/>
      <c r="D2251" s="60"/>
      <c r="E2251" s="9">
        <v>262</v>
      </c>
      <c r="F2251" s="25">
        <v>43160</v>
      </c>
      <c r="G2251" s="61" t="s">
        <v>13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62" t="s">
        <v>3207</v>
      </c>
      <c r="B2252" s="58">
        <v>22403927899</v>
      </c>
      <c r="C2252" s="63" t="s">
        <v>3208</v>
      </c>
      <c r="D2252" s="60">
        <v>28560501827</v>
      </c>
      <c r="E2252" s="9"/>
      <c r="F2252" s="25"/>
      <c r="G2252" s="61"/>
      <c r="H2252" s="9"/>
      <c r="I2252" s="8"/>
      <c r="J2252" s="8"/>
      <c r="K2252" s="8"/>
      <c r="L2252" s="8"/>
      <c r="M2252" s="8"/>
    </row>
    <row r="2253" spans="1:13">
      <c r="A2253" s="13" t="s">
        <v>3209</v>
      </c>
      <c r="B2253" s="58">
        <v>38569770820</v>
      </c>
      <c r="C2253" s="63"/>
      <c r="D2253" s="60"/>
      <c r="E2253" s="9">
        <v>117</v>
      </c>
      <c r="F2253" s="25">
        <v>43117</v>
      </c>
      <c r="G2253" s="61" t="s">
        <v>13</v>
      </c>
      <c r="H2253" s="9"/>
      <c r="I2253" s="8"/>
      <c r="J2253" s="8"/>
      <c r="K2253" s="8"/>
      <c r="L2253" s="9" t="s">
        <v>170</v>
      </c>
      <c r="M2253" s="8"/>
    </row>
    <row r="2254" spans="1:13">
      <c r="A2254" s="14" t="s">
        <v>3210</v>
      </c>
      <c r="B2254" s="58">
        <v>36943818805</v>
      </c>
      <c r="C2254" s="63"/>
      <c r="D2254" s="60"/>
      <c r="E2254" s="9"/>
      <c r="F2254" s="25"/>
      <c r="G2254" s="61"/>
      <c r="H2254" s="9"/>
      <c r="I2254" s="8"/>
      <c r="J2254" s="8"/>
      <c r="K2254" s="8"/>
      <c r="L2254" s="8"/>
      <c r="M2254" s="8"/>
    </row>
    <row r="2255" spans="1:13">
      <c r="A2255" s="66" t="s">
        <v>3211</v>
      </c>
      <c r="B2255" s="58">
        <v>32624504800</v>
      </c>
      <c r="C2255" s="63" t="s">
        <v>3212</v>
      </c>
      <c r="D2255" s="60">
        <v>40612746860</v>
      </c>
      <c r="E2255" s="9"/>
      <c r="F2255" s="25"/>
      <c r="G2255" s="61"/>
      <c r="H2255" s="9"/>
      <c r="I2255" s="8"/>
      <c r="J2255" s="8"/>
      <c r="K2255" s="8"/>
      <c r="L2255" s="8"/>
      <c r="M2255" s="8"/>
    </row>
    <row r="2256" spans="1:13">
      <c r="A2256" s="62" t="s">
        <v>3213</v>
      </c>
      <c r="B2256" s="58">
        <v>71077545568</v>
      </c>
      <c r="C2256" s="59"/>
      <c r="D2256" s="60"/>
      <c r="E2256" s="9">
        <v>1128</v>
      </c>
      <c r="F2256" s="25">
        <v>42972</v>
      </c>
      <c r="G2256" s="61" t="s">
        <v>13</v>
      </c>
      <c r="H2256" s="9"/>
      <c r="I2256" s="8"/>
      <c r="J2256" s="8"/>
      <c r="K2256" s="8"/>
      <c r="L2256" s="8"/>
      <c r="M2256" s="8"/>
    </row>
    <row r="2257" spans="1:13">
      <c r="A2257" s="62" t="s">
        <v>3214</v>
      </c>
      <c r="B2257" s="58">
        <v>15534092807</v>
      </c>
      <c r="C2257" s="63"/>
      <c r="D2257" s="60"/>
      <c r="E2257" s="9">
        <v>1106</v>
      </c>
      <c r="F2257" s="25">
        <v>42965</v>
      </c>
      <c r="G2257" s="61" t="s">
        <v>20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63" t="s">
        <v>3215</v>
      </c>
      <c r="B2258" s="58">
        <v>11207918806</v>
      </c>
      <c r="C2258" s="63"/>
      <c r="D2258" s="60"/>
      <c r="E2258" s="9"/>
      <c r="F2258" s="25"/>
      <c r="G2258" s="61"/>
      <c r="H2258" s="9"/>
      <c r="I2258" s="8"/>
      <c r="J2258" s="8"/>
      <c r="K2258" s="8"/>
      <c r="L2258" s="8"/>
      <c r="M2258" s="8"/>
    </row>
    <row r="2259" spans="1:13">
      <c r="A2259" s="63" t="s">
        <v>3216</v>
      </c>
      <c r="B2259" s="58">
        <v>11533924457</v>
      </c>
      <c r="C2259" s="63"/>
      <c r="D2259" s="60"/>
      <c r="E2259" s="9">
        <v>292</v>
      </c>
      <c r="F2259" s="25">
        <v>43168</v>
      </c>
      <c r="G2259" s="9" t="s">
        <v>13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3217</v>
      </c>
      <c r="B2260" s="58">
        <v>14688456832</v>
      </c>
      <c r="C2260" s="63" t="s">
        <v>3218</v>
      </c>
      <c r="D2260" s="60">
        <v>72202017615</v>
      </c>
      <c r="E2260" s="9"/>
      <c r="F2260" s="25"/>
      <c r="G2260" s="61"/>
      <c r="H2260" s="9"/>
      <c r="I2260" s="8"/>
      <c r="J2260" s="8"/>
      <c r="K2260" s="8"/>
      <c r="L2260" s="8"/>
      <c r="M2260" s="8"/>
    </row>
    <row r="2261" spans="1:13">
      <c r="A2261" s="13" t="s">
        <v>3219</v>
      </c>
      <c r="B2261" s="58">
        <v>25238015828</v>
      </c>
      <c r="C2261" s="59"/>
      <c r="D2261" s="60"/>
      <c r="E2261" s="9">
        <v>1241</v>
      </c>
      <c r="F2261" s="25">
        <v>42992</v>
      </c>
      <c r="G2261" s="61" t="s">
        <v>13</v>
      </c>
      <c r="H2261" s="9"/>
      <c r="I2261" s="8"/>
      <c r="J2261" s="8"/>
      <c r="K2261" s="8"/>
      <c r="L2261" s="8"/>
      <c r="M2261" s="8"/>
    </row>
    <row r="2262" spans="1:13">
      <c r="A2262" s="62" t="s">
        <v>3220</v>
      </c>
      <c r="B2262" s="58">
        <v>21912285851</v>
      </c>
      <c r="C2262" s="63"/>
      <c r="D2262" s="60"/>
      <c r="E2262" s="9">
        <v>292</v>
      </c>
      <c r="F2262" s="25">
        <v>43168</v>
      </c>
      <c r="G2262" s="61" t="s">
        <v>13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3221</v>
      </c>
      <c r="B2263" s="58">
        <v>38726646897</v>
      </c>
      <c r="C2263" s="18" t="s">
        <v>3222</v>
      </c>
      <c r="D2263" s="60">
        <v>37572268870</v>
      </c>
      <c r="E2263" s="9"/>
      <c r="F2263" s="25"/>
      <c r="G2263" s="61"/>
      <c r="H2263" s="9"/>
      <c r="I2263" s="8"/>
      <c r="J2263" s="8"/>
      <c r="K2263" s="8"/>
      <c r="L2263" s="8"/>
      <c r="M2263" s="8"/>
    </row>
    <row r="2264" spans="1:13">
      <c r="A2264" s="27" t="s">
        <v>3223</v>
      </c>
      <c r="B2264" s="58">
        <v>45171952876</v>
      </c>
      <c r="C2264" s="27" t="s">
        <v>3224</v>
      </c>
      <c r="D2264" s="60">
        <v>41262810884</v>
      </c>
      <c r="E2264" s="9"/>
      <c r="F2264" s="25"/>
      <c r="G2264" s="61"/>
      <c r="H2264" s="9"/>
      <c r="I2264" s="8"/>
      <c r="J2264" s="8"/>
      <c r="K2264" s="8"/>
      <c r="L2264" s="8"/>
      <c r="M2264" s="8"/>
    </row>
    <row r="2265" spans="1:13">
      <c r="A2265" s="62" t="s">
        <v>3225</v>
      </c>
      <c r="B2265" s="58">
        <v>34527428810</v>
      </c>
      <c r="C2265" s="63"/>
      <c r="D2265" s="60"/>
      <c r="E2265" s="9">
        <v>292</v>
      </c>
      <c r="F2265" s="25">
        <v>43168</v>
      </c>
      <c r="G2265" s="61" t="s">
        <v>13</v>
      </c>
      <c r="H2265" s="9"/>
      <c r="I2265" s="8"/>
      <c r="J2265" s="8"/>
      <c r="K2265" s="8"/>
      <c r="L2265" s="9">
        <v>318</v>
      </c>
      <c r="M2265" s="8"/>
    </row>
    <row r="2266" spans="1:13">
      <c r="A2266" s="62" t="s">
        <v>3226</v>
      </c>
      <c r="B2266" s="58">
        <v>36695082871</v>
      </c>
      <c r="C2266" s="63" t="s">
        <v>3227</v>
      </c>
      <c r="D2266" s="60">
        <v>36736721857</v>
      </c>
      <c r="E2266" s="9">
        <v>1241</v>
      </c>
      <c r="F2266" s="25">
        <v>42992</v>
      </c>
      <c r="G2266" s="61" t="s">
        <v>13</v>
      </c>
      <c r="H2266" s="9"/>
      <c r="I2266" s="8"/>
      <c r="J2266" s="8"/>
      <c r="K2266" s="8"/>
      <c r="L2266" s="8"/>
      <c r="M2266" s="8"/>
    </row>
    <row r="2267" spans="1:13">
      <c r="A2267" s="13" t="s">
        <v>3228</v>
      </c>
      <c r="B2267" s="58">
        <v>34486403878</v>
      </c>
      <c r="C2267" s="59"/>
      <c r="D2267" s="60"/>
      <c r="E2267" s="9"/>
      <c r="F2267" s="25"/>
      <c r="G2267" s="61"/>
      <c r="H2267" s="9"/>
      <c r="I2267" s="8"/>
      <c r="J2267" s="8"/>
      <c r="K2267" s="8"/>
      <c r="L2267" s="8"/>
      <c r="M2267" s="8"/>
    </row>
    <row r="2268" spans="1:13">
      <c r="A2268" s="62" t="s">
        <v>3229</v>
      </c>
      <c r="B2268" s="58">
        <v>38536260840</v>
      </c>
      <c r="C2268" s="63"/>
      <c r="D2268" s="60"/>
      <c r="E2268" s="9"/>
      <c r="F2268" s="25"/>
      <c r="G2268" s="61"/>
      <c r="H2268" s="9"/>
      <c r="I2268" s="8"/>
      <c r="J2268" s="8"/>
      <c r="K2268" s="8"/>
      <c r="L2268" s="8"/>
      <c r="M2268" s="8"/>
    </row>
    <row r="2269" spans="1:13">
      <c r="A2269" s="62" t="s">
        <v>3230</v>
      </c>
      <c r="B2269" s="58">
        <v>42141950864</v>
      </c>
      <c r="C2269" s="63" t="s">
        <v>3231</v>
      </c>
      <c r="D2269" s="60"/>
      <c r="E2269" s="9">
        <v>1214</v>
      </c>
      <c r="F2269" s="25">
        <v>42989</v>
      </c>
      <c r="G2269" s="61" t="s">
        <v>13</v>
      </c>
      <c r="H2269" s="9"/>
      <c r="I2269" s="8"/>
      <c r="J2269" s="8"/>
      <c r="K2269" s="8"/>
      <c r="L2269" s="8"/>
      <c r="M2269" s="8"/>
    </row>
    <row r="2270" spans="1:13">
      <c r="A2270" s="15" t="s">
        <v>3232</v>
      </c>
      <c r="B2270" s="58">
        <v>47270275858</v>
      </c>
      <c r="C2270" s="63" t="s">
        <v>3233</v>
      </c>
      <c r="D2270" s="60">
        <v>34861975840</v>
      </c>
      <c r="E2270" s="9">
        <v>1824</v>
      </c>
      <c r="F2270" s="25">
        <v>43091</v>
      </c>
      <c r="G2270" s="61" t="s">
        <v>13</v>
      </c>
      <c r="H2270" s="9"/>
      <c r="I2270" s="8"/>
      <c r="J2270" s="8"/>
      <c r="K2270" s="8"/>
      <c r="L2270" s="9">
        <v>1828</v>
      </c>
      <c r="M2270" s="8"/>
    </row>
    <row r="2271" spans="1:13">
      <c r="A2271" s="64" t="s">
        <v>3234</v>
      </c>
      <c r="B2271" s="58">
        <v>25406088840</v>
      </c>
      <c r="C2271" s="63"/>
      <c r="D2271" s="60"/>
      <c r="E2271" s="9">
        <v>117</v>
      </c>
      <c r="F2271" s="25">
        <v>43117</v>
      </c>
      <c r="G2271" s="61" t="s">
        <v>13</v>
      </c>
      <c r="H2271" s="9"/>
      <c r="I2271" s="8"/>
      <c r="J2271" s="8"/>
      <c r="K2271" s="8"/>
      <c r="L2271" s="9" t="s">
        <v>170</v>
      </c>
      <c r="M2271" s="8"/>
    </row>
    <row r="2272" spans="1:13">
      <c r="A2272" s="27" t="s">
        <v>3235</v>
      </c>
      <c r="B2272" s="58">
        <v>22899917838</v>
      </c>
      <c r="C2272" s="18" t="s">
        <v>129</v>
      </c>
      <c r="D2272" s="60"/>
      <c r="E2272" s="9"/>
      <c r="F2272" s="25"/>
      <c r="G2272" s="61"/>
      <c r="H2272" s="9"/>
      <c r="I2272" s="8"/>
      <c r="J2272" s="8"/>
      <c r="K2272" s="8"/>
      <c r="L2272" s="8"/>
      <c r="M2272" s="8"/>
    </row>
    <row r="2273" spans="1:13">
      <c r="A2273" s="27" t="s">
        <v>3236</v>
      </c>
      <c r="B2273" s="58"/>
      <c r="C2273" s="27" t="s">
        <v>129</v>
      </c>
      <c r="D2273" s="60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62" t="s">
        <v>3237</v>
      </c>
      <c r="B2274" s="58">
        <v>45477385804</v>
      </c>
      <c r="C2274" s="63" t="s">
        <v>3238</v>
      </c>
      <c r="D2274" s="60">
        <v>40972166866</v>
      </c>
      <c r="E2274" s="9">
        <v>1417</v>
      </c>
      <c r="F2274" s="25">
        <v>43017</v>
      </c>
      <c r="G2274" s="61" t="s">
        <v>13</v>
      </c>
      <c r="H2274" s="9"/>
      <c r="I2274" s="8"/>
      <c r="J2274" s="8"/>
      <c r="K2274" s="8"/>
      <c r="L2274" s="9" t="s">
        <v>253</v>
      </c>
      <c r="M2274" s="8"/>
    </row>
    <row r="2275" spans="1:13">
      <c r="A2275" s="62" t="s">
        <v>3239</v>
      </c>
      <c r="B2275" s="58">
        <v>34332557840</v>
      </c>
      <c r="C2275" s="63"/>
      <c r="D2275" s="60"/>
      <c r="E2275" s="9">
        <v>1106</v>
      </c>
      <c r="F2275" s="25">
        <v>42965</v>
      </c>
      <c r="G2275" s="61" t="s">
        <v>13</v>
      </c>
      <c r="H2275" s="9"/>
      <c r="I2275" s="8"/>
      <c r="J2275" s="8"/>
      <c r="K2275" s="8"/>
      <c r="L2275" s="8"/>
      <c r="M2275" s="8"/>
    </row>
    <row r="2276" spans="1:13">
      <c r="A2276" s="27" t="s">
        <v>3240</v>
      </c>
      <c r="B2276" s="58"/>
      <c r="C2276" s="27" t="s">
        <v>3241</v>
      </c>
      <c r="D2276" s="60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3242</v>
      </c>
      <c r="B2277" s="58">
        <v>8990461855</v>
      </c>
      <c r="C2277" s="15" t="s">
        <v>3081</v>
      </c>
      <c r="D2277" s="60">
        <v>62239147504</v>
      </c>
      <c r="E2277" s="9"/>
      <c r="F2277" s="25"/>
      <c r="G2277" s="61"/>
      <c r="H2277" s="9"/>
      <c r="I2277" s="8"/>
      <c r="J2277" s="8"/>
      <c r="K2277" s="8"/>
      <c r="L2277" s="8"/>
      <c r="M2277" s="8"/>
    </row>
    <row r="2278" spans="1:13">
      <c r="A2278" s="62" t="s">
        <v>3243</v>
      </c>
      <c r="B2278" s="58">
        <v>38728784847</v>
      </c>
      <c r="C2278" s="63"/>
      <c r="D2278" s="60"/>
      <c r="E2278" s="9"/>
      <c r="F2278" s="25"/>
      <c r="G2278" s="61"/>
      <c r="H2278" s="9"/>
      <c r="I2278" s="8"/>
      <c r="J2278" s="8"/>
      <c r="K2278" s="8"/>
      <c r="L2278" s="8"/>
      <c r="M2278" s="8"/>
    </row>
    <row r="2279" spans="1:13">
      <c r="A2279" s="27" t="s">
        <v>3244</v>
      </c>
      <c r="B2279" s="58"/>
      <c r="C2279" s="27" t="s">
        <v>3245</v>
      </c>
      <c r="D2279" s="60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62" t="s">
        <v>3246</v>
      </c>
      <c r="B2280" s="58">
        <v>16514790895</v>
      </c>
      <c r="C2280" s="63"/>
      <c r="D2280" s="60"/>
      <c r="E2280" s="9">
        <v>1824</v>
      </c>
      <c r="F2280" s="25">
        <v>43091</v>
      </c>
      <c r="G2280" s="61" t="s">
        <v>13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3247</v>
      </c>
      <c r="B2281" s="58">
        <v>38917984827</v>
      </c>
      <c r="C2281" s="63" t="s">
        <v>3248</v>
      </c>
      <c r="D2281" s="60">
        <v>42231603896</v>
      </c>
      <c r="E2281" s="9">
        <v>229</v>
      </c>
      <c r="F2281" s="25">
        <v>43151</v>
      </c>
      <c r="G2281" s="61" t="s">
        <v>13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3249</v>
      </c>
      <c r="B2282" s="58">
        <v>37870673889</v>
      </c>
      <c r="C2282" s="63" t="s">
        <v>3250</v>
      </c>
      <c r="D2282" s="60">
        <v>2786569516</v>
      </c>
      <c r="E2282" s="9">
        <v>262</v>
      </c>
      <c r="F2282" s="25">
        <v>43160</v>
      </c>
      <c r="G2282" s="61" t="s">
        <v>13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3251</v>
      </c>
      <c r="B2283" s="58">
        <v>10441616801</v>
      </c>
      <c r="C2283" s="63" t="s">
        <v>3252</v>
      </c>
      <c r="D2283" s="60">
        <v>25326185822</v>
      </c>
      <c r="E2283" s="9"/>
      <c r="F2283" s="25"/>
      <c r="G2283" s="61"/>
      <c r="H2283" s="9"/>
      <c r="I2283" s="8"/>
      <c r="J2283" s="8"/>
      <c r="K2283" s="8"/>
      <c r="L2283" s="8"/>
      <c r="M2283" s="8"/>
    </row>
    <row r="2284" spans="1:13">
      <c r="A2284" s="28" t="s">
        <v>3253</v>
      </c>
      <c r="B2284" s="58">
        <v>11702039811</v>
      </c>
      <c r="C2284" s="30" t="s">
        <v>3254</v>
      </c>
      <c r="D2284" s="60">
        <v>14689396884</v>
      </c>
      <c r="E2284" s="9">
        <v>1350</v>
      </c>
      <c r="F2284" s="25">
        <v>43006</v>
      </c>
      <c r="G2284" s="61" t="s">
        <v>13</v>
      </c>
      <c r="H2284" s="9"/>
      <c r="I2284" s="8"/>
      <c r="J2284" s="8"/>
      <c r="K2284" s="8"/>
      <c r="L2284" s="8"/>
      <c r="M2284" s="8"/>
    </row>
    <row r="2285" spans="1:13">
      <c r="A2285" s="15" t="s">
        <v>3255</v>
      </c>
      <c r="B2285" s="58">
        <v>7190997652</v>
      </c>
      <c r="C2285" s="63"/>
      <c r="D2285" s="60"/>
      <c r="E2285" s="9">
        <v>229</v>
      </c>
      <c r="F2285" s="25">
        <v>43151</v>
      </c>
      <c r="G2285" s="61" t="s">
        <v>13</v>
      </c>
      <c r="H2285" s="9"/>
      <c r="I2285" s="8"/>
      <c r="J2285" s="8"/>
      <c r="K2285" s="8"/>
      <c r="L2285" s="9">
        <v>232</v>
      </c>
      <c r="M2285" s="8"/>
    </row>
    <row r="2286" spans="1:13">
      <c r="A2286" s="62" t="s">
        <v>3256</v>
      </c>
      <c r="B2286" s="58">
        <v>14806132829</v>
      </c>
      <c r="C2286" s="63"/>
      <c r="D2286" s="60"/>
      <c r="E2286" s="9"/>
      <c r="F2286" s="25"/>
      <c r="G2286" s="61"/>
      <c r="H2286" s="9"/>
      <c r="I2286" s="8"/>
      <c r="J2286" s="8"/>
      <c r="K2286" s="8"/>
      <c r="L2286" s="8"/>
      <c r="M2286" s="8"/>
    </row>
    <row r="2287" spans="1:13">
      <c r="A2287" s="62" t="s">
        <v>3257</v>
      </c>
      <c r="B2287" s="58">
        <v>32370344873</v>
      </c>
      <c r="C2287" s="63"/>
      <c r="D2287" s="60"/>
      <c r="E2287" s="9"/>
      <c r="F2287" s="25"/>
      <c r="G2287" s="61"/>
      <c r="H2287" s="9"/>
      <c r="I2287" s="8"/>
      <c r="J2287" s="8"/>
      <c r="K2287" s="8"/>
      <c r="L2287" s="8"/>
      <c r="M2287" s="8"/>
    </row>
    <row r="2288" spans="1:13">
      <c r="A2288" s="62" t="s">
        <v>3258</v>
      </c>
      <c r="B2288" s="58">
        <v>46959766842</v>
      </c>
      <c r="C2288" s="63" t="s">
        <v>3259</v>
      </c>
      <c r="D2288" s="60">
        <v>40096022876</v>
      </c>
      <c r="E2288" s="9">
        <v>1350</v>
      </c>
      <c r="F2288" s="25">
        <v>43006</v>
      </c>
      <c r="G2288" s="61" t="s">
        <v>13</v>
      </c>
      <c r="H2288" s="9"/>
      <c r="I2288" s="8"/>
      <c r="J2288" s="8"/>
      <c r="K2288" s="8"/>
      <c r="L2288" s="8"/>
      <c r="M2288" s="8"/>
    </row>
    <row r="2289" spans="1:13">
      <c r="A2289" s="62" t="s">
        <v>3260</v>
      </c>
      <c r="B2289" s="58">
        <v>15147799869</v>
      </c>
      <c r="C2289" s="63" t="s">
        <v>3261</v>
      </c>
      <c r="D2289" s="60">
        <v>18304595893</v>
      </c>
      <c r="E2289" s="9">
        <v>1824</v>
      </c>
      <c r="F2289" s="25">
        <v>43091</v>
      </c>
      <c r="G2289" s="61" t="s">
        <v>13</v>
      </c>
      <c r="H2289" s="9"/>
      <c r="I2289" s="8"/>
      <c r="J2289" s="8"/>
      <c r="K2289" s="8"/>
      <c r="L2289" s="9">
        <v>1828</v>
      </c>
      <c r="M2289" s="8"/>
    </row>
    <row r="2290" spans="1:13">
      <c r="A2290" s="62" t="s">
        <v>3262</v>
      </c>
      <c r="B2290" s="58">
        <v>29012884802</v>
      </c>
      <c r="C2290" s="63" t="s">
        <v>3263</v>
      </c>
      <c r="D2290" s="60">
        <v>16761377854</v>
      </c>
      <c r="E2290" s="9">
        <v>85</v>
      </c>
      <c r="F2290" s="25">
        <v>43109</v>
      </c>
      <c r="G2290" s="61" t="s">
        <v>13</v>
      </c>
      <c r="H2290" s="25">
        <v>43151</v>
      </c>
      <c r="I2290" s="8"/>
      <c r="J2290" s="8"/>
      <c r="K2290" s="8"/>
      <c r="L2290" s="8"/>
      <c r="M2290" s="8"/>
    </row>
    <row r="2291" spans="1:13">
      <c r="A2291" s="62" t="s">
        <v>3264</v>
      </c>
      <c r="B2291" s="58">
        <v>13009518854</v>
      </c>
      <c r="C2291" s="63" t="s">
        <v>3265</v>
      </c>
      <c r="D2291" s="60">
        <v>59636467749</v>
      </c>
      <c r="E2291" s="9">
        <v>1267</v>
      </c>
      <c r="F2291" s="25">
        <v>42998</v>
      </c>
      <c r="G2291" s="61" t="s">
        <v>28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62" t="s">
        <v>3266</v>
      </c>
      <c r="B2292" s="58">
        <v>27024611820</v>
      </c>
      <c r="C2292" s="63"/>
      <c r="D2292" s="60"/>
      <c r="E2292" s="9"/>
      <c r="F2292" s="25"/>
      <c r="G2292" s="61"/>
      <c r="H2292" s="9"/>
      <c r="I2292" s="8"/>
      <c r="J2292" s="8"/>
      <c r="K2292" s="8"/>
      <c r="L2292" s="8"/>
      <c r="M2292" s="8"/>
    </row>
    <row r="2293" spans="1:13">
      <c r="A2293" s="15" t="s">
        <v>3267</v>
      </c>
      <c r="B2293" s="58">
        <v>38605259809</v>
      </c>
      <c r="C2293" s="63" t="s">
        <v>3268</v>
      </c>
      <c r="D2293" s="60">
        <v>1090388519</v>
      </c>
      <c r="E2293" s="9">
        <v>117</v>
      </c>
      <c r="F2293" s="25">
        <v>43117</v>
      </c>
      <c r="G2293" s="61" t="s">
        <v>13</v>
      </c>
      <c r="H2293" s="9"/>
      <c r="I2293" s="8"/>
      <c r="J2293" s="8"/>
      <c r="K2293" s="8"/>
      <c r="L2293" s="9" t="s">
        <v>170</v>
      </c>
      <c r="M2293" s="8"/>
    </row>
    <row r="2294" spans="1:13">
      <c r="A2294" s="15" t="s">
        <v>3269</v>
      </c>
      <c r="B2294" s="58">
        <v>9333321810</v>
      </c>
      <c r="C2294" s="63" t="s">
        <v>3270</v>
      </c>
      <c r="D2294" s="60">
        <v>16122645818</v>
      </c>
      <c r="E2294" s="9">
        <v>117</v>
      </c>
      <c r="F2294" s="25">
        <v>43117</v>
      </c>
      <c r="G2294" s="61" t="s">
        <v>13</v>
      </c>
      <c r="H2294" s="9"/>
      <c r="I2294" s="8"/>
      <c r="J2294" s="8"/>
      <c r="K2294" s="8"/>
      <c r="L2294" s="9" t="s">
        <v>170</v>
      </c>
      <c r="M2294" s="8"/>
    </row>
    <row r="2295" spans="1:13">
      <c r="A2295" s="62" t="s">
        <v>3271</v>
      </c>
      <c r="B2295" s="58">
        <v>3941867539</v>
      </c>
      <c r="C2295" s="63"/>
      <c r="D2295" s="60"/>
      <c r="E2295" s="9">
        <v>810</v>
      </c>
      <c r="F2295" s="25">
        <v>42915</v>
      </c>
      <c r="G2295" s="61" t="s">
        <v>13</v>
      </c>
      <c r="H2295" s="9"/>
      <c r="I2295" s="8"/>
      <c r="J2295" s="8"/>
      <c r="K2295" s="8"/>
      <c r="L2295" s="9" t="s">
        <v>138</v>
      </c>
      <c r="M2295" s="8"/>
    </row>
    <row r="2296" spans="1:13">
      <c r="A2296" s="62" t="s">
        <v>3272</v>
      </c>
      <c r="B2296" s="58">
        <v>40786011890</v>
      </c>
      <c r="C2296" s="63"/>
      <c r="D2296" s="60"/>
      <c r="E2296" s="9"/>
      <c r="F2296" s="25"/>
      <c r="G2296" s="61"/>
      <c r="H2296" s="9"/>
      <c r="I2296" s="8"/>
      <c r="J2296" s="8"/>
      <c r="K2296" s="8"/>
      <c r="L2296" s="8"/>
      <c r="M2296" s="8"/>
    </row>
    <row r="2297" spans="1:13">
      <c r="A2297" s="62" t="s">
        <v>3273</v>
      </c>
      <c r="B2297" s="58">
        <v>25852243841</v>
      </c>
      <c r="C2297" s="63"/>
      <c r="D2297" s="60"/>
      <c r="E2297" s="9"/>
      <c r="F2297" s="25"/>
      <c r="G2297" s="61"/>
      <c r="H2297" s="9"/>
      <c r="I2297" s="8"/>
      <c r="J2297" s="8"/>
      <c r="K2297" s="8"/>
      <c r="L2297" s="8"/>
      <c r="M2297" s="8"/>
    </row>
    <row r="2298" spans="1:13">
      <c r="A2298" s="62" t="s">
        <v>3274</v>
      </c>
      <c r="B2298" s="58">
        <v>19586931897</v>
      </c>
      <c r="C2298" s="63"/>
      <c r="D2298" s="60"/>
      <c r="E2298" s="9"/>
      <c r="F2298" s="25"/>
      <c r="G2298" s="61"/>
      <c r="H2298" s="9"/>
      <c r="I2298" s="8"/>
      <c r="J2298" s="8"/>
      <c r="K2298" s="8"/>
      <c r="L2298" s="8"/>
      <c r="M2298" s="8"/>
    </row>
    <row r="2299" spans="1:13">
      <c r="A2299" s="62" t="s">
        <v>3275</v>
      </c>
      <c r="B2299" s="58">
        <v>33116094845</v>
      </c>
      <c r="C2299" s="64"/>
      <c r="D2299" s="60"/>
      <c r="E2299" s="9"/>
      <c r="F2299" s="25"/>
      <c r="G2299" s="61"/>
      <c r="H2299" s="9"/>
      <c r="I2299" s="8"/>
      <c r="J2299" s="8"/>
      <c r="K2299" s="8"/>
      <c r="L2299" s="8"/>
      <c r="M2299" s="8"/>
    </row>
    <row r="2300" spans="1:13">
      <c r="A2300" s="18" t="s">
        <v>3276</v>
      </c>
      <c r="B2300" s="58">
        <v>35810601839</v>
      </c>
      <c r="C2300" s="18" t="s">
        <v>3277</v>
      </c>
      <c r="D2300" s="60">
        <v>17623129805</v>
      </c>
      <c r="E2300" s="9"/>
      <c r="F2300" s="25"/>
      <c r="G2300" s="61"/>
      <c r="H2300" s="9"/>
      <c r="I2300" s="8"/>
      <c r="J2300" s="8"/>
      <c r="K2300" s="8"/>
      <c r="L2300" s="8"/>
      <c r="M2300" s="8"/>
    </row>
    <row r="2301" spans="1:13">
      <c r="A2301" s="62" t="s">
        <v>3278</v>
      </c>
      <c r="B2301" s="58">
        <v>32203433841</v>
      </c>
      <c r="C2301" s="63" t="s">
        <v>3279</v>
      </c>
      <c r="D2301" s="60">
        <v>36256617890</v>
      </c>
      <c r="E2301" s="9">
        <v>810</v>
      </c>
      <c r="F2301" s="25">
        <v>42915</v>
      </c>
      <c r="G2301" s="61" t="s">
        <v>13</v>
      </c>
      <c r="H2301" s="9"/>
      <c r="I2301" s="8"/>
      <c r="J2301" s="8"/>
      <c r="K2301" s="8"/>
      <c r="L2301" s="9" t="s">
        <v>138</v>
      </c>
      <c r="M2301" s="8"/>
    </row>
    <row r="2302" spans="1:13">
      <c r="A2302" s="63" t="s">
        <v>3280</v>
      </c>
      <c r="B2302" s="58">
        <v>29816586894</v>
      </c>
      <c r="C2302" s="63" t="s">
        <v>3281</v>
      </c>
      <c r="D2302" s="60">
        <v>10373683391</v>
      </c>
      <c r="E2302" s="9"/>
      <c r="F2302" s="25"/>
      <c r="G2302" s="61"/>
      <c r="H2302" s="9"/>
      <c r="I2302" s="8"/>
      <c r="J2302" s="8"/>
      <c r="K2302" s="8"/>
      <c r="L2302" s="8"/>
      <c r="M2302" s="8"/>
    </row>
    <row r="2303" spans="1:13">
      <c r="A2303" s="63" t="s">
        <v>3282</v>
      </c>
      <c r="B2303" s="58">
        <v>3087797545</v>
      </c>
      <c r="C2303" s="62" t="s">
        <v>3283</v>
      </c>
      <c r="D2303" s="60">
        <v>35687636803</v>
      </c>
      <c r="E2303" s="9"/>
      <c r="F2303" s="25"/>
      <c r="G2303" s="61"/>
      <c r="H2303" s="9"/>
      <c r="I2303" s="8"/>
      <c r="J2303" s="8"/>
      <c r="K2303" s="8"/>
      <c r="L2303" s="8"/>
      <c r="M2303" s="8"/>
    </row>
    <row r="2304" spans="1:13">
      <c r="A2304" s="18" t="s">
        <v>3284</v>
      </c>
      <c r="B2304" s="58">
        <v>44135110851</v>
      </c>
      <c r="C2304" s="18" t="s">
        <v>3285</v>
      </c>
      <c r="D2304" s="60">
        <v>23917833883</v>
      </c>
      <c r="E2304" s="9"/>
      <c r="F2304" s="25"/>
      <c r="G2304" s="61"/>
      <c r="H2304" s="9"/>
      <c r="I2304" s="8"/>
      <c r="J2304" s="8"/>
      <c r="K2304" s="8"/>
      <c r="L2304" s="8"/>
      <c r="M2304" s="8"/>
    </row>
    <row r="2305" spans="1:13">
      <c r="A2305" s="62" t="s">
        <v>3286</v>
      </c>
      <c r="B2305" s="58">
        <v>48639863865</v>
      </c>
      <c r="C2305" s="63"/>
      <c r="D2305" s="60"/>
      <c r="E2305" s="9">
        <v>1824</v>
      </c>
      <c r="F2305" s="25">
        <v>43091</v>
      </c>
      <c r="G2305" s="61" t="s">
        <v>13</v>
      </c>
      <c r="H2305" s="9"/>
      <c r="I2305" s="8"/>
      <c r="J2305" s="8"/>
      <c r="K2305" s="8"/>
      <c r="L2305" s="9">
        <v>1828</v>
      </c>
      <c r="M2305" s="8"/>
    </row>
    <row r="2306" spans="1:13">
      <c r="A2306" s="62" t="s">
        <v>3287</v>
      </c>
      <c r="B2306" s="58">
        <v>5416929847</v>
      </c>
      <c r="C2306" s="63" t="s">
        <v>3288</v>
      </c>
      <c r="D2306" s="60">
        <v>69220670887</v>
      </c>
      <c r="E2306" s="9">
        <v>292</v>
      </c>
      <c r="F2306" s="25">
        <v>43168</v>
      </c>
      <c r="G2306" s="61" t="s">
        <v>20</v>
      </c>
      <c r="H2306" s="9"/>
      <c r="I2306" s="8"/>
      <c r="J2306" s="8"/>
      <c r="K2306" s="8"/>
      <c r="L2306" s="9">
        <v>318</v>
      </c>
      <c r="M2306" s="8"/>
    </row>
    <row r="2307" spans="1:13">
      <c r="A2307" s="62" t="s">
        <v>3289</v>
      </c>
      <c r="B2307" s="58">
        <v>11462821847</v>
      </c>
      <c r="C2307" s="63"/>
      <c r="D2307" s="60"/>
      <c r="E2307" s="9">
        <v>1350</v>
      </c>
      <c r="F2307" s="25">
        <v>43006</v>
      </c>
      <c r="G2307" s="61" t="s">
        <v>13</v>
      </c>
      <c r="H2307" s="61"/>
      <c r="I2307" s="8"/>
      <c r="J2307" s="8"/>
      <c r="K2307" s="8"/>
      <c r="L2307" s="8"/>
      <c r="M2307" s="8"/>
    </row>
    <row r="2308" spans="1:13">
      <c r="A2308" s="62" t="s">
        <v>3290</v>
      </c>
      <c r="B2308" s="58">
        <v>42985410886</v>
      </c>
      <c r="C2308" s="63"/>
      <c r="D2308" s="60"/>
      <c r="E2308" s="9"/>
      <c r="F2308" s="25"/>
      <c r="G2308" s="61"/>
      <c r="H2308" s="61"/>
      <c r="I2308" s="8"/>
      <c r="J2308" s="8"/>
      <c r="K2308" s="8"/>
      <c r="L2308" s="8"/>
      <c r="M2308" s="8"/>
    </row>
    <row r="2309" spans="1:13">
      <c r="A2309" s="63" t="s">
        <v>3291</v>
      </c>
      <c r="B2309" s="58">
        <v>37840635865</v>
      </c>
      <c r="C2309" s="63"/>
      <c r="D2309" s="60"/>
      <c r="E2309" s="9">
        <v>1417</v>
      </c>
      <c r="F2309" s="25">
        <v>43017</v>
      </c>
      <c r="G2309" s="61" t="s">
        <v>13</v>
      </c>
      <c r="H2309" s="61"/>
      <c r="I2309" s="8"/>
      <c r="J2309" s="8"/>
      <c r="K2309" s="8"/>
      <c r="L2309" s="9" t="s">
        <v>253</v>
      </c>
      <c r="M2309" s="8"/>
    </row>
    <row r="2310" spans="1:13">
      <c r="A2310" s="62" t="s">
        <v>3292</v>
      </c>
      <c r="B2310" s="58">
        <v>2433835500</v>
      </c>
      <c r="C2310" s="63"/>
      <c r="D2310" s="60"/>
      <c r="E2310" s="9">
        <v>1350</v>
      </c>
      <c r="F2310" s="25">
        <v>43006</v>
      </c>
      <c r="G2310" s="61" t="s">
        <v>13</v>
      </c>
      <c r="H2310" s="61"/>
      <c r="I2310" s="8"/>
      <c r="J2310" s="8"/>
      <c r="K2310" s="8"/>
      <c r="L2310" s="8"/>
      <c r="M2310" s="8"/>
    </row>
    <row r="2311" spans="1:13">
      <c r="A2311" s="62" t="s">
        <v>3293</v>
      </c>
      <c r="B2311" s="58">
        <v>29501225828</v>
      </c>
      <c r="C2311" s="63"/>
      <c r="D2311" s="60"/>
      <c r="E2311" s="9"/>
      <c r="F2311" s="25"/>
      <c r="G2311" s="61"/>
      <c r="H2311" s="61"/>
      <c r="I2311" s="8"/>
      <c r="J2311" s="8"/>
      <c r="K2311" s="8"/>
      <c r="L2311" s="8"/>
      <c r="M2311" s="8"/>
    </row>
    <row r="2312" spans="1:13">
      <c r="A2312" s="13" t="s">
        <v>3294</v>
      </c>
      <c r="B2312" s="58">
        <v>34133971841</v>
      </c>
      <c r="C2312" s="59"/>
      <c r="D2312" s="60"/>
      <c r="E2312" s="9">
        <v>1241</v>
      </c>
      <c r="F2312" s="25">
        <v>42992</v>
      </c>
      <c r="G2312" s="61" t="s">
        <v>13</v>
      </c>
      <c r="H2312" s="61"/>
      <c r="I2312" s="8"/>
      <c r="J2312" s="8"/>
      <c r="K2312" s="8"/>
      <c r="L2312" s="8"/>
      <c r="M2312" s="8"/>
    </row>
    <row r="2313" spans="1:13">
      <c r="A2313" s="62" t="s">
        <v>3295</v>
      </c>
      <c r="B2313" s="58">
        <v>32862677833</v>
      </c>
      <c r="C2313" s="63"/>
      <c r="D2313" s="60"/>
      <c r="E2313" s="9">
        <v>292</v>
      </c>
      <c r="F2313" s="25">
        <v>43168</v>
      </c>
      <c r="G2313" s="61" t="s">
        <v>13</v>
      </c>
      <c r="H2313" s="61"/>
      <c r="I2313" s="8"/>
      <c r="J2313" s="8"/>
      <c r="K2313" s="8"/>
      <c r="L2313" s="9">
        <v>318</v>
      </c>
      <c r="M2313" s="8"/>
    </row>
    <row r="2314" spans="1:13">
      <c r="A2314" s="62" t="s">
        <v>3296</v>
      </c>
      <c r="B2314" s="58">
        <v>60363616373</v>
      </c>
      <c r="C2314" s="63" t="s">
        <v>3297</v>
      </c>
      <c r="D2314" s="60">
        <v>569417309</v>
      </c>
      <c r="E2314" s="9"/>
      <c r="F2314" s="25"/>
      <c r="G2314" s="61"/>
      <c r="H2314" s="61"/>
      <c r="I2314" s="8"/>
      <c r="J2314" s="8"/>
      <c r="K2314" s="8"/>
      <c r="L2314" s="8"/>
      <c r="M2314" s="8"/>
    </row>
    <row r="2315" spans="1:13">
      <c r="A2315" s="62" t="s">
        <v>3298</v>
      </c>
      <c r="B2315" s="58">
        <v>34431075836</v>
      </c>
      <c r="C2315" s="63"/>
      <c r="D2315" s="60"/>
      <c r="E2315" s="9">
        <v>1106</v>
      </c>
      <c r="F2315" s="25">
        <v>42965</v>
      </c>
      <c r="G2315" s="61" t="s">
        <v>13</v>
      </c>
      <c r="H2315" s="61"/>
      <c r="I2315" s="8"/>
      <c r="J2315" s="8"/>
      <c r="K2315" s="8"/>
      <c r="L2315" s="8"/>
      <c r="M2315" s="8"/>
    </row>
    <row r="2316" spans="1:13">
      <c r="A2316" s="27" t="s">
        <v>3299</v>
      </c>
      <c r="B2316" s="58">
        <v>6780677833</v>
      </c>
      <c r="C2316" s="27" t="s">
        <v>3300</v>
      </c>
      <c r="D2316" s="60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62" t="s">
        <v>3301</v>
      </c>
      <c r="B2317" s="58">
        <v>43219329802</v>
      </c>
      <c r="C2317" s="63"/>
      <c r="D2317" s="60"/>
      <c r="E2317" s="9">
        <v>527</v>
      </c>
      <c r="F2317" s="25">
        <v>43210</v>
      </c>
      <c r="G2317" s="61"/>
      <c r="H2317" s="61"/>
      <c r="I2317" s="8"/>
      <c r="J2317" s="8"/>
      <c r="K2317" s="8"/>
      <c r="L2317" s="9">
        <v>528</v>
      </c>
      <c r="M2317" s="8"/>
    </row>
    <row r="2318" spans="1:13">
      <c r="A2318" s="27" t="s">
        <v>3302</v>
      </c>
      <c r="B2318" s="58"/>
      <c r="C2318" s="27" t="s">
        <v>129</v>
      </c>
      <c r="D2318" s="60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62" t="s">
        <v>3303</v>
      </c>
      <c r="B2319" s="58">
        <v>32083016858</v>
      </c>
      <c r="C2319" s="63"/>
      <c r="D2319" s="60"/>
      <c r="E2319" s="9"/>
      <c r="F2319" s="25"/>
      <c r="G2319" s="61"/>
      <c r="H2319" s="61"/>
      <c r="I2319" s="8"/>
      <c r="J2319" s="8"/>
      <c r="K2319" s="8"/>
      <c r="L2319" s="8"/>
      <c r="M2319" s="8"/>
    </row>
    <row r="2320" spans="1:13">
      <c r="A2320" s="62" t="s">
        <v>3304</v>
      </c>
      <c r="B2320" s="58">
        <v>38711601809</v>
      </c>
      <c r="C2320" s="63"/>
      <c r="D2320" s="60"/>
      <c r="E2320" s="9"/>
      <c r="F2320" s="25"/>
      <c r="G2320" s="61"/>
      <c r="H2320" s="61"/>
      <c r="I2320" s="8"/>
      <c r="J2320" s="8"/>
      <c r="K2320" s="8"/>
      <c r="L2320" s="8"/>
      <c r="M2320" s="8"/>
    </row>
    <row r="2321" spans="1:13">
      <c r="A2321" s="18" t="s">
        <v>3305</v>
      </c>
      <c r="B2321" s="58"/>
      <c r="C2321" s="18" t="s">
        <v>3306</v>
      </c>
      <c r="D2321" s="60"/>
      <c r="E2321" s="9"/>
      <c r="F2321" s="25"/>
      <c r="G2321" s="61"/>
      <c r="H2321" s="61"/>
      <c r="I2321" s="8"/>
      <c r="J2321" s="8"/>
      <c r="K2321" s="8"/>
      <c r="L2321" s="8"/>
      <c r="M2321" s="8"/>
    </row>
    <row r="2322" spans="1:13">
      <c r="A2322" s="62" t="s">
        <v>3307</v>
      </c>
      <c r="B2322" s="58">
        <v>47104776800</v>
      </c>
      <c r="C2322" s="63" t="s">
        <v>3308</v>
      </c>
      <c r="D2322" s="60">
        <v>29524413833</v>
      </c>
      <c r="E2322" s="9">
        <v>117</v>
      </c>
      <c r="F2322" s="25">
        <v>43117</v>
      </c>
      <c r="G2322" s="61" t="s">
        <v>13</v>
      </c>
      <c r="H2322" s="61"/>
      <c r="I2322" s="8"/>
      <c r="J2322" s="8"/>
      <c r="K2322" s="8"/>
      <c r="L2322" s="9" t="s">
        <v>170</v>
      </c>
      <c r="M2322" s="8"/>
    </row>
    <row r="2323" spans="1:13">
      <c r="A2323" s="62" t="s">
        <v>3309</v>
      </c>
      <c r="B2323" s="58">
        <v>16410348827</v>
      </c>
      <c r="C2323" s="63"/>
      <c r="D2323" s="60"/>
      <c r="E2323" s="9">
        <v>292</v>
      </c>
      <c r="F2323" s="25">
        <v>43168</v>
      </c>
      <c r="G2323" s="61" t="s">
        <v>13</v>
      </c>
      <c r="H2323" s="61"/>
      <c r="I2323" s="8"/>
      <c r="J2323" s="8"/>
      <c r="K2323" s="8"/>
      <c r="L2323" s="9">
        <v>318</v>
      </c>
      <c r="M2323" s="8"/>
    </row>
    <row r="2324" spans="1:13">
      <c r="A2324" s="62" t="s">
        <v>3310</v>
      </c>
      <c r="B2324" s="58">
        <v>7059813470</v>
      </c>
      <c r="C2324" s="63"/>
      <c r="D2324" s="60"/>
      <c r="E2324" s="9">
        <v>292</v>
      </c>
      <c r="F2324" s="25">
        <v>43168</v>
      </c>
      <c r="G2324" s="61" t="s">
        <v>13</v>
      </c>
      <c r="H2324" s="61"/>
      <c r="I2324" s="8"/>
      <c r="J2324" s="8"/>
      <c r="K2324" s="8"/>
      <c r="L2324" s="9">
        <v>318</v>
      </c>
      <c r="M2324" s="8"/>
    </row>
    <row r="2325" spans="1:13">
      <c r="A2325" s="62" t="s">
        <v>3311</v>
      </c>
      <c r="B2325" s="58">
        <v>23413713884</v>
      </c>
      <c r="C2325" s="63"/>
      <c r="D2325" s="60"/>
      <c r="E2325" s="9">
        <v>509</v>
      </c>
      <c r="F2325" s="25">
        <v>43203</v>
      </c>
      <c r="G2325" s="67"/>
      <c r="H2325" s="67">
        <v>43213</v>
      </c>
      <c r="I2325" s="8"/>
      <c r="J2325" s="8"/>
      <c r="K2325" s="8"/>
      <c r="L2325" s="8"/>
      <c r="M2325" s="8"/>
    </row>
    <row r="2326" spans="1:13">
      <c r="A2326" s="27" t="s">
        <v>3312</v>
      </c>
      <c r="B2326" s="58"/>
      <c r="C2326" s="27" t="s">
        <v>3313</v>
      </c>
      <c r="D2326" s="60"/>
      <c r="E2326" s="9"/>
      <c r="F2326" s="25"/>
      <c r="G2326" s="61"/>
      <c r="H2326" s="9"/>
      <c r="I2326" s="8"/>
      <c r="J2326" s="8"/>
      <c r="K2326" s="8"/>
      <c r="L2326" s="8"/>
      <c r="M2326" s="8"/>
    </row>
    <row r="2327" spans="1:13">
      <c r="A2327" s="15" t="s">
        <v>3314</v>
      </c>
      <c r="B2327" s="58">
        <v>43704962848</v>
      </c>
      <c r="C2327" s="63"/>
      <c r="D2327" s="60"/>
      <c r="E2327" s="9">
        <v>117</v>
      </c>
      <c r="F2327" s="25">
        <v>43117</v>
      </c>
      <c r="G2327" s="61" t="s">
        <v>13</v>
      </c>
      <c r="H2327" s="9"/>
      <c r="I2327" s="8"/>
      <c r="J2327" s="8"/>
      <c r="K2327" s="8"/>
      <c r="L2327" s="9" t="s">
        <v>170</v>
      </c>
      <c r="M2327" s="8"/>
    </row>
    <row r="2328" spans="1:13">
      <c r="A2328" s="62" t="s">
        <v>3315</v>
      </c>
      <c r="B2328" s="58">
        <v>37815273874</v>
      </c>
      <c r="C2328" s="64"/>
      <c r="D2328" s="60"/>
      <c r="E2328" s="9">
        <v>573</v>
      </c>
      <c r="F2328" s="25">
        <v>43224</v>
      </c>
      <c r="G2328" s="61"/>
      <c r="H2328" s="9"/>
      <c r="I2328" s="8"/>
      <c r="J2328" s="8"/>
      <c r="K2328" s="8"/>
      <c r="L2328" s="8"/>
      <c r="M2328" s="8"/>
    </row>
    <row r="2329" spans="1:13">
      <c r="A2329" s="18" t="s">
        <v>3316</v>
      </c>
      <c r="B2329" s="58">
        <v>41731612800</v>
      </c>
      <c r="C2329" s="18"/>
      <c r="D2329" s="60"/>
      <c r="E2329" s="9"/>
      <c r="F2329" s="25"/>
      <c r="G2329" s="61"/>
      <c r="H2329" s="9"/>
      <c r="I2329" s="8"/>
      <c r="J2329" s="8"/>
      <c r="K2329" s="8"/>
      <c r="L2329" s="8"/>
      <c r="M2329" s="8"/>
    </row>
    <row r="2330" spans="1:13">
      <c r="A2330" s="15" t="s">
        <v>3317</v>
      </c>
      <c r="B2330" s="58">
        <v>44920823878</v>
      </c>
      <c r="C2330" s="63" t="s">
        <v>3318</v>
      </c>
      <c r="D2330" s="60">
        <v>45137930822</v>
      </c>
      <c r="E2330" s="9"/>
      <c r="F2330" s="25"/>
      <c r="G2330" s="61"/>
      <c r="H2330" s="9"/>
      <c r="I2330" s="8"/>
      <c r="J2330" s="8"/>
      <c r="K2330" s="8"/>
      <c r="L2330" s="8"/>
      <c r="M2330" s="8"/>
    </row>
    <row r="2331" spans="1:13">
      <c r="A2331" s="62" t="s">
        <v>3319</v>
      </c>
      <c r="B2331" s="58">
        <v>41236843860</v>
      </c>
      <c r="C2331" s="63"/>
      <c r="D2331" s="60"/>
      <c r="E2331" s="9"/>
      <c r="F2331" s="25"/>
      <c r="G2331" s="61"/>
      <c r="H2331" s="9"/>
      <c r="I2331" s="8"/>
      <c r="J2331" s="8"/>
      <c r="K2331" s="8"/>
      <c r="L2331" s="8"/>
      <c r="M2331" s="8"/>
    </row>
    <row r="2332" spans="1:13">
      <c r="A2332" s="62" t="s">
        <v>3320</v>
      </c>
      <c r="B2332" s="58">
        <v>27702750898</v>
      </c>
      <c r="C2332" s="63"/>
      <c r="D2332" s="60"/>
      <c r="E2332" s="9">
        <v>573</v>
      </c>
      <c r="F2332" s="25">
        <v>43224</v>
      </c>
      <c r="G2332" s="61"/>
      <c r="H2332" s="9"/>
      <c r="I2332" s="8"/>
      <c r="J2332" s="8"/>
      <c r="K2332" s="8"/>
      <c r="L2332" s="8"/>
      <c r="M2332" s="8"/>
    </row>
    <row r="2333" spans="1:13">
      <c r="A2333" s="62" t="s">
        <v>3321</v>
      </c>
      <c r="B2333" s="58">
        <v>8665698809</v>
      </c>
      <c r="C2333" s="63" t="s">
        <v>3322</v>
      </c>
      <c r="D2333" s="60">
        <v>5355408842</v>
      </c>
      <c r="E2333" s="9">
        <v>485</v>
      </c>
      <c r="F2333" s="25">
        <v>43196</v>
      </c>
      <c r="G2333" s="61"/>
      <c r="H2333" s="9"/>
      <c r="I2333" s="8"/>
      <c r="J2333" s="8"/>
      <c r="K2333" s="8"/>
      <c r="L2333" s="9">
        <v>483</v>
      </c>
      <c r="M2333" s="8"/>
    </row>
    <row r="2334" spans="1:13">
      <c r="A2334" s="62" t="s">
        <v>3323</v>
      </c>
      <c r="B2334" s="58">
        <v>47346205553</v>
      </c>
      <c r="C2334" s="63"/>
      <c r="D2334" s="60"/>
      <c r="E2334" s="9">
        <v>262</v>
      </c>
      <c r="F2334" s="25">
        <v>43160</v>
      </c>
      <c r="G2334" s="9" t="s">
        <v>13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3324</v>
      </c>
      <c r="B2335" s="58">
        <v>41156243882</v>
      </c>
      <c r="C2335" s="63"/>
      <c r="D2335" s="60"/>
      <c r="E2335" s="9"/>
      <c r="F2335" s="25"/>
      <c r="G2335" s="61"/>
      <c r="H2335" s="9"/>
      <c r="I2335" s="8"/>
      <c r="J2335" s="8"/>
      <c r="K2335" s="8"/>
      <c r="L2335" s="8"/>
      <c r="M2335" s="8"/>
    </row>
    <row r="2336" spans="1:13">
      <c r="A2336" s="62" t="s">
        <v>3325</v>
      </c>
      <c r="B2336" s="58">
        <v>37383675860</v>
      </c>
      <c r="C2336" s="63" t="s">
        <v>3326</v>
      </c>
      <c r="D2336" s="60">
        <v>37457320814</v>
      </c>
      <c r="E2336" s="9">
        <v>1824</v>
      </c>
      <c r="F2336" s="25">
        <v>43091</v>
      </c>
      <c r="G2336" s="61" t="s">
        <v>13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3327</v>
      </c>
      <c r="B2337" s="58">
        <v>36559837866</v>
      </c>
      <c r="C2337" s="63"/>
      <c r="D2337" s="60"/>
      <c r="E2337" s="9">
        <v>229</v>
      </c>
      <c r="F2337" s="25">
        <v>43151</v>
      </c>
      <c r="G2337" s="61" t="s">
        <v>13</v>
      </c>
      <c r="H2337" s="9"/>
      <c r="I2337" s="8"/>
      <c r="J2337" s="8"/>
      <c r="K2337" s="8"/>
      <c r="L2337" s="9">
        <v>232</v>
      </c>
      <c r="M2337" s="8"/>
    </row>
    <row r="2338" spans="1:13">
      <c r="A2338" s="62" t="s">
        <v>3328</v>
      </c>
      <c r="B2338" s="58">
        <v>41800891814</v>
      </c>
      <c r="C2338" s="63"/>
      <c r="D2338" s="60"/>
      <c r="E2338" s="9">
        <v>1752</v>
      </c>
      <c r="F2338" s="25">
        <v>43051</v>
      </c>
      <c r="G2338" s="61" t="s">
        <v>13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3329</v>
      </c>
      <c r="B2339" s="58">
        <v>5092648830</v>
      </c>
      <c r="C2339" s="18"/>
      <c r="D2339" s="60"/>
      <c r="E2339" s="9"/>
      <c r="F2339" s="25"/>
      <c r="G2339" s="61"/>
      <c r="H2339" s="9"/>
      <c r="I2339" s="8"/>
      <c r="J2339" s="8"/>
      <c r="K2339" s="8"/>
      <c r="L2339" s="8"/>
      <c r="M2339" s="8"/>
    </row>
    <row r="2340" spans="1:13">
      <c r="A2340" s="27" t="s">
        <v>3330</v>
      </c>
      <c r="B2340" s="58"/>
      <c r="C2340" s="18"/>
      <c r="D2340" s="60"/>
      <c r="E2340" s="9"/>
      <c r="F2340" s="25"/>
      <c r="G2340" s="61"/>
      <c r="H2340" s="9"/>
      <c r="I2340" s="8"/>
      <c r="J2340" s="8"/>
      <c r="K2340" s="8"/>
      <c r="L2340" s="8"/>
      <c r="M2340" s="8"/>
    </row>
    <row r="2341" spans="1:13">
      <c r="A2341" s="63" t="s">
        <v>3331</v>
      </c>
      <c r="B2341" s="58">
        <v>36394093882</v>
      </c>
      <c r="C2341" s="63" t="s">
        <v>3332</v>
      </c>
      <c r="D2341" s="60">
        <v>57069875568</v>
      </c>
      <c r="E2341" s="9"/>
      <c r="F2341" s="25"/>
      <c r="G2341" s="61"/>
      <c r="H2341" s="9"/>
      <c r="I2341" s="8"/>
      <c r="J2341" s="8"/>
      <c r="K2341" s="8"/>
      <c r="L2341" s="8"/>
      <c r="M2341" s="8"/>
    </row>
    <row r="2342" spans="1:13">
      <c r="A2342" s="70" t="s">
        <v>3333</v>
      </c>
      <c r="B2342" s="71">
        <v>38327155687</v>
      </c>
      <c r="C2342" s="72" t="s">
        <v>3334</v>
      </c>
      <c r="D2342" s="73">
        <v>20534089879</v>
      </c>
      <c r="E2342" s="45">
        <v>1824</v>
      </c>
      <c r="F2342" s="46">
        <v>43091</v>
      </c>
      <c r="G2342" s="74" t="s">
        <v>28</v>
      </c>
      <c r="H2342" s="45"/>
      <c r="I2342" s="47"/>
      <c r="J2342" s="47"/>
      <c r="K2342" s="47"/>
      <c r="L2342" s="9">
        <v>1828</v>
      </c>
      <c r="M2342" s="47"/>
    </row>
    <row r="2343" spans="1:13">
      <c r="A2343" s="62" t="s">
        <v>3335</v>
      </c>
      <c r="B2343" s="58">
        <v>36553625875</v>
      </c>
      <c r="C2343" s="63" t="s">
        <v>3336</v>
      </c>
      <c r="D2343" s="60">
        <v>34615418850</v>
      </c>
      <c r="E2343" s="9">
        <v>608</v>
      </c>
      <c r="F2343" s="25">
        <v>43012</v>
      </c>
      <c r="G2343" s="61" t="s">
        <v>13</v>
      </c>
      <c r="H2343" s="9"/>
      <c r="I2343" s="8"/>
      <c r="J2343" s="8"/>
      <c r="K2343" s="8"/>
      <c r="L2343" s="8"/>
      <c r="M2343" s="8"/>
    </row>
    <row r="2344" spans="1:13">
      <c r="A2344" s="62" t="s">
        <v>3337</v>
      </c>
      <c r="B2344" s="58">
        <v>10307625893</v>
      </c>
      <c r="C2344" s="63"/>
      <c r="D2344" s="60"/>
      <c r="E2344" s="9">
        <v>1752</v>
      </c>
      <c r="F2344" s="25">
        <v>43051</v>
      </c>
      <c r="G2344" s="61" t="s">
        <v>13</v>
      </c>
      <c r="H2344" s="9"/>
      <c r="I2344" s="8"/>
      <c r="J2344" s="8"/>
      <c r="K2344" s="8"/>
      <c r="L2344" s="9">
        <v>1759</v>
      </c>
      <c r="M2344" s="8"/>
    </row>
    <row r="2345" spans="1:13">
      <c r="A2345" s="62" t="s">
        <v>3338</v>
      </c>
      <c r="B2345" s="58">
        <v>1284783499</v>
      </c>
      <c r="C2345" s="63"/>
      <c r="D2345" s="60"/>
      <c r="E2345" s="9">
        <v>810</v>
      </c>
      <c r="F2345" s="25">
        <v>42915</v>
      </c>
      <c r="G2345" s="61" t="s">
        <v>13</v>
      </c>
      <c r="H2345" s="9"/>
      <c r="I2345" s="8"/>
      <c r="J2345" s="8"/>
      <c r="K2345" s="8"/>
      <c r="L2345" s="9" t="s">
        <v>138</v>
      </c>
      <c r="M2345" s="8"/>
    </row>
    <row r="2346" spans="1:13">
      <c r="A2346" s="13" t="s">
        <v>3339</v>
      </c>
      <c r="B2346" s="58">
        <v>28301601850</v>
      </c>
      <c r="C2346" s="59"/>
      <c r="D2346" s="60"/>
      <c r="E2346" s="9">
        <v>1489</v>
      </c>
      <c r="F2346" s="25">
        <v>43038</v>
      </c>
      <c r="G2346" s="61" t="s">
        <v>13</v>
      </c>
      <c r="H2346" s="9"/>
      <c r="I2346" s="8"/>
      <c r="J2346" s="8"/>
      <c r="K2346" s="8"/>
      <c r="L2346" s="9" t="s">
        <v>160</v>
      </c>
      <c r="M2346" s="8"/>
    </row>
    <row r="2347" spans="1:13">
      <c r="A2347" s="62" t="s">
        <v>3340</v>
      </c>
      <c r="B2347" s="58">
        <v>28705745845</v>
      </c>
      <c r="C2347" s="63"/>
      <c r="D2347" s="60"/>
      <c r="E2347" s="9"/>
      <c r="F2347" s="25"/>
      <c r="G2347" s="61"/>
      <c r="H2347" s="9"/>
      <c r="I2347" s="8"/>
      <c r="J2347" s="8"/>
      <c r="K2347" s="8"/>
      <c r="L2347" s="8"/>
      <c r="M2347" s="8"/>
    </row>
    <row r="2348" spans="1:13" ht="13.5" customHeight="1">
      <c r="A2348" s="62" t="s">
        <v>3341</v>
      </c>
      <c r="B2348" s="58">
        <v>8306544889</v>
      </c>
      <c r="C2348" s="63"/>
      <c r="D2348" s="60"/>
      <c r="E2348" s="9">
        <v>262</v>
      </c>
      <c r="F2348" s="25">
        <v>43160</v>
      </c>
      <c r="G2348" s="61" t="s">
        <v>13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3342</v>
      </c>
      <c r="B2349" s="58">
        <v>23450608835</v>
      </c>
      <c r="C2349" s="63"/>
      <c r="D2349" s="60"/>
      <c r="E2349" s="9">
        <v>229</v>
      </c>
      <c r="F2349" s="25">
        <v>43151</v>
      </c>
      <c r="G2349" s="61" t="s">
        <v>13</v>
      </c>
      <c r="H2349" s="9"/>
      <c r="I2349" s="8"/>
      <c r="J2349" s="8"/>
      <c r="K2349" s="8"/>
      <c r="L2349" s="9">
        <v>232</v>
      </c>
      <c r="M2349" s="8"/>
    </row>
    <row r="2350" spans="1:13">
      <c r="A2350" s="62" t="s">
        <v>3343</v>
      </c>
      <c r="B2350" s="58">
        <v>28282406813</v>
      </c>
      <c r="C2350" s="63"/>
      <c r="D2350" s="60"/>
      <c r="E2350" s="9">
        <v>1470</v>
      </c>
      <c r="F2350" s="25">
        <v>43031</v>
      </c>
      <c r="G2350" s="61" t="s">
        <v>13</v>
      </c>
      <c r="H2350" s="9"/>
      <c r="I2350" s="8"/>
      <c r="J2350" s="8"/>
      <c r="K2350" s="8"/>
      <c r="L2350" s="8"/>
      <c r="M2350" s="8"/>
    </row>
    <row r="2351" spans="1:13">
      <c r="A2351" s="14" t="s">
        <v>3344</v>
      </c>
      <c r="B2351" s="58">
        <v>25324930890</v>
      </c>
      <c r="C2351" s="63"/>
      <c r="D2351" s="60"/>
      <c r="E2351" s="9">
        <v>292</v>
      </c>
      <c r="F2351" s="25">
        <v>43168</v>
      </c>
      <c r="G2351" s="61" t="s">
        <v>13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3345</v>
      </c>
      <c r="B2352" s="58">
        <v>5141089835</v>
      </c>
      <c r="C2352" s="18"/>
      <c r="D2352" s="60"/>
      <c r="E2352" s="9"/>
      <c r="F2352" s="25"/>
      <c r="G2352" s="61"/>
      <c r="H2352" s="9"/>
      <c r="I2352" s="8"/>
      <c r="J2352" s="8"/>
      <c r="K2352" s="8"/>
      <c r="L2352" s="8"/>
      <c r="M2352" s="8"/>
    </row>
    <row r="2353" spans="1:13">
      <c r="A2353" s="62" t="s">
        <v>3346</v>
      </c>
      <c r="B2353" s="58">
        <v>2267811863</v>
      </c>
      <c r="C2353" s="59" t="s">
        <v>3347</v>
      </c>
      <c r="D2353" s="60"/>
      <c r="E2353" s="9"/>
      <c r="F2353" s="25"/>
      <c r="G2353" s="61"/>
      <c r="H2353" s="9"/>
      <c r="I2353" s="8"/>
      <c r="J2353" s="8"/>
      <c r="K2353" s="8"/>
      <c r="L2353" s="8"/>
      <c r="M2353" s="8"/>
    </row>
    <row r="2354" spans="1:13">
      <c r="A2354" s="14" t="s">
        <v>3348</v>
      </c>
      <c r="B2354" s="58">
        <v>4640546726</v>
      </c>
      <c r="C2354" s="63" t="s">
        <v>3349</v>
      </c>
      <c r="D2354" s="60">
        <v>72849215791</v>
      </c>
      <c r="E2354" s="9">
        <v>262</v>
      </c>
      <c r="F2354" s="25">
        <v>43160</v>
      </c>
      <c r="G2354" s="61" t="s">
        <v>13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7" t="s">
        <v>3350</v>
      </c>
      <c r="B2355" s="58">
        <v>11862093806</v>
      </c>
      <c r="C2355" s="18" t="s">
        <v>129</v>
      </c>
      <c r="D2355" s="60"/>
      <c r="E2355" s="9"/>
      <c r="F2355" s="25"/>
      <c r="G2355" s="61"/>
      <c r="H2355" s="9"/>
      <c r="I2355" s="8"/>
      <c r="J2355" s="8"/>
      <c r="K2355" s="8"/>
      <c r="L2355" s="8"/>
      <c r="M2355" s="8"/>
    </row>
    <row r="2356" spans="1:13">
      <c r="A2356" s="62" t="s">
        <v>3351</v>
      </c>
      <c r="B2356" s="58">
        <v>16945365808</v>
      </c>
      <c r="C2356" s="63"/>
      <c r="D2356" s="60"/>
      <c r="E2356" s="9">
        <v>292</v>
      </c>
      <c r="F2356" s="25">
        <v>43168</v>
      </c>
      <c r="G2356" s="61" t="s">
        <v>13</v>
      </c>
      <c r="H2356" s="9"/>
      <c r="I2356" s="8"/>
      <c r="J2356" s="8"/>
      <c r="K2356" s="8"/>
      <c r="L2356" s="9">
        <v>318</v>
      </c>
      <c r="M2356" s="8"/>
    </row>
    <row r="2357" spans="1:13">
      <c r="A2357" s="62" t="s">
        <v>3352</v>
      </c>
      <c r="B2357" s="58">
        <v>14330845890</v>
      </c>
      <c r="C2357" s="63"/>
      <c r="D2357" s="60"/>
      <c r="E2357" s="9">
        <v>262</v>
      </c>
      <c r="F2357" s="25">
        <v>43160</v>
      </c>
      <c r="G2357" s="61" t="s">
        <v>13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62" t="s">
        <v>3353</v>
      </c>
      <c r="B2358" s="58">
        <v>12983214842</v>
      </c>
      <c r="C2358" s="63" t="s">
        <v>3354</v>
      </c>
      <c r="D2358" s="60">
        <v>33776403802</v>
      </c>
      <c r="E2358" s="9">
        <v>85</v>
      </c>
      <c r="F2358" s="25">
        <v>43109</v>
      </c>
      <c r="G2358" s="61" t="s">
        <v>13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3355</v>
      </c>
      <c r="B2359" s="58">
        <v>3343521507</v>
      </c>
      <c r="C2359" s="15" t="s">
        <v>3356</v>
      </c>
      <c r="D2359" s="60">
        <v>42021841812</v>
      </c>
      <c r="E2359" s="9"/>
      <c r="F2359" s="25"/>
      <c r="G2359" s="61"/>
      <c r="H2359" s="9"/>
      <c r="I2359" s="8"/>
      <c r="J2359" s="8"/>
      <c r="K2359" s="8"/>
      <c r="L2359" s="8"/>
      <c r="M2359" s="8"/>
    </row>
    <row r="2360" spans="1:13">
      <c r="A2360" s="64" t="s">
        <v>3357</v>
      </c>
      <c r="B2360" s="58">
        <v>41812689500</v>
      </c>
      <c r="C2360" s="63" t="s">
        <v>3358</v>
      </c>
      <c r="D2360" s="60">
        <v>14037047837</v>
      </c>
      <c r="E2360" s="9">
        <v>1106</v>
      </c>
      <c r="F2360" s="25">
        <v>42965</v>
      </c>
      <c r="G2360" s="61" t="s">
        <v>13</v>
      </c>
      <c r="H2360" s="9"/>
      <c r="I2360" s="8"/>
      <c r="J2360" s="8"/>
      <c r="K2360" s="8"/>
      <c r="L2360" s="8"/>
      <c r="M2360" s="8"/>
    </row>
    <row r="2361" spans="1:13">
      <c r="A2361" s="62" t="s">
        <v>3359</v>
      </c>
      <c r="B2361" s="58">
        <v>33954116804</v>
      </c>
      <c r="C2361" s="63"/>
      <c r="D2361" s="60"/>
      <c r="E2361" s="9">
        <v>527</v>
      </c>
      <c r="F2361" s="25">
        <v>43210</v>
      </c>
      <c r="G2361" s="61"/>
      <c r="H2361" s="9"/>
      <c r="I2361" s="8"/>
      <c r="J2361" s="8"/>
      <c r="K2361" s="8"/>
      <c r="L2361" s="9">
        <v>528</v>
      </c>
      <c r="M2361" s="8"/>
    </row>
    <row r="2362" spans="1:13">
      <c r="A2362" s="62" t="s">
        <v>3360</v>
      </c>
      <c r="B2362" s="58">
        <v>17529253867</v>
      </c>
      <c r="C2362" s="63"/>
      <c r="D2362" s="60"/>
      <c r="E2362" s="9">
        <v>810</v>
      </c>
      <c r="F2362" s="25">
        <v>42915</v>
      </c>
      <c r="G2362" s="61" t="s">
        <v>13</v>
      </c>
      <c r="H2362" s="9"/>
      <c r="I2362" s="8"/>
      <c r="J2362" s="8"/>
      <c r="K2362" s="8"/>
      <c r="L2362" s="9" t="s">
        <v>138</v>
      </c>
      <c r="M2362" s="8"/>
    </row>
    <row r="2363" spans="1:13">
      <c r="A2363" s="62" t="s">
        <v>3361</v>
      </c>
      <c r="B2363" s="58">
        <v>80505597691</v>
      </c>
      <c r="C2363" s="63"/>
      <c r="D2363" s="60"/>
      <c r="E2363" s="9"/>
      <c r="F2363" s="25"/>
      <c r="G2363" s="61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3362</v>
      </c>
      <c r="B2364" s="58">
        <v>45479391879</v>
      </c>
      <c r="C2364" s="28" t="s">
        <v>3363</v>
      </c>
      <c r="D2364" s="58">
        <v>35624185820</v>
      </c>
      <c r="E2364" s="9">
        <v>1350</v>
      </c>
      <c r="F2364" s="25">
        <v>43006</v>
      </c>
      <c r="G2364" s="61" t="s">
        <v>13</v>
      </c>
      <c r="H2364" s="9"/>
      <c r="I2364" s="8"/>
      <c r="J2364" s="8"/>
      <c r="K2364" s="8"/>
      <c r="L2364" s="8"/>
      <c r="M2364" s="8"/>
    </row>
    <row r="2365" spans="1:13" ht="15" customHeight="1">
      <c r="A2365" s="66" t="s">
        <v>3364</v>
      </c>
      <c r="B2365" s="58">
        <v>30625026810</v>
      </c>
      <c r="C2365" s="63"/>
      <c r="D2365" s="60"/>
      <c r="E2365" s="9">
        <v>1439</v>
      </c>
      <c r="F2365" s="25">
        <v>43025</v>
      </c>
      <c r="G2365" s="61" t="s">
        <v>28</v>
      </c>
      <c r="H2365" s="9"/>
      <c r="I2365" s="8"/>
      <c r="J2365" s="8"/>
      <c r="K2365" s="8"/>
      <c r="L2365" s="9" t="s">
        <v>502</v>
      </c>
      <c r="M2365" s="8"/>
    </row>
    <row r="2366" spans="1:13">
      <c r="A2366" s="15" t="s">
        <v>3365</v>
      </c>
      <c r="B2366" s="58">
        <v>33701405867</v>
      </c>
      <c r="C2366" s="63"/>
      <c r="D2366" s="60"/>
      <c r="E2366" s="9">
        <v>85</v>
      </c>
      <c r="F2366" s="25">
        <v>43109</v>
      </c>
      <c r="G2366" s="61" t="s">
        <v>13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3366</v>
      </c>
      <c r="B2367" s="58">
        <v>32275575847</v>
      </c>
      <c r="C2367" s="18"/>
      <c r="D2367" s="60"/>
      <c r="E2367" s="9"/>
      <c r="F2367" s="25"/>
      <c r="G2367" s="61"/>
      <c r="H2367" s="9"/>
      <c r="I2367" s="8"/>
      <c r="J2367" s="8"/>
      <c r="K2367" s="8"/>
      <c r="L2367" s="8"/>
      <c r="M2367" s="8"/>
    </row>
    <row r="2368" spans="1:13">
      <c r="A2368" s="15" t="s">
        <v>3367</v>
      </c>
      <c r="B2368" s="58">
        <v>25737671836</v>
      </c>
      <c r="C2368" s="63"/>
      <c r="D2368" s="60"/>
      <c r="E2368" s="9">
        <v>573</v>
      </c>
      <c r="F2368" s="25">
        <v>43224</v>
      </c>
      <c r="G2368" s="61"/>
      <c r="H2368" s="9"/>
      <c r="I2368" s="8"/>
      <c r="J2368" s="8"/>
      <c r="K2368" s="8"/>
      <c r="L2368" s="8"/>
      <c r="M2368" s="8"/>
    </row>
    <row r="2369" spans="1:13">
      <c r="A2369" s="62" t="s">
        <v>3368</v>
      </c>
      <c r="B2369" s="58">
        <v>36159577840</v>
      </c>
      <c r="C2369" s="63" t="s">
        <v>3369</v>
      </c>
      <c r="D2369" s="60">
        <v>19181887850</v>
      </c>
      <c r="E2369" s="9"/>
      <c r="F2369" s="25"/>
      <c r="G2369" s="61"/>
      <c r="H2369" s="9"/>
      <c r="I2369" s="8"/>
      <c r="J2369" s="8"/>
      <c r="K2369" s="8"/>
      <c r="L2369" s="8"/>
      <c r="M2369" s="8"/>
    </row>
    <row r="2370" spans="1:13">
      <c r="A2370" s="63" t="s">
        <v>3370</v>
      </c>
      <c r="B2370" s="58">
        <v>39308828842</v>
      </c>
      <c r="C2370" s="63" t="s">
        <v>3371</v>
      </c>
      <c r="D2370" s="60">
        <v>32505241821</v>
      </c>
      <c r="E2370" s="9"/>
      <c r="F2370" s="25"/>
      <c r="G2370" s="61"/>
      <c r="H2370" s="9"/>
      <c r="I2370" s="8"/>
      <c r="J2370" s="8"/>
      <c r="K2370" s="8"/>
      <c r="L2370" s="8"/>
      <c r="M2370" s="8"/>
    </row>
    <row r="2371" spans="1:13">
      <c r="A2371" s="27" t="s">
        <v>3372</v>
      </c>
      <c r="B2371" s="58">
        <v>6619801897</v>
      </c>
      <c r="C2371" s="27" t="s">
        <v>3373</v>
      </c>
      <c r="D2371" s="60">
        <v>6619802869</v>
      </c>
      <c r="E2371" s="9"/>
      <c r="F2371" s="25"/>
      <c r="G2371" s="61"/>
      <c r="H2371" s="9"/>
      <c r="I2371" s="8"/>
      <c r="J2371" s="8"/>
      <c r="K2371" s="8"/>
      <c r="L2371" s="8"/>
      <c r="M2371" s="8"/>
    </row>
    <row r="2372" spans="1:13">
      <c r="A2372" s="62" t="s">
        <v>3374</v>
      </c>
      <c r="B2372" s="58">
        <v>25610478812</v>
      </c>
      <c r="C2372" s="63"/>
      <c r="D2372" s="60"/>
      <c r="E2372" s="9"/>
      <c r="F2372" s="25"/>
      <c r="G2372" s="61"/>
      <c r="H2372" s="9"/>
      <c r="I2372" s="8"/>
      <c r="J2372" s="8"/>
      <c r="K2372" s="8"/>
      <c r="L2372" s="8"/>
      <c r="M2372" s="8"/>
    </row>
    <row r="2373" spans="1:13">
      <c r="A2373" s="62" t="s">
        <v>3375</v>
      </c>
      <c r="B2373" s="58">
        <v>14268250808</v>
      </c>
      <c r="C2373" s="63"/>
      <c r="D2373" s="60"/>
      <c r="E2373" s="9">
        <v>292</v>
      </c>
      <c r="F2373" s="25">
        <v>43168</v>
      </c>
      <c r="G2373" s="9" t="s">
        <v>13</v>
      </c>
      <c r="H2373" s="9"/>
      <c r="I2373" s="8"/>
      <c r="J2373" s="8"/>
      <c r="K2373" s="8"/>
      <c r="L2373" s="9">
        <v>318</v>
      </c>
      <c r="M2373" s="8"/>
    </row>
    <row r="2374" spans="1:13">
      <c r="A2374" s="62" t="s">
        <v>3376</v>
      </c>
      <c r="B2374" s="58">
        <v>36138056850</v>
      </c>
      <c r="C2374" s="63" t="s">
        <v>3377</v>
      </c>
      <c r="D2374" s="60">
        <v>56721897504</v>
      </c>
      <c r="E2374" s="9">
        <v>262</v>
      </c>
      <c r="F2374" s="25">
        <v>43160</v>
      </c>
      <c r="G2374" s="61" t="s">
        <v>13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62" t="s">
        <v>3378</v>
      </c>
      <c r="B2375" s="58">
        <v>22365509878</v>
      </c>
      <c r="C2375" s="63" t="s">
        <v>3379</v>
      </c>
      <c r="D2375" s="60">
        <v>9353681839</v>
      </c>
      <c r="E2375" s="9">
        <v>810</v>
      </c>
      <c r="F2375" s="25">
        <v>42915</v>
      </c>
      <c r="G2375" s="61" t="s">
        <v>13</v>
      </c>
      <c r="H2375" s="9"/>
      <c r="I2375" s="8"/>
      <c r="J2375" s="8"/>
      <c r="K2375" s="8"/>
      <c r="L2375" s="9" t="s">
        <v>138</v>
      </c>
      <c r="M2375" s="8"/>
    </row>
    <row r="2376" spans="1:13">
      <c r="A2376" s="63" t="s">
        <v>3380</v>
      </c>
      <c r="B2376" s="58">
        <v>18474192838</v>
      </c>
      <c r="C2376" s="63"/>
      <c r="D2376" s="60"/>
      <c r="E2376" s="9"/>
      <c r="F2376" s="25"/>
      <c r="G2376" s="61"/>
      <c r="H2376" s="9"/>
      <c r="I2376" s="8"/>
      <c r="J2376" s="8"/>
      <c r="K2376" s="8"/>
      <c r="L2376" s="8"/>
      <c r="M2376" s="8"/>
    </row>
    <row r="2377" spans="1:13">
      <c r="A2377" s="62" t="s">
        <v>3381</v>
      </c>
      <c r="B2377" s="58">
        <v>14781464866</v>
      </c>
      <c r="C2377" s="63"/>
      <c r="D2377" s="60"/>
      <c r="E2377" s="9">
        <v>1824</v>
      </c>
      <c r="F2377" s="25">
        <v>43091</v>
      </c>
      <c r="G2377" s="61" t="s">
        <v>13</v>
      </c>
      <c r="H2377" s="9"/>
      <c r="I2377" s="8"/>
      <c r="J2377" s="8"/>
      <c r="K2377" s="8"/>
      <c r="L2377" s="9">
        <v>1828</v>
      </c>
      <c r="M2377" s="8"/>
    </row>
    <row r="2378" spans="1:13">
      <c r="A2378" s="64" t="s">
        <v>3382</v>
      </c>
      <c r="B2378" s="58">
        <v>38632080644</v>
      </c>
      <c r="C2378" s="63"/>
      <c r="D2378" s="60"/>
      <c r="E2378" s="9"/>
      <c r="F2378" s="25"/>
      <c r="G2378" s="61"/>
      <c r="H2378" s="9"/>
      <c r="I2378" s="8"/>
      <c r="J2378" s="8"/>
      <c r="K2378" s="8"/>
      <c r="L2378" s="8"/>
      <c r="M2378" s="8"/>
    </row>
    <row r="2379" spans="1:13">
      <c r="A2379" s="62" t="s">
        <v>3383</v>
      </c>
      <c r="B2379" s="58">
        <v>43093185840</v>
      </c>
      <c r="C2379" s="63"/>
      <c r="D2379" s="60"/>
      <c r="E2379" s="9">
        <v>1555</v>
      </c>
      <c r="F2379" s="25">
        <v>43049</v>
      </c>
      <c r="G2379" s="61" t="s">
        <v>13</v>
      </c>
      <c r="H2379" s="9"/>
      <c r="I2379" s="8"/>
      <c r="J2379" s="8"/>
      <c r="K2379" s="8"/>
      <c r="L2379" s="9" t="s">
        <v>398</v>
      </c>
      <c r="M2379" s="8"/>
    </row>
    <row r="2380" spans="1:13">
      <c r="A2380" s="62" t="s">
        <v>3384</v>
      </c>
      <c r="B2380" s="58">
        <v>36134228591</v>
      </c>
      <c r="C2380" s="63"/>
      <c r="D2380" s="60"/>
      <c r="E2380" s="9">
        <v>117</v>
      </c>
      <c r="F2380" s="25">
        <v>43117</v>
      </c>
      <c r="G2380" s="61" t="s">
        <v>13</v>
      </c>
      <c r="H2380" s="9"/>
      <c r="I2380" s="8"/>
      <c r="J2380" s="8"/>
      <c r="K2380" s="8"/>
      <c r="L2380" s="9" t="s">
        <v>170</v>
      </c>
      <c r="M2380" s="8"/>
    </row>
    <row r="2381" spans="1:13">
      <c r="A2381" s="62" t="s">
        <v>3385</v>
      </c>
      <c r="B2381" s="58">
        <v>40878398856</v>
      </c>
      <c r="C2381" s="63" t="s">
        <v>3386</v>
      </c>
      <c r="D2381" s="60">
        <v>73226718568</v>
      </c>
      <c r="E2381" s="9">
        <v>262</v>
      </c>
      <c r="F2381" s="25">
        <v>43160</v>
      </c>
      <c r="G2381" s="61" t="s">
        <v>13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62" t="s">
        <v>3387</v>
      </c>
      <c r="B2382" s="58">
        <v>24809944816</v>
      </c>
      <c r="C2382" s="63"/>
      <c r="D2382" s="60"/>
      <c r="E2382" s="9">
        <v>1106</v>
      </c>
      <c r="F2382" s="25">
        <v>42965</v>
      </c>
      <c r="G2382" s="61" t="s">
        <v>13</v>
      </c>
      <c r="H2382" s="9"/>
      <c r="I2382" s="8"/>
      <c r="J2382" s="8"/>
      <c r="K2382" s="8"/>
      <c r="L2382" s="8"/>
      <c r="M2382" s="8"/>
    </row>
    <row r="2383" spans="1:13">
      <c r="A2383" s="13" t="s">
        <v>3388</v>
      </c>
      <c r="B2383" s="58">
        <v>13413350544</v>
      </c>
      <c r="C2383" s="59"/>
      <c r="D2383" s="60"/>
      <c r="E2383" s="9">
        <v>1752</v>
      </c>
      <c r="F2383" s="25">
        <v>43051</v>
      </c>
      <c r="G2383" s="61" t="s">
        <v>13</v>
      </c>
      <c r="H2383" s="9"/>
      <c r="I2383" s="8"/>
      <c r="J2383" s="8"/>
      <c r="K2383" s="8"/>
      <c r="L2383" s="9">
        <v>1759</v>
      </c>
      <c r="M2383" s="8"/>
    </row>
    <row r="2384" spans="1:13">
      <c r="A2384" s="28" t="s">
        <v>3389</v>
      </c>
      <c r="B2384" s="58">
        <v>36898198300</v>
      </c>
      <c r="C2384" s="63"/>
      <c r="D2384" s="60"/>
      <c r="E2384" s="9">
        <v>1470</v>
      </c>
      <c r="F2384" s="25">
        <v>43031</v>
      </c>
      <c r="G2384" s="61" t="s">
        <v>13</v>
      </c>
      <c r="H2384" s="9"/>
      <c r="I2384" s="8"/>
      <c r="J2384" s="8"/>
      <c r="K2384" s="8"/>
      <c r="L2384" s="8"/>
      <c r="M2384" s="8"/>
    </row>
    <row r="2385" spans="1:13">
      <c r="A2385" s="62" t="s">
        <v>3390</v>
      </c>
      <c r="B2385" s="58">
        <v>33475393387</v>
      </c>
      <c r="C2385" s="63" t="s">
        <v>3391</v>
      </c>
      <c r="D2385" s="60">
        <v>21580260306</v>
      </c>
      <c r="E2385" s="9">
        <v>292</v>
      </c>
      <c r="F2385" s="25">
        <v>43168</v>
      </c>
      <c r="G2385" s="61" t="s">
        <v>13</v>
      </c>
      <c r="H2385" s="9"/>
      <c r="I2385" s="8"/>
      <c r="J2385" s="8"/>
      <c r="K2385" s="8"/>
      <c r="L2385" s="9">
        <v>318</v>
      </c>
      <c r="M2385" s="8"/>
    </row>
    <row r="2386" spans="1:13">
      <c r="A2386" s="62" t="s">
        <v>3392</v>
      </c>
      <c r="B2386" s="58">
        <v>15328055861</v>
      </c>
      <c r="C2386" s="63"/>
      <c r="D2386" s="60"/>
      <c r="E2386" s="9">
        <v>443</v>
      </c>
      <c r="F2386" s="25">
        <v>43188</v>
      </c>
      <c r="G2386" s="61"/>
      <c r="H2386" s="9"/>
      <c r="I2386" s="8"/>
      <c r="J2386" s="8"/>
      <c r="K2386" s="8"/>
      <c r="L2386" s="8"/>
      <c r="M2386" s="8"/>
    </row>
    <row r="2387" spans="1:13">
      <c r="A2387" s="27" t="s">
        <v>3393</v>
      </c>
      <c r="B2387" s="58">
        <v>15114386816</v>
      </c>
      <c r="C2387" s="27" t="s">
        <v>3394</v>
      </c>
      <c r="D2387" s="60">
        <v>83833552891</v>
      </c>
      <c r="E2387" s="9"/>
      <c r="F2387" s="25"/>
      <c r="G2387" s="61"/>
      <c r="H2387" s="9"/>
      <c r="I2387" s="8"/>
      <c r="J2387" s="8"/>
      <c r="K2387" s="8"/>
      <c r="L2387" s="8"/>
      <c r="M2387" s="8"/>
    </row>
    <row r="2388" spans="1:13">
      <c r="A2388" s="62" t="s">
        <v>3395</v>
      </c>
      <c r="B2388" s="58">
        <v>21655657828</v>
      </c>
      <c r="C2388" s="63"/>
      <c r="D2388" s="60"/>
      <c r="E2388" s="9">
        <v>262</v>
      </c>
      <c r="F2388" s="25">
        <v>43160</v>
      </c>
      <c r="G2388" s="9" t="s">
        <v>13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62" t="s">
        <v>3396</v>
      </c>
      <c r="B2389" s="58">
        <v>16909682300</v>
      </c>
      <c r="C2389" s="63"/>
      <c r="D2389" s="60"/>
      <c r="E2389" s="9">
        <v>1214</v>
      </c>
      <c r="F2389" s="25">
        <v>42989</v>
      </c>
      <c r="G2389" s="61" t="s">
        <v>13</v>
      </c>
      <c r="H2389" s="9"/>
      <c r="I2389" s="8"/>
      <c r="J2389" s="8"/>
      <c r="K2389" s="8"/>
      <c r="L2389" s="8"/>
      <c r="M2389" s="8"/>
    </row>
    <row r="2390" spans="1:13">
      <c r="A2390" s="62" t="s">
        <v>3397</v>
      </c>
      <c r="B2390" s="58">
        <v>21421319802</v>
      </c>
      <c r="C2390" s="63"/>
      <c r="D2390" s="60"/>
      <c r="E2390" s="9"/>
      <c r="F2390" s="25"/>
      <c r="G2390" s="61"/>
      <c r="H2390" s="9"/>
      <c r="I2390" s="8"/>
      <c r="J2390" s="8"/>
      <c r="K2390" s="8"/>
      <c r="L2390" s="8"/>
      <c r="M2390" s="8"/>
    </row>
    <row r="2391" spans="1:13">
      <c r="A2391" s="62" t="s">
        <v>3398</v>
      </c>
      <c r="B2391" s="58">
        <v>23154358897</v>
      </c>
      <c r="C2391" s="63"/>
      <c r="D2391" s="60"/>
      <c r="E2391" s="9"/>
      <c r="F2391" s="25"/>
      <c r="G2391" s="61"/>
      <c r="H2391" s="9"/>
      <c r="I2391" s="8"/>
      <c r="J2391" s="8"/>
      <c r="K2391" s="8"/>
      <c r="L2391" s="8"/>
      <c r="M2391" s="8"/>
    </row>
    <row r="2392" spans="1:13">
      <c r="A2392" s="62" t="s">
        <v>3399</v>
      </c>
      <c r="B2392" s="58">
        <v>39556370854</v>
      </c>
      <c r="C2392" s="63"/>
      <c r="D2392" s="60"/>
      <c r="E2392" s="9"/>
      <c r="F2392" s="25"/>
      <c r="G2392" s="61"/>
      <c r="H2392" s="9"/>
      <c r="I2392" s="8"/>
      <c r="J2392" s="8"/>
      <c r="K2392" s="8"/>
      <c r="L2392" s="8"/>
      <c r="M2392" s="8"/>
    </row>
    <row r="2393" spans="1:13">
      <c r="A2393" s="15" t="s">
        <v>3400</v>
      </c>
      <c r="B2393" s="58">
        <v>38754982839</v>
      </c>
      <c r="C2393" s="63" t="s">
        <v>3401</v>
      </c>
      <c r="D2393" s="60">
        <v>34941494881</v>
      </c>
      <c r="E2393" s="9">
        <v>85</v>
      </c>
      <c r="F2393" s="25">
        <v>43109</v>
      </c>
      <c r="G2393" s="61" t="s">
        <v>28</v>
      </c>
      <c r="H2393" s="25">
        <v>43151</v>
      </c>
      <c r="I2393" s="8"/>
      <c r="J2393" s="8"/>
      <c r="K2393" s="8"/>
      <c r="L2393" s="8"/>
      <c r="M2393" s="8"/>
    </row>
    <row r="2394" spans="1:13">
      <c r="A2394" s="62" t="s">
        <v>3402</v>
      </c>
      <c r="B2394" s="58">
        <v>33401168819</v>
      </c>
      <c r="C2394" s="63" t="s">
        <v>3403</v>
      </c>
      <c r="D2394" s="60">
        <v>29647170874</v>
      </c>
      <c r="E2394" s="9"/>
      <c r="F2394" s="25"/>
      <c r="G2394" s="61"/>
      <c r="H2394" s="9"/>
      <c r="I2394" s="8"/>
      <c r="J2394" s="8"/>
      <c r="K2394" s="8"/>
      <c r="L2394" s="8"/>
      <c r="M2394" s="8"/>
    </row>
    <row r="2395" spans="1:13">
      <c r="A2395" s="62" t="s">
        <v>3404</v>
      </c>
      <c r="B2395" s="58">
        <v>42116294843</v>
      </c>
      <c r="C2395" s="63" t="s">
        <v>3405</v>
      </c>
      <c r="D2395" s="60">
        <v>42151043860</v>
      </c>
      <c r="E2395" s="9"/>
      <c r="F2395" s="25"/>
      <c r="G2395" s="61"/>
      <c r="H2395" s="9"/>
      <c r="I2395" s="8"/>
      <c r="J2395" s="8"/>
      <c r="K2395" s="8"/>
      <c r="L2395" s="8"/>
      <c r="M2395" s="8"/>
    </row>
    <row r="2396" spans="1:13">
      <c r="A2396" s="14" t="s">
        <v>3406</v>
      </c>
      <c r="B2396" s="58">
        <v>12648968679</v>
      </c>
      <c r="C2396" s="63" t="s">
        <v>3407</v>
      </c>
      <c r="D2396" s="60">
        <v>2274453683</v>
      </c>
      <c r="E2396" s="9"/>
      <c r="F2396" s="25"/>
      <c r="G2396" s="61"/>
      <c r="H2396" s="9"/>
      <c r="I2396" s="8"/>
      <c r="J2396" s="8"/>
      <c r="K2396" s="8"/>
      <c r="L2396" s="8"/>
      <c r="M2396" s="8"/>
    </row>
    <row r="2397" spans="1:13">
      <c r="A2397" s="64" t="s">
        <v>3408</v>
      </c>
      <c r="B2397" s="58">
        <v>34361698899</v>
      </c>
      <c r="C2397" s="63" t="s">
        <v>3409</v>
      </c>
      <c r="D2397" s="60">
        <v>21266025839</v>
      </c>
      <c r="E2397" s="9">
        <v>1489</v>
      </c>
      <c r="F2397" s="25">
        <v>43038</v>
      </c>
      <c r="G2397" s="61" t="s">
        <v>13</v>
      </c>
      <c r="H2397" s="9"/>
      <c r="I2397" s="8"/>
      <c r="J2397" s="8"/>
      <c r="K2397" s="8"/>
      <c r="L2397" s="9" t="s">
        <v>160</v>
      </c>
      <c r="M2397" s="8"/>
    </row>
    <row r="2398" spans="1:13">
      <c r="A2398" s="62" t="s">
        <v>3410</v>
      </c>
      <c r="B2398" s="58">
        <v>12835905812</v>
      </c>
      <c r="C2398" s="63" t="s">
        <v>3411</v>
      </c>
      <c r="D2398" s="60">
        <v>26821342890</v>
      </c>
      <c r="E2398" s="9">
        <v>262</v>
      </c>
      <c r="F2398" s="25">
        <v>43160</v>
      </c>
      <c r="G2398" s="61" t="s">
        <v>20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62" t="s">
        <v>3412</v>
      </c>
      <c r="B2399" s="58">
        <v>30207968810</v>
      </c>
      <c r="C2399" s="63"/>
      <c r="D2399" s="60"/>
      <c r="E2399" s="9">
        <v>262</v>
      </c>
      <c r="F2399" s="25">
        <v>43160</v>
      </c>
      <c r="G2399" s="61" t="s">
        <v>13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62" t="s">
        <v>3413</v>
      </c>
      <c r="B2400" s="58">
        <v>22713517826</v>
      </c>
      <c r="C2400" s="63" t="s">
        <v>3414</v>
      </c>
      <c r="D2400" s="60">
        <v>30508085861</v>
      </c>
      <c r="E2400" s="9"/>
      <c r="F2400" s="25"/>
      <c r="G2400" s="61"/>
      <c r="H2400" s="9"/>
      <c r="I2400" s="8"/>
      <c r="J2400" s="8"/>
      <c r="K2400" s="8"/>
      <c r="L2400" s="8"/>
      <c r="M2400" s="8"/>
    </row>
    <row r="2401" spans="1:13">
      <c r="A2401" s="62" t="s">
        <v>3415</v>
      </c>
      <c r="B2401" s="58">
        <v>28467390808</v>
      </c>
      <c r="C2401" s="63" t="s">
        <v>3416</v>
      </c>
      <c r="D2401" s="60">
        <v>90847547</v>
      </c>
      <c r="E2401" s="9">
        <v>810</v>
      </c>
      <c r="F2401" s="25">
        <v>42915</v>
      </c>
      <c r="G2401" s="61" t="s">
        <v>13</v>
      </c>
      <c r="H2401" s="9"/>
      <c r="I2401" s="8"/>
      <c r="J2401" s="8"/>
      <c r="K2401" s="8"/>
      <c r="L2401" s="9" t="s">
        <v>138</v>
      </c>
      <c r="M2401" s="8"/>
    </row>
    <row r="2402" spans="1:13">
      <c r="A2402" s="62" t="s">
        <v>3417</v>
      </c>
      <c r="B2402" s="58">
        <v>29872130850</v>
      </c>
      <c r="C2402" s="63"/>
      <c r="D2402" s="60"/>
      <c r="E2402" s="9">
        <v>1106</v>
      </c>
      <c r="F2402" s="25">
        <v>42965</v>
      </c>
      <c r="G2402" s="61" t="s">
        <v>13</v>
      </c>
      <c r="H2402" s="9"/>
      <c r="I2402" s="8"/>
      <c r="J2402" s="8"/>
      <c r="K2402" s="8"/>
      <c r="L2402" s="8"/>
      <c r="M2402" s="8"/>
    </row>
    <row r="2403" spans="1:13">
      <c r="A2403" s="64" t="s">
        <v>3418</v>
      </c>
      <c r="B2403" s="58">
        <v>32033541878</v>
      </c>
      <c r="C2403" s="63" t="s">
        <v>3419</v>
      </c>
      <c r="D2403" s="60">
        <v>19674006877</v>
      </c>
      <c r="E2403" s="9">
        <v>1752</v>
      </c>
      <c r="F2403" s="25">
        <v>43051</v>
      </c>
      <c r="G2403" s="61" t="s">
        <v>13</v>
      </c>
      <c r="H2403" s="9"/>
      <c r="I2403" s="8"/>
      <c r="J2403" s="8"/>
      <c r="K2403" s="8"/>
      <c r="L2403" s="9">
        <v>1759</v>
      </c>
      <c r="M2403" s="8"/>
    </row>
    <row r="2404" spans="1:13">
      <c r="A2404" s="27" t="s">
        <v>3420</v>
      </c>
      <c r="B2404" s="58">
        <v>23241720896</v>
      </c>
      <c r="C2404" s="18" t="s">
        <v>3421</v>
      </c>
      <c r="D2404" s="60">
        <v>668743514</v>
      </c>
      <c r="E2404" s="9"/>
      <c r="F2404" s="25"/>
      <c r="G2404" s="61"/>
      <c r="H2404" s="9"/>
      <c r="I2404" s="8"/>
      <c r="J2404" s="8"/>
      <c r="K2404" s="8"/>
      <c r="L2404" s="8"/>
      <c r="M2404" s="8"/>
    </row>
    <row r="2405" spans="1:13">
      <c r="A2405" s="62" t="s">
        <v>3422</v>
      </c>
      <c r="B2405" s="58">
        <v>20538853867</v>
      </c>
      <c r="C2405" s="63"/>
      <c r="D2405" s="60"/>
      <c r="E2405" s="9">
        <v>443</v>
      </c>
      <c r="F2405" s="25">
        <v>43188</v>
      </c>
      <c r="G2405" s="61"/>
      <c r="H2405" s="9"/>
      <c r="I2405" s="8"/>
      <c r="J2405" s="8"/>
      <c r="K2405" s="8"/>
      <c r="L2405" s="8"/>
      <c r="M2405" s="8"/>
    </row>
    <row r="2406" spans="1:13">
      <c r="A2406" s="62" t="s">
        <v>3423</v>
      </c>
      <c r="B2406" s="58">
        <v>40257213848</v>
      </c>
      <c r="C2406" s="63"/>
      <c r="D2406" s="60"/>
      <c r="E2406" s="9">
        <v>262</v>
      </c>
      <c r="F2406" s="25">
        <v>43160</v>
      </c>
      <c r="G2406" s="61" t="s">
        <v>13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64" t="s">
        <v>3424</v>
      </c>
      <c r="B2407" s="58">
        <v>1889333360</v>
      </c>
      <c r="C2407" s="63" t="s">
        <v>3425</v>
      </c>
      <c r="D2407" s="60">
        <v>580003302</v>
      </c>
      <c r="E2407" s="9">
        <v>1241</v>
      </c>
      <c r="F2407" s="25">
        <v>42992</v>
      </c>
      <c r="G2407" s="61" t="s">
        <v>13</v>
      </c>
      <c r="H2407" s="9"/>
      <c r="I2407" s="8"/>
      <c r="J2407" s="8"/>
      <c r="K2407" s="8"/>
      <c r="L2407" s="8"/>
      <c r="M2407" s="8"/>
    </row>
    <row r="2408" spans="1:13">
      <c r="A2408" s="62" t="s">
        <v>3426</v>
      </c>
      <c r="B2408" s="58">
        <v>40321655800</v>
      </c>
      <c r="C2408" s="63" t="s">
        <v>3427</v>
      </c>
      <c r="D2408" s="60">
        <v>37378835803</v>
      </c>
      <c r="E2408" s="9">
        <v>810</v>
      </c>
      <c r="F2408" s="25">
        <v>42915</v>
      </c>
      <c r="G2408" s="61" t="s">
        <v>13</v>
      </c>
      <c r="H2408" s="9"/>
      <c r="I2408" s="8"/>
      <c r="J2408" s="8"/>
      <c r="K2408" s="8"/>
      <c r="L2408" s="9" t="s">
        <v>138</v>
      </c>
      <c r="M2408" s="8"/>
    </row>
    <row r="2409" spans="1:13">
      <c r="A2409" s="14" t="s">
        <v>3428</v>
      </c>
      <c r="B2409" s="58">
        <v>5117256557</v>
      </c>
      <c r="C2409" s="63" t="s">
        <v>3429</v>
      </c>
      <c r="D2409" s="60">
        <v>5063737544</v>
      </c>
      <c r="E2409" s="9">
        <v>262</v>
      </c>
      <c r="F2409" s="25">
        <v>43160</v>
      </c>
      <c r="G2409" s="61" t="s">
        <v>20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3430</v>
      </c>
      <c r="B2410" s="58">
        <v>21863985832</v>
      </c>
      <c r="C2410" s="63" t="s">
        <v>3431</v>
      </c>
      <c r="D2410" s="60">
        <v>8037111822</v>
      </c>
      <c r="E2410" s="9">
        <v>262</v>
      </c>
      <c r="F2410" s="25">
        <v>43160</v>
      </c>
      <c r="G2410" s="61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62" t="s">
        <v>3432</v>
      </c>
      <c r="B2411" s="58">
        <v>28301891831</v>
      </c>
      <c r="C2411" s="63"/>
      <c r="D2411" s="60"/>
      <c r="E2411" s="9">
        <v>1417</v>
      </c>
      <c r="F2411" s="25">
        <v>43017</v>
      </c>
      <c r="G2411" s="61" t="s">
        <v>13</v>
      </c>
      <c r="H2411" s="9"/>
      <c r="I2411" s="8"/>
      <c r="J2411" s="8"/>
      <c r="K2411" s="8"/>
      <c r="L2411" s="9" t="s">
        <v>253</v>
      </c>
      <c r="M2411" s="8"/>
    </row>
    <row r="2412" spans="1:13">
      <c r="A2412" s="18" t="s">
        <v>3433</v>
      </c>
      <c r="B2412" s="58">
        <v>31694477851</v>
      </c>
      <c r="C2412" s="18" t="s">
        <v>3434</v>
      </c>
      <c r="D2412" s="60">
        <v>33083604890</v>
      </c>
      <c r="E2412" s="9"/>
      <c r="F2412" s="25"/>
      <c r="G2412" s="61"/>
      <c r="H2412" s="9"/>
      <c r="I2412" s="8"/>
      <c r="J2412" s="8"/>
      <c r="K2412" s="8"/>
      <c r="L2412" s="8"/>
      <c r="M2412" s="8"/>
    </row>
    <row r="2413" spans="1:13">
      <c r="A2413" s="62" t="s">
        <v>3435</v>
      </c>
      <c r="B2413" s="58">
        <v>14690610827</v>
      </c>
      <c r="C2413" s="63" t="s">
        <v>3436</v>
      </c>
      <c r="D2413" s="60">
        <v>5379935761</v>
      </c>
      <c r="E2413" s="9"/>
      <c r="F2413" s="25"/>
      <c r="G2413" s="61"/>
      <c r="H2413" s="9"/>
      <c r="I2413" s="8"/>
      <c r="J2413" s="8"/>
      <c r="K2413" s="8"/>
      <c r="L2413" s="8"/>
      <c r="M2413" s="8"/>
    </row>
    <row r="2414" spans="1:13">
      <c r="A2414" s="62" t="s">
        <v>3437</v>
      </c>
      <c r="B2414" s="58">
        <v>1740803523</v>
      </c>
      <c r="C2414" s="63" t="s">
        <v>3438</v>
      </c>
      <c r="D2414" s="60">
        <v>32727175876</v>
      </c>
      <c r="E2414" s="9"/>
      <c r="F2414" s="25"/>
      <c r="G2414" s="61"/>
      <c r="H2414" s="9"/>
      <c r="I2414" s="8"/>
      <c r="J2414" s="8"/>
      <c r="K2414" s="8"/>
      <c r="L2414" s="8"/>
      <c r="M2414" s="8"/>
    </row>
    <row r="2415" spans="1:13">
      <c r="A2415" s="62" t="s">
        <v>3439</v>
      </c>
      <c r="B2415" s="58">
        <v>23328195840</v>
      </c>
      <c r="C2415" s="63" t="s">
        <v>3440</v>
      </c>
      <c r="D2415" s="60">
        <v>770249310</v>
      </c>
      <c r="E2415" s="9">
        <v>810</v>
      </c>
      <c r="F2415" s="25">
        <v>42915</v>
      </c>
      <c r="G2415" s="61" t="s">
        <v>13</v>
      </c>
      <c r="H2415" s="9"/>
      <c r="I2415" s="8"/>
      <c r="J2415" s="8"/>
      <c r="K2415" s="8"/>
      <c r="L2415" s="9" t="s">
        <v>138</v>
      </c>
      <c r="M2415" s="8"/>
    </row>
    <row r="2416" spans="1:13">
      <c r="A2416" s="62" t="s">
        <v>3441</v>
      </c>
      <c r="B2416" s="58">
        <v>28082388862</v>
      </c>
      <c r="C2416" s="63" t="s">
        <v>3442</v>
      </c>
      <c r="D2416" s="60">
        <v>92633617549</v>
      </c>
      <c r="E2416" s="9"/>
      <c r="F2416" s="25"/>
      <c r="G2416" s="61"/>
      <c r="H2416" s="9"/>
      <c r="I2416" s="8"/>
      <c r="J2416" s="8"/>
      <c r="K2416" s="8"/>
      <c r="L2416" s="8"/>
      <c r="M2416" s="8"/>
    </row>
    <row r="2417" spans="1:13">
      <c r="A2417" s="27" t="s">
        <v>3443</v>
      </c>
      <c r="B2417" s="58">
        <v>43054747867</v>
      </c>
      <c r="C2417" s="27" t="s">
        <v>3444</v>
      </c>
      <c r="D2417" s="60">
        <v>35589807867</v>
      </c>
      <c r="E2417" s="9"/>
      <c r="F2417" s="25"/>
      <c r="G2417" s="61"/>
      <c r="H2417" s="9"/>
      <c r="I2417" s="8"/>
      <c r="J2417" s="8"/>
      <c r="K2417" s="8"/>
      <c r="L2417" s="8"/>
      <c r="M2417" s="8"/>
    </row>
    <row r="2418" spans="1:13">
      <c r="A2418" s="62" t="s">
        <v>3445</v>
      </c>
      <c r="B2418" s="58">
        <v>25765767885</v>
      </c>
      <c r="C2418" s="63"/>
      <c r="D2418" s="60"/>
      <c r="E2418" s="9"/>
      <c r="F2418" s="25"/>
      <c r="G2418" s="61"/>
      <c r="H2418" s="9"/>
      <c r="I2418" s="8"/>
      <c r="J2418" s="8"/>
      <c r="K2418" s="8"/>
      <c r="L2418" s="8"/>
      <c r="M2418" s="8"/>
    </row>
    <row r="2419" spans="1:13">
      <c r="A2419" s="14" t="s">
        <v>3446</v>
      </c>
      <c r="B2419" s="58">
        <v>89863704504</v>
      </c>
      <c r="C2419" s="63" t="s">
        <v>3447</v>
      </c>
      <c r="D2419" s="60">
        <v>29135886897</v>
      </c>
      <c r="E2419" s="9"/>
      <c r="F2419" s="25"/>
      <c r="G2419" s="61"/>
      <c r="H2419" s="9"/>
      <c r="I2419" s="8"/>
      <c r="J2419" s="8"/>
      <c r="K2419" s="8"/>
      <c r="L2419" s="8"/>
      <c r="M2419" s="8"/>
    </row>
    <row r="2420" spans="1:13">
      <c r="A2420" s="62" t="s">
        <v>3448</v>
      </c>
      <c r="B2420" s="58">
        <v>22134435801</v>
      </c>
      <c r="C2420" s="63"/>
      <c r="D2420" s="60"/>
      <c r="E2420" s="9"/>
      <c r="F2420" s="25"/>
      <c r="G2420" s="61"/>
      <c r="H2420" s="9"/>
      <c r="I2420" s="8"/>
      <c r="J2420" s="8"/>
      <c r="K2420" s="8"/>
      <c r="L2420" s="8"/>
      <c r="M2420" s="8"/>
    </row>
    <row r="2421" spans="1:13">
      <c r="A2421" s="62" t="s">
        <v>3449</v>
      </c>
      <c r="B2421" s="58">
        <v>33451336871</v>
      </c>
      <c r="C2421" s="63"/>
      <c r="D2421" s="60"/>
      <c r="E2421" s="9">
        <v>292</v>
      </c>
      <c r="F2421" s="25">
        <v>43168</v>
      </c>
      <c r="G2421" s="61" t="s">
        <v>13</v>
      </c>
      <c r="H2421" s="9"/>
      <c r="I2421" s="8"/>
      <c r="J2421" s="8"/>
      <c r="K2421" s="8"/>
      <c r="L2421" s="9">
        <v>318</v>
      </c>
      <c r="M2421" s="8"/>
    </row>
    <row r="2422" spans="1:13">
      <c r="A2422" s="62" t="s">
        <v>3450</v>
      </c>
      <c r="B2422" s="58">
        <v>32408669863</v>
      </c>
      <c r="C2422" s="63"/>
      <c r="D2422" s="60"/>
      <c r="E2422" s="9"/>
      <c r="F2422" s="25"/>
      <c r="G2422" s="61"/>
      <c r="H2422" s="9"/>
      <c r="I2422" s="8"/>
      <c r="J2422" s="8"/>
      <c r="K2422" s="8"/>
      <c r="L2422" s="8"/>
      <c r="M2422" s="8"/>
    </row>
    <row r="2423" spans="1:13">
      <c r="A2423" s="62" t="s">
        <v>3451</v>
      </c>
      <c r="B2423" s="58">
        <v>16123772899</v>
      </c>
      <c r="C2423" s="59"/>
      <c r="D2423" s="60"/>
      <c r="E2423" s="9">
        <v>1214</v>
      </c>
      <c r="F2423" s="25">
        <v>42989</v>
      </c>
      <c r="G2423" s="61" t="s">
        <v>13</v>
      </c>
      <c r="H2423" s="9"/>
      <c r="I2423" s="8"/>
      <c r="J2423" s="8"/>
      <c r="K2423" s="8"/>
      <c r="L2423" s="8"/>
      <c r="M2423" s="8"/>
    </row>
    <row r="2424" spans="1:13">
      <c r="A2424" s="64" t="s">
        <v>3452</v>
      </c>
      <c r="B2424" s="58">
        <v>33538686823</v>
      </c>
      <c r="C2424" s="63" t="s">
        <v>3453</v>
      </c>
      <c r="D2424" s="60">
        <v>37104062858</v>
      </c>
      <c r="E2424" s="9">
        <v>810</v>
      </c>
      <c r="F2424" s="25">
        <v>42915</v>
      </c>
      <c r="G2424" s="9" t="s">
        <v>13</v>
      </c>
      <c r="H2424" s="9"/>
      <c r="I2424" s="8"/>
      <c r="J2424" s="8"/>
      <c r="K2424" s="8"/>
      <c r="L2424" s="9" t="s">
        <v>138</v>
      </c>
      <c r="M2424" s="8"/>
    </row>
    <row r="2425" spans="1:13">
      <c r="A2425" s="18" t="s">
        <v>3454</v>
      </c>
      <c r="B2425" s="58">
        <v>30524078807</v>
      </c>
      <c r="C2425" s="18"/>
      <c r="D2425" s="60"/>
      <c r="E2425" s="9"/>
      <c r="F2425" s="25"/>
      <c r="G2425" s="61"/>
      <c r="H2425" s="9"/>
      <c r="I2425" s="8"/>
      <c r="J2425" s="8"/>
      <c r="K2425" s="8"/>
      <c r="L2425" s="8"/>
      <c r="M2425" s="8"/>
    </row>
    <row r="2426" spans="1:13">
      <c r="A2426" s="62" t="s">
        <v>3455</v>
      </c>
      <c r="B2426" s="58">
        <v>1296421856</v>
      </c>
      <c r="C2426" s="63"/>
      <c r="D2426" s="60"/>
      <c r="E2426" s="9">
        <v>292</v>
      </c>
      <c r="F2426" s="25">
        <v>43168</v>
      </c>
      <c r="G2426" s="61" t="s">
        <v>13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3456</v>
      </c>
      <c r="B2427" s="58">
        <v>22678523810</v>
      </c>
      <c r="C2427" s="63"/>
      <c r="D2427" s="60"/>
      <c r="E2427" s="9">
        <v>485</v>
      </c>
      <c r="F2427" s="25">
        <v>43196</v>
      </c>
      <c r="G2427" s="61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3457</v>
      </c>
      <c r="B2428" s="58">
        <v>87763559349</v>
      </c>
      <c r="C2428" s="63"/>
      <c r="D2428" s="60"/>
      <c r="E2428" s="9">
        <v>292</v>
      </c>
      <c r="F2428" s="25">
        <v>43168</v>
      </c>
      <c r="G2428" s="61" t="s">
        <v>13</v>
      </c>
      <c r="H2428" s="9"/>
      <c r="I2428" s="8"/>
      <c r="J2428" s="8"/>
      <c r="K2428" s="8"/>
      <c r="L2428" s="9">
        <v>318</v>
      </c>
      <c r="M2428" s="8"/>
    </row>
    <row r="2429" spans="1:13">
      <c r="A2429" s="62" t="s">
        <v>3458</v>
      </c>
      <c r="B2429" s="58">
        <v>93637551420</v>
      </c>
      <c r="C2429" s="63"/>
      <c r="D2429" s="60"/>
      <c r="E2429" s="9">
        <v>1214</v>
      </c>
      <c r="F2429" s="25">
        <v>42989</v>
      </c>
      <c r="G2429" s="84" t="s">
        <v>13</v>
      </c>
      <c r="H2429" s="9"/>
      <c r="I2429" s="8"/>
      <c r="J2429" s="8"/>
      <c r="K2429" s="8"/>
      <c r="L2429" s="8"/>
      <c r="M2429" s="8"/>
    </row>
    <row r="2430" spans="1:13">
      <c r="A2430" s="27" t="s">
        <v>3459</v>
      </c>
      <c r="B2430" s="58"/>
      <c r="C2430" s="27" t="s">
        <v>129</v>
      </c>
      <c r="D2430" s="60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3460</v>
      </c>
      <c r="B2431" s="58">
        <v>39308964860</v>
      </c>
      <c r="C2431" s="63" t="s">
        <v>3461</v>
      </c>
      <c r="D2431" s="60">
        <v>39308963898</v>
      </c>
      <c r="E2431" s="9">
        <v>229</v>
      </c>
      <c r="F2431" s="25">
        <v>43151</v>
      </c>
      <c r="G2431" s="61" t="s">
        <v>13</v>
      </c>
      <c r="H2431" s="9"/>
      <c r="I2431" s="8"/>
      <c r="J2431" s="8"/>
      <c r="K2431" s="8"/>
      <c r="L2431" s="9">
        <v>232</v>
      </c>
      <c r="M2431" s="8"/>
    </row>
    <row r="2432" spans="1:13">
      <c r="A2432" s="62" t="s">
        <v>3462</v>
      </c>
      <c r="B2432" s="58">
        <v>81487509987</v>
      </c>
      <c r="C2432" s="63"/>
      <c r="D2432" s="60"/>
      <c r="E2432" s="9">
        <v>292</v>
      </c>
      <c r="F2432" s="25">
        <v>43168</v>
      </c>
      <c r="G2432" s="9" t="s">
        <v>13</v>
      </c>
      <c r="H2432" s="9"/>
      <c r="I2432" s="8"/>
      <c r="J2432" s="8"/>
      <c r="K2432" s="8"/>
      <c r="L2432" s="9">
        <v>318</v>
      </c>
      <c r="M2432" s="8"/>
    </row>
    <row r="2433" spans="1:13">
      <c r="A2433" s="62" t="s">
        <v>3463</v>
      </c>
      <c r="B2433" s="58">
        <v>12737024846</v>
      </c>
      <c r="C2433" s="59"/>
      <c r="D2433" s="60"/>
      <c r="E2433" s="9">
        <v>1128</v>
      </c>
      <c r="F2433" s="25">
        <v>42972</v>
      </c>
      <c r="G2433" s="61" t="s">
        <v>13</v>
      </c>
      <c r="H2433" s="9"/>
      <c r="I2433" s="8"/>
      <c r="J2433" s="8"/>
      <c r="K2433" s="8"/>
      <c r="L2433" s="8"/>
      <c r="M2433" s="8"/>
    </row>
    <row r="2434" spans="1:13">
      <c r="A2434" s="62" t="s">
        <v>3464</v>
      </c>
      <c r="B2434" s="58">
        <v>107110580</v>
      </c>
      <c r="C2434" s="63"/>
      <c r="D2434" s="60"/>
      <c r="E2434" s="9"/>
      <c r="F2434" s="25"/>
      <c r="G2434" s="61"/>
      <c r="H2434" s="9"/>
      <c r="I2434" s="8"/>
      <c r="J2434" s="8"/>
      <c r="K2434" s="8"/>
      <c r="L2434" s="8"/>
      <c r="M2434" s="8"/>
    </row>
    <row r="2435" spans="1:13">
      <c r="A2435" s="62" t="s">
        <v>3465</v>
      </c>
      <c r="B2435" s="58">
        <v>14032390886</v>
      </c>
      <c r="C2435" s="59"/>
      <c r="D2435" s="60"/>
      <c r="E2435" s="9">
        <v>1128</v>
      </c>
      <c r="F2435" s="25">
        <v>42972</v>
      </c>
      <c r="G2435" s="61" t="s">
        <v>13</v>
      </c>
      <c r="H2435" s="9"/>
      <c r="I2435" s="8"/>
      <c r="J2435" s="8"/>
      <c r="K2435" s="8"/>
      <c r="L2435" s="8"/>
      <c r="M2435" s="8"/>
    </row>
    <row r="2436" spans="1:13">
      <c r="A2436" s="62" t="s">
        <v>3466</v>
      </c>
      <c r="B2436" s="58">
        <v>27853704810</v>
      </c>
      <c r="C2436" s="63"/>
      <c r="D2436" s="60"/>
      <c r="E2436" s="9"/>
      <c r="F2436" s="25"/>
      <c r="G2436" s="61"/>
      <c r="H2436" s="9"/>
      <c r="I2436" s="8"/>
      <c r="J2436" s="8"/>
      <c r="K2436" s="8"/>
      <c r="L2436" s="8"/>
      <c r="M2436" s="8"/>
    </row>
    <row r="2437" spans="1:13">
      <c r="A2437" s="62" t="s">
        <v>3467</v>
      </c>
      <c r="B2437" s="58"/>
      <c r="C2437" s="63"/>
      <c r="D2437" s="60"/>
      <c r="E2437" s="9"/>
      <c r="F2437" s="25"/>
      <c r="G2437" s="61"/>
      <c r="H2437" s="9"/>
      <c r="I2437" s="8"/>
      <c r="J2437" s="8"/>
      <c r="K2437" s="8"/>
      <c r="L2437" s="8"/>
      <c r="M2437" s="8"/>
    </row>
    <row r="2438" spans="1:13">
      <c r="A2438" s="13" t="s">
        <v>3468</v>
      </c>
      <c r="B2438" s="58">
        <v>90585038520</v>
      </c>
      <c r="C2438" s="59"/>
      <c r="D2438" s="60"/>
      <c r="E2438" s="9"/>
      <c r="F2438" s="25"/>
      <c r="G2438" s="61"/>
      <c r="H2438" s="9"/>
      <c r="I2438" s="8"/>
      <c r="J2438" s="8"/>
      <c r="K2438" s="8"/>
      <c r="L2438" s="8"/>
      <c r="M2438" s="8"/>
    </row>
    <row r="2439" spans="1:13">
      <c r="A2439" s="64" t="s">
        <v>3469</v>
      </c>
      <c r="B2439" s="58">
        <v>4453780850</v>
      </c>
      <c r="C2439" s="63"/>
      <c r="D2439" s="60"/>
      <c r="E2439" s="9">
        <v>117</v>
      </c>
      <c r="F2439" s="25">
        <v>43117</v>
      </c>
      <c r="G2439" s="61" t="s">
        <v>13</v>
      </c>
      <c r="H2439" s="9"/>
      <c r="I2439" s="8"/>
      <c r="J2439" s="8"/>
      <c r="K2439" s="8"/>
      <c r="L2439" s="9" t="s">
        <v>170</v>
      </c>
      <c r="M2439" s="8"/>
    </row>
    <row r="2440" spans="1:13">
      <c r="A2440" s="62" t="s">
        <v>3470</v>
      </c>
      <c r="B2440" s="58">
        <v>36344864818</v>
      </c>
      <c r="C2440" s="63" t="s">
        <v>3471</v>
      </c>
      <c r="D2440" s="60">
        <v>35601867810</v>
      </c>
      <c r="E2440" s="9">
        <v>810</v>
      </c>
      <c r="F2440" s="25">
        <v>42915</v>
      </c>
      <c r="G2440" s="61" t="s">
        <v>13</v>
      </c>
      <c r="H2440" s="9"/>
      <c r="I2440" s="8"/>
      <c r="J2440" s="8"/>
      <c r="K2440" s="8"/>
      <c r="L2440" s="9" t="s">
        <v>138</v>
      </c>
      <c r="M2440" s="8"/>
    </row>
    <row r="2441" spans="1:13">
      <c r="A2441" s="27" t="s">
        <v>3472</v>
      </c>
      <c r="B2441" s="58"/>
      <c r="C2441" s="27" t="s">
        <v>129</v>
      </c>
      <c r="D2441" s="60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62" t="s">
        <v>3473</v>
      </c>
      <c r="B2442" s="58">
        <v>34950715801</v>
      </c>
      <c r="C2442" s="63"/>
      <c r="D2442" s="60"/>
      <c r="E2442" s="9">
        <v>1241</v>
      </c>
      <c r="F2442" s="25">
        <v>42992</v>
      </c>
      <c r="G2442" s="61" t="s">
        <v>13</v>
      </c>
      <c r="H2442" s="9"/>
      <c r="I2442" s="8"/>
      <c r="J2442" s="8"/>
      <c r="K2442" s="8"/>
      <c r="L2442" s="8"/>
      <c r="M2442" s="8"/>
    </row>
    <row r="2443" spans="1:13">
      <c r="A2443" s="64" t="s">
        <v>3474</v>
      </c>
      <c r="B2443" s="58">
        <v>23969560861</v>
      </c>
      <c r="C2443" s="63" t="s">
        <v>3475</v>
      </c>
      <c r="D2443" s="60">
        <v>16141701850</v>
      </c>
      <c r="E2443" s="9">
        <v>1267</v>
      </c>
      <c r="F2443" s="25">
        <v>42998</v>
      </c>
      <c r="G2443" s="61" t="s">
        <v>13</v>
      </c>
      <c r="H2443" s="9"/>
      <c r="I2443" s="8"/>
      <c r="J2443" s="8"/>
      <c r="K2443" s="8"/>
      <c r="L2443" s="8"/>
      <c r="M2443" s="8"/>
    </row>
    <row r="2444" spans="1:13">
      <c r="A2444" s="62" t="s">
        <v>3476</v>
      </c>
      <c r="B2444" s="58">
        <v>37416846862</v>
      </c>
      <c r="C2444" s="63"/>
      <c r="D2444" s="60"/>
      <c r="E2444" s="9"/>
      <c r="F2444" s="25"/>
      <c r="G2444" s="61"/>
      <c r="H2444" s="9"/>
      <c r="I2444" s="8"/>
      <c r="J2444" s="8"/>
      <c r="K2444" s="8"/>
      <c r="L2444" s="8"/>
      <c r="M2444" s="8"/>
    </row>
    <row r="2445" spans="1:13">
      <c r="A2445" s="62" t="s">
        <v>3477</v>
      </c>
      <c r="B2445" s="58">
        <v>40042422825</v>
      </c>
      <c r="C2445" s="63"/>
      <c r="D2445" s="60"/>
      <c r="E2445" s="9">
        <v>262</v>
      </c>
      <c r="F2445" s="25">
        <v>43160</v>
      </c>
      <c r="G2445" s="61" t="s">
        <v>13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3478</v>
      </c>
      <c r="B2446" s="58">
        <v>1510095543</v>
      </c>
      <c r="C2446" s="59"/>
      <c r="D2446" s="60"/>
      <c r="E2446" s="9">
        <v>1241</v>
      </c>
      <c r="F2446" s="25">
        <v>42992</v>
      </c>
      <c r="G2446" s="61" t="s">
        <v>13</v>
      </c>
      <c r="H2446" s="9"/>
      <c r="I2446" s="8"/>
      <c r="J2446" s="8"/>
      <c r="K2446" s="8"/>
      <c r="L2446" s="8"/>
      <c r="M2446" s="8"/>
    </row>
    <row r="2447" spans="1:13">
      <c r="A2447" s="63" t="s">
        <v>3479</v>
      </c>
      <c r="B2447" s="58">
        <v>27138808828</v>
      </c>
      <c r="C2447" s="63"/>
      <c r="D2447" s="60"/>
      <c r="E2447" s="9"/>
      <c r="F2447" s="25"/>
      <c r="G2447" s="61"/>
      <c r="H2447" s="9"/>
      <c r="I2447" s="8"/>
      <c r="J2447" s="8"/>
      <c r="K2447" s="8"/>
      <c r="L2447" s="8"/>
      <c r="M2447" s="8"/>
    </row>
    <row r="2448" spans="1:13">
      <c r="A2448" s="15" t="s">
        <v>3480</v>
      </c>
      <c r="B2448" s="58">
        <v>35193151817</v>
      </c>
      <c r="C2448" s="63" t="s">
        <v>3481</v>
      </c>
      <c r="D2448" s="60">
        <v>26084005829</v>
      </c>
      <c r="E2448" s="9">
        <v>229</v>
      </c>
      <c r="F2448" s="25">
        <v>43151</v>
      </c>
      <c r="G2448" s="61" t="s">
        <v>13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3482</v>
      </c>
      <c r="B2449" s="58">
        <v>42160844861</v>
      </c>
      <c r="C2449" s="18"/>
      <c r="D2449" s="60"/>
      <c r="E2449" s="9"/>
      <c r="F2449" s="25"/>
      <c r="G2449" s="61"/>
      <c r="H2449" s="9"/>
      <c r="I2449" s="8"/>
      <c r="J2449" s="8"/>
      <c r="K2449" s="8"/>
      <c r="L2449" s="8"/>
      <c r="M2449" s="8"/>
    </row>
    <row r="2450" spans="1:13">
      <c r="A2450" s="15" t="s">
        <v>3483</v>
      </c>
      <c r="B2450" s="58">
        <v>43302954824</v>
      </c>
      <c r="C2450" s="63"/>
      <c r="D2450" s="60"/>
      <c r="E2450" s="9"/>
      <c r="F2450" s="25"/>
      <c r="G2450" s="61"/>
      <c r="H2450" s="9"/>
      <c r="I2450" s="8"/>
      <c r="J2450" s="8"/>
      <c r="K2450" s="8"/>
      <c r="L2450" s="8"/>
      <c r="M2450" s="8"/>
    </row>
    <row r="2451" spans="1:13">
      <c r="A2451" s="62" t="s">
        <v>3484</v>
      </c>
      <c r="B2451" s="58">
        <v>39928618801</v>
      </c>
      <c r="C2451" s="63"/>
      <c r="D2451" s="60"/>
      <c r="E2451" s="9">
        <v>292</v>
      </c>
      <c r="F2451" s="25">
        <v>43168</v>
      </c>
      <c r="G2451" s="9" t="s">
        <v>13</v>
      </c>
      <c r="H2451" s="9"/>
      <c r="I2451" s="8"/>
      <c r="J2451" s="8"/>
      <c r="K2451" s="8"/>
      <c r="L2451" s="9">
        <v>318</v>
      </c>
      <c r="M2451" s="8"/>
    </row>
    <row r="2452" spans="1:13">
      <c r="A2452" s="62" t="s">
        <v>3485</v>
      </c>
      <c r="B2452" s="58">
        <v>34674605857</v>
      </c>
      <c r="C2452" s="63" t="s">
        <v>3486</v>
      </c>
      <c r="D2452" s="60">
        <v>36771603830</v>
      </c>
      <c r="E2452" s="9">
        <v>810</v>
      </c>
      <c r="F2452" s="25">
        <v>42915</v>
      </c>
      <c r="G2452" s="61" t="s">
        <v>13</v>
      </c>
      <c r="H2452" s="9"/>
      <c r="I2452" s="8"/>
      <c r="J2452" s="8"/>
      <c r="K2452" s="8"/>
      <c r="L2452" s="9" t="s">
        <v>138</v>
      </c>
      <c r="M2452" s="8"/>
    </row>
    <row r="2453" spans="1:13">
      <c r="A2453" s="62" t="s">
        <v>3487</v>
      </c>
      <c r="B2453" s="58">
        <v>33248807857</v>
      </c>
      <c r="C2453" s="63" t="s">
        <v>3488</v>
      </c>
      <c r="D2453" s="60">
        <v>40575174803</v>
      </c>
      <c r="E2453" s="9">
        <v>573</v>
      </c>
      <c r="F2453" s="25">
        <v>43224</v>
      </c>
      <c r="G2453" s="61"/>
      <c r="H2453" s="9"/>
      <c r="I2453" s="8"/>
      <c r="J2453" s="8"/>
      <c r="K2453" s="8"/>
      <c r="L2453" s="8"/>
      <c r="M2453" s="8"/>
    </row>
    <row r="2454" spans="1:13">
      <c r="A2454" s="13" t="s">
        <v>3489</v>
      </c>
      <c r="B2454" s="58">
        <v>42336003813</v>
      </c>
      <c r="C2454" s="63"/>
      <c r="D2454" s="60"/>
      <c r="E2454" s="9">
        <v>1350</v>
      </c>
      <c r="F2454" s="25">
        <v>43006</v>
      </c>
      <c r="G2454" s="61" t="s">
        <v>13</v>
      </c>
      <c r="H2454" s="9"/>
      <c r="I2454" s="8"/>
      <c r="J2454" s="8"/>
      <c r="K2454" s="8"/>
      <c r="L2454" s="8"/>
      <c r="M2454" s="8"/>
    </row>
    <row r="2455" spans="1:13">
      <c r="A2455" s="13" t="s">
        <v>3490</v>
      </c>
      <c r="B2455" s="58">
        <v>34488341810</v>
      </c>
      <c r="C2455" s="63"/>
      <c r="D2455" s="60"/>
      <c r="E2455" s="9">
        <v>1350</v>
      </c>
      <c r="F2455" s="25">
        <v>43006</v>
      </c>
      <c r="G2455" s="61" t="s">
        <v>13</v>
      </c>
      <c r="H2455" s="9"/>
      <c r="I2455" s="8"/>
      <c r="J2455" s="8"/>
      <c r="K2455" s="8"/>
      <c r="L2455" s="8"/>
      <c r="M2455" s="8"/>
    </row>
    <row r="2456" spans="1:13">
      <c r="A2456" s="62" t="s">
        <v>3491</v>
      </c>
      <c r="B2456" s="58">
        <v>39556368876</v>
      </c>
      <c r="C2456" s="22"/>
      <c r="D2456" s="23"/>
      <c r="E2456" s="9"/>
      <c r="F2456" s="25"/>
      <c r="G2456" s="61"/>
      <c r="H2456" s="9"/>
      <c r="I2456" s="8"/>
      <c r="J2456" s="8"/>
      <c r="K2456" s="8"/>
      <c r="L2456" s="8"/>
      <c r="M2456" s="8"/>
    </row>
    <row r="2457" spans="1:13">
      <c r="A2457" s="62" t="s">
        <v>3492</v>
      </c>
      <c r="B2457" s="58">
        <v>34957713871</v>
      </c>
      <c r="C2457" s="63"/>
      <c r="D2457" s="60"/>
      <c r="E2457" s="9">
        <v>1752</v>
      </c>
      <c r="F2457" s="25">
        <v>43051</v>
      </c>
      <c r="G2457" s="61" t="s">
        <v>13</v>
      </c>
      <c r="H2457" s="9"/>
      <c r="I2457" s="8"/>
      <c r="J2457" s="8"/>
      <c r="K2457" s="8"/>
      <c r="L2457" s="9">
        <v>1759</v>
      </c>
      <c r="M2457" s="8"/>
    </row>
    <row r="2458" spans="1:13">
      <c r="A2458" s="27" t="s">
        <v>3493</v>
      </c>
      <c r="B2458" s="58">
        <v>7143855901</v>
      </c>
      <c r="C2458" s="18" t="s">
        <v>129</v>
      </c>
      <c r="D2458" s="60"/>
      <c r="E2458" s="9"/>
      <c r="F2458" s="25"/>
      <c r="G2458" s="61"/>
      <c r="H2458" s="9"/>
      <c r="I2458" s="8"/>
      <c r="J2458" s="8"/>
      <c r="K2458" s="8"/>
      <c r="L2458" s="8"/>
      <c r="M2458" s="8"/>
    </row>
    <row r="2459" spans="1:13">
      <c r="A2459" s="27" t="s">
        <v>3494</v>
      </c>
      <c r="B2459" s="58"/>
      <c r="C2459" s="27" t="s">
        <v>129</v>
      </c>
      <c r="D2459" s="60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62" t="s">
        <v>3495</v>
      </c>
      <c r="B2460" s="58">
        <v>5365375505</v>
      </c>
      <c r="C2460" s="59" t="s">
        <v>3496</v>
      </c>
      <c r="D2460" s="60">
        <v>34658162857</v>
      </c>
      <c r="E2460" s="9">
        <v>1128</v>
      </c>
      <c r="F2460" s="25">
        <v>42972</v>
      </c>
      <c r="G2460" s="61" t="s">
        <v>13</v>
      </c>
      <c r="H2460" s="9"/>
      <c r="I2460" s="8"/>
      <c r="J2460" s="8"/>
      <c r="K2460" s="8"/>
      <c r="L2460" s="8"/>
      <c r="M2460" s="8"/>
    </row>
    <row r="2461" spans="1:13">
      <c r="A2461" s="18" t="s">
        <v>3497</v>
      </c>
      <c r="B2461" s="58">
        <v>16544220884</v>
      </c>
      <c r="C2461" s="18"/>
      <c r="D2461" s="60"/>
      <c r="E2461" s="9"/>
      <c r="F2461" s="25"/>
      <c r="G2461" s="61"/>
      <c r="H2461" s="9"/>
      <c r="I2461" s="8"/>
      <c r="J2461" s="8"/>
      <c r="K2461" s="8"/>
      <c r="L2461" s="8"/>
      <c r="M2461" s="8"/>
    </row>
    <row r="2462" spans="1:13">
      <c r="A2462" s="27" t="s">
        <v>3498</v>
      </c>
      <c r="B2462" s="58">
        <v>66691990404</v>
      </c>
      <c r="C2462" s="27" t="s">
        <v>3499</v>
      </c>
      <c r="D2462" s="60">
        <v>65787714415</v>
      </c>
      <c r="E2462" s="9"/>
      <c r="F2462" s="25"/>
      <c r="G2462" s="61"/>
      <c r="H2462" s="9"/>
      <c r="I2462" s="8"/>
      <c r="J2462" s="8"/>
      <c r="K2462" s="8"/>
      <c r="L2462" s="8"/>
      <c r="M2462" s="8"/>
    </row>
    <row r="2463" spans="1:13">
      <c r="A2463" s="15" t="s">
        <v>3500</v>
      </c>
      <c r="B2463" s="58">
        <v>60347000355</v>
      </c>
      <c r="C2463" s="63" t="s">
        <v>3501</v>
      </c>
      <c r="D2463" s="60">
        <v>40730915816</v>
      </c>
      <c r="E2463" s="9"/>
      <c r="F2463" s="25"/>
      <c r="G2463" s="61"/>
      <c r="H2463" s="9"/>
      <c r="I2463" s="8"/>
      <c r="J2463" s="8"/>
      <c r="K2463" s="8"/>
      <c r="L2463" s="8"/>
      <c r="M2463" s="8"/>
    </row>
    <row r="2464" spans="1:13">
      <c r="A2464" s="15" t="s">
        <v>3502</v>
      </c>
      <c r="B2464" s="58">
        <v>37467543808</v>
      </c>
      <c r="C2464" s="63" t="s">
        <v>3503</v>
      </c>
      <c r="D2464" s="60">
        <v>40552745804</v>
      </c>
      <c r="E2464" s="9">
        <v>229</v>
      </c>
      <c r="F2464" s="25">
        <v>43151</v>
      </c>
      <c r="G2464" s="61" t="s">
        <v>13</v>
      </c>
      <c r="H2464" s="9"/>
      <c r="I2464" s="8"/>
      <c r="J2464" s="8"/>
      <c r="K2464" s="8"/>
      <c r="L2464" s="9">
        <v>232</v>
      </c>
      <c r="M2464" s="8"/>
    </row>
    <row r="2465" spans="1:13">
      <c r="A2465" s="62" t="s">
        <v>3504</v>
      </c>
      <c r="B2465" s="58">
        <v>41146398883</v>
      </c>
      <c r="C2465" s="68"/>
      <c r="D2465" s="60"/>
      <c r="E2465" s="9"/>
      <c r="F2465" s="25"/>
      <c r="G2465" s="61"/>
      <c r="H2465" s="9"/>
      <c r="I2465" s="8"/>
      <c r="J2465" s="8"/>
      <c r="K2465" s="8"/>
      <c r="L2465" s="8"/>
      <c r="M2465" s="8"/>
    </row>
    <row r="2466" spans="1:13">
      <c r="A2466" s="62" t="s">
        <v>3505</v>
      </c>
      <c r="B2466" s="58">
        <v>41506785883</v>
      </c>
      <c r="C2466" s="64"/>
      <c r="D2466" s="60"/>
      <c r="E2466" s="9">
        <v>573</v>
      </c>
      <c r="F2466" s="25">
        <v>43224</v>
      </c>
      <c r="G2466" s="61"/>
      <c r="H2466" s="9"/>
      <c r="I2466" s="8"/>
      <c r="J2466" s="8"/>
      <c r="K2466" s="8"/>
      <c r="L2466" s="8"/>
      <c r="M2466" s="8"/>
    </row>
    <row r="2467" spans="1:13">
      <c r="A2467" s="27" t="s">
        <v>3506</v>
      </c>
      <c r="B2467" s="58"/>
      <c r="C2467" s="18" t="s">
        <v>129</v>
      </c>
      <c r="D2467" s="60"/>
      <c r="E2467" s="9"/>
      <c r="F2467" s="25"/>
      <c r="G2467" s="61"/>
      <c r="H2467" s="9"/>
      <c r="I2467" s="8"/>
      <c r="J2467" s="8"/>
      <c r="K2467" s="8"/>
      <c r="L2467" s="8"/>
      <c r="M2467" s="8"/>
    </row>
    <row r="2468" spans="1:13">
      <c r="A2468" s="62" t="s">
        <v>3507</v>
      </c>
      <c r="B2468" s="58">
        <v>36726282800</v>
      </c>
      <c r="C2468" s="59"/>
      <c r="D2468" s="60"/>
      <c r="E2468" s="9">
        <v>1824</v>
      </c>
      <c r="F2468" s="25">
        <v>43091</v>
      </c>
      <c r="G2468" s="61" t="s">
        <v>13</v>
      </c>
      <c r="H2468" s="9"/>
      <c r="I2468" s="8"/>
      <c r="J2468" s="8"/>
      <c r="K2468" s="8"/>
      <c r="L2468" s="9">
        <v>1828</v>
      </c>
      <c r="M2468" s="8"/>
    </row>
    <row r="2469" spans="1:13">
      <c r="A2469" s="62" t="s">
        <v>3508</v>
      </c>
      <c r="B2469" s="58">
        <v>37416964806</v>
      </c>
      <c r="C2469" s="63"/>
      <c r="D2469" s="60"/>
      <c r="E2469" s="9"/>
      <c r="F2469" s="25"/>
      <c r="G2469" s="61"/>
      <c r="H2469" s="9"/>
      <c r="I2469" s="8"/>
      <c r="J2469" s="8"/>
      <c r="K2469" s="8"/>
      <c r="L2469" s="8"/>
      <c r="M2469" s="8"/>
    </row>
    <row r="2470" spans="1:13">
      <c r="A2470" s="15" t="s">
        <v>3509</v>
      </c>
      <c r="B2470" s="58">
        <v>36190751822</v>
      </c>
      <c r="C2470" s="63"/>
      <c r="D2470" s="60"/>
      <c r="E2470" s="9"/>
      <c r="F2470" s="25"/>
      <c r="G2470" s="61"/>
      <c r="H2470" s="9"/>
      <c r="I2470" s="8"/>
      <c r="J2470" s="8"/>
      <c r="K2470" s="8"/>
      <c r="L2470" s="8"/>
      <c r="M2470" s="8"/>
    </row>
    <row r="2471" spans="1:13">
      <c r="A2471" s="15" t="s">
        <v>3510</v>
      </c>
      <c r="B2471" s="58">
        <v>48697483808</v>
      </c>
      <c r="C2471" s="63"/>
      <c r="D2471" s="60"/>
      <c r="E2471" s="9"/>
      <c r="F2471" s="25"/>
      <c r="G2471" s="61"/>
      <c r="H2471" s="9"/>
      <c r="I2471" s="8"/>
      <c r="J2471" s="8"/>
      <c r="K2471" s="8"/>
      <c r="L2471" s="8"/>
      <c r="M2471" s="8"/>
    </row>
    <row r="2472" spans="1:13">
      <c r="A2472" s="27" t="s">
        <v>3511</v>
      </c>
      <c r="B2472" s="58"/>
      <c r="C2472" s="18" t="s">
        <v>129</v>
      </c>
      <c r="D2472" s="60"/>
      <c r="E2472" s="9"/>
      <c r="F2472" s="25"/>
      <c r="G2472" s="61"/>
      <c r="H2472" s="9"/>
      <c r="I2472" s="8"/>
      <c r="J2472" s="8"/>
      <c r="K2472" s="8"/>
      <c r="L2472" s="8"/>
      <c r="M2472" s="8"/>
    </row>
    <row r="2473" spans="1:13">
      <c r="A2473" s="15" t="s">
        <v>3512</v>
      </c>
      <c r="B2473" s="58">
        <v>34907942818</v>
      </c>
      <c r="C2473" s="63" t="s">
        <v>3513</v>
      </c>
      <c r="D2473" s="60">
        <v>36020385809</v>
      </c>
      <c r="E2473" s="9"/>
      <c r="F2473" s="25"/>
      <c r="G2473" s="61"/>
      <c r="H2473" s="9"/>
      <c r="I2473" s="8"/>
      <c r="J2473" s="8"/>
      <c r="K2473" s="8"/>
      <c r="L2473" s="8"/>
      <c r="M2473" s="8"/>
    </row>
    <row r="2474" spans="1:13">
      <c r="A2474" s="62" t="s">
        <v>3514</v>
      </c>
      <c r="B2474" s="58">
        <v>32865304841</v>
      </c>
      <c r="C2474" s="63"/>
      <c r="D2474" s="60"/>
      <c r="E2474" s="9"/>
      <c r="F2474" s="25"/>
      <c r="G2474" s="84"/>
      <c r="H2474" s="9"/>
      <c r="I2474" s="8"/>
      <c r="J2474" s="8"/>
      <c r="K2474" s="8"/>
      <c r="L2474" s="8"/>
      <c r="M2474" s="8"/>
    </row>
    <row r="2475" spans="1:13">
      <c r="A2475" s="62" t="s">
        <v>3515</v>
      </c>
      <c r="B2475" s="58">
        <v>40642684820</v>
      </c>
      <c r="C2475" s="63" t="s">
        <v>3516</v>
      </c>
      <c r="D2475" s="60">
        <v>43189527890</v>
      </c>
      <c r="E2475" s="9">
        <v>292</v>
      </c>
      <c r="F2475" s="25">
        <v>43168</v>
      </c>
      <c r="G2475" s="61" t="s">
        <v>13</v>
      </c>
      <c r="H2475" s="9"/>
      <c r="I2475" s="8"/>
      <c r="J2475" s="8"/>
      <c r="K2475" s="8"/>
      <c r="L2475" s="9">
        <v>318</v>
      </c>
      <c r="M2475" s="8"/>
    </row>
    <row r="2476" spans="1:13">
      <c r="A2476" s="62" t="s">
        <v>3517</v>
      </c>
      <c r="B2476" s="58">
        <v>36401343893</v>
      </c>
      <c r="C2476" s="63" t="s">
        <v>3518</v>
      </c>
      <c r="D2476" s="60">
        <v>43068415888</v>
      </c>
      <c r="E2476" s="9">
        <v>563</v>
      </c>
      <c r="F2476" s="25">
        <v>43217</v>
      </c>
      <c r="G2476" s="61"/>
      <c r="H2476" s="9"/>
      <c r="I2476" s="8"/>
      <c r="J2476" s="8"/>
      <c r="K2476" s="8"/>
      <c r="L2476" s="9" t="s">
        <v>299</v>
      </c>
      <c r="M2476" s="8"/>
    </row>
    <row r="2477" spans="1:13">
      <c r="A2477" s="15" t="s">
        <v>3519</v>
      </c>
      <c r="B2477" s="58">
        <v>10413301460</v>
      </c>
      <c r="C2477" s="63" t="s">
        <v>3520</v>
      </c>
      <c r="D2477" s="60">
        <v>10931047404</v>
      </c>
      <c r="E2477" s="9">
        <v>117</v>
      </c>
      <c r="F2477" s="25">
        <v>43117</v>
      </c>
      <c r="G2477" s="61" t="s">
        <v>13</v>
      </c>
      <c r="H2477" s="9"/>
      <c r="I2477" s="8"/>
      <c r="J2477" s="8"/>
      <c r="K2477" s="8"/>
      <c r="L2477" s="9" t="s">
        <v>170</v>
      </c>
      <c r="M2477" s="8"/>
    </row>
    <row r="2478" spans="1:13">
      <c r="A2478" s="15" t="s">
        <v>3521</v>
      </c>
      <c r="B2478" s="58">
        <v>42030087866</v>
      </c>
      <c r="C2478" s="63" t="s">
        <v>3522</v>
      </c>
      <c r="D2478" s="60">
        <v>29748028852</v>
      </c>
      <c r="E2478" s="9"/>
      <c r="F2478" s="25"/>
      <c r="G2478" s="61"/>
      <c r="H2478" s="9"/>
      <c r="I2478" s="8"/>
      <c r="J2478" s="8"/>
      <c r="K2478" s="8"/>
      <c r="L2478" s="8"/>
      <c r="M2478" s="8"/>
    </row>
    <row r="2479" spans="1:13">
      <c r="A2479" s="15" t="s">
        <v>3523</v>
      </c>
      <c r="B2479" s="58">
        <v>46879751865</v>
      </c>
      <c r="C2479" s="63"/>
      <c r="D2479" s="60"/>
      <c r="E2479" s="9"/>
      <c r="F2479" s="25"/>
      <c r="G2479" s="61"/>
      <c r="H2479" s="9"/>
      <c r="I2479" s="8"/>
      <c r="J2479" s="8"/>
      <c r="K2479" s="8"/>
      <c r="L2479" s="8"/>
      <c r="M2479" s="8"/>
    </row>
    <row r="2480" spans="1:13">
      <c r="A2480" s="19" t="s">
        <v>3524</v>
      </c>
      <c r="B2480" s="58">
        <v>38302413801</v>
      </c>
      <c r="C2480" s="68" t="s">
        <v>3525</v>
      </c>
      <c r="D2480" s="60">
        <v>33894151811</v>
      </c>
      <c r="E2480" s="9"/>
      <c r="F2480" s="25"/>
      <c r="G2480" s="61"/>
      <c r="H2480" s="9"/>
      <c r="I2480" s="8"/>
      <c r="J2480" s="8"/>
      <c r="K2480" s="8"/>
      <c r="L2480" s="8"/>
      <c r="M2480" s="8"/>
    </row>
    <row r="2481" spans="1:13">
      <c r="A2481" s="62" t="s">
        <v>3526</v>
      </c>
      <c r="B2481" s="58">
        <v>1421810301</v>
      </c>
      <c r="C2481" s="63"/>
      <c r="D2481" s="60"/>
      <c r="E2481" s="9">
        <v>810</v>
      </c>
      <c r="F2481" s="25">
        <v>42915</v>
      </c>
      <c r="G2481" s="61" t="s">
        <v>13</v>
      </c>
      <c r="H2481" s="9"/>
      <c r="I2481" s="8"/>
      <c r="J2481" s="8"/>
      <c r="K2481" s="8"/>
      <c r="L2481" s="9" t="s">
        <v>138</v>
      </c>
      <c r="M2481" s="8"/>
    </row>
    <row r="2482" spans="1:13">
      <c r="A2482" s="62" t="s">
        <v>3527</v>
      </c>
      <c r="B2482" s="58">
        <v>33735840</v>
      </c>
      <c r="C2482" s="63"/>
      <c r="D2482" s="60"/>
      <c r="E2482" s="9">
        <v>262</v>
      </c>
      <c r="F2482" s="25">
        <v>43160</v>
      </c>
      <c r="G2482" s="61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3528</v>
      </c>
      <c r="B2483" s="58">
        <v>2884067531</v>
      </c>
      <c r="C2483" s="63"/>
      <c r="D2483" s="60"/>
      <c r="E2483" s="9">
        <v>262</v>
      </c>
      <c r="F2483" s="25">
        <v>43160</v>
      </c>
      <c r="G2483" s="61" t="s">
        <v>20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62" t="s">
        <v>3529</v>
      </c>
      <c r="B2484" s="58">
        <v>27421788808</v>
      </c>
      <c r="C2484" s="63"/>
      <c r="D2484" s="60"/>
      <c r="E2484" s="9">
        <v>1570</v>
      </c>
      <c r="F2484" s="25">
        <v>43055</v>
      </c>
      <c r="G2484" s="9" t="s">
        <v>13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62" t="s">
        <v>3530</v>
      </c>
      <c r="B2485" s="58">
        <v>12713166845</v>
      </c>
      <c r="C2485" s="63"/>
      <c r="D2485" s="60"/>
      <c r="E2485" s="9">
        <v>292</v>
      </c>
      <c r="F2485" s="25">
        <v>43168</v>
      </c>
      <c r="G2485" s="61" t="s">
        <v>13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3531</v>
      </c>
      <c r="B2486" s="58">
        <v>34034498315</v>
      </c>
      <c r="C2486" s="63" t="s">
        <v>3532</v>
      </c>
      <c r="D2486" s="60">
        <v>30620015349</v>
      </c>
      <c r="E2486" s="9">
        <v>1470</v>
      </c>
      <c r="F2486" s="25">
        <v>43031</v>
      </c>
      <c r="G2486" s="61" t="s">
        <v>13</v>
      </c>
      <c r="H2486" s="9"/>
      <c r="I2486" s="8"/>
      <c r="J2486" s="8"/>
      <c r="K2486" s="8"/>
      <c r="L2486" s="8"/>
      <c r="M2486" s="8"/>
    </row>
    <row r="2487" spans="1:13">
      <c r="A2487" s="62" t="s">
        <v>3533</v>
      </c>
      <c r="B2487" s="58">
        <v>38027861810</v>
      </c>
      <c r="C2487" s="63" t="s">
        <v>3534</v>
      </c>
      <c r="D2487" s="60">
        <v>28770070814</v>
      </c>
      <c r="E2487" s="9">
        <v>443</v>
      </c>
      <c r="F2487" s="25">
        <v>43188</v>
      </c>
      <c r="G2487" s="61"/>
      <c r="H2487" s="9"/>
      <c r="I2487" s="8"/>
      <c r="J2487" s="8"/>
      <c r="K2487" s="8"/>
      <c r="L2487" s="8"/>
      <c r="M2487" s="8"/>
    </row>
    <row r="2488" spans="1:13">
      <c r="A2488" s="15" t="s">
        <v>3535</v>
      </c>
      <c r="B2488" s="58">
        <v>34557275818</v>
      </c>
      <c r="C2488" s="63" t="s">
        <v>3536</v>
      </c>
      <c r="D2488" s="60">
        <v>25995627830</v>
      </c>
      <c r="E2488" s="9">
        <v>262</v>
      </c>
      <c r="F2488" s="25">
        <v>43160</v>
      </c>
      <c r="G2488" s="61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62" t="s">
        <v>3537</v>
      </c>
      <c r="B2489" s="58">
        <v>29929841830</v>
      </c>
      <c r="C2489" s="63"/>
      <c r="D2489" s="60"/>
      <c r="E2489" s="9">
        <v>1752</v>
      </c>
      <c r="F2489" s="25">
        <v>43051</v>
      </c>
      <c r="G2489" s="61" t="s">
        <v>13</v>
      </c>
      <c r="H2489" s="9"/>
      <c r="I2489" s="8"/>
      <c r="J2489" s="8"/>
      <c r="K2489" s="8"/>
      <c r="L2489" s="9">
        <v>1759</v>
      </c>
      <c r="M2489" s="8"/>
    </row>
    <row r="2490" spans="1:13">
      <c r="A2490" s="27" t="s">
        <v>3538</v>
      </c>
      <c r="B2490" s="58"/>
      <c r="C2490" s="27" t="s">
        <v>3539</v>
      </c>
      <c r="D2490" s="60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3540</v>
      </c>
      <c r="B2491" s="58">
        <v>40298877830</v>
      </c>
      <c r="C2491" s="63" t="s">
        <v>3541</v>
      </c>
      <c r="D2491" s="60">
        <v>5551703576</v>
      </c>
      <c r="E2491" s="9">
        <v>262</v>
      </c>
      <c r="F2491" s="25">
        <v>43160</v>
      </c>
      <c r="G2491" s="61" t="s">
        <v>13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62" t="s">
        <v>3542</v>
      </c>
      <c r="B2492" s="58">
        <v>36295512895</v>
      </c>
      <c r="C2492" s="63" t="s">
        <v>3543</v>
      </c>
      <c r="D2492" s="60">
        <v>29129585805</v>
      </c>
      <c r="E2492" s="9">
        <v>292</v>
      </c>
      <c r="F2492" s="25">
        <v>43168</v>
      </c>
      <c r="G2492" s="61" t="s">
        <v>13</v>
      </c>
      <c r="H2492" s="9"/>
      <c r="I2492" s="8"/>
      <c r="J2492" s="8"/>
      <c r="K2492" s="8"/>
      <c r="L2492" s="9">
        <v>318</v>
      </c>
      <c r="M2492" s="8"/>
    </row>
    <row r="2493" spans="1:13">
      <c r="A2493" s="64" t="s">
        <v>3544</v>
      </c>
      <c r="B2493" s="58">
        <v>13188101830</v>
      </c>
      <c r="C2493" s="63" t="s">
        <v>3545</v>
      </c>
      <c r="D2493" s="60">
        <v>55072399320</v>
      </c>
      <c r="E2493" s="9">
        <v>1752</v>
      </c>
      <c r="F2493" s="25">
        <v>43051</v>
      </c>
      <c r="G2493" s="61" t="s">
        <v>20</v>
      </c>
      <c r="H2493" s="9"/>
      <c r="I2493" s="8"/>
      <c r="J2493" s="8"/>
      <c r="K2493" s="8"/>
      <c r="L2493" s="9">
        <v>1759</v>
      </c>
      <c r="M2493" s="8"/>
    </row>
    <row r="2494" spans="1:13">
      <c r="A2494" s="62" t="s">
        <v>3546</v>
      </c>
      <c r="B2494" s="58">
        <v>4592851307</v>
      </c>
      <c r="C2494" s="59"/>
      <c r="D2494" s="60"/>
      <c r="E2494" s="9"/>
      <c r="F2494" s="25"/>
      <c r="G2494" s="61"/>
      <c r="H2494" s="9"/>
      <c r="I2494" s="8"/>
      <c r="J2494" s="8"/>
      <c r="K2494" s="8"/>
      <c r="L2494" s="8"/>
      <c r="M2494" s="8"/>
    </row>
    <row r="2495" spans="1:13">
      <c r="A2495" s="62" t="s">
        <v>3547</v>
      </c>
      <c r="B2495" s="58">
        <v>33207343856</v>
      </c>
      <c r="C2495" s="59"/>
      <c r="D2495" s="60"/>
      <c r="E2495" s="9">
        <v>1489</v>
      </c>
      <c r="F2495" s="25">
        <v>43038</v>
      </c>
      <c r="G2495" s="61" t="s">
        <v>13</v>
      </c>
      <c r="H2495" s="9"/>
      <c r="I2495" s="8"/>
      <c r="J2495" s="8"/>
      <c r="K2495" s="8"/>
      <c r="L2495" s="9" t="s">
        <v>160</v>
      </c>
      <c r="M2495" s="8"/>
    </row>
    <row r="2496" spans="1:13">
      <c r="A2496" s="62" t="s">
        <v>3548</v>
      </c>
      <c r="B2496" s="58">
        <v>51930315368</v>
      </c>
      <c r="C2496" s="63"/>
      <c r="D2496" s="60"/>
      <c r="E2496" s="9"/>
      <c r="F2496" s="25"/>
      <c r="G2496" s="61"/>
      <c r="H2496" s="9"/>
      <c r="I2496" s="8"/>
      <c r="J2496" s="8"/>
      <c r="K2496" s="8"/>
      <c r="L2496" s="8"/>
      <c r="M2496" s="8"/>
    </row>
    <row r="2497" spans="1:13">
      <c r="A2497" s="63" t="s">
        <v>3549</v>
      </c>
      <c r="B2497" s="58">
        <v>18468597864</v>
      </c>
      <c r="C2497" s="63" t="s">
        <v>3550</v>
      </c>
      <c r="D2497" s="60">
        <v>28658630854</v>
      </c>
      <c r="E2497" s="9"/>
      <c r="F2497" s="25"/>
      <c r="G2497" s="61"/>
      <c r="H2497" s="9"/>
      <c r="I2497" s="8"/>
      <c r="J2497" s="8"/>
      <c r="K2497" s="8"/>
      <c r="L2497" s="8"/>
      <c r="M2497" s="8"/>
    </row>
    <row r="2498" spans="1:13">
      <c r="A2498" s="62" t="s">
        <v>3551</v>
      </c>
      <c r="B2498" s="58">
        <v>18462937825</v>
      </c>
      <c r="C2498" s="59"/>
      <c r="D2498" s="60"/>
      <c r="E2498" s="9">
        <v>1128</v>
      </c>
      <c r="F2498" s="25">
        <v>42972</v>
      </c>
      <c r="G2498" s="61" t="s">
        <v>13</v>
      </c>
      <c r="H2498" s="9"/>
      <c r="I2498" s="8"/>
      <c r="J2498" s="8"/>
      <c r="K2498" s="8"/>
      <c r="L2498" s="8"/>
      <c r="M2498" s="8"/>
    </row>
    <row r="2499" spans="1:13">
      <c r="A2499" s="15" t="s">
        <v>3552</v>
      </c>
      <c r="B2499" s="58">
        <v>38618983810</v>
      </c>
      <c r="C2499" s="63"/>
      <c r="D2499" s="60"/>
      <c r="E2499" s="9">
        <v>229</v>
      </c>
      <c r="F2499" s="25">
        <v>43151</v>
      </c>
      <c r="G2499" s="61" t="s">
        <v>13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3553</v>
      </c>
      <c r="B2500" s="58">
        <v>46654346890</v>
      </c>
      <c r="C2500" s="63"/>
      <c r="D2500" s="60"/>
      <c r="E2500" s="9">
        <v>85</v>
      </c>
      <c r="F2500" s="25">
        <v>43109</v>
      </c>
      <c r="G2500" s="61" t="s">
        <v>13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3554</v>
      </c>
      <c r="B2501" s="58">
        <v>23134916843</v>
      </c>
      <c r="C2501" s="63" t="s">
        <v>3555</v>
      </c>
      <c r="D2501" s="60"/>
      <c r="E2501" s="9"/>
      <c r="F2501" s="25"/>
      <c r="G2501" s="61"/>
      <c r="H2501" s="9"/>
      <c r="I2501" s="8"/>
      <c r="J2501" s="8"/>
      <c r="K2501" s="8"/>
      <c r="L2501" s="8"/>
      <c r="M2501" s="8"/>
    </row>
    <row r="2502" spans="1:13">
      <c r="A2502" s="63" t="s">
        <v>3556</v>
      </c>
      <c r="B2502" s="58">
        <v>60939966468</v>
      </c>
      <c r="C2502" s="63" t="s">
        <v>3557</v>
      </c>
      <c r="D2502" s="60">
        <v>43508498824</v>
      </c>
      <c r="E2502" s="9"/>
      <c r="F2502" s="25"/>
      <c r="G2502" s="61"/>
      <c r="H2502" s="9"/>
      <c r="I2502" s="8"/>
      <c r="J2502" s="8"/>
      <c r="K2502" s="8"/>
      <c r="L2502" s="8"/>
      <c r="M2502" s="8"/>
    </row>
    <row r="2503" spans="1:13">
      <c r="A2503" s="27" t="s">
        <v>3558</v>
      </c>
      <c r="B2503" s="58"/>
      <c r="C2503" s="27" t="s">
        <v>3559</v>
      </c>
      <c r="D2503" s="60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3560</v>
      </c>
      <c r="B2504" s="58">
        <v>33701764832</v>
      </c>
      <c r="C2504" s="63"/>
      <c r="D2504" s="60"/>
      <c r="E2504" s="9">
        <v>262</v>
      </c>
      <c r="F2504" s="25">
        <v>43160</v>
      </c>
      <c r="G2504" s="61" t="s">
        <v>13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3561</v>
      </c>
      <c r="B2505" s="58">
        <v>33594407810</v>
      </c>
      <c r="C2505" s="59" t="s">
        <v>3562</v>
      </c>
      <c r="D2505" s="60">
        <v>5613611777</v>
      </c>
      <c r="E2505" s="9">
        <v>1128</v>
      </c>
      <c r="F2505" s="25">
        <v>42972</v>
      </c>
      <c r="G2505" s="61" t="s">
        <v>13</v>
      </c>
      <c r="H2505" s="9"/>
      <c r="I2505" s="8"/>
      <c r="J2505" s="8"/>
      <c r="K2505" s="8"/>
      <c r="L2505" s="8"/>
      <c r="M2505" s="8"/>
    </row>
    <row r="2506" spans="1:13">
      <c r="A2506" s="62" t="s">
        <v>3563</v>
      </c>
      <c r="B2506" s="58">
        <v>31973273810</v>
      </c>
      <c r="C2506" s="63"/>
      <c r="D2506" s="60"/>
      <c r="E2506" s="9">
        <v>292</v>
      </c>
      <c r="F2506" s="25">
        <v>43168</v>
      </c>
      <c r="G2506" s="61" t="s">
        <v>13</v>
      </c>
      <c r="H2506" s="9"/>
      <c r="I2506" s="8"/>
      <c r="J2506" s="8"/>
      <c r="K2506" s="8"/>
      <c r="L2506" s="9">
        <v>318</v>
      </c>
      <c r="M2506" s="8"/>
    </row>
    <row r="2507" spans="1:13">
      <c r="A2507" s="62" t="s">
        <v>3564</v>
      </c>
      <c r="B2507" s="58">
        <v>38473495896</v>
      </c>
      <c r="C2507" s="68"/>
      <c r="D2507" s="60"/>
      <c r="E2507" s="9"/>
      <c r="F2507" s="25"/>
      <c r="G2507" s="61"/>
      <c r="H2507" s="9"/>
      <c r="I2507" s="8"/>
      <c r="J2507" s="8"/>
      <c r="K2507" s="8"/>
      <c r="L2507" s="8"/>
      <c r="M2507" s="8"/>
    </row>
    <row r="2508" spans="1:13">
      <c r="A2508" s="62" t="s">
        <v>3565</v>
      </c>
      <c r="B2508" s="58">
        <v>38404903832</v>
      </c>
      <c r="C2508" s="63" t="s">
        <v>3566</v>
      </c>
      <c r="D2508" s="60">
        <v>35612360819</v>
      </c>
      <c r="E2508" s="9">
        <v>810</v>
      </c>
      <c r="F2508" s="25">
        <v>42915</v>
      </c>
      <c r="G2508" s="61" t="s">
        <v>13</v>
      </c>
      <c r="H2508" s="9"/>
      <c r="I2508" s="8"/>
      <c r="J2508" s="8"/>
      <c r="K2508" s="8"/>
      <c r="L2508" s="9" t="s">
        <v>138</v>
      </c>
      <c r="M2508" s="8"/>
    </row>
    <row r="2509" spans="1:13">
      <c r="A2509" s="62" t="s">
        <v>3567</v>
      </c>
      <c r="B2509" s="58">
        <v>33198410843</v>
      </c>
      <c r="C2509" s="63" t="s">
        <v>3568</v>
      </c>
      <c r="D2509" s="60">
        <v>32853865843</v>
      </c>
      <c r="E2509" s="9">
        <v>810</v>
      </c>
      <c r="F2509" s="25">
        <v>42915</v>
      </c>
      <c r="G2509" s="61" t="s">
        <v>13</v>
      </c>
      <c r="H2509" s="9"/>
      <c r="I2509" s="8"/>
      <c r="J2509" s="8"/>
      <c r="K2509" s="8"/>
      <c r="L2509" s="9" t="s">
        <v>138</v>
      </c>
      <c r="M2509" s="8"/>
    </row>
    <row r="2510" spans="1:13">
      <c r="A2510" s="62" t="s">
        <v>3569</v>
      </c>
      <c r="B2510" s="58">
        <v>39248825842</v>
      </c>
      <c r="C2510" s="63"/>
      <c r="D2510" s="60"/>
      <c r="E2510" s="9">
        <v>292</v>
      </c>
      <c r="F2510" s="25">
        <v>43168</v>
      </c>
      <c r="G2510" s="61" t="s">
        <v>13</v>
      </c>
      <c r="H2510" s="9"/>
      <c r="I2510" s="8"/>
      <c r="J2510" s="8"/>
      <c r="K2510" s="8"/>
      <c r="L2510" s="9">
        <v>318</v>
      </c>
      <c r="M2510" s="8"/>
    </row>
    <row r="2511" spans="1:13">
      <c r="A2511" s="62" t="s">
        <v>3570</v>
      </c>
      <c r="B2511" s="58">
        <v>46962268831</v>
      </c>
      <c r="C2511" s="63" t="s">
        <v>3571</v>
      </c>
      <c r="D2511" s="60">
        <v>40564058831</v>
      </c>
      <c r="E2511" s="9">
        <v>1752</v>
      </c>
      <c r="F2511" s="25">
        <v>43051</v>
      </c>
      <c r="G2511" s="61" t="s">
        <v>28</v>
      </c>
      <c r="H2511" s="9"/>
      <c r="I2511" s="8"/>
      <c r="J2511" s="8"/>
      <c r="K2511" s="8"/>
      <c r="L2511" s="9">
        <v>1759</v>
      </c>
      <c r="M2511" s="8"/>
    </row>
    <row r="2512" spans="1:13">
      <c r="A2512" s="62" t="s">
        <v>3572</v>
      </c>
      <c r="B2512" s="58">
        <v>33337344860</v>
      </c>
      <c r="C2512" s="63" t="s">
        <v>3573</v>
      </c>
      <c r="D2512" s="60">
        <v>33436663867</v>
      </c>
      <c r="E2512" s="9">
        <v>810</v>
      </c>
      <c r="F2512" s="25">
        <v>42915</v>
      </c>
      <c r="G2512" s="61" t="s">
        <v>13</v>
      </c>
      <c r="H2512" s="9"/>
      <c r="I2512" s="8"/>
      <c r="J2512" s="8"/>
      <c r="K2512" s="8"/>
      <c r="L2512" s="9" t="s">
        <v>138</v>
      </c>
      <c r="M2512" s="8"/>
    </row>
    <row r="2513" spans="1:13">
      <c r="A2513" s="14" t="s">
        <v>3574</v>
      </c>
      <c r="B2513" s="58">
        <v>11587518694</v>
      </c>
      <c r="C2513" s="63" t="s">
        <v>3575</v>
      </c>
      <c r="D2513" s="60">
        <v>4367275442</v>
      </c>
      <c r="E2513" s="9"/>
      <c r="F2513" s="25"/>
      <c r="G2513" s="61"/>
      <c r="H2513" s="9"/>
      <c r="I2513" s="8"/>
      <c r="J2513" s="8"/>
      <c r="K2513" s="8"/>
      <c r="L2513" s="8"/>
      <c r="M2513" s="8"/>
    </row>
    <row r="2514" spans="1:13">
      <c r="A2514" s="13" t="s">
        <v>3576</v>
      </c>
      <c r="B2514" s="58">
        <v>37957151809</v>
      </c>
      <c r="C2514" s="63" t="s">
        <v>3577</v>
      </c>
      <c r="D2514" s="60">
        <v>28342788814</v>
      </c>
      <c r="E2514" s="9">
        <v>1570</v>
      </c>
      <c r="F2514" s="25">
        <v>43077</v>
      </c>
      <c r="G2514" s="61" t="s">
        <v>13</v>
      </c>
      <c r="H2514" s="9"/>
      <c r="I2514" s="8"/>
      <c r="J2514" s="8"/>
      <c r="K2514" s="8"/>
      <c r="L2514" s="8"/>
      <c r="M2514" s="8"/>
    </row>
    <row r="2515" spans="1:13">
      <c r="A2515" s="62" t="s">
        <v>3578</v>
      </c>
      <c r="B2515" s="58">
        <v>33607921814</v>
      </c>
      <c r="C2515" s="63"/>
      <c r="D2515" s="60"/>
      <c r="E2515" s="9">
        <v>563</v>
      </c>
      <c r="F2515" s="25">
        <v>43217</v>
      </c>
      <c r="G2515" s="61"/>
      <c r="H2515" s="9"/>
      <c r="I2515" s="8"/>
      <c r="J2515" s="8"/>
      <c r="K2515" s="8"/>
      <c r="L2515" s="9" t="s">
        <v>299</v>
      </c>
      <c r="M2515" s="8"/>
    </row>
    <row r="2516" spans="1:13">
      <c r="A2516" s="27" t="s">
        <v>3579</v>
      </c>
      <c r="B2516" s="58">
        <v>35434226852</v>
      </c>
      <c r="C2516" s="27" t="s">
        <v>3580</v>
      </c>
      <c r="D2516" s="60">
        <v>35141643808</v>
      </c>
      <c r="E2516" s="9"/>
      <c r="F2516" s="25"/>
      <c r="G2516" s="61"/>
      <c r="H2516" s="9"/>
      <c r="I2516" s="8"/>
      <c r="J2516" s="8"/>
      <c r="K2516" s="8"/>
      <c r="L2516" s="8"/>
      <c r="M2516" s="8"/>
    </row>
    <row r="2517" spans="1:13">
      <c r="A2517" s="62" t="s">
        <v>3581</v>
      </c>
      <c r="B2517" s="58">
        <v>32019159805</v>
      </c>
      <c r="C2517" s="63"/>
      <c r="D2517" s="60"/>
      <c r="E2517" s="9">
        <v>85</v>
      </c>
      <c r="F2517" s="25">
        <v>43109</v>
      </c>
      <c r="G2517" s="61" t="s">
        <v>13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3582</v>
      </c>
      <c r="B2518" s="58">
        <v>32997471850</v>
      </c>
      <c r="C2518" s="63"/>
      <c r="D2518" s="60"/>
      <c r="E2518" s="9">
        <v>1350</v>
      </c>
      <c r="F2518" s="25">
        <v>43006</v>
      </c>
      <c r="G2518" s="61" t="s">
        <v>13</v>
      </c>
      <c r="H2518" s="9"/>
      <c r="I2518" s="8"/>
      <c r="J2518" s="8"/>
      <c r="K2518" s="8"/>
      <c r="L2518" s="8"/>
      <c r="M2518" s="8"/>
    </row>
    <row r="2519" spans="1:13">
      <c r="A2519" s="15" t="s">
        <v>3583</v>
      </c>
      <c r="B2519" s="58">
        <v>22184632880</v>
      </c>
      <c r="C2519" s="63"/>
      <c r="D2519" s="60"/>
      <c r="E2519" s="9">
        <v>262</v>
      </c>
      <c r="F2519" s="25">
        <v>43160</v>
      </c>
      <c r="G2519" s="61" t="s">
        <v>13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3584</v>
      </c>
      <c r="B2520" s="58">
        <v>25408655857</v>
      </c>
      <c r="C2520" s="63"/>
      <c r="D2520" s="60"/>
      <c r="E2520" s="9"/>
      <c r="F2520" s="25"/>
      <c r="G2520" s="61"/>
      <c r="H2520" s="9"/>
      <c r="I2520" s="8"/>
      <c r="J2520" s="8"/>
      <c r="K2520" s="8"/>
      <c r="L2520" s="8"/>
      <c r="M2520" s="8"/>
    </row>
    <row r="2521" spans="1:13">
      <c r="A2521" s="63" t="s">
        <v>3585</v>
      </c>
      <c r="B2521" s="58">
        <v>2802673637</v>
      </c>
      <c r="C2521" s="63"/>
      <c r="D2521" s="60"/>
      <c r="E2521" s="9"/>
      <c r="F2521" s="25"/>
      <c r="G2521" s="61"/>
      <c r="H2521" s="9"/>
      <c r="I2521" s="8"/>
      <c r="J2521" s="8"/>
      <c r="K2521" s="8"/>
      <c r="L2521" s="8"/>
      <c r="M2521" s="8"/>
    </row>
    <row r="2522" spans="1:13">
      <c r="A2522" s="62" t="s">
        <v>3586</v>
      </c>
      <c r="B2522" s="58">
        <v>31989585809</v>
      </c>
      <c r="C2522" s="63" t="s">
        <v>3587</v>
      </c>
      <c r="D2522" s="60">
        <v>4312861919</v>
      </c>
      <c r="E2522" s="9">
        <v>1824</v>
      </c>
      <c r="F2522" s="25">
        <v>43091</v>
      </c>
      <c r="G2522" s="61" t="s">
        <v>28</v>
      </c>
      <c r="H2522" s="9"/>
      <c r="I2522" s="8"/>
      <c r="J2522" s="8"/>
      <c r="K2522" s="8"/>
      <c r="L2522" s="9">
        <v>1828</v>
      </c>
      <c r="M2522" s="8"/>
    </row>
    <row r="2523" spans="1:13">
      <c r="A2523" s="27" t="s">
        <v>3588</v>
      </c>
      <c r="B2523" s="58">
        <v>30264611802</v>
      </c>
      <c r="C2523" s="27" t="s">
        <v>3589</v>
      </c>
      <c r="D2523" s="60">
        <v>38321522882</v>
      </c>
      <c r="E2523" s="9"/>
      <c r="F2523" s="25"/>
      <c r="G2523" s="61"/>
      <c r="H2523" s="9"/>
      <c r="I2523" s="8"/>
      <c r="J2523" s="8"/>
      <c r="K2523" s="8"/>
      <c r="L2523" s="8"/>
      <c r="M2523" s="8"/>
    </row>
    <row r="2524" spans="1:13">
      <c r="A2524" s="13" t="s">
        <v>3590</v>
      </c>
      <c r="B2524" s="58">
        <v>98401858534</v>
      </c>
      <c r="C2524" s="59"/>
      <c r="D2524" s="60"/>
      <c r="E2524" s="9">
        <v>1128</v>
      </c>
      <c r="F2524" s="25">
        <v>42972</v>
      </c>
      <c r="G2524" s="61" t="s">
        <v>13</v>
      </c>
      <c r="H2524" s="9"/>
      <c r="I2524" s="8"/>
      <c r="J2524" s="8"/>
      <c r="K2524" s="8"/>
      <c r="L2524" s="8"/>
      <c r="M2524" s="8"/>
    </row>
    <row r="2525" spans="1:13">
      <c r="A2525" s="62" t="s">
        <v>3591</v>
      </c>
      <c r="B2525" s="58">
        <v>35598313855</v>
      </c>
      <c r="C2525" s="63"/>
      <c r="D2525" s="60"/>
      <c r="E2525" s="9">
        <v>292</v>
      </c>
      <c r="F2525" s="25">
        <v>43168</v>
      </c>
      <c r="G2525" s="61" t="s">
        <v>13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3592</v>
      </c>
      <c r="B2526" s="58">
        <v>8432447803</v>
      </c>
      <c r="C2526" s="63"/>
      <c r="D2526" s="60"/>
      <c r="E2526" s="9">
        <v>262</v>
      </c>
      <c r="F2526" s="25">
        <v>43160</v>
      </c>
      <c r="G2526" s="61" t="s">
        <v>13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62" t="s">
        <v>3593</v>
      </c>
      <c r="B2527" s="58">
        <v>61372684549</v>
      </c>
      <c r="C2527" s="63"/>
      <c r="D2527" s="60"/>
      <c r="E2527" s="9">
        <v>262</v>
      </c>
      <c r="F2527" s="25">
        <v>43160</v>
      </c>
      <c r="G2527" s="9" t="s">
        <v>13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62" t="s">
        <v>3594</v>
      </c>
      <c r="B2528" s="58">
        <v>3110525330</v>
      </c>
      <c r="C2528" s="63"/>
      <c r="D2528" s="60"/>
      <c r="E2528" s="9">
        <v>573</v>
      </c>
      <c r="F2528" s="25">
        <v>43224</v>
      </c>
      <c r="G2528" s="61"/>
      <c r="H2528" s="9"/>
      <c r="I2528" s="8"/>
      <c r="J2528" s="8"/>
      <c r="K2528" s="8"/>
      <c r="L2528" s="8"/>
      <c r="M2528" s="8"/>
    </row>
    <row r="2529" spans="1:13">
      <c r="A2529" s="62" t="s">
        <v>3595</v>
      </c>
      <c r="B2529" s="58">
        <v>37331713817</v>
      </c>
      <c r="C2529" s="63"/>
      <c r="D2529" s="60"/>
      <c r="E2529" s="9"/>
      <c r="F2529" s="25"/>
      <c r="G2529" s="61"/>
      <c r="H2529" s="9"/>
      <c r="I2529" s="8"/>
      <c r="J2529" s="8"/>
      <c r="K2529" s="8"/>
      <c r="L2529" s="8"/>
      <c r="M2529" s="8"/>
    </row>
    <row r="2530" spans="1:13">
      <c r="A2530" s="62" t="s">
        <v>3596</v>
      </c>
      <c r="B2530" s="58">
        <v>31117169880</v>
      </c>
      <c r="C2530" s="63" t="s">
        <v>3597</v>
      </c>
      <c r="D2530" s="60">
        <v>94586772468</v>
      </c>
      <c r="E2530" s="9"/>
      <c r="F2530" s="25"/>
      <c r="G2530" s="61"/>
      <c r="H2530" s="9"/>
      <c r="I2530" s="8"/>
      <c r="J2530" s="8"/>
      <c r="K2530" s="8"/>
      <c r="L2530" s="8"/>
      <c r="M2530" s="8"/>
    </row>
    <row r="2531" spans="1:13">
      <c r="A2531" s="15" t="s">
        <v>3598</v>
      </c>
      <c r="B2531" s="58">
        <v>16412994874</v>
      </c>
      <c r="C2531" s="63"/>
      <c r="D2531" s="60"/>
      <c r="E2531" s="9">
        <v>117</v>
      </c>
      <c r="F2531" s="25">
        <v>43117</v>
      </c>
      <c r="G2531" s="61" t="s">
        <v>13</v>
      </c>
      <c r="H2531" s="9"/>
      <c r="I2531" s="8"/>
      <c r="J2531" s="8"/>
      <c r="K2531" s="8"/>
      <c r="L2531" s="9" t="s">
        <v>170</v>
      </c>
      <c r="M2531" s="8"/>
    </row>
    <row r="2532" spans="1:13">
      <c r="A2532" s="27" t="s">
        <v>3599</v>
      </c>
      <c r="B2532" s="58"/>
      <c r="C2532" s="18"/>
      <c r="D2532" s="60"/>
      <c r="E2532" s="9"/>
      <c r="F2532" s="25"/>
      <c r="G2532" s="61"/>
      <c r="H2532" s="9"/>
      <c r="I2532" s="8"/>
      <c r="J2532" s="8"/>
      <c r="K2532" s="8"/>
      <c r="L2532" s="8"/>
      <c r="M2532" s="8"/>
    </row>
    <row r="2533" spans="1:13">
      <c r="A2533" s="64" t="s">
        <v>3600</v>
      </c>
      <c r="B2533" s="58">
        <v>34800386896</v>
      </c>
      <c r="C2533" s="63" t="s">
        <v>3601</v>
      </c>
      <c r="D2533" s="60">
        <v>33748068808</v>
      </c>
      <c r="E2533" s="9">
        <v>810</v>
      </c>
      <c r="F2533" s="25">
        <v>42915</v>
      </c>
      <c r="G2533" s="61" t="s">
        <v>13</v>
      </c>
      <c r="H2533" s="9"/>
      <c r="I2533" s="8"/>
      <c r="J2533" s="8"/>
      <c r="K2533" s="8"/>
      <c r="L2533" s="9" t="s">
        <v>138</v>
      </c>
      <c r="M2533" s="8"/>
    </row>
    <row r="2534" spans="1:13">
      <c r="A2534" s="63" t="s">
        <v>3602</v>
      </c>
      <c r="B2534" s="58">
        <v>46664827840</v>
      </c>
      <c r="C2534" s="63"/>
      <c r="D2534" s="60"/>
      <c r="E2534" s="9"/>
      <c r="F2534" s="25"/>
      <c r="G2534" s="61"/>
      <c r="H2534" s="9"/>
      <c r="I2534" s="8"/>
      <c r="J2534" s="8"/>
      <c r="K2534" s="8"/>
      <c r="L2534" s="8"/>
      <c r="M2534" s="8"/>
    </row>
    <row r="2535" spans="1:13">
      <c r="A2535" s="62" t="s">
        <v>3603</v>
      </c>
      <c r="B2535" s="58">
        <v>38858760867</v>
      </c>
      <c r="C2535" s="59" t="s">
        <v>3604</v>
      </c>
      <c r="D2535" s="60">
        <v>37279553842</v>
      </c>
      <c r="E2535" s="9">
        <v>1128</v>
      </c>
      <c r="F2535" s="25">
        <v>42972</v>
      </c>
      <c r="G2535" s="61" t="s">
        <v>13</v>
      </c>
      <c r="H2535" s="9"/>
      <c r="I2535" s="8"/>
      <c r="J2535" s="8"/>
      <c r="K2535" s="8"/>
      <c r="L2535" s="8"/>
      <c r="M2535" s="8"/>
    </row>
    <row r="2536" spans="1:13">
      <c r="A2536" s="27" t="s">
        <v>3605</v>
      </c>
      <c r="B2536" s="58">
        <v>43621579800</v>
      </c>
      <c r="C2536" s="27" t="s">
        <v>129</v>
      </c>
      <c r="D2536" s="60"/>
      <c r="E2536" s="9"/>
      <c r="F2536" s="25"/>
      <c r="G2536" s="61"/>
      <c r="H2536" s="9"/>
      <c r="I2536" s="8"/>
      <c r="J2536" s="8"/>
      <c r="K2536" s="8"/>
      <c r="L2536" s="8"/>
      <c r="M2536" s="8"/>
    </row>
    <row r="2537" spans="1:13">
      <c r="A2537" s="62" t="s">
        <v>3606</v>
      </c>
      <c r="B2537" s="58">
        <v>37412192825</v>
      </c>
      <c r="C2537" s="63" t="s">
        <v>3607</v>
      </c>
      <c r="D2537" s="60">
        <v>27576214830</v>
      </c>
      <c r="E2537" s="9">
        <v>1489</v>
      </c>
      <c r="F2537" s="25">
        <v>43038</v>
      </c>
      <c r="G2537" s="61" t="s">
        <v>13</v>
      </c>
      <c r="H2537" s="9"/>
      <c r="I2537" s="8"/>
      <c r="J2537" s="8"/>
      <c r="K2537" s="8"/>
      <c r="L2537" s="9" t="s">
        <v>160</v>
      </c>
      <c r="M2537" s="8"/>
    </row>
    <row r="2538" spans="1:13">
      <c r="A2538" s="62" t="s">
        <v>3608</v>
      </c>
      <c r="B2538" s="58">
        <v>25372296810</v>
      </c>
      <c r="C2538" s="63"/>
      <c r="D2538" s="60"/>
      <c r="E2538" s="9">
        <v>85</v>
      </c>
      <c r="F2538" s="25">
        <v>43109</v>
      </c>
      <c r="G2538" s="61" t="s">
        <v>13</v>
      </c>
      <c r="H2538" s="25">
        <v>43151</v>
      </c>
      <c r="I2538" s="8"/>
      <c r="J2538" s="8"/>
      <c r="K2538" s="8"/>
      <c r="L2538" s="8"/>
      <c r="M2538" s="8"/>
    </row>
    <row r="2539" spans="1:13">
      <c r="A2539" s="62" t="s">
        <v>3609</v>
      </c>
      <c r="B2539" s="58">
        <v>26516449864</v>
      </c>
      <c r="C2539" s="63"/>
      <c r="D2539" s="60"/>
      <c r="E2539" s="9">
        <v>810</v>
      </c>
      <c r="F2539" s="25">
        <v>42915</v>
      </c>
      <c r="G2539" s="61" t="s">
        <v>13</v>
      </c>
      <c r="H2539" s="9"/>
      <c r="I2539" s="8"/>
      <c r="J2539" s="8"/>
      <c r="K2539" s="8"/>
      <c r="L2539" s="9" t="s">
        <v>138</v>
      </c>
      <c r="M2539" s="8"/>
    </row>
    <row r="2540" spans="1:13">
      <c r="A2540" s="62" t="s">
        <v>3610</v>
      </c>
      <c r="B2540" s="58">
        <v>34932681810</v>
      </c>
      <c r="C2540" s="63"/>
      <c r="D2540" s="60"/>
      <c r="E2540" s="9">
        <v>443</v>
      </c>
      <c r="F2540" s="25">
        <v>43188</v>
      </c>
      <c r="G2540" s="61"/>
      <c r="H2540" s="9"/>
      <c r="I2540" s="8"/>
      <c r="J2540" s="8"/>
      <c r="K2540" s="8"/>
      <c r="L2540" s="8"/>
      <c r="M2540" s="8"/>
    </row>
    <row r="2541" spans="1:13">
      <c r="A2541" s="15" t="s">
        <v>3611</v>
      </c>
      <c r="B2541" s="58">
        <v>41136210806</v>
      </c>
      <c r="C2541" s="63"/>
      <c r="D2541" s="60"/>
      <c r="E2541" s="9"/>
      <c r="F2541" s="25"/>
      <c r="G2541" s="61"/>
      <c r="H2541" s="9"/>
      <c r="I2541" s="8"/>
      <c r="J2541" s="8"/>
      <c r="K2541" s="8"/>
      <c r="L2541" s="8"/>
      <c r="M2541" s="8"/>
    </row>
    <row r="2542" spans="1:13">
      <c r="A2542" s="63" t="s">
        <v>3612</v>
      </c>
      <c r="B2542" s="58">
        <v>3402540410</v>
      </c>
      <c r="C2542" s="63"/>
      <c r="D2542" s="60"/>
      <c r="E2542" s="9"/>
      <c r="F2542" s="25"/>
      <c r="G2542" s="61"/>
      <c r="H2542" s="9"/>
      <c r="I2542" s="8"/>
      <c r="J2542" s="8"/>
      <c r="K2542" s="8"/>
      <c r="L2542" s="8"/>
      <c r="M2542" s="8"/>
    </row>
    <row r="2543" spans="1:13">
      <c r="A2543" s="62" t="s">
        <v>3613</v>
      </c>
      <c r="B2543" s="58">
        <v>36613563803</v>
      </c>
      <c r="C2543" s="63" t="s">
        <v>3614</v>
      </c>
      <c r="D2543" s="60">
        <v>27798369899</v>
      </c>
      <c r="E2543" s="9">
        <v>292</v>
      </c>
      <c r="F2543" s="25">
        <v>43168</v>
      </c>
      <c r="G2543" s="61" t="s">
        <v>13</v>
      </c>
      <c r="H2543" s="9"/>
      <c r="I2543" s="8"/>
      <c r="J2543" s="8"/>
      <c r="K2543" s="8"/>
      <c r="L2543" s="9">
        <v>318</v>
      </c>
      <c r="M2543" s="8"/>
    </row>
    <row r="2544" spans="1:13">
      <c r="A2544" s="62" t="s">
        <v>3615</v>
      </c>
      <c r="B2544" s="58">
        <v>35336370851</v>
      </c>
      <c r="C2544" s="63"/>
      <c r="D2544" s="60"/>
      <c r="E2544" s="9"/>
      <c r="F2544" s="25"/>
      <c r="G2544" s="61"/>
      <c r="H2544" s="9"/>
      <c r="I2544" s="8"/>
      <c r="J2544" s="8"/>
      <c r="K2544" s="8"/>
      <c r="L2544" s="8"/>
      <c r="M2544" s="8"/>
    </row>
    <row r="2545" spans="1:13">
      <c r="A2545" s="62" t="s">
        <v>3616</v>
      </c>
      <c r="B2545" s="58">
        <v>29653447807</v>
      </c>
      <c r="C2545" s="63"/>
      <c r="D2545" s="60"/>
      <c r="E2545" s="9">
        <v>810</v>
      </c>
      <c r="F2545" s="25">
        <v>42915</v>
      </c>
      <c r="G2545" s="61" t="s">
        <v>13</v>
      </c>
      <c r="H2545" s="9"/>
      <c r="I2545" s="8"/>
      <c r="J2545" s="8"/>
      <c r="K2545" s="8"/>
      <c r="L2545" s="9" t="s">
        <v>138</v>
      </c>
      <c r="M2545" s="8"/>
    </row>
    <row r="2546" spans="1:13" ht="30">
      <c r="A2546" s="82" t="s">
        <v>3617</v>
      </c>
      <c r="B2546" s="58">
        <v>29034417824</v>
      </c>
      <c r="C2546" s="63"/>
      <c r="D2546" s="60"/>
      <c r="E2546" s="9">
        <v>1350</v>
      </c>
      <c r="F2546" s="25">
        <v>43006</v>
      </c>
      <c r="G2546" s="61" t="s">
        <v>13</v>
      </c>
      <c r="H2546" s="9"/>
      <c r="I2546" s="8"/>
      <c r="J2546" s="8"/>
      <c r="K2546" s="8"/>
      <c r="L2546" s="8"/>
      <c r="M2546" s="8"/>
    </row>
    <row r="2547" spans="1:13">
      <c r="A2547" s="15" t="s">
        <v>3618</v>
      </c>
      <c r="B2547" s="58">
        <v>2950068545</v>
      </c>
      <c r="C2547" s="15" t="s">
        <v>3619</v>
      </c>
      <c r="D2547" s="60">
        <v>64495957520</v>
      </c>
      <c r="E2547" s="9"/>
      <c r="F2547" s="25"/>
      <c r="G2547" s="61"/>
      <c r="H2547" s="9"/>
      <c r="I2547" s="8"/>
      <c r="J2547" s="8"/>
      <c r="K2547" s="8"/>
      <c r="L2547" s="8"/>
      <c r="M2547" s="8"/>
    </row>
    <row r="2548" spans="1:13">
      <c r="A2548" s="62" t="s">
        <v>3620</v>
      </c>
      <c r="B2548" s="58">
        <v>28714095874</v>
      </c>
      <c r="C2548" s="63"/>
      <c r="D2548" s="60"/>
      <c r="E2548" s="9">
        <v>1106</v>
      </c>
      <c r="F2548" s="25">
        <v>42965</v>
      </c>
      <c r="G2548" s="61" t="s">
        <v>13</v>
      </c>
      <c r="H2548" s="9"/>
      <c r="I2548" s="8"/>
      <c r="J2548" s="8"/>
      <c r="K2548" s="8"/>
      <c r="L2548" s="8"/>
      <c r="M2548" s="8"/>
    </row>
    <row r="2549" spans="1:13">
      <c r="A2549" s="62" t="s">
        <v>3621</v>
      </c>
      <c r="B2549" s="58">
        <v>4747247513</v>
      </c>
      <c r="C2549" s="59"/>
      <c r="D2549" s="60"/>
      <c r="E2549" s="9">
        <v>1824</v>
      </c>
      <c r="F2549" s="25">
        <v>43091</v>
      </c>
      <c r="G2549" s="61" t="s">
        <v>20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3622</v>
      </c>
      <c r="B2550" s="58">
        <v>12460105690</v>
      </c>
      <c r="C2550" s="63"/>
      <c r="D2550" s="60"/>
      <c r="E2550" s="9"/>
      <c r="F2550" s="25"/>
      <c r="G2550" s="61"/>
      <c r="H2550" s="9"/>
      <c r="I2550" s="8"/>
      <c r="J2550" s="8"/>
      <c r="K2550" s="8"/>
      <c r="L2550" s="8"/>
      <c r="M2550" s="8"/>
    </row>
    <row r="2551" spans="1:13">
      <c r="A2551" s="62" t="s">
        <v>3623</v>
      </c>
      <c r="B2551" s="58">
        <v>44618522453</v>
      </c>
      <c r="C2551" s="59" t="s">
        <v>3624</v>
      </c>
      <c r="D2551" s="60">
        <v>22176180836</v>
      </c>
      <c r="E2551" s="9">
        <v>292</v>
      </c>
      <c r="F2551" s="25">
        <v>43168</v>
      </c>
      <c r="G2551" s="61"/>
      <c r="H2551" s="9"/>
      <c r="I2551" s="8"/>
      <c r="J2551" s="8"/>
      <c r="K2551" s="8"/>
      <c r="L2551" s="9">
        <v>318</v>
      </c>
      <c r="M2551" s="8"/>
    </row>
    <row r="2552" spans="1:13">
      <c r="A2552" s="62" t="s">
        <v>3625</v>
      </c>
      <c r="B2552" s="58">
        <v>4517298540</v>
      </c>
      <c r="C2552" s="59"/>
      <c r="D2552" s="60"/>
      <c r="E2552" s="9">
        <v>117</v>
      </c>
      <c r="F2552" s="25">
        <v>43117</v>
      </c>
      <c r="G2552" s="61" t="s">
        <v>13</v>
      </c>
      <c r="H2552" s="9"/>
      <c r="I2552" s="8"/>
      <c r="J2552" s="8"/>
      <c r="K2552" s="8"/>
      <c r="L2552" s="9" t="s">
        <v>170</v>
      </c>
      <c r="M2552" s="8"/>
    </row>
    <row r="2553" spans="1:13">
      <c r="A2553" s="62" t="s">
        <v>3626</v>
      </c>
      <c r="B2553" s="58">
        <v>51627108491</v>
      </c>
      <c r="C2553" s="63"/>
      <c r="D2553" s="60"/>
      <c r="E2553" s="9">
        <v>1417</v>
      </c>
      <c r="F2553" s="25">
        <v>43017</v>
      </c>
      <c r="G2553" s="61" t="s">
        <v>13</v>
      </c>
      <c r="H2553" s="9"/>
      <c r="I2553" s="8"/>
      <c r="J2553" s="8"/>
      <c r="K2553" s="8"/>
      <c r="L2553" s="9" t="s">
        <v>253</v>
      </c>
      <c r="M2553" s="8"/>
    </row>
    <row r="2554" spans="1:13">
      <c r="A2554" s="62" t="s">
        <v>3627</v>
      </c>
      <c r="B2554" s="58">
        <v>32696581843</v>
      </c>
      <c r="C2554" s="63"/>
      <c r="D2554" s="60"/>
      <c r="E2554" s="9"/>
      <c r="F2554" s="25"/>
      <c r="G2554" s="61"/>
      <c r="H2554" s="9"/>
      <c r="I2554" s="8"/>
      <c r="J2554" s="8"/>
      <c r="K2554" s="8"/>
      <c r="L2554" s="8"/>
      <c r="M2554" s="8"/>
    </row>
    <row r="2555" spans="1:13">
      <c r="A2555" s="62" t="s">
        <v>3628</v>
      </c>
      <c r="B2555" s="58">
        <v>26333731862</v>
      </c>
      <c r="C2555" s="63" t="s">
        <v>3629</v>
      </c>
      <c r="D2555" s="60">
        <v>11915088895</v>
      </c>
      <c r="E2555" s="9"/>
      <c r="F2555" s="25"/>
      <c r="G2555" s="61"/>
      <c r="H2555" s="9"/>
      <c r="I2555" s="8"/>
      <c r="J2555" s="8"/>
      <c r="K2555" s="8"/>
      <c r="L2555" s="8"/>
      <c r="M2555" s="8"/>
    </row>
    <row r="2556" spans="1:13">
      <c r="A2556" s="62" t="s">
        <v>3630</v>
      </c>
      <c r="B2556" s="58">
        <v>33721864867</v>
      </c>
      <c r="C2556" s="68"/>
      <c r="D2556" s="60"/>
      <c r="E2556" s="9">
        <v>563</v>
      </c>
      <c r="F2556" s="25">
        <v>43217</v>
      </c>
      <c r="G2556" s="61"/>
      <c r="H2556" s="9"/>
      <c r="I2556" s="8"/>
      <c r="J2556" s="8"/>
      <c r="K2556" s="8"/>
      <c r="L2556" s="9" t="s">
        <v>299</v>
      </c>
      <c r="M2556" s="8"/>
    </row>
    <row r="2557" spans="1:13">
      <c r="A2557" s="62" t="s">
        <v>3631</v>
      </c>
      <c r="B2557" s="58">
        <v>16490342880</v>
      </c>
      <c r="C2557" s="59"/>
      <c r="D2557" s="60"/>
      <c r="E2557" s="9">
        <v>1359</v>
      </c>
      <c r="F2557" s="25">
        <v>43006</v>
      </c>
      <c r="G2557" s="61" t="s">
        <v>13</v>
      </c>
      <c r="H2557" s="9"/>
      <c r="I2557" s="8"/>
      <c r="J2557" s="8"/>
      <c r="K2557" s="8"/>
      <c r="L2557" s="8"/>
      <c r="M2557" s="8"/>
    </row>
    <row r="2558" spans="1:13">
      <c r="A2558" s="62" t="s">
        <v>3632</v>
      </c>
      <c r="B2558" s="58">
        <v>33194950894</v>
      </c>
      <c r="C2558" s="63"/>
      <c r="D2558" s="60"/>
      <c r="E2558" s="9">
        <v>262</v>
      </c>
      <c r="F2558" s="25">
        <v>43160</v>
      </c>
      <c r="G2558" s="9" t="s">
        <v>13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62" t="s">
        <v>3633</v>
      </c>
      <c r="B2559" s="58">
        <v>34321457807</v>
      </c>
      <c r="C2559" s="63"/>
      <c r="D2559" s="60"/>
      <c r="E2559" s="9">
        <v>1422</v>
      </c>
      <c r="F2559" s="25">
        <v>43018</v>
      </c>
      <c r="G2559" s="61" t="s">
        <v>13</v>
      </c>
      <c r="H2559" s="9"/>
      <c r="I2559" s="8"/>
      <c r="J2559" s="8"/>
      <c r="K2559" s="8"/>
      <c r="L2559" s="8"/>
      <c r="M2559" s="8"/>
    </row>
    <row r="2560" spans="1:13">
      <c r="A2560" s="62" t="s">
        <v>3634</v>
      </c>
      <c r="B2560" s="58">
        <v>27995581866</v>
      </c>
      <c r="C2560" s="63"/>
      <c r="D2560" s="60"/>
      <c r="E2560" s="9">
        <v>1106</v>
      </c>
      <c r="F2560" s="25">
        <v>42965</v>
      </c>
      <c r="G2560" s="61" t="s">
        <v>13</v>
      </c>
      <c r="H2560" s="9"/>
      <c r="I2560" s="8"/>
      <c r="J2560" s="8"/>
      <c r="K2560" s="8"/>
      <c r="L2560" s="8"/>
      <c r="M2560" s="8"/>
    </row>
    <row r="2561" spans="1:13">
      <c r="A2561" s="75" t="s">
        <v>3635</v>
      </c>
      <c r="B2561" s="58">
        <v>2035513545</v>
      </c>
      <c r="C2561" s="68" t="s">
        <v>3636</v>
      </c>
      <c r="D2561" s="60">
        <v>30209785802</v>
      </c>
      <c r="E2561" s="9"/>
      <c r="F2561" s="25"/>
      <c r="G2561" s="61"/>
      <c r="H2561" s="61"/>
      <c r="I2561" s="8"/>
      <c r="J2561" s="8"/>
      <c r="K2561" s="8"/>
      <c r="L2561" s="8"/>
      <c r="M2561" s="8"/>
    </row>
    <row r="2562" spans="1:13">
      <c r="A2562" s="15" t="s">
        <v>3637</v>
      </c>
      <c r="B2562" s="58">
        <v>32375610881</v>
      </c>
      <c r="C2562" s="63" t="s">
        <v>3638</v>
      </c>
      <c r="D2562" s="60">
        <v>30232464839</v>
      </c>
      <c r="E2562" s="9">
        <v>509</v>
      </c>
      <c r="F2562" s="25">
        <v>43203</v>
      </c>
      <c r="G2562" s="67"/>
      <c r="H2562" s="67">
        <v>43213</v>
      </c>
      <c r="I2562" s="8"/>
      <c r="J2562" s="8"/>
      <c r="K2562" s="8"/>
      <c r="L2562" s="8"/>
      <c r="M2562" s="8"/>
    </row>
    <row r="2563" spans="1:13">
      <c r="A2563" s="13" t="s">
        <v>3639</v>
      </c>
      <c r="B2563" s="58">
        <v>29436360886</v>
      </c>
      <c r="C2563" s="59"/>
      <c r="D2563" s="60"/>
      <c r="E2563" s="9">
        <v>1359</v>
      </c>
      <c r="F2563" s="25">
        <v>43006</v>
      </c>
      <c r="G2563" s="61" t="s">
        <v>13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3640</v>
      </c>
      <c r="B2564" s="58">
        <v>42538750504</v>
      </c>
      <c r="C2564" s="63"/>
      <c r="D2564" s="60"/>
      <c r="E2564" s="9">
        <v>1350</v>
      </c>
      <c r="F2564" s="25">
        <v>43006</v>
      </c>
      <c r="G2564" s="61" t="s">
        <v>13</v>
      </c>
      <c r="H2564" s="25">
        <v>43011</v>
      </c>
      <c r="I2564" s="8"/>
      <c r="J2564" s="8"/>
      <c r="K2564" s="8"/>
      <c r="L2564" s="8"/>
      <c r="M2564" s="8"/>
    </row>
    <row r="2565" spans="1:13">
      <c r="A2565" s="62" t="s">
        <v>3641</v>
      </c>
      <c r="B2565" s="58">
        <v>47689016898</v>
      </c>
      <c r="C2565" s="63"/>
      <c r="D2565" s="60"/>
      <c r="E2565" s="9"/>
      <c r="F2565" s="25"/>
      <c r="G2565" s="61"/>
      <c r="H2565" s="9"/>
      <c r="I2565" s="8"/>
      <c r="J2565" s="8"/>
      <c r="K2565" s="8"/>
      <c r="L2565" s="8"/>
      <c r="M2565" s="8"/>
    </row>
    <row r="2566" spans="1:13">
      <c r="A2566" s="62" t="s">
        <v>3642</v>
      </c>
      <c r="B2566" s="58">
        <v>99070260697</v>
      </c>
      <c r="C2566" s="63"/>
      <c r="D2566" s="60"/>
      <c r="E2566" s="9">
        <v>1489</v>
      </c>
      <c r="F2566" s="25">
        <v>43038</v>
      </c>
      <c r="G2566" s="61" t="s">
        <v>13</v>
      </c>
      <c r="H2566" s="9"/>
      <c r="I2566" s="8"/>
      <c r="J2566" s="8"/>
      <c r="K2566" s="8"/>
      <c r="L2566" s="9" t="s">
        <v>160</v>
      </c>
      <c r="M2566" s="8"/>
    </row>
    <row r="2567" spans="1:13">
      <c r="A2567" s="62" t="s">
        <v>3643</v>
      </c>
      <c r="B2567" s="58">
        <v>93532571404</v>
      </c>
      <c r="C2567" s="63"/>
      <c r="D2567" s="60"/>
      <c r="E2567" s="9">
        <v>292</v>
      </c>
      <c r="F2567" s="25">
        <v>43168</v>
      </c>
      <c r="G2567" s="9" t="s">
        <v>13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62" t="s">
        <v>3644</v>
      </c>
      <c r="B2568" s="58">
        <v>28040254892</v>
      </c>
      <c r="C2568" s="63" t="s">
        <v>3645</v>
      </c>
      <c r="D2568" s="60">
        <v>27414145808</v>
      </c>
      <c r="E2568" s="9">
        <v>810</v>
      </c>
      <c r="F2568" s="25">
        <v>42915</v>
      </c>
      <c r="G2568" s="61" t="s">
        <v>13</v>
      </c>
      <c r="H2568" s="25">
        <v>42921</v>
      </c>
      <c r="I2568" s="8"/>
      <c r="J2568" s="8"/>
      <c r="K2568" s="8"/>
      <c r="L2568" s="9" t="s">
        <v>138</v>
      </c>
      <c r="M2568" s="8"/>
    </row>
    <row r="2569" spans="1:13">
      <c r="A2569" s="62" t="s">
        <v>3646</v>
      </c>
      <c r="B2569" s="58">
        <v>22684269807</v>
      </c>
      <c r="C2569" s="63"/>
      <c r="D2569" s="60"/>
      <c r="E2569" s="9">
        <v>292</v>
      </c>
      <c r="F2569" s="25">
        <v>43168</v>
      </c>
      <c r="G2569" s="61" t="s">
        <v>13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3647</v>
      </c>
      <c r="B2570" s="58">
        <v>19585439859</v>
      </c>
      <c r="C2570" s="63" t="s">
        <v>3648</v>
      </c>
      <c r="D2570" s="60">
        <v>3196522466</v>
      </c>
      <c r="E2570" s="9">
        <v>262</v>
      </c>
      <c r="F2570" s="25">
        <v>43160</v>
      </c>
      <c r="G2570" s="61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62" t="s">
        <v>3649</v>
      </c>
      <c r="B2571" s="58">
        <v>22619353823</v>
      </c>
      <c r="C2571" s="63"/>
      <c r="D2571" s="60"/>
      <c r="E2571" s="9">
        <v>292</v>
      </c>
      <c r="F2571" s="25">
        <v>43168</v>
      </c>
      <c r="G2571" s="61" t="s">
        <v>13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7" t="s">
        <v>3650</v>
      </c>
      <c r="B2572" s="58">
        <v>33167057831</v>
      </c>
      <c r="C2572" s="18" t="s">
        <v>129</v>
      </c>
      <c r="D2572" s="60"/>
      <c r="E2572" s="9"/>
      <c r="F2572" s="25"/>
      <c r="G2572" s="61"/>
      <c r="H2572" s="9"/>
      <c r="I2572" s="8"/>
      <c r="J2572" s="8"/>
      <c r="K2572" s="8"/>
      <c r="L2572" s="8"/>
      <c r="M2572" s="8"/>
    </row>
    <row r="2573" spans="1:13">
      <c r="A2573" s="15" t="s">
        <v>3651</v>
      </c>
      <c r="B2573" s="58">
        <v>66910528891</v>
      </c>
      <c r="C2573" s="63"/>
      <c r="D2573" s="60"/>
      <c r="E2573" s="9">
        <v>229</v>
      </c>
      <c r="F2573" s="25">
        <v>43151</v>
      </c>
      <c r="G2573" s="61" t="s">
        <v>13</v>
      </c>
      <c r="H2573" s="9"/>
      <c r="I2573" s="8"/>
      <c r="J2573" s="8"/>
      <c r="K2573" s="8"/>
      <c r="L2573" s="9">
        <v>232</v>
      </c>
      <c r="M2573" s="8"/>
    </row>
    <row r="2574" spans="1:13">
      <c r="A2574" s="62" t="s">
        <v>3652</v>
      </c>
      <c r="B2574" s="58">
        <v>30182272800</v>
      </c>
      <c r="C2574" s="63"/>
      <c r="D2574" s="60"/>
      <c r="E2574" s="9">
        <v>292</v>
      </c>
      <c r="F2574" s="25">
        <v>43168</v>
      </c>
      <c r="G2574" s="61" t="s">
        <v>13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3653</v>
      </c>
      <c r="B2575" s="58">
        <v>41360953841</v>
      </c>
      <c r="C2575" s="63" t="s">
        <v>3654</v>
      </c>
      <c r="D2575" s="60">
        <v>39212484859</v>
      </c>
      <c r="E2575" s="9">
        <v>117</v>
      </c>
      <c r="F2575" s="25">
        <v>43117</v>
      </c>
      <c r="G2575" s="61" t="s">
        <v>13</v>
      </c>
      <c r="H2575" s="25">
        <v>43151</v>
      </c>
      <c r="I2575" s="8"/>
      <c r="J2575" s="8"/>
      <c r="K2575" s="8"/>
      <c r="L2575" s="9" t="s">
        <v>170</v>
      </c>
      <c r="M2575" s="8"/>
    </row>
    <row r="2576" spans="1:13">
      <c r="A2576" s="15" t="s">
        <v>3655</v>
      </c>
      <c r="B2576" s="58">
        <v>5630332589</v>
      </c>
      <c r="C2576" s="63"/>
      <c r="D2576" s="60"/>
      <c r="E2576" s="9">
        <v>229</v>
      </c>
      <c r="F2576" s="25">
        <v>43151</v>
      </c>
      <c r="G2576" s="61" t="s">
        <v>13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3656</v>
      </c>
      <c r="B2577" s="58">
        <v>17025966800</v>
      </c>
      <c r="C2577" s="63"/>
      <c r="D2577" s="60"/>
      <c r="E2577" s="9">
        <v>262</v>
      </c>
      <c r="F2577" s="25">
        <v>43160</v>
      </c>
      <c r="G2577" s="61" t="s">
        <v>13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3657</v>
      </c>
      <c r="B2578" s="58">
        <v>28517747860</v>
      </c>
      <c r="C2578" s="59"/>
      <c r="D2578" s="60"/>
      <c r="E2578" s="9">
        <v>1422</v>
      </c>
      <c r="F2578" s="25">
        <v>43018</v>
      </c>
      <c r="G2578" s="61" t="s">
        <v>13</v>
      </c>
      <c r="H2578" s="25">
        <v>43027</v>
      </c>
      <c r="I2578" s="8"/>
      <c r="J2578" s="8"/>
      <c r="K2578" s="8"/>
      <c r="L2578" s="8"/>
      <c r="M2578" s="8"/>
    </row>
    <row r="2579" spans="1:13">
      <c r="A2579" s="27" t="s">
        <v>3658</v>
      </c>
      <c r="B2579" s="58"/>
      <c r="C2579" s="27" t="s">
        <v>129</v>
      </c>
      <c r="D2579" s="60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62" t="s">
        <v>3659</v>
      </c>
      <c r="B2580" s="58">
        <v>32306211825</v>
      </c>
      <c r="C2580" s="68"/>
      <c r="D2580" s="60"/>
      <c r="E2580" s="9"/>
      <c r="F2580" s="25"/>
      <c r="G2580" s="61"/>
      <c r="H2580" s="9"/>
      <c r="I2580" s="8"/>
      <c r="J2580" s="8"/>
      <c r="K2580" s="8"/>
      <c r="L2580" s="8"/>
      <c r="M2580" s="8"/>
    </row>
    <row r="2581" spans="1:13">
      <c r="A2581" s="14" t="s">
        <v>3660</v>
      </c>
      <c r="B2581" s="58">
        <v>23789003840</v>
      </c>
      <c r="C2581" s="63"/>
      <c r="D2581" s="60"/>
      <c r="E2581" s="9">
        <v>262</v>
      </c>
      <c r="F2581" s="25">
        <v>43160</v>
      </c>
      <c r="G2581" s="61" t="s">
        <v>13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63" t="s">
        <v>3661</v>
      </c>
      <c r="B2582" s="58">
        <v>39407601889</v>
      </c>
      <c r="C2582" s="63" t="s">
        <v>3662</v>
      </c>
      <c r="D2582" s="60">
        <v>40422265829</v>
      </c>
      <c r="E2582" s="9"/>
      <c r="F2582" s="25"/>
      <c r="G2582" s="61"/>
      <c r="H2582" s="9"/>
      <c r="I2582" s="8"/>
      <c r="J2582" s="8"/>
      <c r="K2582" s="8"/>
      <c r="L2582" s="8"/>
      <c r="M2582" s="8"/>
    </row>
    <row r="2583" spans="1:13">
      <c r="A2583" s="63" t="s">
        <v>3663</v>
      </c>
      <c r="B2583" s="58">
        <v>39775104874</v>
      </c>
      <c r="C2583" s="63"/>
      <c r="D2583" s="60"/>
      <c r="E2583" s="9">
        <v>292</v>
      </c>
      <c r="F2583" s="25">
        <v>43168</v>
      </c>
      <c r="G2583" s="9" t="s">
        <v>13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3664</v>
      </c>
      <c r="B2584" s="58"/>
      <c r="C2584" s="63"/>
      <c r="D2584" s="60"/>
      <c r="E2584" s="9"/>
      <c r="F2584" s="25"/>
      <c r="G2584" s="61"/>
      <c r="H2584" s="9"/>
      <c r="I2584" s="8"/>
      <c r="J2584" s="8"/>
      <c r="K2584" s="8"/>
      <c r="L2584" s="8"/>
      <c r="M2584" s="8"/>
    </row>
    <row r="2585" spans="1:13">
      <c r="A2585" s="62" t="s">
        <v>3665</v>
      </c>
      <c r="B2585" s="58">
        <v>33205428854</v>
      </c>
      <c r="C2585" s="63"/>
      <c r="D2585" s="60"/>
      <c r="E2585" s="9">
        <v>810</v>
      </c>
      <c r="F2585" s="25">
        <v>42915</v>
      </c>
      <c r="G2585" s="61" t="s">
        <v>13</v>
      </c>
      <c r="H2585" s="25">
        <v>42921</v>
      </c>
      <c r="I2585" s="8"/>
      <c r="J2585" s="8"/>
      <c r="K2585" s="8"/>
      <c r="L2585" s="9" t="s">
        <v>138</v>
      </c>
      <c r="M2585" s="8"/>
    </row>
    <row r="2586" spans="1:13">
      <c r="A2586" s="62" t="s">
        <v>3666</v>
      </c>
      <c r="B2586" s="58">
        <v>40831453826</v>
      </c>
      <c r="C2586" s="63" t="s">
        <v>3667</v>
      </c>
      <c r="D2586" s="60">
        <v>41787837858</v>
      </c>
      <c r="E2586" s="9">
        <v>1214</v>
      </c>
      <c r="F2586" s="25">
        <v>42989</v>
      </c>
      <c r="G2586" s="61" t="s">
        <v>13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3668</v>
      </c>
      <c r="B2587" s="58">
        <v>23043868811</v>
      </c>
      <c r="C2587" s="18" t="s">
        <v>3669</v>
      </c>
      <c r="D2587" s="60">
        <v>22369654864</v>
      </c>
      <c r="E2587" s="9"/>
      <c r="F2587" s="25"/>
      <c r="G2587" s="61"/>
      <c r="H2587" s="9"/>
      <c r="I2587" s="8"/>
      <c r="J2587" s="8"/>
      <c r="K2587" s="8"/>
      <c r="L2587" s="8"/>
      <c r="M2587" s="8"/>
    </row>
    <row r="2588" spans="1:13">
      <c r="A2588" s="62" t="s">
        <v>3670</v>
      </c>
      <c r="B2588" s="58">
        <v>65167910404</v>
      </c>
      <c r="C2588" s="63"/>
      <c r="D2588" s="60"/>
      <c r="E2588" s="9">
        <v>262</v>
      </c>
      <c r="F2588" s="25">
        <v>43160</v>
      </c>
      <c r="G2588" s="61" t="s">
        <v>13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3671</v>
      </c>
      <c r="B2589" s="58">
        <v>1152059343</v>
      </c>
      <c r="C2589" s="63"/>
      <c r="D2589" s="60"/>
      <c r="E2589" s="9">
        <v>1824</v>
      </c>
      <c r="F2589" s="25">
        <v>43091</v>
      </c>
      <c r="G2589" s="61" t="s">
        <v>13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62" t="s">
        <v>3672</v>
      </c>
      <c r="B2590" s="58">
        <v>11739082850</v>
      </c>
      <c r="C2590" s="63" t="s">
        <v>3673</v>
      </c>
      <c r="D2590" s="60">
        <v>22128922844</v>
      </c>
      <c r="E2590" s="9"/>
      <c r="F2590" s="25"/>
      <c r="G2590" s="61"/>
      <c r="H2590" s="9"/>
      <c r="I2590" s="8"/>
      <c r="J2590" s="8"/>
      <c r="K2590" s="8"/>
      <c r="L2590" s="8"/>
      <c r="M2590" s="8"/>
    </row>
    <row r="2591" spans="1:13">
      <c r="A2591" s="62" t="s">
        <v>3674</v>
      </c>
      <c r="B2591" s="58">
        <v>46290680587</v>
      </c>
      <c r="C2591" s="63"/>
      <c r="D2591" s="60"/>
      <c r="E2591" s="9">
        <v>262</v>
      </c>
      <c r="F2591" s="25">
        <v>43160</v>
      </c>
      <c r="G2591" s="61" t="s">
        <v>13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62" t="s">
        <v>3675</v>
      </c>
      <c r="B2592" s="58">
        <v>46261249091</v>
      </c>
      <c r="C2592" s="63"/>
      <c r="D2592" s="60"/>
      <c r="E2592" s="9">
        <v>1422</v>
      </c>
      <c r="F2592" s="25">
        <v>43018</v>
      </c>
      <c r="G2592" s="61" t="s">
        <v>13</v>
      </c>
      <c r="H2592" s="25">
        <v>43027</v>
      </c>
      <c r="I2592" s="8"/>
      <c r="J2592" s="8"/>
      <c r="K2592" s="8"/>
      <c r="L2592" s="8"/>
      <c r="M2592" s="8"/>
    </row>
    <row r="2593" spans="1:13">
      <c r="A2593" s="62" t="s">
        <v>3676</v>
      </c>
      <c r="B2593" s="58">
        <v>55261035520</v>
      </c>
      <c r="C2593" s="63"/>
      <c r="D2593" s="60"/>
      <c r="E2593" s="9">
        <v>262</v>
      </c>
      <c r="F2593" s="25">
        <v>43160</v>
      </c>
      <c r="G2593" s="61" t="s">
        <v>13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62" t="s">
        <v>3677</v>
      </c>
      <c r="B2594" s="58">
        <v>36782552809</v>
      </c>
      <c r="C2594" s="63" t="s">
        <v>3678</v>
      </c>
      <c r="D2594" s="60">
        <v>679244840</v>
      </c>
      <c r="E2594" s="9"/>
      <c r="F2594" s="25"/>
      <c r="G2594" s="61"/>
      <c r="H2594" s="9"/>
      <c r="I2594" s="8"/>
      <c r="J2594" s="8"/>
      <c r="K2594" s="8"/>
      <c r="L2594" s="8"/>
      <c r="M2594" s="8"/>
    </row>
    <row r="2595" spans="1:13">
      <c r="A2595" s="18" t="s">
        <v>3679</v>
      </c>
      <c r="B2595" s="58">
        <v>9138827808</v>
      </c>
      <c r="C2595" s="18"/>
      <c r="D2595" s="60"/>
      <c r="E2595" s="9"/>
      <c r="F2595" s="25"/>
      <c r="G2595" s="61"/>
      <c r="H2595" s="9"/>
      <c r="I2595" s="8"/>
      <c r="J2595" s="8"/>
      <c r="K2595" s="8"/>
      <c r="L2595" s="8"/>
      <c r="M2595" s="8"/>
    </row>
    <row r="2596" spans="1:13">
      <c r="A2596" s="62" t="s">
        <v>3680</v>
      </c>
      <c r="B2596" s="58">
        <v>14688424809</v>
      </c>
      <c r="C2596" s="63"/>
      <c r="D2596" s="60"/>
      <c r="E2596" s="9">
        <v>1106</v>
      </c>
      <c r="F2596" s="25">
        <v>42965</v>
      </c>
      <c r="G2596" s="61" t="s">
        <v>13</v>
      </c>
      <c r="H2596" s="25">
        <v>42978</v>
      </c>
      <c r="I2596" s="8"/>
      <c r="J2596" s="8"/>
      <c r="K2596" s="8"/>
      <c r="L2596" s="8"/>
      <c r="M2596" s="8"/>
    </row>
    <row r="2597" spans="1:13">
      <c r="A2597" s="27" t="s">
        <v>3681</v>
      </c>
      <c r="B2597" s="58">
        <v>28249902874</v>
      </c>
      <c r="C2597" s="27" t="s">
        <v>3682</v>
      </c>
      <c r="D2597" s="60">
        <v>37445197591</v>
      </c>
      <c r="E2597" s="9"/>
      <c r="F2597" s="25"/>
      <c r="G2597" s="61"/>
      <c r="H2597" s="9"/>
      <c r="I2597" s="8"/>
      <c r="J2597" s="8"/>
      <c r="K2597" s="8"/>
      <c r="L2597" s="8"/>
      <c r="M2597" s="8"/>
    </row>
    <row r="2598" spans="1:13">
      <c r="A2598" s="62" t="s">
        <v>3683</v>
      </c>
      <c r="B2598" s="58">
        <v>36169238836</v>
      </c>
      <c r="C2598" s="68" t="s">
        <v>3684</v>
      </c>
      <c r="D2598" s="60">
        <v>36872184817</v>
      </c>
      <c r="E2598" s="9"/>
      <c r="F2598" s="25"/>
      <c r="G2598" s="61"/>
      <c r="H2598" s="9"/>
      <c r="I2598" s="8"/>
      <c r="J2598" s="8"/>
      <c r="K2598" s="8"/>
      <c r="L2598" s="8"/>
      <c r="M2598" s="8"/>
    </row>
    <row r="2599" spans="1:13">
      <c r="A2599" s="16" t="s">
        <v>3685</v>
      </c>
      <c r="B2599" s="58">
        <v>30706797817</v>
      </c>
      <c r="C2599" s="63"/>
      <c r="D2599" s="60"/>
      <c r="E2599" s="9">
        <v>292</v>
      </c>
      <c r="F2599" s="25">
        <v>43168</v>
      </c>
      <c r="G2599" s="61" t="s">
        <v>13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7" t="s">
        <v>3686</v>
      </c>
      <c r="B2600" s="58">
        <v>30886267870</v>
      </c>
      <c r="C2600" s="27" t="s">
        <v>3687</v>
      </c>
      <c r="D2600" s="60">
        <v>26305863830</v>
      </c>
      <c r="E2600" s="9"/>
      <c r="F2600" s="25"/>
      <c r="G2600" s="61"/>
      <c r="H2600" s="9"/>
      <c r="I2600" s="8"/>
      <c r="J2600" s="8"/>
      <c r="K2600" s="8"/>
      <c r="L2600" s="8"/>
      <c r="M2600" s="8"/>
    </row>
    <row r="2601" spans="1:13">
      <c r="A2601" s="27" t="s">
        <v>3688</v>
      </c>
      <c r="B2601" s="58"/>
      <c r="C2601" s="27" t="s">
        <v>3689</v>
      </c>
      <c r="D2601" s="60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62" t="s">
        <v>3690</v>
      </c>
      <c r="B2602" s="58">
        <v>26107569847</v>
      </c>
      <c r="C2602" s="68" t="s">
        <v>3691</v>
      </c>
      <c r="D2602" s="60">
        <v>28988681835</v>
      </c>
      <c r="E2602" s="9"/>
      <c r="F2602" s="25"/>
      <c r="G2602" s="61"/>
      <c r="H2602" s="9"/>
      <c r="I2602" s="8"/>
      <c r="J2602" s="8"/>
      <c r="K2602" s="8"/>
      <c r="L2602" s="8"/>
      <c r="M2602" s="8"/>
    </row>
    <row r="2603" spans="1:13">
      <c r="A2603" s="62" t="s">
        <v>3692</v>
      </c>
      <c r="B2603" s="58">
        <v>55691668587</v>
      </c>
      <c r="C2603" s="59"/>
      <c r="D2603" s="60"/>
      <c r="E2603" s="9">
        <v>1128</v>
      </c>
      <c r="F2603" s="25">
        <v>42972</v>
      </c>
      <c r="G2603" s="61" t="s">
        <v>13</v>
      </c>
      <c r="H2603" s="25">
        <v>42979</v>
      </c>
      <c r="I2603" s="8"/>
      <c r="J2603" s="8"/>
      <c r="K2603" s="8"/>
      <c r="L2603" s="8"/>
      <c r="M2603" s="8"/>
    </row>
    <row r="2604" spans="1:13">
      <c r="A2604" s="62" t="s">
        <v>3693</v>
      </c>
      <c r="B2604" s="58">
        <v>13516251875</v>
      </c>
      <c r="C2604" s="59" t="s">
        <v>3694</v>
      </c>
      <c r="D2604" s="60">
        <v>10146756851</v>
      </c>
      <c r="E2604" s="9">
        <v>1214</v>
      </c>
      <c r="F2604" s="25">
        <v>42989</v>
      </c>
      <c r="G2604" s="61" t="s">
        <v>13</v>
      </c>
      <c r="H2604" s="25">
        <v>43000</v>
      </c>
      <c r="I2604" s="8"/>
      <c r="J2604" s="8"/>
      <c r="K2604" s="8"/>
      <c r="L2604" s="8"/>
      <c r="M2604" s="8"/>
    </row>
    <row r="2605" spans="1:13">
      <c r="A2605" s="63" t="s">
        <v>3695</v>
      </c>
      <c r="B2605" s="58">
        <v>3597715486</v>
      </c>
      <c r="C2605" s="63" t="s">
        <v>3696</v>
      </c>
      <c r="D2605" s="60">
        <v>25316261828</v>
      </c>
      <c r="E2605" s="9"/>
      <c r="F2605" s="25"/>
      <c r="G2605" s="61"/>
      <c r="H2605" s="9"/>
      <c r="I2605" s="8"/>
      <c r="J2605" s="8"/>
      <c r="K2605" s="8"/>
      <c r="L2605" s="8"/>
      <c r="M2605" s="8"/>
    </row>
    <row r="2606" spans="1:13">
      <c r="A2606" s="13" t="s">
        <v>3697</v>
      </c>
      <c r="B2606" s="58">
        <v>1563161532</v>
      </c>
      <c r="C2606" s="59" t="s">
        <v>3698</v>
      </c>
      <c r="D2606" s="60">
        <v>92557732591</v>
      </c>
      <c r="E2606" s="9">
        <v>1128</v>
      </c>
      <c r="F2606" s="25">
        <v>42972</v>
      </c>
      <c r="G2606" s="61" t="s">
        <v>13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3699</v>
      </c>
      <c r="B2607" s="58">
        <v>32672017808</v>
      </c>
      <c r="C2607" s="18"/>
      <c r="D2607" s="60"/>
      <c r="E2607" s="9"/>
      <c r="F2607" s="25"/>
      <c r="G2607" s="61"/>
      <c r="H2607" s="9"/>
      <c r="I2607" s="8"/>
      <c r="J2607" s="8"/>
      <c r="K2607" s="8"/>
      <c r="L2607" s="8"/>
      <c r="M2607" s="8"/>
    </row>
    <row r="2608" spans="1:13">
      <c r="A2608" s="62" t="s">
        <v>3700</v>
      </c>
      <c r="B2608" s="58">
        <v>31914362861</v>
      </c>
      <c r="C2608" s="63" t="s">
        <v>3701</v>
      </c>
      <c r="D2608" s="60">
        <v>45704864449</v>
      </c>
      <c r="E2608" s="9">
        <v>563</v>
      </c>
      <c r="F2608" s="25">
        <v>43217</v>
      </c>
      <c r="G2608" s="61"/>
      <c r="H2608" s="25">
        <v>43234</v>
      </c>
      <c r="I2608" s="8"/>
      <c r="J2608" s="8"/>
      <c r="K2608" s="8"/>
      <c r="L2608" s="9" t="s">
        <v>299</v>
      </c>
      <c r="M2608" s="8"/>
    </row>
    <row r="2609" spans="1:13">
      <c r="A2609" s="18" t="s">
        <v>3702</v>
      </c>
      <c r="B2609" s="58">
        <v>43488290808</v>
      </c>
      <c r="C2609" s="18"/>
      <c r="D2609" s="60"/>
      <c r="E2609" s="9"/>
      <c r="F2609" s="25"/>
      <c r="G2609" s="61"/>
      <c r="H2609" s="9"/>
      <c r="I2609" s="8"/>
      <c r="J2609" s="8"/>
      <c r="K2609" s="8"/>
      <c r="L2609" s="8"/>
      <c r="M2609" s="8"/>
    </row>
    <row r="2610" spans="1:13">
      <c r="A2610" s="62" t="s">
        <v>3703</v>
      </c>
      <c r="B2610" s="58">
        <v>35218693855</v>
      </c>
      <c r="C2610" s="63" t="s">
        <v>3704</v>
      </c>
      <c r="D2610" s="60">
        <v>14889952810</v>
      </c>
      <c r="E2610" s="9">
        <v>262</v>
      </c>
      <c r="F2610" s="25">
        <v>43160</v>
      </c>
      <c r="G2610" s="61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62" t="s">
        <v>3705</v>
      </c>
      <c r="B2611" s="58">
        <v>30947166874</v>
      </c>
      <c r="C2611" s="63" t="s">
        <v>3706</v>
      </c>
      <c r="D2611" s="60">
        <v>1304805506</v>
      </c>
      <c r="E2611" s="9">
        <v>1241</v>
      </c>
      <c r="F2611" s="25">
        <v>42992</v>
      </c>
      <c r="G2611" s="61" t="s">
        <v>13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3707</v>
      </c>
      <c r="B2612" s="58">
        <v>32928932836</v>
      </c>
      <c r="C2612" s="18"/>
      <c r="D2612" s="60"/>
      <c r="E2612" s="9"/>
      <c r="F2612" s="25"/>
      <c r="G2612" s="61"/>
      <c r="H2612" s="9"/>
      <c r="I2612" s="8"/>
      <c r="J2612" s="8"/>
      <c r="K2612" s="8"/>
      <c r="L2612" s="8"/>
      <c r="M2612" s="8"/>
    </row>
    <row r="2613" spans="1:13">
      <c r="A2613" s="15" t="s">
        <v>3708</v>
      </c>
      <c r="B2613" s="58">
        <v>3632265593</v>
      </c>
      <c r="C2613" s="63" t="s">
        <v>3709</v>
      </c>
      <c r="D2613" s="60">
        <v>52449734449</v>
      </c>
      <c r="E2613" s="9"/>
      <c r="F2613" s="25"/>
      <c r="G2613" s="61"/>
      <c r="H2613" s="9"/>
      <c r="I2613" s="8"/>
      <c r="J2613" s="8"/>
      <c r="K2613" s="8"/>
      <c r="L2613" s="8"/>
      <c r="M2613" s="8"/>
    </row>
    <row r="2614" spans="1:13">
      <c r="A2614" s="62" t="s">
        <v>3710</v>
      </c>
      <c r="B2614" s="58">
        <v>9500687801</v>
      </c>
      <c r="C2614" s="68" t="s">
        <v>3711</v>
      </c>
      <c r="D2614" s="60">
        <v>4713108839</v>
      </c>
      <c r="E2614" s="9">
        <v>563</v>
      </c>
      <c r="F2614" s="25">
        <v>43217</v>
      </c>
      <c r="G2614" s="61"/>
      <c r="H2614" s="25">
        <v>43234</v>
      </c>
      <c r="I2614" s="8"/>
      <c r="J2614" s="8"/>
      <c r="K2614" s="8"/>
      <c r="L2614" s="9" t="s">
        <v>299</v>
      </c>
      <c r="M2614" s="8"/>
    </row>
    <row r="2615" spans="1:13">
      <c r="A2615" s="62" t="s">
        <v>3712</v>
      </c>
      <c r="B2615" s="58">
        <v>78808405400</v>
      </c>
      <c r="C2615" s="63" t="s">
        <v>3713</v>
      </c>
      <c r="D2615" s="60">
        <v>6840084400</v>
      </c>
      <c r="E2615" s="9">
        <v>1824</v>
      </c>
      <c r="F2615" s="25">
        <v>43091</v>
      </c>
      <c r="G2615" s="61" t="s">
        <v>13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3714</v>
      </c>
      <c r="B2616" s="58">
        <v>36104667821</v>
      </c>
      <c r="C2616" s="63"/>
      <c r="D2616" s="60"/>
      <c r="E2616" s="9">
        <v>229</v>
      </c>
      <c r="F2616" s="25">
        <v>43151</v>
      </c>
      <c r="G2616" s="61" t="s">
        <v>13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3715</v>
      </c>
      <c r="B2617" s="58">
        <v>21632630885</v>
      </c>
      <c r="C2617" s="63"/>
      <c r="D2617" s="60"/>
      <c r="E2617" s="9">
        <v>443</v>
      </c>
      <c r="F2617" s="25">
        <v>43188</v>
      </c>
      <c r="G2617" s="61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3716</v>
      </c>
      <c r="B2618" s="58">
        <v>37500289820</v>
      </c>
      <c r="C2618" s="59" t="s">
        <v>3717</v>
      </c>
      <c r="D2618" s="60">
        <v>26607571867</v>
      </c>
      <c r="E2618" s="9">
        <v>1350</v>
      </c>
      <c r="F2618" s="25">
        <v>43006</v>
      </c>
      <c r="G2618" s="61" t="s">
        <v>13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3718</v>
      </c>
      <c r="B2619" s="58">
        <v>4335257546</v>
      </c>
      <c r="C2619" s="18"/>
      <c r="D2619" s="60"/>
      <c r="E2619" s="9"/>
      <c r="F2619" s="25"/>
      <c r="G2619" s="61"/>
      <c r="H2619" s="9"/>
      <c r="I2619" s="8"/>
      <c r="J2619" s="8"/>
      <c r="K2619" s="8"/>
      <c r="L2619" s="8"/>
      <c r="M2619" s="8"/>
    </row>
    <row r="2620" spans="1:13">
      <c r="A2620" s="13" t="s">
        <v>3719</v>
      </c>
      <c r="B2620" s="58">
        <v>31616397829</v>
      </c>
      <c r="C2620" s="59"/>
      <c r="D2620" s="60"/>
      <c r="E2620" s="9">
        <v>1267</v>
      </c>
      <c r="F2620" s="25">
        <v>42998</v>
      </c>
      <c r="G2620" s="61" t="s">
        <v>13</v>
      </c>
      <c r="H2620" s="25">
        <v>43000</v>
      </c>
      <c r="I2620" s="8"/>
      <c r="J2620" s="8"/>
      <c r="K2620" s="8"/>
      <c r="L2620" s="8"/>
      <c r="M2620" s="8"/>
    </row>
    <row r="2621" spans="1:13">
      <c r="A2621" s="62" t="s">
        <v>3720</v>
      </c>
      <c r="B2621" s="58">
        <v>11148167870</v>
      </c>
      <c r="C2621" s="68"/>
      <c r="D2621" s="60"/>
      <c r="E2621" s="9"/>
      <c r="F2621" s="25"/>
      <c r="G2621" s="61"/>
      <c r="H2621" s="9"/>
      <c r="I2621" s="8"/>
      <c r="J2621" s="8"/>
      <c r="K2621" s="8"/>
      <c r="L2621" s="8"/>
      <c r="M2621" s="8"/>
    </row>
    <row r="2622" spans="1:13">
      <c r="A2622" s="15" t="s">
        <v>3721</v>
      </c>
      <c r="B2622" s="58">
        <v>28688137803</v>
      </c>
      <c r="C2622" s="63"/>
      <c r="D2622" s="60"/>
      <c r="E2622" s="9">
        <v>229</v>
      </c>
      <c r="F2622" s="25">
        <v>43151</v>
      </c>
      <c r="G2622" s="61" t="s">
        <v>13</v>
      </c>
      <c r="H2622" s="9"/>
      <c r="I2622" s="8"/>
      <c r="J2622" s="8"/>
      <c r="K2622" s="8"/>
      <c r="L2622" s="9">
        <v>232</v>
      </c>
      <c r="M2622" s="8"/>
    </row>
    <row r="2623" spans="1:13">
      <c r="A2623" s="62" t="s">
        <v>3722</v>
      </c>
      <c r="B2623" s="58">
        <v>8192130800</v>
      </c>
      <c r="C2623" s="63" t="s">
        <v>3723</v>
      </c>
      <c r="D2623" s="60">
        <v>816363854</v>
      </c>
      <c r="E2623" s="9"/>
      <c r="F2623" s="25"/>
      <c r="G2623" s="61"/>
      <c r="H2623" s="9"/>
      <c r="I2623" s="8"/>
      <c r="J2623" s="8"/>
      <c r="K2623" s="8"/>
      <c r="L2623" s="8"/>
      <c r="M2623" s="8"/>
    </row>
    <row r="2624" spans="1:13">
      <c r="A2624" s="18" t="s">
        <v>3724</v>
      </c>
      <c r="B2624" s="58">
        <v>26853070879</v>
      </c>
      <c r="C2624" s="18" t="s">
        <v>3725</v>
      </c>
      <c r="D2624" s="60">
        <v>8578114876</v>
      </c>
      <c r="E2624" s="9"/>
      <c r="F2624" s="25"/>
      <c r="G2624" s="61"/>
      <c r="H2624" s="9"/>
      <c r="I2624" s="8"/>
      <c r="J2624" s="8"/>
      <c r="K2624" s="8"/>
      <c r="L2624" s="8"/>
      <c r="M2624" s="8"/>
    </row>
    <row r="2625" spans="1:13">
      <c r="A2625" s="13" t="s">
        <v>3726</v>
      </c>
      <c r="B2625" s="58">
        <v>4632449822</v>
      </c>
      <c r="C2625" s="63"/>
      <c r="D2625" s="60"/>
      <c r="E2625" s="9">
        <v>1417</v>
      </c>
      <c r="F2625" s="25">
        <v>43017</v>
      </c>
      <c r="G2625" s="61" t="s">
        <v>13</v>
      </c>
      <c r="H2625" s="25">
        <v>43027</v>
      </c>
      <c r="I2625" s="8"/>
      <c r="J2625" s="8"/>
      <c r="K2625" s="8"/>
      <c r="L2625" s="9" t="s">
        <v>253</v>
      </c>
      <c r="M2625" s="8"/>
    </row>
    <row r="2626" spans="1:13">
      <c r="A2626" s="13" t="s">
        <v>3727</v>
      </c>
      <c r="B2626" s="58">
        <v>27440063864</v>
      </c>
      <c r="C2626" s="59" t="s">
        <v>3728</v>
      </c>
      <c r="D2626" s="60">
        <v>66533287400</v>
      </c>
      <c r="E2626" s="9">
        <v>1241</v>
      </c>
      <c r="F2626" s="25">
        <v>42992</v>
      </c>
      <c r="G2626" s="61" t="s">
        <v>13</v>
      </c>
      <c r="H2626" s="25">
        <v>42998</v>
      </c>
      <c r="I2626" s="8"/>
      <c r="J2626" s="8"/>
      <c r="K2626" s="8"/>
      <c r="L2626" s="8"/>
      <c r="M2626" s="8"/>
    </row>
    <row r="2627" spans="1:13">
      <c r="A2627" s="62" t="s">
        <v>3729</v>
      </c>
      <c r="B2627" s="58">
        <v>32362879852</v>
      </c>
      <c r="C2627" s="63" t="s">
        <v>3730</v>
      </c>
      <c r="D2627" s="60">
        <v>12658677553</v>
      </c>
      <c r="E2627" s="9">
        <v>563</v>
      </c>
      <c r="F2627" s="25">
        <v>43217</v>
      </c>
      <c r="G2627" s="61"/>
      <c r="H2627" s="25">
        <v>43234</v>
      </c>
      <c r="I2627" s="8"/>
      <c r="J2627" s="8"/>
      <c r="K2627" s="8"/>
      <c r="L2627" s="9" t="s">
        <v>299</v>
      </c>
      <c r="M2627" s="8"/>
    </row>
    <row r="2628" spans="1:13">
      <c r="A2628" s="15" t="s">
        <v>3731</v>
      </c>
      <c r="B2628" s="58">
        <v>28146002811</v>
      </c>
      <c r="C2628" s="63"/>
      <c r="D2628" s="60"/>
      <c r="E2628" s="9">
        <v>292</v>
      </c>
      <c r="F2628" s="25">
        <v>43168</v>
      </c>
      <c r="G2628" s="61" t="s">
        <v>13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62" t="s">
        <v>3732</v>
      </c>
      <c r="B2629" s="58">
        <v>37904123843</v>
      </c>
      <c r="C2629" s="63" t="s">
        <v>3733</v>
      </c>
      <c r="D2629" s="60">
        <v>16565739897</v>
      </c>
      <c r="E2629" s="9">
        <v>292</v>
      </c>
      <c r="F2629" s="25">
        <v>43168</v>
      </c>
      <c r="G2629" s="61" t="s">
        <v>13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62" t="s">
        <v>3734</v>
      </c>
      <c r="B2630" s="58">
        <v>30775860883</v>
      </c>
      <c r="C2630" s="63" t="s">
        <v>3735</v>
      </c>
      <c r="D2630" s="60">
        <v>34227894808</v>
      </c>
      <c r="E2630" s="9">
        <v>1359</v>
      </c>
      <c r="F2630" s="25">
        <v>43006</v>
      </c>
      <c r="G2630" s="61" t="s">
        <v>13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3736</v>
      </c>
      <c r="B2631" s="58">
        <v>37788814857</v>
      </c>
      <c r="C2631" s="63"/>
      <c r="D2631" s="60"/>
      <c r="E2631" s="9">
        <v>1752</v>
      </c>
      <c r="F2631" s="25">
        <v>43051</v>
      </c>
      <c r="G2631" s="74" t="s">
        <v>13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3737</v>
      </c>
      <c r="B2632" s="58">
        <v>29829509877</v>
      </c>
      <c r="C2632" s="63"/>
      <c r="D2632" s="60"/>
      <c r="E2632" s="9">
        <v>229</v>
      </c>
      <c r="F2632" s="25">
        <v>43151</v>
      </c>
      <c r="G2632" s="61" t="s">
        <v>13</v>
      </c>
      <c r="H2632" s="9"/>
      <c r="I2632" s="8"/>
      <c r="J2632" s="8"/>
      <c r="K2632" s="8"/>
      <c r="L2632" s="9">
        <v>232</v>
      </c>
      <c r="M2632" s="8"/>
    </row>
    <row r="2633" spans="1:13">
      <c r="A2633" s="62" t="s">
        <v>3738</v>
      </c>
      <c r="B2633" s="58">
        <v>4666033807</v>
      </c>
      <c r="C2633" s="63"/>
      <c r="D2633" s="60"/>
      <c r="E2633" s="9">
        <v>1570</v>
      </c>
      <c r="F2633" s="25">
        <v>43055</v>
      </c>
      <c r="G2633" s="9" t="s">
        <v>13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62" t="s">
        <v>3739</v>
      </c>
      <c r="B2634" s="58">
        <v>16700832845</v>
      </c>
      <c r="C2634" s="63"/>
      <c r="D2634" s="60"/>
      <c r="E2634" s="9">
        <v>1752</v>
      </c>
      <c r="F2634" s="25">
        <v>43051</v>
      </c>
      <c r="G2634" s="61" t="s">
        <v>13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62" t="s">
        <v>3740</v>
      </c>
      <c r="B2635" s="58">
        <v>29287401802</v>
      </c>
      <c r="C2635" s="63" t="s">
        <v>3741</v>
      </c>
      <c r="D2635" s="60">
        <v>29511449893</v>
      </c>
      <c r="E2635" s="9"/>
      <c r="F2635" s="25"/>
      <c r="G2635" s="61"/>
      <c r="H2635" s="9"/>
      <c r="I2635" s="8"/>
      <c r="J2635" s="8"/>
      <c r="K2635" s="8"/>
      <c r="L2635" s="8"/>
      <c r="M2635" s="8"/>
    </row>
    <row r="2636" spans="1:13">
      <c r="A2636" s="15" t="s">
        <v>3619</v>
      </c>
      <c r="B2636" s="58">
        <v>64495957520</v>
      </c>
      <c r="C2636" s="63"/>
      <c r="D2636" s="60"/>
      <c r="E2636" s="9">
        <v>117</v>
      </c>
      <c r="F2636" s="25">
        <v>43117</v>
      </c>
      <c r="G2636" s="61" t="s">
        <v>13</v>
      </c>
      <c r="H2636" s="25">
        <v>43151</v>
      </c>
      <c r="I2636" s="8"/>
      <c r="J2636" s="8"/>
      <c r="K2636" s="8"/>
      <c r="L2636" s="9" t="s">
        <v>170</v>
      </c>
      <c r="M2636" s="8"/>
    </row>
    <row r="2637" spans="1:13">
      <c r="A2637" s="62" t="s">
        <v>3742</v>
      </c>
      <c r="B2637" s="58">
        <v>24852369844</v>
      </c>
      <c r="C2637" s="63"/>
      <c r="D2637" s="60"/>
      <c r="E2637" s="9"/>
      <c r="F2637" s="25"/>
      <c r="G2637" s="61"/>
      <c r="H2637" s="9"/>
      <c r="I2637" s="8"/>
      <c r="J2637" s="8"/>
      <c r="K2637" s="8"/>
      <c r="L2637" s="8"/>
      <c r="M2637" s="8"/>
    </row>
    <row r="2638" spans="1:13">
      <c r="A2638" s="28" t="s">
        <v>3743</v>
      </c>
      <c r="B2638" s="58">
        <v>36051425837</v>
      </c>
      <c r="C2638" s="68" t="s">
        <v>3744</v>
      </c>
      <c r="D2638" s="60">
        <v>33369796848</v>
      </c>
      <c r="E2638" s="9"/>
      <c r="F2638" s="25"/>
      <c r="G2638" s="61"/>
      <c r="H2638" s="9"/>
      <c r="I2638" s="8"/>
      <c r="J2638" s="8"/>
      <c r="K2638" s="8"/>
      <c r="L2638" s="8"/>
      <c r="M2638" s="8"/>
    </row>
    <row r="2639" spans="1:13">
      <c r="A2639" s="63" t="s">
        <v>3745</v>
      </c>
      <c r="B2639" s="58">
        <v>59784598515</v>
      </c>
      <c r="C2639" s="63"/>
      <c r="D2639" s="60"/>
      <c r="E2639" s="9">
        <v>1752</v>
      </c>
      <c r="F2639" s="25">
        <v>43051</v>
      </c>
      <c r="G2639" s="61" t="s">
        <v>13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62" t="s">
        <v>3746</v>
      </c>
      <c r="B2640" s="58">
        <v>23362506836</v>
      </c>
      <c r="C2640" s="63"/>
      <c r="D2640" s="60"/>
      <c r="E2640" s="9">
        <v>563</v>
      </c>
      <c r="F2640" s="25">
        <v>43217</v>
      </c>
      <c r="G2640" s="61"/>
      <c r="H2640" s="25">
        <v>43234</v>
      </c>
      <c r="I2640" s="8"/>
      <c r="J2640" s="8"/>
      <c r="K2640" s="8"/>
      <c r="L2640" s="9" t="s">
        <v>299</v>
      </c>
      <c r="M2640" s="8"/>
    </row>
    <row r="2641" spans="1:13">
      <c r="A2641" s="63" t="s">
        <v>3747</v>
      </c>
      <c r="B2641" s="58">
        <v>99219395720</v>
      </c>
      <c r="C2641" s="63"/>
      <c r="D2641" s="60"/>
      <c r="E2641" s="9"/>
      <c r="F2641" s="25"/>
      <c r="G2641" s="61"/>
      <c r="H2641" s="9"/>
      <c r="I2641" s="8"/>
      <c r="J2641" s="8"/>
      <c r="K2641" s="8"/>
      <c r="L2641" s="8"/>
      <c r="M2641" s="8"/>
    </row>
    <row r="2642" spans="1:13">
      <c r="A2642" s="62" t="s">
        <v>3748</v>
      </c>
      <c r="B2642" s="58">
        <v>33698017873</v>
      </c>
      <c r="C2642" s="63"/>
      <c r="D2642" s="60"/>
      <c r="E2642" s="9">
        <v>1106</v>
      </c>
      <c r="F2642" s="25">
        <v>42965</v>
      </c>
      <c r="G2642" s="61" t="s">
        <v>13</v>
      </c>
      <c r="H2642" s="25">
        <v>42978</v>
      </c>
      <c r="I2642" s="8"/>
      <c r="J2642" s="8"/>
      <c r="K2642" s="8"/>
      <c r="L2642" s="8"/>
      <c r="M2642" s="8"/>
    </row>
    <row r="2643" spans="1:13">
      <c r="A2643" s="62" t="s">
        <v>3749</v>
      </c>
      <c r="B2643" s="58">
        <v>3212055375</v>
      </c>
      <c r="C2643" s="68" t="s">
        <v>3750</v>
      </c>
      <c r="D2643" s="60">
        <v>94071918349</v>
      </c>
      <c r="E2643" s="9"/>
      <c r="F2643" s="25"/>
      <c r="G2643" s="61"/>
      <c r="H2643" s="9"/>
      <c r="I2643" s="8"/>
      <c r="J2643" s="8"/>
      <c r="K2643" s="8"/>
      <c r="L2643" s="8"/>
      <c r="M2643" s="8"/>
    </row>
    <row r="2644" spans="1:13">
      <c r="A2644" s="15" t="s">
        <v>3751</v>
      </c>
      <c r="B2644" s="58">
        <v>38221892866</v>
      </c>
      <c r="C2644" s="63"/>
      <c r="D2644" s="60"/>
      <c r="E2644" s="9">
        <v>229</v>
      </c>
      <c r="F2644" s="25">
        <v>43151</v>
      </c>
      <c r="G2644" s="61" t="s">
        <v>13</v>
      </c>
      <c r="H2644" s="9"/>
      <c r="I2644" s="8"/>
      <c r="J2644" s="8"/>
      <c r="K2644" s="8"/>
      <c r="L2644" s="9">
        <v>232</v>
      </c>
      <c r="M2644" s="8"/>
    </row>
    <row r="2645" spans="1:13">
      <c r="A2645" s="62" t="s">
        <v>3752</v>
      </c>
      <c r="B2645" s="58">
        <v>16420076846</v>
      </c>
      <c r="C2645" s="63"/>
      <c r="D2645" s="60"/>
      <c r="E2645" s="9">
        <v>1359</v>
      </c>
      <c r="F2645" s="25">
        <v>43006</v>
      </c>
      <c r="G2645" s="61" t="s">
        <v>13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3753</v>
      </c>
      <c r="B2646" s="58">
        <v>11452168890</v>
      </c>
      <c r="C2646" s="63" t="s">
        <v>3754</v>
      </c>
      <c r="D2646" s="60">
        <v>25927807852</v>
      </c>
      <c r="E2646" s="9">
        <v>527</v>
      </c>
      <c r="F2646" s="25">
        <v>43210</v>
      </c>
      <c r="G2646" s="61"/>
      <c r="H2646" s="9"/>
      <c r="I2646" s="8"/>
      <c r="J2646" s="8"/>
      <c r="K2646" s="8"/>
      <c r="L2646" s="9">
        <v>528</v>
      </c>
      <c r="M2646" s="8"/>
    </row>
    <row r="2647" spans="1:13">
      <c r="A2647" s="62" t="s">
        <v>3755</v>
      </c>
      <c r="B2647" s="58">
        <v>41079665854</v>
      </c>
      <c r="C2647" s="63"/>
      <c r="D2647" s="60"/>
      <c r="E2647" s="9"/>
      <c r="F2647" s="25"/>
      <c r="G2647" s="61"/>
      <c r="H2647" s="9"/>
      <c r="I2647" s="8"/>
      <c r="J2647" s="8"/>
      <c r="K2647" s="8"/>
      <c r="L2647" s="8"/>
      <c r="M2647" s="8"/>
    </row>
    <row r="2648" spans="1:13">
      <c r="A2648" s="64" t="s">
        <v>3756</v>
      </c>
      <c r="B2648" s="58">
        <v>31856157865</v>
      </c>
      <c r="C2648" s="63" t="s">
        <v>3757</v>
      </c>
      <c r="D2648" s="60">
        <v>94552967568</v>
      </c>
      <c r="E2648" s="9">
        <v>810</v>
      </c>
      <c r="F2648" s="25">
        <v>42915</v>
      </c>
      <c r="G2648" s="61" t="s">
        <v>13</v>
      </c>
      <c r="H2648" s="25">
        <v>42921</v>
      </c>
      <c r="I2648" s="8"/>
      <c r="J2648" s="8"/>
      <c r="K2648" s="8"/>
      <c r="L2648" s="9" t="s">
        <v>138</v>
      </c>
      <c r="M2648" s="8"/>
    </row>
    <row r="2649" spans="1:13">
      <c r="A2649" s="62" t="s">
        <v>3758</v>
      </c>
      <c r="B2649" s="58">
        <v>46589719845</v>
      </c>
      <c r="C2649" s="63"/>
      <c r="D2649" s="60"/>
      <c r="E2649" s="9">
        <v>262</v>
      </c>
      <c r="F2649" s="25">
        <v>43160</v>
      </c>
      <c r="G2649" s="61" t="s">
        <v>13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3759</v>
      </c>
      <c r="B2650" s="58">
        <v>37478827810</v>
      </c>
      <c r="C2650" s="63" t="s">
        <v>3760</v>
      </c>
      <c r="D2650" s="60">
        <v>37591131842</v>
      </c>
      <c r="E2650" s="9">
        <v>292</v>
      </c>
      <c r="F2650" s="25">
        <v>43168</v>
      </c>
      <c r="G2650" s="61" t="s">
        <v>13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62" t="s">
        <v>3761</v>
      </c>
      <c r="B2651" s="58">
        <v>95285334420</v>
      </c>
      <c r="C2651" s="63"/>
      <c r="D2651" s="60"/>
      <c r="E2651" s="9">
        <v>1214</v>
      </c>
      <c r="F2651" s="25">
        <v>42989</v>
      </c>
      <c r="G2651" s="61" t="s">
        <v>13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3762</v>
      </c>
      <c r="B2652" s="58">
        <v>23465596870</v>
      </c>
      <c r="C2652" s="63" t="s">
        <v>3763</v>
      </c>
      <c r="D2652" s="60">
        <v>23522451848</v>
      </c>
      <c r="E2652" s="9">
        <v>292</v>
      </c>
      <c r="F2652" s="25">
        <v>43168</v>
      </c>
      <c r="G2652" s="61" t="s">
        <v>13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62" t="s">
        <v>3764</v>
      </c>
      <c r="B2653" s="58">
        <v>10047946814</v>
      </c>
      <c r="C2653" s="68"/>
      <c r="D2653" s="60"/>
      <c r="E2653" s="9">
        <v>563</v>
      </c>
      <c r="F2653" s="25">
        <v>43217</v>
      </c>
      <c r="G2653" s="61"/>
      <c r="H2653" s="25">
        <v>43234</v>
      </c>
      <c r="I2653" s="8"/>
      <c r="J2653" s="8"/>
      <c r="K2653" s="8"/>
      <c r="L2653" s="9" t="s">
        <v>299</v>
      </c>
      <c r="M2653" s="8"/>
    </row>
    <row r="2654" spans="1:13">
      <c r="A2654" s="64" t="s">
        <v>3765</v>
      </c>
      <c r="B2654" s="58">
        <v>34274784835</v>
      </c>
      <c r="C2654" s="63" t="s">
        <v>3766</v>
      </c>
      <c r="D2654" s="60">
        <v>19379885890</v>
      </c>
      <c r="E2654" s="9">
        <v>810</v>
      </c>
      <c r="F2654" s="25">
        <v>42915</v>
      </c>
      <c r="G2654" s="61" t="s">
        <v>13</v>
      </c>
      <c r="H2654" s="25">
        <v>42921</v>
      </c>
      <c r="I2654" s="8"/>
      <c r="J2654" s="8"/>
      <c r="K2654" s="8"/>
      <c r="L2654" s="9" t="s">
        <v>138</v>
      </c>
      <c r="M2654" s="8"/>
    </row>
    <row r="2655" spans="1:13">
      <c r="A2655" s="62" t="s">
        <v>3767</v>
      </c>
      <c r="B2655" s="58">
        <v>31120987814</v>
      </c>
      <c r="C2655" s="63"/>
      <c r="D2655" s="60"/>
      <c r="E2655" s="9">
        <v>810</v>
      </c>
      <c r="F2655" s="25">
        <v>42915</v>
      </c>
      <c r="G2655" s="61" t="s">
        <v>13</v>
      </c>
      <c r="H2655" s="25">
        <v>42921</v>
      </c>
      <c r="I2655" s="8"/>
      <c r="J2655" s="8"/>
      <c r="K2655" s="8"/>
      <c r="L2655" s="9" t="s">
        <v>138</v>
      </c>
      <c r="M2655" s="8"/>
    </row>
    <row r="2656" spans="1:13">
      <c r="A2656" s="62" t="s">
        <v>3768</v>
      </c>
      <c r="B2656" s="58">
        <v>14529532879</v>
      </c>
      <c r="C2656" s="63"/>
      <c r="D2656" s="60"/>
      <c r="E2656" s="9">
        <v>810</v>
      </c>
      <c r="F2656" s="25">
        <v>42915</v>
      </c>
      <c r="G2656" s="61" t="s">
        <v>13</v>
      </c>
      <c r="H2656" s="25">
        <v>42921</v>
      </c>
      <c r="I2656" s="8"/>
      <c r="J2656" s="8"/>
      <c r="K2656" s="8"/>
      <c r="L2656" s="9" t="s">
        <v>138</v>
      </c>
      <c r="M2656" s="8"/>
    </row>
    <row r="2657" spans="1:13">
      <c r="A2657" s="62" t="s">
        <v>3769</v>
      </c>
      <c r="B2657" s="58">
        <v>17790512803</v>
      </c>
      <c r="C2657" s="63"/>
      <c r="D2657" s="60"/>
      <c r="E2657" s="9">
        <v>117</v>
      </c>
      <c r="F2657" s="25">
        <v>43117</v>
      </c>
      <c r="G2657" s="61" t="s">
        <v>13</v>
      </c>
      <c r="H2657" s="25">
        <v>43151</v>
      </c>
      <c r="I2657" s="8"/>
      <c r="J2657" s="8"/>
      <c r="K2657" s="8"/>
      <c r="L2657" s="9" t="s">
        <v>170</v>
      </c>
      <c r="M2657" s="8"/>
    </row>
    <row r="2658" spans="1:13">
      <c r="A2658" s="62" t="s">
        <v>3770</v>
      </c>
      <c r="B2658" s="58">
        <v>41491764856</v>
      </c>
      <c r="C2658" s="63" t="s">
        <v>3771</v>
      </c>
      <c r="D2658" s="60">
        <v>91076447520</v>
      </c>
      <c r="E2658" s="9">
        <v>292</v>
      </c>
      <c r="F2658" s="25">
        <v>43168</v>
      </c>
      <c r="G2658" s="61" t="s">
        <v>13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62" t="s">
        <v>3772</v>
      </c>
      <c r="B2659" s="58">
        <v>94035229504</v>
      </c>
      <c r="C2659" s="63"/>
      <c r="D2659" s="60"/>
      <c r="E2659" s="9">
        <v>1570</v>
      </c>
      <c r="F2659" s="25">
        <v>43055</v>
      </c>
      <c r="G2659" s="61" t="s">
        <v>13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3773</v>
      </c>
      <c r="B2660" s="58">
        <v>32962624820</v>
      </c>
      <c r="C2660" s="63" t="s">
        <v>3774</v>
      </c>
      <c r="D2660" s="60">
        <v>3430918871</v>
      </c>
      <c r="E2660" s="9"/>
      <c r="F2660" s="25"/>
      <c r="G2660" s="61" t="s">
        <v>13</v>
      </c>
      <c r="H2660" s="9"/>
      <c r="I2660" s="8"/>
      <c r="J2660" s="8"/>
      <c r="K2660" s="8"/>
      <c r="L2660" s="8"/>
      <c r="M2660" s="8"/>
    </row>
    <row r="2661" spans="1:13">
      <c r="A2661" s="62" t="s">
        <v>3775</v>
      </c>
      <c r="B2661" s="58">
        <v>11962374840</v>
      </c>
      <c r="C2661" s="63"/>
      <c r="D2661" s="60"/>
      <c r="E2661" s="9">
        <v>1350</v>
      </c>
      <c r="F2661" s="25">
        <v>43006</v>
      </c>
      <c r="G2661" s="61" t="s">
        <v>20</v>
      </c>
      <c r="H2661" s="25">
        <v>43011</v>
      </c>
      <c r="I2661" s="8"/>
      <c r="J2661" s="8"/>
      <c r="K2661" s="8"/>
      <c r="L2661" s="8"/>
      <c r="M2661" s="8"/>
    </row>
    <row r="2662" spans="1:13">
      <c r="A2662" s="62" t="s">
        <v>3776</v>
      </c>
      <c r="B2662" s="58">
        <v>32777590320</v>
      </c>
      <c r="C2662" s="63"/>
      <c r="D2662" s="60"/>
      <c r="E2662" s="9"/>
      <c r="F2662" s="25"/>
      <c r="G2662" s="61"/>
      <c r="H2662" s="9"/>
      <c r="I2662" s="8"/>
      <c r="J2662" s="8"/>
      <c r="K2662" s="8"/>
      <c r="L2662" s="8"/>
      <c r="M2662" s="8"/>
    </row>
    <row r="2663" spans="1:13">
      <c r="A2663" s="18" t="s">
        <v>3777</v>
      </c>
      <c r="B2663" s="58">
        <v>65961404587</v>
      </c>
      <c r="C2663" s="18"/>
      <c r="D2663" s="60"/>
      <c r="E2663" s="9"/>
      <c r="F2663" s="25"/>
      <c r="G2663" s="61"/>
      <c r="H2663" s="9"/>
      <c r="I2663" s="8"/>
      <c r="J2663" s="8"/>
      <c r="K2663" s="8"/>
      <c r="L2663" s="8"/>
      <c r="M2663" s="8"/>
    </row>
    <row r="2664" spans="1:13">
      <c r="A2664" s="62" t="s">
        <v>3778</v>
      </c>
      <c r="B2664" s="58" t="s">
        <v>3779</v>
      </c>
      <c r="C2664" s="64"/>
      <c r="D2664" s="60"/>
      <c r="E2664" s="9"/>
      <c r="F2664" s="25"/>
      <c r="G2664" s="61"/>
      <c r="H2664" s="9"/>
      <c r="I2664" s="8"/>
      <c r="J2664" s="8"/>
      <c r="K2664" s="8"/>
      <c r="L2664" s="8"/>
      <c r="M2664" s="8"/>
    </row>
    <row r="2665" spans="1:13">
      <c r="A2665" s="62" t="s">
        <v>3780</v>
      </c>
      <c r="B2665" s="58">
        <v>12713435846</v>
      </c>
      <c r="C2665" s="63"/>
      <c r="D2665" s="60"/>
      <c r="E2665" s="9">
        <v>1422</v>
      </c>
      <c r="F2665" s="25">
        <v>43018</v>
      </c>
      <c r="G2665" s="61" t="s">
        <v>13</v>
      </c>
      <c r="H2665" s="25">
        <v>43027</v>
      </c>
      <c r="I2665" s="8"/>
      <c r="J2665" s="8"/>
      <c r="K2665" s="8"/>
      <c r="L2665" s="8"/>
      <c r="M2665" s="8"/>
    </row>
    <row r="2666" spans="1:13">
      <c r="A2666" s="27" t="s">
        <v>3781</v>
      </c>
      <c r="B2666" s="58">
        <v>99048957753</v>
      </c>
      <c r="C2666" s="27" t="s">
        <v>3782</v>
      </c>
      <c r="D2666" s="60">
        <v>14788838800</v>
      </c>
      <c r="E2666" s="9"/>
      <c r="F2666" s="25"/>
      <c r="G2666" s="61"/>
      <c r="H2666" s="9"/>
      <c r="I2666" s="8"/>
      <c r="J2666" s="8"/>
      <c r="K2666" s="8"/>
      <c r="L2666" s="8"/>
      <c r="M2666" s="8"/>
    </row>
    <row r="2667" spans="1:13">
      <c r="A2667" s="62" t="s">
        <v>3783</v>
      </c>
      <c r="B2667" s="58">
        <v>98859579872</v>
      </c>
      <c r="C2667" s="63"/>
      <c r="D2667" s="60"/>
      <c r="E2667" s="9"/>
      <c r="F2667" s="25"/>
      <c r="G2667" s="61"/>
      <c r="H2667" s="9"/>
      <c r="I2667" s="8"/>
      <c r="J2667" s="8"/>
      <c r="K2667" s="8"/>
      <c r="L2667" s="8"/>
      <c r="M2667" s="8"/>
    </row>
    <row r="2668" spans="1:13">
      <c r="A2668" s="62" t="s">
        <v>3784</v>
      </c>
      <c r="B2668" s="58">
        <v>11234152851</v>
      </c>
      <c r="C2668" s="63" t="s">
        <v>3785</v>
      </c>
      <c r="D2668" s="60">
        <v>11353668886</v>
      </c>
      <c r="E2668" s="9">
        <v>117</v>
      </c>
      <c r="F2668" s="25">
        <v>43117</v>
      </c>
      <c r="G2668" s="61" t="s">
        <v>13</v>
      </c>
      <c r="H2668" s="25">
        <v>43151</v>
      </c>
      <c r="I2668" s="8"/>
      <c r="J2668" s="8"/>
      <c r="K2668" s="8"/>
      <c r="L2668" s="9" t="s">
        <v>170</v>
      </c>
      <c r="M2668" s="8"/>
    </row>
    <row r="2669" spans="1:13">
      <c r="A2669" s="14" t="s">
        <v>3786</v>
      </c>
      <c r="B2669" s="58">
        <v>34926605848</v>
      </c>
      <c r="C2669" s="63"/>
      <c r="D2669" s="60"/>
      <c r="E2669" s="9"/>
      <c r="F2669" s="25"/>
      <c r="G2669" s="61"/>
      <c r="H2669" s="9"/>
      <c r="I2669" s="8"/>
      <c r="J2669" s="8"/>
      <c r="K2669" s="8"/>
      <c r="L2669" s="8"/>
      <c r="M2669" s="8"/>
    </row>
    <row r="2670" spans="1:13">
      <c r="A2670" s="27" t="s">
        <v>3787</v>
      </c>
      <c r="B2670" s="58">
        <v>39109326812</v>
      </c>
      <c r="C2670" s="27" t="s">
        <v>3788</v>
      </c>
      <c r="D2670" s="60">
        <v>34926211807</v>
      </c>
      <c r="E2670" s="9"/>
      <c r="F2670" s="25"/>
      <c r="G2670" s="61"/>
      <c r="H2670" s="9"/>
      <c r="I2670" s="8"/>
      <c r="J2670" s="8"/>
      <c r="K2670" s="8"/>
      <c r="L2670" s="8"/>
      <c r="M2670" s="8"/>
    </row>
    <row r="2671" spans="1:13">
      <c r="A2671" s="62" t="s">
        <v>3789</v>
      </c>
      <c r="B2671" s="58">
        <v>36108176822</v>
      </c>
      <c r="C2671" s="63"/>
      <c r="D2671" s="60"/>
      <c r="E2671" s="9">
        <v>810</v>
      </c>
      <c r="F2671" s="25">
        <v>42915</v>
      </c>
      <c r="G2671" s="61" t="s">
        <v>13</v>
      </c>
      <c r="H2671" s="25">
        <v>42921</v>
      </c>
      <c r="I2671" s="8"/>
      <c r="J2671" s="8"/>
      <c r="K2671" s="8"/>
      <c r="L2671" s="9" t="s">
        <v>138</v>
      </c>
      <c r="M2671" s="8"/>
    </row>
    <row r="2672" spans="1:13">
      <c r="A2672" s="62" t="s">
        <v>3790</v>
      </c>
      <c r="B2672" s="58">
        <v>33211970819</v>
      </c>
      <c r="C2672" s="63" t="s">
        <v>3791</v>
      </c>
      <c r="D2672" s="60">
        <v>22546816802</v>
      </c>
      <c r="E2672" s="9">
        <v>810</v>
      </c>
      <c r="F2672" s="25">
        <v>42915</v>
      </c>
      <c r="G2672" s="61" t="s">
        <v>13</v>
      </c>
      <c r="H2672" s="25">
        <v>42921</v>
      </c>
      <c r="I2672" s="8"/>
      <c r="J2672" s="8"/>
      <c r="K2672" s="8"/>
      <c r="L2672" s="9" t="s">
        <v>138</v>
      </c>
      <c r="M2672" s="8"/>
    </row>
    <row r="2673" spans="1:13">
      <c r="A2673" s="62" t="s">
        <v>3792</v>
      </c>
      <c r="B2673" s="58">
        <v>15717180870</v>
      </c>
      <c r="C2673" s="63"/>
      <c r="D2673" s="60"/>
      <c r="E2673" s="9">
        <v>262</v>
      </c>
      <c r="F2673" s="25">
        <v>43160</v>
      </c>
      <c r="G2673" s="9" t="s">
        <v>13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7" t="s">
        <v>3793</v>
      </c>
      <c r="B2674" s="58">
        <v>45170442890</v>
      </c>
      <c r="C2674" s="18" t="s">
        <v>129</v>
      </c>
      <c r="D2674" s="60"/>
      <c r="E2674" s="9"/>
      <c r="F2674" s="25"/>
      <c r="G2674" s="61"/>
      <c r="H2674" s="9"/>
      <c r="I2674" s="8"/>
      <c r="J2674" s="8"/>
      <c r="K2674" s="8"/>
      <c r="L2674" s="8"/>
      <c r="M2674" s="8"/>
    </row>
    <row r="2675" spans="1:13">
      <c r="A2675" s="15" t="s">
        <v>3794</v>
      </c>
      <c r="B2675" s="58">
        <v>51188770837</v>
      </c>
      <c r="C2675" s="63"/>
      <c r="D2675" s="60"/>
      <c r="E2675" s="9">
        <v>229</v>
      </c>
      <c r="F2675" s="25">
        <v>43151</v>
      </c>
      <c r="G2675" s="61" t="s">
        <v>13</v>
      </c>
      <c r="H2675" s="9"/>
      <c r="I2675" s="8"/>
      <c r="J2675" s="8"/>
      <c r="K2675" s="8"/>
      <c r="L2675" s="9">
        <v>232</v>
      </c>
      <c r="M2675" s="8"/>
    </row>
    <row r="2676" spans="1:13">
      <c r="A2676" s="62" t="s">
        <v>3795</v>
      </c>
      <c r="B2676" s="58">
        <v>37024041803</v>
      </c>
      <c r="C2676" s="63"/>
      <c r="D2676" s="60"/>
      <c r="E2676" s="9">
        <v>1267</v>
      </c>
      <c r="F2676" s="25">
        <v>42998</v>
      </c>
      <c r="G2676" s="61" t="s">
        <v>13</v>
      </c>
      <c r="H2676" s="25">
        <v>43000</v>
      </c>
      <c r="I2676" s="8"/>
      <c r="J2676" s="8"/>
      <c r="K2676" s="8"/>
      <c r="L2676" s="8"/>
      <c r="M2676" s="8"/>
    </row>
    <row r="2677" spans="1:13">
      <c r="A2677" s="62" t="s">
        <v>3796</v>
      </c>
      <c r="B2677" s="58"/>
      <c r="C2677" s="62" t="s">
        <v>3797</v>
      </c>
      <c r="D2677" s="60"/>
      <c r="E2677" s="9"/>
      <c r="F2677" s="25"/>
      <c r="G2677" s="61"/>
      <c r="H2677" s="9"/>
      <c r="I2677" s="8"/>
      <c r="J2677" s="8"/>
      <c r="K2677" s="8"/>
      <c r="L2677" s="8"/>
      <c r="M2677" s="8"/>
    </row>
    <row r="2678" spans="1:13">
      <c r="A2678" s="62" t="s">
        <v>3798</v>
      </c>
      <c r="B2678" s="58">
        <v>35365241843</v>
      </c>
      <c r="C2678" s="63"/>
      <c r="D2678" s="60"/>
      <c r="E2678" s="9"/>
      <c r="F2678" s="25"/>
      <c r="G2678" s="61"/>
      <c r="H2678" s="9"/>
      <c r="I2678" s="8"/>
      <c r="J2678" s="8"/>
      <c r="K2678" s="8"/>
      <c r="L2678" s="8"/>
      <c r="M2678" s="8"/>
    </row>
    <row r="2679" spans="1:13">
      <c r="A2679" s="27" t="s">
        <v>3799</v>
      </c>
      <c r="B2679" s="58"/>
      <c r="C2679" s="27" t="s">
        <v>129</v>
      </c>
      <c r="D2679" s="60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3800</v>
      </c>
      <c r="B2680" s="58">
        <v>1846996490</v>
      </c>
      <c r="C2680" s="63" t="s">
        <v>3801</v>
      </c>
      <c r="D2680" s="60">
        <v>8864435808</v>
      </c>
      <c r="E2680" s="9"/>
      <c r="F2680" s="25"/>
      <c r="G2680" s="61"/>
      <c r="H2680" s="9"/>
      <c r="I2680" s="8"/>
      <c r="J2680" s="8"/>
      <c r="K2680" s="8"/>
      <c r="L2680" s="8"/>
      <c r="M2680" s="8"/>
    </row>
    <row r="2681" spans="1:13">
      <c r="A2681" s="62" t="s">
        <v>3802</v>
      </c>
      <c r="B2681" s="58">
        <v>27996678804</v>
      </c>
      <c r="C2681" s="63"/>
      <c r="D2681" s="60"/>
      <c r="E2681" s="9">
        <v>1628</v>
      </c>
      <c r="F2681" s="25">
        <v>43077</v>
      </c>
      <c r="G2681" s="61" t="s">
        <v>13</v>
      </c>
      <c r="H2681" s="25">
        <v>43080</v>
      </c>
      <c r="I2681" s="8"/>
      <c r="J2681" s="8"/>
      <c r="K2681" s="8"/>
      <c r="L2681" s="8"/>
      <c r="M2681" s="8"/>
    </row>
    <row r="2682" spans="1:13">
      <c r="A2682" s="62" t="s">
        <v>3803</v>
      </c>
      <c r="B2682" s="58">
        <v>27509843863</v>
      </c>
      <c r="C2682" s="63"/>
      <c r="D2682" s="60"/>
      <c r="E2682" s="9">
        <v>292</v>
      </c>
      <c r="F2682" s="25">
        <v>43168</v>
      </c>
      <c r="G2682" s="9" t="s">
        <v>13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62" t="s">
        <v>3804</v>
      </c>
      <c r="B2683" s="58">
        <v>32329221800</v>
      </c>
      <c r="C2683" s="63"/>
      <c r="D2683" s="60"/>
      <c r="E2683" s="9">
        <v>1417</v>
      </c>
      <c r="F2683" s="25">
        <v>43017</v>
      </c>
      <c r="G2683" s="61" t="s">
        <v>13</v>
      </c>
      <c r="H2683" s="25">
        <v>43027</v>
      </c>
      <c r="I2683" s="8"/>
      <c r="J2683" s="8"/>
      <c r="K2683" s="8"/>
      <c r="L2683" s="9" t="s">
        <v>253</v>
      </c>
      <c r="M2683" s="8"/>
    </row>
    <row r="2684" spans="1:13">
      <c r="A2684" s="13" t="s">
        <v>3805</v>
      </c>
      <c r="B2684" s="58">
        <v>29203944877</v>
      </c>
      <c r="C2684" s="59"/>
      <c r="D2684" s="60"/>
      <c r="E2684" s="9">
        <v>1128</v>
      </c>
      <c r="F2684" s="25">
        <v>42972</v>
      </c>
      <c r="G2684" s="61" t="s">
        <v>13</v>
      </c>
      <c r="H2684" s="25">
        <v>42979</v>
      </c>
      <c r="I2684" s="8"/>
      <c r="J2684" s="8"/>
      <c r="K2684" s="8"/>
      <c r="L2684" s="8"/>
      <c r="M2684" s="8"/>
    </row>
    <row r="2685" spans="1:13">
      <c r="A2685" s="27" t="s">
        <v>3806</v>
      </c>
      <c r="B2685" s="58"/>
      <c r="C2685" s="27" t="s">
        <v>129</v>
      </c>
      <c r="D2685" s="60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62" t="s">
        <v>3807</v>
      </c>
      <c r="B2686" s="58">
        <v>33374721842</v>
      </c>
      <c r="C2686" s="63"/>
      <c r="D2686" s="60"/>
      <c r="E2686" s="9">
        <v>292</v>
      </c>
      <c r="F2686" s="25">
        <v>43168</v>
      </c>
      <c r="G2686" s="9" t="s">
        <v>13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63" t="s">
        <v>3808</v>
      </c>
      <c r="B2687" s="58">
        <v>18033634871</v>
      </c>
      <c r="C2687" s="63" t="s">
        <v>3809</v>
      </c>
      <c r="D2687" s="60">
        <v>4507492823</v>
      </c>
      <c r="E2687" s="9"/>
      <c r="F2687" s="25"/>
      <c r="G2687" s="61"/>
      <c r="H2687" s="9"/>
      <c r="I2687" s="8"/>
      <c r="J2687" s="8"/>
      <c r="K2687" s="8"/>
      <c r="L2687" s="8"/>
      <c r="M2687" s="8"/>
    </row>
    <row r="2688" spans="1:13">
      <c r="A2688" s="62" t="s">
        <v>3810</v>
      </c>
      <c r="B2688" s="58">
        <v>17309351843</v>
      </c>
      <c r="C2688" s="63"/>
      <c r="D2688" s="60"/>
      <c r="E2688" s="9"/>
      <c r="F2688" s="25"/>
      <c r="G2688" s="61"/>
      <c r="H2688" s="9"/>
      <c r="I2688" s="8"/>
      <c r="J2688" s="8"/>
      <c r="K2688" s="8"/>
      <c r="L2688" s="8"/>
      <c r="M2688" s="8"/>
    </row>
    <row r="2689" spans="1:13">
      <c r="A2689" s="87" t="s">
        <v>3811</v>
      </c>
      <c r="B2689" s="58">
        <v>16155105839</v>
      </c>
      <c r="C2689" s="63" t="s">
        <v>3812</v>
      </c>
      <c r="D2689" s="60">
        <v>53581717468</v>
      </c>
      <c r="E2689" s="9">
        <v>1359</v>
      </c>
      <c r="F2689" s="25">
        <v>43006</v>
      </c>
      <c r="G2689" s="61" t="s">
        <v>13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3813</v>
      </c>
      <c r="B2690" s="58">
        <v>33244692877</v>
      </c>
      <c r="C2690" s="63" t="s">
        <v>3814</v>
      </c>
      <c r="D2690" s="60">
        <v>7582246802</v>
      </c>
      <c r="E2690" s="9">
        <v>1417</v>
      </c>
      <c r="F2690" s="25">
        <v>43017</v>
      </c>
      <c r="G2690" s="61" t="s">
        <v>13</v>
      </c>
      <c r="H2690" s="25">
        <v>43027</v>
      </c>
      <c r="I2690" s="8"/>
      <c r="J2690" s="8"/>
      <c r="K2690" s="8"/>
      <c r="L2690" s="9" t="s">
        <v>253</v>
      </c>
      <c r="M2690" s="8"/>
    </row>
    <row r="2691" spans="1:13">
      <c r="A2691" s="62" t="s">
        <v>3815</v>
      </c>
      <c r="B2691" s="58">
        <v>26334556894</v>
      </c>
      <c r="C2691" s="63"/>
      <c r="D2691" s="60"/>
      <c r="E2691" s="9"/>
      <c r="F2691" s="25"/>
      <c r="G2691" s="61"/>
      <c r="H2691" s="9"/>
      <c r="I2691" s="8"/>
      <c r="J2691" s="8"/>
      <c r="K2691" s="8"/>
      <c r="L2691" s="8"/>
      <c r="M2691" s="8"/>
    </row>
    <row r="2692" spans="1:13">
      <c r="A2692" s="62" t="s">
        <v>3816</v>
      </c>
      <c r="B2692" s="58">
        <v>23369422832</v>
      </c>
      <c r="C2692" s="63"/>
      <c r="D2692" s="60"/>
      <c r="E2692" s="9"/>
      <c r="F2692" s="25"/>
      <c r="G2692" s="61"/>
      <c r="H2692" s="9"/>
      <c r="I2692" s="8"/>
      <c r="J2692" s="8"/>
      <c r="K2692" s="8"/>
      <c r="L2692" s="8"/>
      <c r="M2692" s="8"/>
    </row>
    <row r="2693" spans="1:13">
      <c r="A2693" s="62" t="s">
        <v>3817</v>
      </c>
      <c r="B2693" s="58"/>
      <c r="C2693" s="63"/>
      <c r="D2693" s="60"/>
      <c r="E2693" s="9"/>
      <c r="F2693" s="25"/>
      <c r="G2693" s="61"/>
      <c r="H2693" s="9"/>
      <c r="I2693" s="8"/>
      <c r="J2693" s="8"/>
      <c r="K2693" s="8"/>
      <c r="L2693" s="8"/>
      <c r="M2693" s="8"/>
    </row>
    <row r="2694" spans="1:13">
      <c r="A2694" s="62" t="s">
        <v>3818</v>
      </c>
      <c r="B2694" s="58">
        <v>28406679832</v>
      </c>
      <c r="C2694" s="63"/>
      <c r="D2694" s="60"/>
      <c r="E2694" s="9"/>
      <c r="F2694" s="25"/>
      <c r="G2694" s="61"/>
      <c r="H2694" s="9"/>
      <c r="I2694" s="8"/>
      <c r="J2694" s="8"/>
      <c r="K2694" s="8"/>
      <c r="L2694" s="8"/>
      <c r="M2694" s="8"/>
    </row>
    <row r="2695" spans="1:13">
      <c r="A2695" s="64" t="s">
        <v>3819</v>
      </c>
      <c r="B2695" s="58">
        <v>8715634795</v>
      </c>
      <c r="C2695" s="63" t="s">
        <v>3820</v>
      </c>
      <c r="D2695" s="60">
        <v>30386378827</v>
      </c>
      <c r="E2695" s="9">
        <v>1106</v>
      </c>
      <c r="F2695" s="25">
        <v>42965</v>
      </c>
      <c r="G2695" s="61" t="s">
        <v>13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3821</v>
      </c>
      <c r="B2696" s="58">
        <v>27007595839</v>
      </c>
      <c r="C2696" s="59"/>
      <c r="D2696" s="60"/>
      <c r="E2696" s="9">
        <v>1214</v>
      </c>
      <c r="F2696" s="25">
        <v>42989</v>
      </c>
      <c r="G2696" s="61" t="s">
        <v>13</v>
      </c>
      <c r="H2696" s="25">
        <v>43000</v>
      </c>
      <c r="I2696" s="8"/>
      <c r="J2696" s="8"/>
      <c r="K2696" s="8"/>
      <c r="L2696" s="8"/>
      <c r="M2696" s="8"/>
    </row>
    <row r="2697" spans="1:13">
      <c r="A2697" s="62" t="s">
        <v>3822</v>
      </c>
      <c r="B2697" s="58">
        <v>22697753842</v>
      </c>
      <c r="C2697" s="63"/>
      <c r="D2697" s="60"/>
      <c r="E2697" s="9">
        <v>1350</v>
      </c>
      <c r="F2697" s="25">
        <v>43006</v>
      </c>
      <c r="G2697" s="61" t="s">
        <v>13</v>
      </c>
      <c r="H2697" s="25">
        <v>43011</v>
      </c>
      <c r="I2697" s="8"/>
      <c r="J2697" s="8"/>
      <c r="K2697" s="8"/>
      <c r="L2697" s="8"/>
      <c r="M2697" s="8"/>
    </row>
    <row r="2698" spans="1:13">
      <c r="A2698" s="62" t="s">
        <v>3823</v>
      </c>
      <c r="B2698" s="58">
        <v>28419447862</v>
      </c>
      <c r="C2698" s="63"/>
      <c r="D2698" s="60"/>
      <c r="E2698" s="9"/>
      <c r="F2698" s="25"/>
      <c r="G2698" s="61"/>
      <c r="H2698" s="9"/>
      <c r="I2698" s="8"/>
      <c r="J2698" s="8"/>
      <c r="K2698" s="8"/>
      <c r="L2698" s="8"/>
      <c r="M2698" s="8"/>
    </row>
    <row r="2699" spans="1:13">
      <c r="A2699" s="15" t="s">
        <v>3824</v>
      </c>
      <c r="B2699" s="58">
        <v>85941933517</v>
      </c>
      <c r="C2699" s="63" t="s">
        <v>3825</v>
      </c>
      <c r="D2699" s="60">
        <v>7045108125</v>
      </c>
      <c r="E2699" s="9"/>
      <c r="F2699" s="25"/>
      <c r="G2699" s="61"/>
      <c r="H2699" s="9"/>
      <c r="I2699" s="8"/>
      <c r="J2699" s="8"/>
      <c r="K2699" s="8"/>
      <c r="L2699" s="8"/>
      <c r="M2699" s="8"/>
    </row>
    <row r="2700" spans="1:13">
      <c r="A2700" s="62" t="s">
        <v>3826</v>
      </c>
      <c r="B2700" s="58">
        <v>89531850500</v>
      </c>
      <c r="C2700" s="63"/>
      <c r="D2700" s="60"/>
      <c r="E2700" s="9">
        <v>485</v>
      </c>
      <c r="F2700" s="25">
        <v>43196</v>
      </c>
      <c r="G2700" s="61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62" t="s">
        <v>3827</v>
      </c>
      <c r="B2701" s="58">
        <v>28230933898</v>
      </c>
      <c r="C2701" s="63"/>
      <c r="D2701" s="60"/>
      <c r="E2701" s="9"/>
      <c r="F2701" s="25"/>
      <c r="G2701" s="61"/>
      <c r="H2701" s="9"/>
      <c r="I2701" s="8"/>
      <c r="J2701" s="8"/>
      <c r="K2701" s="8"/>
      <c r="L2701" s="8"/>
      <c r="M2701" s="8"/>
    </row>
    <row r="2702" spans="1:13">
      <c r="A2702" s="27" t="s">
        <v>3828</v>
      </c>
      <c r="B2702" s="58"/>
      <c r="C2702" s="18" t="s">
        <v>129</v>
      </c>
      <c r="D2702" s="60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3829</v>
      </c>
      <c r="B2703" s="58">
        <v>39766945845</v>
      </c>
      <c r="C2703" s="63" t="s">
        <v>3830</v>
      </c>
      <c r="D2703" s="60">
        <v>4497515621</v>
      </c>
      <c r="E2703" s="9">
        <v>262</v>
      </c>
      <c r="F2703" s="25">
        <v>43160</v>
      </c>
      <c r="G2703" s="61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3831</v>
      </c>
      <c r="B2704" s="58">
        <v>95398112520</v>
      </c>
      <c r="C2704" s="63"/>
      <c r="D2704" s="60"/>
      <c r="E2704" s="9">
        <v>262</v>
      </c>
      <c r="F2704" s="25">
        <v>43160</v>
      </c>
      <c r="G2704" s="61" t="s">
        <v>13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3832</v>
      </c>
      <c r="B2705" s="58">
        <v>16374846826</v>
      </c>
      <c r="C2705" s="63" t="s">
        <v>3833</v>
      </c>
      <c r="D2705" s="60">
        <v>38606593320</v>
      </c>
      <c r="E2705" s="9">
        <v>262</v>
      </c>
      <c r="F2705" s="25">
        <v>43160</v>
      </c>
      <c r="G2705" s="61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62" t="s">
        <v>3834</v>
      </c>
      <c r="B2706" s="58">
        <v>1856821897</v>
      </c>
      <c r="C2706" s="63"/>
      <c r="D2706" s="60"/>
      <c r="E2706" s="9"/>
      <c r="F2706" s="25"/>
      <c r="G2706" s="61"/>
      <c r="H2706" s="9"/>
      <c r="I2706" s="8"/>
      <c r="J2706" s="8"/>
      <c r="K2706" s="8"/>
      <c r="L2706" s="8"/>
      <c r="M2706" s="8"/>
    </row>
    <row r="2707" spans="1:13">
      <c r="A2707" s="15" t="s">
        <v>3835</v>
      </c>
      <c r="B2707" s="58">
        <v>93785780630</v>
      </c>
      <c r="C2707" s="63"/>
      <c r="D2707" s="60"/>
      <c r="E2707" s="9">
        <v>292</v>
      </c>
      <c r="F2707" s="25">
        <v>43168</v>
      </c>
      <c r="G2707" s="61" t="s">
        <v>13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62" t="s">
        <v>3836</v>
      </c>
      <c r="B2708" s="58">
        <v>29475815805</v>
      </c>
      <c r="C2708" s="63"/>
      <c r="D2708" s="60"/>
      <c r="E2708" s="9">
        <v>1555</v>
      </c>
      <c r="F2708" s="25">
        <v>43049</v>
      </c>
      <c r="G2708" s="61" t="s">
        <v>13</v>
      </c>
      <c r="H2708" s="9"/>
      <c r="I2708" s="8"/>
      <c r="J2708" s="8"/>
      <c r="K2708" s="8"/>
      <c r="L2708" s="9" t="s">
        <v>398</v>
      </c>
      <c r="M2708" s="8"/>
    </row>
    <row r="2709" spans="1:13">
      <c r="A2709" s="62" t="s">
        <v>3837</v>
      </c>
      <c r="B2709" s="58">
        <v>32897500867</v>
      </c>
      <c r="C2709" s="63"/>
      <c r="D2709" s="60"/>
      <c r="E2709" s="9">
        <v>292</v>
      </c>
      <c r="F2709" s="25">
        <v>43168</v>
      </c>
      <c r="G2709" s="61" t="s">
        <v>13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62" t="s">
        <v>3838</v>
      </c>
      <c r="B2710" s="58">
        <v>14337129898</v>
      </c>
      <c r="C2710" s="68" t="s">
        <v>3839</v>
      </c>
      <c r="D2710" s="60">
        <v>4016271606</v>
      </c>
      <c r="E2710" s="9"/>
      <c r="F2710" s="25"/>
      <c r="G2710" s="61"/>
      <c r="H2710" s="9"/>
      <c r="I2710" s="8"/>
      <c r="J2710" s="8"/>
      <c r="K2710" s="8"/>
      <c r="L2710" s="8"/>
      <c r="M2710" s="8"/>
    </row>
    <row r="2711" spans="1:13">
      <c r="A2711" s="13" t="s">
        <v>3840</v>
      </c>
      <c r="B2711" s="58">
        <v>32287555846</v>
      </c>
      <c r="C2711" s="59"/>
      <c r="D2711" s="60"/>
      <c r="E2711" s="9">
        <v>1128</v>
      </c>
      <c r="F2711" s="25">
        <v>42972</v>
      </c>
      <c r="G2711" s="61" t="s">
        <v>13</v>
      </c>
      <c r="H2711" s="25">
        <v>42979</v>
      </c>
      <c r="I2711" s="8"/>
      <c r="J2711" s="8"/>
      <c r="K2711" s="8"/>
      <c r="L2711" s="8"/>
      <c r="M2711" s="8"/>
    </row>
    <row r="2712" spans="1:13">
      <c r="A2712" s="62" t="s">
        <v>3841</v>
      </c>
      <c r="B2712" s="58">
        <v>37793218825</v>
      </c>
      <c r="C2712" s="63"/>
      <c r="D2712" s="60"/>
      <c r="E2712" s="9">
        <v>262</v>
      </c>
      <c r="F2712" s="25">
        <v>43160</v>
      </c>
      <c r="G2712" s="61" t="s">
        <v>13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62" t="s">
        <v>3842</v>
      </c>
      <c r="B2713" s="58">
        <v>36804287827</v>
      </c>
      <c r="C2713" s="63"/>
      <c r="D2713" s="60"/>
      <c r="E2713" s="9"/>
      <c r="F2713" s="25"/>
      <c r="G2713" s="61"/>
      <c r="H2713" s="9"/>
      <c r="I2713" s="8"/>
      <c r="J2713" s="8"/>
      <c r="K2713" s="8"/>
      <c r="L2713" s="8"/>
      <c r="M2713" s="8"/>
    </row>
    <row r="2714" spans="1:13">
      <c r="A2714" s="62" t="s">
        <v>3843</v>
      </c>
      <c r="B2714" s="58">
        <v>69308152415</v>
      </c>
      <c r="C2714" s="63"/>
      <c r="D2714" s="60"/>
      <c r="E2714" s="9"/>
      <c r="F2714" s="25"/>
      <c r="G2714" s="61"/>
      <c r="H2714" s="9"/>
      <c r="I2714" s="8"/>
      <c r="J2714" s="8"/>
      <c r="K2714" s="8"/>
      <c r="L2714" s="8"/>
      <c r="M2714" s="8"/>
    </row>
    <row r="2715" spans="1:13">
      <c r="A2715" s="62" t="s">
        <v>3844</v>
      </c>
      <c r="B2715" s="58">
        <v>64152375434</v>
      </c>
      <c r="C2715" s="63"/>
      <c r="D2715" s="60"/>
      <c r="E2715" s="9">
        <v>1267</v>
      </c>
      <c r="F2715" s="25">
        <v>42998</v>
      </c>
      <c r="G2715" s="61" t="s">
        <v>13</v>
      </c>
      <c r="H2715" s="25">
        <v>43000</v>
      </c>
      <c r="I2715" s="8"/>
      <c r="J2715" s="8"/>
      <c r="K2715" s="8"/>
      <c r="L2715" s="8"/>
      <c r="M2715" s="8"/>
    </row>
    <row r="2716" spans="1:13">
      <c r="A2716" s="62" t="s">
        <v>3845</v>
      </c>
      <c r="B2716" s="58">
        <v>44013455846</v>
      </c>
      <c r="C2716" s="64"/>
      <c r="D2716" s="60"/>
      <c r="E2716" s="9">
        <v>573</v>
      </c>
      <c r="F2716" s="25">
        <v>43224</v>
      </c>
      <c r="G2716" s="61"/>
      <c r="H2716" s="9"/>
      <c r="I2716" s="8"/>
      <c r="J2716" s="8"/>
      <c r="K2716" s="8"/>
      <c r="L2716" s="8"/>
      <c r="M2716" s="8"/>
    </row>
    <row r="2717" spans="1:13">
      <c r="A2717" s="62" t="s">
        <v>3846</v>
      </c>
      <c r="B2717" s="58">
        <v>44712669349</v>
      </c>
      <c r="C2717" s="63"/>
      <c r="D2717" s="60"/>
      <c r="E2717" s="9"/>
      <c r="F2717" s="25"/>
      <c r="G2717" s="61"/>
      <c r="H2717" s="9"/>
      <c r="I2717" s="8"/>
      <c r="J2717" s="8"/>
      <c r="K2717" s="8"/>
      <c r="L2717" s="8"/>
      <c r="M2717" s="8"/>
    </row>
    <row r="2718" spans="1:13">
      <c r="A2718" s="13" t="s">
        <v>3847</v>
      </c>
      <c r="B2718" s="58">
        <v>53615859804</v>
      </c>
      <c r="C2718" s="63"/>
      <c r="D2718" s="60"/>
      <c r="E2718" s="9">
        <v>1752</v>
      </c>
      <c r="F2718" s="25">
        <v>43051</v>
      </c>
      <c r="G2718" s="61" t="s">
        <v>28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62" t="s">
        <v>3848</v>
      </c>
      <c r="B2719" s="58">
        <v>12521312835</v>
      </c>
      <c r="C2719" s="63"/>
      <c r="D2719" s="60"/>
      <c r="E2719" s="9">
        <v>85</v>
      </c>
      <c r="F2719" s="25">
        <v>43109</v>
      </c>
      <c r="G2719" s="61" t="s">
        <v>13</v>
      </c>
      <c r="H2719" s="25">
        <v>43151</v>
      </c>
      <c r="I2719" s="8"/>
      <c r="J2719" s="8"/>
      <c r="K2719" s="8"/>
      <c r="L2719" s="8"/>
      <c r="M2719" s="8"/>
    </row>
    <row r="2720" spans="1:13">
      <c r="A2720" s="62" t="s">
        <v>3849</v>
      </c>
      <c r="B2720" s="58">
        <v>38482003844</v>
      </c>
      <c r="C2720" s="63" t="s">
        <v>3850</v>
      </c>
      <c r="D2720" s="60">
        <v>34337869840</v>
      </c>
      <c r="E2720" s="9">
        <v>117</v>
      </c>
      <c r="F2720" s="25">
        <v>43117</v>
      </c>
      <c r="G2720" s="61" t="s">
        <v>13</v>
      </c>
      <c r="H2720" s="25">
        <v>43151</v>
      </c>
      <c r="I2720" s="8"/>
      <c r="J2720" s="8"/>
      <c r="K2720" s="8"/>
      <c r="L2720" s="9" t="s">
        <v>170</v>
      </c>
      <c r="M2720" s="8"/>
    </row>
    <row r="2721" spans="1:13">
      <c r="A2721" s="62" t="s">
        <v>3851</v>
      </c>
      <c r="B2721" s="58">
        <v>30880201886</v>
      </c>
      <c r="C2721" s="63"/>
      <c r="D2721" s="60"/>
      <c r="E2721" s="9"/>
      <c r="F2721" s="25"/>
      <c r="G2721" s="61"/>
      <c r="H2721" s="9"/>
      <c r="I2721" s="8"/>
      <c r="J2721" s="8"/>
      <c r="K2721" s="8"/>
      <c r="L2721" s="8"/>
      <c r="M2721" s="8"/>
    </row>
    <row r="2722" spans="1:13">
      <c r="A2722" s="14" t="s">
        <v>3852</v>
      </c>
      <c r="B2722" s="58">
        <v>33079736818</v>
      </c>
      <c r="C2722" s="63" t="s">
        <v>3853</v>
      </c>
      <c r="D2722" s="60">
        <v>35642667807</v>
      </c>
      <c r="E2722" s="9">
        <v>262</v>
      </c>
      <c r="F2722" s="25">
        <v>43160</v>
      </c>
      <c r="G2722" s="61" t="s">
        <v>13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3854</v>
      </c>
      <c r="B2723" s="58">
        <v>22630792897</v>
      </c>
      <c r="C2723" s="63"/>
      <c r="D2723" s="60"/>
      <c r="E2723" s="9"/>
      <c r="F2723" s="25"/>
      <c r="G2723" s="61"/>
      <c r="H2723" s="9"/>
      <c r="I2723" s="8"/>
      <c r="J2723" s="8"/>
      <c r="K2723" s="8"/>
      <c r="L2723" s="8"/>
      <c r="M2723" s="8"/>
    </row>
    <row r="2724" spans="1:13">
      <c r="A2724" s="62" t="s">
        <v>3855</v>
      </c>
      <c r="B2724" s="58">
        <v>31620090813</v>
      </c>
      <c r="C2724" s="63" t="s">
        <v>3856</v>
      </c>
      <c r="D2724" s="60">
        <v>29977379823</v>
      </c>
      <c r="E2724" s="9"/>
      <c r="F2724" s="25"/>
      <c r="G2724" s="61"/>
      <c r="H2724" s="9"/>
      <c r="I2724" s="8"/>
      <c r="J2724" s="8"/>
      <c r="K2724" s="8"/>
      <c r="L2724" s="8"/>
      <c r="M2724" s="8"/>
    </row>
    <row r="2725" spans="1:13">
      <c r="A2725" s="62" t="s">
        <v>3857</v>
      </c>
      <c r="B2725" s="58">
        <v>39621579805</v>
      </c>
      <c r="C2725" s="68" t="s">
        <v>3858</v>
      </c>
      <c r="D2725" s="60">
        <v>32395887811</v>
      </c>
      <c r="E2725" s="9"/>
      <c r="F2725" s="25"/>
      <c r="G2725" s="61"/>
      <c r="H2725" s="9"/>
      <c r="I2725" s="8"/>
      <c r="J2725" s="8"/>
      <c r="K2725" s="8"/>
      <c r="L2725" s="8"/>
      <c r="M2725" s="8"/>
    </row>
    <row r="2726" spans="1:13">
      <c r="A2726" s="15" t="s">
        <v>3859</v>
      </c>
      <c r="B2726" s="58">
        <v>221267328</v>
      </c>
      <c r="C2726" s="63" t="s">
        <v>3860</v>
      </c>
      <c r="D2726" s="60">
        <v>98610830306</v>
      </c>
      <c r="E2726" s="9">
        <v>85</v>
      </c>
      <c r="F2726" s="25">
        <v>43109</v>
      </c>
      <c r="G2726" s="61" t="s">
        <v>13</v>
      </c>
      <c r="H2726" s="25">
        <v>43151</v>
      </c>
      <c r="I2726" s="8"/>
      <c r="J2726" s="8"/>
      <c r="K2726" s="8"/>
      <c r="L2726" s="8"/>
      <c r="M2726" s="8"/>
    </row>
    <row r="2727" spans="1:13">
      <c r="A2727" s="62" t="s">
        <v>3861</v>
      </c>
      <c r="B2727" s="58">
        <v>35706262888</v>
      </c>
      <c r="C2727" s="62" t="s">
        <v>3862</v>
      </c>
      <c r="D2727" s="60">
        <v>28992397836</v>
      </c>
      <c r="E2727" s="9">
        <v>292</v>
      </c>
      <c r="F2727" s="25">
        <v>43168</v>
      </c>
      <c r="G2727" s="9" t="s">
        <v>13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62" t="s">
        <v>3863</v>
      </c>
      <c r="B2728" s="58">
        <v>57260133520</v>
      </c>
      <c r="C2728" s="63"/>
      <c r="D2728" s="60"/>
      <c r="E2728" s="9">
        <v>810</v>
      </c>
      <c r="F2728" s="25">
        <v>42915</v>
      </c>
      <c r="G2728" s="61" t="s">
        <v>13</v>
      </c>
      <c r="H2728" s="25">
        <v>42921</v>
      </c>
      <c r="I2728" s="8"/>
      <c r="J2728" s="8"/>
      <c r="K2728" s="8"/>
      <c r="L2728" s="9" t="s">
        <v>138</v>
      </c>
      <c r="M2728" s="8"/>
    </row>
    <row r="2729" spans="1:13">
      <c r="A2729" s="62" t="s">
        <v>3864</v>
      </c>
      <c r="B2729" s="58">
        <v>25105431804</v>
      </c>
      <c r="C2729" s="63"/>
      <c r="D2729" s="60"/>
      <c r="E2729" s="9">
        <v>1350</v>
      </c>
      <c r="F2729" s="25">
        <v>43006</v>
      </c>
      <c r="G2729" s="61" t="s">
        <v>13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3865</v>
      </c>
      <c r="B2730" s="58">
        <v>98729586534</v>
      </c>
      <c r="C2730" s="63"/>
      <c r="D2730" s="60"/>
      <c r="E2730" s="9">
        <v>573</v>
      </c>
      <c r="F2730" s="25">
        <v>43224</v>
      </c>
      <c r="G2730" s="61"/>
      <c r="H2730" s="9"/>
      <c r="I2730" s="8"/>
      <c r="J2730" s="8"/>
      <c r="K2730" s="8"/>
      <c r="L2730" s="8"/>
      <c r="M2730" s="8"/>
    </row>
    <row r="2731" spans="1:13">
      <c r="A2731" s="15" t="s">
        <v>3866</v>
      </c>
      <c r="B2731" s="58">
        <v>25376099806</v>
      </c>
      <c r="C2731" s="63"/>
      <c r="D2731" s="60"/>
      <c r="E2731" s="9">
        <v>262</v>
      </c>
      <c r="F2731" s="25">
        <v>43160</v>
      </c>
      <c r="G2731" s="61" t="s">
        <v>13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62" t="s">
        <v>3867</v>
      </c>
      <c r="B2732" s="58">
        <v>41958754803</v>
      </c>
      <c r="C2732" s="63"/>
      <c r="D2732" s="60"/>
      <c r="E2732" s="9"/>
      <c r="F2732" s="25"/>
      <c r="G2732" s="61"/>
      <c r="H2732" s="9"/>
      <c r="I2732" s="8"/>
      <c r="J2732" s="8"/>
      <c r="K2732" s="8"/>
      <c r="L2732" s="8"/>
      <c r="M2732" s="8"/>
    </row>
    <row r="2733" spans="1:13">
      <c r="A2733" s="18" t="s">
        <v>3868</v>
      </c>
      <c r="B2733" s="58">
        <v>8644680838</v>
      </c>
      <c r="C2733" s="18"/>
      <c r="D2733" s="60"/>
      <c r="E2733" s="9"/>
      <c r="F2733" s="25"/>
      <c r="G2733" s="61"/>
      <c r="H2733" s="9"/>
      <c r="I2733" s="8"/>
      <c r="J2733" s="8"/>
      <c r="K2733" s="8"/>
      <c r="L2733" s="8"/>
      <c r="M2733" s="8"/>
    </row>
    <row r="2734" spans="1:13">
      <c r="A2734" s="30" t="s">
        <v>3869</v>
      </c>
      <c r="B2734" s="58">
        <v>34393827880</v>
      </c>
      <c r="C2734" s="63" t="s">
        <v>3870</v>
      </c>
      <c r="D2734" s="60">
        <v>32655308840</v>
      </c>
      <c r="E2734" s="9"/>
      <c r="F2734" s="25"/>
      <c r="G2734" s="61"/>
      <c r="H2734" s="9"/>
      <c r="I2734" s="8"/>
      <c r="J2734" s="8"/>
      <c r="K2734" s="8"/>
      <c r="L2734" s="8"/>
      <c r="M2734" s="8"/>
    </row>
    <row r="2735" spans="1:13">
      <c r="A2735" s="62" t="s">
        <v>3871</v>
      </c>
      <c r="B2735" s="58">
        <v>78717574315</v>
      </c>
      <c r="C2735" s="63"/>
      <c r="D2735" s="60"/>
      <c r="E2735" s="9"/>
      <c r="F2735" s="25"/>
      <c r="G2735" s="61"/>
      <c r="H2735" s="9"/>
      <c r="I2735" s="8"/>
      <c r="J2735" s="8"/>
      <c r="K2735" s="8"/>
      <c r="L2735" s="8"/>
      <c r="M2735" s="8"/>
    </row>
    <row r="2736" spans="1:13">
      <c r="A2736" s="62" t="s">
        <v>3872</v>
      </c>
      <c r="B2736" s="58">
        <v>35679630826</v>
      </c>
      <c r="C2736" s="63" t="s">
        <v>3873</v>
      </c>
      <c r="D2736" s="60">
        <v>34083542861</v>
      </c>
      <c r="E2736" s="9">
        <v>1752</v>
      </c>
      <c r="F2736" s="25">
        <v>43051</v>
      </c>
      <c r="G2736" s="61" t="s">
        <v>13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3874</v>
      </c>
      <c r="B2737" s="58">
        <v>34949006800</v>
      </c>
      <c r="C2737" s="18" t="s">
        <v>3875</v>
      </c>
      <c r="D2737" s="60">
        <v>27568068897</v>
      </c>
      <c r="E2737" s="9"/>
      <c r="F2737" s="25"/>
      <c r="G2737" s="61"/>
      <c r="H2737" s="9"/>
      <c r="I2737" s="8"/>
      <c r="J2737" s="8"/>
      <c r="K2737" s="8"/>
      <c r="L2737" s="8"/>
      <c r="M2737" s="8"/>
    </row>
    <row r="2738" spans="1:13">
      <c r="A2738" s="15" t="s">
        <v>3876</v>
      </c>
      <c r="B2738" s="58">
        <v>1157524559</v>
      </c>
      <c r="C2738" s="63" t="s">
        <v>3877</v>
      </c>
      <c r="D2738" s="60">
        <v>1436524512</v>
      </c>
      <c r="E2738" s="9">
        <v>117</v>
      </c>
      <c r="F2738" s="25">
        <v>43117</v>
      </c>
      <c r="G2738" s="61" t="s">
        <v>20</v>
      </c>
      <c r="H2738" s="25">
        <v>43151</v>
      </c>
      <c r="I2738" s="8"/>
      <c r="J2738" s="8"/>
      <c r="K2738" s="8"/>
      <c r="L2738" s="9" t="s">
        <v>170</v>
      </c>
      <c r="M2738" s="8"/>
    </row>
    <row r="2739" spans="1:13">
      <c r="A2739" s="62" t="s">
        <v>3878</v>
      </c>
      <c r="B2739" s="58">
        <v>16488023896</v>
      </c>
      <c r="C2739" s="63"/>
      <c r="D2739" s="60"/>
      <c r="E2739" s="9">
        <v>292</v>
      </c>
      <c r="F2739" s="25">
        <v>43168</v>
      </c>
      <c r="G2739" s="61" t="s">
        <v>13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62" t="s">
        <v>3879</v>
      </c>
      <c r="B2740" s="58">
        <v>23540857885</v>
      </c>
      <c r="C2740" s="63"/>
      <c r="D2740" s="60"/>
      <c r="E2740" s="9">
        <v>1241</v>
      </c>
      <c r="F2740" s="25">
        <v>42992</v>
      </c>
      <c r="G2740" s="61" t="s">
        <v>13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3880</v>
      </c>
      <c r="B2741" s="58">
        <v>46700374391</v>
      </c>
      <c r="C2741" s="63"/>
      <c r="D2741" s="60"/>
      <c r="E2741" s="9">
        <v>262</v>
      </c>
      <c r="F2741" s="25">
        <v>43160</v>
      </c>
      <c r="G2741" s="61" t="s">
        <v>13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7" t="s">
        <v>3881</v>
      </c>
      <c r="B2742" s="58">
        <v>21686263830</v>
      </c>
      <c r="C2742" s="27" t="s">
        <v>3882</v>
      </c>
      <c r="D2742" s="60">
        <v>13577537809</v>
      </c>
      <c r="E2742" s="9"/>
      <c r="F2742" s="25"/>
      <c r="G2742" s="61"/>
      <c r="H2742" s="9"/>
      <c r="I2742" s="8"/>
      <c r="J2742" s="8"/>
      <c r="K2742" s="8"/>
      <c r="L2742" s="8"/>
      <c r="M2742" s="8"/>
    </row>
    <row r="2743" spans="1:13">
      <c r="A2743" s="18" t="s">
        <v>3883</v>
      </c>
      <c r="B2743" s="58">
        <v>22497995800</v>
      </c>
      <c r="C2743" s="18" t="s">
        <v>3884</v>
      </c>
      <c r="D2743" s="60">
        <v>37991860850</v>
      </c>
      <c r="E2743" s="9"/>
      <c r="F2743" s="25"/>
      <c r="G2743" s="61"/>
      <c r="H2743" s="9"/>
      <c r="I2743" s="8"/>
      <c r="J2743" s="8"/>
      <c r="K2743" s="8"/>
      <c r="L2743" s="8"/>
      <c r="M2743" s="8"/>
    </row>
    <row r="2744" spans="1:13">
      <c r="A2744" s="15" t="s">
        <v>3885</v>
      </c>
      <c r="B2744" s="58">
        <v>40856820830</v>
      </c>
      <c r="C2744" s="63"/>
      <c r="D2744" s="60"/>
      <c r="E2744" s="9">
        <v>229</v>
      </c>
      <c r="F2744" s="25">
        <v>43151</v>
      </c>
      <c r="G2744" s="61" t="s">
        <v>13</v>
      </c>
      <c r="H2744" s="9"/>
      <c r="I2744" s="8"/>
      <c r="J2744" s="8"/>
      <c r="K2744" s="8"/>
      <c r="L2744" s="9">
        <v>232</v>
      </c>
      <c r="M2744" s="8"/>
    </row>
    <row r="2745" spans="1:13">
      <c r="A2745" s="27" t="s">
        <v>3886</v>
      </c>
      <c r="B2745" s="58">
        <v>30637750888</v>
      </c>
      <c r="C2745" s="27"/>
      <c r="D2745" s="60"/>
      <c r="E2745" s="9"/>
      <c r="F2745" s="25"/>
      <c r="G2745" s="61"/>
      <c r="H2745" s="9"/>
      <c r="I2745" s="8"/>
      <c r="J2745" s="8"/>
      <c r="K2745" s="8"/>
      <c r="L2745" s="8"/>
      <c r="M2745" s="8"/>
    </row>
    <row r="2746" spans="1:13">
      <c r="A2746" s="62" t="s">
        <v>3887</v>
      </c>
      <c r="B2746" s="58">
        <v>40291692877</v>
      </c>
      <c r="C2746" s="63" t="s">
        <v>3888</v>
      </c>
      <c r="D2746" s="60">
        <v>1566073367</v>
      </c>
      <c r="E2746" s="9">
        <v>810</v>
      </c>
      <c r="F2746" s="25">
        <v>42915</v>
      </c>
      <c r="G2746" s="61" t="s">
        <v>13</v>
      </c>
      <c r="H2746" s="25">
        <v>42921</v>
      </c>
      <c r="I2746" s="8"/>
      <c r="J2746" s="8"/>
      <c r="K2746" s="8"/>
      <c r="L2746" s="9" t="s">
        <v>138</v>
      </c>
      <c r="M2746" s="8"/>
    </row>
    <row r="2747" spans="1:13">
      <c r="A2747" s="63" t="s">
        <v>3889</v>
      </c>
      <c r="B2747" s="58">
        <v>11767064896</v>
      </c>
      <c r="C2747" s="63" t="s">
        <v>3890</v>
      </c>
      <c r="D2747" s="60">
        <v>7473492829</v>
      </c>
      <c r="E2747" s="9"/>
      <c r="F2747" s="25"/>
      <c r="G2747" s="61"/>
      <c r="H2747" s="9"/>
      <c r="I2747" s="8"/>
      <c r="J2747" s="8"/>
      <c r="K2747" s="8"/>
      <c r="L2747" s="8"/>
      <c r="M2747" s="8"/>
    </row>
    <row r="2748" spans="1:13">
      <c r="A2748" s="13" t="s">
        <v>3891</v>
      </c>
      <c r="B2748" s="58">
        <v>28793949880</v>
      </c>
      <c r="C2748" s="59"/>
      <c r="D2748" s="60"/>
      <c r="E2748" s="9">
        <v>1128</v>
      </c>
      <c r="F2748" s="25">
        <v>42972</v>
      </c>
      <c r="G2748" s="61" t="s">
        <v>13</v>
      </c>
      <c r="H2748" s="25">
        <v>42979</v>
      </c>
      <c r="I2748" s="8"/>
      <c r="J2748" s="8"/>
      <c r="K2748" s="8"/>
      <c r="L2748" s="8"/>
      <c r="M2748" s="8"/>
    </row>
    <row r="2749" spans="1:13">
      <c r="A2749" s="62" t="s">
        <v>3892</v>
      </c>
      <c r="B2749" s="58">
        <v>49009893391</v>
      </c>
      <c r="C2749" s="63" t="s">
        <v>3893</v>
      </c>
      <c r="D2749" s="60">
        <v>37349813368</v>
      </c>
      <c r="E2749" s="9">
        <v>292</v>
      </c>
      <c r="F2749" s="25">
        <v>43168</v>
      </c>
      <c r="G2749" s="61" t="s">
        <v>13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3894</v>
      </c>
      <c r="B2750" s="58">
        <v>92361587572</v>
      </c>
      <c r="C2750" s="63" t="s">
        <v>3895</v>
      </c>
      <c r="D2750" s="60">
        <v>26270097886</v>
      </c>
      <c r="E2750" s="9"/>
      <c r="F2750" s="25"/>
      <c r="G2750" s="61"/>
      <c r="H2750" s="9"/>
      <c r="I2750" s="8"/>
      <c r="J2750" s="8"/>
      <c r="K2750" s="8"/>
      <c r="L2750" s="8"/>
      <c r="M2750" s="8"/>
    </row>
    <row r="2751" spans="1:13">
      <c r="A2751" s="62" t="s">
        <v>3896</v>
      </c>
      <c r="B2751" s="58">
        <v>17487435890</v>
      </c>
      <c r="C2751" s="63" t="s">
        <v>3897</v>
      </c>
      <c r="D2751" s="60">
        <v>2388809312</v>
      </c>
      <c r="E2751" s="9"/>
      <c r="F2751" s="25"/>
      <c r="G2751" s="61"/>
      <c r="H2751" s="9"/>
      <c r="I2751" s="8"/>
      <c r="J2751" s="8"/>
      <c r="K2751" s="8"/>
      <c r="L2751" s="8"/>
      <c r="M2751" s="8"/>
    </row>
    <row r="2752" spans="1:13">
      <c r="A2752" s="62" t="s">
        <v>3898</v>
      </c>
      <c r="B2752" s="58">
        <v>26377102844</v>
      </c>
      <c r="C2752" s="63"/>
      <c r="D2752" s="60"/>
      <c r="E2752" s="9">
        <v>292</v>
      </c>
      <c r="F2752" s="25">
        <v>43168</v>
      </c>
      <c r="G2752" s="61" t="s">
        <v>13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3899</v>
      </c>
      <c r="B2753" s="58">
        <v>86815121615</v>
      </c>
      <c r="C2753" s="63" t="s">
        <v>3900</v>
      </c>
      <c r="D2753" s="60">
        <v>12711690881</v>
      </c>
      <c r="E2753" s="9"/>
      <c r="F2753" s="25"/>
      <c r="G2753" s="61"/>
      <c r="H2753" s="9"/>
      <c r="I2753" s="8"/>
      <c r="J2753" s="8"/>
      <c r="K2753" s="8"/>
      <c r="L2753" s="8"/>
      <c r="M2753" s="8"/>
    </row>
    <row r="2754" spans="1:13">
      <c r="A2754" s="14" t="s">
        <v>3901</v>
      </c>
      <c r="B2754" s="58">
        <v>25711316800</v>
      </c>
      <c r="C2754" s="63"/>
      <c r="D2754" s="60"/>
      <c r="E2754" s="9"/>
      <c r="F2754" s="25"/>
      <c r="G2754" s="61"/>
      <c r="H2754" s="9"/>
      <c r="I2754" s="8"/>
      <c r="J2754" s="8"/>
      <c r="K2754" s="8"/>
      <c r="L2754" s="8"/>
      <c r="M2754" s="8"/>
    </row>
    <row r="2755" spans="1:13">
      <c r="A2755" s="18" t="s">
        <v>3902</v>
      </c>
      <c r="B2755" s="58">
        <v>25793953850</v>
      </c>
      <c r="C2755" s="18"/>
      <c r="D2755" s="60"/>
      <c r="E2755" s="9"/>
      <c r="F2755" s="25"/>
      <c r="G2755" s="61"/>
      <c r="H2755" s="9"/>
      <c r="I2755" s="8"/>
      <c r="J2755" s="8"/>
      <c r="K2755" s="8"/>
      <c r="L2755" s="8"/>
      <c r="M2755" s="8"/>
    </row>
    <row r="2756" spans="1:13">
      <c r="A2756" s="62" t="s">
        <v>3903</v>
      </c>
      <c r="B2756" s="58">
        <v>22625355824</v>
      </c>
      <c r="C2756" s="63"/>
      <c r="D2756" s="60"/>
      <c r="E2756" s="9">
        <v>810</v>
      </c>
      <c r="F2756" s="25">
        <v>42915</v>
      </c>
      <c r="G2756" s="61" t="s">
        <v>13</v>
      </c>
      <c r="H2756" s="25">
        <v>42921</v>
      </c>
      <c r="I2756" s="8"/>
      <c r="J2756" s="8"/>
      <c r="K2756" s="8"/>
      <c r="L2756" s="9" t="s">
        <v>138</v>
      </c>
      <c r="M2756" s="8"/>
    </row>
    <row r="2757" spans="1:13">
      <c r="A2757" s="63" t="s">
        <v>3904</v>
      </c>
      <c r="B2757" s="58">
        <v>25261161800</v>
      </c>
      <c r="C2757" s="63" t="s">
        <v>3905</v>
      </c>
      <c r="D2757" s="60">
        <v>11384693866</v>
      </c>
      <c r="E2757" s="9"/>
      <c r="F2757" s="25"/>
      <c r="G2757" s="61"/>
      <c r="H2757" s="9"/>
      <c r="I2757" s="8"/>
      <c r="J2757" s="8"/>
      <c r="K2757" s="8"/>
      <c r="L2757" s="8"/>
      <c r="M2757" s="8"/>
    </row>
    <row r="2758" spans="1:13">
      <c r="A2758" s="15" t="s">
        <v>3906</v>
      </c>
      <c r="B2758" s="58">
        <v>41710847840</v>
      </c>
      <c r="C2758" s="63"/>
      <c r="D2758" s="60"/>
      <c r="E2758" s="9">
        <v>117</v>
      </c>
      <c r="F2758" s="25">
        <v>43117</v>
      </c>
      <c r="G2758" s="61" t="s">
        <v>13</v>
      </c>
      <c r="H2758" s="25">
        <v>43151</v>
      </c>
      <c r="I2758" s="8"/>
      <c r="J2758" s="8"/>
      <c r="K2758" s="8"/>
      <c r="L2758" s="9" t="s">
        <v>170</v>
      </c>
      <c r="M2758" s="8"/>
    </row>
    <row r="2759" spans="1:13">
      <c r="A2759" s="62" t="s">
        <v>3907</v>
      </c>
      <c r="B2759" s="58">
        <v>36882893829</v>
      </c>
      <c r="C2759" s="63"/>
      <c r="D2759" s="60"/>
      <c r="E2759" s="9">
        <v>1128</v>
      </c>
      <c r="F2759" s="25">
        <v>42972</v>
      </c>
      <c r="G2759" s="61" t="s">
        <v>13</v>
      </c>
      <c r="H2759" s="25">
        <v>42979</v>
      </c>
      <c r="I2759" s="8"/>
      <c r="J2759" s="8"/>
      <c r="K2759" s="8"/>
      <c r="L2759" s="8"/>
      <c r="M2759" s="8"/>
    </row>
    <row r="2760" spans="1:13">
      <c r="A2760" s="62" t="s">
        <v>3908</v>
      </c>
      <c r="B2760" s="58">
        <v>28664626880</v>
      </c>
      <c r="C2760" s="63"/>
      <c r="D2760" s="60"/>
      <c r="E2760" s="9"/>
      <c r="F2760" s="25"/>
      <c r="G2760" s="61"/>
      <c r="H2760" s="9"/>
      <c r="I2760" s="8"/>
      <c r="J2760" s="8"/>
      <c r="K2760" s="8"/>
      <c r="L2760" s="8"/>
      <c r="M2760" s="8"/>
    </row>
    <row r="2761" spans="1:13">
      <c r="A2761" s="15" t="s">
        <v>3909</v>
      </c>
      <c r="B2761" s="58">
        <v>22638604879</v>
      </c>
      <c r="C2761" s="63" t="s">
        <v>3910</v>
      </c>
      <c r="D2761" s="60">
        <v>26693523838</v>
      </c>
      <c r="E2761" s="9"/>
      <c r="F2761" s="25"/>
      <c r="G2761" s="61"/>
      <c r="H2761" s="9"/>
      <c r="I2761" s="8"/>
      <c r="J2761" s="8"/>
      <c r="K2761" s="8"/>
      <c r="L2761" s="8"/>
      <c r="M2761" s="8"/>
    </row>
    <row r="2762" spans="1:13">
      <c r="A2762" s="19" t="s">
        <v>3911</v>
      </c>
      <c r="B2762" s="58" t="s">
        <v>3912</v>
      </c>
      <c r="C2762" s="18" t="s">
        <v>3913</v>
      </c>
      <c r="D2762" s="60">
        <v>29976188862</v>
      </c>
      <c r="E2762" s="9"/>
      <c r="F2762" s="25"/>
      <c r="G2762" s="61"/>
      <c r="H2762" s="9"/>
      <c r="I2762" s="8"/>
      <c r="J2762" s="8"/>
      <c r="K2762" s="8"/>
      <c r="L2762" s="8"/>
      <c r="M2762" s="8"/>
    </row>
    <row r="2763" spans="1:13">
      <c r="A2763" s="62" t="s">
        <v>3914</v>
      </c>
      <c r="B2763" s="58">
        <v>21858442885</v>
      </c>
      <c r="C2763" s="63"/>
      <c r="D2763" s="60"/>
      <c r="E2763" s="9">
        <v>443</v>
      </c>
      <c r="F2763" s="25">
        <v>43188</v>
      </c>
      <c r="G2763" s="61"/>
      <c r="H2763" s="25">
        <v>43192</v>
      </c>
      <c r="I2763" s="8"/>
      <c r="J2763" s="8"/>
      <c r="K2763" s="8"/>
      <c r="L2763" s="8"/>
      <c r="M2763" s="8"/>
    </row>
    <row r="2764" spans="1:13">
      <c r="A2764" s="64" t="s">
        <v>3915</v>
      </c>
      <c r="B2764" s="58">
        <v>32880462886</v>
      </c>
      <c r="C2764" s="63" t="s">
        <v>3916</v>
      </c>
      <c r="D2764" s="60">
        <v>30845711806</v>
      </c>
      <c r="E2764" s="9">
        <v>810</v>
      </c>
      <c r="F2764" s="25">
        <v>42915</v>
      </c>
      <c r="G2764" s="61" t="s">
        <v>13</v>
      </c>
      <c r="H2764" s="25">
        <v>42921</v>
      </c>
      <c r="I2764" s="8"/>
      <c r="J2764" s="8"/>
      <c r="K2764" s="8"/>
      <c r="L2764" s="9" t="s">
        <v>138</v>
      </c>
      <c r="M2764" s="8"/>
    </row>
    <row r="2765" spans="1:13">
      <c r="A2765" s="27" t="s">
        <v>3917</v>
      </c>
      <c r="B2765" s="58">
        <v>31228758883</v>
      </c>
      <c r="C2765" s="27" t="s">
        <v>3918</v>
      </c>
      <c r="D2765" s="60">
        <v>31474664857</v>
      </c>
      <c r="E2765" s="9"/>
      <c r="F2765" s="25"/>
      <c r="G2765" s="61"/>
      <c r="H2765" s="9"/>
      <c r="I2765" s="8"/>
      <c r="J2765" s="8"/>
      <c r="K2765" s="8"/>
      <c r="L2765" s="8"/>
      <c r="M2765" s="8"/>
    </row>
    <row r="2766" spans="1:13">
      <c r="A2766" s="62" t="s">
        <v>3919</v>
      </c>
      <c r="B2766" s="58">
        <v>40443218846</v>
      </c>
      <c r="C2766" s="79" t="s">
        <v>3920</v>
      </c>
      <c r="D2766" s="60">
        <v>1891760599</v>
      </c>
      <c r="E2766" s="9"/>
      <c r="F2766" s="25"/>
      <c r="G2766" s="61"/>
      <c r="H2766" s="9"/>
      <c r="I2766" s="8"/>
      <c r="J2766" s="8"/>
      <c r="K2766" s="8"/>
      <c r="L2766" s="8"/>
      <c r="M2766" s="8"/>
    </row>
    <row r="2767" spans="1:13">
      <c r="A2767" s="14" t="s">
        <v>3921</v>
      </c>
      <c r="B2767" s="58">
        <v>39655589862</v>
      </c>
      <c r="C2767" s="63"/>
      <c r="D2767" s="60"/>
      <c r="E2767" s="9">
        <v>1752</v>
      </c>
      <c r="F2767" s="25">
        <v>43051</v>
      </c>
      <c r="G2767" s="74" t="s">
        <v>13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62" t="s">
        <v>3922</v>
      </c>
      <c r="B2768" s="58">
        <v>66227895415</v>
      </c>
      <c r="C2768" s="63"/>
      <c r="D2768" s="60"/>
      <c r="E2768" s="9">
        <v>292</v>
      </c>
      <c r="F2768" s="25">
        <v>43168</v>
      </c>
      <c r="G2768" s="61" t="s">
        <v>20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7" t="s">
        <v>3923</v>
      </c>
      <c r="B2769" s="58"/>
      <c r="C2769" s="27" t="s">
        <v>3924</v>
      </c>
      <c r="D2769" s="60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62" t="s">
        <v>3925</v>
      </c>
      <c r="B2770" s="58">
        <v>34462426860</v>
      </c>
      <c r="C2770" s="63" t="s">
        <v>3926</v>
      </c>
      <c r="D2770" s="60">
        <v>42694193854</v>
      </c>
      <c r="E2770" s="9">
        <v>563</v>
      </c>
      <c r="F2770" s="25">
        <v>43217</v>
      </c>
      <c r="G2770" s="61"/>
      <c r="H2770" s="25">
        <v>43234</v>
      </c>
      <c r="I2770" s="8"/>
      <c r="J2770" s="8"/>
      <c r="K2770" s="8"/>
      <c r="L2770" s="9" t="s">
        <v>299</v>
      </c>
      <c r="M2770" s="8"/>
    </row>
    <row r="2771" spans="1:13">
      <c r="A2771" s="15" t="s">
        <v>3927</v>
      </c>
      <c r="B2771" s="58">
        <v>37080495865</v>
      </c>
      <c r="C2771" s="63"/>
      <c r="D2771" s="60"/>
      <c r="E2771" s="9">
        <v>262</v>
      </c>
      <c r="F2771" s="25">
        <v>43160</v>
      </c>
      <c r="G2771" s="61" t="s">
        <v>13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62" t="s">
        <v>3928</v>
      </c>
      <c r="B2772" s="58">
        <v>39600488827</v>
      </c>
      <c r="C2772" s="63" t="s">
        <v>3929</v>
      </c>
      <c r="D2772" s="60">
        <v>34795746885</v>
      </c>
      <c r="E2772" s="9">
        <v>292</v>
      </c>
      <c r="F2772" s="25">
        <v>43168</v>
      </c>
      <c r="G2772" s="61" t="s">
        <v>13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62" t="s">
        <v>3930</v>
      </c>
      <c r="B2773" s="58">
        <v>38168297830</v>
      </c>
      <c r="C2773" s="63"/>
      <c r="D2773" s="60"/>
      <c r="E2773" s="9">
        <v>527</v>
      </c>
      <c r="F2773" s="25">
        <v>43210</v>
      </c>
      <c r="G2773" s="61"/>
      <c r="H2773" s="9"/>
      <c r="I2773" s="8"/>
      <c r="J2773" s="8"/>
      <c r="K2773" s="8"/>
      <c r="L2773" s="9">
        <v>528</v>
      </c>
      <c r="M2773" s="8"/>
    </row>
    <row r="2774" spans="1:13">
      <c r="A2774" s="62" t="s">
        <v>3931</v>
      </c>
      <c r="B2774" s="58">
        <v>28518826861</v>
      </c>
      <c r="C2774" s="63"/>
      <c r="D2774" s="60"/>
      <c r="E2774" s="9">
        <v>810</v>
      </c>
      <c r="F2774" s="25">
        <v>42915</v>
      </c>
      <c r="G2774" s="61" t="s">
        <v>28</v>
      </c>
      <c r="H2774" s="25">
        <v>42921</v>
      </c>
      <c r="I2774" s="8"/>
      <c r="J2774" s="8"/>
      <c r="K2774" s="8"/>
      <c r="L2774" s="9" t="s">
        <v>138</v>
      </c>
      <c r="M2774" s="8"/>
    </row>
    <row r="2775" spans="1:13">
      <c r="A2775" s="62" t="s">
        <v>3932</v>
      </c>
      <c r="B2775" s="58">
        <v>32768872822</v>
      </c>
      <c r="C2775" s="63" t="s">
        <v>3933</v>
      </c>
      <c r="D2775" s="60">
        <v>35447305888</v>
      </c>
      <c r="E2775" s="9"/>
      <c r="F2775" s="25"/>
      <c r="G2775" s="61"/>
      <c r="H2775" s="9"/>
      <c r="I2775" s="8"/>
      <c r="J2775" s="8"/>
      <c r="K2775" s="8"/>
      <c r="L2775" s="8"/>
      <c r="M2775" s="8"/>
    </row>
    <row r="2776" spans="1:13">
      <c r="A2776" s="62" t="s">
        <v>3934</v>
      </c>
      <c r="B2776" s="58">
        <v>9671869866</v>
      </c>
      <c r="C2776" s="63"/>
      <c r="D2776" s="60"/>
      <c r="E2776" s="9">
        <v>292</v>
      </c>
      <c r="F2776" s="25">
        <v>43168</v>
      </c>
      <c r="G2776" s="9" t="s">
        <v>13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62" t="s">
        <v>3935</v>
      </c>
      <c r="B2777" s="58">
        <v>85942588104</v>
      </c>
      <c r="C2777" s="79" t="s">
        <v>3936</v>
      </c>
      <c r="D2777" s="60">
        <v>33938715871</v>
      </c>
      <c r="E2777" s="9"/>
      <c r="F2777" s="25"/>
      <c r="G2777" s="88"/>
      <c r="H2777" s="9"/>
      <c r="I2777" s="8"/>
      <c r="J2777" s="8"/>
      <c r="K2777" s="8"/>
      <c r="L2777" s="8"/>
      <c r="M2777" s="8"/>
    </row>
    <row r="2778" spans="1:13">
      <c r="A2778" s="27" t="s">
        <v>3937</v>
      </c>
      <c r="B2778" s="58"/>
      <c r="C2778" s="27" t="s">
        <v>129</v>
      </c>
      <c r="D2778" s="60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62" t="s">
        <v>3938</v>
      </c>
      <c r="B2779" s="58">
        <v>9552611806</v>
      </c>
      <c r="C2779" s="63"/>
      <c r="D2779" s="60"/>
      <c r="E2779" s="9">
        <v>292</v>
      </c>
      <c r="F2779" s="25">
        <v>43168</v>
      </c>
      <c r="G2779" s="9" t="s">
        <v>13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3939</v>
      </c>
      <c r="B2780" s="58">
        <v>27876586449</v>
      </c>
      <c r="C2780" s="59"/>
      <c r="D2780" s="60"/>
      <c r="E2780" s="9">
        <v>1128</v>
      </c>
      <c r="F2780" s="25">
        <v>42972</v>
      </c>
      <c r="G2780" s="61" t="s">
        <v>13</v>
      </c>
      <c r="H2780" s="25">
        <v>42979</v>
      </c>
      <c r="I2780" s="8"/>
      <c r="J2780" s="8"/>
      <c r="K2780" s="8"/>
      <c r="L2780" s="8"/>
      <c r="M2780" s="8"/>
    </row>
    <row r="2781" spans="1:13">
      <c r="A2781" s="62" t="s">
        <v>3940</v>
      </c>
      <c r="B2781" s="58">
        <v>14337004840</v>
      </c>
      <c r="C2781" s="63"/>
      <c r="D2781" s="60"/>
      <c r="E2781" s="9"/>
      <c r="F2781" s="25"/>
      <c r="G2781" s="61"/>
      <c r="H2781" s="9"/>
      <c r="I2781" s="8"/>
      <c r="J2781" s="8"/>
      <c r="K2781" s="8"/>
      <c r="L2781" s="8"/>
      <c r="M2781" s="8"/>
    </row>
    <row r="2782" spans="1:13">
      <c r="A2782" s="18" t="s">
        <v>3941</v>
      </c>
      <c r="B2782" s="58">
        <v>16505587837</v>
      </c>
      <c r="C2782" s="18"/>
      <c r="D2782" s="60"/>
      <c r="E2782" s="9"/>
      <c r="F2782" s="25"/>
      <c r="G2782" s="61"/>
      <c r="H2782" s="9"/>
      <c r="I2782" s="8"/>
      <c r="J2782" s="8"/>
      <c r="K2782" s="8"/>
      <c r="L2782" s="8"/>
      <c r="M2782" s="8"/>
    </row>
    <row r="2783" spans="1:13">
      <c r="A2783" s="13" t="s">
        <v>3942</v>
      </c>
      <c r="B2783" s="58">
        <v>14271059870</v>
      </c>
      <c r="C2783" s="59"/>
      <c r="D2783" s="60"/>
      <c r="E2783" s="9">
        <v>1128</v>
      </c>
      <c r="F2783" s="25">
        <v>42972</v>
      </c>
      <c r="G2783" s="61" t="s">
        <v>13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3943</v>
      </c>
      <c r="B2784" s="58">
        <v>14249756890</v>
      </c>
      <c r="C2784" s="59"/>
      <c r="D2784" s="60"/>
      <c r="E2784" s="9">
        <v>1241</v>
      </c>
      <c r="F2784" s="25">
        <v>42992</v>
      </c>
      <c r="G2784" s="61" t="s">
        <v>13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3944</v>
      </c>
      <c r="B2785" s="58">
        <v>30834349876</v>
      </c>
      <c r="C2785" s="63" t="s">
        <v>3945</v>
      </c>
      <c r="D2785" s="60">
        <v>58355561520</v>
      </c>
      <c r="E2785" s="9">
        <v>262</v>
      </c>
      <c r="F2785" s="25">
        <v>43160</v>
      </c>
      <c r="G2785" s="61" t="s">
        <v>13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3946</v>
      </c>
      <c r="B2786" s="58">
        <v>32293775836</v>
      </c>
      <c r="C2786" s="63"/>
      <c r="D2786" s="60"/>
      <c r="E2786" s="9">
        <v>262</v>
      </c>
      <c r="F2786" s="25">
        <v>43160</v>
      </c>
      <c r="G2786" s="61" t="s">
        <v>13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62" t="s">
        <v>3947</v>
      </c>
      <c r="B2787" s="58">
        <v>25812751897</v>
      </c>
      <c r="C2787" s="63"/>
      <c r="D2787" s="60"/>
      <c r="E2787" s="9">
        <v>262</v>
      </c>
      <c r="F2787" s="25">
        <v>43160</v>
      </c>
      <c r="G2787" s="61" t="s">
        <v>20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62" t="s">
        <v>3948</v>
      </c>
      <c r="B2788" s="58">
        <v>22682142818</v>
      </c>
      <c r="C2788" s="63" t="s">
        <v>2748</v>
      </c>
      <c r="D2788" s="60">
        <v>22853401847</v>
      </c>
      <c r="E2788" s="9">
        <v>117</v>
      </c>
      <c r="F2788" s="25">
        <v>43117</v>
      </c>
      <c r="G2788" s="61" t="s">
        <v>13</v>
      </c>
      <c r="H2788" s="25">
        <v>43151</v>
      </c>
      <c r="I2788" s="8"/>
      <c r="J2788" s="8"/>
      <c r="K2788" s="8"/>
      <c r="L2788" s="9" t="s">
        <v>170</v>
      </c>
      <c r="M2788" s="8"/>
    </row>
    <row r="2789" spans="1:13">
      <c r="A2789" s="62" t="s">
        <v>3949</v>
      </c>
      <c r="B2789" s="58">
        <v>32700235886</v>
      </c>
      <c r="C2789" s="63" t="s">
        <v>3950</v>
      </c>
      <c r="D2789" s="60">
        <v>30542314886</v>
      </c>
      <c r="E2789" s="9">
        <v>292</v>
      </c>
      <c r="F2789" s="25">
        <v>43168</v>
      </c>
      <c r="G2789" s="61" t="s">
        <v>13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62" t="s">
        <v>3951</v>
      </c>
      <c r="B2790" s="58">
        <v>22543578838</v>
      </c>
      <c r="C2790" s="79"/>
      <c r="D2790" s="60"/>
      <c r="E2790" s="9"/>
      <c r="F2790" s="25"/>
      <c r="G2790" s="61"/>
      <c r="H2790" s="9"/>
      <c r="I2790" s="8"/>
      <c r="J2790" s="8"/>
      <c r="K2790" s="8"/>
      <c r="L2790" s="8"/>
      <c r="M2790" s="8"/>
    </row>
    <row r="2791" spans="1:13">
      <c r="A2791" s="62" t="s">
        <v>3952</v>
      </c>
      <c r="B2791" s="58">
        <v>12487731877</v>
      </c>
      <c r="C2791" s="63" t="s">
        <v>3953</v>
      </c>
      <c r="D2791" s="60">
        <v>61089869487</v>
      </c>
      <c r="E2791" s="9"/>
      <c r="F2791" s="25"/>
      <c r="G2791" s="61"/>
      <c r="H2791" s="9"/>
      <c r="I2791" s="8"/>
      <c r="J2791" s="8"/>
      <c r="K2791" s="8"/>
      <c r="L2791" s="8"/>
      <c r="M2791" s="8"/>
    </row>
    <row r="2792" spans="1:13">
      <c r="A2792" s="62" t="s">
        <v>3954</v>
      </c>
      <c r="B2792" s="58" t="s">
        <v>3955</v>
      </c>
      <c r="C2792" s="79" t="s">
        <v>3956</v>
      </c>
      <c r="D2792" s="60" t="s">
        <v>3957</v>
      </c>
      <c r="E2792" s="9"/>
      <c r="F2792" s="25"/>
      <c r="G2792" s="61"/>
      <c r="H2792" s="9"/>
      <c r="I2792" s="8"/>
      <c r="J2792" s="8"/>
      <c r="K2792" s="8"/>
      <c r="L2792" s="8"/>
      <c r="M2792" s="8"/>
    </row>
    <row r="2793" spans="1:13">
      <c r="A2793" s="62" t="s">
        <v>3958</v>
      </c>
      <c r="B2793" s="58">
        <v>42346617830</v>
      </c>
      <c r="C2793" s="63"/>
      <c r="D2793" s="60"/>
      <c r="E2793" s="9">
        <v>1267</v>
      </c>
      <c r="F2793" s="25">
        <v>42998</v>
      </c>
      <c r="G2793" s="61" t="s">
        <v>13</v>
      </c>
      <c r="H2793" s="25">
        <v>43000</v>
      </c>
      <c r="I2793" s="8"/>
      <c r="J2793" s="8"/>
      <c r="K2793" s="8"/>
      <c r="L2793" s="8"/>
      <c r="M2793" s="8"/>
    </row>
    <row r="2794" spans="1:13">
      <c r="A2794" s="62" t="s">
        <v>3959</v>
      </c>
      <c r="B2794" s="58">
        <v>35705436840</v>
      </c>
      <c r="C2794" s="79" t="s">
        <v>3960</v>
      </c>
      <c r="D2794" s="60">
        <v>42956816870</v>
      </c>
      <c r="E2794" s="9"/>
      <c r="F2794" s="25"/>
      <c r="G2794" s="61"/>
      <c r="H2794" s="9"/>
      <c r="I2794" s="8"/>
      <c r="J2794" s="8"/>
      <c r="K2794" s="8"/>
      <c r="L2794" s="8"/>
      <c r="M2794" s="8"/>
    </row>
    <row r="2795" spans="1:13">
      <c r="A2795" s="64" t="s">
        <v>3961</v>
      </c>
      <c r="B2795" s="58">
        <v>42565032854</v>
      </c>
      <c r="C2795" s="63"/>
      <c r="D2795" s="60"/>
      <c r="E2795" s="9">
        <v>608</v>
      </c>
      <c r="F2795" s="25">
        <v>43012</v>
      </c>
      <c r="G2795" s="61" t="s">
        <v>28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3962</v>
      </c>
      <c r="B2796" s="58">
        <v>34086913801</v>
      </c>
      <c r="C2796" s="63" t="s">
        <v>3963</v>
      </c>
      <c r="D2796" s="60">
        <v>31013050800</v>
      </c>
      <c r="E2796" s="9">
        <v>229</v>
      </c>
      <c r="F2796" s="25">
        <v>43151</v>
      </c>
      <c r="G2796" s="61" t="s">
        <v>13</v>
      </c>
      <c r="H2796" s="9"/>
      <c r="I2796" s="8"/>
      <c r="J2796" s="8"/>
      <c r="K2796" s="8"/>
      <c r="L2796" s="9">
        <v>232</v>
      </c>
      <c r="M2796" s="8"/>
    </row>
    <row r="2797" spans="1:13">
      <c r="A2797" s="62" t="s">
        <v>3964</v>
      </c>
      <c r="B2797" s="58">
        <v>14047707805</v>
      </c>
      <c r="C2797" s="59"/>
      <c r="D2797" s="60"/>
      <c r="E2797" s="9">
        <v>1128</v>
      </c>
      <c r="F2797" s="25">
        <v>42972</v>
      </c>
      <c r="G2797" s="61" t="s">
        <v>13</v>
      </c>
      <c r="H2797" s="25">
        <v>42979</v>
      </c>
      <c r="I2797" s="8"/>
      <c r="J2797" s="8"/>
      <c r="K2797" s="8"/>
      <c r="L2797" s="8"/>
      <c r="M2797" s="8"/>
    </row>
    <row r="2798" spans="1:13">
      <c r="A2798" s="62" t="s">
        <v>3965</v>
      </c>
      <c r="B2798" s="58">
        <v>24648996828</v>
      </c>
      <c r="C2798" s="63" t="s">
        <v>3966</v>
      </c>
      <c r="D2798" s="60">
        <v>13622241896</v>
      </c>
      <c r="E2798" s="9">
        <v>262</v>
      </c>
      <c r="F2798" s="25">
        <v>43160</v>
      </c>
      <c r="G2798" s="61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64" t="s">
        <v>3967</v>
      </c>
      <c r="B2799" s="58">
        <v>87445824472</v>
      </c>
      <c r="C2799" s="63" t="s">
        <v>3968</v>
      </c>
      <c r="D2799" s="60">
        <v>30439764874</v>
      </c>
      <c r="E2799" s="9">
        <v>1417</v>
      </c>
      <c r="F2799" s="25">
        <v>43017</v>
      </c>
      <c r="G2799" s="61" t="s">
        <v>13</v>
      </c>
      <c r="H2799" s="25">
        <v>43027</v>
      </c>
      <c r="I2799" s="8"/>
      <c r="J2799" s="8"/>
      <c r="K2799" s="8"/>
      <c r="L2799" s="9" t="s">
        <v>253</v>
      </c>
      <c r="M2799" s="8"/>
    </row>
    <row r="2800" spans="1:13">
      <c r="A2800" s="62" t="s">
        <v>3969</v>
      </c>
      <c r="B2800" s="58">
        <v>25630230840</v>
      </c>
      <c r="C2800" s="68" t="s">
        <v>3970</v>
      </c>
      <c r="D2800" s="60">
        <v>74349325549</v>
      </c>
      <c r="E2800" s="9">
        <v>563</v>
      </c>
      <c r="F2800" s="25">
        <v>43217</v>
      </c>
      <c r="G2800" s="61"/>
      <c r="H2800" s="25">
        <v>43234</v>
      </c>
      <c r="I2800" s="8"/>
      <c r="J2800" s="8"/>
      <c r="K2800" s="8"/>
      <c r="L2800" s="9" t="s">
        <v>299</v>
      </c>
      <c r="M2800" s="8"/>
    </row>
    <row r="2801" spans="1:13">
      <c r="A2801" s="62" t="s">
        <v>3971</v>
      </c>
      <c r="B2801" s="58">
        <v>66136822334</v>
      </c>
      <c r="C2801" s="63"/>
      <c r="D2801" s="60"/>
      <c r="E2801" s="9">
        <v>292</v>
      </c>
      <c r="F2801" s="25">
        <v>43168</v>
      </c>
      <c r="G2801" s="9" t="s">
        <v>13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62" t="s">
        <v>3972</v>
      </c>
      <c r="B2802" s="58">
        <v>24929716861</v>
      </c>
      <c r="C2802" s="63"/>
      <c r="D2802" s="60"/>
      <c r="E2802" s="9">
        <v>1417</v>
      </c>
      <c r="F2802" s="25">
        <v>43017</v>
      </c>
      <c r="G2802" s="61" t="s">
        <v>13</v>
      </c>
      <c r="H2802" s="25">
        <v>43027</v>
      </c>
      <c r="I2802" s="8"/>
      <c r="J2802" s="8"/>
      <c r="K2802" s="8"/>
      <c r="L2802" s="9" t="s">
        <v>253</v>
      </c>
      <c r="M2802" s="8"/>
    </row>
    <row r="2803" spans="1:13">
      <c r="A2803" s="62" t="s">
        <v>3973</v>
      </c>
      <c r="B2803" s="58">
        <v>16700974801</v>
      </c>
      <c r="C2803" s="63"/>
      <c r="D2803" s="60"/>
      <c r="E2803" s="9"/>
      <c r="F2803" s="25"/>
      <c r="G2803" s="61"/>
      <c r="H2803" s="9"/>
      <c r="I2803" s="8"/>
      <c r="J2803" s="8"/>
      <c r="K2803" s="8"/>
      <c r="L2803" s="8"/>
      <c r="M2803" s="8"/>
    </row>
    <row r="2804" spans="1:13">
      <c r="A2804" s="64" t="s">
        <v>3974</v>
      </c>
      <c r="B2804" s="58">
        <v>17128618830</v>
      </c>
      <c r="C2804" s="63" t="s">
        <v>3975</v>
      </c>
      <c r="D2804" s="60">
        <v>69305315534</v>
      </c>
      <c r="E2804" s="9">
        <v>810</v>
      </c>
      <c r="F2804" s="25">
        <v>42915</v>
      </c>
      <c r="G2804" s="61" t="s">
        <v>20</v>
      </c>
      <c r="H2804" s="25">
        <v>42921</v>
      </c>
      <c r="I2804" s="8"/>
      <c r="J2804" s="8"/>
      <c r="K2804" s="8"/>
      <c r="L2804" s="9" t="s">
        <v>138</v>
      </c>
      <c r="M2804" s="8"/>
    </row>
    <row r="2805" spans="1:13">
      <c r="A2805" s="62" t="s">
        <v>3976</v>
      </c>
      <c r="B2805" s="58">
        <v>18855161857</v>
      </c>
      <c r="C2805" s="63"/>
      <c r="D2805" s="60"/>
      <c r="E2805" s="9">
        <v>443</v>
      </c>
      <c r="F2805" s="25">
        <v>43188</v>
      </c>
      <c r="G2805" s="61"/>
      <c r="H2805" s="25">
        <v>43192</v>
      </c>
      <c r="I2805" s="8"/>
      <c r="J2805" s="8"/>
      <c r="K2805" s="8"/>
      <c r="L2805" s="8"/>
      <c r="M2805" s="8"/>
    </row>
    <row r="2806" spans="1:13">
      <c r="A2806" s="62" t="s">
        <v>3977</v>
      </c>
      <c r="B2806" s="58">
        <v>23535106800</v>
      </c>
      <c r="C2806" s="63"/>
      <c r="D2806" s="60"/>
      <c r="E2806" s="9"/>
      <c r="F2806" s="25"/>
      <c r="G2806" s="61"/>
      <c r="H2806" s="9"/>
      <c r="I2806" s="8"/>
      <c r="J2806" s="8"/>
      <c r="K2806" s="8"/>
      <c r="L2806" s="8"/>
      <c r="M2806" s="8"/>
    </row>
    <row r="2807" spans="1:13">
      <c r="A2807" s="18" t="s">
        <v>3978</v>
      </c>
      <c r="B2807" s="58">
        <v>29675655801</v>
      </c>
      <c r="C2807" s="18"/>
      <c r="D2807" s="60"/>
      <c r="E2807" s="9"/>
      <c r="F2807" s="25"/>
      <c r="G2807" s="61"/>
      <c r="H2807" s="9"/>
      <c r="I2807" s="8"/>
      <c r="J2807" s="8"/>
      <c r="K2807" s="8"/>
      <c r="L2807" s="8"/>
      <c r="M2807" s="8"/>
    </row>
    <row r="2808" spans="1:13">
      <c r="A2808" s="27" t="s">
        <v>3979</v>
      </c>
      <c r="B2808" s="58">
        <v>79572421468</v>
      </c>
      <c r="C2808" s="27" t="s">
        <v>3980</v>
      </c>
      <c r="D2808" s="60">
        <v>1296794881</v>
      </c>
      <c r="E2808" s="9"/>
      <c r="F2808" s="25"/>
      <c r="G2808" s="61"/>
      <c r="H2808" s="9"/>
      <c r="I2808" s="8"/>
      <c r="J2808" s="8"/>
      <c r="K2808" s="8"/>
      <c r="L2808" s="8"/>
      <c r="M2808" s="8"/>
    </row>
    <row r="2809" spans="1:13">
      <c r="A2809" s="62" t="s">
        <v>3981</v>
      </c>
      <c r="B2809" s="58">
        <v>20539510874</v>
      </c>
      <c r="C2809" s="63"/>
      <c r="D2809" s="60"/>
      <c r="E2809" s="9">
        <v>1824</v>
      </c>
      <c r="F2809" s="25">
        <v>43091</v>
      </c>
      <c r="G2809" s="61" t="s">
        <v>13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62" t="s">
        <v>3982</v>
      </c>
      <c r="B2810" s="58">
        <v>41523062894</v>
      </c>
      <c r="C2810" s="63"/>
      <c r="D2810" s="60"/>
      <c r="E2810" s="9"/>
      <c r="F2810" s="25"/>
      <c r="G2810" s="61"/>
      <c r="H2810" s="9"/>
      <c r="I2810" s="8"/>
      <c r="J2810" s="8"/>
      <c r="K2810" s="8"/>
      <c r="L2810" s="8"/>
      <c r="M2810" s="8"/>
    </row>
    <row r="2811" spans="1:13">
      <c r="A2811" s="62" t="s">
        <v>3983</v>
      </c>
      <c r="B2811" s="58">
        <v>44518427866</v>
      </c>
      <c r="C2811" s="63" t="s">
        <v>3984</v>
      </c>
      <c r="D2811" s="60">
        <v>41975923880</v>
      </c>
      <c r="E2811" s="9">
        <v>527</v>
      </c>
      <c r="F2811" s="25">
        <v>43210</v>
      </c>
      <c r="G2811" s="61"/>
      <c r="H2811" s="9"/>
      <c r="I2811" s="8"/>
      <c r="J2811" s="8"/>
      <c r="K2811" s="8"/>
      <c r="L2811" s="9">
        <v>528</v>
      </c>
      <c r="M2811" s="8"/>
    </row>
    <row r="2812" spans="1:13">
      <c r="A2812" s="62" t="s">
        <v>3985</v>
      </c>
      <c r="B2812" s="58">
        <v>35625515840</v>
      </c>
      <c r="C2812" s="63" t="s">
        <v>3986</v>
      </c>
      <c r="D2812" s="60">
        <v>27806916890</v>
      </c>
      <c r="E2812" s="9"/>
      <c r="F2812" s="25"/>
      <c r="G2812" s="61"/>
      <c r="H2812" s="9"/>
      <c r="I2812" s="8"/>
      <c r="J2812" s="8"/>
      <c r="K2812" s="8"/>
      <c r="L2812" s="8"/>
      <c r="M2812" s="8"/>
    </row>
    <row r="2813" spans="1:13">
      <c r="A2813" s="15" t="s">
        <v>3987</v>
      </c>
      <c r="B2813" s="58">
        <v>5479152416</v>
      </c>
      <c r="C2813" s="63"/>
      <c r="D2813" s="60"/>
      <c r="E2813" s="9"/>
      <c r="F2813" s="25"/>
      <c r="G2813" s="61"/>
      <c r="H2813" s="9"/>
      <c r="I2813" s="8"/>
      <c r="J2813" s="8"/>
      <c r="K2813" s="8"/>
      <c r="L2813" s="8"/>
      <c r="M2813" s="8"/>
    </row>
    <row r="2814" spans="1:13">
      <c r="A2814" s="62" t="s">
        <v>3988</v>
      </c>
      <c r="B2814" s="58">
        <v>45168053831</v>
      </c>
      <c r="C2814" s="68"/>
      <c r="D2814" s="60"/>
      <c r="E2814" s="9">
        <v>563</v>
      </c>
      <c r="F2814" s="25">
        <v>43217</v>
      </c>
      <c r="G2814" s="61"/>
      <c r="H2814" s="25">
        <v>43234</v>
      </c>
      <c r="I2814" s="8"/>
      <c r="J2814" s="8"/>
      <c r="K2814" s="8"/>
      <c r="L2814" s="9" t="s">
        <v>299</v>
      </c>
      <c r="M2814" s="8"/>
    </row>
    <row r="2815" spans="1:13">
      <c r="A2815" s="18" t="s">
        <v>3989</v>
      </c>
      <c r="B2815" s="58">
        <v>43302796811</v>
      </c>
      <c r="C2815" s="18"/>
      <c r="D2815" s="60"/>
      <c r="E2815" s="9"/>
      <c r="F2815" s="25"/>
      <c r="G2815" s="61"/>
      <c r="H2815" s="9"/>
      <c r="I2815" s="8"/>
      <c r="J2815" s="8"/>
      <c r="K2815" s="8"/>
      <c r="L2815" s="8"/>
      <c r="M2815" s="8"/>
    </row>
    <row r="2816" spans="1:13">
      <c r="A2816" s="62" t="s">
        <v>3990</v>
      </c>
      <c r="B2816" s="58">
        <v>40663707803</v>
      </c>
      <c r="C2816" s="63" t="s">
        <v>3991</v>
      </c>
      <c r="D2816" s="60">
        <v>35138540807</v>
      </c>
      <c r="E2816" s="9">
        <v>262</v>
      </c>
      <c r="F2816" s="25">
        <v>43160</v>
      </c>
      <c r="G2816" s="61" t="s">
        <v>13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62" t="s">
        <v>3992</v>
      </c>
      <c r="B2817" s="58">
        <v>41285779878</v>
      </c>
      <c r="C2817" s="63"/>
      <c r="D2817" s="60"/>
      <c r="E2817" s="9"/>
      <c r="F2817" s="25"/>
      <c r="G2817" s="61"/>
      <c r="H2817" s="9"/>
      <c r="I2817" s="8"/>
      <c r="J2817" s="8"/>
      <c r="K2817" s="8"/>
      <c r="L2817" s="8"/>
      <c r="M2817" s="8"/>
    </row>
    <row r="2818" spans="1:13">
      <c r="A2818" s="62" t="s">
        <v>3993</v>
      </c>
      <c r="B2818" s="58">
        <v>35656192873</v>
      </c>
      <c r="C2818" s="63"/>
      <c r="D2818" s="60"/>
      <c r="E2818" s="9"/>
      <c r="F2818" s="25"/>
      <c r="G2818" s="61"/>
      <c r="H2818" s="9"/>
      <c r="I2818" s="8"/>
      <c r="J2818" s="8"/>
      <c r="K2818" s="8"/>
      <c r="L2818" s="8"/>
      <c r="M2818" s="8"/>
    </row>
    <row r="2819" spans="1:13">
      <c r="A2819" s="13" t="s">
        <v>3994</v>
      </c>
      <c r="B2819" s="58">
        <v>23432370857</v>
      </c>
      <c r="C2819" s="59"/>
      <c r="D2819" s="60"/>
      <c r="E2819" s="9">
        <v>1752</v>
      </c>
      <c r="F2819" s="25">
        <v>43051</v>
      </c>
      <c r="G2819" s="61" t="s">
        <v>13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62" t="s">
        <v>3995</v>
      </c>
      <c r="B2820" s="58">
        <v>22656035899</v>
      </c>
      <c r="C2820" s="63"/>
      <c r="D2820" s="60"/>
      <c r="E2820" s="9">
        <v>262</v>
      </c>
      <c r="F2820" s="25">
        <v>43160</v>
      </c>
      <c r="G2820" s="61" t="s">
        <v>13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7" t="s">
        <v>3996</v>
      </c>
      <c r="B2821" s="58"/>
      <c r="C2821" s="27" t="s">
        <v>3997</v>
      </c>
      <c r="D2821" s="60"/>
      <c r="E2821" s="9"/>
      <c r="F2821" s="25"/>
      <c r="G2821" s="61"/>
      <c r="H2821" s="9"/>
      <c r="I2821" s="8"/>
      <c r="J2821" s="8"/>
      <c r="K2821" s="8"/>
      <c r="L2821" s="8"/>
      <c r="M2821" s="8"/>
    </row>
    <row r="2822" spans="1:13">
      <c r="A2822" s="62" t="s">
        <v>3998</v>
      </c>
      <c r="B2822" s="58">
        <v>40874659850</v>
      </c>
      <c r="C2822" s="68" t="s">
        <v>3999</v>
      </c>
      <c r="D2822" s="60">
        <v>37206739873</v>
      </c>
      <c r="E2822" s="9">
        <v>563</v>
      </c>
      <c r="F2822" s="25">
        <v>43217</v>
      </c>
      <c r="G2822" s="61"/>
      <c r="H2822" s="25">
        <v>43234</v>
      </c>
      <c r="I2822" s="8"/>
      <c r="J2822" s="8"/>
      <c r="K2822" s="8"/>
      <c r="L2822" s="9" t="s">
        <v>299</v>
      </c>
      <c r="M2822" s="8"/>
    </row>
    <row r="2823" spans="1:13">
      <c r="A2823" s="27" t="s">
        <v>4000</v>
      </c>
      <c r="B2823" s="58"/>
      <c r="C2823" s="27" t="s">
        <v>4001</v>
      </c>
      <c r="D2823" s="60"/>
      <c r="E2823" s="9"/>
      <c r="F2823" s="25"/>
      <c r="G2823" s="61"/>
      <c r="H2823" s="9"/>
      <c r="I2823" s="8"/>
      <c r="J2823" s="8"/>
      <c r="K2823" s="8"/>
      <c r="L2823" s="8"/>
      <c r="M2823" s="8"/>
    </row>
    <row r="2824" spans="1:13">
      <c r="A2824" s="62" t="s">
        <v>4002</v>
      </c>
      <c r="B2824" s="58">
        <v>37028047814</v>
      </c>
      <c r="C2824" s="63" t="s">
        <v>4003</v>
      </c>
      <c r="D2824" s="60">
        <v>34812554896</v>
      </c>
      <c r="E2824" s="9">
        <v>1824</v>
      </c>
      <c r="F2824" s="25">
        <v>43091</v>
      </c>
      <c r="G2824" s="61" t="s">
        <v>13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4004</v>
      </c>
      <c r="B2825" s="58">
        <v>10774591650</v>
      </c>
      <c r="C2825" s="63" t="s">
        <v>4005</v>
      </c>
      <c r="D2825" s="60">
        <v>33230795822</v>
      </c>
      <c r="E2825" s="9">
        <v>292</v>
      </c>
      <c r="F2825" s="25">
        <v>43168</v>
      </c>
      <c r="G2825" s="61" t="s">
        <v>13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63" t="s">
        <v>4006</v>
      </c>
      <c r="B2826" s="58">
        <v>39001319882</v>
      </c>
      <c r="C2826" s="63"/>
      <c r="D2826" s="60"/>
      <c r="E2826" s="9">
        <v>292</v>
      </c>
      <c r="F2826" s="25">
        <v>43168</v>
      </c>
      <c r="G2826" s="9" t="s">
        <v>13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4007</v>
      </c>
      <c r="B2827" s="58">
        <v>42779099810</v>
      </c>
      <c r="C2827" s="18" t="s">
        <v>4008</v>
      </c>
      <c r="D2827" s="60">
        <v>41316117839</v>
      </c>
      <c r="E2827" s="9"/>
      <c r="F2827" s="25"/>
      <c r="G2827" s="61"/>
      <c r="H2827" s="9"/>
      <c r="I2827" s="8"/>
      <c r="J2827" s="8"/>
      <c r="K2827" s="8"/>
      <c r="L2827" s="8"/>
      <c r="M2827" s="8"/>
    </row>
    <row r="2828" spans="1:13">
      <c r="A2828" s="27" t="s">
        <v>4009</v>
      </c>
      <c r="B2828" s="58">
        <v>50748310835</v>
      </c>
      <c r="C2828" s="18" t="s">
        <v>4010</v>
      </c>
      <c r="D2828" s="60">
        <v>37628955894</v>
      </c>
      <c r="E2828" s="9"/>
      <c r="F2828" s="25"/>
      <c r="G2828" s="61"/>
      <c r="H2828" s="9"/>
      <c r="I2828" s="8"/>
      <c r="J2828" s="8"/>
      <c r="K2828" s="8"/>
      <c r="L2828" s="8"/>
      <c r="M2828" s="8"/>
    </row>
    <row r="2829" spans="1:13">
      <c r="A2829" s="62" t="s">
        <v>4011</v>
      </c>
      <c r="B2829" s="58">
        <v>42651266850</v>
      </c>
      <c r="C2829" s="63" t="s">
        <v>4012</v>
      </c>
      <c r="D2829" s="60">
        <v>3580715429</v>
      </c>
      <c r="E2829" s="9">
        <v>1350</v>
      </c>
      <c r="F2829" s="25">
        <v>43006</v>
      </c>
      <c r="G2829" s="61" t="s">
        <v>13</v>
      </c>
      <c r="H2829" s="25">
        <v>43011</v>
      </c>
      <c r="I2829" s="8"/>
      <c r="J2829" s="8"/>
      <c r="K2829" s="8"/>
      <c r="L2829" s="8"/>
      <c r="M2829" s="8"/>
    </row>
    <row r="2830" spans="1:13">
      <c r="A2830" s="62" t="s">
        <v>4013</v>
      </c>
      <c r="B2830" s="58">
        <v>36474824808</v>
      </c>
      <c r="C2830" s="63" t="s">
        <v>4014</v>
      </c>
      <c r="D2830" s="60">
        <v>34800902819</v>
      </c>
      <c r="E2830" s="9"/>
      <c r="F2830" s="25"/>
      <c r="G2830" s="61"/>
      <c r="H2830" s="9"/>
      <c r="I2830" s="8"/>
      <c r="J2830" s="8"/>
      <c r="K2830" s="8"/>
      <c r="L2830" s="8"/>
      <c r="M2830" s="8"/>
    </row>
    <row r="2831" spans="1:13">
      <c r="A2831" s="15" t="s">
        <v>4015</v>
      </c>
      <c r="B2831" s="58">
        <v>39137452894</v>
      </c>
      <c r="C2831" s="63"/>
      <c r="D2831" s="60"/>
      <c r="E2831" s="9">
        <v>573</v>
      </c>
      <c r="F2831" s="25">
        <v>43224</v>
      </c>
      <c r="G2831" s="61"/>
      <c r="H2831" s="9"/>
      <c r="I2831" s="8"/>
      <c r="J2831" s="8"/>
      <c r="K2831" s="8"/>
      <c r="L2831" s="8"/>
      <c r="M2831" s="8"/>
    </row>
    <row r="2832" spans="1:13">
      <c r="A2832" s="64" t="s">
        <v>4016</v>
      </c>
      <c r="B2832" s="58">
        <v>22034628845</v>
      </c>
      <c r="C2832" s="63" t="s">
        <v>4017</v>
      </c>
      <c r="D2832" s="60">
        <v>26990288515</v>
      </c>
      <c r="E2832" s="9">
        <v>1555</v>
      </c>
      <c r="F2832" s="25">
        <v>43049</v>
      </c>
      <c r="G2832" s="61" t="s">
        <v>13</v>
      </c>
      <c r="H2832" s="9"/>
      <c r="I2832" s="8"/>
      <c r="J2832" s="8"/>
      <c r="K2832" s="8"/>
      <c r="L2832" s="9" t="s">
        <v>398</v>
      </c>
      <c r="M2832" s="8"/>
    </row>
    <row r="2833" spans="1:13">
      <c r="A2833" s="62" t="s">
        <v>4018</v>
      </c>
      <c r="B2833" s="58">
        <v>15317360846</v>
      </c>
      <c r="C2833" s="63"/>
      <c r="D2833" s="60"/>
      <c r="E2833" s="9"/>
      <c r="F2833" s="25"/>
      <c r="G2833" s="61"/>
      <c r="H2833" s="9"/>
      <c r="I2833" s="8"/>
      <c r="J2833" s="8"/>
      <c r="K2833" s="8"/>
      <c r="L2833" s="8"/>
      <c r="M2833" s="8"/>
    </row>
    <row r="2834" spans="1:13">
      <c r="A2834" s="62" t="s">
        <v>4019</v>
      </c>
      <c r="B2834" s="58">
        <v>10782475876</v>
      </c>
      <c r="C2834" s="63" t="s">
        <v>4020</v>
      </c>
      <c r="D2834" s="60">
        <v>616947895</v>
      </c>
      <c r="E2834" s="9">
        <v>1214</v>
      </c>
      <c r="F2834" s="25">
        <v>42989</v>
      </c>
      <c r="G2834" s="61" t="s">
        <v>13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4021</v>
      </c>
      <c r="B2835" s="58">
        <v>27242504864</v>
      </c>
      <c r="C2835" s="59"/>
      <c r="D2835" s="60"/>
      <c r="E2835" s="9">
        <v>262</v>
      </c>
      <c r="F2835" s="25">
        <v>43160</v>
      </c>
      <c r="G2835" s="61" t="s">
        <v>13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7" t="s">
        <v>4022</v>
      </c>
      <c r="B2836" s="58"/>
      <c r="C2836" s="18" t="s">
        <v>129</v>
      </c>
      <c r="D2836" s="60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64" t="s">
        <v>4023</v>
      </c>
      <c r="B2837" s="58">
        <v>42151049809</v>
      </c>
      <c r="C2837" s="59" t="s">
        <v>4024</v>
      </c>
      <c r="D2837" s="60">
        <v>60593342534</v>
      </c>
      <c r="E2837" s="9"/>
      <c r="F2837" s="25"/>
      <c r="G2837" s="61"/>
      <c r="H2837" s="9"/>
      <c r="I2837" s="8"/>
      <c r="J2837" s="8"/>
      <c r="K2837" s="8"/>
      <c r="L2837" s="8"/>
      <c r="M2837" s="8"/>
    </row>
    <row r="2838" spans="1:13">
      <c r="A2838" s="18" t="s">
        <v>4025</v>
      </c>
      <c r="B2838" s="58">
        <v>38785656828</v>
      </c>
      <c r="C2838" s="18" t="s">
        <v>4026</v>
      </c>
      <c r="D2838" s="60">
        <v>22008218830</v>
      </c>
      <c r="E2838" s="9"/>
      <c r="F2838" s="25"/>
      <c r="G2838" s="61"/>
      <c r="H2838" s="9"/>
      <c r="I2838" s="8"/>
      <c r="J2838" s="8"/>
      <c r="K2838" s="8"/>
      <c r="L2838" s="8"/>
      <c r="M2838" s="8"/>
    </row>
    <row r="2839" spans="1:13">
      <c r="A2839" s="62" t="s">
        <v>4027</v>
      </c>
      <c r="B2839" s="58">
        <v>34176131837</v>
      </c>
      <c r="C2839" s="63"/>
      <c r="D2839" s="60"/>
      <c r="E2839" s="9"/>
      <c r="F2839" s="25"/>
      <c r="G2839" s="61"/>
      <c r="H2839" s="9"/>
      <c r="I2839" s="8"/>
      <c r="J2839" s="8"/>
      <c r="K2839" s="8"/>
      <c r="L2839" s="8"/>
      <c r="M2839" s="8"/>
    </row>
    <row r="2840" spans="1:13">
      <c r="A2840" s="14" t="s">
        <v>4028</v>
      </c>
      <c r="B2840" s="58">
        <v>33715638800</v>
      </c>
      <c r="C2840" s="63"/>
      <c r="D2840" s="60"/>
      <c r="E2840" s="9">
        <v>262</v>
      </c>
      <c r="F2840" s="25">
        <v>43160</v>
      </c>
      <c r="G2840" s="61" t="s">
        <v>13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62" t="s">
        <v>4029</v>
      </c>
      <c r="B2841" s="58">
        <v>22815009854</v>
      </c>
      <c r="C2841" s="68" t="s">
        <v>4030</v>
      </c>
      <c r="D2841" s="60">
        <v>36421019846</v>
      </c>
      <c r="E2841" s="9"/>
      <c r="F2841" s="25"/>
      <c r="G2841" s="61"/>
      <c r="H2841" s="9"/>
      <c r="I2841" s="8"/>
      <c r="J2841" s="8"/>
      <c r="K2841" s="8"/>
      <c r="L2841" s="8"/>
      <c r="M2841" s="8"/>
    </row>
    <row r="2842" spans="1:13">
      <c r="A2842" s="62" t="s">
        <v>4031</v>
      </c>
      <c r="B2842" s="58">
        <v>22669281800</v>
      </c>
      <c r="C2842" s="63"/>
      <c r="D2842" s="60"/>
      <c r="E2842" s="9">
        <v>1214</v>
      </c>
      <c r="F2842" s="25">
        <v>42989</v>
      </c>
      <c r="G2842" s="61" t="s">
        <v>20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4032</v>
      </c>
      <c r="B2843" s="58">
        <v>40744151864</v>
      </c>
      <c r="C2843" s="18"/>
      <c r="D2843" s="60"/>
      <c r="E2843" s="9"/>
      <c r="F2843" s="25"/>
      <c r="G2843" s="61"/>
      <c r="H2843" s="9"/>
      <c r="I2843" s="8"/>
      <c r="J2843" s="8"/>
      <c r="K2843" s="8"/>
      <c r="L2843" s="8"/>
      <c r="M2843" s="8"/>
    </row>
    <row r="2844" spans="1:13">
      <c r="A2844" s="14" t="s">
        <v>4033</v>
      </c>
      <c r="B2844" s="58">
        <v>40506629813</v>
      </c>
      <c r="C2844" s="63" t="s">
        <v>4034</v>
      </c>
      <c r="D2844" s="60">
        <v>32485329800</v>
      </c>
      <c r="E2844" s="9">
        <v>262</v>
      </c>
      <c r="F2844" s="25">
        <v>43160</v>
      </c>
      <c r="G2844" s="61" t="s">
        <v>13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4035</v>
      </c>
      <c r="B2845" s="58">
        <v>31504729897</v>
      </c>
      <c r="C2845" s="59" t="s">
        <v>4036</v>
      </c>
      <c r="D2845" s="60">
        <v>24816878840</v>
      </c>
      <c r="E2845" s="9">
        <v>1214</v>
      </c>
      <c r="F2845" s="25">
        <v>42989</v>
      </c>
      <c r="G2845" s="61" t="s">
        <v>13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4037</v>
      </c>
      <c r="B2846" s="58">
        <v>33995497845</v>
      </c>
      <c r="C2846" s="59"/>
      <c r="D2846" s="60"/>
      <c r="E2846" s="9">
        <v>1128</v>
      </c>
      <c r="F2846" s="25">
        <v>42972</v>
      </c>
      <c r="G2846" s="61" t="s">
        <v>13</v>
      </c>
      <c r="H2846" s="25">
        <v>42979</v>
      </c>
      <c r="I2846" s="8"/>
      <c r="J2846" s="8"/>
      <c r="K2846" s="8"/>
      <c r="L2846" s="8"/>
      <c r="M2846" s="8"/>
    </row>
    <row r="2847" spans="1:13">
      <c r="A2847" s="62" t="s">
        <v>4038</v>
      </c>
      <c r="B2847" s="58">
        <v>12925287700</v>
      </c>
      <c r="C2847" s="63" t="s">
        <v>4039</v>
      </c>
      <c r="D2847" s="60">
        <v>37253983807</v>
      </c>
      <c r="E2847" s="9">
        <v>1752</v>
      </c>
      <c r="F2847" s="25">
        <v>43051</v>
      </c>
      <c r="G2847" s="61" t="s">
        <v>13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62" t="s">
        <v>4040</v>
      </c>
      <c r="B2848" s="58">
        <v>33532179830</v>
      </c>
      <c r="C2848" s="63"/>
      <c r="D2848" s="60"/>
      <c r="E2848" s="9">
        <v>563</v>
      </c>
      <c r="F2848" s="25">
        <v>43217</v>
      </c>
      <c r="G2848" s="61"/>
      <c r="H2848" s="25">
        <v>43234</v>
      </c>
      <c r="I2848" s="8"/>
      <c r="J2848" s="8"/>
      <c r="K2848" s="8"/>
      <c r="L2848" s="9" t="s">
        <v>299</v>
      </c>
      <c r="M2848" s="8"/>
    </row>
    <row r="2849" spans="1:13">
      <c r="A2849" s="62" t="s">
        <v>4041</v>
      </c>
      <c r="B2849" s="58">
        <v>5720828869</v>
      </c>
      <c r="C2849" s="63"/>
      <c r="D2849" s="60"/>
      <c r="E2849" s="9">
        <v>1214</v>
      </c>
      <c r="F2849" s="25">
        <v>42989</v>
      </c>
      <c r="G2849" s="61" t="s">
        <v>13</v>
      </c>
      <c r="H2849" s="25">
        <v>43000</v>
      </c>
      <c r="I2849" s="8"/>
      <c r="J2849" s="8"/>
      <c r="K2849" s="8"/>
      <c r="L2849" s="8"/>
      <c r="M2849" s="8"/>
    </row>
    <row r="2850" spans="1:13">
      <c r="A2850" s="62" t="s">
        <v>4042</v>
      </c>
      <c r="B2850" s="58">
        <v>4525791802</v>
      </c>
      <c r="C2850" s="63"/>
      <c r="D2850" s="60"/>
      <c r="E2850" s="9">
        <v>1214</v>
      </c>
      <c r="F2850" s="25">
        <v>42989</v>
      </c>
      <c r="G2850" s="61" t="s">
        <v>13</v>
      </c>
      <c r="H2850" s="25">
        <v>43000</v>
      </c>
      <c r="I2850" s="8"/>
      <c r="J2850" s="8"/>
      <c r="K2850" s="8"/>
      <c r="L2850" s="8"/>
      <c r="M2850" s="8"/>
    </row>
    <row r="2851" spans="1:13">
      <c r="A2851" s="62" t="s">
        <v>4043</v>
      </c>
      <c r="B2851" s="58">
        <v>26735743873</v>
      </c>
      <c r="C2851" s="63" t="s">
        <v>4044</v>
      </c>
      <c r="D2851" s="60">
        <v>14913845810</v>
      </c>
      <c r="E2851" s="9">
        <v>1214</v>
      </c>
      <c r="F2851" s="25">
        <v>42989</v>
      </c>
      <c r="G2851" s="61" t="s">
        <v>20</v>
      </c>
      <c r="H2851" s="25">
        <v>43000</v>
      </c>
      <c r="I2851" s="8"/>
      <c r="J2851" s="8"/>
      <c r="K2851" s="8"/>
      <c r="L2851" s="8"/>
      <c r="M2851" s="8"/>
    </row>
    <row r="2852" spans="1:13">
      <c r="A2852" s="62" t="s">
        <v>4045</v>
      </c>
      <c r="B2852" s="58">
        <v>25935315840</v>
      </c>
      <c r="C2852" s="63"/>
      <c r="D2852" s="60"/>
      <c r="E2852" s="9">
        <v>1214</v>
      </c>
      <c r="F2852" s="25">
        <v>42989</v>
      </c>
      <c r="G2852" s="61" t="s">
        <v>13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4046</v>
      </c>
      <c r="B2853" s="58">
        <v>5105815874</v>
      </c>
      <c r="C2853" s="59"/>
      <c r="D2853" s="60"/>
      <c r="E2853" s="9">
        <v>1241</v>
      </c>
      <c r="F2853" s="25">
        <v>42992</v>
      </c>
      <c r="G2853" s="61" t="s">
        <v>13</v>
      </c>
      <c r="H2853" s="25">
        <v>42998</v>
      </c>
      <c r="I2853" s="8"/>
      <c r="J2853" s="8"/>
      <c r="K2853" s="8"/>
      <c r="L2853" s="8"/>
      <c r="M2853" s="8"/>
    </row>
    <row r="2854" spans="1:13">
      <c r="A2854" s="27" t="s">
        <v>4047</v>
      </c>
      <c r="B2854" s="58">
        <v>26193222863</v>
      </c>
      <c r="C2854" s="18" t="s">
        <v>4048</v>
      </c>
      <c r="D2854" s="60">
        <v>27321039854</v>
      </c>
      <c r="E2854" s="9"/>
      <c r="F2854" s="25"/>
      <c r="G2854" s="61"/>
      <c r="H2854" s="9"/>
      <c r="I2854" s="8"/>
      <c r="J2854" s="8"/>
      <c r="K2854" s="8"/>
      <c r="L2854" s="8"/>
      <c r="M2854" s="8"/>
    </row>
    <row r="2855" spans="1:13">
      <c r="A2855" s="62" t="s">
        <v>4049</v>
      </c>
      <c r="B2855" s="58">
        <v>1398933180</v>
      </c>
      <c r="C2855" s="63"/>
      <c r="D2855" s="60"/>
      <c r="E2855" s="9"/>
      <c r="F2855" s="25"/>
      <c r="G2855" s="61"/>
      <c r="H2855" s="9"/>
      <c r="I2855" s="8"/>
      <c r="J2855" s="8"/>
      <c r="K2855" s="8"/>
      <c r="L2855" s="8"/>
      <c r="M2855" s="8"/>
    </row>
    <row r="2856" spans="1:13">
      <c r="A2856" s="62" t="s">
        <v>4050</v>
      </c>
      <c r="B2856" s="58">
        <v>3381508890</v>
      </c>
      <c r="C2856" s="63" t="s">
        <v>4051</v>
      </c>
      <c r="D2856" s="60">
        <v>4243488886</v>
      </c>
      <c r="E2856" s="9">
        <v>563</v>
      </c>
      <c r="F2856" s="25">
        <v>43217</v>
      </c>
      <c r="G2856" s="61"/>
      <c r="H2856" s="25">
        <v>43234</v>
      </c>
      <c r="I2856" s="8"/>
      <c r="J2856" s="8"/>
      <c r="K2856" s="8"/>
      <c r="L2856" s="9" t="s">
        <v>299</v>
      </c>
      <c r="M2856" s="8"/>
    </row>
    <row r="2857" spans="1:13">
      <c r="A2857" s="15" t="s">
        <v>4052</v>
      </c>
      <c r="B2857" s="58">
        <v>12474920870</v>
      </c>
      <c r="C2857" s="63"/>
      <c r="D2857" s="60"/>
      <c r="E2857" s="9">
        <v>229</v>
      </c>
      <c r="F2857" s="25">
        <v>43151</v>
      </c>
      <c r="G2857" s="61" t="s">
        <v>13</v>
      </c>
      <c r="H2857" s="9"/>
      <c r="I2857" s="8"/>
      <c r="J2857" s="8"/>
      <c r="K2857" s="8"/>
      <c r="L2857" s="9">
        <v>232</v>
      </c>
      <c r="M2857" s="8"/>
    </row>
    <row r="2858" spans="1:13">
      <c r="A2858" s="62" t="s">
        <v>4053</v>
      </c>
      <c r="B2858" s="58">
        <v>24602245838</v>
      </c>
      <c r="C2858" s="63"/>
      <c r="D2858" s="60"/>
      <c r="E2858" s="9">
        <v>262</v>
      </c>
      <c r="F2858" s="25">
        <v>43160</v>
      </c>
      <c r="G2858" s="61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62" t="s">
        <v>4054</v>
      </c>
      <c r="B2859" s="58">
        <v>11507771843</v>
      </c>
      <c r="C2859" s="63" t="s">
        <v>4055</v>
      </c>
      <c r="D2859" s="60">
        <v>6898979876</v>
      </c>
      <c r="E2859" s="9">
        <v>292</v>
      </c>
      <c r="F2859" s="25">
        <v>43168</v>
      </c>
      <c r="G2859" s="61" t="s">
        <v>13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4056</v>
      </c>
      <c r="B2860" s="58">
        <v>80024319520</v>
      </c>
      <c r="C2860" s="63"/>
      <c r="D2860" s="60"/>
      <c r="E2860" s="9">
        <v>85</v>
      </c>
      <c r="F2860" s="25">
        <v>43109</v>
      </c>
      <c r="G2860" s="61" t="s">
        <v>13</v>
      </c>
      <c r="H2860" s="25">
        <v>43151</v>
      </c>
      <c r="I2860" s="8"/>
      <c r="J2860" s="8"/>
      <c r="K2860" s="8"/>
      <c r="L2860" s="8"/>
      <c r="M2860" s="8"/>
    </row>
    <row r="2861" spans="1:13">
      <c r="A2861" s="62" t="s">
        <v>4057</v>
      </c>
      <c r="B2861" s="58">
        <v>42597970850</v>
      </c>
      <c r="C2861" s="63" t="s">
        <v>4058</v>
      </c>
      <c r="D2861" s="60">
        <v>35938405882</v>
      </c>
      <c r="E2861" s="9">
        <v>443</v>
      </c>
      <c r="F2861" s="25">
        <v>43188</v>
      </c>
      <c r="G2861" s="61"/>
      <c r="H2861" s="25">
        <v>43192</v>
      </c>
      <c r="I2861" s="8"/>
      <c r="J2861" s="8"/>
      <c r="K2861" s="8"/>
      <c r="L2861" s="8"/>
      <c r="M2861" s="8"/>
    </row>
    <row r="2862" spans="1:13">
      <c r="A2862" s="62" t="s">
        <v>4059</v>
      </c>
      <c r="B2862" s="58">
        <v>36573181867</v>
      </c>
      <c r="C2862" s="63"/>
      <c r="D2862" s="60"/>
      <c r="E2862" s="9"/>
      <c r="F2862" s="25"/>
      <c r="G2862" s="61"/>
      <c r="H2862" s="9"/>
      <c r="I2862" s="8"/>
      <c r="J2862" s="8"/>
      <c r="K2862" s="8"/>
      <c r="L2862" s="8"/>
      <c r="M2862" s="8"/>
    </row>
    <row r="2863" spans="1:13">
      <c r="A2863" s="27" t="s">
        <v>4060</v>
      </c>
      <c r="B2863" s="58"/>
      <c r="C2863" s="27" t="s">
        <v>4061</v>
      </c>
      <c r="D2863" s="60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4062</v>
      </c>
      <c r="B2864" s="58">
        <v>41687673888</v>
      </c>
      <c r="C2864" s="63"/>
      <c r="D2864" s="60"/>
      <c r="E2864" s="9">
        <v>229</v>
      </c>
      <c r="F2864" s="25">
        <v>43151</v>
      </c>
      <c r="G2864" s="61" t="s">
        <v>13</v>
      </c>
      <c r="H2864" s="9"/>
      <c r="I2864" s="8"/>
      <c r="J2864" s="8"/>
      <c r="K2864" s="8"/>
      <c r="L2864" s="9">
        <v>232</v>
      </c>
      <c r="M2864" s="8"/>
    </row>
    <row r="2865" spans="1:13">
      <c r="A2865" s="62" t="s">
        <v>4063</v>
      </c>
      <c r="B2865" s="58">
        <v>48081983805</v>
      </c>
      <c r="C2865" s="68" t="s">
        <v>4064</v>
      </c>
      <c r="D2865" s="60">
        <v>46307294884</v>
      </c>
      <c r="E2865" s="9"/>
      <c r="F2865" s="25"/>
      <c r="G2865" s="61"/>
      <c r="H2865" s="9"/>
      <c r="I2865" s="8"/>
      <c r="J2865" s="8"/>
      <c r="K2865" s="8"/>
      <c r="L2865" s="8"/>
      <c r="M2865" s="8"/>
    </row>
    <row r="2866" spans="1:13">
      <c r="A2866" s="62" t="s">
        <v>4065</v>
      </c>
      <c r="B2866" s="58">
        <v>43249836826</v>
      </c>
      <c r="C2866" s="63" t="s">
        <v>4066</v>
      </c>
      <c r="D2866" s="60">
        <v>41128623854</v>
      </c>
      <c r="E2866" s="9">
        <v>262</v>
      </c>
      <c r="F2866" s="25">
        <v>43160</v>
      </c>
      <c r="G2866" s="61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62" t="s">
        <v>4067</v>
      </c>
      <c r="B2867" s="58">
        <v>43628139856</v>
      </c>
      <c r="C2867" s="63"/>
      <c r="D2867" s="60"/>
      <c r="E2867" s="9">
        <v>1570</v>
      </c>
      <c r="F2867" s="25">
        <v>43077</v>
      </c>
      <c r="G2867" s="61" t="s">
        <v>13</v>
      </c>
      <c r="H2867" s="25">
        <v>43080</v>
      </c>
      <c r="I2867" s="8"/>
      <c r="J2867" s="8"/>
      <c r="K2867" s="8"/>
      <c r="L2867" s="8"/>
      <c r="M2867" s="8"/>
    </row>
    <row r="2868" spans="1:13">
      <c r="A2868" s="62" t="s">
        <v>4068</v>
      </c>
      <c r="B2868" s="58">
        <v>48474391806</v>
      </c>
      <c r="C2868" s="63"/>
      <c r="D2868" s="60"/>
      <c r="E2868" s="9">
        <v>262</v>
      </c>
      <c r="F2868" s="25">
        <v>43160</v>
      </c>
      <c r="G2868" s="61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63" t="s">
        <v>4069</v>
      </c>
      <c r="B2869" s="58">
        <v>11894872681</v>
      </c>
      <c r="C2869" s="63" t="s">
        <v>4070</v>
      </c>
      <c r="D2869" s="60">
        <v>38569239858</v>
      </c>
      <c r="E2869" s="9">
        <v>292</v>
      </c>
      <c r="F2869" s="25">
        <v>43168</v>
      </c>
      <c r="G2869" s="61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62" t="s">
        <v>4071</v>
      </c>
      <c r="B2870" s="58">
        <v>40155044885</v>
      </c>
      <c r="C2870" s="63" t="s">
        <v>4072</v>
      </c>
      <c r="D2870" s="60">
        <v>34935837888</v>
      </c>
      <c r="E2870" s="9">
        <v>292</v>
      </c>
      <c r="F2870" s="25">
        <v>43168</v>
      </c>
      <c r="G2870" s="9" t="s">
        <v>13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64" t="s">
        <v>4073</v>
      </c>
      <c r="B2871" s="58">
        <v>35165262898</v>
      </c>
      <c r="C2871" s="59" t="s">
        <v>4074</v>
      </c>
      <c r="D2871" s="60">
        <v>34112749805</v>
      </c>
      <c r="E2871" s="9">
        <v>1241</v>
      </c>
      <c r="F2871" s="25">
        <v>42992</v>
      </c>
      <c r="G2871" s="61" t="s">
        <v>13</v>
      </c>
      <c r="H2871" s="25">
        <v>42998</v>
      </c>
      <c r="I2871" s="8"/>
      <c r="J2871" s="8"/>
      <c r="K2871" s="8"/>
      <c r="L2871" s="8"/>
      <c r="M2871" s="8"/>
    </row>
    <row r="2872" spans="1:13">
      <c r="A2872" s="62" t="s">
        <v>4075</v>
      </c>
      <c r="B2872" s="58">
        <v>37000833866</v>
      </c>
      <c r="C2872" s="63"/>
      <c r="D2872" s="60"/>
      <c r="E2872" s="9">
        <v>117</v>
      </c>
      <c r="F2872" s="25">
        <v>43117</v>
      </c>
      <c r="G2872" s="61" t="s">
        <v>13</v>
      </c>
      <c r="H2872" s="25">
        <v>43151</v>
      </c>
      <c r="I2872" s="8"/>
      <c r="J2872" s="8"/>
      <c r="K2872" s="8"/>
      <c r="L2872" s="9" t="s">
        <v>170</v>
      </c>
      <c r="M2872" s="8"/>
    </row>
    <row r="2873" spans="1:13">
      <c r="A2873" s="63" t="s">
        <v>4076</v>
      </c>
      <c r="B2873" s="58">
        <v>38211152894</v>
      </c>
      <c r="C2873" s="63"/>
      <c r="D2873" s="60"/>
      <c r="E2873" s="9"/>
      <c r="F2873" s="25"/>
      <c r="G2873" s="61"/>
      <c r="H2873" s="9"/>
      <c r="I2873" s="8"/>
      <c r="J2873" s="8"/>
      <c r="K2873" s="8"/>
      <c r="L2873" s="8"/>
      <c r="M2873" s="8"/>
    </row>
    <row r="2874" spans="1:13">
      <c r="A2874" s="62" t="s">
        <v>4077</v>
      </c>
      <c r="B2874" s="58">
        <v>32280648830</v>
      </c>
      <c r="C2874" s="63"/>
      <c r="D2874" s="60"/>
      <c r="E2874" s="9">
        <v>292</v>
      </c>
      <c r="F2874" s="25">
        <v>43168</v>
      </c>
      <c r="G2874" s="61" t="s">
        <v>13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4078</v>
      </c>
      <c r="B2875" s="58">
        <v>47127932875</v>
      </c>
      <c r="C2875" s="63"/>
      <c r="D2875" s="60"/>
      <c r="E2875" s="9">
        <v>1752</v>
      </c>
      <c r="F2875" s="25">
        <v>43051</v>
      </c>
      <c r="G2875" s="61" t="s">
        <v>13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4079</v>
      </c>
      <c r="B2876" s="58">
        <v>36213127810</v>
      </c>
      <c r="C2876" s="63"/>
      <c r="D2876" s="60"/>
      <c r="E2876" s="9">
        <v>85</v>
      </c>
      <c r="F2876" s="25">
        <v>43109</v>
      </c>
      <c r="G2876" s="61" t="s">
        <v>13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4080</v>
      </c>
      <c r="B2877" s="58">
        <v>40770970885</v>
      </c>
      <c r="C2877" s="63" t="s">
        <v>4081</v>
      </c>
      <c r="D2877" s="60">
        <v>43652847890</v>
      </c>
      <c r="E2877" s="9">
        <v>117</v>
      </c>
      <c r="F2877" s="25">
        <v>43117</v>
      </c>
      <c r="G2877" s="61" t="s">
        <v>13</v>
      </c>
      <c r="H2877" s="25">
        <v>43151</v>
      </c>
      <c r="I2877" s="8"/>
      <c r="J2877" s="8"/>
      <c r="K2877" s="8"/>
      <c r="L2877" s="9" t="s">
        <v>170</v>
      </c>
      <c r="M2877" s="8"/>
    </row>
    <row r="2878" spans="1:13">
      <c r="A2878" s="27" t="s">
        <v>4082</v>
      </c>
      <c r="B2878" s="58"/>
      <c r="C2878" s="18" t="s">
        <v>129</v>
      </c>
      <c r="D2878" s="60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7" t="s">
        <v>4083</v>
      </c>
      <c r="B2879" s="58">
        <v>38462624800</v>
      </c>
      <c r="C2879" s="18" t="s">
        <v>129</v>
      </c>
      <c r="D2879" s="60"/>
      <c r="E2879" s="9"/>
      <c r="F2879" s="25"/>
      <c r="G2879" s="61"/>
      <c r="H2879" s="9"/>
      <c r="I2879" s="8"/>
      <c r="J2879" s="8"/>
      <c r="K2879" s="8"/>
      <c r="L2879" s="8"/>
      <c r="M2879" s="8"/>
    </row>
    <row r="2880" spans="1:13">
      <c r="A2880" s="62" t="s">
        <v>4084</v>
      </c>
      <c r="B2880" s="58">
        <v>30942876890</v>
      </c>
      <c r="C2880" s="63" t="s">
        <v>4085</v>
      </c>
      <c r="D2880" s="60">
        <v>1657015521</v>
      </c>
      <c r="E2880" s="9">
        <v>573</v>
      </c>
      <c r="F2880" s="25">
        <v>43224</v>
      </c>
      <c r="G2880" s="61"/>
      <c r="H2880" s="9"/>
      <c r="I2880" s="8"/>
      <c r="J2880" s="8"/>
      <c r="K2880" s="8"/>
      <c r="L2880" s="8"/>
      <c r="M2880" s="8"/>
    </row>
    <row r="2881" spans="1:13">
      <c r="A2881" s="15" t="s">
        <v>4086</v>
      </c>
      <c r="B2881" s="58">
        <v>34602309836</v>
      </c>
      <c r="C2881" s="63"/>
      <c r="D2881" s="60"/>
      <c r="E2881" s="9">
        <v>229</v>
      </c>
      <c r="F2881" s="25">
        <v>43151</v>
      </c>
      <c r="G2881" s="61" t="s">
        <v>13</v>
      </c>
      <c r="H2881" s="9"/>
      <c r="I2881" s="8"/>
      <c r="J2881" s="8"/>
      <c r="K2881" s="8"/>
      <c r="L2881" s="9">
        <v>232</v>
      </c>
      <c r="M2881" s="8"/>
    </row>
    <row r="2882" spans="1:13">
      <c r="A2882" s="62" t="s">
        <v>4087</v>
      </c>
      <c r="B2882" s="58">
        <v>28146615821</v>
      </c>
      <c r="C2882" s="63"/>
      <c r="D2882" s="60"/>
      <c r="E2882" s="9">
        <v>1570</v>
      </c>
      <c r="F2882" s="25">
        <v>43055</v>
      </c>
      <c r="G2882" s="9" t="s">
        <v>13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4088</v>
      </c>
      <c r="B2883" s="58">
        <v>43027371827</v>
      </c>
      <c r="C2883" s="63"/>
      <c r="D2883" s="60"/>
      <c r="E2883" s="9">
        <v>85</v>
      </c>
      <c r="F2883" s="25">
        <v>43109</v>
      </c>
      <c r="G2883" s="61" t="s">
        <v>13</v>
      </c>
      <c r="H2883" s="25">
        <v>43151</v>
      </c>
      <c r="I2883" s="8"/>
      <c r="J2883" s="8"/>
      <c r="K2883" s="8"/>
      <c r="L2883" s="8"/>
      <c r="M2883" s="8"/>
    </row>
    <row r="2884" spans="1:13">
      <c r="A2884" s="63" t="s">
        <v>4089</v>
      </c>
      <c r="B2884" s="58">
        <v>7104134832</v>
      </c>
      <c r="C2884" s="63"/>
      <c r="D2884" s="60"/>
      <c r="E2884" s="9"/>
      <c r="F2884" s="25"/>
      <c r="G2884" s="61"/>
      <c r="H2884" s="9"/>
      <c r="I2884" s="8"/>
      <c r="J2884" s="8"/>
      <c r="K2884" s="8"/>
      <c r="L2884" s="8"/>
      <c r="M2884" s="8"/>
    </row>
    <row r="2885" spans="1:13">
      <c r="A2885" s="62" t="s">
        <v>4090</v>
      </c>
      <c r="B2885" s="58">
        <v>26468301572</v>
      </c>
      <c r="C2885" s="63"/>
      <c r="D2885" s="60"/>
      <c r="E2885" s="9">
        <v>292</v>
      </c>
      <c r="F2885" s="25">
        <v>43168</v>
      </c>
      <c r="G2885" s="61" t="s">
        <v>13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62" t="s">
        <v>4091</v>
      </c>
      <c r="B2886" s="58">
        <v>28965520819</v>
      </c>
      <c r="C2886" s="63" t="s">
        <v>4092</v>
      </c>
      <c r="D2886" s="60">
        <v>8432372447</v>
      </c>
      <c r="E2886" s="9">
        <v>1824</v>
      </c>
      <c r="F2886" s="25">
        <v>43091</v>
      </c>
      <c r="G2886" s="61" t="s">
        <v>20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62" t="s">
        <v>4093</v>
      </c>
      <c r="B2887" s="58">
        <v>2264797819</v>
      </c>
      <c r="C2887" s="63"/>
      <c r="D2887" s="60"/>
      <c r="E2887" s="9"/>
      <c r="F2887" s="25"/>
      <c r="G2887" s="61"/>
      <c r="H2887" s="9"/>
      <c r="I2887" s="8"/>
      <c r="J2887" s="8"/>
      <c r="K2887" s="8"/>
      <c r="L2887" s="8"/>
      <c r="M2887" s="8"/>
    </row>
    <row r="2888" spans="1:13">
      <c r="A2888" s="62" t="s">
        <v>4094</v>
      </c>
      <c r="B2888" s="58">
        <v>13616640881</v>
      </c>
      <c r="C2888" s="68"/>
      <c r="D2888" s="60"/>
      <c r="E2888" s="9">
        <v>563</v>
      </c>
      <c r="F2888" s="25">
        <v>43217</v>
      </c>
      <c r="G2888" s="61"/>
      <c r="H2888" s="25">
        <v>43234</v>
      </c>
      <c r="I2888" s="8"/>
      <c r="J2888" s="8"/>
      <c r="K2888" s="8"/>
      <c r="L2888" s="9" t="s">
        <v>299</v>
      </c>
      <c r="M2888" s="8"/>
    </row>
    <row r="2889" spans="1:13">
      <c r="A2889" s="62" t="s">
        <v>4095</v>
      </c>
      <c r="B2889" s="58">
        <v>31336065818</v>
      </c>
      <c r="C2889" s="63" t="s">
        <v>4096</v>
      </c>
      <c r="D2889" s="60">
        <v>43264481804</v>
      </c>
      <c r="E2889" s="9">
        <v>1214</v>
      </c>
      <c r="F2889" s="25">
        <v>42989</v>
      </c>
      <c r="G2889" s="61" t="s">
        <v>13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4097</v>
      </c>
      <c r="B2890" s="58">
        <v>29416232807</v>
      </c>
      <c r="C2890" s="63"/>
      <c r="D2890" s="60"/>
      <c r="E2890" s="9"/>
      <c r="F2890" s="25"/>
      <c r="G2890" s="61"/>
      <c r="H2890" s="9"/>
      <c r="I2890" s="8"/>
      <c r="J2890" s="8"/>
      <c r="K2890" s="8"/>
      <c r="L2890" s="8"/>
      <c r="M2890" s="8"/>
    </row>
    <row r="2891" spans="1:13">
      <c r="A2891" s="62" t="s">
        <v>4098</v>
      </c>
      <c r="B2891" s="58">
        <v>64878856491</v>
      </c>
      <c r="C2891" s="63"/>
      <c r="D2891" s="60"/>
      <c r="E2891" s="9">
        <v>262</v>
      </c>
      <c r="F2891" s="25">
        <v>43160</v>
      </c>
      <c r="G2891" s="61" t="s">
        <v>13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4099</v>
      </c>
      <c r="B2892" s="58">
        <v>88589790100</v>
      </c>
      <c r="C2892" s="63"/>
      <c r="D2892" s="60"/>
      <c r="E2892" s="9">
        <v>229</v>
      </c>
      <c r="F2892" s="25">
        <v>43151</v>
      </c>
      <c r="G2892" s="61" t="s">
        <v>13</v>
      </c>
      <c r="H2892" s="9"/>
      <c r="I2892" s="8"/>
      <c r="J2892" s="8"/>
      <c r="K2892" s="8"/>
      <c r="L2892" s="9">
        <v>232</v>
      </c>
      <c r="M2892" s="8"/>
    </row>
    <row r="2893" spans="1:13">
      <c r="A2893" s="62" t="s">
        <v>4100</v>
      </c>
      <c r="B2893" s="58">
        <v>23589275898</v>
      </c>
      <c r="C2893" s="63"/>
      <c r="D2893" s="60"/>
      <c r="E2893" s="9">
        <v>1439</v>
      </c>
      <c r="F2893" s="25">
        <v>43025</v>
      </c>
      <c r="G2893" s="61" t="s">
        <v>13</v>
      </c>
      <c r="H2893" s="25">
        <v>43027</v>
      </c>
      <c r="I2893" s="8"/>
      <c r="J2893" s="8"/>
      <c r="K2893" s="8"/>
      <c r="L2893" s="9" t="s">
        <v>502</v>
      </c>
      <c r="M2893" s="8"/>
    </row>
    <row r="2894" spans="1:13">
      <c r="A2894" s="15" t="s">
        <v>4101</v>
      </c>
      <c r="B2894" s="58">
        <v>2655794494</v>
      </c>
      <c r="C2894" s="63" t="s">
        <v>4102</v>
      </c>
      <c r="D2894" s="60">
        <v>96385081591</v>
      </c>
      <c r="E2894" s="9">
        <v>117</v>
      </c>
      <c r="F2894" s="25">
        <v>43117</v>
      </c>
      <c r="G2894" s="61" t="s">
        <v>13</v>
      </c>
      <c r="H2894" s="25">
        <v>43151</v>
      </c>
      <c r="I2894" s="8"/>
      <c r="J2894" s="8"/>
      <c r="K2894" s="8"/>
      <c r="L2894" s="9" t="s">
        <v>170</v>
      </c>
      <c r="M2894" s="8"/>
    </row>
    <row r="2895" spans="1:13">
      <c r="A2895" s="62" t="s">
        <v>4103</v>
      </c>
      <c r="B2895" s="58">
        <v>38212628850</v>
      </c>
      <c r="C2895" s="63"/>
      <c r="D2895" s="60"/>
      <c r="E2895" s="9">
        <v>1422</v>
      </c>
      <c r="F2895" s="25">
        <v>43018</v>
      </c>
      <c r="G2895" s="61" t="s">
        <v>13</v>
      </c>
      <c r="H2895" s="25">
        <v>43027</v>
      </c>
      <c r="I2895" s="8"/>
      <c r="J2895" s="8"/>
      <c r="K2895" s="8"/>
      <c r="L2895" s="8"/>
      <c r="M2895" s="8"/>
    </row>
    <row r="2896" spans="1:13">
      <c r="A2896" s="62" t="s">
        <v>4104</v>
      </c>
      <c r="B2896" s="58">
        <v>6898125826</v>
      </c>
      <c r="C2896" s="63"/>
      <c r="D2896" s="60"/>
      <c r="E2896" s="9">
        <v>1106</v>
      </c>
      <c r="F2896" s="25">
        <v>42965</v>
      </c>
      <c r="G2896" s="61" t="s">
        <v>13</v>
      </c>
      <c r="H2896" s="25">
        <v>42978</v>
      </c>
      <c r="I2896" s="8"/>
      <c r="J2896" s="8"/>
      <c r="K2896" s="8"/>
      <c r="L2896" s="8"/>
      <c r="M2896" s="8"/>
    </row>
    <row r="2897" spans="1:13">
      <c r="A2897" s="62" t="s">
        <v>4105</v>
      </c>
      <c r="B2897" s="58">
        <v>15520459860</v>
      </c>
      <c r="C2897" s="63"/>
      <c r="D2897" s="60"/>
      <c r="E2897" s="9">
        <v>1489</v>
      </c>
      <c r="F2897" s="25">
        <v>43038</v>
      </c>
      <c r="G2897" s="61" t="s">
        <v>13</v>
      </c>
      <c r="H2897" s="9"/>
      <c r="I2897" s="9">
        <v>229</v>
      </c>
      <c r="J2897" s="25">
        <v>43151</v>
      </c>
      <c r="K2897" s="25">
        <v>43158</v>
      </c>
      <c r="L2897" s="9" t="s">
        <v>160</v>
      </c>
      <c r="M2897" s="25"/>
    </row>
    <row r="2898" spans="1:13">
      <c r="A2898" s="62" t="s">
        <v>4106</v>
      </c>
      <c r="B2898" s="58">
        <v>38085002809</v>
      </c>
      <c r="C2898" s="63" t="s">
        <v>4107</v>
      </c>
      <c r="D2898" s="60">
        <v>27620884882</v>
      </c>
      <c r="E2898" s="9"/>
      <c r="F2898" s="25"/>
      <c r="G2898" s="61"/>
      <c r="H2898" s="9"/>
      <c r="I2898" s="8"/>
      <c r="J2898" s="8"/>
      <c r="K2898" s="8"/>
      <c r="L2898" s="8"/>
      <c r="M2898" s="8"/>
    </row>
    <row r="2899" spans="1:13">
      <c r="A2899" s="62" t="s">
        <v>4108</v>
      </c>
      <c r="B2899" s="58">
        <v>67998755415</v>
      </c>
      <c r="C2899" s="63"/>
      <c r="D2899" s="60"/>
      <c r="E2899" s="9">
        <v>1214</v>
      </c>
      <c r="F2899" s="25">
        <v>42989</v>
      </c>
      <c r="G2899" s="61" t="s">
        <v>13</v>
      </c>
      <c r="H2899" s="25">
        <v>43000</v>
      </c>
      <c r="I2899" s="8"/>
      <c r="J2899" s="8"/>
      <c r="K2899" s="8"/>
      <c r="L2899" s="8"/>
      <c r="M2899" s="8"/>
    </row>
    <row r="2900" spans="1:13">
      <c r="A2900" s="62" t="s">
        <v>4109</v>
      </c>
      <c r="B2900" s="58">
        <v>23357346877</v>
      </c>
      <c r="C2900" s="63" t="s">
        <v>4110</v>
      </c>
      <c r="D2900" s="60">
        <v>39917830880</v>
      </c>
      <c r="E2900" s="9">
        <v>1555</v>
      </c>
      <c r="F2900" s="25">
        <v>43049</v>
      </c>
      <c r="G2900" s="61" t="s">
        <v>13</v>
      </c>
      <c r="H2900" s="9"/>
      <c r="I2900" s="8"/>
      <c r="J2900" s="8"/>
      <c r="K2900" s="8"/>
      <c r="L2900" s="9" t="s">
        <v>398</v>
      </c>
      <c r="M2900" s="8"/>
    </row>
    <row r="2901" spans="1:13">
      <c r="A2901" s="62" t="s">
        <v>4111</v>
      </c>
      <c r="B2901" s="58">
        <v>25491965898</v>
      </c>
      <c r="C2901" s="63"/>
      <c r="D2901" s="60"/>
      <c r="E2901" s="9"/>
      <c r="F2901" s="25"/>
      <c r="G2901" s="61"/>
      <c r="H2901" s="9"/>
      <c r="I2901" s="8"/>
      <c r="J2901" s="8"/>
      <c r="K2901" s="8"/>
      <c r="L2901" s="8"/>
      <c r="M2901" s="8"/>
    </row>
    <row r="2902" spans="1:13">
      <c r="A2902" s="62" t="s">
        <v>4112</v>
      </c>
      <c r="B2902" s="58">
        <v>31365966844</v>
      </c>
      <c r="C2902" s="63"/>
      <c r="D2902" s="60"/>
      <c r="E2902" s="9">
        <v>292</v>
      </c>
      <c r="F2902" s="25">
        <v>43168</v>
      </c>
      <c r="G2902" s="61" t="s">
        <v>13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62" t="s">
        <v>4113</v>
      </c>
      <c r="B2903" s="58">
        <v>33733642805</v>
      </c>
      <c r="C2903" s="63" t="s">
        <v>4114</v>
      </c>
      <c r="D2903" s="60">
        <v>1860087590</v>
      </c>
      <c r="E2903" s="9">
        <v>85</v>
      </c>
      <c r="F2903" s="25">
        <v>43109</v>
      </c>
      <c r="G2903" s="61" t="s">
        <v>13</v>
      </c>
      <c r="H2903" s="25">
        <v>43151</v>
      </c>
      <c r="I2903" s="8"/>
      <c r="J2903" s="8"/>
      <c r="K2903" s="8"/>
      <c r="L2903" s="8"/>
      <c r="M2903" s="8"/>
    </row>
    <row r="2904" spans="1:13">
      <c r="A2904" s="62" t="s">
        <v>4115</v>
      </c>
      <c r="B2904" s="58">
        <v>40426860870</v>
      </c>
      <c r="C2904" s="63"/>
      <c r="D2904" s="60"/>
      <c r="E2904" s="9">
        <v>1106</v>
      </c>
      <c r="F2904" s="25">
        <v>42965</v>
      </c>
      <c r="G2904" s="61" t="s">
        <v>13</v>
      </c>
      <c r="H2904" s="25">
        <v>42978</v>
      </c>
      <c r="I2904" s="8"/>
      <c r="J2904" s="8"/>
      <c r="K2904" s="8"/>
      <c r="L2904" s="8"/>
      <c r="M2904" s="8"/>
    </row>
    <row r="2905" spans="1:13">
      <c r="A2905" s="62" t="s">
        <v>4116</v>
      </c>
      <c r="B2905" s="58">
        <v>5387678802</v>
      </c>
      <c r="C2905" s="63" t="s">
        <v>4117</v>
      </c>
      <c r="D2905" s="60">
        <v>24035160822</v>
      </c>
      <c r="E2905" s="9"/>
      <c r="F2905" s="25"/>
      <c r="G2905" s="61"/>
      <c r="H2905" s="9"/>
      <c r="I2905" s="8"/>
      <c r="J2905" s="8"/>
      <c r="K2905" s="8"/>
      <c r="L2905" s="8"/>
      <c r="M2905" s="8"/>
    </row>
    <row r="2906" spans="1:13">
      <c r="A2906" s="62" t="s">
        <v>4118</v>
      </c>
      <c r="B2906" s="58">
        <v>11428779817</v>
      </c>
      <c r="C2906" s="63"/>
      <c r="D2906" s="60"/>
      <c r="E2906" s="9">
        <v>1350</v>
      </c>
      <c r="F2906" s="25">
        <v>43006</v>
      </c>
      <c r="G2906" s="61" t="s">
        <v>13</v>
      </c>
      <c r="H2906" s="25">
        <v>43011</v>
      </c>
      <c r="I2906" s="8"/>
      <c r="J2906" s="8"/>
      <c r="K2906" s="8"/>
      <c r="L2906" s="8"/>
      <c r="M2906" s="8"/>
    </row>
    <row r="2907" spans="1:13">
      <c r="A2907" s="63" t="s">
        <v>4119</v>
      </c>
      <c r="B2907" s="58">
        <v>41173451846</v>
      </c>
      <c r="C2907" s="63" t="s">
        <v>4120</v>
      </c>
      <c r="D2907" s="60">
        <v>38772076852</v>
      </c>
      <c r="E2907" s="9"/>
      <c r="F2907" s="25"/>
      <c r="G2907" s="61"/>
      <c r="H2907" s="9"/>
      <c r="I2907" s="8"/>
      <c r="J2907" s="8"/>
      <c r="K2907" s="8"/>
      <c r="L2907" s="8"/>
      <c r="M2907" s="8"/>
    </row>
    <row r="2908" spans="1:13">
      <c r="A2908" s="19" t="s">
        <v>4121</v>
      </c>
      <c r="B2908" s="58">
        <v>36432395801</v>
      </c>
      <c r="C2908" s="68" t="s">
        <v>4122</v>
      </c>
      <c r="D2908" s="58">
        <v>94959390549</v>
      </c>
      <c r="E2908" s="9"/>
      <c r="F2908" s="25"/>
      <c r="G2908" s="61"/>
      <c r="H2908" s="9"/>
      <c r="I2908" s="8"/>
      <c r="J2908" s="8"/>
      <c r="K2908" s="8"/>
      <c r="L2908" s="8"/>
      <c r="M2908" s="8"/>
    </row>
    <row r="2909" spans="1:13">
      <c r="A2909" s="62" t="s">
        <v>4123</v>
      </c>
      <c r="B2909" s="58">
        <v>14272488856</v>
      </c>
      <c r="C2909" s="63"/>
      <c r="D2909" s="60"/>
      <c r="E2909" s="9">
        <v>573</v>
      </c>
      <c r="F2909" s="25">
        <v>43224</v>
      </c>
      <c r="G2909" s="61"/>
      <c r="H2909" s="9"/>
      <c r="I2909" s="8"/>
      <c r="J2909" s="8"/>
      <c r="K2909" s="8"/>
      <c r="L2909" s="8"/>
      <c r="M2909" s="8"/>
    </row>
    <row r="2910" spans="1:13">
      <c r="A2910" s="62" t="s">
        <v>4124</v>
      </c>
      <c r="B2910" s="58">
        <v>28196011890</v>
      </c>
      <c r="C2910" s="63" t="s">
        <v>4125</v>
      </c>
      <c r="D2910" s="60">
        <v>73582980553</v>
      </c>
      <c r="E2910" s="9">
        <v>1262</v>
      </c>
      <c r="F2910" s="25">
        <v>42997</v>
      </c>
      <c r="G2910" s="61" t="s">
        <v>13</v>
      </c>
      <c r="H2910" s="25">
        <v>43000</v>
      </c>
      <c r="I2910" s="8"/>
      <c r="J2910" s="8"/>
      <c r="K2910" s="8"/>
      <c r="L2910" s="8"/>
      <c r="M2910" s="8"/>
    </row>
    <row r="2911" spans="1:13">
      <c r="A2911" s="62" t="s">
        <v>4126</v>
      </c>
      <c r="B2911" s="58">
        <v>8710545409</v>
      </c>
      <c r="C2911" s="63" t="s">
        <v>4127</v>
      </c>
      <c r="D2911" s="60">
        <v>39137257846</v>
      </c>
      <c r="E2911" s="9"/>
      <c r="F2911" s="25"/>
      <c r="G2911" s="61"/>
      <c r="H2911" s="9"/>
      <c r="I2911" s="8"/>
      <c r="J2911" s="8"/>
      <c r="K2911" s="8"/>
      <c r="L2911" s="8"/>
      <c r="M2911" s="8"/>
    </row>
    <row r="2912" spans="1:13">
      <c r="A2912" s="62" t="s">
        <v>4128</v>
      </c>
      <c r="B2912" s="58">
        <v>6826115816</v>
      </c>
      <c r="C2912" s="63"/>
      <c r="D2912" s="60"/>
      <c r="E2912" s="9"/>
      <c r="F2912" s="25"/>
      <c r="G2912" s="61"/>
      <c r="H2912" s="9"/>
      <c r="I2912" s="8"/>
      <c r="J2912" s="8"/>
      <c r="K2912" s="8"/>
      <c r="L2912" s="8"/>
      <c r="M2912" s="8"/>
    </row>
    <row r="2913" spans="1:13">
      <c r="A2913" s="62" t="s">
        <v>4129</v>
      </c>
      <c r="B2913" s="58">
        <v>27279265880</v>
      </c>
      <c r="C2913" s="68" t="s">
        <v>4130</v>
      </c>
      <c r="D2913" s="60">
        <v>63886073572</v>
      </c>
      <c r="E2913" s="9"/>
      <c r="F2913" s="25"/>
      <c r="G2913" s="61"/>
      <c r="H2913" s="9"/>
      <c r="I2913" s="8"/>
      <c r="J2913" s="8"/>
      <c r="K2913" s="8"/>
      <c r="L2913" s="8"/>
      <c r="M2913" s="8"/>
    </row>
    <row r="2914" spans="1:13">
      <c r="A2914" s="27" t="s">
        <v>4131</v>
      </c>
      <c r="B2914" s="58">
        <v>2973007844</v>
      </c>
      <c r="C2914" s="18" t="s">
        <v>129</v>
      </c>
      <c r="D2914" s="60"/>
      <c r="E2914" s="9"/>
      <c r="F2914" s="25"/>
      <c r="G2914" s="61"/>
      <c r="H2914" s="9"/>
      <c r="I2914" s="8"/>
      <c r="J2914" s="8"/>
      <c r="K2914" s="8"/>
      <c r="L2914" s="8"/>
      <c r="M2914" s="8"/>
    </row>
    <row r="2915" spans="1:13">
      <c r="A2915" s="62" t="s">
        <v>4132</v>
      </c>
      <c r="B2915" s="58">
        <v>20636195813</v>
      </c>
      <c r="C2915" s="63"/>
      <c r="D2915" s="60"/>
      <c r="E2915" s="9"/>
      <c r="F2915" s="25"/>
      <c r="G2915" s="61"/>
      <c r="H2915" s="9"/>
      <c r="I2915" s="8"/>
      <c r="J2915" s="8"/>
      <c r="K2915" s="8"/>
      <c r="L2915" s="8"/>
      <c r="M2915" s="8"/>
    </row>
    <row r="2916" spans="1:13">
      <c r="A2916" s="15" t="s">
        <v>4133</v>
      </c>
      <c r="B2916" s="58">
        <v>63168421553</v>
      </c>
      <c r="C2916" s="63"/>
      <c r="D2916" s="60"/>
      <c r="E2916" s="9">
        <v>229</v>
      </c>
      <c r="F2916" s="25">
        <v>43151</v>
      </c>
      <c r="G2916" s="61" t="s">
        <v>13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4134</v>
      </c>
      <c r="B2917" s="58">
        <v>97080756391</v>
      </c>
      <c r="C2917" s="59" t="s">
        <v>4135</v>
      </c>
      <c r="D2917" s="60">
        <v>78464463391</v>
      </c>
      <c r="E2917" s="9">
        <v>1343</v>
      </c>
      <c r="F2917" s="25">
        <v>43004</v>
      </c>
      <c r="G2917" s="61" t="s">
        <v>13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4136</v>
      </c>
      <c r="B2918" s="58">
        <v>38027796814</v>
      </c>
      <c r="C2918" s="63"/>
      <c r="D2918" s="60"/>
      <c r="E2918" s="9">
        <v>443</v>
      </c>
      <c r="F2918" s="25">
        <v>43188</v>
      </c>
      <c r="G2918" s="61"/>
      <c r="H2918" s="25">
        <v>43192</v>
      </c>
      <c r="I2918" s="8"/>
      <c r="J2918" s="8"/>
      <c r="K2918" s="8"/>
      <c r="L2918" s="8"/>
      <c r="M2918" s="8"/>
    </row>
    <row r="2919" spans="1:13">
      <c r="A2919" s="27" t="s">
        <v>4137</v>
      </c>
      <c r="B2919" s="58">
        <v>542688778</v>
      </c>
      <c r="C2919" s="18" t="s">
        <v>129</v>
      </c>
      <c r="D2919" s="60"/>
      <c r="E2919" s="9"/>
      <c r="F2919" s="25"/>
      <c r="G2919" s="61"/>
      <c r="H2919" s="9"/>
      <c r="I2919" s="8"/>
      <c r="J2919" s="8"/>
      <c r="K2919" s="8"/>
      <c r="L2919" s="8"/>
      <c r="M2919" s="8"/>
    </row>
    <row r="2920" spans="1:13">
      <c r="A2920" s="62" t="s">
        <v>4138</v>
      </c>
      <c r="B2920" s="58">
        <v>6814675846</v>
      </c>
      <c r="C2920" s="68"/>
      <c r="D2920" s="60"/>
      <c r="E2920" s="9"/>
      <c r="F2920" s="25"/>
      <c r="G2920" s="61"/>
      <c r="H2920" s="9"/>
      <c r="I2920" s="8"/>
      <c r="J2920" s="8"/>
      <c r="K2920" s="8"/>
      <c r="L2920" s="8"/>
      <c r="M2920" s="8"/>
    </row>
    <row r="2921" spans="1:13">
      <c r="A2921" s="62" t="s">
        <v>4139</v>
      </c>
      <c r="B2921" s="58">
        <v>19521938854</v>
      </c>
      <c r="C2921" s="63" t="s">
        <v>4140</v>
      </c>
      <c r="D2921" s="60">
        <v>16398980506</v>
      </c>
      <c r="E2921" s="9">
        <v>1214</v>
      </c>
      <c r="F2921" s="25">
        <v>42989</v>
      </c>
      <c r="G2921" s="61" t="s">
        <v>13</v>
      </c>
      <c r="H2921" s="25">
        <v>43000</v>
      </c>
      <c r="I2921" s="8"/>
      <c r="J2921" s="8"/>
      <c r="K2921" s="8"/>
      <c r="L2921" s="8"/>
      <c r="M2921" s="8"/>
    </row>
    <row r="2922" spans="1:13">
      <c r="A2922" s="62" t="s">
        <v>4141</v>
      </c>
      <c r="B2922" s="58">
        <v>22970050838</v>
      </c>
      <c r="C2922" s="63"/>
      <c r="D2922" s="60"/>
      <c r="E2922" s="9"/>
      <c r="F2922" s="25"/>
      <c r="G2922" s="61"/>
      <c r="H2922" s="9"/>
      <c r="I2922" s="8"/>
      <c r="J2922" s="8"/>
      <c r="K2922" s="8"/>
      <c r="L2922" s="8"/>
      <c r="M2922" s="8"/>
    </row>
    <row r="2923" spans="1:13">
      <c r="A2923" s="14" t="s">
        <v>4142</v>
      </c>
      <c r="B2923" s="58">
        <v>26307121840</v>
      </c>
      <c r="C2923" s="63"/>
      <c r="D2923" s="60"/>
      <c r="E2923" s="9">
        <v>262</v>
      </c>
      <c r="F2923" s="25">
        <v>43160</v>
      </c>
      <c r="G2923" s="61" t="s">
        <v>13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62" t="s">
        <v>4143</v>
      </c>
      <c r="B2924" s="58">
        <v>300564546</v>
      </c>
      <c r="C2924" s="63"/>
      <c r="D2924" s="60"/>
      <c r="E2924" s="9">
        <v>1106</v>
      </c>
      <c r="F2924" s="25">
        <v>42965</v>
      </c>
      <c r="G2924" s="61" t="s">
        <v>13</v>
      </c>
      <c r="H2924" s="25">
        <v>42978</v>
      </c>
      <c r="I2924" s="8"/>
      <c r="J2924" s="8"/>
      <c r="K2924" s="8"/>
      <c r="L2924" s="8"/>
      <c r="M2924" s="8"/>
    </row>
    <row r="2925" spans="1:13">
      <c r="A2925" s="62" t="s">
        <v>4144</v>
      </c>
      <c r="B2925" s="58">
        <v>81710763272</v>
      </c>
      <c r="C2925" s="68" t="s">
        <v>4145</v>
      </c>
      <c r="D2925" s="60">
        <v>36354836809</v>
      </c>
      <c r="E2925" s="9"/>
      <c r="F2925" s="25"/>
      <c r="G2925" s="61"/>
      <c r="H2925" s="9"/>
      <c r="I2925" s="8"/>
      <c r="J2925" s="8"/>
      <c r="K2925" s="8"/>
      <c r="L2925" s="8"/>
      <c r="M2925" s="8"/>
    </row>
    <row r="2926" spans="1:13">
      <c r="A2926" s="62" t="s">
        <v>4146</v>
      </c>
      <c r="B2926" s="58">
        <v>1095911511</v>
      </c>
      <c r="C2926" s="63"/>
      <c r="D2926" s="60"/>
      <c r="E2926" s="9">
        <v>1214</v>
      </c>
      <c r="F2926" s="25">
        <v>42989</v>
      </c>
      <c r="G2926" s="61" t="s">
        <v>13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4147</v>
      </c>
      <c r="B2927" s="58">
        <v>35453812850</v>
      </c>
      <c r="C2927" s="18" t="s">
        <v>4148</v>
      </c>
      <c r="D2927" s="60">
        <v>27351961867</v>
      </c>
      <c r="E2927" s="9"/>
      <c r="F2927" s="25"/>
      <c r="G2927" s="61"/>
      <c r="H2927" s="9"/>
      <c r="I2927" s="8"/>
      <c r="J2927" s="8"/>
      <c r="K2927" s="8"/>
      <c r="L2927" s="8"/>
      <c r="M2927" s="8"/>
    </row>
    <row r="2928" spans="1:13">
      <c r="A2928" s="63" t="s">
        <v>4149</v>
      </c>
      <c r="B2928" s="58">
        <v>26836941808</v>
      </c>
      <c r="C2928" s="63"/>
      <c r="D2928" s="60"/>
      <c r="E2928" s="9"/>
      <c r="F2928" s="25"/>
      <c r="G2928" s="61"/>
      <c r="H2928" s="9"/>
      <c r="I2928" s="8"/>
      <c r="J2928" s="8"/>
      <c r="K2928" s="8"/>
      <c r="L2928" s="8"/>
      <c r="M2928" s="8"/>
    </row>
    <row r="2929" spans="1:13">
      <c r="A2929" s="62" t="s">
        <v>4150</v>
      </c>
      <c r="B2929" s="58">
        <v>22665008807</v>
      </c>
      <c r="C2929" s="63" t="s">
        <v>4151</v>
      </c>
      <c r="D2929" s="60">
        <v>35575903800</v>
      </c>
      <c r="E2929" s="9">
        <v>262</v>
      </c>
      <c r="F2929" s="25">
        <v>43160</v>
      </c>
      <c r="G2929" s="9" t="s">
        <v>13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4152</v>
      </c>
      <c r="B2930" s="58">
        <v>38657793873</v>
      </c>
      <c r="C2930" s="59"/>
      <c r="D2930" s="60"/>
      <c r="E2930" s="9">
        <v>1359</v>
      </c>
      <c r="F2930" s="25">
        <v>43006</v>
      </c>
      <c r="G2930" s="61" t="s">
        <v>13</v>
      </c>
      <c r="H2930" s="25">
        <v>43011</v>
      </c>
      <c r="I2930" s="8"/>
      <c r="J2930" s="8"/>
      <c r="K2930" s="8"/>
      <c r="L2930" s="8"/>
      <c r="M2930" s="8"/>
    </row>
    <row r="2931" spans="1:13">
      <c r="A2931" s="62" t="s">
        <v>4153</v>
      </c>
      <c r="B2931" s="58">
        <v>41032382830</v>
      </c>
      <c r="C2931" s="63"/>
      <c r="D2931" s="60"/>
      <c r="E2931" s="9">
        <v>573</v>
      </c>
      <c r="F2931" s="25">
        <v>43224</v>
      </c>
      <c r="G2931" s="61"/>
      <c r="H2931" s="9"/>
      <c r="I2931" s="8"/>
      <c r="J2931" s="8"/>
      <c r="K2931" s="8"/>
      <c r="L2931" s="8"/>
      <c r="M2931" s="8"/>
    </row>
    <row r="2932" spans="1:13">
      <c r="A2932" s="63" t="s">
        <v>4154</v>
      </c>
      <c r="B2932" s="58">
        <v>60615920357</v>
      </c>
      <c r="C2932" s="63" t="s">
        <v>4155</v>
      </c>
      <c r="D2932" s="60">
        <v>4818511358</v>
      </c>
      <c r="E2932" s="9">
        <v>292</v>
      </c>
      <c r="F2932" s="25">
        <v>43168</v>
      </c>
      <c r="G2932" s="9" t="s">
        <v>13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62" t="s">
        <v>4156</v>
      </c>
      <c r="B2933" s="58">
        <v>22353439888</v>
      </c>
      <c r="C2933" s="63"/>
      <c r="D2933" s="60"/>
      <c r="E2933" s="9">
        <v>262</v>
      </c>
      <c r="F2933" s="25">
        <v>43160</v>
      </c>
      <c r="G2933" s="61" t="s">
        <v>13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62" t="s">
        <v>4157</v>
      </c>
      <c r="B2934" s="58">
        <v>31633338851</v>
      </c>
      <c r="C2934" s="63" t="s">
        <v>4158</v>
      </c>
      <c r="D2934" s="60">
        <v>42441481835</v>
      </c>
      <c r="E2934" s="9">
        <v>563</v>
      </c>
      <c r="F2934" s="25">
        <v>43217</v>
      </c>
      <c r="G2934" s="61"/>
      <c r="H2934" s="25">
        <v>43234</v>
      </c>
      <c r="I2934" s="8"/>
      <c r="J2934" s="8"/>
      <c r="K2934" s="8"/>
      <c r="L2934" s="9" t="s">
        <v>299</v>
      </c>
      <c r="M2934" s="8"/>
    </row>
    <row r="2935" spans="1:13">
      <c r="A2935" s="62" t="s">
        <v>4159</v>
      </c>
      <c r="B2935" s="58">
        <v>42518509801</v>
      </c>
      <c r="C2935" s="63" t="s">
        <v>4160</v>
      </c>
      <c r="D2935" s="60">
        <v>36320707844</v>
      </c>
      <c r="E2935" s="9">
        <v>1752</v>
      </c>
      <c r="F2935" s="25">
        <v>43051</v>
      </c>
      <c r="G2935" s="61" t="s">
        <v>28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62" t="s">
        <v>4161</v>
      </c>
      <c r="B2936" s="58">
        <v>22958464806</v>
      </c>
      <c r="C2936" s="63" t="s">
        <v>4162</v>
      </c>
      <c r="D2936" s="60">
        <v>13499554852</v>
      </c>
      <c r="E2936" s="9"/>
      <c r="F2936" s="25"/>
      <c r="G2936" s="61"/>
      <c r="H2936" s="9"/>
      <c r="I2936" s="8"/>
      <c r="J2936" s="8"/>
      <c r="K2936" s="8"/>
      <c r="L2936" s="8"/>
      <c r="M2936" s="8"/>
    </row>
    <row r="2937" spans="1:13">
      <c r="A2937" s="13" t="s">
        <v>4163</v>
      </c>
      <c r="B2937" s="58">
        <v>31152044850</v>
      </c>
      <c r="C2937" s="63" t="s">
        <v>4164</v>
      </c>
      <c r="D2937" s="60">
        <v>31152043889</v>
      </c>
      <c r="E2937" s="9">
        <v>1128</v>
      </c>
      <c r="F2937" s="25">
        <v>42972</v>
      </c>
      <c r="G2937" s="61" t="s">
        <v>13</v>
      </c>
      <c r="H2937" s="25">
        <v>42979</v>
      </c>
      <c r="I2937" s="8"/>
      <c r="J2937" s="8"/>
      <c r="K2937" s="8"/>
      <c r="L2937" s="8"/>
      <c r="M2937" s="8"/>
    </row>
    <row r="2938" spans="1:13">
      <c r="A2938" s="62" t="s">
        <v>4165</v>
      </c>
      <c r="B2938" s="58">
        <v>33608896813</v>
      </c>
      <c r="C2938" s="63"/>
      <c r="D2938" s="60"/>
      <c r="E2938" s="9">
        <v>292</v>
      </c>
      <c r="F2938" s="25">
        <v>43168</v>
      </c>
      <c r="G2938" s="61" t="s">
        <v>13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0" t="s">
        <v>4166</v>
      </c>
      <c r="B2939" s="71">
        <v>35805723859</v>
      </c>
      <c r="C2939" s="72" t="s">
        <v>4167</v>
      </c>
      <c r="D2939" s="73">
        <v>12726161855</v>
      </c>
      <c r="E2939" s="45">
        <v>1824</v>
      </c>
      <c r="F2939" s="46">
        <v>43091</v>
      </c>
      <c r="G2939" s="74" t="s">
        <v>20</v>
      </c>
      <c r="H2939" s="46">
        <v>43097</v>
      </c>
      <c r="I2939" s="47"/>
      <c r="J2939" s="47"/>
      <c r="K2939" s="47"/>
      <c r="L2939" s="9">
        <v>1828</v>
      </c>
      <c r="M2939" s="47"/>
    </row>
    <row r="2940" spans="1:13">
      <c r="A2940" s="14" t="s">
        <v>4168</v>
      </c>
      <c r="B2940" s="58">
        <v>53387955820</v>
      </c>
      <c r="C2940" s="63"/>
      <c r="D2940" s="60"/>
      <c r="E2940" s="9">
        <v>262</v>
      </c>
      <c r="F2940" s="25">
        <v>43160</v>
      </c>
      <c r="G2940" s="61" t="s">
        <v>13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4169</v>
      </c>
      <c r="B2941" s="58">
        <v>7358002431</v>
      </c>
      <c r="C2941" s="63" t="s">
        <v>4170</v>
      </c>
      <c r="D2941" s="60">
        <v>11491307684</v>
      </c>
      <c r="E2941" s="9"/>
      <c r="F2941" s="25"/>
      <c r="G2941" s="61"/>
      <c r="H2941" s="9"/>
      <c r="I2941" s="8"/>
      <c r="J2941" s="8"/>
      <c r="K2941" s="8"/>
      <c r="L2941" s="8"/>
      <c r="M2941" s="8"/>
    </row>
    <row r="2942" spans="1:13">
      <c r="A2942" s="62" t="s">
        <v>4171</v>
      </c>
      <c r="B2942" s="58">
        <v>23154529888</v>
      </c>
      <c r="C2942" s="63"/>
      <c r="D2942" s="60"/>
      <c r="E2942" s="9">
        <v>1106</v>
      </c>
      <c r="F2942" s="25">
        <v>42965</v>
      </c>
      <c r="G2942" s="61" t="s">
        <v>13</v>
      </c>
      <c r="H2942" s="25">
        <v>42978</v>
      </c>
      <c r="I2942" s="8"/>
      <c r="J2942" s="8"/>
      <c r="K2942" s="8"/>
      <c r="L2942" s="8"/>
      <c r="M2942" s="8"/>
    </row>
    <row r="2943" spans="1:13">
      <c r="A2943" s="62" t="s">
        <v>4172</v>
      </c>
      <c r="B2943" s="58">
        <v>43354497807</v>
      </c>
      <c r="C2943" s="63" t="s">
        <v>4173</v>
      </c>
      <c r="D2943" s="60">
        <v>40802896855</v>
      </c>
      <c r="E2943" s="9">
        <v>1214</v>
      </c>
      <c r="F2943" s="25">
        <v>42989</v>
      </c>
      <c r="G2943" s="61" t="s">
        <v>13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4174</v>
      </c>
      <c r="B2944" s="58">
        <v>43586522800</v>
      </c>
      <c r="C2944" s="59" t="s">
        <v>4175</v>
      </c>
      <c r="D2944" s="60">
        <v>43586522800</v>
      </c>
      <c r="E2944" s="9">
        <v>1128</v>
      </c>
      <c r="F2944" s="25">
        <v>42972</v>
      </c>
      <c r="G2944" s="61" t="s">
        <v>13</v>
      </c>
      <c r="H2944" s="25">
        <v>42979</v>
      </c>
      <c r="I2944" s="8"/>
      <c r="J2944" s="8"/>
      <c r="K2944" s="8"/>
      <c r="L2944" s="8"/>
      <c r="M2944" s="8"/>
    </row>
    <row r="2945" spans="1:13">
      <c r="A2945" s="62" t="s">
        <v>4176</v>
      </c>
      <c r="B2945" s="58">
        <v>17447067865</v>
      </c>
      <c r="C2945" s="63" t="s">
        <v>4177</v>
      </c>
      <c r="D2945" s="60">
        <v>34629773851</v>
      </c>
      <c r="E2945" s="9">
        <v>443</v>
      </c>
      <c r="F2945" s="25">
        <v>43188</v>
      </c>
      <c r="G2945" s="61"/>
      <c r="H2945" s="25">
        <v>43192</v>
      </c>
      <c r="I2945" s="8"/>
      <c r="J2945" s="8"/>
      <c r="K2945" s="8"/>
      <c r="L2945" s="8"/>
      <c r="M2945" s="8"/>
    </row>
    <row r="2946" spans="1:13">
      <c r="A2946" s="62" t="s">
        <v>4178</v>
      </c>
      <c r="B2946" s="58">
        <v>3568560542</v>
      </c>
      <c r="C2946" s="63" t="s">
        <v>4179</v>
      </c>
      <c r="D2946" s="60">
        <v>4078587500</v>
      </c>
      <c r="E2946" s="9">
        <v>1106</v>
      </c>
      <c r="F2946" s="25">
        <v>42965</v>
      </c>
      <c r="G2946" s="61" t="s">
        <v>13</v>
      </c>
      <c r="H2946" s="25">
        <v>42978</v>
      </c>
      <c r="I2946" s="8"/>
      <c r="J2946" s="8"/>
      <c r="K2946" s="8"/>
      <c r="L2946" s="8"/>
      <c r="M2946" s="8"/>
    </row>
    <row r="2947" spans="1:13">
      <c r="A2947" s="62" t="s">
        <v>4180</v>
      </c>
      <c r="B2947" s="58">
        <v>12729952837</v>
      </c>
      <c r="C2947" s="64"/>
      <c r="D2947" s="60"/>
      <c r="E2947" s="9">
        <v>573</v>
      </c>
      <c r="F2947" s="25">
        <v>43224</v>
      </c>
      <c r="G2947" s="61"/>
      <c r="H2947" s="9"/>
      <c r="I2947" s="8"/>
      <c r="J2947" s="8"/>
      <c r="K2947" s="8"/>
      <c r="L2947" s="8"/>
      <c r="M2947" s="8"/>
    </row>
    <row r="2948" spans="1:13">
      <c r="A2948" s="14" t="s">
        <v>4181</v>
      </c>
      <c r="B2948" s="58">
        <v>29122711856</v>
      </c>
      <c r="C2948" s="63"/>
      <c r="D2948" s="60"/>
      <c r="E2948" s="9">
        <v>527</v>
      </c>
      <c r="F2948" s="25">
        <v>43210</v>
      </c>
      <c r="G2948" s="61"/>
      <c r="H2948" s="9"/>
      <c r="I2948" s="8"/>
      <c r="J2948" s="8"/>
      <c r="K2948" s="8"/>
      <c r="L2948" s="9">
        <v>528</v>
      </c>
      <c r="M2948" s="8"/>
    </row>
    <row r="2949" spans="1:13">
      <c r="A2949" s="62" t="s">
        <v>4182</v>
      </c>
      <c r="B2949" s="58">
        <v>17621509805</v>
      </c>
      <c r="C2949" s="63"/>
      <c r="D2949" s="60"/>
      <c r="E2949" s="9">
        <v>117</v>
      </c>
      <c r="F2949" s="25">
        <v>43117</v>
      </c>
      <c r="G2949" s="61"/>
      <c r="H2949" s="25">
        <v>43151</v>
      </c>
      <c r="I2949" s="8"/>
      <c r="J2949" s="8"/>
      <c r="K2949" s="8"/>
      <c r="L2949" s="9" t="s">
        <v>170</v>
      </c>
      <c r="M2949" s="8"/>
    </row>
    <row r="2950" spans="1:13">
      <c r="A2950" s="62" t="s">
        <v>4183</v>
      </c>
      <c r="B2950" s="58">
        <v>42008783804</v>
      </c>
      <c r="C2950" s="63"/>
      <c r="D2950" s="60"/>
      <c r="E2950" s="9">
        <v>1214</v>
      </c>
      <c r="F2950" s="25">
        <v>42989</v>
      </c>
      <c r="G2950" s="61" t="s">
        <v>13</v>
      </c>
      <c r="H2950" s="25">
        <v>43000</v>
      </c>
      <c r="I2950" s="8"/>
      <c r="J2950" s="8"/>
      <c r="K2950" s="8"/>
      <c r="L2950" s="8"/>
      <c r="M2950" s="8"/>
    </row>
    <row r="2951" spans="1:13">
      <c r="A2951" s="62" t="s">
        <v>4184</v>
      </c>
      <c r="B2951" s="58">
        <v>28666465840</v>
      </c>
      <c r="C2951" s="63"/>
      <c r="D2951" s="60"/>
      <c r="E2951" s="9">
        <v>1106</v>
      </c>
      <c r="F2951" s="25">
        <v>42965</v>
      </c>
      <c r="G2951" s="61" t="s">
        <v>13</v>
      </c>
      <c r="H2951" s="25">
        <v>42978</v>
      </c>
      <c r="I2951" s="8"/>
      <c r="J2951" s="8"/>
      <c r="K2951" s="8"/>
      <c r="L2951" s="8"/>
      <c r="M2951" s="8"/>
    </row>
    <row r="2952" spans="1:13">
      <c r="A2952" s="27" t="s">
        <v>4185</v>
      </c>
      <c r="B2952" s="58"/>
      <c r="C2952" s="27" t="s">
        <v>4186</v>
      </c>
      <c r="D2952" s="60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4187</v>
      </c>
      <c r="B2953" s="58">
        <v>1326462857</v>
      </c>
      <c r="C2953" s="63" t="s">
        <v>4188</v>
      </c>
      <c r="D2953" s="60">
        <v>4906141838</v>
      </c>
      <c r="E2953" s="9">
        <v>229</v>
      </c>
      <c r="F2953" s="25">
        <v>43151</v>
      </c>
      <c r="G2953" s="61" t="s">
        <v>13</v>
      </c>
      <c r="H2953" s="9"/>
      <c r="I2953" s="8"/>
      <c r="J2953" s="8"/>
      <c r="K2953" s="8"/>
      <c r="L2953" s="9">
        <v>232</v>
      </c>
      <c r="M2953" s="8"/>
    </row>
    <row r="2954" spans="1:13">
      <c r="A2954" s="27" t="s">
        <v>4189</v>
      </c>
      <c r="B2954" s="58">
        <v>7722903428</v>
      </c>
      <c r="C2954" s="27" t="s">
        <v>4190</v>
      </c>
      <c r="D2954" s="60">
        <v>4796211527</v>
      </c>
      <c r="E2954" s="9"/>
      <c r="F2954" s="25"/>
      <c r="G2954" s="61"/>
      <c r="H2954" s="9"/>
      <c r="I2954" s="8"/>
      <c r="J2954" s="8"/>
      <c r="K2954" s="8"/>
      <c r="L2954" s="8"/>
      <c r="M2954" s="8"/>
    </row>
    <row r="2955" spans="1:13">
      <c r="A2955" s="62" t="s">
        <v>4191</v>
      </c>
      <c r="B2955" s="58">
        <v>13239796899</v>
      </c>
      <c r="C2955" s="63"/>
      <c r="D2955" s="60"/>
      <c r="E2955" s="9"/>
      <c r="F2955" s="25"/>
      <c r="G2955" s="61"/>
      <c r="H2955" s="9"/>
      <c r="I2955" s="8"/>
      <c r="J2955" s="8"/>
      <c r="K2955" s="8"/>
      <c r="L2955" s="8"/>
      <c r="M2955" s="8"/>
    </row>
    <row r="2956" spans="1:13">
      <c r="A2956" s="62" t="s">
        <v>4192</v>
      </c>
      <c r="B2956" s="58">
        <v>37794411874</v>
      </c>
      <c r="C2956" s="63" t="s">
        <v>4193</v>
      </c>
      <c r="D2956" s="60">
        <v>13827421420</v>
      </c>
      <c r="E2956" s="9">
        <v>262</v>
      </c>
      <c r="F2956" s="25">
        <v>43160</v>
      </c>
      <c r="G2956" s="61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4194</v>
      </c>
      <c r="B2957" s="58">
        <v>15796080865</v>
      </c>
      <c r="C2957" s="63"/>
      <c r="D2957" s="60"/>
      <c r="E2957" s="9"/>
      <c r="F2957" s="25"/>
      <c r="G2957" s="61"/>
      <c r="H2957" s="9"/>
      <c r="I2957" s="8"/>
      <c r="J2957" s="8"/>
      <c r="K2957" s="8"/>
      <c r="L2957" s="8"/>
      <c r="M2957" s="8"/>
    </row>
    <row r="2958" spans="1:13">
      <c r="A2958" s="62" t="s">
        <v>4195</v>
      </c>
      <c r="B2958" s="58">
        <v>34093287856</v>
      </c>
      <c r="C2958" s="59" t="s">
        <v>4196</v>
      </c>
      <c r="D2958" s="60">
        <v>1517221536</v>
      </c>
      <c r="E2958" s="9">
        <v>1489</v>
      </c>
      <c r="F2958" s="25"/>
      <c r="G2958" s="61" t="s">
        <v>13</v>
      </c>
      <c r="H2958" s="9"/>
      <c r="I2958" s="8"/>
      <c r="J2958" s="8"/>
      <c r="K2958" s="8"/>
      <c r="L2958" s="9" t="s">
        <v>160</v>
      </c>
      <c r="M2958" s="8"/>
    </row>
    <row r="2959" spans="1:13">
      <c r="A2959" s="62" t="s">
        <v>4197</v>
      </c>
      <c r="B2959" s="58">
        <v>29289559845</v>
      </c>
      <c r="C2959" s="63" t="s">
        <v>4198</v>
      </c>
      <c r="D2959" s="60">
        <v>25585724827</v>
      </c>
      <c r="E2959" s="9">
        <v>1752</v>
      </c>
      <c r="F2959" s="25">
        <v>43051</v>
      </c>
      <c r="G2959" s="61" t="s">
        <v>13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7" t="s">
        <v>4199</v>
      </c>
      <c r="B2960" s="58"/>
      <c r="C2960" s="27" t="s">
        <v>4200</v>
      </c>
      <c r="D2960" s="60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4201</v>
      </c>
      <c r="B2961" s="58">
        <v>17804578806</v>
      </c>
      <c r="C2961" s="63"/>
      <c r="D2961" s="60"/>
      <c r="E2961" s="9"/>
      <c r="F2961" s="25"/>
      <c r="G2961" s="61"/>
      <c r="H2961" s="9"/>
      <c r="I2961" s="8"/>
      <c r="J2961" s="8"/>
      <c r="K2961" s="8"/>
      <c r="L2961" s="8"/>
      <c r="M2961" s="8"/>
    </row>
    <row r="2962" spans="1:13">
      <c r="A2962" s="18" t="s">
        <v>4202</v>
      </c>
      <c r="B2962" s="58">
        <v>8625208860</v>
      </c>
      <c r="C2962" s="18"/>
      <c r="D2962" s="60"/>
      <c r="E2962" s="9"/>
      <c r="F2962" s="25"/>
      <c r="G2962" s="61"/>
      <c r="H2962" s="9"/>
      <c r="I2962" s="8"/>
      <c r="J2962" s="8"/>
      <c r="K2962" s="8"/>
      <c r="L2962" s="8"/>
      <c r="M2962" s="8"/>
    </row>
    <row r="2963" spans="1:13">
      <c r="A2963" s="62" t="s">
        <v>4203</v>
      </c>
      <c r="B2963" s="58">
        <v>14757050852</v>
      </c>
      <c r="C2963" s="63"/>
      <c r="D2963" s="60"/>
      <c r="E2963" s="9">
        <v>485</v>
      </c>
      <c r="F2963" s="25">
        <v>43196</v>
      </c>
      <c r="G2963" s="61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63" t="s">
        <v>4204</v>
      </c>
      <c r="B2964" s="58">
        <v>24724589833</v>
      </c>
      <c r="C2964" s="63"/>
      <c r="D2964" s="60"/>
      <c r="E2964" s="9"/>
      <c r="F2964" s="25"/>
      <c r="G2964" s="61"/>
      <c r="H2964" s="9"/>
      <c r="I2964" s="8"/>
      <c r="J2964" s="8"/>
      <c r="K2964" s="8"/>
      <c r="L2964" s="8"/>
      <c r="M2964" s="8"/>
    </row>
    <row r="2965" spans="1:13">
      <c r="A2965" s="14" t="s">
        <v>4205</v>
      </c>
      <c r="B2965" s="58">
        <v>29226299889</v>
      </c>
      <c r="C2965" s="63"/>
      <c r="D2965" s="60"/>
      <c r="E2965" s="9">
        <v>262</v>
      </c>
      <c r="F2965" s="25">
        <v>43160</v>
      </c>
      <c r="G2965" s="61" t="s">
        <v>13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4206</v>
      </c>
      <c r="B2966" s="58">
        <v>32368859802</v>
      </c>
      <c r="C2966" s="59" t="s">
        <v>4207</v>
      </c>
      <c r="D2966" s="60">
        <v>28517056876</v>
      </c>
      <c r="E2966" s="9">
        <v>1343</v>
      </c>
      <c r="F2966" s="25">
        <v>43004</v>
      </c>
      <c r="G2966" s="61" t="s">
        <v>13</v>
      </c>
      <c r="H2966" s="25">
        <v>43011</v>
      </c>
      <c r="I2966" s="8"/>
      <c r="J2966" s="8"/>
      <c r="K2966" s="8"/>
      <c r="L2966" s="8"/>
      <c r="M2966" s="8"/>
    </row>
    <row r="2967" spans="1:13">
      <c r="A2967" s="63" t="s">
        <v>4208</v>
      </c>
      <c r="B2967" s="58">
        <v>35104711803</v>
      </c>
      <c r="C2967" s="63" t="s">
        <v>4209</v>
      </c>
      <c r="D2967" s="60">
        <v>34881906844</v>
      </c>
      <c r="E2967" s="9">
        <v>292</v>
      </c>
      <c r="F2967" s="25">
        <v>43168</v>
      </c>
      <c r="G2967" s="9" t="s">
        <v>13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7" t="s">
        <v>4210</v>
      </c>
      <c r="B2968" s="58">
        <v>23093033802</v>
      </c>
      <c r="C2968" s="27" t="s">
        <v>4211</v>
      </c>
      <c r="D2968" s="60">
        <v>23828837824</v>
      </c>
      <c r="E2968" s="9"/>
      <c r="F2968" s="25"/>
      <c r="G2968" s="61"/>
      <c r="H2968" s="9"/>
      <c r="I2968" s="8"/>
      <c r="J2968" s="8"/>
      <c r="K2968" s="8"/>
      <c r="L2968" s="8"/>
      <c r="M2968" s="8"/>
    </row>
    <row r="2969" spans="1:13">
      <c r="A2969" s="64" t="s">
        <v>4212</v>
      </c>
      <c r="B2969" s="58">
        <v>92605494420</v>
      </c>
      <c r="C2969" s="63" t="s">
        <v>4213</v>
      </c>
      <c r="D2969" s="60">
        <v>37622834866</v>
      </c>
      <c r="E2969" s="9">
        <v>608</v>
      </c>
      <c r="F2969" s="25">
        <v>43012</v>
      </c>
      <c r="G2969" s="61" t="s">
        <v>13</v>
      </c>
      <c r="H2969" s="25">
        <v>43024</v>
      </c>
      <c r="I2969" s="8"/>
      <c r="J2969" s="8"/>
      <c r="K2969" s="8"/>
      <c r="L2969" s="8"/>
      <c r="M2969" s="8"/>
    </row>
    <row r="2970" spans="1:13">
      <c r="A2970" s="62" t="s">
        <v>4214</v>
      </c>
      <c r="B2970" s="58">
        <v>27646989843</v>
      </c>
      <c r="C2970" s="63" t="s">
        <v>4215</v>
      </c>
      <c r="D2970" s="60">
        <v>269739793</v>
      </c>
      <c r="E2970" s="9"/>
      <c r="F2970" s="25"/>
      <c r="G2970" s="61"/>
      <c r="H2970" s="9"/>
      <c r="I2970" s="8"/>
      <c r="J2970" s="8"/>
      <c r="K2970" s="8"/>
      <c r="L2970" s="8"/>
      <c r="M2970" s="8"/>
    </row>
    <row r="2971" spans="1:13">
      <c r="A2971" s="62" t="s">
        <v>4216</v>
      </c>
      <c r="B2971" s="58">
        <v>33572449855</v>
      </c>
      <c r="C2971" s="63"/>
      <c r="D2971" s="60"/>
      <c r="E2971" s="9">
        <v>292</v>
      </c>
      <c r="F2971" s="25">
        <v>43168</v>
      </c>
      <c r="G2971" s="61" t="s">
        <v>13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7" t="s">
        <v>4217</v>
      </c>
      <c r="B2972" s="58">
        <v>29312608860</v>
      </c>
      <c r="C2972" s="27" t="s">
        <v>4218</v>
      </c>
      <c r="D2972" s="60">
        <v>42189748372</v>
      </c>
      <c r="E2972" s="9"/>
      <c r="F2972" s="25"/>
      <c r="G2972" s="61"/>
      <c r="H2972" s="9"/>
      <c r="I2972" s="8"/>
      <c r="J2972" s="8"/>
      <c r="K2972" s="8"/>
      <c r="L2972" s="8"/>
      <c r="M2972" s="8"/>
    </row>
    <row r="2973" spans="1:13">
      <c r="A2973" s="27" t="s">
        <v>4219</v>
      </c>
      <c r="B2973" s="58"/>
      <c r="C2973" s="27" t="s">
        <v>4220</v>
      </c>
      <c r="D2973" s="60"/>
      <c r="E2973" s="9"/>
      <c r="F2973" s="25"/>
      <c r="G2973" s="61"/>
      <c r="H2973" s="9"/>
      <c r="I2973" s="8"/>
      <c r="J2973" s="8"/>
      <c r="K2973" s="8"/>
      <c r="L2973" s="8"/>
      <c r="M2973" s="8"/>
    </row>
    <row r="2974" spans="1:13">
      <c r="A2974" s="62" t="s">
        <v>4221</v>
      </c>
      <c r="B2974" s="58">
        <v>73427489434</v>
      </c>
      <c r="C2974" s="63"/>
      <c r="D2974" s="60"/>
      <c r="E2974" s="9">
        <v>1824</v>
      </c>
      <c r="F2974" s="25">
        <v>43091</v>
      </c>
      <c r="G2974" s="61" t="s">
        <v>13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62" t="s">
        <v>4222</v>
      </c>
      <c r="B2975" s="58">
        <v>42291334808</v>
      </c>
      <c r="C2975" s="63"/>
      <c r="D2975" s="60"/>
      <c r="E2975" s="9"/>
      <c r="F2975" s="25"/>
      <c r="G2975" s="61"/>
      <c r="H2975" s="9"/>
      <c r="I2975" s="8"/>
      <c r="J2975" s="8"/>
      <c r="K2975" s="8"/>
      <c r="L2975" s="8"/>
      <c r="M2975" s="8"/>
    </row>
    <row r="2976" spans="1:13">
      <c r="A2976" s="15" t="s">
        <v>4223</v>
      </c>
      <c r="B2976" s="58">
        <v>42448150826</v>
      </c>
      <c r="C2976" s="63"/>
      <c r="D2976" s="60"/>
      <c r="E2976" s="9"/>
      <c r="F2976" s="25"/>
      <c r="G2976" s="61"/>
      <c r="H2976" s="9"/>
      <c r="I2976" s="8"/>
      <c r="J2976" s="8"/>
      <c r="K2976" s="8"/>
      <c r="L2976" s="8"/>
      <c r="M2976" s="8"/>
    </row>
    <row r="2977" spans="1:13">
      <c r="A2977" s="62" t="s">
        <v>4224</v>
      </c>
      <c r="B2977" s="58">
        <v>26129970838</v>
      </c>
      <c r="C2977" s="68"/>
      <c r="D2977" s="60"/>
      <c r="E2977" s="9"/>
      <c r="F2977" s="25"/>
      <c r="G2977" s="61"/>
      <c r="H2977" s="9"/>
      <c r="I2977" s="8"/>
      <c r="J2977" s="8"/>
      <c r="K2977" s="8"/>
      <c r="L2977" s="8"/>
      <c r="M2977" s="8"/>
    </row>
    <row r="2978" spans="1:13">
      <c r="A2978" s="62" t="s">
        <v>4225</v>
      </c>
      <c r="B2978" s="58">
        <v>13345290510</v>
      </c>
      <c r="C2978" s="68"/>
      <c r="D2978" s="60"/>
      <c r="E2978" s="9"/>
      <c r="F2978" s="25"/>
      <c r="G2978" s="61"/>
      <c r="H2978" s="9"/>
      <c r="I2978" s="8"/>
      <c r="J2978" s="8"/>
      <c r="K2978" s="8"/>
      <c r="L2978" s="8"/>
      <c r="M2978" s="8"/>
    </row>
    <row r="2979" spans="1:13">
      <c r="A2979" s="62" t="s">
        <v>4226</v>
      </c>
      <c r="B2979" s="58">
        <v>17486829894</v>
      </c>
      <c r="C2979" s="63"/>
      <c r="D2979" s="60"/>
      <c r="E2979" s="9"/>
      <c r="F2979" s="25"/>
      <c r="G2979" s="61"/>
      <c r="H2979" s="9"/>
      <c r="I2979" s="8"/>
      <c r="J2979" s="8"/>
      <c r="K2979" s="8"/>
      <c r="L2979" s="8"/>
      <c r="M2979" s="8"/>
    </row>
    <row r="2980" spans="1:13">
      <c r="A2980" s="62" t="s">
        <v>4227</v>
      </c>
      <c r="B2980" s="58">
        <v>47917531864</v>
      </c>
      <c r="C2980" s="63"/>
      <c r="D2980" s="60"/>
      <c r="E2980" s="9">
        <v>292</v>
      </c>
      <c r="F2980" s="25">
        <v>43168</v>
      </c>
      <c r="G2980" s="61" t="s">
        <v>13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62" t="s">
        <v>4228</v>
      </c>
      <c r="B2981" s="58">
        <v>28905805809</v>
      </c>
      <c r="C2981" s="63"/>
      <c r="D2981" s="60"/>
      <c r="E2981" s="9">
        <v>292</v>
      </c>
      <c r="F2981" s="25">
        <v>43168</v>
      </c>
      <c r="G2981" s="9" t="s">
        <v>13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4229</v>
      </c>
      <c r="B2982" s="58">
        <v>13562151810</v>
      </c>
      <c r="C2982" s="63" t="s">
        <v>4230</v>
      </c>
      <c r="D2982" s="60">
        <v>47393076772</v>
      </c>
      <c r="E2982" s="9">
        <v>292</v>
      </c>
      <c r="F2982" s="25">
        <v>43168</v>
      </c>
      <c r="G2982" s="61" t="s">
        <v>20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4231</v>
      </c>
      <c r="B2983" s="58">
        <v>10488541832</v>
      </c>
      <c r="C2983" s="63" t="s">
        <v>4232</v>
      </c>
      <c r="D2983" s="60">
        <v>8437233860</v>
      </c>
      <c r="E2983" s="9">
        <v>229</v>
      </c>
      <c r="F2983" s="25">
        <v>43151</v>
      </c>
      <c r="G2983" s="61" t="s">
        <v>13</v>
      </c>
      <c r="H2983" s="9"/>
      <c r="I2983" s="8"/>
      <c r="J2983" s="8"/>
      <c r="K2983" s="8"/>
      <c r="L2983" s="9">
        <v>232</v>
      </c>
      <c r="M2983" s="8"/>
    </row>
    <row r="2984" spans="1:13">
      <c r="A2984" s="27" t="s">
        <v>4233</v>
      </c>
      <c r="B2984" s="58">
        <v>52291168894</v>
      </c>
      <c r="C2984" s="27" t="s">
        <v>129</v>
      </c>
      <c r="D2984" s="60"/>
      <c r="E2984" s="9"/>
      <c r="F2984" s="25"/>
      <c r="G2984" s="61"/>
      <c r="H2984" s="9"/>
      <c r="I2984" s="8"/>
      <c r="J2984" s="8"/>
      <c r="K2984" s="8"/>
      <c r="L2984" s="8"/>
      <c r="M2984" s="8"/>
    </row>
    <row r="2985" spans="1:13">
      <c r="A2985" s="62" t="s">
        <v>4234</v>
      </c>
      <c r="B2985" s="58">
        <v>32455945855</v>
      </c>
      <c r="C2985" s="68" t="s">
        <v>4235</v>
      </c>
      <c r="D2985" s="60">
        <v>27999500860</v>
      </c>
      <c r="E2985" s="9"/>
      <c r="F2985" s="25"/>
      <c r="G2985" s="61"/>
      <c r="H2985" s="9"/>
      <c r="I2985" s="8"/>
      <c r="J2985" s="8"/>
      <c r="K2985" s="8"/>
      <c r="L2985" s="8"/>
      <c r="M2985" s="8"/>
    </row>
    <row r="2986" spans="1:13">
      <c r="A2986" s="62" t="s">
        <v>4236</v>
      </c>
      <c r="B2986" s="58">
        <v>7127228663</v>
      </c>
      <c r="C2986" s="63" t="s">
        <v>4237</v>
      </c>
      <c r="D2986" s="60">
        <v>18053058833</v>
      </c>
      <c r="E2986" s="9">
        <v>1628</v>
      </c>
      <c r="F2986" s="25">
        <v>43077</v>
      </c>
      <c r="G2986" s="61" t="s">
        <v>13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4238</v>
      </c>
      <c r="B2987" s="58">
        <v>37583850835</v>
      </c>
      <c r="C2987" s="63"/>
      <c r="D2987" s="60"/>
      <c r="E2987" s="9">
        <v>262</v>
      </c>
      <c r="F2987" s="25">
        <v>43160</v>
      </c>
      <c r="G2987" s="61" t="s">
        <v>13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62" t="s">
        <v>4239</v>
      </c>
      <c r="B2988" s="58">
        <v>32318059888</v>
      </c>
      <c r="C2988" s="59" t="s">
        <v>4240</v>
      </c>
      <c r="D2988" s="60">
        <v>38564888807</v>
      </c>
      <c r="E2988" s="9">
        <v>1128</v>
      </c>
      <c r="F2988" s="25">
        <v>42972</v>
      </c>
      <c r="G2988" s="61" t="s">
        <v>13</v>
      </c>
      <c r="H2988" s="25">
        <v>42979</v>
      </c>
      <c r="I2988" s="8"/>
      <c r="J2988" s="8"/>
      <c r="K2988" s="8"/>
      <c r="L2988" s="8"/>
      <c r="M2988" s="8"/>
    </row>
    <row r="2989" spans="1:13">
      <c r="A2989" s="62" t="s">
        <v>4241</v>
      </c>
      <c r="B2989" s="58">
        <v>37055826829</v>
      </c>
      <c r="C2989" s="59"/>
      <c r="D2989" s="60"/>
      <c r="E2989" s="9"/>
      <c r="F2989" s="25"/>
      <c r="G2989" s="61"/>
      <c r="H2989" s="9"/>
      <c r="I2989" s="8"/>
      <c r="J2989" s="8"/>
      <c r="K2989" s="8"/>
      <c r="L2989" s="8"/>
      <c r="M2989" s="8"/>
    </row>
    <row r="2990" spans="1:13">
      <c r="A2990" s="15" t="s">
        <v>4242</v>
      </c>
      <c r="B2990" s="58">
        <v>35005474862</v>
      </c>
      <c r="C2990" s="63"/>
      <c r="D2990" s="60"/>
      <c r="E2990" s="9">
        <v>229</v>
      </c>
      <c r="F2990" s="25">
        <v>43151</v>
      </c>
      <c r="G2990" s="61" t="s">
        <v>13</v>
      </c>
      <c r="H2990" s="9"/>
      <c r="I2990" s="8"/>
      <c r="J2990" s="8"/>
      <c r="K2990" s="8"/>
      <c r="L2990" s="9">
        <v>232</v>
      </c>
      <c r="M2990" s="8"/>
    </row>
    <row r="2991" spans="1:13">
      <c r="A2991" s="62" t="s">
        <v>4243</v>
      </c>
      <c r="B2991" s="58">
        <v>35043932899</v>
      </c>
      <c r="C2991" s="63"/>
      <c r="D2991" s="60"/>
      <c r="E2991" s="9">
        <v>1241</v>
      </c>
      <c r="F2991" s="25">
        <v>42992</v>
      </c>
      <c r="G2991" s="61" t="s">
        <v>13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4244</v>
      </c>
      <c r="B2992" s="58">
        <v>37915656805</v>
      </c>
      <c r="C2992" s="63"/>
      <c r="D2992" s="60"/>
      <c r="E2992" s="9">
        <v>1350</v>
      </c>
      <c r="F2992" s="25">
        <v>43006</v>
      </c>
      <c r="G2992" s="61" t="s">
        <v>13</v>
      </c>
      <c r="H2992" s="25">
        <v>43011</v>
      </c>
      <c r="I2992" s="8"/>
      <c r="J2992" s="8"/>
      <c r="K2992" s="8"/>
      <c r="L2992" s="8"/>
      <c r="M2992" s="8"/>
    </row>
    <row r="2993" spans="1:13">
      <c r="A2993" s="63" t="s">
        <v>4245</v>
      </c>
      <c r="B2993" s="58">
        <v>45255799866</v>
      </c>
      <c r="C2993" s="63" t="s">
        <v>4246</v>
      </c>
      <c r="D2993" s="60">
        <v>41679681850</v>
      </c>
      <c r="E2993" s="9"/>
      <c r="F2993" s="25"/>
      <c r="G2993" s="61"/>
      <c r="H2993" s="9"/>
      <c r="I2993" s="8"/>
      <c r="J2993" s="8"/>
      <c r="K2993" s="8"/>
      <c r="L2993" s="8"/>
      <c r="M2993" s="8"/>
    </row>
    <row r="2994" spans="1:13">
      <c r="A2994" s="62" t="s">
        <v>4247</v>
      </c>
      <c r="B2994" s="58">
        <v>31808398807</v>
      </c>
      <c r="C2994" s="63"/>
      <c r="D2994" s="60"/>
      <c r="E2994" s="9">
        <v>1824</v>
      </c>
      <c r="F2994" s="25">
        <v>43091</v>
      </c>
      <c r="G2994" s="61" t="s">
        <v>13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63" t="s">
        <v>4248</v>
      </c>
      <c r="B2995" s="58">
        <v>37570860829</v>
      </c>
      <c r="C2995" s="63" t="s">
        <v>4249</v>
      </c>
      <c r="D2995" s="60">
        <v>19529409826</v>
      </c>
      <c r="E2995" s="9">
        <v>292</v>
      </c>
      <c r="F2995" s="25">
        <v>43168</v>
      </c>
      <c r="G2995" s="61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4250</v>
      </c>
      <c r="B2996" s="58">
        <v>22340616875</v>
      </c>
      <c r="C2996" s="59"/>
      <c r="D2996" s="60"/>
      <c r="E2996" s="9">
        <v>1128</v>
      </c>
      <c r="F2996" s="25">
        <v>42972</v>
      </c>
      <c r="G2996" s="61" t="s">
        <v>13</v>
      </c>
      <c r="H2996" s="25">
        <v>42979</v>
      </c>
      <c r="I2996" s="8"/>
      <c r="J2996" s="8"/>
      <c r="K2996" s="8"/>
      <c r="L2996" s="8"/>
      <c r="M2996" s="8"/>
    </row>
    <row r="2997" spans="1:13">
      <c r="A2997" s="62" t="s">
        <v>4251</v>
      </c>
      <c r="B2997" s="58">
        <v>41397558814</v>
      </c>
      <c r="C2997" s="63"/>
      <c r="D2997" s="60"/>
      <c r="E2997" s="9"/>
      <c r="F2997" s="25"/>
      <c r="G2997" s="61"/>
      <c r="H2997" s="9"/>
      <c r="I2997" s="8"/>
      <c r="J2997" s="8"/>
      <c r="K2997" s="8"/>
      <c r="L2997" s="8"/>
      <c r="M2997" s="8"/>
    </row>
    <row r="2998" spans="1:13">
      <c r="A2998" s="18" t="s">
        <v>4252</v>
      </c>
      <c r="B2998" s="58">
        <v>25712620847</v>
      </c>
      <c r="C2998" s="18" t="s">
        <v>4253</v>
      </c>
      <c r="D2998" s="60">
        <v>11577952855</v>
      </c>
      <c r="E2998" s="9"/>
      <c r="F2998" s="25"/>
      <c r="G2998" s="61"/>
      <c r="H2998" s="9"/>
      <c r="I2998" s="8"/>
      <c r="J2998" s="8"/>
      <c r="K2998" s="8"/>
      <c r="L2998" s="8"/>
      <c r="M2998" s="8"/>
    </row>
    <row r="2999" spans="1:13">
      <c r="A2999" s="62" t="s">
        <v>4254</v>
      </c>
      <c r="B2999" s="58">
        <v>36200448809</v>
      </c>
      <c r="C2999" s="68"/>
      <c r="D2999" s="60"/>
      <c r="E2999" s="9">
        <v>563</v>
      </c>
      <c r="F2999" s="25">
        <v>43217</v>
      </c>
      <c r="G2999" s="61"/>
      <c r="H2999" s="25">
        <v>43234</v>
      </c>
      <c r="I2999" s="8"/>
      <c r="J2999" s="8"/>
      <c r="K2999" s="8"/>
      <c r="L2999" s="9" t="s">
        <v>299</v>
      </c>
      <c r="M2999" s="8"/>
    </row>
    <row r="3000" spans="1:13">
      <c r="A3000" s="63" t="s">
        <v>4255</v>
      </c>
      <c r="B3000" s="58">
        <v>40000949809</v>
      </c>
      <c r="C3000" s="63" t="s">
        <v>4256</v>
      </c>
      <c r="D3000" s="60">
        <v>37870797855</v>
      </c>
      <c r="E3000" s="9">
        <v>563</v>
      </c>
      <c r="F3000" s="25">
        <v>43217</v>
      </c>
      <c r="G3000" s="61"/>
      <c r="H3000" s="25">
        <v>43234</v>
      </c>
      <c r="I3000" s="8"/>
      <c r="J3000" s="8"/>
      <c r="K3000" s="8"/>
      <c r="L3000" s="9" t="s">
        <v>299</v>
      </c>
      <c r="M3000" s="8"/>
    </row>
    <row r="3001" spans="1:13">
      <c r="A3001" s="62" t="s">
        <v>4257</v>
      </c>
      <c r="B3001" s="58">
        <v>31051889839</v>
      </c>
      <c r="C3001" s="63"/>
      <c r="D3001" s="60"/>
      <c r="E3001" s="9"/>
      <c r="F3001" s="25"/>
      <c r="G3001" s="61"/>
      <c r="H3001" s="9"/>
      <c r="I3001" s="8"/>
      <c r="J3001" s="8"/>
      <c r="K3001" s="8"/>
      <c r="L3001" s="8"/>
      <c r="M3001" s="8"/>
    </row>
    <row r="3002" spans="1:13">
      <c r="A3002" s="62" t="s">
        <v>4258</v>
      </c>
      <c r="B3002" s="58">
        <v>22305123825</v>
      </c>
      <c r="C3002" s="63"/>
      <c r="D3002" s="60"/>
      <c r="E3002" s="9">
        <v>443</v>
      </c>
      <c r="F3002" s="25">
        <v>43188</v>
      </c>
      <c r="G3002" s="61"/>
      <c r="H3002" s="25">
        <v>43192</v>
      </c>
      <c r="I3002" s="8"/>
      <c r="J3002" s="8"/>
      <c r="K3002" s="8"/>
      <c r="L3002" s="8"/>
      <c r="M3002" s="8"/>
    </row>
    <row r="3003" spans="1:13">
      <c r="A3003" s="62" t="s">
        <v>4259</v>
      </c>
      <c r="B3003" s="58">
        <v>25731827893</v>
      </c>
      <c r="C3003" s="63"/>
      <c r="D3003" s="60"/>
      <c r="E3003" s="9"/>
      <c r="F3003" s="25"/>
      <c r="G3003" s="61"/>
      <c r="H3003" s="9"/>
      <c r="I3003" s="8"/>
      <c r="J3003" s="8"/>
      <c r="K3003" s="8"/>
      <c r="L3003" s="8"/>
      <c r="M3003" s="8"/>
    </row>
    <row r="3004" spans="1:13">
      <c r="A3004" s="27" t="s">
        <v>4260</v>
      </c>
      <c r="B3004" s="58"/>
      <c r="C3004" s="27" t="s">
        <v>129</v>
      </c>
      <c r="D3004" s="60"/>
      <c r="E3004" s="9"/>
      <c r="F3004" s="25"/>
      <c r="G3004" s="61"/>
      <c r="H3004" s="9"/>
      <c r="I3004" s="8"/>
      <c r="J3004" s="8"/>
      <c r="K3004" s="8"/>
      <c r="L3004" s="8"/>
      <c r="M3004" s="8"/>
    </row>
    <row r="3005" spans="1:13">
      <c r="A3005" s="62" t="s">
        <v>4261</v>
      </c>
      <c r="B3005" s="58">
        <v>4804195823</v>
      </c>
      <c r="C3005" s="63"/>
      <c r="D3005" s="60"/>
      <c r="E3005" s="9">
        <v>1752</v>
      </c>
      <c r="F3005" s="25">
        <v>43051</v>
      </c>
      <c r="G3005" s="74" t="s">
        <v>13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4262</v>
      </c>
      <c r="B3006" s="58">
        <v>20815840500</v>
      </c>
      <c r="C3006" s="63"/>
      <c r="D3006" s="60"/>
      <c r="E3006" s="9"/>
      <c r="F3006" s="25"/>
      <c r="G3006" s="61"/>
      <c r="H3006" s="9"/>
      <c r="I3006" s="8"/>
      <c r="J3006" s="8"/>
      <c r="K3006" s="8"/>
      <c r="L3006" s="8"/>
      <c r="M3006" s="8"/>
    </row>
    <row r="3007" spans="1:13">
      <c r="A3007" s="62" t="s">
        <v>4263</v>
      </c>
      <c r="B3007" s="58">
        <v>13517396893</v>
      </c>
      <c r="C3007" s="63" t="s">
        <v>4264</v>
      </c>
      <c r="D3007" s="60">
        <v>61574252453</v>
      </c>
      <c r="E3007" s="9">
        <v>262</v>
      </c>
      <c r="F3007" s="25">
        <v>43160</v>
      </c>
      <c r="G3007" s="61" t="s">
        <v>20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62" t="s">
        <v>4265</v>
      </c>
      <c r="B3008" s="58">
        <v>31851990810</v>
      </c>
      <c r="C3008" s="59"/>
      <c r="D3008" s="60"/>
      <c r="E3008" s="9">
        <v>1128</v>
      </c>
      <c r="F3008" s="25">
        <v>42972</v>
      </c>
      <c r="G3008" s="61" t="s">
        <v>13</v>
      </c>
      <c r="H3008" s="25">
        <v>42979</v>
      </c>
      <c r="I3008" s="8"/>
      <c r="J3008" s="8"/>
      <c r="K3008" s="8"/>
      <c r="L3008" s="8"/>
      <c r="M3008" s="8"/>
    </row>
    <row r="3009" spans="1:13">
      <c r="A3009" s="27" t="s">
        <v>4266</v>
      </c>
      <c r="B3009" s="58"/>
      <c r="C3009" s="27" t="s">
        <v>4267</v>
      </c>
      <c r="D3009" s="60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4268</v>
      </c>
      <c r="B3010" s="58">
        <v>43238179837</v>
      </c>
      <c r="C3010" s="63"/>
      <c r="D3010" s="60"/>
      <c r="E3010" s="9">
        <v>85</v>
      </c>
      <c r="F3010" s="25">
        <v>43109</v>
      </c>
      <c r="G3010" s="61" t="s">
        <v>13</v>
      </c>
      <c r="H3010" s="25">
        <v>43151</v>
      </c>
      <c r="I3010" s="8"/>
      <c r="J3010" s="8"/>
      <c r="K3010" s="8"/>
      <c r="L3010" s="8"/>
      <c r="M3010" s="8"/>
    </row>
    <row r="3011" spans="1:13">
      <c r="A3011" s="62" t="s">
        <v>4269</v>
      </c>
      <c r="B3011" s="58">
        <v>372312519</v>
      </c>
      <c r="C3011" s="59"/>
      <c r="D3011" s="60"/>
      <c r="E3011" s="9">
        <v>1241</v>
      </c>
      <c r="F3011" s="25">
        <v>42992</v>
      </c>
      <c r="G3011" s="61" t="s">
        <v>13</v>
      </c>
      <c r="H3011" s="25">
        <v>42998</v>
      </c>
      <c r="I3011" s="8"/>
      <c r="J3011" s="8"/>
      <c r="K3011" s="8"/>
      <c r="L3011" s="8"/>
      <c r="M3011" s="8"/>
    </row>
    <row r="3012" spans="1:13">
      <c r="A3012" s="62" t="s">
        <v>4270</v>
      </c>
      <c r="B3012" s="58">
        <v>4609966654</v>
      </c>
      <c r="C3012" s="63" t="s">
        <v>4271</v>
      </c>
      <c r="D3012" s="60">
        <v>28402756867</v>
      </c>
      <c r="E3012" s="9">
        <v>292</v>
      </c>
      <c r="F3012" s="25">
        <v>43168</v>
      </c>
      <c r="G3012" s="61" t="s">
        <v>13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4272</v>
      </c>
      <c r="B3013" s="58">
        <v>3480463401</v>
      </c>
      <c r="C3013" s="63"/>
      <c r="D3013" s="60"/>
      <c r="E3013" s="9">
        <v>229</v>
      </c>
      <c r="F3013" s="25">
        <v>43151</v>
      </c>
      <c r="G3013" s="61" t="s">
        <v>13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4273</v>
      </c>
      <c r="B3014" s="58">
        <v>37763674822</v>
      </c>
      <c r="C3014" s="63"/>
      <c r="D3014" s="60"/>
      <c r="E3014" s="9">
        <v>85</v>
      </c>
      <c r="F3014" s="25">
        <v>43109</v>
      </c>
      <c r="G3014" s="61" t="s">
        <v>13</v>
      </c>
      <c r="H3014" s="25">
        <v>43151</v>
      </c>
      <c r="I3014" s="8"/>
      <c r="J3014" s="8"/>
      <c r="K3014" s="8"/>
      <c r="L3014" s="8"/>
      <c r="M3014" s="8"/>
    </row>
    <row r="3015" spans="1:13">
      <c r="A3015" s="62" t="s">
        <v>4274</v>
      </c>
      <c r="B3015" s="58">
        <v>36829911826</v>
      </c>
      <c r="C3015" s="63"/>
      <c r="D3015" s="60"/>
      <c r="E3015" s="9"/>
      <c r="F3015" s="25"/>
      <c r="G3015" s="61"/>
      <c r="H3015" s="9"/>
      <c r="I3015" s="8"/>
      <c r="J3015" s="8"/>
      <c r="K3015" s="8"/>
      <c r="L3015" s="8"/>
      <c r="M3015" s="8"/>
    </row>
    <row r="3016" spans="1:13">
      <c r="A3016" s="62" t="s">
        <v>4275</v>
      </c>
      <c r="B3016" s="58">
        <v>38556797890</v>
      </c>
      <c r="C3016" s="59"/>
      <c r="D3016" s="60"/>
      <c r="E3016" s="9">
        <v>1214</v>
      </c>
      <c r="F3016" s="25">
        <v>42989</v>
      </c>
      <c r="G3016" s="61" t="s">
        <v>13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4276</v>
      </c>
      <c r="B3017" s="58"/>
      <c r="C3017" s="18"/>
      <c r="D3017" s="60"/>
      <c r="E3017" s="9"/>
      <c r="F3017" s="25"/>
      <c r="G3017" s="61"/>
      <c r="H3017" s="9"/>
      <c r="I3017" s="8"/>
      <c r="J3017" s="8"/>
      <c r="K3017" s="8"/>
      <c r="L3017" s="8"/>
      <c r="M3017" s="8"/>
    </row>
    <row r="3018" spans="1:13">
      <c r="A3018" s="27" t="s">
        <v>4276</v>
      </c>
      <c r="B3018" s="58"/>
      <c r="C3018" s="18" t="s">
        <v>129</v>
      </c>
      <c r="D3018" s="60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7" t="s">
        <v>4277</v>
      </c>
      <c r="B3019" s="58"/>
      <c r="C3019" s="27" t="s">
        <v>129</v>
      </c>
      <c r="D3019" s="60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4278</v>
      </c>
      <c r="B3020" s="58">
        <v>40882575880</v>
      </c>
      <c r="C3020" s="63" t="s">
        <v>4279</v>
      </c>
      <c r="D3020" s="60">
        <v>39163987848</v>
      </c>
      <c r="E3020" s="9">
        <v>292</v>
      </c>
      <c r="F3020" s="25">
        <v>43168</v>
      </c>
      <c r="G3020" s="61" t="s">
        <v>13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7" t="s">
        <v>4280</v>
      </c>
      <c r="B3021" s="58"/>
      <c r="C3021" s="27" t="s">
        <v>129</v>
      </c>
      <c r="D3021" s="60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62" t="s">
        <v>4281</v>
      </c>
      <c r="B3022" s="58">
        <v>46121067845</v>
      </c>
      <c r="C3022" s="63"/>
      <c r="D3022" s="60"/>
      <c r="E3022" s="9">
        <v>527</v>
      </c>
      <c r="F3022" s="25">
        <v>43210</v>
      </c>
      <c r="G3022" s="61"/>
      <c r="H3022" s="9"/>
      <c r="I3022" s="8"/>
      <c r="J3022" s="8"/>
      <c r="K3022" s="8"/>
      <c r="L3022" s="9">
        <v>528</v>
      </c>
      <c r="M3022" s="8"/>
    </row>
    <row r="3023" spans="1:13">
      <c r="A3023" s="62" t="s">
        <v>4282</v>
      </c>
      <c r="B3023" s="58">
        <v>34795476802</v>
      </c>
      <c r="C3023" s="63"/>
      <c r="D3023" s="60"/>
      <c r="E3023" s="9">
        <v>262</v>
      </c>
      <c r="F3023" s="25">
        <v>43160</v>
      </c>
      <c r="G3023" s="9" t="s">
        <v>13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4283</v>
      </c>
      <c r="B3024" s="58">
        <v>32883243859</v>
      </c>
      <c r="C3024" s="18"/>
      <c r="D3024" s="60"/>
      <c r="E3024" s="9"/>
      <c r="F3024" s="25"/>
      <c r="G3024" s="61"/>
      <c r="H3024" s="9"/>
      <c r="I3024" s="8"/>
      <c r="J3024" s="8"/>
      <c r="K3024" s="8"/>
      <c r="L3024" s="8"/>
      <c r="M3024" s="8"/>
    </row>
    <row r="3025" spans="1:13">
      <c r="A3025" s="27" t="s">
        <v>4284</v>
      </c>
      <c r="B3025" s="58">
        <v>37157144840</v>
      </c>
      <c r="C3025" s="8"/>
      <c r="D3025" s="60"/>
      <c r="E3025" s="9"/>
      <c r="F3025" s="25"/>
      <c r="G3025" s="61"/>
      <c r="H3025" s="9"/>
      <c r="I3025" s="8"/>
      <c r="J3025" s="8"/>
      <c r="K3025" s="8"/>
      <c r="L3025" s="8"/>
      <c r="M3025" s="8"/>
    </row>
    <row r="3026" spans="1:13">
      <c r="A3026" s="62" t="s">
        <v>4285</v>
      </c>
      <c r="B3026" s="58">
        <v>70665570422</v>
      </c>
      <c r="C3026" s="63"/>
      <c r="D3026" s="60"/>
      <c r="E3026" s="9"/>
      <c r="F3026" s="25"/>
      <c r="G3026" s="61"/>
      <c r="H3026" s="9"/>
      <c r="I3026" s="8"/>
      <c r="J3026" s="8"/>
      <c r="K3026" s="8"/>
      <c r="L3026" s="8"/>
      <c r="M3026" s="8"/>
    </row>
    <row r="3027" spans="1:13">
      <c r="A3027" s="62" t="s">
        <v>4286</v>
      </c>
      <c r="B3027" s="58">
        <v>14778389883</v>
      </c>
      <c r="C3027" s="63"/>
      <c r="D3027" s="60"/>
      <c r="E3027" s="9">
        <v>292</v>
      </c>
      <c r="F3027" s="25">
        <v>43168</v>
      </c>
      <c r="G3027" s="61" t="s">
        <v>13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63" t="s">
        <v>4287</v>
      </c>
      <c r="B3028" s="58">
        <v>32911776810</v>
      </c>
      <c r="C3028" s="63"/>
      <c r="D3028" s="60"/>
      <c r="E3028" s="9"/>
      <c r="F3028" s="25"/>
      <c r="G3028" s="61"/>
      <c r="H3028" s="9"/>
      <c r="I3028" s="8"/>
      <c r="J3028" s="8"/>
      <c r="K3028" s="8"/>
      <c r="L3028" s="8"/>
      <c r="M3028" s="8"/>
    </row>
    <row r="3029" spans="1:13">
      <c r="A3029" s="87" t="s">
        <v>4288</v>
      </c>
      <c r="B3029" s="58">
        <v>20647149877</v>
      </c>
      <c r="C3029" s="63"/>
      <c r="D3029" s="60"/>
      <c r="E3029" s="9"/>
      <c r="F3029" s="25"/>
      <c r="G3029" s="61"/>
      <c r="H3029" s="9"/>
      <c r="I3029" s="8"/>
      <c r="J3029" s="8"/>
      <c r="K3029" s="8"/>
      <c r="L3029" s="8"/>
      <c r="M3029" s="8"/>
    </row>
    <row r="3030" spans="1:13">
      <c r="A3030" s="27" t="s">
        <v>4289</v>
      </c>
      <c r="B3030" s="58"/>
      <c r="C3030" s="27" t="s">
        <v>129</v>
      </c>
      <c r="D3030" s="60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62" t="s">
        <v>4290</v>
      </c>
      <c r="B3031" s="58">
        <v>44374068856</v>
      </c>
      <c r="C3031" s="63" t="s">
        <v>4291</v>
      </c>
      <c r="D3031" s="60">
        <v>34698741823</v>
      </c>
      <c r="E3031" s="9">
        <v>1489</v>
      </c>
      <c r="F3031" s="25">
        <v>43038</v>
      </c>
      <c r="G3031" s="61" t="s">
        <v>13</v>
      </c>
      <c r="H3031" s="9"/>
      <c r="I3031" s="8"/>
      <c r="J3031" s="8"/>
      <c r="K3031" s="8"/>
      <c r="L3031" s="9" t="s">
        <v>160</v>
      </c>
      <c r="M3031" s="8"/>
    </row>
    <row r="3032" spans="1:13">
      <c r="A3032" s="62" t="s">
        <v>4292</v>
      </c>
      <c r="B3032" s="58">
        <v>35986951875</v>
      </c>
      <c r="C3032" s="63"/>
      <c r="D3032" s="60"/>
      <c r="E3032" s="9"/>
      <c r="F3032" s="25"/>
      <c r="G3032" s="61"/>
      <c r="H3032" s="9"/>
      <c r="I3032" s="8"/>
      <c r="J3032" s="8"/>
      <c r="K3032" s="8"/>
      <c r="L3032" s="8"/>
      <c r="M3032" s="8"/>
    </row>
    <row r="3033" spans="1:13">
      <c r="A3033" s="63" t="s">
        <v>4293</v>
      </c>
      <c r="B3033" s="58">
        <v>13206564808</v>
      </c>
      <c r="C3033" s="63"/>
      <c r="D3033" s="60"/>
      <c r="E3033" s="9">
        <v>563</v>
      </c>
      <c r="F3033" s="25">
        <v>43217</v>
      </c>
      <c r="G3033" s="61"/>
      <c r="H3033" s="25">
        <v>43234</v>
      </c>
      <c r="I3033" s="8"/>
      <c r="J3033" s="8"/>
      <c r="K3033" s="8"/>
      <c r="L3033" s="9" t="s">
        <v>299</v>
      </c>
      <c r="M3033" s="8"/>
    </row>
    <row r="3034" spans="1:13">
      <c r="A3034" s="62" t="s">
        <v>4294</v>
      </c>
      <c r="B3034" s="58">
        <v>365999806</v>
      </c>
      <c r="C3034" s="63"/>
      <c r="D3034" s="60"/>
      <c r="E3034" s="9"/>
      <c r="F3034" s="25"/>
      <c r="G3034" s="61"/>
      <c r="H3034" s="9"/>
      <c r="I3034" s="8"/>
      <c r="J3034" s="8"/>
      <c r="K3034" s="8"/>
      <c r="L3034" s="8"/>
      <c r="M3034" s="8"/>
    </row>
    <row r="3035" spans="1:13">
      <c r="A3035" s="62" t="s">
        <v>4295</v>
      </c>
      <c r="B3035" s="58">
        <v>36464924818</v>
      </c>
      <c r="C3035" s="63"/>
      <c r="D3035" s="60"/>
      <c r="E3035" s="9">
        <v>1451</v>
      </c>
      <c r="F3035" s="25">
        <v>43027</v>
      </c>
      <c r="G3035" s="61" t="s">
        <v>13</v>
      </c>
      <c r="H3035" s="9"/>
      <c r="I3035" s="8"/>
      <c r="J3035" s="8"/>
      <c r="K3035" s="8"/>
      <c r="L3035" s="8"/>
      <c r="M3035" s="8"/>
    </row>
    <row r="3036" spans="1:13">
      <c r="A3036" s="15" t="s">
        <v>4296</v>
      </c>
      <c r="B3036" s="58">
        <v>46812344869</v>
      </c>
      <c r="C3036" s="63" t="s">
        <v>4297</v>
      </c>
      <c r="D3036" s="60">
        <v>45505959814</v>
      </c>
      <c r="E3036" s="9"/>
      <c r="F3036" s="25"/>
      <c r="G3036" s="61"/>
      <c r="H3036" s="9"/>
      <c r="I3036" s="8"/>
      <c r="J3036" s="8"/>
      <c r="K3036" s="8"/>
      <c r="L3036" s="8"/>
      <c r="M3036" s="8"/>
    </row>
    <row r="3037" spans="1:13">
      <c r="A3037" s="62" t="s">
        <v>4298</v>
      </c>
      <c r="B3037" s="58">
        <v>25155708877</v>
      </c>
      <c r="C3037" s="63"/>
      <c r="D3037" s="60"/>
      <c r="E3037" s="9">
        <v>1214</v>
      </c>
      <c r="F3037" s="25">
        <v>42989</v>
      </c>
      <c r="G3037" s="61" t="s">
        <v>13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4299</v>
      </c>
      <c r="B3038" s="58">
        <v>70659834634</v>
      </c>
      <c r="C3038" s="59" t="s">
        <v>4300</v>
      </c>
      <c r="D3038" s="60">
        <v>70558795404</v>
      </c>
      <c r="E3038" s="9">
        <v>1267</v>
      </c>
      <c r="F3038" s="25">
        <v>42998</v>
      </c>
      <c r="G3038" s="61" t="s">
        <v>13</v>
      </c>
      <c r="H3038" s="25">
        <v>43000</v>
      </c>
      <c r="I3038" s="8"/>
      <c r="J3038" s="8"/>
      <c r="K3038" s="8"/>
      <c r="L3038" s="8"/>
      <c r="M3038" s="8"/>
    </row>
    <row r="3039" spans="1:13">
      <c r="A3039" s="62" t="s">
        <v>4301</v>
      </c>
      <c r="B3039" s="58"/>
      <c r="C3039" s="63" t="s">
        <v>4302</v>
      </c>
      <c r="D3039" s="60"/>
      <c r="E3039" s="9"/>
      <c r="F3039" s="25"/>
      <c r="G3039" s="61"/>
      <c r="H3039" s="9"/>
      <c r="I3039" s="8"/>
      <c r="J3039" s="8"/>
      <c r="K3039" s="8"/>
      <c r="L3039" s="8"/>
      <c r="M3039" s="8"/>
    </row>
    <row r="3040" spans="1:13">
      <c r="A3040" s="62" t="s">
        <v>4303</v>
      </c>
      <c r="B3040" s="58">
        <v>9754470413</v>
      </c>
      <c r="C3040" s="63"/>
      <c r="D3040" s="60"/>
      <c r="E3040" s="9">
        <v>1106</v>
      </c>
      <c r="F3040" s="25">
        <v>42965</v>
      </c>
      <c r="G3040" s="61" t="s">
        <v>13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4304</v>
      </c>
      <c r="B3041" s="58">
        <v>3867219630</v>
      </c>
      <c r="C3041" s="63" t="s">
        <v>4305</v>
      </c>
      <c r="D3041" s="60">
        <v>4268294503</v>
      </c>
      <c r="E3041" s="9">
        <v>1824</v>
      </c>
      <c r="F3041" s="25">
        <v>43091</v>
      </c>
      <c r="G3041" s="61" t="s">
        <v>13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62" t="s">
        <v>4306</v>
      </c>
      <c r="B3042" s="58">
        <v>27084341870</v>
      </c>
      <c r="C3042" s="63" t="s">
        <v>323</v>
      </c>
      <c r="D3042" s="60">
        <v>70639957315</v>
      </c>
      <c r="E3042" s="9">
        <v>1214</v>
      </c>
      <c r="F3042" s="25">
        <v>42989</v>
      </c>
      <c r="G3042" s="61" t="s">
        <v>20</v>
      </c>
      <c r="H3042" s="25">
        <v>43000</v>
      </c>
      <c r="I3042" s="8"/>
      <c r="J3042" s="8"/>
      <c r="K3042" s="8"/>
      <c r="L3042" s="8"/>
      <c r="M3042" s="8"/>
    </row>
    <row r="3043" spans="1:13">
      <c r="A3043" s="62" t="s">
        <v>4307</v>
      </c>
      <c r="B3043" s="58">
        <v>29697189870</v>
      </c>
      <c r="C3043" s="63" t="s">
        <v>4308</v>
      </c>
      <c r="D3043" s="60">
        <v>29854895807</v>
      </c>
      <c r="E3043" s="9"/>
      <c r="F3043" s="25"/>
      <c r="G3043" s="61"/>
      <c r="H3043" s="9"/>
      <c r="I3043" s="8"/>
      <c r="J3043" s="8"/>
      <c r="K3043" s="8"/>
      <c r="L3043" s="8"/>
      <c r="M3043" s="8"/>
    </row>
    <row r="3044" spans="1:13">
      <c r="A3044" s="62" t="s">
        <v>4309</v>
      </c>
      <c r="B3044" s="58">
        <v>73433993572</v>
      </c>
      <c r="C3044" s="63"/>
      <c r="D3044" s="60"/>
      <c r="E3044" s="9">
        <v>1267</v>
      </c>
      <c r="F3044" s="25">
        <v>42998</v>
      </c>
      <c r="G3044" s="61" t="s">
        <v>13</v>
      </c>
      <c r="H3044" s="25">
        <v>43000</v>
      </c>
      <c r="I3044" s="8"/>
      <c r="J3044" s="8"/>
      <c r="K3044" s="8"/>
      <c r="L3044" s="8"/>
      <c r="M3044" s="8"/>
    </row>
    <row r="3045" spans="1:13">
      <c r="A3045" s="27" t="s">
        <v>4310</v>
      </c>
      <c r="B3045" s="58">
        <v>4055380810</v>
      </c>
      <c r="C3045" s="27" t="s">
        <v>129</v>
      </c>
      <c r="D3045" s="60"/>
      <c r="E3045" s="9"/>
      <c r="F3045" s="25"/>
      <c r="G3045" s="61"/>
      <c r="H3045" s="9"/>
      <c r="I3045" s="8"/>
      <c r="J3045" s="8"/>
      <c r="K3045" s="8"/>
      <c r="L3045" s="8"/>
      <c r="M3045" s="8"/>
    </row>
    <row r="3046" spans="1:13">
      <c r="A3046" s="62" t="s">
        <v>4311</v>
      </c>
      <c r="B3046" s="58">
        <v>9333141839</v>
      </c>
      <c r="C3046" s="63"/>
      <c r="D3046" s="60"/>
      <c r="E3046" s="9">
        <v>1417</v>
      </c>
      <c r="F3046" s="25">
        <v>43017</v>
      </c>
      <c r="G3046" s="61" t="s">
        <v>13</v>
      </c>
      <c r="H3046" s="25">
        <v>43027</v>
      </c>
      <c r="I3046" s="8"/>
      <c r="J3046" s="8"/>
      <c r="K3046" s="8"/>
      <c r="L3046" s="9" t="s">
        <v>253</v>
      </c>
      <c r="M3046" s="8"/>
    </row>
    <row r="3047" spans="1:13">
      <c r="A3047" s="16" t="s">
        <v>4312</v>
      </c>
      <c r="B3047" s="58">
        <v>1518942563</v>
      </c>
      <c r="C3047" s="63"/>
      <c r="D3047" s="60"/>
      <c r="E3047" s="9"/>
      <c r="F3047" s="25"/>
      <c r="G3047" s="61"/>
      <c r="H3047" s="9"/>
      <c r="I3047" s="8"/>
      <c r="J3047" s="8"/>
      <c r="K3047" s="8"/>
      <c r="L3047" s="8"/>
      <c r="M3047" s="8"/>
    </row>
    <row r="3048" spans="1:13">
      <c r="A3048" s="62" t="s">
        <v>4313</v>
      </c>
      <c r="B3048" s="58">
        <v>99038862504</v>
      </c>
      <c r="C3048" s="63" t="s">
        <v>4314</v>
      </c>
      <c r="D3048" s="60">
        <v>38297049841</v>
      </c>
      <c r="E3048" s="9">
        <v>527</v>
      </c>
      <c r="F3048" s="25">
        <v>43210</v>
      </c>
      <c r="G3048" s="61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4315</v>
      </c>
      <c r="B3049" s="58">
        <v>27073784881</v>
      </c>
      <c r="C3049" s="59"/>
      <c r="D3049" s="60"/>
      <c r="E3049" s="9">
        <v>1128</v>
      </c>
      <c r="F3049" s="25">
        <v>42972</v>
      </c>
      <c r="G3049" s="61" t="s">
        <v>13</v>
      </c>
      <c r="H3049" s="25">
        <v>42979</v>
      </c>
      <c r="I3049" s="8"/>
      <c r="J3049" s="8"/>
      <c r="K3049" s="8"/>
      <c r="L3049" s="8"/>
      <c r="M3049" s="8"/>
    </row>
    <row r="3050" spans="1:13">
      <c r="A3050" s="62" t="s">
        <v>4316</v>
      </c>
      <c r="B3050" s="58">
        <v>33489457803</v>
      </c>
      <c r="C3050" s="63"/>
      <c r="D3050" s="60"/>
      <c r="E3050" s="9">
        <v>1752</v>
      </c>
      <c r="F3050" s="25">
        <v>43051</v>
      </c>
      <c r="G3050" s="61" t="s">
        <v>13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62" t="s">
        <v>4317</v>
      </c>
      <c r="B3051" s="58">
        <v>22505123888</v>
      </c>
      <c r="C3051" s="63" t="s">
        <v>4318</v>
      </c>
      <c r="D3051" s="60">
        <v>39819234808</v>
      </c>
      <c r="E3051" s="9">
        <v>1752</v>
      </c>
      <c r="F3051" s="25">
        <v>43051</v>
      </c>
      <c r="G3051" s="61" t="s">
        <v>13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7" t="s">
        <v>4319</v>
      </c>
      <c r="B3052" s="58"/>
      <c r="C3052" s="27" t="s">
        <v>129</v>
      </c>
      <c r="D3052" s="60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4320</v>
      </c>
      <c r="B3053" s="58">
        <v>3572647894</v>
      </c>
      <c r="C3053" s="18"/>
      <c r="D3053" s="60"/>
      <c r="E3053" s="9"/>
      <c r="F3053" s="25"/>
      <c r="G3053" s="61"/>
      <c r="H3053" s="9"/>
      <c r="I3053" s="8"/>
      <c r="J3053" s="8"/>
      <c r="K3053" s="8"/>
      <c r="L3053" s="8"/>
      <c r="M3053" s="8"/>
    </row>
    <row r="3054" spans="1:13">
      <c r="A3054" s="64" t="s">
        <v>4321</v>
      </c>
      <c r="B3054" s="58">
        <v>34850143890</v>
      </c>
      <c r="C3054" s="63" t="s">
        <v>4322</v>
      </c>
      <c r="D3054" s="60">
        <v>86049305404</v>
      </c>
      <c r="E3054" s="9"/>
      <c r="F3054" s="25"/>
      <c r="G3054" s="61"/>
      <c r="H3054" s="9"/>
      <c r="I3054" s="8"/>
      <c r="J3054" s="8"/>
      <c r="K3054" s="8"/>
      <c r="L3054" s="8"/>
      <c r="M3054" s="8"/>
    </row>
    <row r="3055" spans="1:13">
      <c r="A3055" s="14" t="s">
        <v>4323</v>
      </c>
      <c r="B3055" s="58">
        <v>13288861828</v>
      </c>
      <c r="C3055" s="63"/>
      <c r="D3055" s="60"/>
      <c r="E3055" s="9">
        <v>292</v>
      </c>
      <c r="F3055" s="25">
        <v>43168</v>
      </c>
      <c r="G3055" s="61" t="s">
        <v>13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62" t="s">
        <v>4324</v>
      </c>
      <c r="B3056" s="58">
        <v>17852199879</v>
      </c>
      <c r="C3056" s="63" t="s">
        <v>4325</v>
      </c>
      <c r="D3056" s="60">
        <v>15255063827</v>
      </c>
      <c r="E3056" s="9">
        <v>1128</v>
      </c>
      <c r="F3056" s="25">
        <v>42972</v>
      </c>
      <c r="G3056" s="61" t="s">
        <v>13</v>
      </c>
      <c r="H3056" s="25">
        <v>42979</v>
      </c>
      <c r="I3056" s="8"/>
      <c r="J3056" s="8"/>
      <c r="K3056" s="8"/>
      <c r="L3056" s="8"/>
      <c r="M3056" s="8"/>
    </row>
    <row r="3057" spans="1:13">
      <c r="A3057" s="62" t="s">
        <v>4326</v>
      </c>
      <c r="B3057" s="58">
        <v>95108912315</v>
      </c>
      <c r="C3057" s="63"/>
      <c r="D3057" s="60"/>
      <c r="E3057" s="9">
        <v>1350</v>
      </c>
      <c r="F3057" s="25">
        <v>43006</v>
      </c>
      <c r="G3057" s="61" t="s">
        <v>13</v>
      </c>
      <c r="H3057" s="25">
        <v>43011</v>
      </c>
      <c r="I3057" s="8"/>
      <c r="J3057" s="8"/>
      <c r="K3057" s="8"/>
      <c r="L3057" s="8"/>
      <c r="M3057" s="8"/>
    </row>
    <row r="3058" spans="1:13">
      <c r="A3058" s="63" t="s">
        <v>4327</v>
      </c>
      <c r="B3058" s="58">
        <v>12691650898</v>
      </c>
      <c r="C3058" s="63"/>
      <c r="D3058" s="60"/>
      <c r="E3058" s="9"/>
      <c r="F3058" s="25"/>
      <c r="G3058" s="61"/>
      <c r="H3058" s="9"/>
      <c r="I3058" s="8"/>
      <c r="J3058" s="8"/>
      <c r="K3058" s="8"/>
      <c r="L3058" s="8"/>
      <c r="M3058" s="8"/>
    </row>
    <row r="3059" spans="1:13">
      <c r="A3059" s="62" t="s">
        <v>4328</v>
      </c>
      <c r="B3059" s="58">
        <v>9096104870</v>
      </c>
      <c r="C3059" s="63"/>
      <c r="D3059" s="60"/>
      <c r="E3059" s="9">
        <v>1128</v>
      </c>
      <c r="F3059" s="25">
        <v>42972</v>
      </c>
      <c r="G3059" s="61" t="s">
        <v>13</v>
      </c>
      <c r="H3059" s="25">
        <v>42979</v>
      </c>
      <c r="I3059" s="8"/>
      <c r="J3059" s="8"/>
      <c r="K3059" s="8"/>
      <c r="L3059" s="8"/>
      <c r="M3059" s="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57" priority="5" stopIfTrue="1"/>
  </conditionalFormatting>
  <conditionalFormatting sqref="A3:A128">
    <cfRule type="duplicateValues" dxfId="56" priority="4" stopIfTrue="1"/>
  </conditionalFormatting>
  <conditionalFormatting sqref="A3:A626">
    <cfRule type="duplicateValues" dxfId="55" priority="1" stopIfTrue="1"/>
  </conditionalFormatting>
  <conditionalFormatting sqref="B2684">
    <cfRule type="duplicateValues" dxfId="54" priority="3" stopIfTrue="1"/>
  </conditionalFormatting>
  <conditionalFormatting sqref="C689">
    <cfRule type="duplicateValues" dxfId="53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117"/>
  <sheetViews>
    <sheetView showGridLines="0" tabSelected="1" zoomScale="85" zoomScaleNormal="85" workbookViewId="0">
      <pane xSplit="6" ySplit="9" topLeftCell="AL19" activePane="bottomRight" state="frozen"/>
      <selection pane="bottomRight" activeCell="AL27" sqref="AL27"/>
      <selection pane="bottomLeft"/>
      <selection pane="topRight"/>
    </sheetView>
  </sheetViews>
  <sheetFormatPr defaultColWidth="9.140625" defaultRowHeight="30" customHeight="1"/>
  <cols>
    <col min="1" max="1" width="10" style="98" bestFit="1" customWidth="1"/>
    <col min="2" max="2" width="17.5703125" style="99" bestFit="1" customWidth="1"/>
    <col min="3" max="3" width="33.140625" style="99" bestFit="1" customWidth="1"/>
    <col min="4" max="4" width="12.5703125" style="99" bestFit="1" customWidth="1"/>
    <col min="5" max="5" width="21.140625" style="99" bestFit="1" customWidth="1"/>
    <col min="6" max="6" width="17.28515625" style="164" bestFit="1" customWidth="1"/>
    <col min="7" max="7" width="27.85546875" style="99" bestFit="1" customWidth="1"/>
    <col min="8" max="8" width="21.42578125" style="99" bestFit="1" customWidth="1"/>
    <col min="9" max="9" width="38.85546875" style="136" bestFit="1" customWidth="1"/>
    <col min="10" max="10" width="77" style="169" bestFit="1" customWidth="1"/>
    <col min="11" max="11" width="22" style="100" bestFit="1" customWidth="1"/>
    <col min="12" max="12" width="19" style="100" customWidth="1"/>
    <col min="13" max="13" width="38.140625" style="99" bestFit="1" customWidth="1"/>
    <col min="14" max="14" width="44.5703125" style="99" bestFit="1" customWidth="1"/>
    <col min="15" max="15" width="23" style="113" bestFit="1" customWidth="1"/>
    <col min="16" max="16" width="32.85546875" style="101" bestFit="1" customWidth="1"/>
    <col min="17" max="17" width="29.5703125" style="101" bestFit="1" customWidth="1"/>
    <col min="18" max="18" width="45.5703125" style="101" bestFit="1" customWidth="1"/>
    <col min="19" max="19" width="44.85546875" style="101" bestFit="1" customWidth="1"/>
    <col min="20" max="20" width="34.28515625" style="101" bestFit="1" customWidth="1"/>
    <col min="21" max="21" width="29" style="101" bestFit="1" customWidth="1"/>
    <col min="22" max="22" width="31.5703125" style="101" bestFit="1" customWidth="1"/>
    <col min="23" max="23" width="34.140625" style="101" bestFit="1" customWidth="1"/>
    <col min="24" max="24" width="34.7109375" style="137" bestFit="1" customWidth="1"/>
    <col min="25" max="25" width="21.42578125" style="101" bestFit="1" customWidth="1"/>
    <col min="26" max="26" width="25.5703125" style="114" bestFit="1" customWidth="1"/>
    <col min="27" max="27" width="106.140625" style="99" bestFit="1" customWidth="1"/>
    <col min="28" max="28" width="77" style="135" bestFit="1" customWidth="1"/>
    <col min="29" max="29" width="22" style="100" bestFit="1" customWidth="1"/>
    <col min="30" max="30" width="18.42578125" style="100" bestFit="1" customWidth="1"/>
    <col min="31" max="31" width="42" style="136" bestFit="1" customWidth="1"/>
    <col min="32" max="32" width="37.42578125" style="99" bestFit="1" customWidth="1"/>
    <col min="33" max="33" width="28.85546875" style="204" bestFit="1" customWidth="1"/>
    <col min="34" max="34" width="31.7109375" style="204" bestFit="1" customWidth="1"/>
    <col min="35" max="35" width="23.7109375" style="99" bestFit="1" customWidth="1"/>
    <col min="36" max="36" width="38.42578125" style="99" bestFit="1" customWidth="1"/>
    <col min="37" max="37" width="34.5703125" style="99" bestFit="1" customWidth="1"/>
    <col min="38" max="38" width="76.140625" style="143" bestFit="1" customWidth="1"/>
    <col min="39" max="39" width="15.28515625" style="99" bestFit="1" customWidth="1"/>
    <col min="40" max="40" width="38.5703125" style="99" bestFit="1" customWidth="1"/>
    <col min="41" max="41" width="104.5703125" style="99" bestFit="1" customWidth="1"/>
    <col min="42" max="42" width="28.42578125" style="100" bestFit="1" customWidth="1"/>
    <col min="43" max="43" width="44.85546875" style="99" bestFit="1" customWidth="1"/>
    <col min="44" max="44" width="22.28515625" style="99" bestFit="1" customWidth="1"/>
    <col min="45" max="45" width="42.7109375" style="99" bestFit="1" customWidth="1"/>
    <col min="46" max="46" width="35.5703125" style="99" bestFit="1" customWidth="1"/>
    <col min="47" max="47" width="25" style="99" bestFit="1" customWidth="1"/>
    <col min="48" max="48" width="56.28515625" style="99" bestFit="1" customWidth="1"/>
    <col min="49" max="49" width="46.85546875" style="99" bestFit="1" customWidth="1"/>
    <col min="50" max="50" width="34.7109375" style="99" bestFit="1" customWidth="1"/>
    <col min="51" max="51" width="36.5703125" style="101" bestFit="1" customWidth="1"/>
    <col min="52" max="52" width="34.7109375" style="114" bestFit="1" customWidth="1"/>
    <col min="53" max="53" width="37.85546875" style="115" bestFit="1" customWidth="1"/>
    <col min="54" max="54" width="15.42578125" style="115" bestFit="1" customWidth="1"/>
    <col min="55" max="55" width="21" style="115" bestFit="1" customWidth="1"/>
    <col min="56" max="56" width="33.42578125" style="99" bestFit="1" customWidth="1"/>
    <col min="57" max="57" width="23" style="99" bestFit="1" customWidth="1"/>
    <col min="58" max="58" width="29" style="99" bestFit="1" customWidth="1"/>
    <col min="59" max="59" width="23" style="116" bestFit="1" customWidth="1"/>
    <col min="60" max="60" width="29.85546875" style="116" bestFit="1" customWidth="1"/>
    <col min="61" max="61" width="46.5703125" style="99" bestFit="1" customWidth="1"/>
    <col min="62" max="62" width="35.5703125" style="99" bestFit="1" customWidth="1"/>
    <col min="63" max="63" width="28.140625" style="99" bestFit="1" customWidth="1"/>
    <col min="64" max="64" width="46.85546875" style="99" bestFit="1" customWidth="1"/>
    <col min="65" max="65" width="41.140625" style="99" bestFit="1" customWidth="1"/>
    <col min="66" max="107" width="9.140625" style="99" bestFit="1" customWidth="1"/>
    <col min="108" max="16382" width="9.140625" style="99"/>
    <col min="16383" max="16384" width="9.140625" style="99" bestFit="1" customWidth="1"/>
  </cols>
  <sheetData>
    <row r="1" spans="1:65" ht="30" hidden="1" customHeight="1">
      <c r="C1" s="195" t="s">
        <v>4329</v>
      </c>
      <c r="D1" s="195" t="s">
        <v>4329</v>
      </c>
      <c r="E1" s="195" t="s">
        <v>4329</v>
      </c>
      <c r="G1" s="99" t="s">
        <v>4330</v>
      </c>
      <c r="H1" s="99" t="s">
        <v>4331</v>
      </c>
      <c r="I1" s="136" t="s">
        <v>4332</v>
      </c>
      <c r="J1" s="135"/>
      <c r="M1" s="99" t="s">
        <v>4333</v>
      </c>
      <c r="N1" s="99" t="s">
        <v>4334</v>
      </c>
      <c r="O1" s="101"/>
      <c r="X1" s="99" t="s">
        <v>4335</v>
      </c>
      <c r="Z1" s="101"/>
      <c r="AE1" s="136" t="s">
        <v>4332</v>
      </c>
      <c r="AG1" s="197"/>
      <c r="AH1" s="198"/>
      <c r="AI1" s="103" t="s">
        <v>4336</v>
      </c>
      <c r="AJ1" s="99" t="s">
        <v>4336</v>
      </c>
      <c r="AK1" s="103" t="s">
        <v>4333</v>
      </c>
      <c r="AL1" s="103" t="s">
        <v>4337</v>
      </c>
      <c r="AM1" s="103" t="s">
        <v>4338</v>
      </c>
      <c r="AN1" s="103" t="s">
        <v>4339</v>
      </c>
      <c r="AZ1" s="101"/>
      <c r="BA1" s="99"/>
      <c r="BB1" s="99"/>
      <c r="BC1" s="99"/>
    </row>
    <row r="2" spans="1:65" ht="18.75" hidden="1" customHeight="1">
      <c r="G2" s="99" t="s">
        <v>4340</v>
      </c>
      <c r="H2" s="99" t="s">
        <v>4341</v>
      </c>
      <c r="I2" s="136" t="s">
        <v>4342</v>
      </c>
      <c r="J2" s="135"/>
      <c r="M2" s="99" t="s">
        <v>4343</v>
      </c>
      <c r="N2" s="99" t="s">
        <v>4344</v>
      </c>
      <c r="O2" s="101"/>
      <c r="X2" s="99"/>
      <c r="Z2" s="101"/>
      <c r="AE2" s="136" t="s">
        <v>4342</v>
      </c>
      <c r="AG2" s="197"/>
      <c r="AH2" s="198"/>
      <c r="AI2" s="103" t="s">
        <v>4345</v>
      </c>
      <c r="AJ2" s="99" t="s">
        <v>14</v>
      </c>
      <c r="AK2" s="103" t="s">
        <v>4343</v>
      </c>
      <c r="AL2" s="103" t="s">
        <v>4346</v>
      </c>
      <c r="AM2" s="103" t="s">
        <v>4347</v>
      </c>
      <c r="AN2" s="103" t="s">
        <v>4348</v>
      </c>
      <c r="AZ2" s="101"/>
      <c r="BA2" s="99"/>
      <c r="BB2" s="99"/>
      <c r="BC2" s="99"/>
    </row>
    <row r="3" spans="1:65" ht="22.5" hidden="1" customHeight="1">
      <c r="G3" s="99" t="s">
        <v>4349</v>
      </c>
      <c r="H3" s="102" t="s">
        <v>4350</v>
      </c>
      <c r="I3" s="136" t="s">
        <v>4351</v>
      </c>
      <c r="J3" s="135"/>
      <c r="N3" s="136" t="s">
        <v>4352</v>
      </c>
      <c r="O3" s="101"/>
      <c r="X3" s="99"/>
      <c r="Z3" s="101"/>
      <c r="AG3" s="197"/>
      <c r="AH3" s="198"/>
      <c r="AI3" s="103" t="s">
        <v>4353</v>
      </c>
      <c r="AJ3" s="99" t="s">
        <v>4354</v>
      </c>
      <c r="AK3" s="103"/>
      <c r="AL3" s="103" t="s">
        <v>4338</v>
      </c>
      <c r="AM3" s="103" t="s">
        <v>4355</v>
      </c>
      <c r="AN3" s="103" t="s">
        <v>4356</v>
      </c>
      <c r="AZ3" s="101"/>
      <c r="BA3" s="99"/>
      <c r="BB3" s="99"/>
      <c r="BC3" s="99"/>
    </row>
    <row r="4" spans="1:65" ht="16.5" hidden="1" customHeight="1">
      <c r="G4" s="99" t="s">
        <v>4357</v>
      </c>
      <c r="I4" s="136" t="s">
        <v>4358</v>
      </c>
      <c r="J4" s="135"/>
      <c r="N4" s="99" t="s">
        <v>4359</v>
      </c>
      <c r="O4" s="101"/>
      <c r="X4" s="99"/>
      <c r="Z4" s="101"/>
      <c r="AG4" s="197"/>
      <c r="AH4" s="198"/>
      <c r="AI4" s="103" t="s">
        <v>4360</v>
      </c>
      <c r="AJ4" s="99" t="s">
        <v>4347</v>
      </c>
      <c r="AK4" s="103"/>
      <c r="AL4" s="103" t="s">
        <v>4361</v>
      </c>
      <c r="AM4" s="103"/>
      <c r="AN4" s="103" t="s">
        <v>4362</v>
      </c>
      <c r="AZ4" s="101"/>
      <c r="BA4" s="99"/>
      <c r="BB4" s="99"/>
      <c r="BC4" s="99"/>
    </row>
    <row r="5" spans="1:65" ht="30" hidden="1" customHeight="1">
      <c r="J5" s="135"/>
      <c r="N5" s="99" t="s">
        <v>4363</v>
      </c>
      <c r="O5" s="101"/>
      <c r="X5" s="99"/>
      <c r="Z5" s="101"/>
      <c r="AG5" s="197"/>
      <c r="AH5" s="198"/>
      <c r="AI5" s="103"/>
      <c r="AK5" s="103"/>
      <c r="AL5" s="103" t="s">
        <v>4355</v>
      </c>
      <c r="AM5" s="103"/>
      <c r="AN5" s="103" t="s">
        <v>4364</v>
      </c>
      <c r="AZ5" s="101"/>
      <c r="BA5" s="99"/>
      <c r="BB5" s="99"/>
      <c r="BC5" s="99"/>
    </row>
    <row r="6" spans="1:65" ht="25.5" hidden="1" customHeight="1">
      <c r="O6" s="101"/>
      <c r="X6" s="99"/>
      <c r="Z6" s="101"/>
      <c r="AG6" s="199"/>
      <c r="AH6" s="199"/>
      <c r="AI6" s="98"/>
      <c r="AK6" s="98"/>
      <c r="AL6" s="103"/>
      <c r="AM6" s="103"/>
      <c r="AN6" s="103" t="s">
        <v>4355</v>
      </c>
      <c r="AZ6" s="101"/>
      <c r="BA6" s="99"/>
      <c r="BB6" s="99"/>
      <c r="BC6" s="99"/>
    </row>
    <row r="7" spans="1:65" ht="30" hidden="1" customHeight="1">
      <c r="O7" s="101"/>
      <c r="X7" s="99"/>
      <c r="Z7" s="101"/>
      <c r="AG7" s="200"/>
      <c r="AH7" s="200"/>
      <c r="AI7" s="98"/>
      <c r="AK7" s="98"/>
      <c r="AL7" s="98"/>
      <c r="AM7" s="98"/>
      <c r="AN7" s="98"/>
      <c r="AZ7" s="101"/>
      <c r="BA7" s="99"/>
      <c r="BB7" s="99"/>
      <c r="BC7" s="99"/>
    </row>
    <row r="8" spans="1:65" s="180" customFormat="1" ht="30" customHeight="1">
      <c r="A8" s="212" t="s">
        <v>4365</v>
      </c>
      <c r="B8" s="213"/>
      <c r="C8" s="213"/>
      <c r="D8" s="213"/>
      <c r="E8" s="213"/>
      <c r="F8" s="213"/>
      <c r="G8" s="213"/>
      <c r="H8" s="213"/>
      <c r="I8" s="213"/>
      <c r="J8" s="214"/>
      <c r="K8" s="213"/>
      <c r="L8" s="213"/>
      <c r="M8" s="213"/>
      <c r="N8" s="213"/>
      <c r="O8" s="215"/>
      <c r="P8" s="208" t="s">
        <v>4366</v>
      </c>
      <c r="Q8" s="208"/>
      <c r="R8" s="208"/>
      <c r="S8" s="208"/>
      <c r="T8" s="208"/>
      <c r="U8" s="209"/>
      <c r="V8" s="208"/>
      <c r="W8" s="208"/>
      <c r="X8" s="210"/>
      <c r="Y8" s="209"/>
      <c r="Z8" s="208"/>
      <c r="AA8" s="211"/>
      <c r="AB8" s="141" t="s">
        <v>4367</v>
      </c>
      <c r="AC8" s="141"/>
      <c r="AD8" s="141"/>
      <c r="AE8" s="141"/>
      <c r="AF8" s="141"/>
      <c r="AG8" s="201"/>
      <c r="AH8" s="201"/>
      <c r="AI8" s="179"/>
      <c r="AJ8" s="141"/>
      <c r="AK8" s="141"/>
      <c r="AL8" s="141"/>
      <c r="AM8" s="141"/>
      <c r="AN8" s="141"/>
      <c r="AO8" s="141"/>
      <c r="AP8" s="146"/>
      <c r="AQ8" s="146"/>
      <c r="AR8" s="141"/>
      <c r="AS8" s="141"/>
      <c r="AT8" s="141"/>
      <c r="AU8" s="141"/>
      <c r="AV8" s="141"/>
      <c r="AW8" s="141"/>
      <c r="AX8" s="141"/>
      <c r="AY8" s="142"/>
      <c r="AZ8" s="142"/>
      <c r="BA8" s="141"/>
      <c r="BB8" s="216" t="s">
        <v>4368</v>
      </c>
      <c r="BC8" s="217"/>
      <c r="BD8" s="206"/>
      <c r="BE8" s="207"/>
      <c r="BF8" s="207"/>
      <c r="BG8" s="207"/>
      <c r="BH8" s="207"/>
      <c r="BI8" s="207"/>
      <c r="BJ8" s="207"/>
      <c r="BK8" s="207"/>
      <c r="BL8" s="207"/>
      <c r="BM8" s="207"/>
    </row>
    <row r="9" spans="1:65" s="100" customFormat="1" ht="38.25" customHeight="1">
      <c r="A9" s="163" t="s">
        <v>4369</v>
      </c>
      <c r="B9" s="162" t="s">
        <v>4370</v>
      </c>
      <c r="C9" s="162" t="s">
        <v>4371</v>
      </c>
      <c r="D9" s="162" t="s">
        <v>4372</v>
      </c>
      <c r="E9" s="162" t="s">
        <v>4373</v>
      </c>
      <c r="F9" s="165" t="s">
        <v>4374</v>
      </c>
      <c r="G9" s="162" t="s">
        <v>4375</v>
      </c>
      <c r="H9" s="162" t="s">
        <v>4376</v>
      </c>
      <c r="I9" s="162" t="s">
        <v>4377</v>
      </c>
      <c r="J9" s="161" t="s">
        <v>102</v>
      </c>
      <c r="K9" s="161" t="s">
        <v>4378</v>
      </c>
      <c r="L9" s="161" t="s">
        <v>103</v>
      </c>
      <c r="M9" s="161" t="s">
        <v>4379</v>
      </c>
      <c r="N9" s="161" t="s">
        <v>4380</v>
      </c>
      <c r="O9" s="160" t="s">
        <v>4381</v>
      </c>
      <c r="P9" s="158" t="s">
        <v>4382</v>
      </c>
      <c r="Q9" s="158" t="s">
        <v>4383</v>
      </c>
      <c r="R9" s="158" t="s">
        <v>4384</v>
      </c>
      <c r="S9" s="158" t="s">
        <v>4385</v>
      </c>
      <c r="T9" s="158" t="s">
        <v>4386</v>
      </c>
      <c r="U9" s="158" t="s">
        <v>4387</v>
      </c>
      <c r="V9" s="158" t="s">
        <v>4388</v>
      </c>
      <c r="W9" s="158" t="s">
        <v>4389</v>
      </c>
      <c r="X9" s="159" t="s">
        <v>4390</v>
      </c>
      <c r="Y9" s="158" t="s">
        <v>4391</v>
      </c>
      <c r="Z9" s="158" t="s">
        <v>4392</v>
      </c>
      <c r="AA9" s="157" t="s">
        <v>4393</v>
      </c>
      <c r="AB9" s="154" t="s">
        <v>4394</v>
      </c>
      <c r="AC9" s="154" t="s">
        <v>4378</v>
      </c>
      <c r="AD9" s="154" t="s">
        <v>103</v>
      </c>
      <c r="AE9" s="156" t="s">
        <v>4395</v>
      </c>
      <c r="AF9" s="154" t="s">
        <v>4396</v>
      </c>
      <c r="AG9" s="202" t="s">
        <v>4397</v>
      </c>
      <c r="AH9" s="202" t="s">
        <v>4398</v>
      </c>
      <c r="AI9" s="196" t="s">
        <v>4399</v>
      </c>
      <c r="AJ9" s="156" t="s">
        <v>4400</v>
      </c>
      <c r="AK9" s="156" t="s">
        <v>4401</v>
      </c>
      <c r="AL9" s="156" t="s">
        <v>4402</v>
      </c>
      <c r="AM9" s="156" t="s">
        <v>4403</v>
      </c>
      <c r="AN9" s="156" t="s">
        <v>4404</v>
      </c>
      <c r="AO9" s="154" t="s">
        <v>4405</v>
      </c>
      <c r="AP9" s="154" t="s">
        <v>4406</v>
      </c>
      <c r="AQ9" s="154" t="s">
        <v>4385</v>
      </c>
      <c r="AR9" s="154" t="s">
        <v>4407</v>
      </c>
      <c r="AS9" s="154" t="s">
        <v>4408</v>
      </c>
      <c r="AT9" s="154" t="s">
        <v>4409</v>
      </c>
      <c r="AU9" s="154" t="s">
        <v>4410</v>
      </c>
      <c r="AV9" s="154" t="s">
        <v>4411</v>
      </c>
      <c r="AW9" s="154" t="s">
        <v>4412</v>
      </c>
      <c r="AX9" s="154" t="s">
        <v>4390</v>
      </c>
      <c r="AY9" s="155" t="s">
        <v>4413</v>
      </c>
      <c r="AZ9" s="155" t="s">
        <v>4414</v>
      </c>
      <c r="BA9" s="154" t="s">
        <v>4415</v>
      </c>
      <c r="BB9" s="153" t="s">
        <v>4416</v>
      </c>
      <c r="BC9" s="153" t="s">
        <v>4417</v>
      </c>
      <c r="BD9" s="149" t="s">
        <v>4418</v>
      </c>
      <c r="BE9" s="149" t="s">
        <v>4419</v>
      </c>
      <c r="BF9" s="149" t="s">
        <v>4420</v>
      </c>
      <c r="BG9" s="152" t="s">
        <v>4421</v>
      </c>
      <c r="BH9" s="151" t="s">
        <v>4422</v>
      </c>
      <c r="BI9" s="150" t="s">
        <v>4423</v>
      </c>
      <c r="BJ9" s="149" t="s">
        <v>4409</v>
      </c>
      <c r="BK9" s="150" t="s">
        <v>4424</v>
      </c>
      <c r="BL9" s="149" t="s">
        <v>4425</v>
      </c>
      <c r="BM9" s="182" t="s">
        <v>4426</v>
      </c>
    </row>
    <row r="10" spans="1:65" s="181" customFormat="1" ht="29.25" customHeight="1">
      <c r="A10" s="144">
        <v>1</v>
      </c>
      <c r="B10" s="144" t="s">
        <v>4427</v>
      </c>
      <c r="C10" s="194" t="s">
        <v>4329</v>
      </c>
      <c r="D10" s="194" t="s">
        <v>4329</v>
      </c>
      <c r="E10" s="144" t="s">
        <v>4329</v>
      </c>
      <c r="F10" s="148" t="s">
        <v>4428</v>
      </c>
      <c r="G10" s="144"/>
      <c r="H10" s="144"/>
      <c r="I10" s="147"/>
      <c r="J10" s="170" t="s">
        <v>4429</v>
      </c>
      <c r="K10" s="148" t="s">
        <v>4430</v>
      </c>
      <c r="L10" s="148" t="s">
        <v>4431</v>
      </c>
      <c r="M10" s="144"/>
      <c r="N10" s="144"/>
      <c r="O10" s="134"/>
      <c r="P10" s="104"/>
      <c r="Q10" s="107"/>
      <c r="R10" s="107"/>
      <c r="S10" s="107"/>
      <c r="T10" s="107"/>
      <c r="U10" s="107"/>
      <c r="V10" s="107"/>
      <c r="W10" s="107"/>
      <c r="X10" s="104"/>
      <c r="Y10" s="104"/>
      <c r="Z10" s="104"/>
      <c r="AA10" s="144"/>
      <c r="AB10" s="170"/>
      <c r="AC10" s="170"/>
      <c r="AD10" s="170"/>
      <c r="AE10" s="172"/>
      <c r="AF10" s="172"/>
      <c r="AG10" s="203"/>
      <c r="AH10" s="203"/>
      <c r="AI10" s="172"/>
      <c r="AJ10" s="148"/>
      <c r="AK10" s="144"/>
      <c r="AL10" s="144"/>
      <c r="AM10" s="144"/>
      <c r="AN10" s="144"/>
      <c r="AO10" s="144"/>
      <c r="AP10" s="166"/>
      <c r="AQ10" s="144"/>
      <c r="AR10" s="144"/>
      <c r="AS10" s="103"/>
      <c r="AT10" s="144"/>
      <c r="AU10" s="134"/>
      <c r="AV10" s="144"/>
      <c r="AW10" s="144"/>
      <c r="AX10" s="134"/>
      <c r="AY10" s="145"/>
      <c r="AZ10" s="173"/>
      <c r="BA10" s="144"/>
      <c r="BB10" s="167"/>
      <c r="BC10" s="178" t="str">
        <f>IF(AY10-KD10=0,"",AY10-O10)</f>
        <v/>
      </c>
      <c r="BD10" s="103" t="str">
        <f>IF(AND(AI10&lt;&gt;"SIM",AI10="UH"),"AA","INDENIZAÇÃO")</f>
        <v>INDENIZAÇÃO</v>
      </c>
      <c r="BE10" s="103" t="str">
        <f>IF(AND(AY10&lt;&gt;"AGUARDANDO",AY10&lt;&gt;"",N10="AUXÍLIO ALUGUEL ATÉ INDENIZAÇÃO"),"SIM","NÃO")</f>
        <v>NÃO</v>
      </c>
      <c r="BF10" s="168"/>
      <c r="BG10" s="168"/>
      <c r="BH10" s="168"/>
      <c r="BI10" s="168"/>
      <c r="BJ10" s="168"/>
      <c r="BK10" s="168"/>
      <c r="BL10" s="168"/>
      <c r="BM10" s="168"/>
    </row>
    <row r="11" spans="1:65" ht="30" customHeight="1">
      <c r="A11" s="144">
        <v>2</v>
      </c>
      <c r="B11" s="144" t="s">
        <v>4427</v>
      </c>
      <c r="C11" s="194" t="s">
        <v>4329</v>
      </c>
      <c r="D11" s="194" t="s">
        <v>4329</v>
      </c>
      <c r="E11" s="144" t="s">
        <v>4329</v>
      </c>
      <c r="F11" s="148" t="s">
        <v>4432</v>
      </c>
      <c r="G11" s="144"/>
      <c r="H11" s="144"/>
      <c r="I11" s="147"/>
      <c r="J11" s="170" t="s">
        <v>4433</v>
      </c>
      <c r="K11" s="148" t="s">
        <v>4434</v>
      </c>
      <c r="L11" s="148" t="s">
        <v>4435</v>
      </c>
      <c r="M11" s="144"/>
      <c r="N11" s="144"/>
      <c r="O11" s="134"/>
      <c r="P11" s="104"/>
      <c r="Q11" s="107"/>
      <c r="R11" s="107"/>
      <c r="S11" s="107"/>
      <c r="T11" s="107"/>
      <c r="U11" s="107"/>
      <c r="V11" s="107"/>
      <c r="W11" s="107"/>
      <c r="X11" s="104"/>
      <c r="Y11" s="104"/>
      <c r="Z11" s="104"/>
      <c r="AA11" s="144"/>
      <c r="AB11" s="170"/>
      <c r="AC11" s="170"/>
      <c r="AD11" s="170"/>
      <c r="AE11" s="172"/>
      <c r="AF11" s="172"/>
      <c r="AG11" s="203"/>
      <c r="AH11" s="203"/>
      <c r="AI11" s="172"/>
      <c r="AJ11" s="148"/>
      <c r="AK11" s="144"/>
      <c r="AL11" s="144"/>
      <c r="AM11" s="144"/>
      <c r="AN11" s="144"/>
      <c r="AO11" s="144"/>
      <c r="AP11" s="166"/>
      <c r="AQ11" s="144"/>
      <c r="AR11" s="144"/>
      <c r="AS11" s="103"/>
      <c r="AT11" s="144"/>
      <c r="AU11" s="134"/>
      <c r="AV11" s="144"/>
      <c r="AW11" s="144"/>
      <c r="AX11" s="134"/>
      <c r="AY11" s="145"/>
      <c r="AZ11" s="173"/>
      <c r="BA11" s="144"/>
      <c r="BB11" s="167"/>
      <c r="BC11" s="178" t="str">
        <f>IF(AY11-KD11=0,"",AY11-O11)</f>
        <v/>
      </c>
      <c r="BD11" s="103" t="str">
        <f>IF(AND(AI11&lt;&gt;"SIM",AI11="UH"),"AA","INDENIZAÇÃO")</f>
        <v>INDENIZAÇÃO</v>
      </c>
      <c r="BE11" s="103" t="str">
        <f>IF(AND(AY11&lt;&gt;"AGUARDANDO",AY11&lt;&gt;"",N11="AUXÍLIO ALUGUEL ATÉ INDENIZAÇÃO"),"SIM","NÃO")</f>
        <v>NÃO</v>
      </c>
      <c r="BF11" s="168"/>
      <c r="BG11" s="168"/>
      <c r="BH11" s="168"/>
      <c r="BI11" s="168"/>
      <c r="BJ11" s="168"/>
      <c r="BK11" s="168"/>
      <c r="BL11" s="168"/>
      <c r="BM11" s="168"/>
    </row>
    <row r="12" spans="1:65" ht="30" customHeight="1">
      <c r="A12" s="144">
        <v>3</v>
      </c>
      <c r="B12" s="144" t="s">
        <v>4427</v>
      </c>
      <c r="C12" s="194" t="s">
        <v>4329</v>
      </c>
      <c r="D12" s="194" t="s">
        <v>4329</v>
      </c>
      <c r="E12" s="144" t="s">
        <v>4329</v>
      </c>
      <c r="F12" s="148" t="s">
        <v>4436</v>
      </c>
      <c r="G12" s="144"/>
      <c r="H12" s="144"/>
      <c r="I12" s="147"/>
      <c r="J12" s="170" t="s">
        <v>4437</v>
      </c>
      <c r="K12" s="148" t="s">
        <v>4438</v>
      </c>
      <c r="L12" s="148" t="s">
        <v>4439</v>
      </c>
      <c r="M12" s="144"/>
      <c r="N12" s="144"/>
      <c r="O12" s="134"/>
      <c r="P12" s="104"/>
      <c r="Q12" s="107"/>
      <c r="R12" s="107"/>
      <c r="S12" s="107"/>
      <c r="T12" s="107"/>
      <c r="U12" s="107"/>
      <c r="V12" s="107"/>
      <c r="W12" s="107"/>
      <c r="X12" s="104"/>
      <c r="Y12" s="104"/>
      <c r="Z12" s="104"/>
      <c r="AA12" s="144"/>
      <c r="AB12" s="170"/>
      <c r="AC12" s="170"/>
      <c r="AD12" s="170"/>
      <c r="AE12" s="172"/>
      <c r="AF12" s="172"/>
      <c r="AG12" s="203"/>
      <c r="AH12" s="203"/>
      <c r="AI12" s="172"/>
      <c r="AJ12" s="148"/>
      <c r="AK12" s="144"/>
      <c r="AL12" s="144"/>
      <c r="AM12" s="144"/>
      <c r="AN12" s="144"/>
      <c r="AO12" s="144"/>
      <c r="AP12" s="166"/>
      <c r="AQ12" s="144"/>
      <c r="AR12" s="144"/>
      <c r="AS12" s="103"/>
      <c r="AT12" s="144"/>
      <c r="AU12" s="134"/>
      <c r="AV12" s="144"/>
      <c r="AW12" s="144"/>
      <c r="AX12" s="134"/>
      <c r="AY12" s="145"/>
      <c r="AZ12" s="173"/>
      <c r="BA12" s="144"/>
      <c r="BB12" s="167"/>
      <c r="BC12" s="178" t="str">
        <f>IF(AY12-KD12=0,"",AY12-O12)</f>
        <v/>
      </c>
      <c r="BD12" s="103" t="str">
        <f>IF(AND(AI12&lt;&gt;"SIM",AI12="UH"),"AA","INDENIZAÇÃO")</f>
        <v>INDENIZAÇÃO</v>
      </c>
      <c r="BE12" s="103" t="str">
        <f>IF(AND(AY12&lt;&gt;"AGUARDANDO",AY12&lt;&gt;"",N12="AUXÍLIO ALUGUEL ATÉ INDENIZAÇÃO"),"SIM","NÃO")</f>
        <v>NÃO</v>
      </c>
      <c r="BF12" s="168"/>
      <c r="BG12" s="168"/>
      <c r="BH12" s="168"/>
      <c r="BI12" s="168"/>
      <c r="BJ12" s="168"/>
      <c r="BK12" s="168"/>
      <c r="BL12" s="168"/>
      <c r="BM12" s="168"/>
    </row>
    <row r="13" spans="1:65" ht="30" customHeight="1">
      <c r="A13" s="144">
        <v>4</v>
      </c>
      <c r="B13" s="144" t="s">
        <v>4427</v>
      </c>
      <c r="C13" s="194" t="s">
        <v>4329</v>
      </c>
      <c r="D13" s="194" t="s">
        <v>4329</v>
      </c>
      <c r="E13" s="144" t="s">
        <v>4329</v>
      </c>
      <c r="F13" s="148" t="s">
        <v>4440</v>
      </c>
      <c r="G13" s="144"/>
      <c r="H13" s="144"/>
      <c r="I13" s="147"/>
      <c r="J13" s="170" t="s">
        <v>4441</v>
      </c>
      <c r="K13" s="148" t="s">
        <v>4442</v>
      </c>
      <c r="L13" s="148" t="s">
        <v>4443</v>
      </c>
      <c r="M13" s="144"/>
      <c r="N13" s="144"/>
      <c r="O13" s="134"/>
      <c r="P13" s="104"/>
      <c r="Q13" s="107"/>
      <c r="R13" s="107"/>
      <c r="S13" s="107"/>
      <c r="T13" s="107"/>
      <c r="U13" s="107"/>
      <c r="V13" s="107"/>
      <c r="W13" s="107"/>
      <c r="X13" s="104"/>
      <c r="Y13" s="104"/>
      <c r="Z13" s="104"/>
      <c r="AA13" s="144"/>
      <c r="AB13" s="170"/>
      <c r="AC13" s="170"/>
      <c r="AD13" s="170"/>
      <c r="AE13" s="172"/>
      <c r="AF13" s="172"/>
      <c r="AG13" s="203"/>
      <c r="AH13" s="203"/>
      <c r="AI13" s="172"/>
      <c r="AJ13" s="148"/>
      <c r="AK13" s="144"/>
      <c r="AL13" s="144"/>
      <c r="AM13" s="144"/>
      <c r="AN13" s="144"/>
      <c r="AO13" s="144"/>
      <c r="AP13" s="166"/>
      <c r="AQ13" s="144"/>
      <c r="AR13" s="144"/>
      <c r="AS13" s="103"/>
      <c r="AT13" s="144"/>
      <c r="AU13" s="134"/>
      <c r="AV13" s="144"/>
      <c r="AW13" s="144"/>
      <c r="AX13" s="134"/>
      <c r="AY13" s="145"/>
      <c r="AZ13" s="173"/>
      <c r="BA13" s="144"/>
      <c r="BB13" s="167"/>
      <c r="BC13" s="178" t="str">
        <f>IF(AY13-KD13=0,"",AY13-O13)</f>
        <v/>
      </c>
      <c r="BD13" s="103" t="str">
        <f>IF(AND(AI13&lt;&gt;"SIM",AI13="UH"),"AA","INDENIZAÇÃO")</f>
        <v>INDENIZAÇÃO</v>
      </c>
      <c r="BE13" s="103" t="str">
        <f>IF(AND(AY13&lt;&gt;"AGUARDANDO",AY13&lt;&gt;"",N13="AUXÍLIO ALUGUEL ATÉ INDENIZAÇÃO"),"SIM","NÃO")</f>
        <v>NÃO</v>
      </c>
      <c r="BF13" s="168"/>
      <c r="BG13" s="168"/>
      <c r="BH13" s="168"/>
      <c r="BI13" s="168"/>
      <c r="BJ13" s="168"/>
      <c r="BK13" s="168"/>
      <c r="BL13" s="168"/>
      <c r="BM13" s="168"/>
    </row>
    <row r="14" spans="1:65" ht="30" customHeight="1">
      <c r="A14" s="144">
        <v>5</v>
      </c>
      <c r="B14" s="144" t="s">
        <v>4427</v>
      </c>
      <c r="C14" s="194" t="s">
        <v>4329</v>
      </c>
      <c r="D14" s="194" t="s">
        <v>4329</v>
      </c>
      <c r="E14" s="144" t="s">
        <v>4329</v>
      </c>
      <c r="F14" s="148" t="s">
        <v>4444</v>
      </c>
      <c r="G14" s="144"/>
      <c r="H14" s="144"/>
      <c r="I14" s="147"/>
      <c r="J14" s="170" t="s">
        <v>4445</v>
      </c>
      <c r="K14" s="148" t="s">
        <v>4446</v>
      </c>
      <c r="L14" s="148" t="s">
        <v>4447</v>
      </c>
      <c r="M14" s="144"/>
      <c r="N14" s="144"/>
      <c r="O14" s="134"/>
      <c r="P14" s="104"/>
      <c r="Q14" s="107"/>
      <c r="R14" s="107"/>
      <c r="S14" s="107"/>
      <c r="T14" s="107"/>
      <c r="U14" s="107"/>
      <c r="V14" s="107"/>
      <c r="W14" s="107"/>
      <c r="X14" s="104"/>
      <c r="Y14" s="104"/>
      <c r="Z14" s="104"/>
      <c r="AA14" s="144"/>
      <c r="AB14" s="170"/>
      <c r="AC14" s="170"/>
      <c r="AD14" s="170"/>
      <c r="AE14" s="172"/>
      <c r="AF14" s="172"/>
      <c r="AG14" s="203"/>
      <c r="AH14" s="203"/>
      <c r="AI14" s="172"/>
      <c r="AJ14" s="148"/>
      <c r="AK14" s="144"/>
      <c r="AL14" s="144"/>
      <c r="AM14" s="144"/>
      <c r="AN14" s="144"/>
      <c r="AO14" s="144"/>
      <c r="AP14" s="166"/>
      <c r="AQ14" s="144"/>
      <c r="AR14" s="144"/>
      <c r="AS14" s="103"/>
      <c r="AT14" s="144"/>
      <c r="AU14" s="134"/>
      <c r="AV14" s="144"/>
      <c r="AW14" s="144"/>
      <c r="AX14" s="134"/>
      <c r="AY14" s="145"/>
      <c r="AZ14" s="173"/>
      <c r="BA14" s="144"/>
      <c r="BB14" s="167"/>
      <c r="BC14" s="178" t="str">
        <f>IF(AY14-KD14=0,"",AY14-O14)</f>
        <v/>
      </c>
      <c r="BD14" s="103" t="str">
        <f>IF(AND(AI14&lt;&gt;"SIM",AI14="UH"),"AA","INDENIZAÇÃO")</f>
        <v>INDENIZAÇÃO</v>
      </c>
      <c r="BE14" s="103" t="str">
        <f>IF(AND(AY14&lt;&gt;"AGUARDANDO",AY14&lt;&gt;"",N14="AUXÍLIO ALUGUEL ATÉ INDENIZAÇÃO"),"SIM","NÃO")</f>
        <v>NÃO</v>
      </c>
      <c r="BF14" s="168"/>
      <c r="BG14" s="168"/>
      <c r="BH14" s="168"/>
      <c r="BI14" s="168"/>
      <c r="BJ14" s="168"/>
      <c r="BK14" s="168"/>
      <c r="BL14" s="168"/>
      <c r="BM14" s="168"/>
    </row>
    <row r="15" spans="1:65" ht="30" customHeight="1">
      <c r="A15" s="144">
        <v>6</v>
      </c>
      <c r="B15" s="144" t="s">
        <v>4427</v>
      </c>
      <c r="C15" s="194" t="s">
        <v>4329</v>
      </c>
      <c r="D15" s="194" t="s">
        <v>4329</v>
      </c>
      <c r="E15" s="144" t="s">
        <v>4329</v>
      </c>
      <c r="F15" s="148" t="s">
        <v>4444</v>
      </c>
      <c r="G15" s="144"/>
      <c r="H15" s="144"/>
      <c r="I15" s="147"/>
      <c r="J15" s="170" t="s">
        <v>4448</v>
      </c>
      <c r="K15" s="148" t="s">
        <v>4449</v>
      </c>
      <c r="L15" s="148" t="s">
        <v>4450</v>
      </c>
      <c r="M15" s="144"/>
      <c r="N15" s="144"/>
      <c r="O15" s="134"/>
      <c r="P15" s="104"/>
      <c r="Q15" s="107"/>
      <c r="R15" s="107"/>
      <c r="S15" s="107"/>
      <c r="T15" s="107"/>
      <c r="U15" s="107"/>
      <c r="V15" s="107"/>
      <c r="W15" s="107"/>
      <c r="X15" s="104"/>
      <c r="Y15" s="104"/>
      <c r="Z15" s="104"/>
      <c r="AA15" s="144"/>
      <c r="AB15" s="170"/>
      <c r="AC15" s="170"/>
      <c r="AD15" s="170"/>
      <c r="AE15" s="172"/>
      <c r="AF15" s="172"/>
      <c r="AG15" s="203"/>
      <c r="AH15" s="203"/>
      <c r="AI15" s="172"/>
      <c r="AJ15" s="148"/>
      <c r="AK15" s="144"/>
      <c r="AL15" s="144"/>
      <c r="AM15" s="144"/>
      <c r="AN15" s="144"/>
      <c r="AO15" s="144"/>
      <c r="AP15" s="166"/>
      <c r="AQ15" s="144"/>
      <c r="AR15" s="144"/>
      <c r="AS15" s="103"/>
      <c r="AT15" s="144"/>
      <c r="AU15" s="134"/>
      <c r="AV15" s="144"/>
      <c r="AW15" s="144"/>
      <c r="AX15" s="134"/>
      <c r="AY15" s="145"/>
      <c r="AZ15" s="173"/>
      <c r="BA15" s="144"/>
      <c r="BB15" s="167"/>
      <c r="BC15" s="178" t="str">
        <f>IF(AY15-KD15=0,"",AY15-O15)</f>
        <v/>
      </c>
      <c r="BD15" s="103" t="str">
        <f>IF(AND(AI15&lt;&gt;"SIM",AI15="UH"),"AA","INDENIZAÇÃO")</f>
        <v>INDENIZAÇÃO</v>
      </c>
      <c r="BE15" s="103" t="str">
        <f>IF(AND(AY15&lt;&gt;"AGUARDANDO",AY15&lt;&gt;"",N15="AUXÍLIO ALUGUEL ATÉ INDENIZAÇÃO"),"SIM","NÃO")</f>
        <v>NÃO</v>
      </c>
      <c r="BF15" s="168"/>
      <c r="BG15" s="168"/>
      <c r="BH15" s="168"/>
      <c r="BI15" s="168"/>
      <c r="BJ15" s="168"/>
      <c r="BK15" s="168"/>
      <c r="BL15" s="168"/>
      <c r="BM15" s="168"/>
    </row>
    <row r="16" spans="1:65" ht="30" customHeight="1">
      <c r="A16" s="144">
        <v>7</v>
      </c>
      <c r="B16" s="144" t="s">
        <v>4427</v>
      </c>
      <c r="C16" s="194" t="s">
        <v>4329</v>
      </c>
      <c r="D16" s="194" t="s">
        <v>4329</v>
      </c>
      <c r="E16" s="144" t="s">
        <v>4329</v>
      </c>
      <c r="F16" s="148" t="s">
        <v>4451</v>
      </c>
      <c r="G16" s="144"/>
      <c r="H16" s="144"/>
      <c r="I16" s="147"/>
      <c r="J16" s="170" t="s">
        <v>4452</v>
      </c>
      <c r="K16" s="148" t="s">
        <v>4453</v>
      </c>
      <c r="L16" s="148" t="s">
        <v>4454</v>
      </c>
      <c r="M16" s="144"/>
      <c r="N16" s="144"/>
      <c r="O16" s="134"/>
      <c r="P16" s="104"/>
      <c r="Q16" s="107"/>
      <c r="R16" s="107"/>
      <c r="S16" s="107"/>
      <c r="T16" s="107"/>
      <c r="U16" s="107"/>
      <c r="V16" s="107"/>
      <c r="W16" s="107"/>
      <c r="X16" s="104"/>
      <c r="Y16" s="104"/>
      <c r="Z16" s="104"/>
      <c r="AA16" s="144"/>
      <c r="AB16" s="170"/>
      <c r="AC16" s="170"/>
      <c r="AD16" s="170"/>
      <c r="AE16" s="172"/>
      <c r="AF16" s="172"/>
      <c r="AG16" s="203"/>
      <c r="AH16" s="203"/>
      <c r="AI16" s="172"/>
      <c r="AJ16" s="148"/>
      <c r="AK16" s="144"/>
      <c r="AL16" s="144"/>
      <c r="AM16" s="144"/>
      <c r="AN16" s="144"/>
      <c r="AO16" s="144"/>
      <c r="AP16" s="166"/>
      <c r="AQ16" s="144"/>
      <c r="AR16" s="144"/>
      <c r="AS16" s="103"/>
      <c r="AT16" s="144"/>
      <c r="AU16" s="134"/>
      <c r="AV16" s="144"/>
      <c r="AW16" s="144"/>
      <c r="AX16" s="134"/>
      <c r="AY16" s="145"/>
      <c r="AZ16" s="173"/>
      <c r="BA16" s="144"/>
      <c r="BB16" s="167"/>
      <c r="BC16" s="178" t="str">
        <f>IF(AY16-KD16=0,"",AY16-O16)</f>
        <v/>
      </c>
      <c r="BD16" s="103" t="str">
        <f>IF(AND(AI16&lt;&gt;"SIM",AI16="UH"),"AA","INDENIZAÇÃO")</f>
        <v>INDENIZAÇÃO</v>
      </c>
      <c r="BE16" s="103" t="str">
        <f>IF(AND(AY16&lt;&gt;"AGUARDANDO",AY16&lt;&gt;"",N16="AUXÍLIO ALUGUEL ATÉ INDENIZAÇÃO"),"SIM","NÃO")</f>
        <v>NÃO</v>
      </c>
      <c r="BF16" s="168"/>
      <c r="BG16" s="168"/>
      <c r="BH16" s="168"/>
      <c r="BI16" s="168"/>
      <c r="BJ16" s="168"/>
      <c r="BK16" s="168"/>
      <c r="BL16" s="168"/>
      <c r="BM16" s="168"/>
    </row>
    <row r="17" spans="1:65" ht="30" customHeight="1">
      <c r="A17" s="144">
        <v>8</v>
      </c>
      <c r="B17" s="144" t="s">
        <v>4427</v>
      </c>
      <c r="C17" s="194" t="s">
        <v>4329</v>
      </c>
      <c r="D17" s="194" t="s">
        <v>4329</v>
      </c>
      <c r="E17" s="144" t="s">
        <v>4329</v>
      </c>
      <c r="F17" s="148" t="s">
        <v>4455</v>
      </c>
      <c r="G17" s="144"/>
      <c r="H17" s="144"/>
      <c r="I17" s="147"/>
      <c r="J17" s="170" t="s">
        <v>4456</v>
      </c>
      <c r="K17" s="148" t="s">
        <v>4457</v>
      </c>
      <c r="L17" s="148" t="s">
        <v>4458</v>
      </c>
      <c r="M17" s="144"/>
      <c r="N17" s="144"/>
      <c r="O17" s="134"/>
      <c r="P17" s="104"/>
      <c r="Q17" s="107"/>
      <c r="R17" s="107"/>
      <c r="S17" s="107"/>
      <c r="T17" s="107"/>
      <c r="U17" s="107"/>
      <c r="V17" s="107"/>
      <c r="W17" s="107"/>
      <c r="X17" s="104"/>
      <c r="Y17" s="104"/>
      <c r="Z17" s="104"/>
      <c r="AA17" s="144"/>
      <c r="AB17" s="170"/>
      <c r="AC17" s="170"/>
      <c r="AD17" s="170"/>
      <c r="AE17" s="172"/>
      <c r="AF17" s="172"/>
      <c r="AG17" s="203"/>
      <c r="AH17" s="203"/>
      <c r="AI17" s="172"/>
      <c r="AJ17" s="148"/>
      <c r="AK17" s="144"/>
      <c r="AL17" s="144"/>
      <c r="AM17" s="144"/>
      <c r="AN17" s="144"/>
      <c r="AO17" s="144"/>
      <c r="AP17" s="166"/>
      <c r="AQ17" s="144"/>
      <c r="AR17" s="144"/>
      <c r="AS17" s="103"/>
      <c r="AT17" s="144"/>
      <c r="AU17" s="134"/>
      <c r="AV17" s="144"/>
      <c r="AW17" s="144"/>
      <c r="AX17" s="134"/>
      <c r="AY17" s="145"/>
      <c r="AZ17" s="173"/>
      <c r="BA17" s="144"/>
      <c r="BB17" s="167"/>
      <c r="BC17" s="178" t="str">
        <f>IF(AY17-KD17=0,"",AY17-O17)</f>
        <v/>
      </c>
      <c r="BD17" s="103" t="str">
        <f>IF(AND(AI17&lt;&gt;"SIM",AI17="UH"),"AA","INDENIZAÇÃO")</f>
        <v>INDENIZAÇÃO</v>
      </c>
      <c r="BE17" s="103" t="str">
        <f>IF(AND(AY17&lt;&gt;"AGUARDANDO",AY17&lt;&gt;"",N17="AUXÍLIO ALUGUEL ATÉ INDENIZAÇÃO"),"SIM","NÃO")</f>
        <v>NÃO</v>
      </c>
      <c r="BF17" s="168"/>
      <c r="BG17" s="168"/>
      <c r="BH17" s="168"/>
      <c r="BI17" s="168"/>
      <c r="BJ17" s="168"/>
      <c r="BK17" s="168"/>
      <c r="BL17" s="168"/>
      <c r="BM17" s="168"/>
    </row>
    <row r="18" spans="1:65" ht="30" customHeight="1">
      <c r="A18" s="144">
        <v>9</v>
      </c>
      <c r="B18" s="144" t="s">
        <v>4427</v>
      </c>
      <c r="C18" s="194" t="s">
        <v>4329</v>
      </c>
      <c r="D18" s="194" t="s">
        <v>4329</v>
      </c>
      <c r="E18" s="144" t="s">
        <v>4329</v>
      </c>
      <c r="F18" s="148" t="s">
        <v>4455</v>
      </c>
      <c r="G18" s="144"/>
      <c r="H18" s="144"/>
      <c r="I18" s="147"/>
      <c r="J18" s="170" t="s">
        <v>4459</v>
      </c>
      <c r="K18" s="148" t="s">
        <v>4460</v>
      </c>
      <c r="L18" s="148" t="s">
        <v>4461</v>
      </c>
      <c r="M18" s="144"/>
      <c r="N18" s="144"/>
      <c r="O18" s="134"/>
      <c r="P18" s="104"/>
      <c r="Q18" s="107"/>
      <c r="R18" s="107"/>
      <c r="S18" s="107"/>
      <c r="T18" s="107"/>
      <c r="U18" s="107"/>
      <c r="V18" s="107"/>
      <c r="W18" s="107"/>
      <c r="X18" s="104"/>
      <c r="Y18" s="104"/>
      <c r="Z18" s="104"/>
      <c r="AA18" s="144"/>
      <c r="AB18" s="170"/>
      <c r="AC18" s="170"/>
      <c r="AD18" s="170"/>
      <c r="AE18" s="172"/>
      <c r="AF18" s="172"/>
      <c r="AG18" s="203"/>
      <c r="AH18" s="203"/>
      <c r="AI18" s="172"/>
      <c r="AJ18" s="148"/>
      <c r="AK18" s="144"/>
      <c r="AL18" s="144"/>
      <c r="AM18" s="144"/>
      <c r="AN18" s="144"/>
      <c r="AO18" s="144"/>
      <c r="AP18" s="166"/>
      <c r="AQ18" s="144"/>
      <c r="AR18" s="144"/>
      <c r="AS18" s="103"/>
      <c r="AT18" s="144"/>
      <c r="AU18" s="134"/>
      <c r="AV18" s="144"/>
      <c r="AW18" s="144"/>
      <c r="AX18" s="134"/>
      <c r="AY18" s="145"/>
      <c r="AZ18" s="173"/>
      <c r="BA18" s="144"/>
      <c r="BB18" s="167"/>
      <c r="BC18" s="178" t="str">
        <f>IF(AY18-KD18=0,"",AY18-O18)</f>
        <v/>
      </c>
      <c r="BD18" s="103" t="str">
        <f>IF(AND(AI18&lt;&gt;"SIM",AI18="UH"),"AA","INDENIZAÇÃO")</f>
        <v>INDENIZAÇÃO</v>
      </c>
      <c r="BE18" s="103" t="str">
        <f>IF(AND(AY18&lt;&gt;"AGUARDANDO",AY18&lt;&gt;"",N18="AUXÍLIO ALUGUEL ATÉ INDENIZAÇÃO"),"SIM","NÃO")</f>
        <v>NÃO</v>
      </c>
      <c r="BF18" s="168"/>
      <c r="BG18" s="168"/>
      <c r="BH18" s="168"/>
      <c r="BI18" s="168"/>
      <c r="BJ18" s="168"/>
      <c r="BK18" s="168"/>
      <c r="BL18" s="168"/>
      <c r="BM18" s="168"/>
    </row>
    <row r="19" spans="1:65" ht="30" customHeight="1">
      <c r="A19" s="144">
        <v>10</v>
      </c>
      <c r="B19" s="144" t="s">
        <v>4427</v>
      </c>
      <c r="C19" s="194" t="s">
        <v>4329</v>
      </c>
      <c r="D19" s="194" t="s">
        <v>4329</v>
      </c>
      <c r="E19" s="144" t="s">
        <v>4329</v>
      </c>
      <c r="F19" s="148" t="s">
        <v>4462</v>
      </c>
      <c r="G19" s="144"/>
      <c r="H19" s="144"/>
      <c r="I19" s="147"/>
      <c r="J19" s="170" t="s">
        <v>4463</v>
      </c>
      <c r="K19" s="148" t="s">
        <v>4464</v>
      </c>
      <c r="L19" s="148" t="s">
        <v>4465</v>
      </c>
      <c r="M19" s="144"/>
      <c r="N19" s="144"/>
      <c r="O19" s="134"/>
      <c r="P19" s="104"/>
      <c r="Q19" s="107"/>
      <c r="R19" s="107"/>
      <c r="S19" s="107"/>
      <c r="T19" s="107"/>
      <c r="U19" s="107"/>
      <c r="V19" s="107"/>
      <c r="W19" s="107"/>
      <c r="X19" s="104"/>
      <c r="Y19" s="104"/>
      <c r="Z19" s="104"/>
      <c r="AA19" s="144"/>
      <c r="AB19" s="170"/>
      <c r="AC19" s="170"/>
      <c r="AD19" s="170"/>
      <c r="AE19" s="172"/>
      <c r="AF19" s="172"/>
      <c r="AG19" s="203"/>
      <c r="AH19" s="203"/>
      <c r="AI19" s="172"/>
      <c r="AJ19" s="148"/>
      <c r="AK19" s="144"/>
      <c r="AL19" s="144"/>
      <c r="AM19" s="144"/>
      <c r="AN19" s="144"/>
      <c r="AO19" s="144"/>
      <c r="AP19" s="166"/>
      <c r="AQ19" s="144"/>
      <c r="AR19" s="144"/>
      <c r="AS19" s="103"/>
      <c r="AT19" s="144"/>
      <c r="AU19" s="134"/>
      <c r="AV19" s="144"/>
      <c r="AW19" s="144"/>
      <c r="AX19" s="134"/>
      <c r="AY19" s="145"/>
      <c r="AZ19" s="173"/>
      <c r="BA19" s="144"/>
      <c r="BB19" s="167"/>
      <c r="BC19" s="178" t="str">
        <f>IF(AY19-KD19=0,"",AY19-O19)</f>
        <v/>
      </c>
      <c r="BD19" s="103" t="str">
        <f>IF(AND(AI19&lt;&gt;"SIM",AI19="UH"),"AA","INDENIZAÇÃO")</f>
        <v>INDENIZAÇÃO</v>
      </c>
      <c r="BE19" s="103" t="str">
        <f>IF(AND(AY19&lt;&gt;"AGUARDANDO",AY19&lt;&gt;"",N19="AUXÍLIO ALUGUEL ATÉ INDENIZAÇÃO"),"SIM","NÃO")</f>
        <v>NÃO</v>
      </c>
      <c r="BF19" s="168"/>
      <c r="BG19" s="168"/>
      <c r="BH19" s="168"/>
      <c r="BI19" s="168"/>
      <c r="BJ19" s="168"/>
      <c r="BK19" s="168"/>
      <c r="BL19" s="168"/>
      <c r="BM19" s="168"/>
    </row>
    <row r="20" spans="1:65" ht="30" customHeight="1">
      <c r="A20" s="144">
        <v>11</v>
      </c>
      <c r="B20" s="144" t="s">
        <v>4427</v>
      </c>
      <c r="C20" s="194" t="s">
        <v>4329</v>
      </c>
      <c r="D20" s="194" t="s">
        <v>4329</v>
      </c>
      <c r="E20" s="144" t="s">
        <v>4329</v>
      </c>
      <c r="F20" s="148" t="s">
        <v>4462</v>
      </c>
      <c r="G20" s="144"/>
      <c r="H20" s="144"/>
      <c r="I20" s="147"/>
      <c r="J20" s="170" t="s">
        <v>4466</v>
      </c>
      <c r="K20" s="148" t="s">
        <v>4467</v>
      </c>
      <c r="L20" s="148" t="s">
        <v>4468</v>
      </c>
      <c r="M20" s="144"/>
      <c r="N20" s="144"/>
      <c r="O20" s="134"/>
      <c r="P20" s="104"/>
      <c r="Q20" s="107"/>
      <c r="R20" s="107"/>
      <c r="S20" s="107"/>
      <c r="T20" s="107"/>
      <c r="U20" s="107"/>
      <c r="V20" s="107"/>
      <c r="W20" s="107"/>
      <c r="X20" s="104"/>
      <c r="Y20" s="104"/>
      <c r="Z20" s="104"/>
      <c r="AA20" s="144"/>
      <c r="AB20" s="170"/>
      <c r="AC20" s="170"/>
      <c r="AD20" s="170"/>
      <c r="AE20" s="172"/>
      <c r="AF20" s="172"/>
      <c r="AG20" s="203"/>
      <c r="AH20" s="203"/>
      <c r="AI20" s="172"/>
      <c r="AJ20" s="148"/>
      <c r="AK20" s="144"/>
      <c r="AL20" s="144"/>
      <c r="AM20" s="144"/>
      <c r="AN20" s="144"/>
      <c r="AO20" s="144"/>
      <c r="AP20" s="166"/>
      <c r="AQ20" s="144"/>
      <c r="AR20" s="144"/>
      <c r="AS20" s="103"/>
      <c r="AT20" s="144"/>
      <c r="AU20" s="134"/>
      <c r="AV20" s="144"/>
      <c r="AW20" s="144"/>
      <c r="AX20" s="134"/>
      <c r="AY20" s="145"/>
      <c r="AZ20" s="173"/>
      <c r="BA20" s="144"/>
      <c r="BB20" s="167"/>
      <c r="BC20" s="178" t="str">
        <f>IF(AY20-KD20=0,"",AY20-O20)</f>
        <v/>
      </c>
      <c r="BD20" s="103" t="str">
        <f>IF(AND(AI20&lt;&gt;"SIM",AI20="UH"),"AA","INDENIZAÇÃO")</f>
        <v>INDENIZAÇÃO</v>
      </c>
      <c r="BE20" s="103" t="str">
        <f>IF(AND(AY20&lt;&gt;"AGUARDANDO",AY20&lt;&gt;"",N20="AUXÍLIO ALUGUEL ATÉ INDENIZAÇÃO"),"SIM","NÃO")</f>
        <v>NÃO</v>
      </c>
      <c r="BF20" s="168"/>
      <c r="BG20" s="168"/>
      <c r="BH20" s="168"/>
      <c r="BI20" s="168"/>
      <c r="BJ20" s="168"/>
      <c r="BK20" s="168"/>
      <c r="BL20" s="168"/>
      <c r="BM20" s="168"/>
    </row>
    <row r="21" spans="1:65" ht="30" customHeight="1">
      <c r="A21" s="144">
        <v>12</v>
      </c>
      <c r="B21" s="144" t="s">
        <v>4427</v>
      </c>
      <c r="C21" s="194" t="s">
        <v>4329</v>
      </c>
      <c r="D21" s="194" t="s">
        <v>4329</v>
      </c>
      <c r="E21" s="144" t="s">
        <v>4329</v>
      </c>
      <c r="F21" s="148" t="s">
        <v>4469</v>
      </c>
      <c r="G21" s="144"/>
      <c r="H21" s="144"/>
      <c r="I21" s="147"/>
      <c r="J21" s="170" t="s">
        <v>4470</v>
      </c>
      <c r="K21" s="148" t="s">
        <v>4471</v>
      </c>
      <c r="L21" s="148" t="s">
        <v>4472</v>
      </c>
      <c r="M21" s="144"/>
      <c r="N21" s="144"/>
      <c r="O21" s="134"/>
      <c r="P21" s="104"/>
      <c r="Q21" s="107"/>
      <c r="R21" s="107"/>
      <c r="S21" s="107"/>
      <c r="T21" s="107"/>
      <c r="U21" s="107"/>
      <c r="V21" s="107"/>
      <c r="W21" s="107"/>
      <c r="X21" s="104"/>
      <c r="Y21" s="104"/>
      <c r="Z21" s="104"/>
      <c r="AA21" s="144"/>
      <c r="AB21" s="170"/>
      <c r="AC21" s="170"/>
      <c r="AD21" s="170"/>
      <c r="AE21" s="172"/>
      <c r="AF21" s="172"/>
      <c r="AG21" s="203"/>
      <c r="AH21" s="203"/>
      <c r="AI21" s="172"/>
      <c r="AJ21" s="148"/>
      <c r="AK21" s="144"/>
      <c r="AL21" s="144"/>
      <c r="AM21" s="144"/>
      <c r="AN21" s="144"/>
      <c r="AO21" s="144"/>
      <c r="AP21" s="166"/>
      <c r="AQ21" s="144"/>
      <c r="AR21" s="144"/>
      <c r="AS21" s="103"/>
      <c r="AT21" s="144"/>
      <c r="AU21" s="134"/>
      <c r="AV21" s="144"/>
      <c r="AW21" s="144"/>
      <c r="AX21" s="134"/>
      <c r="AY21" s="145"/>
      <c r="AZ21" s="173"/>
      <c r="BA21" s="144"/>
      <c r="BB21" s="167"/>
      <c r="BC21" s="178" t="str">
        <f>IF(AY21-KD21=0,"",AY21-O21)</f>
        <v/>
      </c>
      <c r="BD21" s="103" t="str">
        <f>IF(AND(AI21&lt;&gt;"SIM",AI21="UH"),"AA","INDENIZAÇÃO")</f>
        <v>INDENIZAÇÃO</v>
      </c>
      <c r="BE21" s="103" t="str">
        <f>IF(AND(AY21&lt;&gt;"AGUARDANDO",AY21&lt;&gt;"",N21="AUXÍLIO ALUGUEL ATÉ INDENIZAÇÃO"),"SIM","NÃO")</f>
        <v>NÃO</v>
      </c>
      <c r="BF21" s="168"/>
      <c r="BG21" s="168"/>
      <c r="BH21" s="168"/>
      <c r="BI21" s="168"/>
      <c r="BJ21" s="168"/>
      <c r="BK21" s="168"/>
      <c r="BL21" s="168"/>
      <c r="BM21" s="168"/>
    </row>
    <row r="22" spans="1:65" ht="30" customHeight="1">
      <c r="A22" s="144">
        <v>13</v>
      </c>
      <c r="B22" s="144" t="s">
        <v>4427</v>
      </c>
      <c r="C22" s="194" t="s">
        <v>4329</v>
      </c>
      <c r="D22" s="194" t="s">
        <v>4329</v>
      </c>
      <c r="E22" s="144" t="s">
        <v>4329</v>
      </c>
      <c r="F22" s="148" t="s">
        <v>4473</v>
      </c>
      <c r="G22" s="144"/>
      <c r="H22" s="144"/>
      <c r="I22" s="147"/>
      <c r="J22" s="170" t="s">
        <v>4474</v>
      </c>
      <c r="K22" s="148" t="s">
        <v>4475</v>
      </c>
      <c r="L22" s="148" t="s">
        <v>4476</v>
      </c>
      <c r="M22" s="144"/>
      <c r="N22" s="144"/>
      <c r="O22" s="134"/>
      <c r="P22" s="104"/>
      <c r="Q22" s="107"/>
      <c r="R22" s="107"/>
      <c r="S22" s="107"/>
      <c r="T22" s="107"/>
      <c r="U22" s="107"/>
      <c r="V22" s="107"/>
      <c r="W22" s="107"/>
      <c r="X22" s="104"/>
      <c r="Y22" s="104"/>
      <c r="Z22" s="104"/>
      <c r="AA22" s="144"/>
      <c r="AB22" s="170"/>
      <c r="AC22" s="170"/>
      <c r="AD22" s="170"/>
      <c r="AE22" s="172"/>
      <c r="AF22" s="172"/>
      <c r="AG22" s="203"/>
      <c r="AH22" s="203"/>
      <c r="AI22" s="172"/>
      <c r="AJ22" s="148"/>
      <c r="AK22" s="144"/>
      <c r="AL22" s="144"/>
      <c r="AM22" s="144"/>
      <c r="AN22" s="144"/>
      <c r="AO22" s="144"/>
      <c r="AP22" s="166"/>
      <c r="AQ22" s="144"/>
      <c r="AR22" s="144"/>
      <c r="AS22" s="103"/>
      <c r="AT22" s="144"/>
      <c r="AU22" s="134"/>
      <c r="AV22" s="144"/>
      <c r="AW22" s="144"/>
      <c r="AX22" s="134"/>
      <c r="AY22" s="145"/>
      <c r="AZ22" s="173"/>
      <c r="BA22" s="144"/>
      <c r="BB22" s="167"/>
      <c r="BC22" s="178" t="str">
        <f>IF(AY22-KD22=0,"",AY22-O22)</f>
        <v/>
      </c>
      <c r="BD22" s="103" t="str">
        <f>IF(AND(AI22&lt;&gt;"SIM",AI22="UH"),"AA","INDENIZAÇÃO")</f>
        <v>INDENIZAÇÃO</v>
      </c>
      <c r="BE22" s="103" t="str">
        <f>IF(AND(AY22&lt;&gt;"AGUARDANDO",AY22&lt;&gt;"",N22="AUXÍLIO ALUGUEL ATÉ INDENIZAÇÃO"),"SIM","NÃO")</f>
        <v>NÃO</v>
      </c>
      <c r="BF22" s="168"/>
      <c r="BG22" s="168"/>
      <c r="BH22" s="168"/>
      <c r="BI22" s="168"/>
      <c r="BJ22" s="168"/>
      <c r="BK22" s="168"/>
      <c r="BL22" s="168"/>
      <c r="BM22" s="168"/>
    </row>
    <row r="23" spans="1:65" ht="30" customHeight="1">
      <c r="A23" s="144">
        <v>14</v>
      </c>
      <c r="B23" s="144" t="s">
        <v>4427</v>
      </c>
      <c r="C23" s="194" t="s">
        <v>4329</v>
      </c>
      <c r="D23" s="194" t="s">
        <v>4329</v>
      </c>
      <c r="E23" s="144" t="s">
        <v>4329</v>
      </c>
      <c r="F23" s="148" t="s">
        <v>4477</v>
      </c>
      <c r="G23" s="144"/>
      <c r="H23" s="144"/>
      <c r="I23" s="147"/>
      <c r="J23" s="170" t="s">
        <v>4478</v>
      </c>
      <c r="K23" s="148" t="s">
        <v>4479</v>
      </c>
      <c r="L23" s="148" t="s">
        <v>4480</v>
      </c>
      <c r="M23" s="144"/>
      <c r="N23" s="144"/>
      <c r="O23" s="134"/>
      <c r="P23" s="104"/>
      <c r="Q23" s="107"/>
      <c r="R23" s="107"/>
      <c r="S23" s="107"/>
      <c r="T23" s="107"/>
      <c r="U23" s="107"/>
      <c r="V23" s="107"/>
      <c r="W23" s="107"/>
      <c r="X23" s="104"/>
      <c r="Y23" s="104"/>
      <c r="Z23" s="104"/>
      <c r="AA23" s="144"/>
      <c r="AB23" s="170"/>
      <c r="AC23" s="170"/>
      <c r="AD23" s="170"/>
      <c r="AE23" s="172"/>
      <c r="AF23" s="172"/>
      <c r="AG23" s="203"/>
      <c r="AH23" s="203"/>
      <c r="AI23" s="172"/>
      <c r="AJ23" s="148"/>
      <c r="AK23" s="144"/>
      <c r="AL23" s="144"/>
      <c r="AM23" s="144"/>
      <c r="AN23" s="144"/>
      <c r="AO23" s="144"/>
      <c r="AP23" s="166"/>
      <c r="AQ23" s="144"/>
      <c r="AR23" s="144"/>
      <c r="AS23" s="103"/>
      <c r="AT23" s="144"/>
      <c r="AU23" s="134"/>
      <c r="AV23" s="144"/>
      <c r="AW23" s="144"/>
      <c r="AX23" s="134"/>
      <c r="AY23" s="145"/>
      <c r="AZ23" s="173"/>
      <c r="BA23" s="144"/>
      <c r="BB23" s="167"/>
      <c r="BC23" s="178" t="str">
        <f>IF(AY23-KD23=0,"",AY23-O23)</f>
        <v/>
      </c>
      <c r="BD23" s="103" t="str">
        <f>IF(AND(AI23&lt;&gt;"SIM",AI23="UH"),"AA","INDENIZAÇÃO")</f>
        <v>INDENIZAÇÃO</v>
      </c>
      <c r="BE23" s="103" t="str">
        <f>IF(AND(AY23&lt;&gt;"AGUARDANDO",AY23&lt;&gt;"",N23="AUXÍLIO ALUGUEL ATÉ INDENIZAÇÃO"),"SIM","NÃO")</f>
        <v>NÃO</v>
      </c>
      <c r="BF23" s="168"/>
      <c r="BG23" s="168"/>
      <c r="BH23" s="168"/>
      <c r="BI23" s="168"/>
      <c r="BJ23" s="168"/>
      <c r="BK23" s="168"/>
      <c r="BL23" s="168"/>
      <c r="BM23" s="168"/>
    </row>
    <row r="24" spans="1:65" ht="30" customHeight="1">
      <c r="A24" s="144">
        <v>15</v>
      </c>
      <c r="B24" s="144" t="s">
        <v>4427</v>
      </c>
      <c r="C24" s="194" t="s">
        <v>4329</v>
      </c>
      <c r="D24" s="194" t="s">
        <v>4329</v>
      </c>
      <c r="E24" s="144" t="s">
        <v>4329</v>
      </c>
      <c r="F24" s="148" t="s">
        <v>4481</v>
      </c>
      <c r="G24" s="144"/>
      <c r="H24" s="144"/>
      <c r="I24" s="147"/>
      <c r="J24" s="170" t="s">
        <v>4482</v>
      </c>
      <c r="K24" s="148" t="s">
        <v>4483</v>
      </c>
      <c r="L24" s="148" t="s">
        <v>4484</v>
      </c>
      <c r="M24" s="144"/>
      <c r="N24" s="144"/>
      <c r="O24" s="134"/>
      <c r="P24" s="104"/>
      <c r="Q24" s="107"/>
      <c r="R24" s="107"/>
      <c r="S24" s="107"/>
      <c r="T24" s="107"/>
      <c r="U24" s="107"/>
      <c r="V24" s="107"/>
      <c r="W24" s="107"/>
      <c r="X24" s="104"/>
      <c r="Y24" s="104"/>
      <c r="Z24" s="104"/>
      <c r="AA24" s="144"/>
      <c r="AB24" s="170"/>
      <c r="AC24" s="170"/>
      <c r="AD24" s="170"/>
      <c r="AE24" s="172"/>
      <c r="AF24" s="172"/>
      <c r="AG24" s="203"/>
      <c r="AH24" s="203"/>
      <c r="AI24" s="172"/>
      <c r="AJ24" s="148"/>
      <c r="AK24" s="144"/>
      <c r="AL24" s="144"/>
      <c r="AM24" s="144"/>
      <c r="AN24" s="144"/>
      <c r="AO24" s="144"/>
      <c r="AP24" s="166"/>
      <c r="AQ24" s="144"/>
      <c r="AR24" s="144"/>
      <c r="AS24" s="103"/>
      <c r="AT24" s="144"/>
      <c r="AU24" s="134"/>
      <c r="AV24" s="144"/>
      <c r="AW24" s="144"/>
      <c r="AX24" s="134"/>
      <c r="AY24" s="145"/>
      <c r="AZ24" s="173"/>
      <c r="BA24" s="144"/>
      <c r="BB24" s="167"/>
      <c r="BC24" s="178" t="str">
        <f>IF(AY24-KD24=0,"",AY24-O24)</f>
        <v/>
      </c>
      <c r="BD24" s="103" t="str">
        <f>IF(AND(AI24&lt;&gt;"SIM",AI24="UH"),"AA","INDENIZAÇÃO")</f>
        <v>INDENIZAÇÃO</v>
      </c>
      <c r="BE24" s="103" t="str">
        <f>IF(AND(AY24&lt;&gt;"AGUARDANDO",AY24&lt;&gt;"",N24="AUXÍLIO ALUGUEL ATÉ INDENIZAÇÃO"),"SIM","NÃO")</f>
        <v>NÃO</v>
      </c>
      <c r="BF24" s="168"/>
      <c r="BG24" s="168"/>
      <c r="BH24" s="168"/>
      <c r="BI24" s="168"/>
      <c r="BJ24" s="168"/>
      <c r="BK24" s="168"/>
      <c r="BL24" s="168"/>
      <c r="BM24" s="168"/>
    </row>
    <row r="25" spans="1:65" ht="30" customHeight="1">
      <c r="A25" s="144">
        <v>16</v>
      </c>
      <c r="B25" s="144" t="s">
        <v>4427</v>
      </c>
      <c r="C25" s="194" t="s">
        <v>4329</v>
      </c>
      <c r="D25" s="194" t="s">
        <v>4329</v>
      </c>
      <c r="E25" s="144" t="s">
        <v>4329</v>
      </c>
      <c r="F25" s="148" t="s">
        <v>4485</v>
      </c>
      <c r="G25" s="144"/>
      <c r="H25" s="144"/>
      <c r="I25" s="147"/>
      <c r="J25" s="170" t="s">
        <v>4486</v>
      </c>
      <c r="K25" s="148"/>
      <c r="L25" s="148" t="s">
        <v>4487</v>
      </c>
      <c r="M25" s="144"/>
      <c r="N25" s="144"/>
      <c r="O25" s="134"/>
      <c r="P25" s="104"/>
      <c r="Q25" s="107"/>
      <c r="R25" s="107"/>
      <c r="S25" s="107"/>
      <c r="T25" s="107"/>
      <c r="U25" s="107"/>
      <c r="V25" s="107"/>
      <c r="W25" s="107"/>
      <c r="X25" s="104"/>
      <c r="Y25" s="104"/>
      <c r="Z25" s="104"/>
      <c r="AA25" s="144"/>
      <c r="AB25" s="170"/>
      <c r="AC25" s="170"/>
      <c r="AD25" s="170"/>
      <c r="AE25" s="172"/>
      <c r="AF25" s="172"/>
      <c r="AG25" s="203"/>
      <c r="AH25" s="203"/>
      <c r="AI25" s="172"/>
      <c r="AJ25" s="148"/>
      <c r="AK25" s="144"/>
      <c r="AL25" s="144"/>
      <c r="AM25" s="144"/>
      <c r="AN25" s="144"/>
      <c r="AO25" s="144"/>
      <c r="AP25" s="166"/>
      <c r="AQ25" s="144"/>
      <c r="AR25" s="144"/>
      <c r="AS25" s="103"/>
      <c r="AT25" s="144"/>
      <c r="AU25" s="134"/>
      <c r="AV25" s="144"/>
      <c r="AW25" s="144"/>
      <c r="AX25" s="134"/>
      <c r="AY25" s="145"/>
      <c r="AZ25" s="173"/>
      <c r="BA25" s="144"/>
      <c r="BB25" s="167"/>
      <c r="BC25" s="178" t="str">
        <f>IF(AY25-KD25=0,"",AY25-O25)</f>
        <v/>
      </c>
      <c r="BD25" s="103" t="str">
        <f>IF(AND(AI25&lt;&gt;"SIM",AI25="UH"),"AA","INDENIZAÇÃO")</f>
        <v>INDENIZAÇÃO</v>
      </c>
      <c r="BE25" s="103" t="str">
        <f>IF(AND(AY25&lt;&gt;"AGUARDANDO",AY25&lt;&gt;"",N25="AUXÍLIO ALUGUEL ATÉ INDENIZAÇÃO"),"SIM","NÃO")</f>
        <v>NÃO</v>
      </c>
      <c r="BF25" s="168"/>
      <c r="BG25" s="168"/>
      <c r="BH25" s="168"/>
      <c r="BI25" s="168"/>
      <c r="BJ25" s="168"/>
      <c r="BK25" s="168"/>
      <c r="BL25" s="168"/>
      <c r="BM25" s="168"/>
    </row>
    <row r="26" spans="1:65" ht="30" customHeight="1">
      <c r="A26" s="144">
        <v>17</v>
      </c>
      <c r="B26" s="144" t="s">
        <v>4427</v>
      </c>
      <c r="C26" s="194" t="s">
        <v>4329</v>
      </c>
      <c r="D26" s="194" t="s">
        <v>4329</v>
      </c>
      <c r="E26" s="144" t="s">
        <v>4329</v>
      </c>
      <c r="F26" s="148" t="s">
        <v>4485</v>
      </c>
      <c r="G26" s="144"/>
      <c r="H26" s="144"/>
      <c r="I26" s="147"/>
      <c r="J26" s="170" t="s">
        <v>4488</v>
      </c>
      <c r="K26" s="148" t="s">
        <v>4489</v>
      </c>
      <c r="L26" s="148" t="s">
        <v>4490</v>
      </c>
      <c r="M26" s="144"/>
      <c r="N26" s="144"/>
      <c r="O26" s="134"/>
      <c r="P26" s="104"/>
      <c r="Q26" s="107"/>
      <c r="R26" s="107"/>
      <c r="S26" s="107"/>
      <c r="T26" s="107"/>
      <c r="U26" s="107"/>
      <c r="V26" s="107"/>
      <c r="W26" s="107"/>
      <c r="X26" s="104"/>
      <c r="Y26" s="104"/>
      <c r="Z26" s="104"/>
      <c r="AA26" s="144"/>
      <c r="AB26" s="170"/>
      <c r="AC26" s="170"/>
      <c r="AD26" s="170"/>
      <c r="AE26" s="172"/>
      <c r="AF26" s="172"/>
      <c r="AG26" s="203"/>
      <c r="AH26" s="203"/>
      <c r="AI26" s="172"/>
      <c r="AJ26" s="148"/>
      <c r="AK26" s="144"/>
      <c r="AL26" s="144"/>
      <c r="AM26" s="144"/>
      <c r="AN26" s="144"/>
      <c r="AO26" s="144"/>
      <c r="AP26" s="166"/>
      <c r="AQ26" s="144"/>
      <c r="AR26" s="144"/>
      <c r="AS26" s="103"/>
      <c r="AT26" s="144"/>
      <c r="AU26" s="134"/>
      <c r="AV26" s="144"/>
      <c r="AW26" s="144"/>
      <c r="AX26" s="134"/>
      <c r="AY26" s="145"/>
      <c r="AZ26" s="173"/>
      <c r="BA26" s="144"/>
      <c r="BB26" s="167"/>
      <c r="BC26" s="178" t="str">
        <f>IF(AY26-KD26=0,"",AY26-O26)</f>
        <v/>
      </c>
      <c r="BD26" s="103" t="str">
        <f>IF(AND(AI26&lt;&gt;"SIM",AI26="UH"),"AA","INDENIZAÇÃO")</f>
        <v>INDENIZAÇÃO</v>
      </c>
      <c r="BE26" s="103" t="str">
        <f>IF(AND(AY26&lt;&gt;"AGUARDANDO",AY26&lt;&gt;"",N26="AUXÍLIO ALUGUEL ATÉ INDENIZAÇÃO"),"SIM","NÃO")</f>
        <v>NÃO</v>
      </c>
      <c r="BF26" s="168"/>
      <c r="BG26" s="168"/>
      <c r="BH26" s="168"/>
      <c r="BI26" s="168"/>
      <c r="BJ26" s="168"/>
      <c r="BK26" s="168"/>
      <c r="BL26" s="168"/>
      <c r="BM26" s="168"/>
    </row>
    <row r="27" spans="1:65" ht="30" customHeight="1">
      <c r="A27" s="144">
        <v>18</v>
      </c>
      <c r="B27" s="144" t="s">
        <v>4427</v>
      </c>
      <c r="C27" s="194" t="s">
        <v>4329</v>
      </c>
      <c r="D27" s="194" t="s">
        <v>4329</v>
      </c>
      <c r="E27" s="144" t="s">
        <v>4329</v>
      </c>
      <c r="F27" s="148" t="s">
        <v>4491</v>
      </c>
      <c r="G27" s="144" t="s">
        <v>4330</v>
      </c>
      <c r="H27" s="144" t="s">
        <v>4331</v>
      </c>
      <c r="I27" s="147" t="s">
        <v>4342</v>
      </c>
      <c r="J27" s="170" t="s">
        <v>4492</v>
      </c>
      <c r="K27" s="148" t="s">
        <v>4493</v>
      </c>
      <c r="L27" s="148" t="s">
        <v>4494</v>
      </c>
      <c r="M27" s="144" t="s">
        <v>4333</v>
      </c>
      <c r="N27" s="144" t="s">
        <v>4334</v>
      </c>
      <c r="O27" s="134">
        <v>46210</v>
      </c>
      <c r="P27" s="104" t="s">
        <v>4354</v>
      </c>
      <c r="Q27" s="104" t="s">
        <v>4354</v>
      </c>
      <c r="R27" s="104" t="s">
        <v>4354</v>
      </c>
      <c r="S27" s="104" t="s">
        <v>4354</v>
      </c>
      <c r="T27" s="104" t="s">
        <v>4354</v>
      </c>
      <c r="U27" s="104" t="s">
        <v>4354</v>
      </c>
      <c r="V27" s="104" t="s">
        <v>4354</v>
      </c>
      <c r="W27" s="104" t="s">
        <v>4354</v>
      </c>
      <c r="X27" s="104" t="s">
        <v>4354</v>
      </c>
      <c r="Y27" s="104" t="s">
        <v>4354</v>
      </c>
      <c r="Z27" s="104" t="s">
        <v>4354</v>
      </c>
      <c r="AA27" s="104" t="s">
        <v>4354</v>
      </c>
      <c r="AB27" s="170" t="s">
        <v>4492</v>
      </c>
      <c r="AC27" s="148" t="s">
        <v>4493</v>
      </c>
      <c r="AD27" s="148" t="s">
        <v>4494</v>
      </c>
      <c r="AE27" s="172" t="s">
        <v>4342</v>
      </c>
      <c r="AF27" s="172" t="s">
        <v>4333</v>
      </c>
      <c r="AG27" s="205">
        <v>64352.57</v>
      </c>
      <c r="AH27" s="205">
        <v>64352.57</v>
      </c>
      <c r="AI27" s="172" t="s">
        <v>4336</v>
      </c>
      <c r="AJ27" s="148" t="s">
        <v>4495</v>
      </c>
      <c r="AK27" s="148">
        <v>155550560</v>
      </c>
      <c r="AL27" s="144" t="s">
        <v>4346</v>
      </c>
      <c r="AM27" s="144" t="s">
        <v>4338</v>
      </c>
      <c r="AN27" s="144" t="s">
        <v>4364</v>
      </c>
      <c r="AO27" s="144"/>
      <c r="AP27" s="166"/>
      <c r="AQ27" s="144"/>
      <c r="AR27" s="144"/>
      <c r="AS27" s="103"/>
      <c r="AT27" s="144"/>
      <c r="AU27" s="134"/>
      <c r="AV27" s="144"/>
      <c r="AW27" s="144"/>
      <c r="AX27" s="134"/>
      <c r="AY27" s="145"/>
      <c r="AZ27" s="173"/>
      <c r="BA27" s="144"/>
      <c r="BB27" s="167"/>
      <c r="BC27" s="178" t="str">
        <f>IF(AY27-KD27=0,"",AY27-O27)</f>
        <v/>
      </c>
      <c r="BD27" s="103" t="str">
        <f>IF(AND(AI27&lt;&gt;"SIM",AI27="UH"),"AA","INDENIZAÇÃO")</f>
        <v>INDENIZAÇÃO</v>
      </c>
      <c r="BE27" s="103" t="str">
        <f>IF(AND(AY27&lt;&gt;"AGUARDANDO",AY27&lt;&gt;"",N27="AUXÍLIO ALUGUEL ATÉ INDENIZAÇÃO"),"SIM","NÃO")</f>
        <v>NÃO</v>
      </c>
      <c r="BF27" s="168"/>
      <c r="BG27" s="168"/>
      <c r="BH27" s="168"/>
      <c r="BI27" s="168"/>
      <c r="BJ27" s="168"/>
      <c r="BK27" s="168"/>
      <c r="BL27" s="168"/>
      <c r="BM27" s="168"/>
    </row>
    <row r="28" spans="1:65" ht="30" customHeight="1">
      <c r="A28" s="144">
        <v>19</v>
      </c>
      <c r="B28" s="144" t="s">
        <v>4427</v>
      </c>
      <c r="C28" s="194" t="s">
        <v>4329</v>
      </c>
      <c r="D28" s="194" t="s">
        <v>4329</v>
      </c>
      <c r="E28" s="144" t="s">
        <v>4329</v>
      </c>
      <c r="F28" s="148" t="s">
        <v>4491</v>
      </c>
      <c r="G28" s="144"/>
      <c r="H28" s="144"/>
      <c r="I28" s="147"/>
      <c r="J28" s="170" t="s">
        <v>4496</v>
      </c>
      <c r="K28" s="148" t="s">
        <v>4497</v>
      </c>
      <c r="L28" s="148" t="s">
        <v>4498</v>
      </c>
      <c r="M28" s="144"/>
      <c r="N28" s="144"/>
      <c r="O28" s="134"/>
      <c r="P28" s="104"/>
      <c r="Q28" s="107"/>
      <c r="R28" s="107"/>
      <c r="S28" s="107"/>
      <c r="T28" s="107"/>
      <c r="U28" s="107"/>
      <c r="V28" s="107"/>
      <c r="W28" s="107"/>
      <c r="X28" s="104"/>
      <c r="Y28" s="104"/>
      <c r="Z28" s="104"/>
      <c r="AA28" s="144"/>
      <c r="AB28" s="170"/>
      <c r="AC28" s="170"/>
      <c r="AD28" s="170"/>
      <c r="AE28" s="172"/>
      <c r="AF28" s="172"/>
      <c r="AG28" s="203"/>
      <c r="AH28" s="203"/>
      <c r="AI28" s="172"/>
      <c r="AJ28" s="148"/>
      <c r="AK28" s="144"/>
      <c r="AL28" s="144"/>
      <c r="AM28" s="144"/>
      <c r="AN28" s="144"/>
      <c r="AO28" s="144"/>
      <c r="AP28" s="166"/>
      <c r="AQ28" s="144"/>
      <c r="AR28" s="144"/>
      <c r="AS28" s="103"/>
      <c r="AT28" s="144"/>
      <c r="AU28" s="134"/>
      <c r="AV28" s="144"/>
      <c r="AW28" s="144"/>
      <c r="AX28" s="134"/>
      <c r="AY28" s="145"/>
      <c r="AZ28" s="173"/>
      <c r="BA28" s="144"/>
      <c r="BB28" s="167"/>
      <c r="BC28" s="178" t="str">
        <f>IF(AY28-KD28=0,"",AY28-O28)</f>
        <v/>
      </c>
      <c r="BD28" s="103" t="str">
        <f>IF(AND(AI28&lt;&gt;"SIM",AI28="UH"),"AA","INDENIZAÇÃO")</f>
        <v>INDENIZAÇÃO</v>
      </c>
      <c r="BE28" s="103" t="str">
        <f>IF(AND(AY28&lt;&gt;"AGUARDANDO",AY28&lt;&gt;"",N28="AUXÍLIO ALUGUEL ATÉ INDENIZAÇÃO"),"SIM","NÃO")</f>
        <v>NÃO</v>
      </c>
      <c r="BF28" s="168"/>
      <c r="BG28" s="168"/>
      <c r="BH28" s="168"/>
      <c r="BI28" s="168"/>
      <c r="BJ28" s="168"/>
      <c r="BK28" s="168"/>
      <c r="BL28" s="168"/>
      <c r="BM28" s="168"/>
    </row>
    <row r="29" spans="1:65" ht="30" customHeight="1">
      <c r="A29" s="144">
        <v>20</v>
      </c>
      <c r="B29" s="144" t="s">
        <v>4427</v>
      </c>
      <c r="C29" s="194" t="s">
        <v>4329</v>
      </c>
      <c r="D29" s="194" t="s">
        <v>4329</v>
      </c>
      <c r="E29" s="144" t="s">
        <v>4329</v>
      </c>
      <c r="F29" s="148"/>
      <c r="G29" s="144"/>
      <c r="H29" s="144"/>
      <c r="I29" s="147"/>
      <c r="J29" s="170"/>
      <c r="K29" s="148"/>
      <c r="L29" s="148"/>
      <c r="M29" s="144"/>
      <c r="N29" s="144"/>
      <c r="O29" s="134"/>
      <c r="P29" s="104"/>
      <c r="Q29" s="107"/>
      <c r="R29" s="107"/>
      <c r="S29" s="107"/>
      <c r="T29" s="107"/>
      <c r="U29" s="107"/>
      <c r="V29" s="107"/>
      <c r="W29" s="107"/>
      <c r="X29" s="104"/>
      <c r="Y29" s="104"/>
      <c r="Z29" s="104"/>
      <c r="AA29" s="144"/>
      <c r="AB29" s="170"/>
      <c r="AC29" s="170"/>
      <c r="AD29" s="170"/>
      <c r="AE29" s="172"/>
      <c r="AF29" s="172"/>
      <c r="AG29" s="203"/>
      <c r="AH29" s="203"/>
      <c r="AI29" s="172"/>
      <c r="AJ29" s="148"/>
      <c r="AK29" s="144"/>
      <c r="AL29" s="144"/>
      <c r="AM29" s="144"/>
      <c r="AN29" s="144"/>
      <c r="AO29" s="144"/>
      <c r="AP29" s="166"/>
      <c r="AQ29" s="144"/>
      <c r="AR29" s="144"/>
      <c r="AS29" s="103"/>
      <c r="AT29" s="144"/>
      <c r="AU29" s="134"/>
      <c r="AV29" s="144"/>
      <c r="AW29" s="144"/>
      <c r="AX29" s="134"/>
      <c r="AY29" s="145"/>
      <c r="AZ29" s="173"/>
      <c r="BA29" s="144"/>
      <c r="BB29" s="167"/>
      <c r="BC29" s="178" t="str">
        <f>IF(AY29-KD29=0,"",AY29-O29)</f>
        <v/>
      </c>
      <c r="BD29" s="103" t="str">
        <f>IF(AND(AI29&lt;&gt;"SIM",AI29="UH"),"AA","INDENIZAÇÃO")</f>
        <v>INDENIZAÇÃO</v>
      </c>
      <c r="BE29" s="103" t="str">
        <f>IF(AND(AY29&lt;&gt;"AGUARDANDO",AY29&lt;&gt;"",N29="AUXÍLIO ALUGUEL ATÉ INDENIZAÇÃO"),"SIM","NÃO")</f>
        <v>NÃO</v>
      </c>
      <c r="BF29" s="168"/>
      <c r="BG29" s="168"/>
      <c r="BH29" s="168"/>
      <c r="BI29" s="168"/>
      <c r="BJ29" s="168"/>
      <c r="BK29" s="168"/>
      <c r="BL29" s="168"/>
      <c r="BM29" s="168"/>
    </row>
    <row r="30" spans="1:65" ht="30" customHeight="1">
      <c r="A30" s="144">
        <v>21</v>
      </c>
      <c r="B30" s="144" t="s">
        <v>4427</v>
      </c>
      <c r="C30" s="194" t="s">
        <v>4329</v>
      </c>
      <c r="D30" s="194" t="s">
        <v>4329</v>
      </c>
      <c r="E30" s="144" t="s">
        <v>4329</v>
      </c>
      <c r="F30" s="148"/>
      <c r="G30" s="144"/>
      <c r="H30" s="144"/>
      <c r="I30" s="147"/>
      <c r="J30" s="170"/>
      <c r="K30" s="148"/>
      <c r="L30" s="148"/>
      <c r="M30" s="144"/>
      <c r="N30" s="144"/>
      <c r="O30" s="134"/>
      <c r="P30" s="104"/>
      <c r="Q30" s="107"/>
      <c r="R30" s="107"/>
      <c r="S30" s="107"/>
      <c r="T30" s="107"/>
      <c r="U30" s="107"/>
      <c r="V30" s="107"/>
      <c r="W30" s="107"/>
      <c r="X30" s="104"/>
      <c r="Y30" s="104"/>
      <c r="Z30" s="104"/>
      <c r="AA30" s="144"/>
      <c r="AB30" s="170"/>
      <c r="AC30" s="170"/>
      <c r="AD30" s="170"/>
      <c r="AE30" s="172"/>
      <c r="AF30" s="172"/>
      <c r="AG30" s="203"/>
      <c r="AH30" s="203"/>
      <c r="AI30" s="172"/>
      <c r="AJ30" s="148"/>
      <c r="AK30" s="144"/>
      <c r="AL30" s="144"/>
      <c r="AM30" s="144"/>
      <c r="AN30" s="144"/>
      <c r="AO30" s="144"/>
      <c r="AP30" s="166"/>
      <c r="AQ30" s="144"/>
      <c r="AR30" s="144"/>
      <c r="AS30" s="103"/>
      <c r="AT30" s="144"/>
      <c r="AU30" s="134"/>
      <c r="AV30" s="144"/>
      <c r="AW30" s="144"/>
      <c r="AX30" s="134"/>
      <c r="AY30" s="145"/>
      <c r="AZ30" s="173"/>
      <c r="BA30" s="144"/>
      <c r="BB30" s="167"/>
      <c r="BC30" s="178" t="str">
        <f>IF(AY30-KD30=0,"",AY30-O30)</f>
        <v/>
      </c>
      <c r="BD30" s="103" t="str">
        <f>IF(AND(AI30&lt;&gt;"SIM",AI30="UH"),"AA","INDENIZAÇÃO")</f>
        <v>INDENIZAÇÃO</v>
      </c>
      <c r="BE30" s="103" t="str">
        <f>IF(AND(AY30&lt;&gt;"AGUARDANDO",AY30&lt;&gt;"",N30="AUXÍLIO ALUGUEL ATÉ INDENIZAÇÃO"),"SIM","NÃO")</f>
        <v>NÃO</v>
      </c>
      <c r="BF30" s="168"/>
      <c r="BG30" s="168"/>
      <c r="BH30" s="168"/>
      <c r="BI30" s="168"/>
      <c r="BJ30" s="168"/>
      <c r="BK30" s="168"/>
      <c r="BL30" s="168"/>
      <c r="BM30" s="168"/>
    </row>
    <row r="31" spans="1:65" ht="30" customHeight="1">
      <c r="A31" s="144">
        <v>22</v>
      </c>
      <c r="B31" s="144" t="s">
        <v>4427</v>
      </c>
      <c r="C31" s="194" t="s">
        <v>4329</v>
      </c>
      <c r="D31" s="194" t="s">
        <v>4329</v>
      </c>
      <c r="E31" s="144" t="s">
        <v>4329</v>
      </c>
      <c r="F31" s="148"/>
      <c r="G31" s="144"/>
      <c r="H31" s="144"/>
      <c r="I31" s="147"/>
      <c r="J31" s="170"/>
      <c r="K31" s="148"/>
      <c r="L31" s="148"/>
      <c r="M31" s="144"/>
      <c r="N31" s="144"/>
      <c r="O31" s="134"/>
      <c r="P31" s="104"/>
      <c r="Q31" s="107"/>
      <c r="R31" s="107"/>
      <c r="S31" s="107"/>
      <c r="T31" s="107"/>
      <c r="U31" s="107"/>
      <c r="V31" s="107"/>
      <c r="W31" s="107"/>
      <c r="X31" s="104"/>
      <c r="Y31" s="104"/>
      <c r="Z31" s="104"/>
      <c r="AA31" s="144"/>
      <c r="AB31" s="170"/>
      <c r="AC31" s="170"/>
      <c r="AD31" s="170"/>
      <c r="AE31" s="172"/>
      <c r="AF31" s="172"/>
      <c r="AG31" s="203"/>
      <c r="AH31" s="203"/>
      <c r="AI31" s="172"/>
      <c r="AJ31" s="148"/>
      <c r="AK31" s="144"/>
      <c r="AL31" s="144"/>
      <c r="AM31" s="144"/>
      <c r="AN31" s="144"/>
      <c r="AO31" s="144"/>
      <c r="AP31" s="166"/>
      <c r="AQ31" s="144"/>
      <c r="AR31" s="144"/>
      <c r="AS31" s="103"/>
      <c r="AT31" s="144"/>
      <c r="AU31" s="134"/>
      <c r="AV31" s="144"/>
      <c r="AW31" s="144"/>
      <c r="AX31" s="134"/>
      <c r="AY31" s="145"/>
      <c r="AZ31" s="173"/>
      <c r="BA31" s="144"/>
      <c r="BB31" s="167"/>
      <c r="BC31" s="178" t="str">
        <f>IF(AY31-KD31=0,"",AY31-O31)</f>
        <v/>
      </c>
      <c r="BD31" s="103" t="str">
        <f>IF(AND(AI31&lt;&gt;"SIM",AI31="UH"),"AA","INDENIZAÇÃO")</f>
        <v>INDENIZAÇÃO</v>
      </c>
      <c r="BE31" s="103" t="str">
        <f>IF(AND(AY31&lt;&gt;"AGUARDANDO",AY31&lt;&gt;"",N31="AUXÍLIO ALUGUEL ATÉ INDENIZAÇÃO"),"SIM","NÃO")</f>
        <v>NÃO</v>
      </c>
      <c r="BF31" s="168"/>
      <c r="BG31" s="168"/>
      <c r="BH31" s="168"/>
      <c r="BI31" s="168"/>
      <c r="BJ31" s="168"/>
      <c r="BK31" s="168"/>
      <c r="BL31" s="168"/>
      <c r="BM31" s="168"/>
    </row>
    <row r="32" spans="1:65" ht="30" customHeight="1">
      <c r="A32" s="144">
        <v>23</v>
      </c>
      <c r="B32" s="144" t="s">
        <v>4427</v>
      </c>
      <c r="C32" s="194" t="s">
        <v>4329</v>
      </c>
      <c r="D32" s="194" t="s">
        <v>4329</v>
      </c>
      <c r="E32" s="144" t="s">
        <v>4329</v>
      </c>
      <c r="F32" s="148"/>
      <c r="G32" s="144"/>
      <c r="H32" s="144"/>
      <c r="I32" s="147"/>
      <c r="J32" s="170"/>
      <c r="K32" s="148"/>
      <c r="L32" s="148"/>
      <c r="M32" s="144"/>
      <c r="N32" s="144"/>
      <c r="O32" s="134"/>
      <c r="P32" s="104"/>
      <c r="Q32" s="107"/>
      <c r="R32" s="107"/>
      <c r="S32" s="107"/>
      <c r="T32" s="107"/>
      <c r="U32" s="107"/>
      <c r="V32" s="107"/>
      <c r="W32" s="107"/>
      <c r="X32" s="104"/>
      <c r="Y32" s="104"/>
      <c r="Z32" s="104"/>
      <c r="AA32" s="144"/>
      <c r="AB32" s="170"/>
      <c r="AC32" s="170"/>
      <c r="AD32" s="170"/>
      <c r="AE32" s="172"/>
      <c r="AF32" s="172"/>
      <c r="AG32" s="203"/>
      <c r="AH32" s="203"/>
      <c r="AI32" s="172"/>
      <c r="AJ32" s="148"/>
      <c r="AK32" s="144"/>
      <c r="AL32" s="144"/>
      <c r="AM32" s="144"/>
      <c r="AN32" s="144"/>
      <c r="AO32" s="144"/>
      <c r="AP32" s="166"/>
      <c r="AQ32" s="144"/>
      <c r="AR32" s="144"/>
      <c r="AS32" s="103"/>
      <c r="AT32" s="144"/>
      <c r="AU32" s="134"/>
      <c r="AV32" s="144"/>
      <c r="AW32" s="144"/>
      <c r="AX32" s="134"/>
      <c r="AY32" s="145"/>
      <c r="AZ32" s="173"/>
      <c r="BA32" s="144"/>
      <c r="BB32" s="167"/>
      <c r="BC32" s="178" t="str">
        <f>IF(AY32-KD32=0,"",AY32-O32)</f>
        <v/>
      </c>
      <c r="BD32" s="103" t="str">
        <f>IF(AND(AI32&lt;&gt;"SIM",AI32="UH"),"AA","INDENIZAÇÃO")</f>
        <v>INDENIZAÇÃO</v>
      </c>
      <c r="BE32" s="103" t="str">
        <f>IF(AND(AY32&lt;&gt;"AGUARDANDO",AY32&lt;&gt;"",N32="AUXÍLIO ALUGUEL ATÉ INDENIZAÇÃO"),"SIM","NÃO")</f>
        <v>NÃO</v>
      </c>
      <c r="BF32" s="168"/>
      <c r="BG32" s="168"/>
      <c r="BH32" s="168"/>
      <c r="BI32" s="168"/>
      <c r="BJ32" s="168"/>
      <c r="BK32" s="168"/>
      <c r="BL32" s="168"/>
      <c r="BM32" s="168"/>
    </row>
    <row r="33" spans="1:65" ht="30" customHeight="1">
      <c r="A33" s="144">
        <v>24</v>
      </c>
      <c r="B33" s="144" t="s">
        <v>4427</v>
      </c>
      <c r="C33" s="194" t="s">
        <v>4329</v>
      </c>
      <c r="D33" s="194" t="s">
        <v>4329</v>
      </c>
      <c r="E33" s="144" t="s">
        <v>4329</v>
      </c>
      <c r="F33" s="148"/>
      <c r="G33" s="144"/>
      <c r="H33" s="144"/>
      <c r="I33" s="147"/>
      <c r="J33" s="170"/>
      <c r="K33" s="148"/>
      <c r="L33" s="148"/>
      <c r="M33" s="144"/>
      <c r="N33" s="144"/>
      <c r="O33" s="134"/>
      <c r="P33" s="104"/>
      <c r="Q33" s="107"/>
      <c r="R33" s="107"/>
      <c r="S33" s="107"/>
      <c r="T33" s="107"/>
      <c r="U33" s="107"/>
      <c r="V33" s="107"/>
      <c r="W33" s="107"/>
      <c r="X33" s="104"/>
      <c r="Y33" s="104"/>
      <c r="Z33" s="104"/>
      <c r="AA33" s="144"/>
      <c r="AB33" s="170"/>
      <c r="AC33" s="170"/>
      <c r="AD33" s="170"/>
      <c r="AE33" s="172"/>
      <c r="AF33" s="172"/>
      <c r="AG33" s="203"/>
      <c r="AH33" s="203"/>
      <c r="AI33" s="172"/>
      <c r="AJ33" s="148"/>
      <c r="AK33" s="144"/>
      <c r="AL33" s="144"/>
      <c r="AM33" s="144"/>
      <c r="AN33" s="144"/>
      <c r="AO33" s="144"/>
      <c r="AP33" s="166"/>
      <c r="AQ33" s="144"/>
      <c r="AR33" s="144"/>
      <c r="AS33" s="103"/>
      <c r="AT33" s="144"/>
      <c r="AU33" s="134"/>
      <c r="AV33" s="144"/>
      <c r="AW33" s="144"/>
      <c r="AX33" s="134"/>
      <c r="AY33" s="145"/>
      <c r="AZ33" s="173"/>
      <c r="BA33" s="144"/>
      <c r="BB33" s="167"/>
      <c r="BC33" s="178" t="str">
        <f>IF(AY33-KD33=0,"",AY33-O33)</f>
        <v/>
      </c>
      <c r="BD33" s="103" t="str">
        <f>IF(AND(AI33&lt;&gt;"SIM",AI33="UH"),"AA","INDENIZAÇÃO")</f>
        <v>INDENIZAÇÃO</v>
      </c>
      <c r="BE33" s="103" t="str">
        <f>IF(AND(AY33&lt;&gt;"AGUARDANDO",AY33&lt;&gt;"",N33="AUXÍLIO ALUGUEL ATÉ INDENIZAÇÃO"),"SIM","NÃO")</f>
        <v>NÃO</v>
      </c>
      <c r="BF33" s="168"/>
      <c r="BG33" s="168"/>
      <c r="BH33" s="168"/>
      <c r="BI33" s="168"/>
      <c r="BJ33" s="168"/>
      <c r="BK33" s="168"/>
      <c r="BL33" s="168"/>
      <c r="BM33" s="168"/>
    </row>
    <row r="34" spans="1:65" ht="30" customHeight="1">
      <c r="A34" s="144">
        <v>25</v>
      </c>
      <c r="B34" s="144" t="s">
        <v>4427</v>
      </c>
      <c r="C34" s="194" t="s">
        <v>4329</v>
      </c>
      <c r="D34" s="194" t="s">
        <v>4329</v>
      </c>
      <c r="E34" s="144" t="s">
        <v>4329</v>
      </c>
      <c r="F34" s="148"/>
      <c r="G34" s="144"/>
      <c r="H34" s="144"/>
      <c r="I34" s="147"/>
      <c r="J34" s="170"/>
      <c r="K34" s="148"/>
      <c r="L34" s="148"/>
      <c r="M34" s="144"/>
      <c r="N34" s="144"/>
      <c r="O34" s="134"/>
      <c r="P34" s="104"/>
      <c r="Q34" s="107"/>
      <c r="R34" s="107"/>
      <c r="S34" s="107"/>
      <c r="T34" s="107"/>
      <c r="U34" s="107"/>
      <c r="V34" s="107"/>
      <c r="W34" s="107"/>
      <c r="X34" s="104"/>
      <c r="Y34" s="104"/>
      <c r="Z34" s="104"/>
      <c r="AA34" s="144"/>
      <c r="AB34" s="170"/>
      <c r="AC34" s="170"/>
      <c r="AD34" s="170"/>
      <c r="AE34" s="172"/>
      <c r="AF34" s="172"/>
      <c r="AG34" s="203"/>
      <c r="AH34" s="203"/>
      <c r="AI34" s="172"/>
      <c r="AJ34" s="148"/>
      <c r="AK34" s="144"/>
      <c r="AL34" s="144"/>
      <c r="AM34" s="144"/>
      <c r="AN34" s="144"/>
      <c r="AO34" s="144"/>
      <c r="AP34" s="166"/>
      <c r="AQ34" s="144"/>
      <c r="AR34" s="144"/>
      <c r="AS34" s="103"/>
      <c r="AT34" s="144"/>
      <c r="AU34" s="134"/>
      <c r="AV34" s="144"/>
      <c r="AW34" s="144"/>
      <c r="AX34" s="134"/>
      <c r="AY34" s="145"/>
      <c r="AZ34" s="173"/>
      <c r="BA34" s="144"/>
      <c r="BB34" s="167"/>
      <c r="BC34" s="178" t="str">
        <f>IF(AY34-KD34=0,"",AY34-O34)</f>
        <v/>
      </c>
      <c r="BD34" s="103" t="str">
        <f>IF(AND(AI34&lt;&gt;"SIM",AI34="UH"),"AA","INDENIZAÇÃO")</f>
        <v>INDENIZAÇÃO</v>
      </c>
      <c r="BE34" s="103" t="str">
        <f>IF(AND(AY34&lt;&gt;"AGUARDANDO",AY34&lt;&gt;"",N34="AUXÍLIO ALUGUEL ATÉ INDENIZAÇÃO"),"SIM","NÃO")</f>
        <v>NÃO</v>
      </c>
      <c r="BF34" s="168"/>
      <c r="BG34" s="168"/>
      <c r="BH34" s="168"/>
      <c r="BI34" s="168"/>
      <c r="BJ34" s="168"/>
      <c r="BK34" s="168"/>
      <c r="BL34" s="168"/>
      <c r="BM34" s="168"/>
    </row>
    <row r="35" spans="1:65" ht="30" customHeight="1">
      <c r="A35" s="144">
        <v>26</v>
      </c>
      <c r="B35" s="144" t="s">
        <v>4427</v>
      </c>
      <c r="C35" s="194" t="s">
        <v>4329</v>
      </c>
      <c r="D35" s="194" t="s">
        <v>4329</v>
      </c>
      <c r="E35" s="144" t="s">
        <v>4329</v>
      </c>
      <c r="F35" s="148"/>
      <c r="G35" s="144"/>
      <c r="H35" s="144"/>
      <c r="I35" s="147"/>
      <c r="J35" s="170"/>
      <c r="K35" s="148"/>
      <c r="L35" s="148"/>
      <c r="M35" s="144"/>
      <c r="N35" s="144"/>
      <c r="O35" s="134"/>
      <c r="P35" s="104"/>
      <c r="Q35" s="107"/>
      <c r="R35" s="107"/>
      <c r="S35" s="107"/>
      <c r="T35" s="107"/>
      <c r="U35" s="107"/>
      <c r="V35" s="107"/>
      <c r="W35" s="107"/>
      <c r="X35" s="104"/>
      <c r="Y35" s="104"/>
      <c r="Z35" s="104"/>
      <c r="AA35" s="144"/>
      <c r="AB35" s="170"/>
      <c r="AC35" s="170"/>
      <c r="AD35" s="170"/>
      <c r="AE35" s="172"/>
      <c r="AF35" s="172"/>
      <c r="AG35" s="203"/>
      <c r="AH35" s="203"/>
      <c r="AI35" s="172"/>
      <c r="AJ35" s="148"/>
      <c r="AK35" s="144"/>
      <c r="AL35" s="144"/>
      <c r="AM35" s="144"/>
      <c r="AN35" s="144"/>
      <c r="AO35" s="144"/>
      <c r="AP35" s="166"/>
      <c r="AQ35" s="144"/>
      <c r="AR35" s="144"/>
      <c r="AS35" s="103"/>
      <c r="AT35" s="144"/>
      <c r="AU35" s="134"/>
      <c r="AV35" s="144"/>
      <c r="AW35" s="144"/>
      <c r="AX35" s="134"/>
      <c r="AY35" s="145"/>
      <c r="AZ35" s="173"/>
      <c r="BA35" s="144"/>
      <c r="BB35" s="167"/>
      <c r="BC35" s="178" t="str">
        <f>IF(AY35-KD35=0,"",AY35-O35)</f>
        <v/>
      </c>
      <c r="BD35" s="103" t="str">
        <f>IF(AND(AI35&lt;&gt;"SIM",AI35="UH"),"AA","INDENIZAÇÃO")</f>
        <v>INDENIZAÇÃO</v>
      </c>
      <c r="BE35" s="103" t="str">
        <f>IF(AND(AY35&lt;&gt;"AGUARDANDO",AY35&lt;&gt;"",N35="AUXÍLIO ALUGUEL ATÉ INDENIZAÇÃO"),"SIM","NÃO")</f>
        <v>NÃO</v>
      </c>
      <c r="BF35" s="168"/>
      <c r="BG35" s="168"/>
      <c r="BH35" s="168"/>
      <c r="BI35" s="168"/>
      <c r="BJ35" s="168"/>
      <c r="BK35" s="168"/>
      <c r="BL35" s="168"/>
      <c r="BM35" s="168"/>
    </row>
    <row r="36" spans="1:65" ht="30" customHeight="1">
      <c r="A36" s="144">
        <v>27</v>
      </c>
      <c r="B36" s="144" t="s">
        <v>4427</v>
      </c>
      <c r="C36" s="194" t="s">
        <v>4329</v>
      </c>
      <c r="D36" s="194" t="s">
        <v>4329</v>
      </c>
      <c r="E36" s="144" t="s">
        <v>4329</v>
      </c>
      <c r="F36" s="148"/>
      <c r="G36" s="144"/>
      <c r="H36" s="144"/>
      <c r="I36" s="147"/>
      <c r="J36" s="170"/>
      <c r="K36" s="148"/>
      <c r="L36" s="148"/>
      <c r="M36" s="144"/>
      <c r="N36" s="144"/>
      <c r="O36" s="134"/>
      <c r="P36" s="104"/>
      <c r="Q36" s="107"/>
      <c r="R36" s="107"/>
      <c r="S36" s="107"/>
      <c r="T36" s="107"/>
      <c r="U36" s="107"/>
      <c r="V36" s="107"/>
      <c r="W36" s="107"/>
      <c r="X36" s="104"/>
      <c r="Y36" s="104"/>
      <c r="Z36" s="104"/>
      <c r="AA36" s="144"/>
      <c r="AB36" s="170"/>
      <c r="AC36" s="170"/>
      <c r="AD36" s="170"/>
      <c r="AE36" s="172"/>
      <c r="AF36" s="172"/>
      <c r="AG36" s="203"/>
      <c r="AH36" s="203"/>
      <c r="AI36" s="172"/>
      <c r="AJ36" s="148"/>
      <c r="AK36" s="144"/>
      <c r="AL36" s="144"/>
      <c r="AM36" s="144"/>
      <c r="AN36" s="144"/>
      <c r="AO36" s="144"/>
      <c r="AP36" s="166"/>
      <c r="AQ36" s="144"/>
      <c r="AR36" s="144"/>
      <c r="AS36" s="103"/>
      <c r="AT36" s="144"/>
      <c r="AU36" s="134"/>
      <c r="AV36" s="144"/>
      <c r="AW36" s="144"/>
      <c r="AX36" s="134"/>
      <c r="AY36" s="145"/>
      <c r="AZ36" s="173"/>
      <c r="BA36" s="144"/>
      <c r="BB36" s="167"/>
      <c r="BC36" s="178" t="str">
        <f>IF(AY36-KD36=0,"",AY36-O36)</f>
        <v/>
      </c>
      <c r="BD36" s="103" t="str">
        <f>IF(AND(AI36&lt;&gt;"SIM",AI36="UH"),"AA","INDENIZAÇÃO")</f>
        <v>INDENIZAÇÃO</v>
      </c>
      <c r="BE36" s="103" t="str">
        <f>IF(AND(AY36&lt;&gt;"AGUARDANDO",AY36&lt;&gt;"",N36="AUXÍLIO ALUGUEL ATÉ INDENIZAÇÃO"),"SIM","NÃO")</f>
        <v>NÃO</v>
      </c>
      <c r="BF36" s="168"/>
      <c r="BG36" s="168"/>
      <c r="BH36" s="168"/>
      <c r="BI36" s="168"/>
      <c r="BJ36" s="168"/>
      <c r="BK36" s="168"/>
      <c r="BL36" s="168"/>
      <c r="BM36" s="168"/>
    </row>
    <row r="37" spans="1:65" ht="30" customHeight="1">
      <c r="A37" s="144">
        <v>28</v>
      </c>
      <c r="B37" s="144" t="s">
        <v>4427</v>
      </c>
      <c r="C37" s="194" t="s">
        <v>4329</v>
      </c>
      <c r="D37" s="194" t="s">
        <v>4329</v>
      </c>
      <c r="E37" s="144" t="s">
        <v>4329</v>
      </c>
      <c r="F37" s="148"/>
      <c r="G37" s="144"/>
      <c r="H37" s="144"/>
      <c r="I37" s="147"/>
      <c r="J37" s="170"/>
      <c r="K37" s="148"/>
      <c r="L37" s="148"/>
      <c r="M37" s="144"/>
      <c r="N37" s="144"/>
      <c r="O37" s="134"/>
      <c r="P37" s="104"/>
      <c r="Q37" s="107"/>
      <c r="R37" s="107"/>
      <c r="S37" s="107"/>
      <c r="T37" s="107"/>
      <c r="U37" s="107"/>
      <c r="V37" s="107"/>
      <c r="W37" s="107"/>
      <c r="X37" s="104"/>
      <c r="Y37" s="104"/>
      <c r="Z37" s="104"/>
      <c r="AA37" s="144"/>
      <c r="AB37" s="170"/>
      <c r="AC37" s="170"/>
      <c r="AD37" s="170"/>
      <c r="AE37" s="172"/>
      <c r="AF37" s="172"/>
      <c r="AG37" s="203"/>
      <c r="AH37" s="203"/>
      <c r="AI37" s="172"/>
      <c r="AJ37" s="148"/>
      <c r="AK37" s="144"/>
      <c r="AL37" s="144"/>
      <c r="AM37" s="144"/>
      <c r="AN37" s="144"/>
      <c r="AO37" s="144"/>
      <c r="AP37" s="166"/>
      <c r="AQ37" s="144"/>
      <c r="AR37" s="144"/>
      <c r="AS37" s="103"/>
      <c r="AT37" s="144"/>
      <c r="AU37" s="134"/>
      <c r="AV37" s="144"/>
      <c r="AW37" s="144"/>
      <c r="AX37" s="134"/>
      <c r="AY37" s="145"/>
      <c r="AZ37" s="173"/>
      <c r="BA37" s="144"/>
      <c r="BB37" s="167"/>
      <c r="BC37" s="178" t="str">
        <f>IF(AY37-KD37=0,"",AY37-O37)</f>
        <v/>
      </c>
      <c r="BD37" s="103" t="str">
        <f>IF(AND(AI37&lt;&gt;"SIM",AI37="UH"),"AA","INDENIZAÇÃO")</f>
        <v>INDENIZAÇÃO</v>
      </c>
      <c r="BE37" s="103" t="str">
        <f>IF(AND(AY37&lt;&gt;"AGUARDANDO",AY37&lt;&gt;"",N37="AUXÍLIO ALUGUEL ATÉ INDENIZAÇÃO"),"SIM","NÃO")</f>
        <v>NÃO</v>
      </c>
      <c r="BF37" s="168"/>
      <c r="BG37" s="168"/>
      <c r="BH37" s="168"/>
      <c r="BI37" s="168"/>
      <c r="BJ37" s="168"/>
      <c r="BK37" s="168"/>
      <c r="BL37" s="168"/>
      <c r="BM37" s="168"/>
    </row>
    <row r="38" spans="1:65" ht="30" customHeight="1">
      <c r="A38" s="144">
        <v>29</v>
      </c>
      <c r="B38" s="144" t="s">
        <v>4427</v>
      </c>
      <c r="C38" s="194" t="s">
        <v>4329</v>
      </c>
      <c r="D38" s="194" t="s">
        <v>4329</v>
      </c>
      <c r="E38" s="144" t="s">
        <v>4329</v>
      </c>
      <c r="F38" s="148"/>
      <c r="G38" s="144"/>
      <c r="H38" s="144"/>
      <c r="I38" s="147"/>
      <c r="J38" s="170"/>
      <c r="K38" s="148"/>
      <c r="L38" s="148"/>
      <c r="M38" s="144"/>
      <c r="N38" s="144"/>
      <c r="O38" s="134"/>
      <c r="P38" s="104"/>
      <c r="Q38" s="107"/>
      <c r="R38" s="107"/>
      <c r="S38" s="107"/>
      <c r="T38" s="107"/>
      <c r="U38" s="107"/>
      <c r="V38" s="107"/>
      <c r="W38" s="107"/>
      <c r="X38" s="104"/>
      <c r="Y38" s="104"/>
      <c r="Z38" s="104"/>
      <c r="AA38" s="144"/>
      <c r="AB38" s="170"/>
      <c r="AC38" s="170"/>
      <c r="AD38" s="170"/>
      <c r="AE38" s="172"/>
      <c r="AF38" s="172"/>
      <c r="AG38" s="203"/>
      <c r="AH38" s="203"/>
      <c r="AI38" s="172"/>
      <c r="AJ38" s="148"/>
      <c r="AK38" s="144"/>
      <c r="AL38" s="144"/>
      <c r="AM38" s="144"/>
      <c r="AN38" s="144"/>
      <c r="AO38" s="144"/>
      <c r="AP38" s="166"/>
      <c r="AQ38" s="144"/>
      <c r="AR38" s="144"/>
      <c r="AS38" s="103"/>
      <c r="AT38" s="144"/>
      <c r="AU38" s="134"/>
      <c r="AV38" s="144"/>
      <c r="AW38" s="144"/>
      <c r="AX38" s="134"/>
      <c r="AY38" s="145"/>
      <c r="AZ38" s="173"/>
      <c r="BA38" s="144"/>
      <c r="BB38" s="167"/>
      <c r="BC38" s="178" t="str">
        <f>IF(AY38-KD38=0,"",AY38-O38)</f>
        <v/>
      </c>
      <c r="BD38" s="103" t="str">
        <f>IF(AND(AI38&lt;&gt;"SIM",AI38="UH"),"AA","INDENIZAÇÃO")</f>
        <v>INDENIZAÇÃO</v>
      </c>
      <c r="BE38" s="103" t="str">
        <f>IF(AND(AY38&lt;&gt;"AGUARDANDO",AY38&lt;&gt;"",N38="AUXÍLIO ALUGUEL ATÉ INDENIZAÇÃO"),"SIM","NÃO")</f>
        <v>NÃO</v>
      </c>
      <c r="BF38" s="168"/>
      <c r="BG38" s="168"/>
      <c r="BH38" s="168"/>
      <c r="BI38" s="168"/>
      <c r="BJ38" s="168"/>
      <c r="BK38" s="168"/>
      <c r="BL38" s="168"/>
      <c r="BM38" s="168"/>
    </row>
    <row r="39" spans="1:65" ht="30" customHeight="1">
      <c r="A39" s="144"/>
      <c r="B39" s="144"/>
      <c r="C39" s="144"/>
      <c r="D39" s="144"/>
      <c r="E39" s="144"/>
      <c r="F39" s="148"/>
      <c r="G39" s="144"/>
      <c r="H39" s="144"/>
      <c r="I39" s="147"/>
      <c r="J39" s="170"/>
      <c r="K39" s="148"/>
      <c r="L39" s="148"/>
      <c r="M39" s="144"/>
      <c r="N39" s="144"/>
      <c r="O39" s="134"/>
      <c r="P39" s="104"/>
      <c r="Q39" s="107"/>
      <c r="R39" s="107"/>
      <c r="S39" s="107"/>
      <c r="T39" s="107"/>
      <c r="U39" s="107"/>
      <c r="V39" s="107"/>
      <c r="W39" s="107"/>
      <c r="X39" s="104"/>
      <c r="Y39" s="104"/>
      <c r="Z39" s="104"/>
      <c r="AA39" s="144"/>
      <c r="AB39" s="170"/>
      <c r="AC39" s="170"/>
      <c r="AD39" s="170"/>
      <c r="AE39" s="172"/>
      <c r="AF39" s="172"/>
      <c r="AG39" s="203"/>
      <c r="AH39" s="203"/>
      <c r="AI39" s="172"/>
      <c r="AJ39" s="148"/>
      <c r="AK39" s="144"/>
      <c r="AL39" s="144"/>
      <c r="AM39" s="144"/>
      <c r="AN39" s="144"/>
      <c r="AO39" s="144"/>
      <c r="AP39" s="166"/>
      <c r="AQ39" s="144"/>
      <c r="AR39" s="144"/>
      <c r="AS39" s="103"/>
      <c r="AT39" s="144"/>
      <c r="AU39" s="134"/>
      <c r="AV39" s="144"/>
      <c r="AW39" s="144"/>
      <c r="AX39" s="134"/>
      <c r="AY39" s="145"/>
      <c r="AZ39" s="173"/>
      <c r="BA39" s="144"/>
      <c r="BB39" s="167"/>
      <c r="BC39" s="178"/>
      <c r="BD39" s="103"/>
      <c r="BE39" s="103"/>
      <c r="BF39" s="168"/>
      <c r="BG39" s="168"/>
      <c r="BH39" s="168"/>
      <c r="BI39" s="168"/>
      <c r="BJ39" s="168"/>
      <c r="BK39" s="168"/>
      <c r="BL39" s="168"/>
      <c r="BM39" s="168"/>
    </row>
    <row r="40" spans="1:65" ht="30" customHeight="1">
      <c r="A40" s="144"/>
      <c r="B40" s="144"/>
      <c r="C40" s="144"/>
      <c r="D40" s="144"/>
      <c r="E40" s="144"/>
      <c r="F40" s="148"/>
      <c r="G40" s="144"/>
      <c r="H40" s="144"/>
      <c r="I40" s="147"/>
      <c r="J40" s="170"/>
      <c r="K40" s="148"/>
      <c r="L40" s="148"/>
      <c r="M40" s="144"/>
      <c r="N40" s="144"/>
      <c r="O40" s="134"/>
      <c r="P40" s="104"/>
      <c r="Q40" s="107"/>
      <c r="R40" s="107"/>
      <c r="S40" s="107"/>
      <c r="T40" s="107"/>
      <c r="U40" s="107"/>
      <c r="V40" s="107"/>
      <c r="W40" s="107"/>
      <c r="X40" s="104"/>
      <c r="Y40" s="104"/>
      <c r="Z40" s="104"/>
      <c r="AA40" s="144"/>
      <c r="AB40" s="170"/>
      <c r="AC40" s="170"/>
      <c r="AD40" s="170"/>
      <c r="AE40" s="172"/>
      <c r="AF40" s="172"/>
      <c r="AG40" s="203"/>
      <c r="AH40" s="203"/>
      <c r="AI40" s="172"/>
      <c r="AJ40" s="148"/>
      <c r="AK40" s="144"/>
      <c r="AL40" s="144"/>
      <c r="AM40" s="144"/>
      <c r="AN40" s="144"/>
      <c r="AO40" s="144"/>
      <c r="AP40" s="166"/>
      <c r="AQ40" s="144"/>
      <c r="AR40" s="144"/>
      <c r="AS40" s="103"/>
      <c r="AT40" s="144"/>
      <c r="AU40" s="134"/>
      <c r="AV40" s="144"/>
      <c r="AW40" s="144"/>
      <c r="AX40" s="134"/>
      <c r="AY40" s="145"/>
      <c r="AZ40" s="173"/>
      <c r="BA40" s="144"/>
      <c r="BB40" s="167"/>
      <c r="BC40" s="178"/>
      <c r="BD40" s="103"/>
      <c r="BE40" s="103"/>
      <c r="BF40" s="168"/>
      <c r="BG40" s="168"/>
      <c r="BH40" s="168"/>
      <c r="BI40" s="168"/>
      <c r="BJ40" s="168"/>
      <c r="BK40" s="168"/>
      <c r="BL40" s="168"/>
      <c r="BM40" s="168"/>
    </row>
    <row r="41" spans="1:65" ht="30" customHeight="1">
      <c r="A41" s="144"/>
      <c r="B41" s="144"/>
      <c r="C41" s="144"/>
      <c r="D41" s="144"/>
      <c r="E41" s="144"/>
      <c r="F41" s="148"/>
      <c r="G41" s="144"/>
      <c r="H41" s="144"/>
      <c r="I41" s="147"/>
      <c r="J41" s="170"/>
      <c r="K41" s="148"/>
      <c r="L41" s="148"/>
      <c r="M41" s="144"/>
      <c r="N41" s="144"/>
      <c r="O41" s="134"/>
      <c r="P41" s="104"/>
      <c r="Q41" s="107"/>
      <c r="R41" s="107"/>
      <c r="S41" s="107"/>
      <c r="T41" s="107"/>
      <c r="U41" s="107"/>
      <c r="V41" s="107"/>
      <c r="W41" s="107"/>
      <c r="X41" s="104"/>
      <c r="Y41" s="104"/>
      <c r="Z41" s="104"/>
      <c r="AA41" s="144"/>
      <c r="AB41" s="170"/>
      <c r="AC41" s="170"/>
      <c r="AD41" s="170"/>
      <c r="AE41" s="172"/>
      <c r="AF41" s="172"/>
      <c r="AG41" s="203"/>
      <c r="AH41" s="203"/>
      <c r="AI41" s="172"/>
      <c r="AJ41" s="148"/>
      <c r="AK41" s="144"/>
      <c r="AL41" s="144"/>
      <c r="AM41" s="144"/>
      <c r="AN41" s="144"/>
      <c r="AO41" s="144"/>
      <c r="AP41" s="166"/>
      <c r="AQ41" s="144"/>
      <c r="AR41" s="144"/>
      <c r="AS41" s="103"/>
      <c r="AT41" s="144"/>
      <c r="AU41" s="134"/>
      <c r="AV41" s="144"/>
      <c r="AW41" s="144"/>
      <c r="AX41" s="134"/>
      <c r="AY41" s="145"/>
      <c r="AZ41" s="173"/>
      <c r="BA41" s="144"/>
      <c r="BB41" s="167"/>
      <c r="BC41" s="178"/>
      <c r="BD41" s="103"/>
      <c r="BE41" s="103"/>
      <c r="BF41" s="168"/>
      <c r="BG41" s="168"/>
      <c r="BH41" s="168"/>
      <c r="BI41" s="168"/>
      <c r="BJ41" s="168"/>
      <c r="BK41" s="168"/>
      <c r="BL41" s="168"/>
      <c r="BM41" s="168"/>
    </row>
    <row r="42" spans="1:65" ht="30" customHeight="1">
      <c r="A42" s="144"/>
      <c r="B42" s="144"/>
      <c r="C42" s="144"/>
      <c r="D42" s="144"/>
      <c r="E42" s="144"/>
      <c r="F42" s="148"/>
      <c r="G42" s="144"/>
      <c r="H42" s="144"/>
      <c r="I42" s="147"/>
      <c r="J42" s="170"/>
      <c r="K42" s="148"/>
      <c r="L42" s="148"/>
      <c r="M42" s="144"/>
      <c r="N42" s="144"/>
      <c r="O42" s="134"/>
      <c r="P42" s="104"/>
      <c r="Q42" s="107"/>
      <c r="R42" s="107"/>
      <c r="S42" s="107"/>
      <c r="T42" s="107"/>
      <c r="U42" s="107"/>
      <c r="V42" s="107"/>
      <c r="W42" s="107"/>
      <c r="X42" s="104"/>
      <c r="Y42" s="104"/>
      <c r="Z42" s="104"/>
      <c r="AA42" s="144"/>
      <c r="AB42" s="170"/>
      <c r="AC42" s="170"/>
      <c r="AD42" s="170"/>
      <c r="AE42" s="172"/>
      <c r="AF42" s="172"/>
      <c r="AG42" s="203"/>
      <c r="AH42" s="203"/>
      <c r="AI42" s="172"/>
      <c r="AJ42" s="148"/>
      <c r="AK42" s="144"/>
      <c r="AL42" s="144"/>
      <c r="AM42" s="144"/>
      <c r="AN42" s="144"/>
      <c r="AO42" s="144"/>
      <c r="AP42" s="166"/>
      <c r="AQ42" s="144"/>
      <c r="AR42" s="144"/>
      <c r="AS42" s="103"/>
      <c r="AT42" s="144"/>
      <c r="AU42" s="134"/>
      <c r="AV42" s="144"/>
      <c r="AW42" s="144"/>
      <c r="AX42" s="134"/>
      <c r="AY42" s="145"/>
      <c r="AZ42" s="173"/>
      <c r="BA42" s="144"/>
      <c r="BB42" s="167"/>
      <c r="BC42" s="178"/>
      <c r="BD42" s="103"/>
      <c r="BE42" s="103"/>
      <c r="BF42" s="168"/>
      <c r="BG42" s="168"/>
      <c r="BH42" s="168"/>
      <c r="BI42" s="168"/>
      <c r="BJ42" s="168"/>
      <c r="BK42" s="168"/>
      <c r="BL42" s="168"/>
      <c r="BM42" s="168"/>
    </row>
    <row r="43" spans="1:65" ht="30" customHeight="1">
      <c r="A43" s="144"/>
      <c r="B43" s="144"/>
      <c r="C43" s="144"/>
      <c r="D43" s="144"/>
      <c r="E43" s="144"/>
      <c r="F43" s="148"/>
      <c r="G43" s="144"/>
      <c r="H43" s="144"/>
      <c r="I43" s="147"/>
      <c r="J43" s="170"/>
      <c r="K43" s="148"/>
      <c r="L43" s="148"/>
      <c r="M43" s="144"/>
      <c r="N43" s="144"/>
      <c r="O43" s="134"/>
      <c r="P43" s="104"/>
      <c r="Q43" s="107"/>
      <c r="R43" s="107"/>
      <c r="S43" s="107"/>
      <c r="T43" s="107"/>
      <c r="U43" s="107"/>
      <c r="V43" s="107"/>
      <c r="W43" s="107"/>
      <c r="X43" s="104"/>
      <c r="Y43" s="104"/>
      <c r="Z43" s="104"/>
      <c r="AA43" s="144"/>
      <c r="AB43" s="170"/>
      <c r="AC43" s="170"/>
      <c r="AD43" s="170"/>
      <c r="AE43" s="172"/>
      <c r="AF43" s="172"/>
      <c r="AG43" s="203"/>
      <c r="AH43" s="203"/>
      <c r="AI43" s="172"/>
      <c r="AJ43" s="148"/>
      <c r="AK43" s="144"/>
      <c r="AL43" s="144"/>
      <c r="AM43" s="144"/>
      <c r="AN43" s="144"/>
      <c r="AO43" s="144"/>
      <c r="AP43" s="166"/>
      <c r="AQ43" s="144"/>
      <c r="AR43" s="144"/>
      <c r="AS43" s="103"/>
      <c r="AT43" s="144"/>
      <c r="AU43" s="134"/>
      <c r="AV43" s="144"/>
      <c r="AW43" s="144"/>
      <c r="AX43" s="134"/>
      <c r="AY43" s="145"/>
      <c r="AZ43" s="173"/>
      <c r="BA43" s="144"/>
      <c r="BB43" s="167"/>
      <c r="BC43" s="178"/>
      <c r="BD43" s="103"/>
      <c r="BE43" s="103"/>
      <c r="BF43" s="168"/>
      <c r="BG43" s="168"/>
      <c r="BH43" s="168"/>
      <c r="BI43" s="168"/>
      <c r="BJ43" s="168"/>
      <c r="BK43" s="168"/>
      <c r="BL43" s="168"/>
      <c r="BM43" s="168"/>
    </row>
    <row r="44" spans="1:65" ht="30" customHeight="1">
      <c r="A44" s="144"/>
      <c r="B44" s="144"/>
      <c r="C44" s="144"/>
      <c r="D44" s="144"/>
      <c r="E44" s="144"/>
      <c r="F44" s="148"/>
      <c r="G44" s="144"/>
      <c r="H44" s="144"/>
      <c r="I44" s="147"/>
      <c r="J44" s="170"/>
      <c r="K44" s="148"/>
      <c r="L44" s="148"/>
      <c r="M44" s="144"/>
      <c r="N44" s="144"/>
      <c r="O44" s="134"/>
      <c r="P44" s="104"/>
      <c r="Q44" s="107"/>
      <c r="R44" s="107"/>
      <c r="S44" s="107"/>
      <c r="T44" s="107"/>
      <c r="U44" s="107"/>
      <c r="V44" s="107"/>
      <c r="W44" s="107"/>
      <c r="X44" s="104"/>
      <c r="Y44" s="104"/>
      <c r="Z44" s="104"/>
      <c r="AA44" s="144"/>
      <c r="AB44" s="170"/>
      <c r="AC44" s="170"/>
      <c r="AD44" s="170"/>
      <c r="AE44" s="172"/>
      <c r="AF44" s="172"/>
      <c r="AG44" s="203"/>
      <c r="AH44" s="203"/>
      <c r="AI44" s="172"/>
      <c r="AJ44" s="148"/>
      <c r="AK44" s="144"/>
      <c r="AL44" s="144"/>
      <c r="AM44" s="144"/>
      <c r="AN44" s="144"/>
      <c r="AO44" s="144"/>
      <c r="AP44" s="166"/>
      <c r="AQ44" s="144"/>
      <c r="AR44" s="144"/>
      <c r="AS44" s="103"/>
      <c r="AT44" s="144"/>
      <c r="AU44" s="134"/>
      <c r="AV44" s="144"/>
      <c r="AW44" s="144"/>
      <c r="AX44" s="134"/>
      <c r="AY44" s="145"/>
      <c r="AZ44" s="173"/>
      <c r="BA44" s="144"/>
      <c r="BB44" s="167"/>
      <c r="BC44" s="178"/>
      <c r="BD44" s="103"/>
      <c r="BE44" s="103"/>
      <c r="BF44" s="168"/>
      <c r="BG44" s="168"/>
      <c r="BH44" s="168"/>
      <c r="BI44" s="168"/>
      <c r="BJ44" s="168"/>
      <c r="BK44" s="168"/>
      <c r="BL44" s="168"/>
      <c r="BM44" s="168"/>
    </row>
    <row r="45" spans="1:65" ht="30" customHeight="1">
      <c r="A45" s="144"/>
      <c r="B45" s="144"/>
      <c r="C45" s="144"/>
      <c r="D45" s="144"/>
      <c r="E45" s="144"/>
      <c r="F45" s="148"/>
      <c r="G45" s="144"/>
      <c r="H45" s="144"/>
      <c r="I45" s="147"/>
      <c r="J45" s="170"/>
      <c r="K45" s="148"/>
      <c r="L45" s="148"/>
      <c r="M45" s="144"/>
      <c r="N45" s="144"/>
      <c r="O45" s="134"/>
      <c r="P45" s="104"/>
      <c r="Q45" s="107"/>
      <c r="R45" s="107"/>
      <c r="S45" s="107"/>
      <c r="T45" s="107"/>
      <c r="U45" s="107"/>
      <c r="V45" s="107"/>
      <c r="W45" s="107"/>
      <c r="X45" s="104"/>
      <c r="Y45" s="104"/>
      <c r="Z45" s="104"/>
      <c r="AA45" s="144"/>
      <c r="AB45" s="170"/>
      <c r="AC45" s="170"/>
      <c r="AD45" s="170"/>
      <c r="AE45" s="172"/>
      <c r="AF45" s="172"/>
      <c r="AG45" s="203"/>
      <c r="AH45" s="203"/>
      <c r="AI45" s="172"/>
      <c r="AJ45" s="148"/>
      <c r="AK45" s="144"/>
      <c r="AL45" s="144"/>
      <c r="AM45" s="144"/>
      <c r="AN45" s="144"/>
      <c r="AO45" s="144"/>
      <c r="AP45" s="166"/>
      <c r="AQ45" s="144"/>
      <c r="AR45" s="144"/>
      <c r="AS45" s="103"/>
      <c r="AT45" s="144"/>
      <c r="AU45" s="134"/>
      <c r="AV45" s="144"/>
      <c r="AW45" s="144"/>
      <c r="AX45" s="134"/>
      <c r="AY45" s="145"/>
      <c r="AZ45" s="173"/>
      <c r="BA45" s="144"/>
      <c r="BB45" s="167"/>
      <c r="BC45" s="178"/>
      <c r="BD45" s="103"/>
      <c r="BE45" s="103"/>
      <c r="BF45" s="168"/>
      <c r="BG45" s="168"/>
      <c r="BH45" s="168"/>
      <c r="BI45" s="168"/>
      <c r="BJ45" s="168"/>
      <c r="BK45" s="168"/>
      <c r="BL45" s="168"/>
      <c r="BM45" s="168"/>
    </row>
    <row r="46" spans="1:65" ht="30" customHeight="1">
      <c r="A46" s="144"/>
      <c r="B46" s="144"/>
      <c r="C46" s="144"/>
      <c r="D46" s="144"/>
      <c r="E46" s="144"/>
      <c r="F46" s="148"/>
      <c r="G46" s="144"/>
      <c r="H46" s="144"/>
      <c r="I46" s="147"/>
      <c r="J46" s="170"/>
      <c r="K46" s="148"/>
      <c r="L46" s="148"/>
      <c r="M46" s="144"/>
      <c r="N46" s="144"/>
      <c r="O46" s="134"/>
      <c r="P46" s="104"/>
      <c r="Q46" s="107"/>
      <c r="R46" s="107"/>
      <c r="S46" s="107"/>
      <c r="T46" s="107"/>
      <c r="U46" s="107"/>
      <c r="V46" s="107"/>
      <c r="W46" s="107"/>
      <c r="X46" s="104"/>
      <c r="Y46" s="104"/>
      <c r="Z46" s="104"/>
      <c r="AA46" s="144"/>
      <c r="AB46" s="170"/>
      <c r="AC46" s="170"/>
      <c r="AD46" s="170"/>
      <c r="AE46" s="172"/>
      <c r="AF46" s="172"/>
      <c r="AG46" s="203"/>
      <c r="AH46" s="203"/>
      <c r="AI46" s="172"/>
      <c r="AJ46" s="148"/>
      <c r="AK46" s="144"/>
      <c r="AL46" s="144"/>
      <c r="AM46" s="144"/>
      <c r="AN46" s="144"/>
      <c r="AO46" s="144"/>
      <c r="AP46" s="166"/>
      <c r="AQ46" s="144"/>
      <c r="AR46" s="144"/>
      <c r="AS46" s="103"/>
      <c r="AT46" s="144"/>
      <c r="AU46" s="134"/>
      <c r="AV46" s="144"/>
      <c r="AW46" s="144"/>
      <c r="AX46" s="134"/>
      <c r="AY46" s="145"/>
      <c r="AZ46" s="173"/>
      <c r="BA46" s="144"/>
      <c r="BB46" s="167"/>
      <c r="BC46" s="178"/>
      <c r="BD46" s="103"/>
      <c r="BE46" s="103"/>
      <c r="BF46" s="168"/>
      <c r="BG46" s="168"/>
      <c r="BH46" s="168"/>
      <c r="BI46" s="168"/>
      <c r="BJ46" s="168"/>
      <c r="BK46" s="168"/>
      <c r="BL46" s="168"/>
      <c r="BM46" s="168"/>
    </row>
    <row r="47" spans="1:65" ht="30" customHeight="1">
      <c r="A47" s="144"/>
      <c r="B47" s="144"/>
      <c r="C47" s="144"/>
      <c r="D47" s="144"/>
      <c r="E47" s="144"/>
      <c r="F47" s="148"/>
      <c r="G47" s="144"/>
      <c r="H47" s="144"/>
      <c r="I47" s="147"/>
      <c r="J47" s="170"/>
      <c r="K47" s="148"/>
      <c r="L47" s="148"/>
      <c r="M47" s="144"/>
      <c r="N47" s="144"/>
      <c r="O47" s="134"/>
      <c r="P47" s="104"/>
      <c r="Q47" s="107"/>
      <c r="R47" s="107"/>
      <c r="S47" s="107"/>
      <c r="T47" s="107"/>
      <c r="U47" s="107"/>
      <c r="V47" s="107"/>
      <c r="W47" s="107"/>
      <c r="X47" s="104"/>
      <c r="Y47" s="104"/>
      <c r="Z47" s="104"/>
      <c r="AA47" s="144"/>
      <c r="AB47" s="170"/>
      <c r="AC47" s="170"/>
      <c r="AD47" s="170"/>
      <c r="AE47" s="172"/>
      <c r="AF47" s="172"/>
      <c r="AG47" s="203"/>
      <c r="AH47" s="203"/>
      <c r="AI47" s="172"/>
      <c r="AJ47" s="148"/>
      <c r="AK47" s="144"/>
      <c r="AL47" s="144"/>
      <c r="AM47" s="144"/>
      <c r="AN47" s="144"/>
      <c r="AO47" s="144"/>
      <c r="AP47" s="166"/>
      <c r="AQ47" s="144"/>
      <c r="AR47" s="144"/>
      <c r="AS47" s="103"/>
      <c r="AT47" s="144"/>
      <c r="AU47" s="134"/>
      <c r="AV47" s="144"/>
      <c r="AW47" s="144"/>
      <c r="AX47" s="134"/>
      <c r="AY47" s="145"/>
      <c r="AZ47" s="173"/>
      <c r="BA47" s="144"/>
      <c r="BB47" s="167"/>
      <c r="BC47" s="178"/>
      <c r="BD47" s="103"/>
      <c r="BE47" s="103"/>
      <c r="BF47" s="168"/>
      <c r="BG47" s="168"/>
      <c r="BH47" s="168"/>
      <c r="BI47" s="168"/>
      <c r="BJ47" s="168"/>
      <c r="BK47" s="168"/>
      <c r="BL47" s="168"/>
      <c r="BM47" s="168"/>
    </row>
    <row r="48" spans="1:65" ht="30" customHeight="1">
      <c r="A48" s="144"/>
      <c r="B48" s="144"/>
      <c r="C48" s="144"/>
      <c r="D48" s="144"/>
      <c r="E48" s="144"/>
      <c r="F48" s="148"/>
      <c r="G48" s="144"/>
      <c r="H48" s="144"/>
      <c r="I48" s="147"/>
      <c r="J48" s="170"/>
      <c r="K48" s="148"/>
      <c r="L48" s="148"/>
      <c r="M48" s="144"/>
      <c r="N48" s="144"/>
      <c r="O48" s="134"/>
      <c r="P48" s="104"/>
      <c r="Q48" s="107"/>
      <c r="R48" s="107"/>
      <c r="S48" s="107"/>
      <c r="T48" s="107"/>
      <c r="U48" s="107"/>
      <c r="V48" s="107"/>
      <c r="W48" s="107"/>
      <c r="X48" s="104"/>
      <c r="Y48" s="104"/>
      <c r="Z48" s="104"/>
      <c r="AA48" s="144"/>
      <c r="AB48" s="170"/>
      <c r="AC48" s="170"/>
      <c r="AD48" s="170"/>
      <c r="AE48" s="172"/>
      <c r="AF48" s="172"/>
      <c r="AG48" s="203"/>
      <c r="AH48" s="203"/>
      <c r="AI48" s="172"/>
      <c r="AJ48" s="148"/>
      <c r="AK48" s="144"/>
      <c r="AL48" s="144"/>
      <c r="AM48" s="144"/>
      <c r="AN48" s="144"/>
      <c r="AO48" s="144"/>
      <c r="AP48" s="166"/>
      <c r="AQ48" s="144"/>
      <c r="AR48" s="144"/>
      <c r="AS48" s="103"/>
      <c r="AT48" s="144"/>
      <c r="AU48" s="134"/>
      <c r="AV48" s="144"/>
      <c r="AW48" s="144"/>
      <c r="AX48" s="134"/>
      <c r="AY48" s="145"/>
      <c r="AZ48" s="173"/>
      <c r="BA48" s="144"/>
      <c r="BB48" s="167"/>
      <c r="BC48" s="178"/>
      <c r="BD48" s="103"/>
      <c r="BE48" s="103"/>
      <c r="BF48" s="168"/>
      <c r="BG48" s="168"/>
      <c r="BH48" s="168"/>
      <c r="BI48" s="168"/>
      <c r="BJ48" s="168"/>
      <c r="BK48" s="168"/>
      <c r="BL48" s="168"/>
      <c r="BM48" s="168"/>
    </row>
    <row r="49" spans="1:65" ht="30" customHeight="1">
      <c r="A49" s="144"/>
      <c r="B49" s="144"/>
      <c r="C49" s="144"/>
      <c r="D49" s="144"/>
      <c r="E49" s="144"/>
      <c r="F49" s="148"/>
      <c r="G49" s="144"/>
      <c r="H49" s="144"/>
      <c r="I49" s="147"/>
      <c r="J49" s="170"/>
      <c r="K49" s="148"/>
      <c r="L49" s="148"/>
      <c r="M49" s="144"/>
      <c r="N49" s="144"/>
      <c r="O49" s="134"/>
      <c r="P49" s="104"/>
      <c r="Q49" s="107"/>
      <c r="R49" s="107"/>
      <c r="S49" s="107"/>
      <c r="T49" s="107"/>
      <c r="U49" s="107"/>
      <c r="V49" s="107"/>
      <c r="W49" s="107"/>
      <c r="X49" s="104"/>
      <c r="Y49" s="104"/>
      <c r="Z49" s="104"/>
      <c r="AA49" s="144"/>
      <c r="AB49" s="170"/>
      <c r="AC49" s="170"/>
      <c r="AD49" s="170"/>
      <c r="AE49" s="172"/>
      <c r="AF49" s="172"/>
      <c r="AG49" s="203"/>
      <c r="AH49" s="203"/>
      <c r="AI49" s="172"/>
      <c r="AJ49" s="148"/>
      <c r="AK49" s="144"/>
      <c r="AL49" s="144"/>
      <c r="AM49" s="144"/>
      <c r="AN49" s="144"/>
      <c r="AO49" s="144"/>
      <c r="AP49" s="166"/>
      <c r="AQ49" s="144"/>
      <c r="AR49" s="144"/>
      <c r="AS49" s="103"/>
      <c r="AT49" s="144"/>
      <c r="AU49" s="134"/>
      <c r="AV49" s="144"/>
      <c r="AW49" s="144"/>
      <c r="AX49" s="134"/>
      <c r="AY49" s="145"/>
      <c r="AZ49" s="173"/>
      <c r="BA49" s="144"/>
      <c r="BB49" s="167"/>
      <c r="BC49" s="178"/>
      <c r="BD49" s="103"/>
      <c r="BE49" s="103"/>
      <c r="BF49" s="168"/>
      <c r="BG49" s="168"/>
      <c r="BH49" s="168"/>
      <c r="BI49" s="168"/>
      <c r="BJ49" s="168"/>
      <c r="BK49" s="168"/>
      <c r="BL49" s="168"/>
      <c r="BM49" s="168"/>
    </row>
    <row r="50" spans="1:65" ht="30" customHeight="1">
      <c r="A50" s="144"/>
      <c r="B50" s="144"/>
      <c r="C50" s="144"/>
      <c r="D50" s="144"/>
      <c r="E50" s="144"/>
      <c r="F50" s="148"/>
      <c r="G50" s="144"/>
      <c r="H50" s="144"/>
      <c r="I50" s="147"/>
      <c r="J50" s="170"/>
      <c r="K50" s="148"/>
      <c r="L50" s="148"/>
      <c r="M50" s="144"/>
      <c r="N50" s="144"/>
      <c r="O50" s="134"/>
      <c r="P50" s="104"/>
      <c r="Q50" s="107"/>
      <c r="R50" s="107"/>
      <c r="S50" s="107"/>
      <c r="T50" s="107"/>
      <c r="U50" s="107"/>
      <c r="V50" s="107"/>
      <c r="W50" s="107"/>
      <c r="X50" s="104"/>
      <c r="Y50" s="104"/>
      <c r="Z50" s="104"/>
      <c r="AA50" s="144"/>
      <c r="AB50" s="170"/>
      <c r="AC50" s="170"/>
      <c r="AD50" s="170"/>
      <c r="AE50" s="172"/>
      <c r="AF50" s="172"/>
      <c r="AG50" s="203"/>
      <c r="AH50" s="203"/>
      <c r="AI50" s="172"/>
      <c r="AJ50" s="148"/>
      <c r="AK50" s="144"/>
      <c r="AL50" s="144"/>
      <c r="AM50" s="144"/>
      <c r="AN50" s="144"/>
      <c r="AO50" s="144"/>
      <c r="AP50" s="166"/>
      <c r="AQ50" s="144"/>
      <c r="AR50" s="144"/>
      <c r="AS50" s="103"/>
      <c r="AT50" s="144"/>
      <c r="AU50" s="134"/>
      <c r="AV50" s="144"/>
      <c r="AW50" s="144"/>
      <c r="AX50" s="134"/>
      <c r="AY50" s="145"/>
      <c r="AZ50" s="173"/>
      <c r="BA50" s="144"/>
      <c r="BB50" s="167"/>
      <c r="BC50" s="178"/>
      <c r="BD50" s="103"/>
      <c r="BE50" s="103"/>
      <c r="BF50" s="168"/>
      <c r="BG50" s="168"/>
      <c r="BH50" s="168"/>
      <c r="BI50" s="168"/>
      <c r="BJ50" s="168"/>
      <c r="BK50" s="168"/>
      <c r="BL50" s="168"/>
      <c r="BM50" s="168"/>
    </row>
    <row r="51" spans="1:65" ht="30" customHeight="1">
      <c r="A51" s="144"/>
      <c r="B51" s="144"/>
      <c r="C51" s="144"/>
      <c r="D51" s="144"/>
      <c r="E51" s="144"/>
      <c r="F51" s="148"/>
      <c r="G51" s="144"/>
      <c r="H51" s="144"/>
      <c r="I51" s="147"/>
      <c r="J51" s="170"/>
      <c r="K51" s="148"/>
      <c r="L51" s="148"/>
      <c r="M51" s="144"/>
      <c r="N51" s="144"/>
      <c r="O51" s="134"/>
      <c r="P51" s="104"/>
      <c r="Q51" s="107"/>
      <c r="R51" s="107"/>
      <c r="S51" s="107"/>
      <c r="T51" s="107"/>
      <c r="U51" s="107"/>
      <c r="V51" s="107"/>
      <c r="W51" s="107"/>
      <c r="X51" s="104"/>
      <c r="Y51" s="104"/>
      <c r="Z51" s="104"/>
      <c r="AA51" s="144"/>
      <c r="AB51" s="170"/>
      <c r="AC51" s="170"/>
      <c r="AD51" s="170"/>
      <c r="AE51" s="172"/>
      <c r="AF51" s="172"/>
      <c r="AG51" s="203"/>
      <c r="AH51" s="203"/>
      <c r="AI51" s="172"/>
      <c r="AJ51" s="148"/>
      <c r="AK51" s="144"/>
      <c r="AL51" s="144"/>
      <c r="AM51" s="144"/>
      <c r="AN51" s="144"/>
      <c r="AO51" s="144"/>
      <c r="AP51" s="166"/>
      <c r="AQ51" s="144"/>
      <c r="AR51" s="144"/>
      <c r="AS51" s="103"/>
      <c r="AT51" s="144"/>
      <c r="AU51" s="134"/>
      <c r="AV51" s="144"/>
      <c r="AW51" s="144"/>
      <c r="AX51" s="134"/>
      <c r="AY51" s="145"/>
      <c r="AZ51" s="173"/>
      <c r="BA51" s="144"/>
      <c r="BB51" s="167"/>
      <c r="BC51" s="178"/>
      <c r="BD51" s="103"/>
      <c r="BE51" s="103"/>
      <c r="BF51" s="168"/>
      <c r="BG51" s="168"/>
      <c r="BH51" s="168"/>
      <c r="BI51" s="168"/>
      <c r="BJ51" s="168"/>
      <c r="BK51" s="168"/>
      <c r="BL51" s="168"/>
      <c r="BM51" s="168"/>
    </row>
    <row r="52" spans="1:65" ht="30" customHeight="1">
      <c r="A52" s="144"/>
      <c r="B52" s="144"/>
      <c r="C52" s="144"/>
      <c r="D52" s="144"/>
      <c r="E52" s="144"/>
      <c r="F52" s="148"/>
      <c r="G52" s="144"/>
      <c r="H52" s="144"/>
      <c r="I52" s="147"/>
      <c r="J52" s="170"/>
      <c r="K52" s="148"/>
      <c r="L52" s="148"/>
      <c r="M52" s="144"/>
      <c r="N52" s="144"/>
      <c r="O52" s="134"/>
      <c r="P52" s="104"/>
      <c r="Q52" s="107"/>
      <c r="R52" s="107"/>
      <c r="S52" s="107"/>
      <c r="T52" s="107"/>
      <c r="U52" s="107"/>
      <c r="V52" s="107"/>
      <c r="W52" s="107"/>
      <c r="X52" s="104"/>
      <c r="Y52" s="104"/>
      <c r="Z52" s="104"/>
      <c r="AA52" s="144"/>
      <c r="AB52" s="170"/>
      <c r="AC52" s="170"/>
      <c r="AD52" s="170"/>
      <c r="AE52" s="172"/>
      <c r="AF52" s="172"/>
      <c r="AG52" s="203"/>
      <c r="AH52" s="203"/>
      <c r="AI52" s="172"/>
      <c r="AJ52" s="148"/>
      <c r="AK52" s="144"/>
      <c r="AL52" s="144"/>
      <c r="AM52" s="144"/>
      <c r="AN52" s="144"/>
      <c r="AO52" s="144"/>
      <c r="AP52" s="166"/>
      <c r="AQ52" s="144"/>
      <c r="AR52" s="144"/>
      <c r="AS52" s="103"/>
      <c r="AT52" s="144"/>
      <c r="AU52" s="134"/>
      <c r="AV52" s="144"/>
      <c r="AW52" s="144"/>
      <c r="AX52" s="134"/>
      <c r="AY52" s="145"/>
      <c r="AZ52" s="173"/>
      <c r="BA52" s="144"/>
      <c r="BB52" s="167"/>
      <c r="BC52" s="178"/>
      <c r="BD52" s="103"/>
      <c r="BE52" s="103"/>
      <c r="BF52" s="168"/>
      <c r="BG52" s="168"/>
      <c r="BH52" s="168"/>
      <c r="BI52" s="168"/>
      <c r="BJ52" s="168"/>
      <c r="BK52" s="168"/>
      <c r="BL52" s="168"/>
      <c r="BM52" s="168"/>
    </row>
    <row r="53" spans="1:65" ht="30" customHeight="1">
      <c r="A53" s="144"/>
      <c r="B53" s="144"/>
      <c r="C53" s="144"/>
      <c r="D53" s="144"/>
      <c r="E53" s="144"/>
      <c r="F53" s="148"/>
      <c r="G53" s="144"/>
      <c r="H53" s="144"/>
      <c r="I53" s="147"/>
      <c r="J53" s="170"/>
      <c r="K53" s="148"/>
      <c r="L53" s="148"/>
      <c r="M53" s="144"/>
      <c r="N53" s="144"/>
      <c r="O53" s="134"/>
      <c r="P53" s="104"/>
      <c r="Q53" s="107"/>
      <c r="R53" s="107"/>
      <c r="S53" s="107"/>
      <c r="T53" s="107"/>
      <c r="U53" s="107"/>
      <c r="V53" s="107"/>
      <c r="W53" s="107"/>
      <c r="X53" s="104"/>
      <c r="Y53" s="104"/>
      <c r="Z53" s="104"/>
      <c r="AA53" s="144"/>
      <c r="AB53" s="170"/>
      <c r="AC53" s="170"/>
      <c r="AD53" s="170"/>
      <c r="AE53" s="172"/>
      <c r="AF53" s="172"/>
      <c r="AG53" s="203"/>
      <c r="AH53" s="203"/>
      <c r="AI53" s="172"/>
      <c r="AJ53" s="148"/>
      <c r="AK53" s="144"/>
      <c r="AL53" s="144"/>
      <c r="AM53" s="144"/>
      <c r="AN53" s="144"/>
      <c r="AO53" s="144"/>
      <c r="AP53" s="166"/>
      <c r="AQ53" s="144"/>
      <c r="AR53" s="144"/>
      <c r="AS53" s="103"/>
      <c r="AT53" s="144"/>
      <c r="AU53" s="134"/>
      <c r="AV53" s="144"/>
      <c r="AW53" s="144"/>
      <c r="AX53" s="134"/>
      <c r="AY53" s="145"/>
      <c r="AZ53" s="173"/>
      <c r="BA53" s="144"/>
      <c r="BB53" s="167"/>
      <c r="BC53" s="178"/>
      <c r="BD53" s="103"/>
      <c r="BE53" s="103"/>
      <c r="BF53" s="168"/>
      <c r="BG53" s="168"/>
      <c r="BH53" s="168"/>
      <c r="BI53" s="168"/>
      <c r="BJ53" s="168"/>
      <c r="BK53" s="168"/>
      <c r="BL53" s="168"/>
      <c r="BM53" s="168"/>
    </row>
    <row r="54" spans="1:65" ht="30" customHeight="1">
      <c r="A54" s="144"/>
      <c r="B54" s="144"/>
      <c r="C54" s="144"/>
      <c r="D54" s="144"/>
      <c r="E54" s="144"/>
      <c r="F54" s="148"/>
      <c r="G54" s="144"/>
      <c r="H54" s="144"/>
      <c r="I54" s="147"/>
      <c r="J54" s="170"/>
      <c r="K54" s="148"/>
      <c r="L54" s="148"/>
      <c r="M54" s="144"/>
      <c r="N54" s="144"/>
      <c r="O54" s="134"/>
      <c r="P54" s="104"/>
      <c r="Q54" s="107"/>
      <c r="R54" s="107"/>
      <c r="S54" s="107"/>
      <c r="T54" s="107"/>
      <c r="U54" s="107"/>
      <c r="V54" s="107"/>
      <c r="W54" s="107"/>
      <c r="X54" s="104"/>
      <c r="Y54" s="104"/>
      <c r="Z54" s="104"/>
      <c r="AA54" s="144"/>
      <c r="AB54" s="170"/>
      <c r="AC54" s="170"/>
      <c r="AD54" s="170"/>
      <c r="AE54" s="172"/>
      <c r="AF54" s="172"/>
      <c r="AG54" s="203"/>
      <c r="AH54" s="203"/>
      <c r="AI54" s="172"/>
      <c r="AJ54" s="148"/>
      <c r="AK54" s="144"/>
      <c r="AL54" s="144"/>
      <c r="AM54" s="144"/>
      <c r="AN54" s="144"/>
      <c r="AO54" s="144"/>
      <c r="AP54" s="166"/>
      <c r="AQ54" s="144"/>
      <c r="AR54" s="144"/>
      <c r="AS54" s="103"/>
      <c r="AT54" s="144"/>
      <c r="AU54" s="134"/>
      <c r="AV54" s="144"/>
      <c r="AW54" s="144"/>
      <c r="AX54" s="134"/>
      <c r="AY54" s="145"/>
      <c r="AZ54" s="173"/>
      <c r="BA54" s="144"/>
      <c r="BB54" s="167"/>
      <c r="BC54" s="178"/>
      <c r="BD54" s="103"/>
      <c r="BE54" s="103"/>
      <c r="BF54" s="168"/>
      <c r="BG54" s="168"/>
      <c r="BH54" s="168"/>
      <c r="BI54" s="168"/>
      <c r="BJ54" s="168"/>
      <c r="BK54" s="168"/>
      <c r="BL54" s="168"/>
      <c r="BM54" s="168"/>
    </row>
    <row r="55" spans="1:65" ht="30" customHeight="1">
      <c r="A55" s="144"/>
      <c r="B55" s="144"/>
      <c r="C55" s="144"/>
      <c r="D55" s="144"/>
      <c r="E55" s="144"/>
      <c r="F55" s="148"/>
      <c r="G55" s="144"/>
      <c r="H55" s="144"/>
      <c r="I55" s="147"/>
      <c r="J55" s="170"/>
      <c r="K55" s="148"/>
      <c r="L55" s="148"/>
      <c r="M55" s="144"/>
      <c r="N55" s="144"/>
      <c r="O55" s="134"/>
      <c r="P55" s="104"/>
      <c r="Q55" s="107"/>
      <c r="R55" s="107"/>
      <c r="S55" s="107"/>
      <c r="T55" s="107"/>
      <c r="U55" s="107"/>
      <c r="V55" s="107"/>
      <c r="W55" s="107"/>
      <c r="X55" s="104"/>
      <c r="Y55" s="104"/>
      <c r="Z55" s="104"/>
      <c r="AA55" s="144"/>
      <c r="AB55" s="170"/>
      <c r="AC55" s="170"/>
      <c r="AD55" s="170"/>
      <c r="AE55" s="172"/>
      <c r="AF55" s="172"/>
      <c r="AG55" s="203"/>
      <c r="AH55" s="203"/>
      <c r="AI55" s="172"/>
      <c r="AJ55" s="148"/>
      <c r="AK55" s="144"/>
      <c r="AL55" s="144"/>
      <c r="AM55" s="144"/>
      <c r="AN55" s="144"/>
      <c r="AO55" s="144"/>
      <c r="AP55" s="166"/>
      <c r="AQ55" s="144"/>
      <c r="AR55" s="144"/>
      <c r="AS55" s="103"/>
      <c r="AT55" s="144"/>
      <c r="AU55" s="134"/>
      <c r="AV55" s="144"/>
      <c r="AW55" s="144"/>
      <c r="AX55" s="134"/>
      <c r="AY55" s="145"/>
      <c r="AZ55" s="173"/>
      <c r="BA55" s="144"/>
      <c r="BB55" s="167"/>
      <c r="BC55" s="178"/>
      <c r="BD55" s="103"/>
      <c r="BE55" s="103"/>
      <c r="BF55" s="168"/>
      <c r="BG55" s="168"/>
      <c r="BH55" s="168"/>
      <c r="BI55" s="168"/>
      <c r="BJ55" s="168"/>
      <c r="BK55" s="168"/>
      <c r="BL55" s="168"/>
      <c r="BM55" s="168"/>
    </row>
    <row r="56" spans="1:65" ht="30" customHeight="1">
      <c r="A56" s="144"/>
      <c r="B56" s="144"/>
      <c r="C56" s="144"/>
      <c r="D56" s="144"/>
      <c r="E56" s="144"/>
      <c r="F56" s="148"/>
      <c r="G56" s="144"/>
      <c r="H56" s="144"/>
      <c r="I56" s="147"/>
      <c r="J56" s="170"/>
      <c r="K56" s="148"/>
      <c r="L56" s="148"/>
      <c r="M56" s="144"/>
      <c r="N56" s="144"/>
      <c r="O56" s="134"/>
      <c r="P56" s="104"/>
      <c r="Q56" s="107"/>
      <c r="R56" s="107"/>
      <c r="S56" s="107"/>
      <c r="T56" s="107"/>
      <c r="U56" s="107"/>
      <c r="V56" s="107"/>
      <c r="W56" s="107"/>
      <c r="X56" s="104"/>
      <c r="Y56" s="104"/>
      <c r="Z56" s="104"/>
      <c r="AA56" s="144"/>
      <c r="AB56" s="170"/>
      <c r="AC56" s="170"/>
      <c r="AD56" s="170"/>
      <c r="AE56" s="172"/>
      <c r="AF56" s="172"/>
      <c r="AG56" s="203"/>
      <c r="AH56" s="203"/>
      <c r="AI56" s="172"/>
      <c r="AJ56" s="148"/>
      <c r="AK56" s="144"/>
      <c r="AL56" s="144"/>
      <c r="AM56" s="144"/>
      <c r="AN56" s="144"/>
      <c r="AO56" s="144"/>
      <c r="AP56" s="166"/>
      <c r="AQ56" s="144"/>
      <c r="AR56" s="144"/>
      <c r="AS56" s="103"/>
      <c r="AT56" s="144"/>
      <c r="AU56" s="134"/>
      <c r="AV56" s="144"/>
      <c r="AW56" s="144"/>
      <c r="AX56" s="134"/>
      <c r="AY56" s="145"/>
      <c r="AZ56" s="173"/>
      <c r="BA56" s="144"/>
      <c r="BB56" s="167"/>
      <c r="BC56" s="178"/>
      <c r="BD56" s="103"/>
      <c r="BE56" s="103"/>
      <c r="BF56" s="168"/>
      <c r="BG56" s="168"/>
      <c r="BH56" s="168"/>
      <c r="BI56" s="168"/>
      <c r="BJ56" s="168"/>
      <c r="BK56" s="168"/>
      <c r="BL56" s="168"/>
      <c r="BM56" s="168"/>
    </row>
    <row r="57" spans="1:65" ht="30" customHeight="1">
      <c r="A57" s="144"/>
      <c r="B57" s="144"/>
      <c r="C57" s="144"/>
      <c r="D57" s="144"/>
      <c r="E57" s="144"/>
      <c r="F57" s="148"/>
      <c r="G57" s="144"/>
      <c r="H57" s="144"/>
      <c r="I57" s="147"/>
      <c r="J57" s="170"/>
      <c r="K57" s="148"/>
      <c r="L57" s="148"/>
      <c r="M57" s="144"/>
      <c r="N57" s="144"/>
      <c r="O57" s="134"/>
      <c r="P57" s="104"/>
      <c r="Q57" s="107"/>
      <c r="R57" s="107"/>
      <c r="S57" s="107"/>
      <c r="T57" s="107"/>
      <c r="U57" s="107"/>
      <c r="V57" s="107"/>
      <c r="W57" s="107"/>
      <c r="X57" s="104"/>
      <c r="Y57" s="104"/>
      <c r="Z57" s="104"/>
      <c r="AA57" s="144"/>
      <c r="AB57" s="170"/>
      <c r="AC57" s="170"/>
      <c r="AD57" s="170"/>
      <c r="AE57" s="172"/>
      <c r="AF57" s="172"/>
      <c r="AG57" s="203"/>
      <c r="AH57" s="203"/>
      <c r="AI57" s="172"/>
      <c r="AJ57" s="148"/>
      <c r="AK57" s="144"/>
      <c r="AL57" s="144"/>
      <c r="AM57" s="144"/>
      <c r="AN57" s="144"/>
      <c r="AO57" s="144"/>
      <c r="AP57" s="166"/>
      <c r="AQ57" s="144"/>
      <c r="AR57" s="144"/>
      <c r="AS57" s="103"/>
      <c r="AT57" s="144"/>
      <c r="AU57" s="134"/>
      <c r="AV57" s="144"/>
      <c r="AW57" s="144"/>
      <c r="AX57" s="134"/>
      <c r="AY57" s="145"/>
      <c r="AZ57" s="173"/>
      <c r="BA57" s="144"/>
      <c r="BB57" s="167"/>
      <c r="BC57" s="178"/>
      <c r="BD57" s="103"/>
      <c r="BE57" s="103"/>
      <c r="BF57" s="168"/>
      <c r="BG57" s="168"/>
      <c r="BH57" s="168"/>
      <c r="BI57" s="168"/>
      <c r="BJ57" s="168"/>
      <c r="BK57" s="168"/>
      <c r="BL57" s="168"/>
      <c r="BM57" s="168"/>
    </row>
    <row r="58" spans="1:65" ht="30" customHeight="1">
      <c r="A58" s="144"/>
      <c r="B58" s="144"/>
      <c r="C58" s="144"/>
      <c r="D58" s="144"/>
      <c r="E58" s="144"/>
      <c r="F58" s="148"/>
      <c r="G58" s="144"/>
      <c r="H58" s="144"/>
      <c r="I58" s="147"/>
      <c r="J58" s="170"/>
      <c r="K58" s="148"/>
      <c r="L58" s="148"/>
      <c r="M58" s="144"/>
      <c r="N58" s="144"/>
      <c r="O58" s="134"/>
      <c r="P58" s="104"/>
      <c r="Q58" s="107"/>
      <c r="R58" s="107"/>
      <c r="S58" s="107"/>
      <c r="T58" s="107"/>
      <c r="U58" s="107"/>
      <c r="V58" s="107"/>
      <c r="W58" s="107"/>
      <c r="X58" s="104"/>
      <c r="Y58" s="104"/>
      <c r="Z58" s="104"/>
      <c r="AA58" s="144"/>
      <c r="AB58" s="170"/>
      <c r="AC58" s="170"/>
      <c r="AD58" s="170"/>
      <c r="AE58" s="172"/>
      <c r="AF58" s="172"/>
      <c r="AG58" s="203"/>
      <c r="AH58" s="203"/>
      <c r="AI58" s="172"/>
      <c r="AJ58" s="148"/>
      <c r="AK58" s="144"/>
      <c r="AL58" s="144"/>
      <c r="AM58" s="144"/>
      <c r="AN58" s="144"/>
      <c r="AO58" s="144"/>
      <c r="AP58" s="166"/>
      <c r="AQ58" s="144"/>
      <c r="AR58" s="144"/>
      <c r="AS58" s="103"/>
      <c r="AT58" s="144"/>
      <c r="AU58" s="134"/>
      <c r="AV58" s="144"/>
      <c r="AW58" s="144"/>
      <c r="AX58" s="134"/>
      <c r="AY58" s="145"/>
      <c r="AZ58" s="173"/>
      <c r="BA58" s="144"/>
      <c r="BB58" s="167"/>
      <c r="BC58" s="178"/>
      <c r="BD58" s="103"/>
      <c r="BE58" s="103"/>
      <c r="BF58" s="168"/>
      <c r="BG58" s="168"/>
      <c r="BH58" s="168"/>
      <c r="BI58" s="168"/>
      <c r="BJ58" s="168"/>
      <c r="BK58" s="168"/>
      <c r="BL58" s="168"/>
      <c r="BM58" s="168"/>
    </row>
    <row r="59" spans="1:65" ht="30" customHeight="1">
      <c r="A59" s="144"/>
      <c r="B59" s="144"/>
      <c r="C59" s="144"/>
      <c r="D59" s="144"/>
      <c r="E59" s="144"/>
      <c r="F59" s="148"/>
      <c r="G59" s="144"/>
      <c r="H59" s="144"/>
      <c r="I59" s="147"/>
      <c r="J59" s="170"/>
      <c r="K59" s="148"/>
      <c r="L59" s="148"/>
      <c r="M59" s="144"/>
      <c r="N59" s="144"/>
      <c r="O59" s="134"/>
      <c r="P59" s="104"/>
      <c r="Q59" s="107"/>
      <c r="R59" s="107"/>
      <c r="S59" s="107"/>
      <c r="T59" s="107"/>
      <c r="U59" s="107"/>
      <c r="V59" s="107"/>
      <c r="W59" s="107"/>
      <c r="X59" s="104"/>
      <c r="Y59" s="104"/>
      <c r="Z59" s="104"/>
      <c r="AA59" s="144"/>
      <c r="AB59" s="170"/>
      <c r="AC59" s="170"/>
      <c r="AD59" s="170"/>
      <c r="AE59" s="172"/>
      <c r="AF59" s="172"/>
      <c r="AG59" s="203"/>
      <c r="AH59" s="203"/>
      <c r="AI59" s="172"/>
      <c r="AJ59" s="148"/>
      <c r="AK59" s="144"/>
      <c r="AL59" s="144"/>
      <c r="AM59" s="144"/>
      <c r="AN59" s="144"/>
      <c r="AO59" s="144"/>
      <c r="AP59" s="166"/>
      <c r="AQ59" s="144"/>
      <c r="AR59" s="144"/>
      <c r="AS59" s="103"/>
      <c r="AT59" s="144"/>
      <c r="AU59" s="134"/>
      <c r="AV59" s="144"/>
      <c r="AW59" s="144"/>
      <c r="AX59" s="134"/>
      <c r="AY59" s="145"/>
      <c r="AZ59" s="173"/>
      <c r="BA59" s="144"/>
      <c r="BB59" s="167"/>
      <c r="BC59" s="178"/>
      <c r="BD59" s="103"/>
      <c r="BE59" s="103"/>
      <c r="BF59" s="168"/>
      <c r="BG59" s="168"/>
      <c r="BH59" s="168"/>
      <c r="BI59" s="168"/>
      <c r="BJ59" s="168"/>
      <c r="BK59" s="168"/>
      <c r="BL59" s="168"/>
      <c r="BM59" s="168"/>
    </row>
    <row r="60" spans="1:65" ht="30" customHeight="1">
      <c r="A60" s="144"/>
      <c r="B60" s="144"/>
      <c r="C60" s="144"/>
      <c r="D60" s="144"/>
      <c r="E60" s="144"/>
      <c r="F60" s="148"/>
      <c r="G60" s="144"/>
      <c r="H60" s="144"/>
      <c r="I60" s="147"/>
      <c r="J60" s="170"/>
      <c r="K60" s="148"/>
      <c r="L60" s="148"/>
      <c r="M60" s="144"/>
      <c r="N60" s="144"/>
      <c r="O60" s="134"/>
      <c r="P60" s="104"/>
      <c r="Q60" s="107"/>
      <c r="R60" s="107"/>
      <c r="S60" s="107"/>
      <c r="T60" s="107"/>
      <c r="U60" s="107"/>
      <c r="V60" s="107"/>
      <c r="W60" s="107"/>
      <c r="X60" s="104"/>
      <c r="Y60" s="104"/>
      <c r="Z60" s="104"/>
      <c r="AA60" s="144"/>
      <c r="AB60" s="170"/>
      <c r="AC60" s="170"/>
      <c r="AD60" s="170"/>
      <c r="AE60" s="172"/>
      <c r="AF60" s="172"/>
      <c r="AG60" s="203"/>
      <c r="AH60" s="203"/>
      <c r="AI60" s="172"/>
      <c r="AJ60" s="148"/>
      <c r="AK60" s="144"/>
      <c r="AL60" s="144"/>
      <c r="AM60" s="144"/>
      <c r="AN60" s="144"/>
      <c r="AO60" s="144"/>
      <c r="AP60" s="166"/>
      <c r="AQ60" s="144"/>
      <c r="AR60" s="144"/>
      <c r="AS60" s="103"/>
      <c r="AT60" s="144"/>
      <c r="AU60" s="134"/>
      <c r="AV60" s="144"/>
      <c r="AW60" s="144"/>
      <c r="AX60" s="134"/>
      <c r="AY60" s="145"/>
      <c r="AZ60" s="173"/>
      <c r="BA60" s="144"/>
      <c r="BB60" s="167"/>
      <c r="BC60" s="178"/>
      <c r="BD60" s="103"/>
      <c r="BE60" s="103"/>
      <c r="BF60" s="168"/>
      <c r="BG60" s="168"/>
      <c r="BH60" s="168"/>
      <c r="BI60" s="168"/>
      <c r="BJ60" s="168"/>
      <c r="BK60" s="168"/>
      <c r="BL60" s="168"/>
      <c r="BM60" s="168"/>
    </row>
    <row r="61" spans="1:65" ht="30" customHeight="1">
      <c r="A61" s="144"/>
      <c r="B61" s="144"/>
      <c r="C61" s="144"/>
      <c r="D61" s="144"/>
      <c r="E61" s="144"/>
      <c r="F61" s="148"/>
      <c r="G61" s="144"/>
      <c r="H61" s="144"/>
      <c r="I61" s="147"/>
      <c r="J61" s="170"/>
      <c r="K61" s="148"/>
      <c r="L61" s="148"/>
      <c r="M61" s="144"/>
      <c r="N61" s="144"/>
      <c r="O61" s="134"/>
      <c r="P61" s="104"/>
      <c r="Q61" s="107"/>
      <c r="R61" s="107"/>
      <c r="S61" s="107"/>
      <c r="T61" s="107"/>
      <c r="U61" s="107"/>
      <c r="V61" s="107"/>
      <c r="W61" s="107"/>
      <c r="X61" s="104"/>
      <c r="Y61" s="104"/>
      <c r="Z61" s="104"/>
      <c r="AA61" s="144"/>
      <c r="AB61" s="170"/>
      <c r="AC61" s="170"/>
      <c r="AD61" s="170"/>
      <c r="AE61" s="172"/>
      <c r="AF61" s="172"/>
      <c r="AG61" s="203"/>
      <c r="AH61" s="203"/>
      <c r="AI61" s="172"/>
      <c r="AJ61" s="148"/>
      <c r="AK61" s="144"/>
      <c r="AL61" s="144"/>
      <c r="AM61" s="144"/>
      <c r="AN61" s="144"/>
      <c r="AO61" s="144"/>
      <c r="AP61" s="166"/>
      <c r="AQ61" s="144"/>
      <c r="AR61" s="144"/>
      <c r="AS61" s="103"/>
      <c r="AT61" s="144"/>
      <c r="AU61" s="134"/>
      <c r="AV61" s="144"/>
      <c r="AW61" s="144"/>
      <c r="AX61" s="134"/>
      <c r="AY61" s="145"/>
      <c r="AZ61" s="173"/>
      <c r="BA61" s="144"/>
      <c r="BB61" s="167"/>
      <c r="BC61" s="178"/>
      <c r="BD61" s="103"/>
      <c r="BE61" s="103"/>
      <c r="BF61" s="168"/>
      <c r="BG61" s="168"/>
      <c r="BH61" s="168"/>
      <c r="BI61" s="168"/>
      <c r="BJ61" s="168"/>
      <c r="BK61" s="168"/>
      <c r="BL61" s="168"/>
      <c r="BM61" s="168"/>
    </row>
    <row r="62" spans="1:65" ht="30" customHeight="1">
      <c r="A62" s="144"/>
      <c r="B62" s="144"/>
      <c r="C62" s="144"/>
      <c r="D62" s="144"/>
      <c r="E62" s="144"/>
      <c r="F62" s="148"/>
      <c r="G62" s="144"/>
      <c r="H62" s="144"/>
      <c r="I62" s="147"/>
      <c r="J62" s="170"/>
      <c r="K62" s="148"/>
      <c r="L62" s="148"/>
      <c r="M62" s="144"/>
      <c r="N62" s="144"/>
      <c r="O62" s="134"/>
      <c r="P62" s="104"/>
      <c r="Q62" s="107"/>
      <c r="R62" s="107"/>
      <c r="S62" s="107"/>
      <c r="T62" s="107"/>
      <c r="U62" s="107"/>
      <c r="V62" s="107"/>
      <c r="W62" s="107"/>
      <c r="X62" s="104"/>
      <c r="Y62" s="104"/>
      <c r="Z62" s="104"/>
      <c r="AA62" s="144"/>
      <c r="AB62" s="170"/>
      <c r="AC62" s="170"/>
      <c r="AD62" s="170"/>
      <c r="AE62" s="172"/>
      <c r="AF62" s="172"/>
      <c r="AG62" s="203"/>
      <c r="AH62" s="203"/>
      <c r="AI62" s="172"/>
      <c r="AJ62" s="148"/>
      <c r="AK62" s="144"/>
      <c r="AL62" s="144"/>
      <c r="AM62" s="144"/>
      <c r="AN62" s="144"/>
      <c r="AO62" s="144"/>
      <c r="AP62" s="166"/>
      <c r="AQ62" s="144"/>
      <c r="AR62" s="144"/>
      <c r="AS62" s="103"/>
      <c r="AT62" s="144"/>
      <c r="AU62" s="134"/>
      <c r="AV62" s="144"/>
      <c r="AW62" s="144"/>
      <c r="AX62" s="134"/>
      <c r="AY62" s="145"/>
      <c r="AZ62" s="173"/>
      <c r="BA62" s="144"/>
      <c r="BB62" s="167"/>
      <c r="BC62" s="178"/>
      <c r="BD62" s="103"/>
      <c r="BE62" s="103"/>
      <c r="BF62" s="168"/>
      <c r="BG62" s="168"/>
      <c r="BH62" s="168"/>
      <c r="BI62" s="168"/>
      <c r="BJ62" s="168"/>
      <c r="BK62" s="168"/>
      <c r="BL62" s="168"/>
      <c r="BM62" s="168"/>
    </row>
    <row r="63" spans="1:65" ht="30" customHeight="1">
      <c r="A63" s="144"/>
      <c r="B63" s="144"/>
      <c r="C63" s="144"/>
      <c r="D63" s="144"/>
      <c r="E63" s="144"/>
      <c r="F63" s="148"/>
      <c r="G63" s="144"/>
      <c r="H63" s="144"/>
      <c r="I63" s="147"/>
      <c r="J63" s="170"/>
      <c r="K63" s="148"/>
      <c r="L63" s="148"/>
      <c r="M63" s="144"/>
      <c r="N63" s="144"/>
      <c r="O63" s="134"/>
      <c r="P63" s="104"/>
      <c r="Q63" s="107"/>
      <c r="R63" s="107"/>
      <c r="S63" s="107"/>
      <c r="T63" s="107"/>
      <c r="U63" s="107"/>
      <c r="V63" s="107"/>
      <c r="W63" s="107"/>
      <c r="X63" s="104"/>
      <c r="Y63" s="104"/>
      <c r="Z63" s="104"/>
      <c r="AA63" s="144"/>
      <c r="AB63" s="170"/>
      <c r="AC63" s="170"/>
      <c r="AD63" s="170"/>
      <c r="AE63" s="172"/>
      <c r="AF63" s="172"/>
      <c r="AG63" s="203"/>
      <c r="AH63" s="203"/>
      <c r="AI63" s="172"/>
      <c r="AJ63" s="148"/>
      <c r="AK63" s="144"/>
      <c r="AL63" s="144"/>
      <c r="AM63" s="144"/>
      <c r="AN63" s="144"/>
      <c r="AO63" s="144"/>
      <c r="AP63" s="166"/>
      <c r="AQ63" s="144"/>
      <c r="AR63" s="144"/>
      <c r="AS63" s="103"/>
      <c r="AT63" s="144"/>
      <c r="AU63" s="134"/>
      <c r="AV63" s="144"/>
      <c r="AW63" s="144"/>
      <c r="AX63" s="134"/>
      <c r="AY63" s="145"/>
      <c r="AZ63" s="173"/>
      <c r="BA63" s="144"/>
      <c r="BB63" s="167"/>
      <c r="BC63" s="178"/>
      <c r="BD63" s="103"/>
      <c r="BE63" s="103"/>
      <c r="BF63" s="168"/>
      <c r="BG63" s="168"/>
      <c r="BH63" s="168"/>
      <c r="BI63" s="168"/>
      <c r="BJ63" s="168"/>
      <c r="BK63" s="168"/>
      <c r="BL63" s="168"/>
      <c r="BM63" s="168"/>
    </row>
    <row r="64" spans="1:65" ht="30" customHeight="1">
      <c r="A64" s="144"/>
      <c r="B64" s="144"/>
      <c r="C64" s="144"/>
      <c r="D64" s="144"/>
      <c r="E64" s="144"/>
      <c r="F64" s="148"/>
      <c r="G64" s="144"/>
      <c r="H64" s="144"/>
      <c r="I64" s="147"/>
      <c r="J64" s="170"/>
      <c r="K64" s="148"/>
      <c r="L64" s="148"/>
      <c r="M64" s="144"/>
      <c r="N64" s="144"/>
      <c r="O64" s="134"/>
      <c r="P64" s="104"/>
      <c r="Q64" s="107"/>
      <c r="R64" s="107"/>
      <c r="S64" s="107"/>
      <c r="T64" s="107"/>
      <c r="U64" s="107"/>
      <c r="V64" s="107"/>
      <c r="W64" s="107"/>
      <c r="X64" s="104"/>
      <c r="Y64" s="104"/>
      <c r="Z64" s="104"/>
      <c r="AA64" s="144"/>
      <c r="AB64" s="170"/>
      <c r="AC64" s="170"/>
      <c r="AD64" s="170"/>
      <c r="AE64" s="172"/>
      <c r="AF64" s="172"/>
      <c r="AG64" s="203"/>
      <c r="AH64" s="203"/>
      <c r="AI64" s="172"/>
      <c r="AJ64" s="148"/>
      <c r="AK64" s="144"/>
      <c r="AL64" s="144"/>
      <c r="AM64" s="144"/>
      <c r="AN64" s="144"/>
      <c r="AO64" s="144"/>
      <c r="AP64" s="166"/>
      <c r="AQ64" s="144"/>
      <c r="AR64" s="144"/>
      <c r="AS64" s="103"/>
      <c r="AT64" s="144"/>
      <c r="AU64" s="134"/>
      <c r="AV64" s="144"/>
      <c r="AW64" s="144"/>
      <c r="AX64" s="134"/>
      <c r="AY64" s="145"/>
      <c r="AZ64" s="173"/>
      <c r="BA64" s="144"/>
      <c r="BB64" s="167"/>
      <c r="BC64" s="178"/>
      <c r="BD64" s="103"/>
      <c r="BE64" s="103"/>
      <c r="BF64" s="168"/>
      <c r="BG64" s="168"/>
      <c r="BH64" s="168"/>
      <c r="BI64" s="168"/>
      <c r="BJ64" s="168"/>
      <c r="BK64" s="168"/>
      <c r="BL64" s="168"/>
      <c r="BM64" s="168"/>
    </row>
    <row r="65" spans="1:65" ht="30" customHeight="1">
      <c r="A65" s="144"/>
      <c r="B65" s="144"/>
      <c r="C65" s="144"/>
      <c r="D65" s="144"/>
      <c r="E65" s="144"/>
      <c r="F65" s="148"/>
      <c r="G65" s="144"/>
      <c r="H65" s="144"/>
      <c r="I65" s="147"/>
      <c r="J65" s="170"/>
      <c r="K65" s="148"/>
      <c r="L65" s="148"/>
      <c r="M65" s="144"/>
      <c r="N65" s="144"/>
      <c r="O65" s="134"/>
      <c r="P65" s="104"/>
      <c r="Q65" s="107"/>
      <c r="R65" s="107"/>
      <c r="S65" s="107"/>
      <c r="T65" s="107"/>
      <c r="U65" s="107"/>
      <c r="V65" s="107"/>
      <c r="W65" s="107"/>
      <c r="X65" s="104"/>
      <c r="Y65" s="104"/>
      <c r="Z65" s="104"/>
      <c r="AA65" s="144"/>
      <c r="AB65" s="170"/>
      <c r="AC65" s="170"/>
      <c r="AD65" s="170"/>
      <c r="AE65" s="172"/>
      <c r="AF65" s="172"/>
      <c r="AG65" s="203"/>
      <c r="AH65" s="203"/>
      <c r="AI65" s="172"/>
      <c r="AJ65" s="148"/>
      <c r="AK65" s="144"/>
      <c r="AL65" s="144"/>
      <c r="AM65" s="144"/>
      <c r="AN65" s="144"/>
      <c r="AO65" s="144"/>
      <c r="AP65" s="166"/>
      <c r="AQ65" s="144"/>
      <c r="AR65" s="144"/>
      <c r="AS65" s="103"/>
      <c r="AT65" s="144"/>
      <c r="AU65" s="134"/>
      <c r="AV65" s="144"/>
      <c r="AW65" s="144"/>
      <c r="AX65" s="134"/>
      <c r="AY65" s="145"/>
      <c r="AZ65" s="173"/>
      <c r="BA65" s="144"/>
      <c r="BB65" s="167"/>
      <c r="BC65" s="178"/>
      <c r="BD65" s="103"/>
      <c r="BE65" s="103"/>
      <c r="BF65" s="168"/>
      <c r="BG65" s="168"/>
      <c r="BH65" s="168"/>
      <c r="BI65" s="168"/>
      <c r="BJ65" s="168"/>
      <c r="BK65" s="168"/>
      <c r="BL65" s="168"/>
      <c r="BM65" s="168"/>
    </row>
    <row r="66" spans="1:65" ht="30" customHeight="1">
      <c r="A66" s="144"/>
      <c r="B66" s="144"/>
      <c r="C66" s="144"/>
      <c r="D66" s="144"/>
      <c r="E66" s="144"/>
      <c r="F66" s="148"/>
      <c r="G66" s="144"/>
      <c r="H66" s="144"/>
      <c r="I66" s="147"/>
      <c r="J66" s="170"/>
      <c r="K66" s="148"/>
      <c r="L66" s="148"/>
      <c r="M66" s="144"/>
      <c r="N66" s="144"/>
      <c r="O66" s="134"/>
      <c r="P66" s="104"/>
      <c r="Q66" s="107"/>
      <c r="R66" s="107"/>
      <c r="S66" s="107"/>
      <c r="T66" s="107"/>
      <c r="U66" s="107"/>
      <c r="V66" s="107"/>
      <c r="W66" s="107"/>
      <c r="X66" s="104"/>
      <c r="Y66" s="104"/>
      <c r="Z66" s="104"/>
      <c r="AA66" s="144"/>
      <c r="AB66" s="170"/>
      <c r="AC66" s="170"/>
      <c r="AD66" s="170"/>
      <c r="AE66" s="172"/>
      <c r="AF66" s="172"/>
      <c r="AG66" s="203"/>
      <c r="AH66" s="203"/>
      <c r="AI66" s="172"/>
      <c r="AJ66" s="148"/>
      <c r="AK66" s="144"/>
      <c r="AL66" s="144"/>
      <c r="AM66" s="144"/>
      <c r="AN66" s="144"/>
      <c r="AO66" s="144"/>
      <c r="AP66" s="166"/>
      <c r="AQ66" s="144"/>
      <c r="AR66" s="144"/>
      <c r="AS66" s="103"/>
      <c r="AT66" s="144"/>
      <c r="AU66" s="134"/>
      <c r="AV66" s="144"/>
      <c r="AW66" s="144"/>
      <c r="AX66" s="134"/>
      <c r="AY66" s="145"/>
      <c r="AZ66" s="173"/>
      <c r="BA66" s="144"/>
      <c r="BB66" s="167"/>
      <c r="BC66" s="178"/>
      <c r="BD66" s="103"/>
      <c r="BE66" s="103"/>
      <c r="BF66" s="168"/>
      <c r="BG66" s="168"/>
      <c r="BH66" s="168"/>
      <c r="BI66" s="168"/>
      <c r="BJ66" s="168"/>
      <c r="BK66" s="168"/>
      <c r="BL66" s="168"/>
      <c r="BM66" s="168"/>
    </row>
    <row r="67" spans="1:65" ht="30" customHeight="1">
      <c r="A67" s="144"/>
      <c r="B67" s="144"/>
      <c r="C67" s="144"/>
      <c r="D67" s="144"/>
      <c r="E67" s="144"/>
      <c r="F67" s="148"/>
      <c r="G67" s="144"/>
      <c r="H67" s="144"/>
      <c r="I67" s="147"/>
      <c r="J67" s="170"/>
      <c r="K67" s="148"/>
      <c r="L67" s="148"/>
      <c r="M67" s="144"/>
      <c r="N67" s="144"/>
      <c r="O67" s="134"/>
      <c r="P67" s="104"/>
      <c r="Q67" s="107"/>
      <c r="R67" s="107"/>
      <c r="S67" s="107"/>
      <c r="T67" s="107"/>
      <c r="U67" s="107"/>
      <c r="V67" s="107"/>
      <c r="W67" s="107"/>
      <c r="X67" s="104"/>
      <c r="Y67" s="104"/>
      <c r="Z67" s="104"/>
      <c r="AA67" s="144"/>
      <c r="AB67" s="170"/>
      <c r="AC67" s="170"/>
      <c r="AD67" s="170"/>
      <c r="AE67" s="172"/>
      <c r="AF67" s="172"/>
      <c r="AG67" s="203"/>
      <c r="AH67" s="203"/>
      <c r="AI67" s="172"/>
      <c r="AJ67" s="148"/>
      <c r="AK67" s="144"/>
      <c r="AL67" s="144"/>
      <c r="AM67" s="144"/>
      <c r="AN67" s="144"/>
      <c r="AO67" s="144"/>
      <c r="AP67" s="166"/>
      <c r="AQ67" s="144"/>
      <c r="AR67" s="144"/>
      <c r="AS67" s="103"/>
      <c r="AT67" s="144"/>
      <c r="AU67" s="134"/>
      <c r="AV67" s="144"/>
      <c r="AW67" s="144"/>
      <c r="AX67" s="134"/>
      <c r="AY67" s="145"/>
      <c r="AZ67" s="173"/>
      <c r="BA67" s="144"/>
      <c r="BB67" s="167"/>
      <c r="BC67" s="178"/>
      <c r="BD67" s="103"/>
      <c r="BE67" s="103"/>
      <c r="BF67" s="168"/>
      <c r="BG67" s="168"/>
      <c r="BH67" s="168"/>
      <c r="BI67" s="168"/>
      <c r="BJ67" s="168"/>
      <c r="BK67" s="168"/>
      <c r="BL67" s="168"/>
      <c r="BM67" s="168"/>
    </row>
    <row r="68" spans="1:65" ht="30" customHeight="1">
      <c r="A68" s="144"/>
      <c r="B68" s="144"/>
      <c r="C68" s="144"/>
      <c r="D68" s="144"/>
      <c r="E68" s="144"/>
      <c r="F68" s="148"/>
      <c r="G68" s="144"/>
      <c r="H68" s="144"/>
      <c r="I68" s="147"/>
      <c r="J68" s="170"/>
      <c r="K68" s="148"/>
      <c r="L68" s="148"/>
      <c r="M68" s="144"/>
      <c r="N68" s="144"/>
      <c r="O68" s="134"/>
      <c r="P68" s="104"/>
      <c r="Q68" s="107"/>
      <c r="R68" s="107"/>
      <c r="S68" s="107"/>
      <c r="T68" s="107"/>
      <c r="U68" s="107"/>
      <c r="V68" s="107"/>
      <c r="W68" s="107"/>
      <c r="X68" s="104"/>
      <c r="Y68" s="104"/>
      <c r="Z68" s="104"/>
      <c r="AA68" s="144"/>
      <c r="AB68" s="170"/>
      <c r="AC68" s="170"/>
      <c r="AD68" s="170"/>
      <c r="AE68" s="172"/>
      <c r="AF68" s="172"/>
      <c r="AG68" s="203"/>
      <c r="AH68" s="203"/>
      <c r="AI68" s="172"/>
      <c r="AJ68" s="148"/>
      <c r="AK68" s="144"/>
      <c r="AL68" s="144"/>
      <c r="AM68" s="144"/>
      <c r="AN68" s="144"/>
      <c r="AO68" s="144"/>
      <c r="AP68" s="166"/>
      <c r="AQ68" s="144"/>
      <c r="AR68" s="144"/>
      <c r="AS68" s="103"/>
      <c r="AT68" s="144"/>
      <c r="AU68" s="134"/>
      <c r="AV68" s="144"/>
      <c r="AW68" s="144"/>
      <c r="AX68" s="134"/>
      <c r="AY68" s="145"/>
      <c r="AZ68" s="173"/>
      <c r="BA68" s="144"/>
      <c r="BB68" s="167"/>
      <c r="BC68" s="178"/>
      <c r="BD68" s="103"/>
      <c r="BE68" s="103"/>
      <c r="BF68" s="168"/>
      <c r="BG68" s="168"/>
      <c r="BH68" s="168"/>
      <c r="BI68" s="168"/>
      <c r="BJ68" s="168"/>
      <c r="BK68" s="168"/>
      <c r="BL68" s="168"/>
      <c r="BM68" s="168"/>
    </row>
    <row r="69" spans="1:65" ht="30" customHeight="1">
      <c r="A69" s="144"/>
      <c r="B69" s="144"/>
      <c r="C69" s="144"/>
      <c r="D69" s="144"/>
      <c r="E69" s="144"/>
      <c r="F69" s="148"/>
      <c r="G69" s="144"/>
      <c r="H69" s="144"/>
      <c r="I69" s="147"/>
      <c r="J69" s="170"/>
      <c r="K69" s="148"/>
      <c r="L69" s="148"/>
      <c r="M69" s="144"/>
      <c r="N69" s="144"/>
      <c r="O69" s="134"/>
      <c r="P69" s="104"/>
      <c r="Q69" s="107"/>
      <c r="R69" s="107"/>
      <c r="S69" s="107"/>
      <c r="T69" s="107"/>
      <c r="U69" s="107"/>
      <c r="V69" s="107"/>
      <c r="W69" s="107"/>
      <c r="X69" s="104"/>
      <c r="Y69" s="104"/>
      <c r="Z69" s="104"/>
      <c r="AA69" s="144"/>
      <c r="AB69" s="170"/>
      <c r="AC69" s="170"/>
      <c r="AD69" s="170"/>
      <c r="AE69" s="172"/>
      <c r="AF69" s="172"/>
      <c r="AG69" s="203"/>
      <c r="AH69" s="203"/>
      <c r="AI69" s="172"/>
      <c r="AJ69" s="148"/>
      <c r="AK69" s="144"/>
      <c r="AL69" s="144"/>
      <c r="AM69" s="144"/>
      <c r="AN69" s="144"/>
      <c r="AO69" s="144"/>
      <c r="AP69" s="166"/>
      <c r="AQ69" s="144"/>
      <c r="AR69" s="144"/>
      <c r="AS69" s="103"/>
      <c r="AT69" s="144"/>
      <c r="AU69" s="134"/>
      <c r="AV69" s="144"/>
      <c r="AW69" s="144"/>
      <c r="AX69" s="134"/>
      <c r="AY69" s="145"/>
      <c r="AZ69" s="173"/>
      <c r="BA69" s="144"/>
      <c r="BB69" s="167"/>
      <c r="BC69" s="178"/>
      <c r="BD69" s="103"/>
      <c r="BE69" s="103"/>
      <c r="BF69" s="168"/>
      <c r="BG69" s="168"/>
      <c r="BH69" s="168"/>
      <c r="BI69" s="168"/>
      <c r="BJ69" s="168"/>
      <c r="BK69" s="168"/>
      <c r="BL69" s="168"/>
      <c r="BM69" s="168"/>
    </row>
    <row r="70" spans="1:65" ht="30" customHeight="1">
      <c r="A70" s="144"/>
      <c r="B70" s="144"/>
      <c r="C70" s="144"/>
      <c r="D70" s="144"/>
      <c r="E70" s="144"/>
      <c r="F70" s="148"/>
      <c r="G70" s="144"/>
      <c r="H70" s="144"/>
      <c r="I70" s="147"/>
      <c r="J70" s="170"/>
      <c r="K70" s="148"/>
      <c r="L70" s="148"/>
      <c r="M70" s="144"/>
      <c r="N70" s="144"/>
      <c r="O70" s="134"/>
      <c r="P70" s="104"/>
      <c r="Q70" s="107"/>
      <c r="R70" s="107"/>
      <c r="S70" s="107"/>
      <c r="T70" s="107"/>
      <c r="U70" s="107"/>
      <c r="V70" s="107"/>
      <c r="W70" s="107"/>
      <c r="X70" s="104"/>
      <c r="Y70" s="104"/>
      <c r="Z70" s="104"/>
      <c r="AA70" s="144"/>
      <c r="AB70" s="170"/>
      <c r="AC70" s="170"/>
      <c r="AD70" s="170"/>
      <c r="AE70" s="172"/>
      <c r="AF70" s="172"/>
      <c r="AG70" s="203"/>
      <c r="AH70" s="203"/>
      <c r="AI70" s="172"/>
      <c r="AJ70" s="148"/>
      <c r="AK70" s="144"/>
      <c r="AL70" s="144"/>
      <c r="AM70" s="144"/>
      <c r="AN70" s="144"/>
      <c r="AO70" s="144"/>
      <c r="AP70" s="166"/>
      <c r="AQ70" s="144"/>
      <c r="AR70" s="144"/>
      <c r="AS70" s="103"/>
      <c r="AT70" s="144"/>
      <c r="AU70" s="134"/>
      <c r="AV70" s="144"/>
      <c r="AW70" s="144"/>
      <c r="AX70" s="134"/>
      <c r="AY70" s="145"/>
      <c r="AZ70" s="173"/>
      <c r="BA70" s="144"/>
      <c r="BB70" s="167"/>
      <c r="BC70" s="178"/>
      <c r="BD70" s="103"/>
      <c r="BE70" s="103"/>
      <c r="BF70" s="168"/>
      <c r="BG70" s="168"/>
      <c r="BH70" s="168"/>
      <c r="BI70" s="168"/>
      <c r="BJ70" s="168"/>
      <c r="BK70" s="168"/>
      <c r="BL70" s="168"/>
      <c r="BM70" s="168"/>
    </row>
    <row r="71" spans="1:65" ht="30" customHeight="1">
      <c r="A71" s="144"/>
      <c r="B71" s="144"/>
      <c r="C71" s="144"/>
      <c r="D71" s="144"/>
      <c r="E71" s="144"/>
      <c r="F71" s="148"/>
      <c r="G71" s="144"/>
      <c r="H71" s="144"/>
      <c r="I71" s="147"/>
      <c r="J71" s="170"/>
      <c r="K71" s="148"/>
      <c r="L71" s="148"/>
      <c r="M71" s="144"/>
      <c r="N71" s="144"/>
      <c r="O71" s="134"/>
      <c r="P71" s="104"/>
      <c r="Q71" s="107"/>
      <c r="R71" s="107"/>
      <c r="S71" s="107"/>
      <c r="T71" s="107"/>
      <c r="U71" s="107"/>
      <c r="V71" s="107"/>
      <c r="W71" s="107"/>
      <c r="X71" s="104"/>
      <c r="Y71" s="104"/>
      <c r="Z71" s="104"/>
      <c r="AA71" s="144"/>
      <c r="AB71" s="170"/>
      <c r="AC71" s="170"/>
      <c r="AD71" s="170"/>
      <c r="AE71" s="172"/>
      <c r="AF71" s="172"/>
      <c r="AG71" s="203"/>
      <c r="AH71" s="203"/>
      <c r="AI71" s="172"/>
      <c r="AJ71" s="148"/>
      <c r="AK71" s="144"/>
      <c r="AL71" s="144"/>
      <c r="AM71" s="144"/>
      <c r="AN71" s="144"/>
      <c r="AO71" s="144"/>
      <c r="AP71" s="166"/>
      <c r="AQ71" s="144"/>
      <c r="AR71" s="144"/>
      <c r="AS71" s="103"/>
      <c r="AT71" s="144"/>
      <c r="AU71" s="134"/>
      <c r="AV71" s="144"/>
      <c r="AW71" s="144"/>
      <c r="AX71" s="134"/>
      <c r="AY71" s="145"/>
      <c r="AZ71" s="173"/>
      <c r="BA71" s="144"/>
      <c r="BB71" s="167"/>
      <c r="BC71" s="178"/>
      <c r="BD71" s="103"/>
      <c r="BE71" s="103"/>
      <c r="BF71" s="168"/>
      <c r="BG71" s="168"/>
      <c r="BH71" s="168"/>
      <c r="BI71" s="168"/>
      <c r="BJ71" s="168"/>
      <c r="BK71" s="168"/>
      <c r="BL71" s="168"/>
      <c r="BM71" s="168"/>
    </row>
    <row r="72" spans="1:65" ht="30" customHeight="1">
      <c r="A72" s="144"/>
      <c r="B72" s="144"/>
      <c r="C72" s="144"/>
      <c r="D72" s="144"/>
      <c r="E72" s="144"/>
      <c r="F72" s="148"/>
      <c r="G72" s="144"/>
      <c r="H72" s="144"/>
      <c r="I72" s="147"/>
      <c r="J72" s="170"/>
      <c r="K72" s="148"/>
      <c r="L72" s="148"/>
      <c r="M72" s="144"/>
      <c r="N72" s="144"/>
      <c r="O72" s="134"/>
      <c r="P72" s="104"/>
      <c r="Q72" s="107"/>
      <c r="R72" s="107"/>
      <c r="S72" s="107"/>
      <c r="T72" s="107"/>
      <c r="U72" s="107"/>
      <c r="V72" s="107"/>
      <c r="W72" s="107"/>
      <c r="X72" s="104"/>
      <c r="Y72" s="104"/>
      <c r="Z72" s="104"/>
      <c r="AA72" s="144"/>
      <c r="AB72" s="170"/>
      <c r="AC72" s="170"/>
      <c r="AD72" s="170"/>
      <c r="AE72" s="172"/>
      <c r="AF72" s="172"/>
      <c r="AG72" s="203"/>
      <c r="AH72" s="203"/>
      <c r="AI72" s="172"/>
      <c r="AJ72" s="148"/>
      <c r="AK72" s="144"/>
      <c r="AL72" s="144"/>
      <c r="AM72" s="144"/>
      <c r="AN72" s="144"/>
      <c r="AO72" s="144"/>
      <c r="AP72" s="166"/>
      <c r="AQ72" s="144"/>
      <c r="AR72" s="144"/>
      <c r="AS72" s="103"/>
      <c r="AT72" s="144"/>
      <c r="AU72" s="134"/>
      <c r="AV72" s="144"/>
      <c r="AW72" s="144"/>
      <c r="AX72" s="134"/>
      <c r="AY72" s="145"/>
      <c r="AZ72" s="173"/>
      <c r="BA72" s="144"/>
      <c r="BB72" s="167"/>
      <c r="BC72" s="178"/>
      <c r="BD72" s="103"/>
      <c r="BE72" s="103"/>
      <c r="BF72" s="168"/>
      <c r="BG72" s="168"/>
      <c r="BH72" s="168"/>
      <c r="BI72" s="168"/>
      <c r="BJ72" s="168"/>
      <c r="BK72" s="168"/>
      <c r="BL72" s="168"/>
      <c r="BM72" s="168"/>
    </row>
    <row r="73" spans="1:65" ht="30" customHeight="1">
      <c r="A73" s="144"/>
      <c r="B73" s="144"/>
      <c r="C73" s="144"/>
      <c r="D73" s="144"/>
      <c r="E73" s="144"/>
      <c r="F73" s="148"/>
      <c r="G73" s="144"/>
      <c r="H73" s="144"/>
      <c r="I73" s="147"/>
      <c r="J73" s="170"/>
      <c r="K73" s="148"/>
      <c r="L73" s="148"/>
      <c r="M73" s="144"/>
      <c r="N73" s="144"/>
      <c r="O73" s="134"/>
      <c r="P73" s="104"/>
      <c r="Q73" s="107"/>
      <c r="R73" s="107"/>
      <c r="S73" s="107"/>
      <c r="T73" s="107"/>
      <c r="U73" s="107"/>
      <c r="V73" s="107"/>
      <c r="W73" s="107"/>
      <c r="X73" s="104"/>
      <c r="Y73" s="104"/>
      <c r="Z73" s="104"/>
      <c r="AA73" s="144"/>
      <c r="AB73" s="170"/>
      <c r="AC73" s="170"/>
      <c r="AD73" s="170"/>
      <c r="AE73" s="172"/>
      <c r="AF73" s="172"/>
      <c r="AG73" s="203"/>
      <c r="AH73" s="203"/>
      <c r="AI73" s="172"/>
      <c r="AJ73" s="148"/>
      <c r="AK73" s="144"/>
      <c r="AL73" s="144"/>
      <c r="AM73" s="144"/>
      <c r="AN73" s="144"/>
      <c r="AO73" s="144"/>
      <c r="AP73" s="166"/>
      <c r="AQ73" s="144"/>
      <c r="AR73" s="144"/>
      <c r="AS73" s="103"/>
      <c r="AT73" s="144"/>
      <c r="AU73" s="134"/>
      <c r="AV73" s="144"/>
      <c r="AW73" s="144"/>
      <c r="AX73" s="134"/>
      <c r="AY73" s="145"/>
      <c r="AZ73" s="173"/>
      <c r="BA73" s="144"/>
      <c r="BB73" s="167"/>
      <c r="BC73" s="178"/>
      <c r="BD73" s="103"/>
      <c r="BE73" s="103"/>
      <c r="BF73" s="168"/>
      <c r="BG73" s="168"/>
      <c r="BH73" s="168"/>
      <c r="BI73" s="168"/>
      <c r="BJ73" s="168"/>
      <c r="BK73" s="168"/>
      <c r="BL73" s="168"/>
      <c r="BM73" s="168"/>
    </row>
    <row r="74" spans="1:65" ht="30" customHeight="1">
      <c r="A74" s="144"/>
      <c r="B74" s="144"/>
      <c r="C74" s="144"/>
      <c r="D74" s="144"/>
      <c r="E74" s="144"/>
      <c r="F74" s="148"/>
      <c r="G74" s="144"/>
      <c r="H74" s="144"/>
      <c r="I74" s="147"/>
      <c r="J74" s="170"/>
      <c r="K74" s="148"/>
      <c r="L74" s="148"/>
      <c r="M74" s="144"/>
      <c r="N74" s="144"/>
      <c r="O74" s="134"/>
      <c r="P74" s="104"/>
      <c r="Q74" s="107"/>
      <c r="R74" s="107"/>
      <c r="S74" s="107"/>
      <c r="T74" s="107"/>
      <c r="U74" s="107"/>
      <c r="V74" s="107"/>
      <c r="W74" s="107"/>
      <c r="X74" s="104"/>
      <c r="Y74" s="104"/>
      <c r="Z74" s="104"/>
      <c r="AA74" s="144"/>
      <c r="AB74" s="170"/>
      <c r="AC74" s="170"/>
      <c r="AD74" s="170"/>
      <c r="AE74" s="172"/>
      <c r="AF74" s="172"/>
      <c r="AG74" s="203"/>
      <c r="AH74" s="203"/>
      <c r="AI74" s="172"/>
      <c r="AJ74" s="148"/>
      <c r="AK74" s="144"/>
      <c r="AL74" s="144"/>
      <c r="AM74" s="144"/>
      <c r="AN74" s="144"/>
      <c r="AO74" s="144"/>
      <c r="AP74" s="166"/>
      <c r="AQ74" s="144"/>
      <c r="AR74" s="144"/>
      <c r="AS74" s="103"/>
      <c r="AT74" s="144"/>
      <c r="AU74" s="134"/>
      <c r="AV74" s="144"/>
      <c r="AW74" s="144"/>
      <c r="AX74" s="134"/>
      <c r="AY74" s="145"/>
      <c r="AZ74" s="173"/>
      <c r="BA74" s="144"/>
      <c r="BB74" s="167"/>
      <c r="BC74" s="178"/>
      <c r="BD74" s="103"/>
      <c r="BE74" s="103"/>
      <c r="BF74" s="168"/>
      <c r="BG74" s="168"/>
      <c r="BH74" s="168"/>
      <c r="BI74" s="168"/>
      <c r="BJ74" s="168"/>
      <c r="BK74" s="168"/>
      <c r="BL74" s="168"/>
      <c r="BM74" s="168"/>
    </row>
    <row r="75" spans="1:65" ht="30" customHeight="1">
      <c r="A75" s="144"/>
      <c r="B75" s="144"/>
      <c r="C75" s="144"/>
      <c r="D75" s="144"/>
      <c r="E75" s="144"/>
      <c r="F75" s="148"/>
      <c r="G75" s="144"/>
      <c r="H75" s="144"/>
      <c r="I75" s="147"/>
      <c r="J75" s="170"/>
      <c r="K75" s="148"/>
      <c r="L75" s="148"/>
      <c r="M75" s="144"/>
      <c r="N75" s="144"/>
      <c r="O75" s="134"/>
      <c r="P75" s="104"/>
      <c r="Q75" s="107"/>
      <c r="R75" s="107"/>
      <c r="S75" s="107"/>
      <c r="T75" s="107"/>
      <c r="U75" s="107"/>
      <c r="V75" s="107"/>
      <c r="W75" s="107"/>
      <c r="X75" s="104"/>
      <c r="Y75" s="104"/>
      <c r="Z75" s="104"/>
      <c r="AA75" s="144"/>
      <c r="AB75" s="170"/>
      <c r="AC75" s="170"/>
      <c r="AD75" s="170"/>
      <c r="AE75" s="172"/>
      <c r="AF75" s="172"/>
      <c r="AG75" s="203"/>
      <c r="AH75" s="203"/>
      <c r="AI75" s="172"/>
      <c r="AJ75" s="148"/>
      <c r="AK75" s="144"/>
      <c r="AL75" s="144"/>
      <c r="AM75" s="144"/>
      <c r="AN75" s="144"/>
      <c r="AO75" s="144"/>
      <c r="AP75" s="166"/>
      <c r="AQ75" s="144"/>
      <c r="AR75" s="144"/>
      <c r="AS75" s="103"/>
      <c r="AT75" s="144"/>
      <c r="AU75" s="134"/>
      <c r="AV75" s="144"/>
      <c r="AW75" s="144"/>
      <c r="AX75" s="134"/>
      <c r="AY75" s="145"/>
      <c r="AZ75" s="173"/>
      <c r="BA75" s="144"/>
      <c r="BB75" s="167"/>
      <c r="BC75" s="178"/>
      <c r="BD75" s="103"/>
      <c r="BE75" s="103"/>
      <c r="BF75" s="168"/>
      <c r="BG75" s="168"/>
      <c r="BH75" s="168"/>
      <c r="BI75" s="168"/>
      <c r="BJ75" s="168"/>
      <c r="BK75" s="168"/>
      <c r="BL75" s="168"/>
      <c r="BM75" s="168"/>
    </row>
    <row r="76" spans="1:65" ht="30" customHeight="1">
      <c r="A76" s="144"/>
      <c r="B76" s="144"/>
      <c r="C76" s="144"/>
      <c r="D76" s="144"/>
      <c r="E76" s="144"/>
      <c r="F76" s="148"/>
      <c r="G76" s="144"/>
      <c r="H76" s="144"/>
      <c r="I76" s="147"/>
      <c r="J76" s="170"/>
      <c r="K76" s="148"/>
      <c r="L76" s="148"/>
      <c r="M76" s="144"/>
      <c r="N76" s="144"/>
      <c r="O76" s="134"/>
      <c r="P76" s="104"/>
      <c r="Q76" s="107"/>
      <c r="R76" s="107"/>
      <c r="S76" s="107"/>
      <c r="T76" s="107"/>
      <c r="U76" s="107"/>
      <c r="V76" s="107"/>
      <c r="W76" s="107"/>
      <c r="X76" s="104"/>
      <c r="Y76" s="104"/>
      <c r="Z76" s="104"/>
      <c r="AA76" s="144"/>
      <c r="AB76" s="170"/>
      <c r="AC76" s="170"/>
      <c r="AD76" s="170"/>
      <c r="AE76" s="172"/>
      <c r="AF76" s="172"/>
      <c r="AG76" s="203"/>
      <c r="AH76" s="203"/>
      <c r="AI76" s="172"/>
      <c r="AJ76" s="148"/>
      <c r="AK76" s="144"/>
      <c r="AL76" s="144"/>
      <c r="AM76" s="144"/>
      <c r="AN76" s="144"/>
      <c r="AO76" s="144"/>
      <c r="AP76" s="166"/>
      <c r="AQ76" s="144"/>
      <c r="AR76" s="144"/>
      <c r="AS76" s="103"/>
      <c r="AT76" s="144"/>
      <c r="AU76" s="134"/>
      <c r="AV76" s="144"/>
      <c r="AW76" s="144"/>
      <c r="AX76" s="134"/>
      <c r="AY76" s="145"/>
      <c r="AZ76" s="173"/>
      <c r="BA76" s="144"/>
      <c r="BB76" s="167"/>
      <c r="BC76" s="178"/>
      <c r="BD76" s="103"/>
      <c r="BE76" s="103"/>
      <c r="BF76" s="168"/>
      <c r="BG76" s="168"/>
      <c r="BH76" s="168"/>
      <c r="BI76" s="168"/>
      <c r="BJ76" s="168"/>
      <c r="BK76" s="168"/>
      <c r="BL76" s="168"/>
      <c r="BM76" s="168"/>
    </row>
    <row r="77" spans="1:65" ht="30" customHeight="1">
      <c r="A77" s="144"/>
      <c r="B77" s="144"/>
      <c r="C77" s="144"/>
      <c r="D77" s="144"/>
      <c r="E77" s="144"/>
      <c r="F77" s="148"/>
      <c r="G77" s="144"/>
      <c r="H77" s="144"/>
      <c r="I77" s="147"/>
      <c r="J77" s="170"/>
      <c r="K77" s="148"/>
      <c r="L77" s="148"/>
      <c r="M77" s="144"/>
      <c r="N77" s="144"/>
      <c r="O77" s="134"/>
      <c r="P77" s="104"/>
      <c r="Q77" s="107"/>
      <c r="R77" s="107"/>
      <c r="S77" s="107"/>
      <c r="T77" s="107"/>
      <c r="U77" s="107"/>
      <c r="V77" s="107"/>
      <c r="W77" s="107"/>
      <c r="X77" s="104"/>
      <c r="Y77" s="104"/>
      <c r="Z77" s="104"/>
      <c r="AA77" s="144"/>
      <c r="AB77" s="170"/>
      <c r="AC77" s="170"/>
      <c r="AD77" s="170"/>
      <c r="AE77" s="172"/>
      <c r="AF77" s="172"/>
      <c r="AG77" s="203"/>
      <c r="AH77" s="203"/>
      <c r="AI77" s="172"/>
      <c r="AJ77" s="148"/>
      <c r="AK77" s="144"/>
      <c r="AL77" s="144"/>
      <c r="AM77" s="144"/>
      <c r="AN77" s="144"/>
      <c r="AO77" s="144"/>
      <c r="AP77" s="166"/>
      <c r="AQ77" s="144"/>
      <c r="AR77" s="144"/>
      <c r="AS77" s="103"/>
      <c r="AT77" s="144"/>
      <c r="AU77" s="134"/>
      <c r="AV77" s="144"/>
      <c r="AW77" s="144"/>
      <c r="AX77" s="134"/>
      <c r="AY77" s="145"/>
      <c r="AZ77" s="173"/>
      <c r="BA77" s="144"/>
      <c r="BB77" s="167"/>
      <c r="BC77" s="178"/>
      <c r="BD77" s="103"/>
      <c r="BE77" s="103"/>
      <c r="BF77" s="168"/>
      <c r="BG77" s="168"/>
      <c r="BH77" s="168"/>
      <c r="BI77" s="168"/>
      <c r="BJ77" s="168"/>
      <c r="BK77" s="168"/>
      <c r="BL77" s="168"/>
      <c r="BM77" s="168"/>
    </row>
    <row r="78" spans="1:65" ht="30" customHeight="1">
      <c r="A78" s="144"/>
      <c r="B78" s="144"/>
      <c r="C78" s="144"/>
      <c r="D78" s="144"/>
      <c r="E78" s="144"/>
      <c r="F78" s="148"/>
      <c r="G78" s="144"/>
      <c r="H78" s="144"/>
      <c r="I78" s="147"/>
      <c r="J78" s="170"/>
      <c r="K78" s="148"/>
      <c r="L78" s="148"/>
      <c r="M78" s="144"/>
      <c r="N78" s="144"/>
      <c r="O78" s="134"/>
      <c r="P78" s="104"/>
      <c r="Q78" s="107"/>
      <c r="R78" s="107"/>
      <c r="S78" s="107"/>
      <c r="T78" s="107"/>
      <c r="U78" s="107"/>
      <c r="V78" s="107"/>
      <c r="W78" s="107"/>
      <c r="X78" s="104"/>
      <c r="Y78" s="104"/>
      <c r="Z78" s="104"/>
      <c r="AA78" s="144"/>
      <c r="AB78" s="170"/>
      <c r="AC78" s="170"/>
      <c r="AD78" s="170"/>
      <c r="AE78" s="172"/>
      <c r="AF78" s="172"/>
      <c r="AG78" s="203"/>
      <c r="AH78" s="203"/>
      <c r="AI78" s="172"/>
      <c r="AJ78" s="148"/>
      <c r="AK78" s="144"/>
      <c r="AL78" s="144"/>
      <c r="AM78" s="144"/>
      <c r="AN78" s="144"/>
      <c r="AO78" s="144"/>
      <c r="AP78" s="166"/>
      <c r="AQ78" s="144"/>
      <c r="AR78" s="144"/>
      <c r="AS78" s="103"/>
      <c r="AT78" s="144"/>
      <c r="AU78" s="134"/>
      <c r="AV78" s="144"/>
      <c r="AW78" s="144"/>
      <c r="AX78" s="134"/>
      <c r="AY78" s="145"/>
      <c r="AZ78" s="173"/>
      <c r="BA78" s="144"/>
      <c r="BB78" s="167"/>
      <c r="BC78" s="178"/>
      <c r="BD78" s="103"/>
      <c r="BE78" s="103"/>
      <c r="BF78" s="168"/>
      <c r="BG78" s="168"/>
      <c r="BH78" s="168"/>
      <c r="BI78" s="168"/>
      <c r="BJ78" s="168"/>
      <c r="BK78" s="168"/>
      <c r="BL78" s="168"/>
      <c r="BM78" s="168"/>
    </row>
    <row r="79" spans="1:65" ht="30" customHeight="1">
      <c r="A79" s="144"/>
      <c r="B79" s="144"/>
      <c r="C79" s="144"/>
      <c r="D79" s="144"/>
      <c r="E79" s="144"/>
      <c r="F79" s="148"/>
      <c r="G79" s="144"/>
      <c r="H79" s="144"/>
      <c r="I79" s="147"/>
      <c r="J79" s="170"/>
      <c r="K79" s="148"/>
      <c r="L79" s="148"/>
      <c r="M79" s="144"/>
      <c r="N79" s="144"/>
      <c r="O79" s="134"/>
      <c r="P79" s="104"/>
      <c r="Q79" s="107"/>
      <c r="R79" s="107"/>
      <c r="S79" s="107"/>
      <c r="T79" s="107"/>
      <c r="U79" s="107"/>
      <c r="V79" s="107"/>
      <c r="W79" s="107"/>
      <c r="X79" s="104"/>
      <c r="Y79" s="104"/>
      <c r="Z79" s="104"/>
      <c r="AA79" s="144"/>
      <c r="AB79" s="170"/>
      <c r="AC79" s="170"/>
      <c r="AD79" s="170"/>
      <c r="AE79" s="172"/>
      <c r="AF79" s="172"/>
      <c r="AG79" s="203"/>
      <c r="AH79" s="203"/>
      <c r="AI79" s="172"/>
      <c r="AJ79" s="148"/>
      <c r="AK79" s="144"/>
      <c r="AL79" s="144"/>
      <c r="AM79" s="144"/>
      <c r="AN79" s="144"/>
      <c r="AO79" s="144"/>
      <c r="AP79" s="166"/>
      <c r="AQ79" s="144"/>
      <c r="AR79" s="144"/>
      <c r="AS79" s="103"/>
      <c r="AT79" s="144"/>
      <c r="AU79" s="134"/>
      <c r="AV79" s="144"/>
      <c r="AW79" s="144"/>
      <c r="AX79" s="134"/>
      <c r="AY79" s="145"/>
      <c r="AZ79" s="173"/>
      <c r="BA79" s="144"/>
      <c r="BB79" s="167"/>
      <c r="BC79" s="178"/>
      <c r="BD79" s="103"/>
      <c r="BE79" s="103"/>
      <c r="BF79" s="168"/>
      <c r="BG79" s="168"/>
      <c r="BH79" s="168"/>
      <c r="BI79" s="168"/>
      <c r="BJ79" s="168"/>
      <c r="BK79" s="168"/>
      <c r="BL79" s="168"/>
      <c r="BM79" s="168"/>
    </row>
    <row r="80" spans="1:65" ht="30" customHeight="1">
      <c r="A80" s="144"/>
      <c r="B80" s="144"/>
      <c r="C80" s="144"/>
      <c r="D80" s="144"/>
      <c r="E80" s="144"/>
      <c r="F80" s="148"/>
      <c r="G80" s="144"/>
      <c r="H80" s="144"/>
      <c r="I80" s="147"/>
      <c r="J80" s="170"/>
      <c r="K80" s="148"/>
      <c r="L80" s="148"/>
      <c r="M80" s="144"/>
      <c r="N80" s="144"/>
      <c r="O80" s="134"/>
      <c r="P80" s="104"/>
      <c r="Q80" s="107"/>
      <c r="R80" s="107"/>
      <c r="S80" s="107"/>
      <c r="T80" s="107"/>
      <c r="U80" s="107"/>
      <c r="V80" s="107"/>
      <c r="W80" s="107"/>
      <c r="X80" s="104"/>
      <c r="Y80" s="104"/>
      <c r="Z80" s="104"/>
      <c r="AA80" s="144"/>
      <c r="AB80" s="170"/>
      <c r="AC80" s="170"/>
      <c r="AD80" s="170"/>
      <c r="AE80" s="172"/>
      <c r="AF80" s="172"/>
      <c r="AG80" s="203"/>
      <c r="AH80" s="203"/>
      <c r="AI80" s="172"/>
      <c r="AJ80" s="148"/>
      <c r="AK80" s="144"/>
      <c r="AL80" s="144"/>
      <c r="AM80" s="144"/>
      <c r="AN80" s="144"/>
      <c r="AO80" s="144"/>
      <c r="AP80" s="166"/>
      <c r="AQ80" s="144"/>
      <c r="AR80" s="144"/>
      <c r="AS80" s="103"/>
      <c r="AT80" s="144"/>
      <c r="AU80" s="134"/>
      <c r="AV80" s="144"/>
      <c r="AW80" s="144"/>
      <c r="AX80" s="134"/>
      <c r="AY80" s="145"/>
      <c r="AZ80" s="173"/>
      <c r="BA80" s="144"/>
      <c r="BB80" s="167"/>
      <c r="BC80" s="178"/>
      <c r="BD80" s="103"/>
      <c r="BE80" s="103"/>
      <c r="BF80" s="168"/>
      <c r="BG80" s="168"/>
      <c r="BH80" s="168"/>
      <c r="BI80" s="168"/>
      <c r="BJ80" s="168"/>
      <c r="BK80" s="168"/>
      <c r="BL80" s="168"/>
      <c r="BM80" s="168"/>
    </row>
    <row r="81" spans="1:65" ht="30" customHeight="1">
      <c r="A81" s="144"/>
      <c r="B81" s="144"/>
      <c r="C81" s="144"/>
      <c r="D81" s="144"/>
      <c r="E81" s="144"/>
      <c r="F81" s="148"/>
      <c r="G81" s="144"/>
      <c r="H81" s="144"/>
      <c r="I81" s="147"/>
      <c r="J81" s="170"/>
      <c r="K81" s="148"/>
      <c r="L81" s="148"/>
      <c r="M81" s="144"/>
      <c r="N81" s="144"/>
      <c r="O81" s="134"/>
      <c r="P81" s="104"/>
      <c r="Q81" s="107"/>
      <c r="R81" s="107"/>
      <c r="S81" s="107"/>
      <c r="T81" s="107"/>
      <c r="U81" s="107"/>
      <c r="V81" s="107"/>
      <c r="W81" s="107"/>
      <c r="X81" s="104"/>
      <c r="Y81" s="104"/>
      <c r="Z81" s="104"/>
      <c r="AA81" s="144"/>
      <c r="AB81" s="170"/>
      <c r="AC81" s="170"/>
      <c r="AD81" s="170"/>
      <c r="AE81" s="172"/>
      <c r="AF81" s="172"/>
      <c r="AG81" s="203"/>
      <c r="AH81" s="203"/>
      <c r="AI81" s="172"/>
      <c r="AJ81" s="148"/>
      <c r="AK81" s="144"/>
      <c r="AL81" s="144"/>
      <c r="AM81" s="144"/>
      <c r="AN81" s="144"/>
      <c r="AO81" s="144"/>
      <c r="AP81" s="166"/>
      <c r="AQ81" s="144"/>
      <c r="AR81" s="144"/>
      <c r="AS81" s="103"/>
      <c r="AT81" s="144"/>
      <c r="AU81" s="134"/>
      <c r="AV81" s="144"/>
      <c r="AW81" s="144"/>
      <c r="AX81" s="134"/>
      <c r="AY81" s="145"/>
      <c r="AZ81" s="173"/>
      <c r="BA81" s="144"/>
      <c r="BB81" s="167"/>
      <c r="BC81" s="178"/>
      <c r="BD81" s="103"/>
      <c r="BE81" s="103"/>
      <c r="BF81" s="168"/>
      <c r="BG81" s="168"/>
      <c r="BH81" s="168"/>
      <c r="BI81" s="168"/>
      <c r="BJ81" s="168"/>
      <c r="BK81" s="168"/>
      <c r="BL81" s="168"/>
      <c r="BM81" s="168"/>
    </row>
    <row r="82" spans="1:65" ht="30" customHeight="1">
      <c r="A82" s="144"/>
      <c r="B82" s="144"/>
      <c r="C82" s="144"/>
      <c r="D82" s="144"/>
      <c r="E82" s="144"/>
      <c r="F82" s="148"/>
      <c r="G82" s="144"/>
      <c r="H82" s="144"/>
      <c r="I82" s="147"/>
      <c r="J82" s="170"/>
      <c r="K82" s="148"/>
      <c r="L82" s="148"/>
      <c r="M82" s="144"/>
      <c r="N82" s="144"/>
      <c r="O82" s="134"/>
      <c r="P82" s="104"/>
      <c r="Q82" s="107"/>
      <c r="R82" s="107"/>
      <c r="S82" s="107"/>
      <c r="T82" s="107"/>
      <c r="U82" s="107"/>
      <c r="V82" s="107"/>
      <c r="W82" s="107"/>
      <c r="X82" s="104"/>
      <c r="Y82" s="104"/>
      <c r="Z82" s="104"/>
      <c r="AA82" s="144"/>
      <c r="AB82" s="170"/>
      <c r="AC82" s="170"/>
      <c r="AD82" s="170"/>
      <c r="AE82" s="172"/>
      <c r="AF82" s="172"/>
      <c r="AG82" s="203"/>
      <c r="AH82" s="203"/>
      <c r="AI82" s="172"/>
      <c r="AJ82" s="148"/>
      <c r="AK82" s="144"/>
      <c r="AL82" s="144"/>
      <c r="AM82" s="144"/>
      <c r="AN82" s="144"/>
      <c r="AO82" s="144"/>
      <c r="AP82" s="166"/>
      <c r="AQ82" s="144"/>
      <c r="AR82" s="144"/>
      <c r="AS82" s="103"/>
      <c r="AT82" s="144"/>
      <c r="AU82" s="134"/>
      <c r="AV82" s="144"/>
      <c r="AW82" s="144"/>
      <c r="AX82" s="134"/>
      <c r="AY82" s="145"/>
      <c r="AZ82" s="173"/>
      <c r="BA82" s="144"/>
      <c r="BB82" s="167"/>
      <c r="BC82" s="178"/>
      <c r="BD82" s="103"/>
      <c r="BE82" s="103"/>
      <c r="BF82" s="168"/>
      <c r="BG82" s="168"/>
      <c r="BH82" s="168"/>
      <c r="BI82" s="168"/>
      <c r="BJ82" s="168"/>
      <c r="BK82" s="168"/>
      <c r="BL82" s="168"/>
      <c r="BM82" s="168"/>
    </row>
    <row r="83" spans="1:65" ht="30" customHeight="1">
      <c r="A83" s="144"/>
      <c r="B83" s="144"/>
      <c r="C83" s="144"/>
      <c r="D83" s="144"/>
      <c r="E83" s="144"/>
      <c r="F83" s="148"/>
      <c r="G83" s="144"/>
      <c r="H83" s="144"/>
      <c r="I83" s="147"/>
      <c r="J83" s="170"/>
      <c r="K83" s="148"/>
      <c r="L83" s="148"/>
      <c r="M83" s="144"/>
      <c r="N83" s="144"/>
      <c r="O83" s="134"/>
      <c r="P83" s="104"/>
      <c r="Q83" s="107"/>
      <c r="R83" s="107"/>
      <c r="S83" s="107"/>
      <c r="T83" s="107"/>
      <c r="U83" s="107"/>
      <c r="V83" s="107"/>
      <c r="W83" s="107"/>
      <c r="X83" s="104"/>
      <c r="Y83" s="104"/>
      <c r="Z83" s="104"/>
      <c r="AA83" s="144"/>
      <c r="AB83" s="170"/>
      <c r="AC83" s="170"/>
      <c r="AD83" s="170"/>
      <c r="AE83" s="172"/>
      <c r="AF83" s="172"/>
      <c r="AG83" s="203"/>
      <c r="AH83" s="203"/>
      <c r="AI83" s="172"/>
      <c r="AJ83" s="148"/>
      <c r="AK83" s="144"/>
      <c r="AL83" s="144"/>
      <c r="AM83" s="144"/>
      <c r="AN83" s="144"/>
      <c r="AO83" s="144"/>
      <c r="AP83" s="166"/>
      <c r="AQ83" s="144"/>
      <c r="AR83" s="144"/>
      <c r="AS83" s="103"/>
      <c r="AT83" s="144"/>
      <c r="AU83" s="134"/>
      <c r="AV83" s="144"/>
      <c r="AW83" s="144"/>
      <c r="AX83" s="134"/>
      <c r="AY83" s="145"/>
      <c r="AZ83" s="173"/>
      <c r="BA83" s="144"/>
      <c r="BB83" s="167"/>
      <c r="BC83" s="178"/>
      <c r="BD83" s="103"/>
      <c r="BE83" s="103"/>
      <c r="BF83" s="168"/>
      <c r="BG83" s="168"/>
      <c r="BH83" s="168"/>
      <c r="BI83" s="168"/>
      <c r="BJ83" s="168"/>
      <c r="BK83" s="168"/>
      <c r="BL83" s="168"/>
      <c r="BM83" s="168"/>
    </row>
    <row r="84" spans="1:65" ht="30" customHeight="1">
      <c r="A84" s="144"/>
      <c r="B84" s="144"/>
      <c r="C84" s="144"/>
      <c r="D84" s="144"/>
      <c r="E84" s="144"/>
      <c r="F84" s="148"/>
      <c r="G84" s="144"/>
      <c r="H84" s="144"/>
      <c r="I84" s="147"/>
      <c r="J84" s="170"/>
      <c r="K84" s="148"/>
      <c r="L84" s="148"/>
      <c r="M84" s="144"/>
      <c r="N84" s="144"/>
      <c r="O84" s="134"/>
      <c r="P84" s="104"/>
      <c r="Q84" s="107"/>
      <c r="R84" s="107"/>
      <c r="S84" s="107"/>
      <c r="T84" s="107"/>
      <c r="U84" s="107"/>
      <c r="V84" s="107"/>
      <c r="W84" s="107"/>
      <c r="X84" s="104"/>
      <c r="Y84" s="104"/>
      <c r="Z84" s="104"/>
      <c r="AA84" s="144"/>
      <c r="AB84" s="170"/>
      <c r="AC84" s="170"/>
      <c r="AD84" s="170"/>
      <c r="AE84" s="172"/>
      <c r="AF84" s="172"/>
      <c r="AG84" s="203"/>
      <c r="AH84" s="203"/>
      <c r="AI84" s="172"/>
      <c r="AJ84" s="148"/>
      <c r="AK84" s="144"/>
      <c r="AL84" s="144"/>
      <c r="AM84" s="144"/>
      <c r="AN84" s="144"/>
      <c r="AO84" s="144"/>
      <c r="AP84" s="166"/>
      <c r="AQ84" s="144"/>
      <c r="AR84" s="144"/>
      <c r="AS84" s="103"/>
      <c r="AT84" s="144"/>
      <c r="AU84" s="134"/>
      <c r="AV84" s="144"/>
      <c r="AW84" s="144"/>
      <c r="AX84" s="134"/>
      <c r="AY84" s="145"/>
      <c r="AZ84" s="173"/>
      <c r="BA84" s="144"/>
      <c r="BB84" s="167"/>
      <c r="BC84" s="178"/>
      <c r="BD84" s="103"/>
      <c r="BE84" s="103"/>
      <c r="BF84" s="168"/>
      <c r="BG84" s="168"/>
      <c r="BH84" s="168"/>
      <c r="BI84" s="168"/>
      <c r="BJ84" s="168"/>
      <c r="BK84" s="168"/>
      <c r="BL84" s="168"/>
      <c r="BM84" s="168"/>
    </row>
    <row r="85" spans="1:65" ht="30" customHeight="1">
      <c r="A85" s="144"/>
      <c r="B85" s="144"/>
      <c r="C85" s="144"/>
      <c r="D85" s="144"/>
      <c r="E85" s="144"/>
      <c r="F85" s="148"/>
      <c r="G85" s="144"/>
      <c r="H85" s="144"/>
      <c r="I85" s="147"/>
      <c r="J85" s="170"/>
      <c r="K85" s="148"/>
      <c r="L85" s="148"/>
      <c r="M85" s="144"/>
      <c r="N85" s="144"/>
      <c r="O85" s="134"/>
      <c r="P85" s="104"/>
      <c r="Q85" s="107"/>
      <c r="R85" s="107"/>
      <c r="S85" s="107"/>
      <c r="T85" s="107"/>
      <c r="U85" s="107"/>
      <c r="V85" s="107"/>
      <c r="W85" s="107"/>
      <c r="X85" s="104"/>
      <c r="Y85" s="104"/>
      <c r="Z85" s="104"/>
      <c r="AA85" s="144"/>
      <c r="AB85" s="170"/>
      <c r="AC85" s="170"/>
      <c r="AD85" s="170"/>
      <c r="AE85" s="172"/>
      <c r="AF85" s="172"/>
      <c r="AG85" s="203"/>
      <c r="AH85" s="203"/>
      <c r="AI85" s="172"/>
      <c r="AJ85" s="148"/>
      <c r="AK85" s="144"/>
      <c r="AL85" s="144"/>
      <c r="AM85" s="144"/>
      <c r="AN85" s="144"/>
      <c r="AO85" s="144"/>
      <c r="AP85" s="166"/>
      <c r="AQ85" s="144"/>
      <c r="AR85" s="144"/>
      <c r="AS85" s="103"/>
      <c r="AT85" s="144"/>
      <c r="AU85" s="134"/>
      <c r="AV85" s="144"/>
      <c r="AW85" s="144"/>
      <c r="AX85" s="134"/>
      <c r="AY85" s="145"/>
      <c r="AZ85" s="173"/>
      <c r="BA85" s="144"/>
      <c r="BB85" s="167"/>
      <c r="BC85" s="178"/>
      <c r="BD85" s="103"/>
      <c r="BE85" s="103"/>
      <c r="BF85" s="168"/>
      <c r="BG85" s="168"/>
      <c r="BH85" s="168"/>
      <c r="BI85" s="168"/>
      <c r="BJ85" s="168"/>
      <c r="BK85" s="168"/>
      <c r="BL85" s="168"/>
      <c r="BM85" s="168"/>
    </row>
    <row r="86" spans="1:65" ht="30" customHeight="1">
      <c r="A86" s="144"/>
      <c r="B86" s="144"/>
      <c r="C86" s="144"/>
      <c r="D86" s="144"/>
      <c r="E86" s="144"/>
      <c r="F86" s="148"/>
      <c r="G86" s="144"/>
      <c r="H86" s="144"/>
      <c r="I86" s="147"/>
      <c r="J86" s="170"/>
      <c r="K86" s="148"/>
      <c r="L86" s="148"/>
      <c r="M86" s="144"/>
      <c r="N86" s="144"/>
      <c r="O86" s="134"/>
      <c r="P86" s="104"/>
      <c r="Q86" s="107"/>
      <c r="R86" s="107"/>
      <c r="S86" s="107"/>
      <c r="T86" s="107"/>
      <c r="U86" s="107"/>
      <c r="V86" s="107"/>
      <c r="W86" s="107"/>
      <c r="X86" s="104"/>
      <c r="Y86" s="104"/>
      <c r="Z86" s="104"/>
      <c r="AA86" s="144"/>
      <c r="AB86" s="170"/>
      <c r="AC86" s="170"/>
      <c r="AD86" s="170"/>
      <c r="AE86" s="172"/>
      <c r="AF86" s="172"/>
      <c r="AG86" s="203"/>
      <c r="AH86" s="203"/>
      <c r="AI86" s="172"/>
      <c r="AJ86" s="148"/>
      <c r="AK86" s="144"/>
      <c r="AL86" s="144"/>
      <c r="AM86" s="144"/>
      <c r="AN86" s="144"/>
      <c r="AO86" s="144"/>
      <c r="AP86" s="166"/>
      <c r="AQ86" s="144"/>
      <c r="AR86" s="144"/>
      <c r="AS86" s="103"/>
      <c r="AT86" s="144"/>
      <c r="AU86" s="134"/>
      <c r="AV86" s="144"/>
      <c r="AW86" s="144"/>
      <c r="AX86" s="134"/>
      <c r="AY86" s="145"/>
      <c r="AZ86" s="173"/>
      <c r="BA86" s="144"/>
      <c r="BB86" s="167"/>
      <c r="BC86" s="178"/>
      <c r="BD86" s="103"/>
      <c r="BE86" s="103"/>
      <c r="BF86" s="168"/>
      <c r="BG86" s="168"/>
      <c r="BH86" s="168"/>
      <c r="BI86" s="168"/>
      <c r="BJ86" s="168"/>
      <c r="BK86" s="168"/>
      <c r="BL86" s="168"/>
      <c r="BM86" s="168"/>
    </row>
    <row r="87" spans="1:65" ht="30" customHeight="1">
      <c r="A87" s="144"/>
      <c r="B87" s="144"/>
      <c r="C87" s="144"/>
      <c r="D87" s="144"/>
      <c r="E87" s="144"/>
      <c r="F87" s="148"/>
      <c r="G87" s="144"/>
      <c r="H87" s="144"/>
      <c r="I87" s="147"/>
      <c r="J87" s="170"/>
      <c r="K87" s="148"/>
      <c r="L87" s="148"/>
      <c r="M87" s="144"/>
      <c r="N87" s="144"/>
      <c r="O87" s="134"/>
      <c r="P87" s="104"/>
      <c r="Q87" s="107"/>
      <c r="R87" s="107"/>
      <c r="S87" s="107"/>
      <c r="T87" s="107"/>
      <c r="U87" s="107"/>
      <c r="V87" s="107"/>
      <c r="W87" s="107"/>
      <c r="X87" s="104"/>
      <c r="Y87" s="104"/>
      <c r="Z87" s="104"/>
      <c r="AA87" s="144"/>
      <c r="AB87" s="170"/>
      <c r="AC87" s="170"/>
      <c r="AD87" s="170"/>
      <c r="AE87" s="172"/>
      <c r="AF87" s="172"/>
      <c r="AG87" s="203"/>
      <c r="AH87" s="203"/>
      <c r="AI87" s="172"/>
      <c r="AJ87" s="148"/>
      <c r="AK87" s="144"/>
      <c r="AL87" s="144"/>
      <c r="AM87" s="144"/>
      <c r="AN87" s="144"/>
      <c r="AO87" s="144"/>
      <c r="AP87" s="166"/>
      <c r="AQ87" s="144"/>
      <c r="AR87" s="144"/>
      <c r="AS87" s="103"/>
      <c r="AT87" s="144"/>
      <c r="AU87" s="134"/>
      <c r="AV87" s="144"/>
      <c r="AW87" s="144"/>
      <c r="AX87" s="134"/>
      <c r="AY87" s="145"/>
      <c r="AZ87" s="173"/>
      <c r="BA87" s="144"/>
      <c r="BB87" s="167"/>
      <c r="BC87" s="178"/>
      <c r="BD87" s="103"/>
      <c r="BE87" s="103"/>
      <c r="BF87" s="168"/>
      <c r="BG87" s="168"/>
      <c r="BH87" s="168"/>
      <c r="BI87" s="168"/>
      <c r="BJ87" s="168"/>
      <c r="BK87" s="168"/>
      <c r="BL87" s="168"/>
      <c r="BM87" s="168"/>
    </row>
    <row r="88" spans="1:65" ht="30" customHeight="1">
      <c r="A88" s="144"/>
      <c r="B88" s="144"/>
      <c r="C88" s="144"/>
      <c r="D88" s="144"/>
      <c r="E88" s="144"/>
      <c r="F88" s="148"/>
      <c r="G88" s="144"/>
      <c r="H88" s="144"/>
      <c r="I88" s="147"/>
      <c r="J88" s="170"/>
      <c r="K88" s="148"/>
      <c r="L88" s="148"/>
      <c r="M88" s="144"/>
      <c r="N88" s="144"/>
      <c r="O88" s="134"/>
      <c r="P88" s="104"/>
      <c r="Q88" s="107"/>
      <c r="R88" s="107"/>
      <c r="S88" s="107"/>
      <c r="T88" s="107"/>
      <c r="U88" s="107"/>
      <c r="V88" s="107"/>
      <c r="W88" s="107"/>
      <c r="X88" s="104"/>
      <c r="Y88" s="104"/>
      <c r="Z88" s="104"/>
      <c r="AA88" s="144"/>
      <c r="AB88" s="170"/>
      <c r="AC88" s="170"/>
      <c r="AD88" s="170"/>
      <c r="AE88" s="172"/>
      <c r="AF88" s="172"/>
      <c r="AG88" s="203"/>
      <c r="AH88" s="203"/>
      <c r="AI88" s="172"/>
      <c r="AJ88" s="148"/>
      <c r="AK88" s="144"/>
      <c r="AL88" s="144"/>
      <c r="AM88" s="144"/>
      <c r="AN88" s="144"/>
      <c r="AO88" s="144"/>
      <c r="AP88" s="166"/>
      <c r="AQ88" s="144"/>
      <c r="AR88" s="144"/>
      <c r="AS88" s="103"/>
      <c r="AT88" s="144"/>
      <c r="AU88" s="134"/>
      <c r="AV88" s="144"/>
      <c r="AW88" s="144"/>
      <c r="AX88" s="134"/>
      <c r="AY88" s="145"/>
      <c r="AZ88" s="173"/>
      <c r="BA88" s="144"/>
      <c r="BB88" s="167"/>
      <c r="BC88" s="178"/>
      <c r="BD88" s="103"/>
      <c r="BE88" s="103"/>
      <c r="BF88" s="168"/>
      <c r="BG88" s="168"/>
      <c r="BH88" s="168"/>
      <c r="BI88" s="168"/>
      <c r="BJ88" s="168"/>
      <c r="BK88" s="168"/>
      <c r="BL88" s="168"/>
      <c r="BM88" s="168"/>
    </row>
    <row r="89" spans="1:65" ht="30" customHeight="1">
      <c r="A89" s="144"/>
      <c r="B89" s="144"/>
      <c r="C89" s="144"/>
      <c r="D89" s="144"/>
      <c r="E89" s="144"/>
      <c r="F89" s="148"/>
      <c r="G89" s="144"/>
      <c r="H89" s="144"/>
      <c r="I89" s="147"/>
      <c r="J89" s="170"/>
      <c r="K89" s="148"/>
      <c r="L89" s="148"/>
      <c r="M89" s="144"/>
      <c r="N89" s="144"/>
      <c r="O89" s="134"/>
      <c r="P89" s="104"/>
      <c r="Q89" s="107"/>
      <c r="R89" s="107"/>
      <c r="S89" s="107"/>
      <c r="T89" s="107"/>
      <c r="U89" s="107"/>
      <c r="V89" s="107"/>
      <c r="W89" s="107"/>
      <c r="X89" s="104"/>
      <c r="Y89" s="104"/>
      <c r="Z89" s="104"/>
      <c r="AA89" s="144"/>
      <c r="AB89" s="170"/>
      <c r="AC89" s="170"/>
      <c r="AD89" s="170"/>
      <c r="AE89" s="172"/>
      <c r="AF89" s="172"/>
      <c r="AG89" s="203"/>
      <c r="AH89" s="203"/>
      <c r="AI89" s="172"/>
      <c r="AJ89" s="148"/>
      <c r="AK89" s="144"/>
      <c r="AL89" s="144"/>
      <c r="AM89" s="144"/>
      <c r="AN89" s="144"/>
      <c r="AO89" s="144"/>
      <c r="AP89" s="166"/>
      <c r="AQ89" s="144"/>
      <c r="AR89" s="144"/>
      <c r="AS89" s="103"/>
      <c r="AT89" s="144"/>
      <c r="AU89" s="134"/>
      <c r="AV89" s="144"/>
      <c r="AW89" s="144"/>
      <c r="AX89" s="134"/>
      <c r="AY89" s="145"/>
      <c r="AZ89" s="173"/>
      <c r="BA89" s="144"/>
      <c r="BB89" s="167"/>
      <c r="BC89" s="178"/>
      <c r="BD89" s="103"/>
      <c r="BE89" s="103"/>
      <c r="BF89" s="168"/>
      <c r="BG89" s="168"/>
      <c r="BH89" s="168"/>
      <c r="BI89" s="168"/>
      <c r="BJ89" s="168"/>
      <c r="BK89" s="168"/>
      <c r="BL89" s="168"/>
      <c r="BM89" s="168"/>
    </row>
    <row r="90" spans="1:65" ht="30" customHeight="1">
      <c r="A90" s="144"/>
      <c r="B90" s="144"/>
      <c r="C90" s="144"/>
      <c r="D90" s="144"/>
      <c r="E90" s="144"/>
      <c r="F90" s="148"/>
      <c r="G90" s="144"/>
      <c r="H90" s="144"/>
      <c r="I90" s="147"/>
      <c r="J90" s="170"/>
      <c r="K90" s="148"/>
      <c r="L90" s="148"/>
      <c r="M90" s="144"/>
      <c r="N90" s="144"/>
      <c r="O90" s="134"/>
      <c r="P90" s="104"/>
      <c r="Q90" s="107"/>
      <c r="R90" s="107"/>
      <c r="S90" s="107"/>
      <c r="T90" s="107"/>
      <c r="U90" s="107"/>
      <c r="V90" s="107"/>
      <c r="W90" s="107"/>
      <c r="X90" s="104"/>
      <c r="Y90" s="104"/>
      <c r="Z90" s="104"/>
      <c r="AA90" s="144"/>
      <c r="AB90" s="170"/>
      <c r="AC90" s="170"/>
      <c r="AD90" s="170"/>
      <c r="AE90" s="172"/>
      <c r="AF90" s="172"/>
      <c r="AG90" s="203"/>
      <c r="AH90" s="203"/>
      <c r="AI90" s="172"/>
      <c r="AJ90" s="148"/>
      <c r="AK90" s="144"/>
      <c r="AL90" s="144"/>
      <c r="AM90" s="144"/>
      <c r="AN90" s="144"/>
      <c r="AO90" s="144"/>
      <c r="AP90" s="166"/>
      <c r="AQ90" s="144"/>
      <c r="AR90" s="144"/>
      <c r="AS90" s="103"/>
      <c r="AT90" s="144"/>
      <c r="AU90" s="134"/>
      <c r="AV90" s="144"/>
      <c r="AW90" s="144"/>
      <c r="AX90" s="134"/>
      <c r="AY90" s="145"/>
      <c r="AZ90" s="173"/>
      <c r="BA90" s="144"/>
      <c r="BB90" s="167"/>
      <c r="BC90" s="178"/>
      <c r="BD90" s="103"/>
      <c r="BE90" s="103"/>
      <c r="BF90" s="168"/>
      <c r="BG90" s="168"/>
      <c r="BH90" s="168"/>
      <c r="BI90" s="168"/>
      <c r="BJ90" s="168"/>
      <c r="BK90" s="168"/>
      <c r="BL90" s="168"/>
      <c r="BM90" s="168"/>
    </row>
    <row r="91" spans="1:65" ht="30" customHeight="1">
      <c r="A91" s="144"/>
      <c r="B91" s="144"/>
      <c r="C91" s="144"/>
      <c r="D91" s="144"/>
      <c r="E91" s="144"/>
      <c r="F91" s="148"/>
      <c r="G91" s="144"/>
      <c r="H91" s="144"/>
      <c r="I91" s="147"/>
      <c r="J91" s="170"/>
      <c r="K91" s="148"/>
      <c r="L91" s="148"/>
      <c r="M91" s="144"/>
      <c r="N91" s="144"/>
      <c r="O91" s="134"/>
      <c r="P91" s="104"/>
      <c r="Q91" s="107"/>
      <c r="R91" s="107"/>
      <c r="S91" s="107"/>
      <c r="T91" s="107"/>
      <c r="U91" s="107"/>
      <c r="V91" s="107"/>
      <c r="W91" s="107"/>
      <c r="X91" s="104"/>
      <c r="Y91" s="104"/>
      <c r="Z91" s="104"/>
      <c r="AA91" s="144"/>
      <c r="AB91" s="170"/>
      <c r="AC91" s="170"/>
      <c r="AD91" s="170"/>
      <c r="AE91" s="172"/>
      <c r="AF91" s="172"/>
      <c r="AG91" s="203"/>
      <c r="AH91" s="203"/>
      <c r="AI91" s="172"/>
      <c r="AJ91" s="148"/>
      <c r="AK91" s="144"/>
      <c r="AL91" s="144"/>
      <c r="AM91" s="144"/>
      <c r="AN91" s="144"/>
      <c r="AO91" s="144"/>
      <c r="AP91" s="166"/>
      <c r="AQ91" s="144"/>
      <c r="AR91" s="144"/>
      <c r="AS91" s="103"/>
      <c r="AT91" s="144"/>
      <c r="AU91" s="134"/>
      <c r="AV91" s="144"/>
      <c r="AW91" s="144"/>
      <c r="AX91" s="134"/>
      <c r="AY91" s="145"/>
      <c r="AZ91" s="173"/>
      <c r="BA91" s="144"/>
      <c r="BB91" s="167"/>
      <c r="BC91" s="178"/>
      <c r="BD91" s="103"/>
      <c r="BE91" s="103"/>
      <c r="BF91" s="168"/>
      <c r="BG91" s="168"/>
      <c r="BH91" s="168"/>
      <c r="BI91" s="168"/>
      <c r="BJ91" s="168"/>
      <c r="BK91" s="168"/>
      <c r="BL91" s="168"/>
      <c r="BM91" s="168"/>
    </row>
    <row r="92" spans="1:65" ht="30" customHeight="1">
      <c r="A92" s="144"/>
      <c r="B92" s="144"/>
      <c r="C92" s="144"/>
      <c r="D92" s="144"/>
      <c r="E92" s="144"/>
      <c r="F92" s="148"/>
      <c r="G92" s="144"/>
      <c r="H92" s="144"/>
      <c r="I92" s="147"/>
      <c r="J92" s="170"/>
      <c r="K92" s="148"/>
      <c r="L92" s="148"/>
      <c r="M92" s="144"/>
      <c r="N92" s="144"/>
      <c r="O92" s="134"/>
      <c r="P92" s="104"/>
      <c r="Q92" s="107"/>
      <c r="R92" s="107"/>
      <c r="S92" s="107"/>
      <c r="T92" s="107"/>
      <c r="U92" s="107"/>
      <c r="V92" s="107"/>
      <c r="W92" s="107"/>
      <c r="X92" s="104"/>
      <c r="Y92" s="104"/>
      <c r="Z92" s="104"/>
      <c r="AA92" s="144"/>
      <c r="AB92" s="170"/>
      <c r="AC92" s="170"/>
      <c r="AD92" s="170"/>
      <c r="AE92" s="172"/>
      <c r="AF92" s="172"/>
      <c r="AG92" s="203"/>
      <c r="AH92" s="203"/>
      <c r="AI92" s="172"/>
      <c r="AJ92" s="148"/>
      <c r="AK92" s="144"/>
      <c r="AL92" s="144"/>
      <c r="AM92" s="144"/>
      <c r="AN92" s="144"/>
      <c r="AO92" s="144"/>
      <c r="AP92" s="166"/>
      <c r="AQ92" s="144"/>
      <c r="AR92" s="144"/>
      <c r="AS92" s="103"/>
      <c r="AT92" s="144"/>
      <c r="AU92" s="134"/>
      <c r="AV92" s="144"/>
      <c r="AW92" s="144"/>
      <c r="AX92" s="134"/>
      <c r="AY92" s="145"/>
      <c r="AZ92" s="173"/>
      <c r="BA92" s="144"/>
      <c r="BB92" s="167"/>
      <c r="BC92" s="178"/>
      <c r="BD92" s="103"/>
      <c r="BE92" s="103"/>
      <c r="BF92" s="168"/>
      <c r="BG92" s="168"/>
      <c r="BH92" s="168"/>
      <c r="BI92" s="168"/>
      <c r="BJ92" s="168"/>
      <c r="BK92" s="168"/>
      <c r="BL92" s="168"/>
      <c r="BM92" s="168"/>
    </row>
    <row r="93" spans="1:65" ht="30" customHeight="1">
      <c r="A93" s="144"/>
      <c r="B93" s="144"/>
      <c r="C93" s="144"/>
      <c r="D93" s="144"/>
      <c r="E93" s="144"/>
      <c r="F93" s="148"/>
      <c r="G93" s="144"/>
      <c r="H93" s="144"/>
      <c r="I93" s="147"/>
      <c r="J93" s="170"/>
      <c r="K93" s="148"/>
      <c r="L93" s="148"/>
      <c r="M93" s="144"/>
      <c r="N93" s="144"/>
      <c r="O93" s="134"/>
      <c r="P93" s="104"/>
      <c r="Q93" s="107"/>
      <c r="R93" s="107"/>
      <c r="S93" s="107"/>
      <c r="T93" s="107"/>
      <c r="U93" s="107"/>
      <c r="V93" s="107"/>
      <c r="W93" s="107"/>
      <c r="X93" s="104"/>
      <c r="Y93" s="104"/>
      <c r="Z93" s="104"/>
      <c r="AA93" s="144"/>
      <c r="AB93" s="170"/>
      <c r="AC93" s="170"/>
      <c r="AD93" s="170"/>
      <c r="AE93" s="172"/>
      <c r="AF93" s="172"/>
      <c r="AG93" s="203"/>
      <c r="AH93" s="203"/>
      <c r="AI93" s="172"/>
      <c r="AJ93" s="148"/>
      <c r="AK93" s="144"/>
      <c r="AL93" s="144"/>
      <c r="AM93" s="144"/>
      <c r="AN93" s="144"/>
      <c r="AO93" s="144"/>
      <c r="AP93" s="166"/>
      <c r="AQ93" s="144"/>
      <c r="AR93" s="144"/>
      <c r="AS93" s="103"/>
      <c r="AT93" s="144"/>
      <c r="AU93" s="134"/>
      <c r="AV93" s="144"/>
      <c r="AW93" s="144"/>
      <c r="AX93" s="134"/>
      <c r="AY93" s="145"/>
      <c r="AZ93" s="173"/>
      <c r="BA93" s="144"/>
      <c r="BB93" s="167"/>
      <c r="BC93" s="178"/>
      <c r="BD93" s="103"/>
      <c r="BE93" s="103"/>
      <c r="BF93" s="168"/>
      <c r="BG93" s="168"/>
      <c r="BH93" s="168"/>
      <c r="BI93" s="168"/>
      <c r="BJ93" s="168"/>
      <c r="BK93" s="168"/>
      <c r="BL93" s="168"/>
      <c r="BM93" s="168"/>
    </row>
    <row r="94" spans="1:65" ht="30" customHeight="1">
      <c r="A94" s="144"/>
      <c r="B94" s="144"/>
      <c r="C94" s="144"/>
      <c r="D94" s="144"/>
      <c r="E94" s="144"/>
      <c r="F94" s="148"/>
      <c r="G94" s="144"/>
      <c r="H94" s="144"/>
      <c r="I94" s="147"/>
      <c r="J94" s="170"/>
      <c r="K94" s="148"/>
      <c r="L94" s="148"/>
      <c r="M94" s="144"/>
      <c r="N94" s="144"/>
      <c r="O94" s="134"/>
      <c r="P94" s="104"/>
      <c r="Q94" s="107"/>
      <c r="R94" s="107"/>
      <c r="S94" s="107"/>
      <c r="T94" s="107"/>
      <c r="U94" s="107"/>
      <c r="V94" s="107"/>
      <c r="W94" s="107"/>
      <c r="X94" s="104"/>
      <c r="Y94" s="104"/>
      <c r="Z94" s="104"/>
      <c r="AA94" s="144"/>
      <c r="AB94" s="170"/>
      <c r="AC94" s="170"/>
      <c r="AD94" s="170"/>
      <c r="AE94" s="172"/>
      <c r="AF94" s="172"/>
      <c r="AG94" s="203"/>
      <c r="AH94" s="203"/>
      <c r="AI94" s="172"/>
      <c r="AJ94" s="148"/>
      <c r="AK94" s="144"/>
      <c r="AL94" s="144"/>
      <c r="AM94" s="144"/>
      <c r="AN94" s="144"/>
      <c r="AO94" s="144"/>
      <c r="AP94" s="166"/>
      <c r="AQ94" s="144"/>
      <c r="AR94" s="144"/>
      <c r="AS94" s="103"/>
      <c r="AT94" s="144"/>
      <c r="AU94" s="134"/>
      <c r="AV94" s="144"/>
      <c r="AW94" s="144"/>
      <c r="AX94" s="134"/>
      <c r="AY94" s="145"/>
      <c r="AZ94" s="173"/>
      <c r="BA94" s="144"/>
      <c r="BB94" s="167"/>
      <c r="BC94" s="178"/>
      <c r="BD94" s="103"/>
      <c r="BE94" s="103"/>
      <c r="BF94" s="168"/>
      <c r="BG94" s="168"/>
      <c r="BH94" s="168"/>
      <c r="BI94" s="168"/>
      <c r="BJ94" s="168"/>
      <c r="BK94" s="168"/>
      <c r="BL94" s="168"/>
      <c r="BM94" s="168"/>
    </row>
    <row r="95" spans="1:65" ht="30" customHeight="1">
      <c r="A95" s="144"/>
      <c r="B95" s="144"/>
      <c r="C95" s="144"/>
      <c r="D95" s="144"/>
      <c r="E95" s="144"/>
      <c r="F95" s="148"/>
      <c r="G95" s="144"/>
      <c r="H95" s="144"/>
      <c r="I95" s="147"/>
      <c r="J95" s="170"/>
      <c r="K95" s="148"/>
      <c r="L95" s="148"/>
      <c r="M95" s="144"/>
      <c r="N95" s="144"/>
      <c r="O95" s="134"/>
      <c r="P95" s="104"/>
      <c r="Q95" s="107"/>
      <c r="R95" s="107"/>
      <c r="S95" s="107"/>
      <c r="T95" s="107"/>
      <c r="U95" s="107"/>
      <c r="V95" s="107"/>
      <c r="W95" s="107"/>
      <c r="X95" s="104"/>
      <c r="Y95" s="104"/>
      <c r="Z95" s="104"/>
      <c r="AA95" s="144"/>
      <c r="AB95" s="170"/>
      <c r="AC95" s="170"/>
      <c r="AD95" s="170"/>
      <c r="AE95" s="172"/>
      <c r="AF95" s="172"/>
      <c r="AG95" s="203"/>
      <c r="AH95" s="203"/>
      <c r="AI95" s="172"/>
      <c r="AJ95" s="148"/>
      <c r="AK95" s="144"/>
      <c r="AL95" s="144"/>
      <c r="AM95" s="144"/>
      <c r="AN95" s="144"/>
      <c r="AO95" s="144"/>
      <c r="AP95" s="166"/>
      <c r="AQ95" s="144"/>
      <c r="AR95" s="144"/>
      <c r="AS95" s="103"/>
      <c r="AT95" s="144"/>
      <c r="AU95" s="134"/>
      <c r="AV95" s="144"/>
      <c r="AW95" s="144"/>
      <c r="AX95" s="134"/>
      <c r="AY95" s="145"/>
      <c r="AZ95" s="173"/>
      <c r="BA95" s="144"/>
      <c r="BB95" s="167"/>
      <c r="BC95" s="178"/>
      <c r="BD95" s="103"/>
      <c r="BE95" s="103"/>
      <c r="BF95" s="168"/>
      <c r="BG95" s="168"/>
      <c r="BH95" s="168"/>
      <c r="BI95" s="168"/>
      <c r="BJ95" s="168"/>
      <c r="BK95" s="168"/>
      <c r="BL95" s="168"/>
      <c r="BM95" s="168"/>
    </row>
    <row r="96" spans="1:65" ht="30" customHeight="1">
      <c r="A96" s="144"/>
      <c r="B96" s="144"/>
      <c r="C96" s="144"/>
      <c r="D96" s="144"/>
      <c r="E96" s="144"/>
      <c r="F96" s="148"/>
      <c r="G96" s="144"/>
      <c r="H96" s="144"/>
      <c r="I96" s="147"/>
      <c r="J96" s="170"/>
      <c r="K96" s="148"/>
      <c r="L96" s="148"/>
      <c r="M96" s="144"/>
      <c r="N96" s="144"/>
      <c r="O96" s="134"/>
      <c r="P96" s="104"/>
      <c r="Q96" s="107"/>
      <c r="R96" s="107"/>
      <c r="S96" s="107"/>
      <c r="T96" s="107"/>
      <c r="U96" s="107"/>
      <c r="V96" s="107"/>
      <c r="W96" s="107"/>
      <c r="X96" s="104"/>
      <c r="Y96" s="104"/>
      <c r="Z96" s="104"/>
      <c r="AA96" s="144"/>
      <c r="AB96" s="170"/>
      <c r="AC96" s="170"/>
      <c r="AD96" s="170"/>
      <c r="AE96" s="172"/>
      <c r="AF96" s="172"/>
      <c r="AG96" s="203"/>
      <c r="AH96" s="203"/>
      <c r="AI96" s="172"/>
      <c r="AJ96" s="148"/>
      <c r="AK96" s="144"/>
      <c r="AL96" s="144"/>
      <c r="AM96" s="144"/>
      <c r="AN96" s="144"/>
      <c r="AO96" s="144"/>
      <c r="AP96" s="166"/>
      <c r="AQ96" s="144"/>
      <c r="AR96" s="144"/>
      <c r="AS96" s="103"/>
      <c r="AT96" s="144"/>
      <c r="AU96" s="134"/>
      <c r="AV96" s="144"/>
      <c r="AW96" s="144"/>
      <c r="AX96" s="134"/>
      <c r="AY96" s="145"/>
      <c r="AZ96" s="173"/>
      <c r="BA96" s="144"/>
      <c r="BB96" s="167"/>
      <c r="BC96" s="178"/>
      <c r="BD96" s="103"/>
      <c r="BE96" s="103"/>
      <c r="BF96" s="168"/>
      <c r="BG96" s="168"/>
      <c r="BH96" s="168"/>
      <c r="BI96" s="168"/>
      <c r="BJ96" s="168"/>
      <c r="BK96" s="168"/>
      <c r="BL96" s="168"/>
      <c r="BM96" s="168"/>
    </row>
    <row r="97" spans="1:65" ht="30" customHeight="1">
      <c r="A97" s="144"/>
      <c r="B97" s="144"/>
      <c r="C97" s="144"/>
      <c r="D97" s="144"/>
      <c r="E97" s="144"/>
      <c r="F97" s="148"/>
      <c r="G97" s="144"/>
      <c r="H97" s="144"/>
      <c r="I97" s="147"/>
      <c r="J97" s="170"/>
      <c r="K97" s="148"/>
      <c r="L97" s="148"/>
      <c r="M97" s="144"/>
      <c r="N97" s="144"/>
      <c r="O97" s="134"/>
      <c r="P97" s="104"/>
      <c r="Q97" s="107"/>
      <c r="R97" s="107"/>
      <c r="S97" s="107"/>
      <c r="T97" s="107"/>
      <c r="U97" s="107"/>
      <c r="V97" s="107"/>
      <c r="W97" s="107"/>
      <c r="X97" s="104"/>
      <c r="Y97" s="104"/>
      <c r="Z97" s="104"/>
      <c r="AA97" s="144"/>
      <c r="AB97" s="170"/>
      <c r="AC97" s="170"/>
      <c r="AD97" s="170"/>
      <c r="AE97" s="172"/>
      <c r="AF97" s="172"/>
      <c r="AG97" s="203"/>
      <c r="AH97" s="203"/>
      <c r="AI97" s="172"/>
      <c r="AJ97" s="148"/>
      <c r="AK97" s="144"/>
      <c r="AL97" s="144"/>
      <c r="AM97" s="144"/>
      <c r="AN97" s="144"/>
      <c r="AO97" s="144"/>
      <c r="AP97" s="166"/>
      <c r="AQ97" s="144"/>
      <c r="AR97" s="144"/>
      <c r="AS97" s="103"/>
      <c r="AT97" s="144"/>
      <c r="AU97" s="134"/>
      <c r="AV97" s="144"/>
      <c r="AW97" s="144"/>
      <c r="AX97" s="134"/>
      <c r="AY97" s="145"/>
      <c r="AZ97" s="173"/>
      <c r="BA97" s="144"/>
      <c r="BB97" s="167"/>
      <c r="BC97" s="178"/>
      <c r="BD97" s="103"/>
      <c r="BE97" s="103"/>
      <c r="BF97" s="168"/>
      <c r="BG97" s="168"/>
      <c r="BH97" s="168"/>
      <c r="BI97" s="168"/>
      <c r="BJ97" s="168"/>
      <c r="BK97" s="168"/>
      <c r="BL97" s="168"/>
      <c r="BM97" s="168"/>
    </row>
    <row r="98" spans="1:65" ht="30" customHeight="1">
      <c r="A98" s="144"/>
      <c r="B98" s="144"/>
      <c r="C98" s="144"/>
      <c r="D98" s="144"/>
      <c r="E98" s="144"/>
      <c r="F98" s="148"/>
      <c r="G98" s="144"/>
      <c r="H98" s="144"/>
      <c r="I98" s="147"/>
      <c r="J98" s="170"/>
      <c r="K98" s="148"/>
      <c r="L98" s="148"/>
      <c r="M98" s="144"/>
      <c r="N98" s="144"/>
      <c r="O98" s="134"/>
      <c r="P98" s="104"/>
      <c r="Q98" s="107"/>
      <c r="R98" s="107"/>
      <c r="S98" s="107"/>
      <c r="T98" s="107"/>
      <c r="U98" s="107"/>
      <c r="V98" s="107"/>
      <c r="W98" s="107"/>
      <c r="X98" s="104"/>
      <c r="Y98" s="104"/>
      <c r="Z98" s="104"/>
      <c r="AA98" s="144"/>
      <c r="AB98" s="170"/>
      <c r="AC98" s="170"/>
      <c r="AD98" s="170"/>
      <c r="AE98" s="172"/>
      <c r="AF98" s="172"/>
      <c r="AG98" s="203"/>
      <c r="AH98" s="203"/>
      <c r="AI98" s="172"/>
      <c r="AJ98" s="148"/>
      <c r="AK98" s="144"/>
      <c r="AL98" s="144"/>
      <c r="AM98" s="144"/>
      <c r="AN98" s="144"/>
      <c r="AO98" s="144"/>
      <c r="AP98" s="166"/>
      <c r="AQ98" s="144"/>
      <c r="AR98" s="144"/>
      <c r="AS98" s="103"/>
      <c r="AT98" s="144"/>
      <c r="AU98" s="134"/>
      <c r="AV98" s="144"/>
      <c r="AW98" s="144"/>
      <c r="AX98" s="134"/>
      <c r="AY98" s="145"/>
      <c r="AZ98" s="173"/>
      <c r="BA98" s="144"/>
      <c r="BB98" s="167"/>
      <c r="BC98" s="178"/>
      <c r="BD98" s="103"/>
      <c r="BE98" s="103"/>
      <c r="BF98" s="168"/>
      <c r="BG98" s="168"/>
      <c r="BH98" s="168"/>
      <c r="BI98" s="168"/>
      <c r="BJ98" s="168"/>
      <c r="BK98" s="168"/>
      <c r="BL98" s="168"/>
      <c r="BM98" s="168"/>
    </row>
    <row r="99" spans="1:65" ht="30" customHeight="1">
      <c r="A99" s="144"/>
      <c r="B99" s="144"/>
      <c r="C99" s="144"/>
      <c r="D99" s="144"/>
      <c r="E99" s="144"/>
      <c r="F99" s="148"/>
      <c r="G99" s="144"/>
      <c r="H99" s="144"/>
      <c r="I99" s="147"/>
      <c r="J99" s="170"/>
      <c r="K99" s="148"/>
      <c r="L99" s="148"/>
      <c r="M99" s="144"/>
      <c r="N99" s="144"/>
      <c r="O99" s="134"/>
      <c r="P99" s="104"/>
      <c r="Q99" s="107"/>
      <c r="R99" s="107"/>
      <c r="S99" s="107"/>
      <c r="T99" s="107"/>
      <c r="U99" s="107"/>
      <c r="V99" s="107"/>
      <c r="W99" s="107"/>
      <c r="X99" s="104"/>
      <c r="Y99" s="104"/>
      <c r="Z99" s="104"/>
      <c r="AA99" s="144"/>
      <c r="AB99" s="170"/>
      <c r="AC99" s="170"/>
      <c r="AD99" s="170"/>
      <c r="AE99" s="172"/>
      <c r="AF99" s="172"/>
      <c r="AG99" s="203"/>
      <c r="AH99" s="203"/>
      <c r="AI99" s="172"/>
      <c r="AJ99" s="148"/>
      <c r="AK99" s="144"/>
      <c r="AL99" s="144"/>
      <c r="AM99" s="144"/>
      <c r="AN99" s="144"/>
      <c r="AO99" s="144"/>
      <c r="AP99" s="166"/>
      <c r="AQ99" s="144"/>
      <c r="AR99" s="144"/>
      <c r="AS99" s="103"/>
      <c r="AT99" s="144"/>
      <c r="AU99" s="134"/>
      <c r="AV99" s="144"/>
      <c r="AW99" s="144"/>
      <c r="AX99" s="134"/>
      <c r="AY99" s="145"/>
      <c r="AZ99" s="173"/>
      <c r="BA99" s="144"/>
      <c r="BB99" s="167"/>
      <c r="BC99" s="178"/>
      <c r="BD99" s="103"/>
      <c r="BE99" s="103"/>
      <c r="BF99" s="168"/>
      <c r="BG99" s="168"/>
      <c r="BH99" s="168"/>
      <c r="BI99" s="168"/>
      <c r="BJ99" s="168"/>
      <c r="BK99" s="168"/>
      <c r="BL99" s="168"/>
      <c r="BM99" s="168"/>
    </row>
    <row r="100" spans="1:65" ht="30" customHeight="1">
      <c r="A100" s="144"/>
      <c r="B100" s="144"/>
      <c r="C100" s="144"/>
      <c r="D100" s="144"/>
      <c r="E100" s="144"/>
      <c r="F100" s="148"/>
      <c r="G100" s="144"/>
      <c r="H100" s="144"/>
      <c r="I100" s="147"/>
      <c r="J100" s="170"/>
      <c r="K100" s="148"/>
      <c r="L100" s="148"/>
      <c r="M100" s="144"/>
      <c r="N100" s="144"/>
      <c r="O100" s="134"/>
      <c r="P100" s="104"/>
      <c r="Q100" s="107"/>
      <c r="R100" s="107"/>
      <c r="S100" s="107"/>
      <c r="T100" s="107"/>
      <c r="U100" s="107"/>
      <c r="V100" s="107"/>
      <c r="W100" s="107"/>
      <c r="X100" s="104"/>
      <c r="Y100" s="104"/>
      <c r="Z100" s="104"/>
      <c r="AA100" s="144"/>
      <c r="AB100" s="170"/>
      <c r="AC100" s="170"/>
      <c r="AD100" s="170"/>
      <c r="AE100" s="172"/>
      <c r="AF100" s="172"/>
      <c r="AG100" s="203"/>
      <c r="AH100" s="203"/>
      <c r="AI100" s="172"/>
      <c r="AJ100" s="148"/>
      <c r="AK100" s="144"/>
      <c r="AL100" s="144"/>
      <c r="AM100" s="144"/>
      <c r="AN100" s="144"/>
      <c r="AO100" s="144"/>
      <c r="AP100" s="166"/>
      <c r="AQ100" s="144"/>
      <c r="AR100" s="144"/>
      <c r="AS100" s="103"/>
      <c r="AT100" s="144"/>
      <c r="AU100" s="134"/>
      <c r="AV100" s="144"/>
      <c r="AW100" s="144"/>
      <c r="AX100" s="134"/>
      <c r="AY100" s="145"/>
      <c r="AZ100" s="173"/>
      <c r="BA100" s="144"/>
      <c r="BB100" s="167"/>
      <c r="BC100" s="178"/>
      <c r="BD100" s="103"/>
      <c r="BE100" s="103"/>
      <c r="BF100" s="168"/>
      <c r="BG100" s="168"/>
      <c r="BH100" s="168"/>
      <c r="BI100" s="168"/>
      <c r="BJ100" s="168"/>
      <c r="BK100" s="168"/>
      <c r="BL100" s="168"/>
      <c r="BM100" s="168"/>
    </row>
    <row r="101" spans="1:65" ht="30" customHeight="1">
      <c r="A101" s="144"/>
      <c r="B101" s="144"/>
      <c r="C101" s="144"/>
      <c r="D101" s="144"/>
      <c r="E101" s="144"/>
      <c r="F101" s="148"/>
      <c r="G101" s="144"/>
      <c r="H101" s="144"/>
      <c r="I101" s="147"/>
      <c r="J101" s="170"/>
      <c r="K101" s="148"/>
      <c r="L101" s="148"/>
      <c r="M101" s="144"/>
      <c r="N101" s="144"/>
      <c r="O101" s="134"/>
      <c r="P101" s="104"/>
      <c r="Q101" s="107"/>
      <c r="R101" s="107"/>
      <c r="S101" s="107"/>
      <c r="T101" s="107"/>
      <c r="U101" s="107"/>
      <c r="V101" s="107"/>
      <c r="W101" s="107"/>
      <c r="X101" s="104"/>
      <c r="Y101" s="104"/>
      <c r="Z101" s="104"/>
      <c r="AA101" s="144"/>
      <c r="AB101" s="170"/>
      <c r="AC101" s="170"/>
      <c r="AD101" s="170"/>
      <c r="AE101" s="172"/>
      <c r="AF101" s="172"/>
      <c r="AG101" s="203"/>
      <c r="AH101" s="203"/>
      <c r="AI101" s="172"/>
      <c r="AJ101" s="148"/>
      <c r="AK101" s="144"/>
      <c r="AL101" s="144"/>
      <c r="AM101" s="144"/>
      <c r="AN101" s="144"/>
      <c r="AO101" s="144"/>
      <c r="AP101" s="166"/>
      <c r="AQ101" s="144"/>
      <c r="AR101" s="144"/>
      <c r="AS101" s="103"/>
      <c r="AT101" s="144"/>
      <c r="AU101" s="134"/>
      <c r="AV101" s="144"/>
      <c r="AW101" s="144"/>
      <c r="AX101" s="134"/>
      <c r="AY101" s="145"/>
      <c r="AZ101" s="173"/>
      <c r="BA101" s="144"/>
      <c r="BB101" s="167"/>
      <c r="BC101" s="178"/>
      <c r="BD101" s="103"/>
      <c r="BE101" s="103"/>
      <c r="BF101" s="168"/>
      <c r="BG101" s="168"/>
      <c r="BH101" s="168"/>
      <c r="BI101" s="168"/>
      <c r="BJ101" s="168"/>
      <c r="BK101" s="168"/>
      <c r="BL101" s="168"/>
      <c r="BM101" s="168"/>
    </row>
    <row r="102" spans="1:65" ht="30" customHeight="1">
      <c r="A102" s="144"/>
      <c r="B102" s="144"/>
      <c r="C102" s="144"/>
      <c r="D102" s="144"/>
      <c r="E102" s="144"/>
      <c r="F102" s="148"/>
      <c r="G102" s="144"/>
      <c r="H102" s="144"/>
      <c r="I102" s="147"/>
      <c r="J102" s="170"/>
      <c r="K102" s="148"/>
      <c r="L102" s="148"/>
      <c r="M102" s="144"/>
      <c r="N102" s="144"/>
      <c r="O102" s="134"/>
      <c r="P102" s="104"/>
      <c r="Q102" s="107"/>
      <c r="R102" s="107"/>
      <c r="S102" s="107"/>
      <c r="T102" s="107"/>
      <c r="U102" s="107"/>
      <c r="V102" s="107"/>
      <c r="W102" s="107"/>
      <c r="X102" s="104"/>
      <c r="Y102" s="104"/>
      <c r="Z102" s="104"/>
      <c r="AA102" s="144"/>
      <c r="AB102" s="170"/>
      <c r="AC102" s="170"/>
      <c r="AD102" s="170"/>
      <c r="AE102" s="172"/>
      <c r="AF102" s="172"/>
      <c r="AG102" s="203"/>
      <c r="AH102" s="203"/>
      <c r="AI102" s="172"/>
      <c r="AJ102" s="148"/>
      <c r="AK102" s="144"/>
      <c r="AL102" s="144"/>
      <c r="AM102" s="144"/>
      <c r="AN102" s="144"/>
      <c r="AO102" s="144"/>
      <c r="AP102" s="166"/>
      <c r="AQ102" s="144"/>
      <c r="AR102" s="144"/>
      <c r="AS102" s="103"/>
      <c r="AT102" s="144"/>
      <c r="AU102" s="134"/>
      <c r="AV102" s="144"/>
      <c r="AW102" s="144"/>
      <c r="AX102" s="134"/>
      <c r="AY102" s="145"/>
      <c r="AZ102" s="173"/>
      <c r="BA102" s="144"/>
      <c r="BB102" s="167"/>
      <c r="BC102" s="178"/>
      <c r="BD102" s="103"/>
      <c r="BE102" s="103"/>
      <c r="BF102" s="168"/>
      <c r="BG102" s="168"/>
      <c r="BH102" s="168"/>
      <c r="BI102" s="168"/>
      <c r="BJ102" s="168"/>
      <c r="BK102" s="168"/>
      <c r="BL102" s="168"/>
      <c r="BM102" s="168"/>
    </row>
    <row r="103" spans="1:65" ht="30" customHeight="1">
      <c r="A103" s="144"/>
      <c r="B103" s="144"/>
      <c r="C103" s="144"/>
      <c r="D103" s="144"/>
      <c r="E103" s="144"/>
      <c r="F103" s="148"/>
      <c r="G103" s="144"/>
      <c r="H103" s="144"/>
      <c r="I103" s="147"/>
      <c r="J103" s="170"/>
      <c r="K103" s="148"/>
      <c r="L103" s="148"/>
      <c r="M103" s="144"/>
      <c r="N103" s="144"/>
      <c r="O103" s="134"/>
      <c r="P103" s="104"/>
      <c r="Q103" s="107"/>
      <c r="R103" s="107"/>
      <c r="S103" s="107"/>
      <c r="T103" s="107"/>
      <c r="U103" s="107"/>
      <c r="V103" s="107"/>
      <c r="W103" s="107"/>
      <c r="X103" s="104"/>
      <c r="Y103" s="104"/>
      <c r="Z103" s="104"/>
      <c r="AA103" s="144"/>
      <c r="AB103" s="170"/>
      <c r="AC103" s="170"/>
      <c r="AD103" s="170"/>
      <c r="AE103" s="172"/>
      <c r="AF103" s="172"/>
      <c r="AG103" s="203"/>
      <c r="AH103" s="203"/>
      <c r="AI103" s="172"/>
      <c r="AJ103" s="148"/>
      <c r="AK103" s="144"/>
      <c r="AL103" s="144"/>
      <c r="AM103" s="144"/>
      <c r="AN103" s="144"/>
      <c r="AO103" s="144"/>
      <c r="AP103" s="166"/>
      <c r="AQ103" s="144"/>
      <c r="AR103" s="144"/>
      <c r="AS103" s="103"/>
      <c r="AT103" s="144"/>
      <c r="AU103" s="134"/>
      <c r="AV103" s="144"/>
      <c r="AW103" s="144"/>
      <c r="AX103" s="134"/>
      <c r="AY103" s="145"/>
      <c r="AZ103" s="173"/>
      <c r="BA103" s="144"/>
      <c r="BB103" s="167"/>
      <c r="BC103" s="178"/>
      <c r="BD103" s="103"/>
      <c r="BE103" s="103"/>
      <c r="BF103" s="168"/>
      <c r="BG103" s="168"/>
      <c r="BH103" s="168"/>
      <c r="BI103" s="168"/>
      <c r="BJ103" s="168"/>
      <c r="BK103" s="168"/>
      <c r="BL103" s="168"/>
      <c r="BM103" s="168"/>
    </row>
    <row r="104" spans="1:65" ht="30" customHeight="1">
      <c r="A104" s="144"/>
      <c r="B104" s="144"/>
      <c r="C104" s="144"/>
      <c r="D104" s="144"/>
      <c r="E104" s="144"/>
      <c r="F104" s="148"/>
      <c r="G104" s="144"/>
      <c r="H104" s="144"/>
      <c r="I104" s="147"/>
      <c r="J104" s="170"/>
      <c r="K104" s="148"/>
      <c r="L104" s="148"/>
      <c r="M104" s="144"/>
      <c r="N104" s="144"/>
      <c r="O104" s="134"/>
      <c r="P104" s="104"/>
      <c r="Q104" s="107"/>
      <c r="R104" s="107"/>
      <c r="S104" s="107"/>
      <c r="T104" s="107"/>
      <c r="U104" s="107"/>
      <c r="V104" s="107"/>
      <c r="W104" s="107"/>
      <c r="X104" s="104"/>
      <c r="Y104" s="104"/>
      <c r="Z104" s="104"/>
      <c r="AA104" s="144"/>
      <c r="AB104" s="170"/>
      <c r="AC104" s="170"/>
      <c r="AD104" s="170"/>
      <c r="AE104" s="172"/>
      <c r="AF104" s="172"/>
      <c r="AG104" s="203"/>
      <c r="AH104" s="203"/>
      <c r="AI104" s="172"/>
      <c r="AJ104" s="148"/>
      <c r="AK104" s="144"/>
      <c r="AL104" s="144"/>
      <c r="AM104" s="144"/>
      <c r="AN104" s="144"/>
      <c r="AO104" s="144"/>
      <c r="AP104" s="166"/>
      <c r="AQ104" s="144"/>
      <c r="AR104" s="144"/>
      <c r="AS104" s="103"/>
      <c r="AT104" s="144"/>
      <c r="AU104" s="134"/>
      <c r="AV104" s="144"/>
      <c r="AW104" s="144"/>
      <c r="AX104" s="134"/>
      <c r="AY104" s="145"/>
      <c r="AZ104" s="173"/>
      <c r="BA104" s="144"/>
      <c r="BB104" s="167"/>
      <c r="BC104" s="178"/>
      <c r="BD104" s="103"/>
      <c r="BE104" s="103"/>
      <c r="BF104" s="168"/>
      <c r="BG104" s="168"/>
      <c r="BH104" s="168"/>
      <c r="BI104" s="168"/>
      <c r="BJ104" s="168"/>
      <c r="BK104" s="168"/>
      <c r="BL104" s="168"/>
      <c r="BM104" s="168"/>
    </row>
    <row r="105" spans="1:65" ht="30" customHeight="1">
      <c r="A105" s="144"/>
      <c r="B105" s="144"/>
      <c r="C105" s="144"/>
      <c r="D105" s="144"/>
      <c r="E105" s="144"/>
      <c r="F105" s="148"/>
      <c r="G105" s="144"/>
      <c r="H105" s="144"/>
      <c r="I105" s="147"/>
      <c r="J105" s="170"/>
      <c r="K105" s="148"/>
      <c r="L105" s="148"/>
      <c r="M105" s="144"/>
      <c r="N105" s="144"/>
      <c r="O105" s="134"/>
      <c r="P105" s="104"/>
      <c r="Q105" s="107"/>
      <c r="R105" s="107"/>
      <c r="S105" s="107"/>
      <c r="T105" s="107"/>
      <c r="U105" s="107"/>
      <c r="V105" s="107"/>
      <c r="W105" s="107"/>
      <c r="X105" s="104"/>
      <c r="Y105" s="104"/>
      <c r="Z105" s="104"/>
      <c r="AA105" s="144"/>
      <c r="AB105" s="170"/>
      <c r="AC105" s="170"/>
      <c r="AD105" s="170"/>
      <c r="AE105" s="172"/>
      <c r="AF105" s="172"/>
      <c r="AG105" s="203"/>
      <c r="AH105" s="203"/>
      <c r="AI105" s="172"/>
      <c r="AJ105" s="148"/>
      <c r="AK105" s="144"/>
      <c r="AL105" s="144"/>
      <c r="AM105" s="144"/>
      <c r="AN105" s="144"/>
      <c r="AO105" s="144"/>
      <c r="AP105" s="166"/>
      <c r="AQ105" s="144"/>
      <c r="AR105" s="144"/>
      <c r="AS105" s="103"/>
      <c r="AT105" s="144"/>
      <c r="AU105" s="134"/>
      <c r="AV105" s="144"/>
      <c r="AW105" s="144"/>
      <c r="AX105" s="134"/>
      <c r="AY105" s="145"/>
      <c r="AZ105" s="173"/>
      <c r="BA105" s="144"/>
      <c r="BB105" s="167"/>
      <c r="BC105" s="178"/>
      <c r="BD105" s="103"/>
      <c r="BE105" s="103"/>
      <c r="BF105" s="168"/>
      <c r="BG105" s="168"/>
      <c r="BH105" s="168"/>
      <c r="BI105" s="168"/>
      <c r="BJ105" s="168"/>
      <c r="BK105" s="168"/>
      <c r="BL105" s="168"/>
      <c r="BM105" s="168"/>
    </row>
    <row r="106" spans="1:65" ht="30" customHeight="1">
      <c r="A106" s="144"/>
      <c r="B106" s="144"/>
      <c r="C106" s="144"/>
      <c r="D106" s="144"/>
      <c r="E106" s="144"/>
      <c r="F106" s="148"/>
      <c r="G106" s="144"/>
      <c r="H106" s="144"/>
      <c r="I106" s="147"/>
      <c r="J106" s="170"/>
      <c r="K106" s="148"/>
      <c r="L106" s="148"/>
      <c r="M106" s="144"/>
      <c r="N106" s="144"/>
      <c r="O106" s="134"/>
      <c r="P106" s="104"/>
      <c r="Q106" s="107"/>
      <c r="R106" s="107"/>
      <c r="S106" s="107"/>
      <c r="T106" s="107"/>
      <c r="U106" s="107"/>
      <c r="V106" s="107"/>
      <c r="W106" s="107"/>
      <c r="X106" s="104"/>
      <c r="Y106" s="104"/>
      <c r="Z106" s="104"/>
      <c r="AA106" s="144"/>
      <c r="AB106" s="170"/>
      <c r="AC106" s="170"/>
      <c r="AD106" s="170"/>
      <c r="AE106" s="172"/>
      <c r="AF106" s="172"/>
      <c r="AG106" s="203"/>
      <c r="AH106" s="203"/>
      <c r="AI106" s="172"/>
      <c r="AJ106" s="148"/>
      <c r="AK106" s="144"/>
      <c r="AL106" s="144"/>
      <c r="AM106" s="144"/>
      <c r="AN106" s="144"/>
      <c r="AO106" s="144"/>
      <c r="AP106" s="166"/>
      <c r="AQ106" s="144"/>
      <c r="AR106" s="144"/>
      <c r="AS106" s="103"/>
      <c r="AT106" s="144"/>
      <c r="AU106" s="134"/>
      <c r="AV106" s="144"/>
      <c r="AW106" s="144"/>
      <c r="AX106" s="134"/>
      <c r="AY106" s="145"/>
      <c r="AZ106" s="173"/>
      <c r="BA106" s="144"/>
      <c r="BB106" s="167"/>
      <c r="BC106" s="178"/>
      <c r="BD106" s="103"/>
      <c r="BE106" s="103"/>
      <c r="BF106" s="168"/>
      <c r="BG106" s="168"/>
      <c r="BH106" s="168"/>
      <c r="BI106" s="168"/>
      <c r="BJ106" s="168"/>
      <c r="BK106" s="168"/>
      <c r="BL106" s="168"/>
      <c r="BM106" s="168"/>
    </row>
    <row r="107" spans="1:65" ht="30" customHeight="1">
      <c r="A107" s="144"/>
      <c r="B107" s="144"/>
      <c r="C107" s="144"/>
      <c r="D107" s="144"/>
      <c r="E107" s="144"/>
      <c r="F107" s="148"/>
      <c r="G107" s="144"/>
      <c r="H107" s="144"/>
      <c r="I107" s="147"/>
      <c r="J107" s="170"/>
      <c r="K107" s="148"/>
      <c r="L107" s="148"/>
      <c r="M107" s="144"/>
      <c r="N107" s="144"/>
      <c r="O107" s="134"/>
      <c r="P107" s="104"/>
      <c r="Q107" s="107"/>
      <c r="R107" s="107"/>
      <c r="S107" s="107"/>
      <c r="T107" s="107"/>
      <c r="U107" s="107"/>
      <c r="V107" s="107"/>
      <c r="W107" s="107"/>
      <c r="X107" s="104"/>
      <c r="Y107" s="104"/>
      <c r="Z107" s="104"/>
      <c r="AA107" s="144"/>
      <c r="AB107" s="170"/>
      <c r="AC107" s="170"/>
      <c r="AD107" s="170"/>
      <c r="AE107" s="172"/>
      <c r="AF107" s="172"/>
      <c r="AG107" s="203"/>
      <c r="AH107" s="203"/>
      <c r="AI107" s="172"/>
      <c r="AJ107" s="148"/>
      <c r="AK107" s="144"/>
      <c r="AL107" s="144"/>
      <c r="AM107" s="144"/>
      <c r="AN107" s="144"/>
      <c r="AO107" s="144"/>
      <c r="AP107" s="166"/>
      <c r="AQ107" s="144"/>
      <c r="AR107" s="144"/>
      <c r="AS107" s="103"/>
      <c r="AT107" s="144"/>
      <c r="AU107" s="134"/>
      <c r="AV107" s="144"/>
      <c r="AW107" s="144"/>
      <c r="AX107" s="134"/>
      <c r="AY107" s="145"/>
      <c r="AZ107" s="173"/>
      <c r="BA107" s="144"/>
      <c r="BB107" s="167"/>
      <c r="BC107" s="178"/>
      <c r="BD107" s="103"/>
      <c r="BE107" s="103"/>
      <c r="BF107" s="168"/>
      <c r="BG107" s="168"/>
      <c r="BH107" s="168"/>
      <c r="BI107" s="168"/>
      <c r="BJ107" s="168"/>
      <c r="BK107" s="168"/>
      <c r="BL107" s="168"/>
      <c r="BM107" s="168"/>
    </row>
    <row r="108" spans="1:65" ht="30" customHeight="1">
      <c r="A108" s="144"/>
      <c r="B108" s="144"/>
      <c r="C108" s="144"/>
      <c r="D108" s="144"/>
      <c r="E108" s="144"/>
      <c r="F108" s="148"/>
      <c r="G108" s="144"/>
      <c r="H108" s="144"/>
      <c r="I108" s="147"/>
      <c r="J108" s="170"/>
      <c r="K108" s="148"/>
      <c r="L108" s="148"/>
      <c r="M108" s="144"/>
      <c r="N108" s="144"/>
      <c r="O108" s="134"/>
      <c r="P108" s="104"/>
      <c r="Q108" s="107"/>
      <c r="R108" s="107"/>
      <c r="S108" s="107"/>
      <c r="T108" s="107"/>
      <c r="U108" s="107"/>
      <c r="V108" s="107"/>
      <c r="W108" s="107"/>
      <c r="X108" s="104"/>
      <c r="Y108" s="104"/>
      <c r="Z108" s="104"/>
      <c r="AA108" s="144"/>
      <c r="AB108" s="170"/>
      <c r="AC108" s="170"/>
      <c r="AD108" s="170"/>
      <c r="AE108" s="172"/>
      <c r="AF108" s="172"/>
      <c r="AG108" s="203"/>
      <c r="AH108" s="203"/>
      <c r="AI108" s="172"/>
      <c r="AJ108" s="148"/>
      <c r="AK108" s="144"/>
      <c r="AL108" s="144"/>
      <c r="AM108" s="144"/>
      <c r="AN108" s="144"/>
      <c r="AO108" s="144"/>
      <c r="AP108" s="166"/>
      <c r="AQ108" s="144"/>
      <c r="AR108" s="144"/>
      <c r="AS108" s="103"/>
      <c r="AT108" s="144"/>
      <c r="AU108" s="134"/>
      <c r="AV108" s="144"/>
      <c r="AW108" s="144"/>
      <c r="AX108" s="134"/>
      <c r="AY108" s="145"/>
      <c r="AZ108" s="173"/>
      <c r="BA108" s="144"/>
      <c r="BB108" s="167"/>
      <c r="BC108" s="178"/>
      <c r="BD108" s="103"/>
      <c r="BE108" s="103"/>
      <c r="BF108" s="168"/>
      <c r="BG108" s="168"/>
      <c r="BH108" s="168"/>
      <c r="BI108" s="168"/>
      <c r="BJ108" s="168"/>
      <c r="BK108" s="168"/>
      <c r="BL108" s="168"/>
      <c r="BM108" s="168"/>
    </row>
    <row r="109" spans="1:65" ht="30" customHeight="1">
      <c r="A109" s="144"/>
      <c r="B109" s="144"/>
      <c r="C109" s="144"/>
      <c r="D109" s="144"/>
      <c r="E109" s="144"/>
      <c r="F109" s="148"/>
      <c r="G109" s="144"/>
      <c r="H109" s="144"/>
      <c r="I109" s="147"/>
      <c r="J109" s="170"/>
      <c r="K109" s="148"/>
      <c r="L109" s="148"/>
      <c r="M109" s="144"/>
      <c r="N109" s="144"/>
      <c r="O109" s="134"/>
      <c r="P109" s="104"/>
      <c r="Q109" s="107"/>
      <c r="R109" s="107"/>
      <c r="S109" s="107"/>
      <c r="T109" s="107"/>
      <c r="U109" s="107"/>
      <c r="V109" s="107"/>
      <c r="W109" s="107"/>
      <c r="X109" s="104"/>
      <c r="Y109" s="104"/>
      <c r="Z109" s="104"/>
      <c r="AA109" s="144"/>
      <c r="AB109" s="170"/>
      <c r="AC109" s="170"/>
      <c r="AD109" s="170"/>
      <c r="AE109" s="172"/>
      <c r="AF109" s="172"/>
      <c r="AG109" s="203"/>
      <c r="AH109" s="203"/>
      <c r="AI109" s="172"/>
      <c r="AJ109" s="148"/>
      <c r="AK109" s="144"/>
      <c r="AL109" s="144"/>
      <c r="AM109" s="144"/>
      <c r="AN109" s="144"/>
      <c r="AO109" s="144"/>
      <c r="AP109" s="166"/>
      <c r="AQ109" s="144"/>
      <c r="AR109" s="144"/>
      <c r="AS109" s="103"/>
      <c r="AT109" s="144"/>
      <c r="AU109" s="134"/>
      <c r="AV109" s="144"/>
      <c r="AW109" s="144"/>
      <c r="AX109" s="134"/>
      <c r="AY109" s="145"/>
      <c r="AZ109" s="173"/>
      <c r="BA109" s="144"/>
      <c r="BB109" s="167"/>
      <c r="BC109" s="178"/>
      <c r="BD109" s="103"/>
      <c r="BE109" s="103"/>
      <c r="BF109" s="168"/>
      <c r="BG109" s="168"/>
      <c r="BH109" s="168"/>
      <c r="BI109" s="168"/>
      <c r="BJ109" s="168"/>
      <c r="BK109" s="168"/>
      <c r="BL109" s="168"/>
      <c r="BM109" s="168"/>
    </row>
    <row r="110" spans="1:65" ht="30" customHeight="1">
      <c r="A110" s="144"/>
      <c r="B110" s="144"/>
      <c r="C110" s="144"/>
      <c r="D110" s="144"/>
      <c r="E110" s="144"/>
      <c r="F110" s="148"/>
      <c r="G110" s="144"/>
      <c r="H110" s="144"/>
      <c r="I110" s="147"/>
      <c r="J110" s="170"/>
      <c r="K110" s="148"/>
      <c r="L110" s="148"/>
      <c r="M110" s="144"/>
      <c r="N110" s="144"/>
      <c r="O110" s="134"/>
      <c r="P110" s="104"/>
      <c r="Q110" s="107"/>
      <c r="R110" s="107"/>
      <c r="S110" s="107"/>
      <c r="T110" s="107"/>
      <c r="U110" s="107"/>
      <c r="V110" s="107"/>
      <c r="W110" s="107"/>
      <c r="X110" s="104"/>
      <c r="Y110" s="104"/>
      <c r="Z110" s="104"/>
      <c r="AA110" s="144"/>
      <c r="AB110" s="170"/>
      <c r="AC110" s="170"/>
      <c r="AD110" s="170"/>
      <c r="AE110" s="172"/>
      <c r="AF110" s="172"/>
      <c r="AG110" s="203"/>
      <c r="AH110" s="203"/>
      <c r="AI110" s="172"/>
      <c r="AJ110" s="148"/>
      <c r="AK110" s="144"/>
      <c r="AL110" s="144"/>
      <c r="AM110" s="144"/>
      <c r="AN110" s="144"/>
      <c r="AO110" s="144"/>
      <c r="AP110" s="166"/>
      <c r="AQ110" s="144"/>
      <c r="AR110" s="144"/>
      <c r="AS110" s="103"/>
      <c r="AT110" s="144"/>
      <c r="AU110" s="134"/>
      <c r="AV110" s="144"/>
      <c r="AW110" s="144"/>
      <c r="AX110" s="134"/>
      <c r="AY110" s="145"/>
      <c r="AZ110" s="173"/>
      <c r="BA110" s="144"/>
      <c r="BB110" s="167"/>
      <c r="BC110" s="178"/>
      <c r="BD110" s="103"/>
      <c r="BE110" s="103"/>
      <c r="BF110" s="168"/>
      <c r="BG110" s="168"/>
      <c r="BH110" s="168"/>
      <c r="BI110" s="168"/>
      <c r="BJ110" s="168"/>
      <c r="BK110" s="168"/>
      <c r="BL110" s="168"/>
      <c r="BM110" s="168"/>
    </row>
    <row r="111" spans="1:65" ht="30" customHeight="1">
      <c r="A111" s="144"/>
      <c r="B111" s="144"/>
      <c r="C111" s="144"/>
      <c r="D111" s="144"/>
      <c r="E111" s="144"/>
      <c r="F111" s="148"/>
      <c r="G111" s="144"/>
      <c r="H111" s="144"/>
      <c r="I111" s="147"/>
      <c r="J111" s="170"/>
      <c r="K111" s="148"/>
      <c r="L111" s="148"/>
      <c r="M111" s="144"/>
      <c r="N111" s="144"/>
      <c r="O111" s="134"/>
      <c r="P111" s="104"/>
      <c r="Q111" s="107"/>
      <c r="R111" s="107"/>
      <c r="S111" s="107"/>
      <c r="T111" s="107"/>
      <c r="U111" s="107"/>
      <c r="V111" s="107"/>
      <c r="W111" s="107"/>
      <c r="X111" s="104"/>
      <c r="Y111" s="104"/>
      <c r="Z111" s="104"/>
      <c r="AA111" s="144"/>
      <c r="AB111" s="170"/>
      <c r="AC111" s="170"/>
      <c r="AD111" s="170"/>
      <c r="AE111" s="172"/>
      <c r="AF111" s="172"/>
      <c r="AG111" s="203"/>
      <c r="AH111" s="203"/>
      <c r="AI111" s="172"/>
      <c r="AJ111" s="148"/>
      <c r="AK111" s="144"/>
      <c r="AL111" s="144"/>
      <c r="AM111" s="144"/>
      <c r="AN111" s="144"/>
      <c r="AO111" s="144"/>
      <c r="AP111" s="166"/>
      <c r="AQ111" s="144"/>
      <c r="AR111" s="144"/>
      <c r="AS111" s="103"/>
      <c r="AT111" s="144"/>
      <c r="AU111" s="134"/>
      <c r="AV111" s="144"/>
      <c r="AW111" s="144"/>
      <c r="AX111" s="134"/>
      <c r="AY111" s="145"/>
      <c r="AZ111" s="173"/>
      <c r="BA111" s="144"/>
      <c r="BB111" s="167"/>
      <c r="BC111" s="178"/>
      <c r="BD111" s="103"/>
      <c r="BE111" s="103"/>
      <c r="BF111" s="168"/>
      <c r="BG111" s="168"/>
      <c r="BH111" s="168"/>
      <c r="BI111" s="168"/>
      <c r="BJ111" s="168"/>
      <c r="BK111" s="168"/>
      <c r="BL111" s="168"/>
      <c r="BM111" s="168"/>
    </row>
    <row r="112" spans="1:65" ht="30" customHeight="1">
      <c r="A112" s="144"/>
      <c r="B112" s="144"/>
      <c r="C112" s="144"/>
      <c r="D112" s="144"/>
      <c r="E112" s="144"/>
      <c r="F112" s="148"/>
      <c r="G112" s="144"/>
      <c r="H112" s="144"/>
      <c r="I112" s="147"/>
      <c r="J112" s="170"/>
      <c r="K112" s="148"/>
      <c r="L112" s="148"/>
      <c r="M112" s="144"/>
      <c r="N112" s="144"/>
      <c r="O112" s="134"/>
      <c r="P112" s="104"/>
      <c r="Q112" s="107"/>
      <c r="R112" s="107"/>
      <c r="S112" s="107"/>
      <c r="T112" s="107"/>
      <c r="U112" s="107"/>
      <c r="V112" s="107"/>
      <c r="W112" s="107"/>
      <c r="X112" s="104"/>
      <c r="Y112" s="104"/>
      <c r="Z112" s="104"/>
      <c r="AA112" s="144"/>
      <c r="AB112" s="170"/>
      <c r="AC112" s="170"/>
      <c r="AD112" s="170"/>
      <c r="AE112" s="172"/>
      <c r="AF112" s="172"/>
      <c r="AG112" s="203"/>
      <c r="AH112" s="203"/>
      <c r="AI112" s="172"/>
      <c r="AJ112" s="148"/>
      <c r="AK112" s="144"/>
      <c r="AL112" s="144"/>
      <c r="AM112" s="144"/>
      <c r="AN112" s="144"/>
      <c r="AO112" s="144"/>
      <c r="AP112" s="166"/>
      <c r="AQ112" s="144"/>
      <c r="AR112" s="144"/>
      <c r="AS112" s="103"/>
      <c r="AT112" s="144"/>
      <c r="AU112" s="134"/>
      <c r="AV112" s="144"/>
      <c r="AW112" s="144"/>
      <c r="AX112" s="134"/>
      <c r="AY112" s="145"/>
      <c r="AZ112" s="173"/>
      <c r="BA112" s="144"/>
      <c r="BB112" s="167"/>
      <c r="BC112" s="178"/>
      <c r="BD112" s="103"/>
      <c r="BE112" s="103"/>
      <c r="BF112" s="168"/>
      <c r="BG112" s="168"/>
      <c r="BH112" s="168"/>
      <c r="BI112" s="168"/>
      <c r="BJ112" s="168"/>
      <c r="BK112" s="168"/>
      <c r="BL112" s="168"/>
      <c r="BM112" s="168"/>
    </row>
    <row r="113" spans="1:65" ht="30" customHeight="1">
      <c r="A113" s="144"/>
      <c r="B113" s="144"/>
      <c r="C113" s="144"/>
      <c r="D113" s="144"/>
      <c r="E113" s="144"/>
      <c r="F113" s="148"/>
      <c r="G113" s="144"/>
      <c r="H113" s="144"/>
      <c r="I113" s="147"/>
      <c r="J113" s="170"/>
      <c r="K113" s="148"/>
      <c r="L113" s="148"/>
      <c r="M113" s="144"/>
      <c r="N113" s="144"/>
      <c r="O113" s="134"/>
      <c r="P113" s="104"/>
      <c r="Q113" s="107"/>
      <c r="R113" s="107"/>
      <c r="S113" s="107"/>
      <c r="T113" s="107"/>
      <c r="U113" s="107"/>
      <c r="V113" s="107"/>
      <c r="W113" s="107"/>
      <c r="X113" s="104"/>
      <c r="Y113" s="104"/>
      <c r="Z113" s="104"/>
      <c r="AA113" s="144"/>
      <c r="AB113" s="170"/>
      <c r="AC113" s="170"/>
      <c r="AD113" s="170"/>
      <c r="AE113" s="172"/>
      <c r="AF113" s="172"/>
      <c r="AG113" s="203"/>
      <c r="AH113" s="203"/>
      <c r="AI113" s="172"/>
      <c r="AJ113" s="148"/>
      <c r="AK113" s="144"/>
      <c r="AL113" s="144"/>
      <c r="AM113" s="144"/>
      <c r="AN113" s="144"/>
      <c r="AO113" s="144"/>
      <c r="AP113" s="166"/>
      <c r="AQ113" s="144"/>
      <c r="AR113" s="144"/>
      <c r="AS113" s="103"/>
      <c r="AT113" s="144"/>
      <c r="AU113" s="134"/>
      <c r="AV113" s="144"/>
      <c r="AW113" s="144"/>
      <c r="AX113" s="134"/>
      <c r="AY113" s="145"/>
      <c r="AZ113" s="173"/>
      <c r="BA113" s="144"/>
      <c r="BB113" s="167"/>
      <c r="BC113" s="178"/>
      <c r="BD113" s="103"/>
      <c r="BE113" s="103"/>
      <c r="BF113" s="168"/>
      <c r="BG113" s="168"/>
      <c r="BH113" s="168"/>
      <c r="BI113" s="168"/>
      <c r="BJ113" s="168"/>
      <c r="BK113" s="168"/>
      <c r="BL113" s="168"/>
      <c r="BM113" s="168"/>
    </row>
    <row r="114" spans="1:65" ht="30" customHeight="1">
      <c r="A114" s="144"/>
      <c r="B114" s="144"/>
      <c r="C114" s="144"/>
      <c r="D114" s="144"/>
      <c r="E114" s="144"/>
      <c r="F114" s="148"/>
      <c r="G114" s="144"/>
      <c r="H114" s="144"/>
      <c r="I114" s="147"/>
      <c r="J114" s="170"/>
      <c r="K114" s="148"/>
      <c r="L114" s="148"/>
      <c r="M114" s="144"/>
      <c r="N114" s="144"/>
      <c r="O114" s="134"/>
      <c r="P114" s="104"/>
      <c r="Q114" s="107"/>
      <c r="R114" s="107"/>
      <c r="S114" s="107"/>
      <c r="T114" s="107"/>
      <c r="U114" s="107"/>
      <c r="V114" s="107"/>
      <c r="W114" s="107"/>
      <c r="X114" s="104"/>
      <c r="Y114" s="104"/>
      <c r="Z114" s="104"/>
      <c r="AA114" s="144"/>
      <c r="AB114" s="170"/>
      <c r="AC114" s="170"/>
      <c r="AD114" s="170"/>
      <c r="AE114" s="172"/>
      <c r="AF114" s="172"/>
      <c r="AG114" s="203"/>
      <c r="AH114" s="203"/>
      <c r="AI114" s="172"/>
      <c r="AJ114" s="148"/>
      <c r="AK114" s="144"/>
      <c r="AL114" s="144"/>
      <c r="AM114" s="144"/>
      <c r="AN114" s="144"/>
      <c r="AO114" s="144"/>
      <c r="AP114" s="166"/>
      <c r="AQ114" s="144"/>
      <c r="AR114" s="144"/>
      <c r="AS114" s="103"/>
      <c r="AT114" s="144"/>
      <c r="AU114" s="134"/>
      <c r="AV114" s="144"/>
      <c r="AW114" s="144"/>
      <c r="AX114" s="134"/>
      <c r="AY114" s="145"/>
      <c r="AZ114" s="173"/>
      <c r="BA114" s="144"/>
      <c r="BB114" s="167"/>
      <c r="BC114" s="178"/>
      <c r="BD114" s="103"/>
      <c r="BE114" s="103"/>
      <c r="BF114" s="168"/>
      <c r="BG114" s="168"/>
      <c r="BH114" s="168"/>
      <c r="BI114" s="168"/>
      <c r="BJ114" s="168"/>
      <c r="BK114" s="168"/>
      <c r="BL114" s="168"/>
      <c r="BM114" s="168"/>
    </row>
    <row r="115" spans="1:65" ht="30" customHeight="1">
      <c r="A115" s="144"/>
      <c r="B115" s="144"/>
      <c r="C115" s="144"/>
      <c r="D115" s="144"/>
      <c r="E115" s="144"/>
      <c r="F115" s="148"/>
      <c r="G115" s="144"/>
      <c r="H115" s="144"/>
      <c r="I115" s="147"/>
      <c r="J115" s="170"/>
      <c r="K115" s="148"/>
      <c r="L115" s="148"/>
      <c r="M115" s="144"/>
      <c r="N115" s="144"/>
      <c r="O115" s="134"/>
      <c r="P115" s="104"/>
      <c r="Q115" s="107"/>
      <c r="R115" s="107"/>
      <c r="S115" s="107"/>
      <c r="T115" s="107"/>
      <c r="U115" s="107"/>
      <c r="V115" s="107"/>
      <c r="W115" s="107"/>
      <c r="X115" s="104"/>
      <c r="Y115" s="104"/>
      <c r="Z115" s="104"/>
      <c r="AA115" s="144"/>
      <c r="AB115" s="170"/>
      <c r="AC115" s="170"/>
      <c r="AD115" s="170"/>
      <c r="AE115" s="172"/>
      <c r="AF115" s="172"/>
      <c r="AG115" s="203"/>
      <c r="AH115" s="203"/>
      <c r="AI115" s="172"/>
      <c r="AJ115" s="148"/>
      <c r="AK115" s="144"/>
      <c r="AL115" s="144"/>
      <c r="AM115" s="144"/>
      <c r="AN115" s="144"/>
      <c r="AO115" s="144"/>
      <c r="AP115" s="166"/>
      <c r="AQ115" s="144"/>
      <c r="AR115" s="144"/>
      <c r="AS115" s="103"/>
      <c r="AT115" s="144"/>
      <c r="AU115" s="134"/>
      <c r="AV115" s="144"/>
      <c r="AW115" s="144"/>
      <c r="AX115" s="134"/>
      <c r="AY115" s="145"/>
      <c r="AZ115" s="173"/>
      <c r="BA115" s="144"/>
      <c r="BB115" s="167"/>
      <c r="BC115" s="178"/>
      <c r="BD115" s="103"/>
      <c r="BE115" s="103"/>
      <c r="BF115" s="168"/>
      <c r="BG115" s="168"/>
      <c r="BH115" s="168"/>
      <c r="BI115" s="168"/>
      <c r="BJ115" s="168"/>
      <c r="BK115" s="168"/>
      <c r="BL115" s="168"/>
      <c r="BM115" s="168"/>
    </row>
    <row r="116" spans="1:65" ht="30" customHeight="1">
      <c r="A116" s="144"/>
      <c r="B116" s="144"/>
      <c r="C116" s="144"/>
      <c r="D116" s="144"/>
      <c r="E116" s="144"/>
      <c r="F116" s="148"/>
      <c r="G116" s="144"/>
      <c r="H116" s="144"/>
      <c r="I116" s="147"/>
      <c r="J116" s="170"/>
      <c r="K116" s="148"/>
      <c r="L116" s="148"/>
      <c r="M116" s="144"/>
      <c r="N116" s="144"/>
      <c r="O116" s="134"/>
      <c r="P116" s="104"/>
      <c r="Q116" s="107"/>
      <c r="R116" s="107"/>
      <c r="S116" s="107"/>
      <c r="T116" s="107"/>
      <c r="U116" s="107"/>
      <c r="V116" s="107"/>
      <c r="W116" s="107"/>
      <c r="X116" s="104"/>
      <c r="Y116" s="104"/>
      <c r="Z116" s="104"/>
      <c r="AA116" s="144"/>
      <c r="AB116" s="170"/>
      <c r="AC116" s="170"/>
      <c r="AD116" s="170"/>
      <c r="AE116" s="172"/>
      <c r="AF116" s="172"/>
      <c r="AG116" s="203"/>
      <c r="AH116" s="203"/>
      <c r="AI116" s="172"/>
      <c r="AJ116" s="148"/>
      <c r="AK116" s="144"/>
      <c r="AL116" s="144"/>
      <c r="AM116" s="144"/>
      <c r="AN116" s="144"/>
      <c r="AO116" s="144"/>
      <c r="AP116" s="166"/>
      <c r="AQ116" s="144"/>
      <c r="AR116" s="144"/>
      <c r="AS116" s="103"/>
      <c r="AT116" s="144"/>
      <c r="AU116" s="134"/>
      <c r="AV116" s="144"/>
      <c r="AW116" s="144"/>
      <c r="AX116" s="134"/>
      <c r="AY116" s="145"/>
      <c r="AZ116" s="173"/>
      <c r="BA116" s="144"/>
      <c r="BB116" s="167"/>
      <c r="BC116" s="178"/>
      <c r="BD116" s="103"/>
      <c r="BE116" s="103"/>
      <c r="BF116" s="168"/>
      <c r="BG116" s="168"/>
      <c r="BH116" s="168"/>
      <c r="BI116" s="168"/>
      <c r="BJ116" s="168"/>
      <c r="BK116" s="168"/>
      <c r="BL116" s="168"/>
      <c r="BM116" s="168"/>
    </row>
    <row r="117" spans="1:65" ht="30" customHeight="1">
      <c r="A117" s="144"/>
      <c r="B117" s="144"/>
      <c r="C117" s="144"/>
      <c r="D117" s="144"/>
      <c r="E117" s="144"/>
      <c r="F117" s="148"/>
      <c r="G117" s="144"/>
      <c r="H117" s="144"/>
      <c r="I117" s="147"/>
      <c r="J117" s="170"/>
      <c r="K117" s="148"/>
      <c r="L117" s="148"/>
      <c r="M117" s="144"/>
      <c r="N117" s="144"/>
      <c r="O117" s="134"/>
      <c r="P117" s="104"/>
      <c r="Q117" s="107"/>
      <c r="R117" s="107"/>
      <c r="S117" s="107"/>
      <c r="T117" s="107"/>
      <c r="U117" s="107"/>
      <c r="V117" s="107"/>
      <c r="W117" s="107"/>
      <c r="X117" s="104"/>
      <c r="Y117" s="104"/>
      <c r="Z117" s="104"/>
      <c r="AA117" s="144"/>
      <c r="AB117" s="170"/>
      <c r="AC117" s="170"/>
      <c r="AD117" s="170"/>
      <c r="AE117" s="172"/>
      <c r="AF117" s="172"/>
      <c r="AG117" s="203"/>
      <c r="AH117" s="203"/>
      <c r="AI117" s="172"/>
      <c r="AJ117" s="148"/>
      <c r="AK117" s="144"/>
      <c r="AL117" s="144"/>
      <c r="AM117" s="144"/>
      <c r="AN117" s="144"/>
      <c r="AO117" s="144"/>
      <c r="AP117" s="166"/>
      <c r="AQ117" s="144"/>
      <c r="AR117" s="144"/>
      <c r="AS117" s="103"/>
      <c r="AT117" s="144"/>
      <c r="AU117" s="134"/>
      <c r="AV117" s="144"/>
      <c r="AW117" s="144"/>
      <c r="AX117" s="134"/>
      <c r="AY117" s="145"/>
      <c r="AZ117" s="173"/>
      <c r="BA117" s="144"/>
      <c r="BB117" s="167"/>
      <c r="BC117" s="178"/>
      <c r="BD117" s="103"/>
      <c r="BE117" s="103"/>
      <c r="BF117" s="168"/>
      <c r="BG117" s="168"/>
      <c r="BH117" s="168"/>
      <c r="BI117" s="168"/>
      <c r="BJ117" s="168"/>
      <c r="BK117" s="168"/>
      <c r="BL117" s="168"/>
      <c r="BM117" s="168"/>
    </row>
  </sheetData>
  <autoFilter ref="B9:BM38" xr:uid="{00000000-0001-0000-0000-000000000000}"/>
  <dataConsolidate function="product"/>
  <mergeCells count="4">
    <mergeCell ref="BD8:BM8"/>
    <mergeCell ref="P8:AA8"/>
    <mergeCell ref="A8:O8"/>
    <mergeCell ref="BB8:BC8"/>
  </mergeCells>
  <phoneticPr fontId="7" type="noConversion"/>
  <conditionalFormatting sqref="AE1:AF8 AE9">
    <cfRule type="containsText" dxfId="52" priority="1280" operator="containsText" text="NÃO RESIDENTE">
      <formula>NOT(ISERROR(SEARCH("NÃO RESIDENTE",AE1)))</formula>
    </cfRule>
  </conditionalFormatting>
  <conditionalFormatting sqref="AG8:AI8">
    <cfRule type="containsText" dxfId="51" priority="524" operator="containsText" text="NÃO RESIDENTE">
      <formula>NOT(ISERROR(SEARCH("NÃO RESIDENTE",AG8)))</formula>
    </cfRule>
  </conditionalFormatting>
  <conditionalFormatting sqref="AP10:AP117">
    <cfRule type="duplicateValues" dxfId="50" priority="710"/>
  </conditionalFormatting>
  <conditionalFormatting sqref="AY1:AY117">
    <cfRule type="cellIs" dxfId="49" priority="14" operator="between">
      <formula>36526</formula>
      <formula>402133</formula>
    </cfRule>
  </conditionalFormatting>
  <conditionalFormatting sqref="BB1:BB117">
    <cfRule type="containsText" dxfId="48" priority="1362" operator="containsText" text="FINALIZADO">
      <formula>NOT(ISERROR(SEARCH("FINALIZADO",BB1)))</formula>
    </cfRule>
  </conditionalFormatting>
  <conditionalFormatting sqref="BD1:BD117">
    <cfRule type="cellIs" dxfId="47" priority="136" operator="equal">
      <formula>"INDENIZAÇÃO"</formula>
    </cfRule>
    <cfRule type="cellIs" dxfId="46" priority="137" operator="equal">
      <formula>"AA"</formula>
    </cfRule>
  </conditionalFormatting>
  <conditionalFormatting sqref="BD10:BD117">
    <cfRule type="cellIs" dxfId="45" priority="138" operator="equal">
      <formula>"FINALIZADO"</formula>
    </cfRule>
  </conditionalFormatting>
  <conditionalFormatting sqref="F1:F7 F9">
    <cfRule type="duplicateValues" dxfId="44" priority="3049"/>
    <cfRule type="duplicateValues" dxfId="43" priority="3050"/>
  </conditionalFormatting>
  <conditionalFormatting sqref="F1:F9">
    <cfRule type="duplicateValues" dxfId="42" priority="3053"/>
  </conditionalFormatting>
  <conditionalFormatting sqref="F1:F117">
    <cfRule type="duplicateValues" dxfId="41" priority="3054"/>
  </conditionalFormatting>
  <conditionalFormatting sqref="J1:J7 J9">
    <cfRule type="duplicateValues" dxfId="40" priority="3055"/>
  </conditionalFormatting>
  <conditionalFormatting sqref="AC1:AD9">
    <cfRule type="duplicateValues" dxfId="39" priority="3057"/>
  </conditionalFormatting>
  <conditionalFormatting sqref="AD1:AD9">
    <cfRule type="duplicateValues" dxfId="38" priority="3058"/>
  </conditionalFormatting>
  <conditionalFormatting sqref="AP1:AP117">
    <cfRule type="duplicateValues" dxfId="37" priority="3059"/>
    <cfRule type="duplicateValues" dxfId="36" priority="3060"/>
  </conditionalFormatting>
  <conditionalFormatting sqref="AP1:AP9">
    <cfRule type="duplicateValues" dxfId="35" priority="3061"/>
  </conditionalFormatting>
  <conditionalFormatting sqref="L1:L1048576">
    <cfRule type="duplicateValues" dxfId="34" priority="2"/>
  </conditionalFormatting>
  <conditionalFormatting sqref="AD27">
    <cfRule type="duplicateValues" dxfId="33" priority="1"/>
  </conditionalFormatting>
  <dataValidations count="10">
    <dataValidation allowBlank="1" showInputMessage="1" showErrorMessage="1" sqref="AJ10:AJ117 AQ10:AR117 BC10:BC117 AT10:AZ117 E10:E117 AK27" xr:uid="{42DBC0A4-72CF-48C5-9B14-5B05F91E4FAB}"/>
    <dataValidation type="list" allowBlank="1" showInputMessage="1" showErrorMessage="1" sqref="AM10:AM117" xr:uid="{D0DFD1A8-7E27-4525-88D7-D80EA2E2161F}">
      <formula1>$AM$1:$AM$2</formula1>
    </dataValidation>
    <dataValidation type="list" allowBlank="1" showInputMessage="1" showErrorMessage="1" sqref="AN10:AN117" xr:uid="{F152C8C0-68BC-4BA3-90C4-32F95453CD5C}">
      <formula1>$AN$1:$AN$5</formula1>
    </dataValidation>
    <dataValidation type="list" allowBlank="1" showInputMessage="1" showErrorMessage="1" sqref="AL10:AL117" xr:uid="{79E2497D-3A91-4234-A0FE-52A3EF25CA90}">
      <formula1>$AL$1:$AL$6</formula1>
    </dataValidation>
    <dataValidation type="list" allowBlank="1" showInputMessage="1" showErrorMessage="1" sqref="M10:M1048576" xr:uid="{C586C456-6C07-452B-9D67-E8C597AED68C}">
      <formula1>$M$1:$M$2</formula1>
    </dataValidation>
    <dataValidation type="list" allowBlank="1" showInputMessage="1" showErrorMessage="1" sqref="N10:N1048576" xr:uid="{582E1226-9158-4F3A-BBE2-63B16036568A}">
      <formula1>$N$1:$N$5</formula1>
    </dataValidation>
    <dataValidation type="list" allowBlank="1" showInputMessage="1" showErrorMessage="1" sqref="C10:C1048576" xr:uid="{3B0495FD-5DEA-498C-8F9E-DCBC72158A21}">
      <formula1>$C$1:$C$5</formula1>
    </dataValidation>
    <dataValidation type="list" allowBlank="1" showInputMessage="1" showErrorMessage="1" sqref="G10:G1048576" xr:uid="{200F82DC-DC1E-403B-8FE5-58E53E01C811}">
      <formula1>$G$1:$G$4</formula1>
    </dataValidation>
    <dataValidation type="list" allowBlank="1" showInputMessage="1" showErrorMessage="1" sqref="H10:H1048576" xr:uid="{E9FFCCE5-EB04-46FF-BD96-E526757F68BE}">
      <formula1>$H$1:$H$3</formula1>
    </dataValidation>
    <dataValidation type="list" allowBlank="1" showInputMessage="1" showErrorMessage="1" sqref="I10:I1048576" xr:uid="{6F67967F-B0FC-48D6-BC25-87798E6F8841}">
      <formula1>$I$1:$I$4</formula1>
    </dataValidation>
  </dataValidations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1:E976"/>
  <sheetViews>
    <sheetView workbookViewId="0">
      <selection activeCell="A5" sqref="A5:E9"/>
    </sheetView>
  </sheetViews>
  <sheetFormatPr defaultColWidth="9.140625" defaultRowHeight="20.25" customHeight="1"/>
  <cols>
    <col min="1" max="1" width="22.7109375" style="89" customWidth="1"/>
    <col min="2" max="2" width="29.28515625" style="89" customWidth="1"/>
    <col min="3" max="3" width="21.7109375" style="89" bestFit="1" customWidth="1"/>
    <col min="4" max="4" width="58.7109375" style="89" customWidth="1"/>
    <col min="5" max="5" width="35.28515625" style="89" customWidth="1"/>
    <col min="6" max="6" width="26" style="89" bestFit="1" customWidth="1"/>
    <col min="7" max="10" width="9.140625" style="89"/>
    <col min="11" max="11" width="3.140625" style="89" bestFit="1" customWidth="1"/>
    <col min="12" max="12" width="118.85546875" style="89" bestFit="1" customWidth="1"/>
    <col min="13" max="16384" width="9.140625" style="89"/>
  </cols>
  <sheetData>
    <row r="1" spans="1:5" ht="20.25" customHeight="1">
      <c r="E1" s="140" t="s">
        <v>4424</v>
      </c>
    </row>
    <row r="2" spans="1:5" ht="20.25" customHeight="1">
      <c r="E2" s="140" t="s">
        <v>4390</v>
      </c>
    </row>
    <row r="3" spans="1:5" ht="20.25" customHeight="1">
      <c r="E3" s="140" t="s">
        <v>4499</v>
      </c>
    </row>
    <row r="5" spans="1:5" ht="20.25" customHeight="1">
      <c r="A5" s="138" t="s">
        <v>4370</v>
      </c>
      <c r="B5" s="138" t="s">
        <v>4371</v>
      </c>
      <c r="C5" s="138" t="s">
        <v>4374</v>
      </c>
      <c r="D5" s="139" t="s">
        <v>102</v>
      </c>
      <c r="E5" s="140" t="s">
        <v>4499</v>
      </c>
    </row>
    <row r="6" spans="1:5" ht="20.25" customHeight="1">
      <c r="A6" s="183" t="s">
        <v>4500</v>
      </c>
      <c r="B6" s="183" t="s">
        <v>4501</v>
      </c>
      <c r="C6" s="183" t="s">
        <v>4502</v>
      </c>
      <c r="D6" s="184" t="s">
        <v>4503</v>
      </c>
      <c r="E6" s="185">
        <v>46189</v>
      </c>
    </row>
    <row r="7" spans="1:5" ht="20.25" customHeight="1">
      <c r="A7" s="183" t="s">
        <v>4500</v>
      </c>
      <c r="B7" s="183" t="s">
        <v>4504</v>
      </c>
      <c r="C7" s="183" t="s">
        <v>4451</v>
      </c>
      <c r="D7" s="184" t="s">
        <v>4505</v>
      </c>
      <c r="E7" s="185">
        <v>46192</v>
      </c>
    </row>
    <row r="8" spans="1:5" ht="20.25" customHeight="1">
      <c r="A8" s="183" t="s">
        <v>4500</v>
      </c>
      <c r="B8" s="183" t="s">
        <v>4506</v>
      </c>
      <c r="C8" s="191" t="s">
        <v>4507</v>
      </c>
      <c r="D8" s="186" t="s">
        <v>4508</v>
      </c>
      <c r="E8" s="185">
        <v>46195</v>
      </c>
    </row>
    <row r="9" spans="1:5" ht="20.25" customHeight="1">
      <c r="A9" s="183" t="s">
        <v>4500</v>
      </c>
      <c r="B9" s="183" t="s">
        <v>4501</v>
      </c>
      <c r="C9" s="183" t="s">
        <v>4509</v>
      </c>
      <c r="D9" s="184" t="s">
        <v>4510</v>
      </c>
      <c r="E9" s="185">
        <v>46195</v>
      </c>
    </row>
    <row r="10" spans="1:5" ht="20.25" customHeight="1">
      <c r="A10" s="183"/>
      <c r="B10" s="183"/>
      <c r="C10" s="183"/>
      <c r="D10" s="184"/>
      <c r="E10" s="185"/>
    </row>
    <row r="11" spans="1:5" ht="20.25" customHeight="1">
      <c r="A11" s="183"/>
      <c r="B11" s="183"/>
      <c r="C11" s="183"/>
      <c r="D11" s="184"/>
      <c r="E11" s="185"/>
    </row>
    <row r="12" spans="1:5" ht="20.25" customHeight="1">
      <c r="A12" s="183"/>
      <c r="B12" s="183"/>
      <c r="C12" s="183"/>
      <c r="D12" s="184"/>
      <c r="E12" s="185"/>
    </row>
    <row r="13" spans="1:5" ht="20.25" customHeight="1">
      <c r="A13" s="183"/>
      <c r="B13" s="183"/>
      <c r="C13" s="183"/>
      <c r="D13" s="186"/>
      <c r="E13" s="185"/>
    </row>
    <row r="14" spans="1:5" ht="20.25" customHeight="1">
      <c r="A14" s="183"/>
      <c r="B14" s="183"/>
      <c r="C14" s="183"/>
      <c r="D14" s="184"/>
      <c r="E14" s="185"/>
    </row>
    <row r="15" spans="1:5" ht="20.25" customHeight="1">
      <c r="A15" s="183"/>
      <c r="B15" s="183"/>
      <c r="C15" s="183"/>
      <c r="D15" s="184"/>
      <c r="E15" s="185"/>
    </row>
    <row r="16" spans="1:5" ht="20.25" customHeight="1">
      <c r="A16" s="183"/>
      <c r="B16" s="183"/>
      <c r="C16" s="183"/>
      <c r="D16" s="184"/>
      <c r="E16" s="185"/>
    </row>
    <row r="17" spans="1:5" ht="20.25" customHeight="1">
      <c r="A17" s="183"/>
      <c r="B17" s="183"/>
      <c r="C17" s="183"/>
      <c r="D17" s="184"/>
      <c r="E17" s="185"/>
    </row>
    <row r="18" spans="1:5" ht="20.25" customHeight="1">
      <c r="A18" s="183"/>
      <c r="B18" s="183"/>
      <c r="C18" s="183"/>
      <c r="D18" s="184"/>
      <c r="E18" s="185"/>
    </row>
    <row r="19" spans="1:5" ht="20.25" customHeight="1">
      <c r="A19" s="126"/>
      <c r="B19" s="126"/>
      <c r="C19" s="126"/>
      <c r="D19" s="176"/>
      <c r="E19" s="177"/>
    </row>
    <row r="20" spans="1:5" ht="20.25" customHeight="1">
      <c r="A20" s="118"/>
      <c r="B20" s="118"/>
      <c r="C20" s="118"/>
      <c r="D20" s="119"/>
      <c r="E20" s="174"/>
    </row>
    <row r="21" spans="1:5" ht="20.25" customHeight="1">
      <c r="A21" s="118"/>
      <c r="B21" s="118"/>
      <c r="C21" s="118"/>
      <c r="D21" s="119"/>
      <c r="E21" s="174"/>
    </row>
    <row r="22" spans="1:5" ht="20.25" customHeight="1">
      <c r="A22" s="118"/>
      <c r="B22" s="118"/>
      <c r="C22" s="175"/>
      <c r="D22" s="119"/>
      <c r="E22" s="174"/>
    </row>
    <row r="23" spans="1:5" ht="20.25" customHeight="1">
      <c r="A23" s="118" t="s">
        <v>4500</v>
      </c>
      <c r="B23" s="118" t="s">
        <v>4506</v>
      </c>
      <c r="C23" s="175" t="s">
        <v>4511</v>
      </c>
      <c r="D23" s="119" t="s">
        <v>4512</v>
      </c>
      <c r="E23" s="174">
        <v>46139</v>
      </c>
    </row>
    <row r="24" spans="1:5" ht="20.25" customHeight="1">
      <c r="A24" s="118" t="s">
        <v>4500</v>
      </c>
      <c r="B24" s="118" t="s">
        <v>4506</v>
      </c>
      <c r="C24" s="118" t="s">
        <v>4513</v>
      </c>
      <c r="D24" s="119" t="s">
        <v>4514</v>
      </c>
      <c r="E24" s="174">
        <v>46139</v>
      </c>
    </row>
    <row r="25" spans="1:5" ht="20.25" customHeight="1">
      <c r="A25" s="118" t="s">
        <v>4500</v>
      </c>
      <c r="B25" s="118" t="s">
        <v>4506</v>
      </c>
      <c r="C25" s="118" t="s">
        <v>4515</v>
      </c>
      <c r="D25" s="119" t="s">
        <v>4516</v>
      </c>
      <c r="E25" s="174">
        <v>46139</v>
      </c>
    </row>
    <row r="26" spans="1:5" ht="20.25" customHeight="1">
      <c r="A26" s="118" t="s">
        <v>4500</v>
      </c>
      <c r="B26" s="118" t="s">
        <v>4506</v>
      </c>
      <c r="C26" s="118" t="s">
        <v>4517</v>
      </c>
      <c r="D26" s="119" t="s">
        <v>4518</v>
      </c>
      <c r="E26" s="174">
        <v>46139</v>
      </c>
    </row>
    <row r="27" spans="1:5" ht="20.25" customHeight="1">
      <c r="A27" s="118" t="s">
        <v>4500</v>
      </c>
      <c r="B27" s="118" t="s">
        <v>4506</v>
      </c>
      <c r="C27" s="118" t="s">
        <v>4519</v>
      </c>
      <c r="D27" s="119" t="s">
        <v>4520</v>
      </c>
      <c r="E27" s="174">
        <v>46139</v>
      </c>
    </row>
    <row r="28" spans="1:5" ht="20.25" customHeight="1">
      <c r="A28" s="118" t="s">
        <v>4500</v>
      </c>
      <c r="B28" s="118" t="s">
        <v>4506</v>
      </c>
      <c r="C28" s="118" t="s">
        <v>4521</v>
      </c>
      <c r="D28" s="121" t="s">
        <v>4522</v>
      </c>
      <c r="E28" s="174">
        <v>46140</v>
      </c>
    </row>
    <row r="29" spans="1:5" ht="20.25" customHeight="1">
      <c r="A29" s="118" t="s">
        <v>4500</v>
      </c>
      <c r="B29" s="118" t="s">
        <v>4506</v>
      </c>
      <c r="C29" s="118" t="s">
        <v>4523</v>
      </c>
      <c r="D29" s="121" t="s">
        <v>4524</v>
      </c>
      <c r="E29" s="174">
        <v>46140</v>
      </c>
    </row>
    <row r="30" spans="1:5" ht="20.25" customHeight="1">
      <c r="A30" s="118" t="s">
        <v>4500</v>
      </c>
      <c r="B30" s="118" t="s">
        <v>4506</v>
      </c>
      <c r="C30" s="118" t="s">
        <v>4525</v>
      </c>
      <c r="D30" s="119" t="s">
        <v>4526</v>
      </c>
      <c r="E30" s="174">
        <v>46140</v>
      </c>
    </row>
    <row r="31" spans="1:5" ht="20.25" customHeight="1">
      <c r="A31" s="118" t="s">
        <v>4500</v>
      </c>
      <c r="B31" s="118" t="s">
        <v>4506</v>
      </c>
      <c r="C31" s="118" t="s">
        <v>4527</v>
      </c>
      <c r="D31" s="119" t="s">
        <v>4528</v>
      </c>
      <c r="E31" s="174">
        <v>46140</v>
      </c>
    </row>
    <row r="32" spans="1:5" ht="20.25" customHeight="1">
      <c r="A32" s="118" t="s">
        <v>4500</v>
      </c>
      <c r="B32" s="118" t="s">
        <v>4501</v>
      </c>
      <c r="C32" s="118" t="s">
        <v>4507</v>
      </c>
      <c r="D32" s="119" t="s">
        <v>4529</v>
      </c>
      <c r="E32" s="174">
        <v>46142</v>
      </c>
    </row>
    <row r="33" spans="1:5" ht="20.25" customHeight="1">
      <c r="A33" s="118" t="s">
        <v>4500</v>
      </c>
      <c r="B33" s="118" t="s">
        <v>4501</v>
      </c>
      <c r="C33" s="118" t="s">
        <v>4530</v>
      </c>
      <c r="D33" s="119" t="s">
        <v>4531</v>
      </c>
      <c r="E33" s="174">
        <v>46142</v>
      </c>
    </row>
    <row r="34" spans="1:5" ht="20.25" customHeight="1">
      <c r="A34" s="118" t="s">
        <v>4500</v>
      </c>
      <c r="B34" s="118" t="s">
        <v>4501</v>
      </c>
      <c r="C34" s="118" t="s">
        <v>4532</v>
      </c>
      <c r="D34" s="119" t="s">
        <v>4533</v>
      </c>
      <c r="E34" s="174">
        <v>46146</v>
      </c>
    </row>
    <row r="35" spans="1:5" ht="20.25" customHeight="1">
      <c r="A35" s="126"/>
      <c r="B35" s="126"/>
      <c r="C35" s="126"/>
      <c r="D35" s="126"/>
      <c r="E35" s="134"/>
    </row>
    <row r="36" spans="1:5" ht="20.25" customHeight="1">
      <c r="A36" s="118"/>
      <c r="B36" s="118"/>
      <c r="C36" s="118"/>
      <c r="D36" s="118"/>
      <c r="E36" s="104"/>
    </row>
    <row r="37" spans="1:5" ht="20.25" customHeight="1">
      <c r="A37" s="118"/>
      <c r="B37" s="118"/>
      <c r="C37" s="118"/>
      <c r="D37" s="118"/>
      <c r="E37" s="104"/>
    </row>
    <row r="38" spans="1:5" ht="20.25" customHeight="1">
      <c r="A38" s="118"/>
      <c r="B38" s="118"/>
      <c r="C38" s="118"/>
      <c r="D38" s="118"/>
      <c r="E38" s="104"/>
    </row>
    <row r="39" spans="1:5" ht="20.25" customHeight="1">
      <c r="A39" s="118"/>
      <c r="B39" s="118"/>
      <c r="C39" s="118"/>
      <c r="D39" s="118"/>
      <c r="E39" s="104"/>
    </row>
    <row r="40" spans="1:5" ht="20.25" customHeight="1">
      <c r="A40" s="118"/>
      <c r="B40" s="118"/>
      <c r="C40" s="118"/>
      <c r="D40" s="118"/>
      <c r="E40" s="104"/>
    </row>
    <row r="41" spans="1:5" ht="20.25" customHeight="1">
      <c r="A41" s="118"/>
      <c r="B41" s="118"/>
      <c r="C41" s="118"/>
      <c r="D41" s="118"/>
      <c r="E41" s="103"/>
    </row>
    <row r="42" spans="1:5" ht="20.25" customHeight="1">
      <c r="A42" s="118"/>
      <c r="B42" s="118"/>
      <c r="C42" s="118"/>
      <c r="D42" s="118"/>
      <c r="E42" s="104"/>
    </row>
    <row r="43" spans="1:5" ht="20.25" customHeight="1">
      <c r="A43" s="118"/>
      <c r="B43" s="118"/>
      <c r="C43" s="118"/>
      <c r="D43" s="118"/>
      <c r="E43" s="107"/>
    </row>
    <row r="44" spans="1:5" ht="20.25" customHeight="1">
      <c r="A44" s="118"/>
      <c r="B44" s="118"/>
      <c r="C44" s="118"/>
      <c r="D44" s="119"/>
      <c r="E44" s="103"/>
    </row>
    <row r="45" spans="1:5" ht="20.25" customHeight="1">
      <c r="A45" s="118"/>
      <c r="B45" s="118"/>
      <c r="C45" s="118"/>
      <c r="D45" s="118"/>
      <c r="E45" s="117"/>
    </row>
    <row r="46" spans="1:5" ht="20.25" customHeight="1">
      <c r="A46" s="118" t="s">
        <v>4534</v>
      </c>
      <c r="B46" s="118"/>
      <c r="C46" s="118" t="s">
        <v>4535</v>
      </c>
      <c r="D46" s="118" t="s">
        <v>4536</v>
      </c>
      <c r="E46" s="104">
        <v>44961</v>
      </c>
    </row>
    <row r="47" spans="1:5" ht="20.25" customHeight="1">
      <c r="A47" s="118" t="s">
        <v>4534</v>
      </c>
      <c r="B47" s="118"/>
      <c r="C47" s="118" t="s">
        <v>4537</v>
      </c>
      <c r="D47" s="118" t="s">
        <v>4538</v>
      </c>
      <c r="E47" s="104">
        <v>44923</v>
      </c>
    </row>
    <row r="48" spans="1:5" ht="20.25" customHeight="1">
      <c r="A48" s="118" t="s">
        <v>4534</v>
      </c>
      <c r="B48" s="118"/>
      <c r="C48" s="118" t="s">
        <v>4539</v>
      </c>
      <c r="D48" s="118" t="s">
        <v>4540</v>
      </c>
      <c r="E48" s="117">
        <v>45013</v>
      </c>
    </row>
    <row r="49" spans="1:5" ht="20.25" customHeight="1">
      <c r="A49" s="118" t="s">
        <v>4534</v>
      </c>
      <c r="B49" s="118"/>
      <c r="C49" s="118" t="s">
        <v>4541</v>
      </c>
      <c r="D49" s="118" t="s">
        <v>4542</v>
      </c>
      <c r="E49" s="107">
        <v>45148</v>
      </c>
    </row>
    <row r="50" spans="1:5" ht="20.25" customHeight="1">
      <c r="A50" s="118" t="s">
        <v>4534</v>
      </c>
      <c r="B50" s="118"/>
      <c r="C50" s="118" t="s">
        <v>4543</v>
      </c>
      <c r="D50" s="118" t="s">
        <v>4544</v>
      </c>
      <c r="E50" s="106"/>
    </row>
    <row r="51" spans="1:5" ht="20.25" customHeight="1">
      <c r="A51" s="118" t="s">
        <v>4534</v>
      </c>
      <c r="B51" s="118"/>
      <c r="C51" s="118" t="s">
        <v>4545</v>
      </c>
      <c r="D51" s="118" t="s">
        <v>4546</v>
      </c>
      <c r="E51" s="103"/>
    </row>
    <row r="52" spans="1:5" ht="20.25" customHeight="1">
      <c r="A52" s="118" t="s">
        <v>4534</v>
      </c>
      <c r="B52" s="118"/>
      <c r="C52" s="118" t="s">
        <v>4547</v>
      </c>
      <c r="D52" s="118" t="s">
        <v>4548</v>
      </c>
      <c r="E52" s="106"/>
    </row>
    <row r="53" spans="1:5" ht="20.25" customHeight="1">
      <c r="A53" s="118" t="s">
        <v>4534</v>
      </c>
      <c r="B53" s="118"/>
      <c r="C53" s="118" t="s">
        <v>4549</v>
      </c>
      <c r="D53" s="118" t="s">
        <v>4550</v>
      </c>
      <c r="E53" s="106"/>
    </row>
    <row r="54" spans="1:5" ht="20.25" customHeight="1">
      <c r="A54" s="118" t="s">
        <v>4534</v>
      </c>
      <c r="B54" s="118"/>
      <c r="C54" s="118" t="s">
        <v>4551</v>
      </c>
      <c r="D54" s="118" t="s">
        <v>4552</v>
      </c>
      <c r="E54" s="103"/>
    </row>
    <row r="55" spans="1:5" ht="20.25" customHeight="1">
      <c r="A55" s="118" t="s">
        <v>4534</v>
      </c>
      <c r="B55" s="118"/>
      <c r="C55" s="118" t="s">
        <v>4553</v>
      </c>
      <c r="D55" s="118" t="s">
        <v>4554</v>
      </c>
      <c r="E55" s="103"/>
    </row>
    <row r="56" spans="1:5" ht="20.25" customHeight="1">
      <c r="A56" s="118" t="s">
        <v>4534</v>
      </c>
      <c r="B56" s="118"/>
      <c r="C56" s="118" t="s">
        <v>4555</v>
      </c>
      <c r="D56" s="118" t="s">
        <v>4556</v>
      </c>
      <c r="E56" s="108"/>
    </row>
    <row r="57" spans="1:5" ht="20.25" customHeight="1">
      <c r="A57" s="118" t="s">
        <v>4534</v>
      </c>
      <c r="B57" s="118"/>
      <c r="C57" s="118" t="s">
        <v>4557</v>
      </c>
      <c r="D57" s="118" t="s">
        <v>4558</v>
      </c>
      <c r="E57" s="104">
        <v>45056</v>
      </c>
    </row>
    <row r="58" spans="1:5" ht="20.25" customHeight="1">
      <c r="A58" s="118" t="s">
        <v>4534</v>
      </c>
      <c r="B58" s="118"/>
      <c r="C58" s="118" t="s">
        <v>4559</v>
      </c>
      <c r="D58" s="118" t="s">
        <v>4560</v>
      </c>
      <c r="E58" s="117">
        <v>45013</v>
      </c>
    </row>
    <row r="59" spans="1:5" ht="20.25" customHeight="1">
      <c r="A59" s="118" t="s">
        <v>4534</v>
      </c>
      <c r="B59" s="118"/>
      <c r="C59" s="118" t="s">
        <v>4561</v>
      </c>
      <c r="D59" s="118" t="s">
        <v>4562</v>
      </c>
      <c r="E59" s="104">
        <v>45097</v>
      </c>
    </row>
    <row r="60" spans="1:5" ht="20.25" customHeight="1">
      <c r="A60" s="118" t="s">
        <v>4534</v>
      </c>
      <c r="B60" s="118"/>
      <c r="C60" s="118" t="s">
        <v>4563</v>
      </c>
      <c r="D60" s="118" t="s">
        <v>4564</v>
      </c>
      <c r="E60" s="104">
        <v>44816</v>
      </c>
    </row>
    <row r="61" spans="1:5" ht="20.25" customHeight="1">
      <c r="A61" s="118" t="s">
        <v>4534</v>
      </c>
      <c r="B61" s="118"/>
      <c r="C61" s="118" t="s">
        <v>4565</v>
      </c>
      <c r="D61" s="118" t="s">
        <v>4566</v>
      </c>
      <c r="E61" s="103"/>
    </row>
    <row r="62" spans="1:5" ht="20.25" customHeight="1">
      <c r="A62" s="118" t="s">
        <v>4534</v>
      </c>
      <c r="B62" s="118"/>
      <c r="C62" s="118" t="s">
        <v>4567</v>
      </c>
      <c r="D62" s="118" t="s">
        <v>4568</v>
      </c>
      <c r="E62" s="103" t="s">
        <v>4355</v>
      </c>
    </row>
    <row r="63" spans="1:5" ht="20.25" customHeight="1">
      <c r="A63" s="118" t="s">
        <v>4534</v>
      </c>
      <c r="B63" s="118"/>
      <c r="C63" s="118" t="s">
        <v>4569</v>
      </c>
      <c r="D63" s="118" t="s">
        <v>4570</v>
      </c>
      <c r="E63" s="103"/>
    </row>
    <row r="64" spans="1:5" ht="20.25" customHeight="1">
      <c r="A64" s="118" t="s">
        <v>4534</v>
      </c>
      <c r="B64" s="118"/>
      <c r="C64" s="118" t="s">
        <v>4571</v>
      </c>
      <c r="D64" s="118" t="s">
        <v>4572</v>
      </c>
      <c r="E64" s="103"/>
    </row>
    <row r="65" spans="1:5" ht="20.25" customHeight="1">
      <c r="A65" s="118" t="s">
        <v>4534</v>
      </c>
      <c r="B65" s="118"/>
      <c r="C65" s="118" t="s">
        <v>4573</v>
      </c>
      <c r="D65" s="118" t="s">
        <v>4574</v>
      </c>
      <c r="E65" s="104">
        <v>44877</v>
      </c>
    </row>
    <row r="66" spans="1:5" ht="20.25" customHeight="1">
      <c r="A66" s="118" t="s">
        <v>4534</v>
      </c>
      <c r="B66" s="118"/>
      <c r="C66" s="118" t="s">
        <v>4575</v>
      </c>
      <c r="D66" s="118" t="s">
        <v>4576</v>
      </c>
      <c r="E66" s="104">
        <v>44876</v>
      </c>
    </row>
    <row r="67" spans="1:5" ht="20.25" customHeight="1">
      <c r="A67" s="118" t="s">
        <v>4534</v>
      </c>
      <c r="B67" s="118"/>
      <c r="C67" s="118" t="s">
        <v>4577</v>
      </c>
      <c r="D67" s="118" t="s">
        <v>4578</v>
      </c>
      <c r="E67" s="104">
        <v>44910</v>
      </c>
    </row>
    <row r="68" spans="1:5" ht="20.25" customHeight="1">
      <c r="A68" s="118" t="s">
        <v>4534</v>
      </c>
      <c r="B68" s="118"/>
      <c r="C68" s="118" t="s">
        <v>4579</v>
      </c>
      <c r="D68" s="118" t="s">
        <v>4580</v>
      </c>
      <c r="E68" s="107">
        <v>45148</v>
      </c>
    </row>
    <row r="69" spans="1:5" ht="20.25" customHeight="1">
      <c r="A69" s="118" t="s">
        <v>4534</v>
      </c>
      <c r="B69" s="118"/>
      <c r="C69" s="118" t="s">
        <v>4581</v>
      </c>
      <c r="D69" s="118" t="s">
        <v>4582</v>
      </c>
      <c r="E69" s="107">
        <v>45065</v>
      </c>
    </row>
    <row r="70" spans="1:5" ht="20.25" customHeight="1">
      <c r="A70" s="118" t="s">
        <v>4534</v>
      </c>
      <c r="B70" s="118"/>
      <c r="C70" s="118" t="s">
        <v>4583</v>
      </c>
      <c r="D70" s="118" t="s">
        <v>4584</v>
      </c>
      <c r="E70" s="107">
        <v>45049</v>
      </c>
    </row>
    <row r="71" spans="1:5" ht="20.25" customHeight="1">
      <c r="A71" s="118" t="s">
        <v>4534</v>
      </c>
      <c r="B71" s="118"/>
      <c r="C71" s="118" t="s">
        <v>4585</v>
      </c>
      <c r="D71" s="118" t="s">
        <v>4586</v>
      </c>
      <c r="E71" s="107">
        <v>45065</v>
      </c>
    </row>
    <row r="72" spans="1:5" ht="20.25" customHeight="1">
      <c r="A72" s="118" t="s">
        <v>4534</v>
      </c>
      <c r="B72" s="118"/>
      <c r="C72" s="118" t="s">
        <v>4587</v>
      </c>
      <c r="D72" s="118" t="s">
        <v>4588</v>
      </c>
      <c r="E72" s="104">
        <v>44922</v>
      </c>
    </row>
    <row r="73" spans="1:5" ht="20.25" customHeight="1">
      <c r="A73" s="118" t="s">
        <v>4534</v>
      </c>
      <c r="B73" s="118"/>
      <c r="C73" s="118" t="s">
        <v>4589</v>
      </c>
      <c r="D73" s="118" t="s">
        <v>4590</v>
      </c>
      <c r="E73" s="104">
        <v>44961</v>
      </c>
    </row>
    <row r="74" spans="1:5" ht="20.25" customHeight="1">
      <c r="A74" s="118" t="s">
        <v>4534</v>
      </c>
      <c r="B74" s="118"/>
      <c r="C74" s="118" t="s">
        <v>4591</v>
      </c>
      <c r="D74" s="118" t="s">
        <v>4592</v>
      </c>
      <c r="E74" s="103" t="s">
        <v>4355</v>
      </c>
    </row>
    <row r="75" spans="1:5" ht="20.25" customHeight="1">
      <c r="A75" s="118" t="s">
        <v>4534</v>
      </c>
      <c r="B75" s="118"/>
      <c r="C75" s="118" t="s">
        <v>4593</v>
      </c>
      <c r="D75" s="118" t="s">
        <v>4594</v>
      </c>
      <c r="E75" s="107">
        <v>45049</v>
      </c>
    </row>
    <row r="76" spans="1:5" ht="20.25" customHeight="1">
      <c r="A76" s="118" t="s">
        <v>4534</v>
      </c>
      <c r="B76" s="118"/>
      <c r="C76" s="120" t="s">
        <v>4595</v>
      </c>
      <c r="D76" s="121" t="s">
        <v>4596</v>
      </c>
      <c r="E76" s="103" t="s">
        <v>4355</v>
      </c>
    </row>
    <row r="77" spans="1:5" ht="20.25" customHeight="1">
      <c r="A77" s="118" t="s">
        <v>4534</v>
      </c>
      <c r="B77" s="118"/>
      <c r="C77" s="120" t="s">
        <v>4597</v>
      </c>
      <c r="D77" s="122" t="s">
        <v>4598</v>
      </c>
      <c r="E77" s="103" t="s">
        <v>4355</v>
      </c>
    </row>
    <row r="78" spans="1:5" ht="20.25" customHeight="1">
      <c r="C78" s="123"/>
      <c r="D78" s="124"/>
      <c r="E78" s="103" t="s">
        <v>4355</v>
      </c>
    </row>
    <row r="79" spans="1:5" ht="20.25" customHeight="1">
      <c r="C79" s="91"/>
      <c r="D79" s="125"/>
      <c r="E79" s="104">
        <v>44910</v>
      </c>
    </row>
    <row r="80" spans="1:5" ht="20.25" customHeight="1">
      <c r="C80" s="91"/>
      <c r="D80" s="125"/>
      <c r="E80" s="104">
        <v>44840</v>
      </c>
    </row>
    <row r="81" spans="3:5" ht="20.25" customHeight="1">
      <c r="C81" s="91"/>
      <c r="D81" s="125"/>
      <c r="E81" s="103" t="s">
        <v>4355</v>
      </c>
    </row>
    <row r="82" spans="3:5" ht="20.25" customHeight="1">
      <c r="C82" s="91"/>
      <c r="D82" s="125"/>
      <c r="E82" s="103" t="s">
        <v>4355</v>
      </c>
    </row>
    <row r="83" spans="3:5" ht="20.25" customHeight="1">
      <c r="C83" s="91"/>
      <c r="D83" s="125"/>
      <c r="E83" s="104">
        <v>44877</v>
      </c>
    </row>
    <row r="84" spans="3:5" ht="20.25" customHeight="1">
      <c r="C84" s="91"/>
      <c r="D84" s="125"/>
      <c r="E84" s="103" t="s">
        <v>4355</v>
      </c>
    </row>
    <row r="85" spans="3:5" ht="20.25" customHeight="1">
      <c r="C85" s="91"/>
      <c r="E85" s="103" t="s">
        <v>4355</v>
      </c>
    </row>
    <row r="86" spans="3:5" ht="20.25" customHeight="1">
      <c r="C86" s="91"/>
      <c r="E86" s="104">
        <v>44840</v>
      </c>
    </row>
    <row r="87" spans="3:5" ht="20.25" customHeight="1">
      <c r="C87" s="91"/>
      <c r="E87" s="103" t="s">
        <v>4355</v>
      </c>
    </row>
    <row r="88" spans="3:5" ht="20.25" customHeight="1">
      <c r="C88" s="91"/>
      <c r="E88" s="103" t="s">
        <v>4355</v>
      </c>
    </row>
    <row r="89" spans="3:5" ht="20.25" customHeight="1">
      <c r="C89" s="91"/>
      <c r="E89" s="103" t="s">
        <v>4355</v>
      </c>
    </row>
    <row r="90" spans="3:5" ht="20.25" customHeight="1">
      <c r="C90" s="91"/>
      <c r="E90" s="103" t="s">
        <v>4355</v>
      </c>
    </row>
    <row r="91" spans="3:5" ht="20.25" customHeight="1">
      <c r="C91" s="97" t="s">
        <v>4599</v>
      </c>
      <c r="E91" s="103" t="s">
        <v>4355</v>
      </c>
    </row>
    <row r="92" spans="3:5" ht="20.25" customHeight="1">
      <c r="C92" s="97" t="s">
        <v>4600</v>
      </c>
      <c r="E92" s="103" t="s">
        <v>4355</v>
      </c>
    </row>
    <row r="93" spans="3:5" ht="20.25" customHeight="1">
      <c r="C93" s="91" t="s">
        <v>4601</v>
      </c>
      <c r="E93" s="103" t="s">
        <v>4355</v>
      </c>
    </row>
    <row r="94" spans="3:5" ht="20.25" customHeight="1">
      <c r="C94" s="91" t="s">
        <v>4602</v>
      </c>
      <c r="E94" s="103" t="s">
        <v>4355</v>
      </c>
    </row>
    <row r="95" spans="3:5" ht="20.25" customHeight="1">
      <c r="C95" s="91" t="s">
        <v>4603</v>
      </c>
      <c r="E95" s="103" t="s">
        <v>4355</v>
      </c>
    </row>
    <row r="96" spans="3:5" ht="20.25" customHeight="1">
      <c r="C96" s="91" t="s">
        <v>4604</v>
      </c>
      <c r="E96" s="103"/>
    </row>
    <row r="97" spans="3:5" ht="20.25" customHeight="1">
      <c r="C97" s="91" t="s">
        <v>4605</v>
      </c>
      <c r="E97" s="103"/>
    </row>
    <row r="98" spans="3:5" ht="20.25" customHeight="1">
      <c r="C98" s="91" t="s">
        <v>4606</v>
      </c>
      <c r="E98" s="117">
        <v>45013</v>
      </c>
    </row>
    <row r="99" spans="3:5" ht="20.25" customHeight="1">
      <c r="C99" s="91" t="s">
        <v>4607</v>
      </c>
      <c r="E99" s="117">
        <v>45013</v>
      </c>
    </row>
    <row r="100" spans="3:5" ht="20.25" customHeight="1">
      <c r="C100" s="91" t="s">
        <v>4608</v>
      </c>
      <c r="E100" s="103" t="s">
        <v>4355</v>
      </c>
    </row>
    <row r="101" spans="3:5" ht="20.25" customHeight="1">
      <c r="C101" s="97" t="s">
        <v>4609</v>
      </c>
      <c r="E101" s="103" t="s">
        <v>4355</v>
      </c>
    </row>
    <row r="102" spans="3:5" ht="20.25" customHeight="1">
      <c r="C102" s="91" t="s">
        <v>4610</v>
      </c>
      <c r="E102" s="104">
        <v>44853</v>
      </c>
    </row>
    <row r="103" spans="3:5" ht="20.25" customHeight="1">
      <c r="C103" s="91" t="s">
        <v>4611</v>
      </c>
      <c r="E103" s="104">
        <v>44840</v>
      </c>
    </row>
    <row r="104" spans="3:5" ht="20.25" customHeight="1">
      <c r="C104" s="91" t="s">
        <v>4612</v>
      </c>
      <c r="E104" s="104">
        <v>44840</v>
      </c>
    </row>
    <row r="105" spans="3:5" ht="20.25" customHeight="1">
      <c r="C105" s="91" t="s">
        <v>4613</v>
      </c>
      <c r="E105" s="105"/>
    </row>
    <row r="106" spans="3:5" ht="20.25" customHeight="1">
      <c r="C106" s="97" t="s">
        <v>4614</v>
      </c>
      <c r="E106" s="104">
        <v>44910</v>
      </c>
    </row>
    <row r="107" spans="3:5" ht="20.25" customHeight="1">
      <c r="C107" s="91" t="s">
        <v>4615</v>
      </c>
      <c r="E107" s="104">
        <v>44961</v>
      </c>
    </row>
    <row r="108" spans="3:5" ht="20.25" customHeight="1">
      <c r="C108" s="91" t="s">
        <v>4616</v>
      </c>
      <c r="E108" s="103" t="s">
        <v>4355</v>
      </c>
    </row>
    <row r="109" spans="3:5" ht="20.25" customHeight="1">
      <c r="C109" s="91" t="s">
        <v>4617</v>
      </c>
      <c r="E109" s="103" t="s">
        <v>4355</v>
      </c>
    </row>
    <row r="110" spans="3:5" ht="20.25" customHeight="1">
      <c r="C110" s="97" t="s">
        <v>4618</v>
      </c>
      <c r="E110" s="104">
        <v>44862</v>
      </c>
    </row>
    <row r="111" spans="3:5" ht="20.25" customHeight="1">
      <c r="C111" s="91" t="s">
        <v>4619</v>
      </c>
      <c r="E111" s="104">
        <v>44877</v>
      </c>
    </row>
    <row r="112" spans="3:5" ht="20.25" customHeight="1">
      <c r="C112" s="91" t="s">
        <v>4620</v>
      </c>
      <c r="E112" s="104">
        <v>44840</v>
      </c>
    </row>
    <row r="113" spans="3:5" ht="20.25" customHeight="1">
      <c r="C113" s="97" t="s">
        <v>4621</v>
      </c>
      <c r="E113" s="103" t="s">
        <v>4355</v>
      </c>
    </row>
    <row r="114" spans="3:5" ht="20.25" customHeight="1">
      <c r="C114" s="91" t="s">
        <v>4622</v>
      </c>
      <c r="E114" s="104">
        <v>44840</v>
      </c>
    </row>
    <row r="115" spans="3:5" ht="20.25" customHeight="1">
      <c r="C115" s="91" t="s">
        <v>4623</v>
      </c>
      <c r="E115" s="103" t="s">
        <v>4355</v>
      </c>
    </row>
    <row r="116" spans="3:5" ht="20.25" customHeight="1">
      <c r="C116" s="91" t="s">
        <v>4624</v>
      </c>
      <c r="E116" s="103" t="s">
        <v>4355</v>
      </c>
    </row>
    <row r="117" spans="3:5" ht="20.25" customHeight="1">
      <c r="C117" s="91" t="s">
        <v>4625</v>
      </c>
      <c r="E117" s="104">
        <v>44840</v>
      </c>
    </row>
    <row r="118" spans="3:5" ht="20.25" customHeight="1">
      <c r="C118" s="91" t="s">
        <v>4626</v>
      </c>
      <c r="E118" s="104">
        <v>44877</v>
      </c>
    </row>
    <row r="119" spans="3:5" ht="20.25" customHeight="1">
      <c r="C119" s="91" t="s">
        <v>4627</v>
      </c>
      <c r="E119" s="104">
        <v>44890</v>
      </c>
    </row>
    <row r="120" spans="3:5" ht="20.25" customHeight="1">
      <c r="C120" s="91" t="s">
        <v>4628</v>
      </c>
      <c r="E120" s="104">
        <v>45013</v>
      </c>
    </row>
    <row r="121" spans="3:5" ht="20.25" customHeight="1">
      <c r="C121" s="91" t="s">
        <v>4629</v>
      </c>
      <c r="E121" s="104">
        <v>45013</v>
      </c>
    </row>
    <row r="122" spans="3:5" ht="20.25" customHeight="1">
      <c r="C122" s="91" t="s">
        <v>4630</v>
      </c>
      <c r="E122" s="104"/>
    </row>
    <row r="123" spans="3:5" ht="20.25" customHeight="1">
      <c r="C123" s="91" t="s">
        <v>4631</v>
      </c>
      <c r="E123" s="104"/>
    </row>
    <row r="124" spans="3:5" ht="20.25" customHeight="1">
      <c r="C124" s="91" t="s">
        <v>4632</v>
      </c>
      <c r="E124" s="111"/>
    </row>
    <row r="125" spans="3:5" ht="20.25" customHeight="1">
      <c r="C125" s="91" t="s">
        <v>4633</v>
      </c>
      <c r="E125" s="111"/>
    </row>
    <row r="126" spans="3:5" ht="20.25" customHeight="1">
      <c r="C126" s="91" t="s">
        <v>4634</v>
      </c>
      <c r="E126" s="111"/>
    </row>
    <row r="127" spans="3:5" ht="20.25" customHeight="1">
      <c r="C127" s="97" t="s">
        <v>4635</v>
      </c>
      <c r="E127" s="111"/>
    </row>
    <row r="128" spans="3:5" ht="20.25" customHeight="1">
      <c r="C128" s="91" t="s">
        <v>4636</v>
      </c>
      <c r="E128" s="111"/>
    </row>
    <row r="129" spans="3:5" ht="20.25" customHeight="1">
      <c r="C129" s="97" t="s">
        <v>4637</v>
      </c>
      <c r="E129" s="111"/>
    </row>
    <row r="130" spans="3:5" ht="20.25" customHeight="1">
      <c r="C130" s="91" t="s">
        <v>4638</v>
      </c>
      <c r="E130" s="107">
        <v>45105</v>
      </c>
    </row>
    <row r="131" spans="3:5" ht="20.25" customHeight="1">
      <c r="C131" s="91" t="s">
        <v>4639</v>
      </c>
      <c r="E131" s="108"/>
    </row>
    <row r="132" spans="3:5" ht="20.25" customHeight="1">
      <c r="C132" s="91" t="s">
        <v>4640</v>
      </c>
      <c r="E132" s="111"/>
    </row>
    <row r="133" spans="3:5" ht="20.25" customHeight="1">
      <c r="C133" s="91" t="s">
        <v>4641</v>
      </c>
      <c r="E133" s="111"/>
    </row>
    <row r="134" spans="3:5" ht="20.25" customHeight="1">
      <c r="C134" s="91" t="s">
        <v>4642</v>
      </c>
      <c r="E134" s="111"/>
    </row>
    <row r="135" spans="3:5" ht="20.25" customHeight="1">
      <c r="C135" s="91" t="s">
        <v>4643</v>
      </c>
      <c r="E135" s="107">
        <v>45105</v>
      </c>
    </row>
    <row r="136" spans="3:5" ht="20.25" customHeight="1">
      <c r="C136" s="91" t="s">
        <v>4644</v>
      </c>
      <c r="E136" s="111"/>
    </row>
    <row r="137" spans="3:5" ht="20.25" customHeight="1">
      <c r="C137" s="91" t="s">
        <v>4645</v>
      </c>
      <c r="E137" s="111"/>
    </row>
    <row r="138" spans="3:5" ht="20.25" customHeight="1">
      <c r="C138" s="91" t="s">
        <v>4646</v>
      </c>
      <c r="E138" s="107">
        <v>45049</v>
      </c>
    </row>
    <row r="139" spans="3:5" ht="20.25" customHeight="1">
      <c r="C139" s="91" t="s">
        <v>4647</v>
      </c>
      <c r="E139" s="111"/>
    </row>
    <row r="140" spans="3:5" ht="20.25" customHeight="1">
      <c r="C140" s="91" t="s">
        <v>4648</v>
      </c>
      <c r="E140" s="111"/>
    </row>
    <row r="141" spans="3:5" ht="20.25" customHeight="1">
      <c r="C141" s="91" t="s">
        <v>4649</v>
      </c>
      <c r="E141" s="111"/>
    </row>
    <row r="142" spans="3:5" ht="20.25" customHeight="1">
      <c r="C142" s="91" t="s">
        <v>4650</v>
      </c>
      <c r="E142" s="111"/>
    </row>
    <row r="143" spans="3:5" ht="20.25" customHeight="1">
      <c r="C143" s="91" t="s">
        <v>4651</v>
      </c>
      <c r="E143" s="111"/>
    </row>
    <row r="144" spans="3:5" ht="20.25" customHeight="1">
      <c r="C144" s="91" t="s">
        <v>4652</v>
      </c>
      <c r="E144" s="104">
        <v>45056</v>
      </c>
    </row>
    <row r="145" spans="3:5" ht="20.25" customHeight="1">
      <c r="C145" s="91" t="s">
        <v>4653</v>
      </c>
      <c r="E145" s="104">
        <v>45056</v>
      </c>
    </row>
    <row r="146" spans="3:5" ht="20.25" customHeight="1">
      <c r="C146" s="90" t="s">
        <v>4654</v>
      </c>
      <c r="E146" s="104">
        <v>45056</v>
      </c>
    </row>
    <row r="147" spans="3:5" ht="20.25" customHeight="1">
      <c r="C147" s="91" t="s">
        <v>4655</v>
      </c>
      <c r="E147" s="111"/>
    </row>
    <row r="148" spans="3:5" ht="20.25" customHeight="1">
      <c r="C148" s="91" t="s">
        <v>4656</v>
      </c>
      <c r="E148" s="111"/>
    </row>
    <row r="149" spans="3:5" ht="20.25" customHeight="1">
      <c r="C149" s="91" t="s">
        <v>4657</v>
      </c>
      <c r="E149" s="111"/>
    </row>
    <row r="150" spans="3:5" ht="20.25" customHeight="1">
      <c r="C150" s="91" t="s">
        <v>4658</v>
      </c>
      <c r="E150" s="111"/>
    </row>
    <row r="151" spans="3:5" ht="20.25" customHeight="1">
      <c r="C151" s="91" t="s">
        <v>4659</v>
      </c>
      <c r="E151" s="111"/>
    </row>
    <row r="152" spans="3:5" ht="20.25" customHeight="1">
      <c r="C152" s="91" t="s">
        <v>4660</v>
      </c>
      <c r="E152" s="111"/>
    </row>
    <row r="153" spans="3:5" ht="20.25" customHeight="1">
      <c r="C153" s="97" t="s">
        <v>4661</v>
      </c>
      <c r="E153" s="111"/>
    </row>
    <row r="154" spans="3:5" ht="20.25" customHeight="1">
      <c r="C154" s="91" t="s">
        <v>4662</v>
      </c>
      <c r="E154" s="111"/>
    </row>
    <row r="155" spans="3:5" ht="20.25" customHeight="1">
      <c r="C155" s="91" t="s">
        <v>4663</v>
      </c>
      <c r="E155" s="111"/>
    </row>
    <row r="156" spans="3:5" ht="20.25" customHeight="1">
      <c r="C156" s="91" t="s">
        <v>4664</v>
      </c>
      <c r="E156" s="108"/>
    </row>
    <row r="157" spans="3:5" ht="20.25" customHeight="1">
      <c r="C157" s="91" t="s">
        <v>4665</v>
      </c>
      <c r="E157" s="104">
        <v>45056</v>
      </c>
    </row>
    <row r="158" spans="3:5" ht="20.25" customHeight="1">
      <c r="C158" s="91" t="s">
        <v>4666</v>
      </c>
      <c r="E158" s="107">
        <v>45148</v>
      </c>
    </row>
    <row r="159" spans="3:5" ht="20.25" customHeight="1">
      <c r="C159" s="91" t="s">
        <v>4667</v>
      </c>
      <c r="E159" s="106"/>
    </row>
    <row r="160" spans="3:5" ht="20.25" customHeight="1">
      <c r="C160" s="91" t="s">
        <v>4668</v>
      </c>
      <c r="E160" s="106"/>
    </row>
    <row r="161" spans="3:5" ht="20.25" customHeight="1">
      <c r="C161" s="91" t="s">
        <v>4669</v>
      </c>
      <c r="E161" s="106"/>
    </row>
    <row r="162" spans="3:5" ht="20.25" customHeight="1">
      <c r="C162" s="91" t="s">
        <v>4670</v>
      </c>
      <c r="E162" s="106"/>
    </row>
    <row r="163" spans="3:5" ht="20.25" customHeight="1">
      <c r="C163" s="91" t="s">
        <v>4671</v>
      </c>
      <c r="E163" s="106"/>
    </row>
    <row r="164" spans="3:5" ht="20.25" customHeight="1">
      <c r="C164" s="91" t="s">
        <v>4672</v>
      </c>
      <c r="E164" s="106"/>
    </row>
    <row r="165" spans="3:5" ht="20.25" customHeight="1">
      <c r="C165" s="91" t="s">
        <v>4673</v>
      </c>
      <c r="E165" s="106"/>
    </row>
    <row r="166" spans="3:5" ht="20.25" customHeight="1">
      <c r="C166" s="91" t="s">
        <v>4674</v>
      </c>
      <c r="E166" s="106"/>
    </row>
    <row r="167" spans="3:5" ht="20.25" customHeight="1">
      <c r="C167" s="91" t="s">
        <v>4675</v>
      </c>
      <c r="E167" s="106"/>
    </row>
    <row r="168" spans="3:5" ht="20.25" customHeight="1">
      <c r="C168" s="91" t="s">
        <v>4676</v>
      </c>
      <c r="E168" s="106"/>
    </row>
    <row r="169" spans="3:5" ht="20.25" customHeight="1">
      <c r="C169" s="91" t="s">
        <v>4677</v>
      </c>
      <c r="E169" s="106"/>
    </row>
    <row r="170" spans="3:5" ht="20.25" customHeight="1">
      <c r="C170" s="91" t="s">
        <v>4678</v>
      </c>
      <c r="E170" s="106"/>
    </row>
    <row r="171" spans="3:5" ht="20.25" customHeight="1">
      <c r="C171" s="91" t="s">
        <v>4679</v>
      </c>
      <c r="E171" s="106"/>
    </row>
    <row r="172" spans="3:5" ht="20.25" customHeight="1">
      <c r="C172" s="97" t="s">
        <v>4680</v>
      </c>
      <c r="E172" s="106"/>
    </row>
    <row r="173" spans="3:5" ht="20.25" customHeight="1">
      <c r="C173" s="91" t="s">
        <v>4681</v>
      </c>
      <c r="E173" s="106"/>
    </row>
    <row r="174" spans="3:5" ht="20.25" customHeight="1">
      <c r="C174" s="91" t="s">
        <v>4682</v>
      </c>
      <c r="E174" s="106"/>
    </row>
    <row r="175" spans="3:5" ht="20.25" customHeight="1">
      <c r="C175" s="91" t="s">
        <v>4683</v>
      </c>
      <c r="E175" s="106"/>
    </row>
    <row r="176" spans="3:5" ht="20.25" customHeight="1">
      <c r="C176" s="91" t="s">
        <v>4684</v>
      </c>
      <c r="E176" s="106"/>
    </row>
    <row r="177" spans="3:5" ht="20.25" customHeight="1">
      <c r="C177" s="91" t="s">
        <v>4685</v>
      </c>
      <c r="E177" s="106"/>
    </row>
    <row r="178" spans="3:5" ht="20.25" customHeight="1">
      <c r="C178" s="91" t="s">
        <v>4686</v>
      </c>
      <c r="E178" s="107">
        <v>45105</v>
      </c>
    </row>
    <row r="179" spans="3:5" ht="20.25" customHeight="1">
      <c r="C179" s="91" t="s">
        <v>4687</v>
      </c>
      <c r="E179" s="104">
        <v>44992</v>
      </c>
    </row>
    <row r="180" spans="3:5" ht="20.25" customHeight="1">
      <c r="C180" s="97" t="s">
        <v>4688</v>
      </c>
      <c r="E180" s="104">
        <v>45056</v>
      </c>
    </row>
    <row r="181" spans="3:5" ht="20.25" customHeight="1">
      <c r="C181" s="91" t="s">
        <v>4689</v>
      </c>
      <c r="E181" s="104">
        <v>44992</v>
      </c>
    </row>
    <row r="182" spans="3:5" ht="20.25" customHeight="1">
      <c r="C182" s="91" t="s">
        <v>4690</v>
      </c>
      <c r="E182" s="104">
        <v>45056</v>
      </c>
    </row>
    <row r="183" spans="3:5" ht="20.25" customHeight="1">
      <c r="C183" s="91" t="s">
        <v>4691</v>
      </c>
      <c r="E183" s="110">
        <v>45111</v>
      </c>
    </row>
    <row r="184" spans="3:5" ht="20.25" customHeight="1">
      <c r="C184" s="91" t="s">
        <v>4692</v>
      </c>
      <c r="E184" s="104">
        <v>45056</v>
      </c>
    </row>
    <row r="185" spans="3:5" ht="20.25" customHeight="1">
      <c r="C185" s="97" t="s">
        <v>4693</v>
      </c>
      <c r="E185" s="106"/>
    </row>
    <row r="186" spans="3:5" ht="20.25" customHeight="1">
      <c r="C186" s="91" t="s">
        <v>4694</v>
      </c>
      <c r="E186" s="106"/>
    </row>
    <row r="187" spans="3:5" ht="20.25" customHeight="1">
      <c r="C187" s="91" t="s">
        <v>4695</v>
      </c>
      <c r="E187" s="104">
        <v>45056</v>
      </c>
    </row>
    <row r="188" spans="3:5" ht="20.25" customHeight="1">
      <c r="C188" s="91" t="s">
        <v>4696</v>
      </c>
      <c r="E188" s="104">
        <v>45056</v>
      </c>
    </row>
    <row r="189" spans="3:5" ht="20.25" customHeight="1">
      <c r="C189" s="91" t="s">
        <v>4697</v>
      </c>
      <c r="E189" s="104">
        <v>45056</v>
      </c>
    </row>
    <row r="190" spans="3:5" ht="20.25" customHeight="1">
      <c r="C190" s="91" t="s">
        <v>4698</v>
      </c>
      <c r="E190" s="104">
        <v>45097</v>
      </c>
    </row>
    <row r="191" spans="3:5" ht="20.25" customHeight="1">
      <c r="C191" s="91" t="s">
        <v>4699</v>
      </c>
      <c r="E191" s="110">
        <v>45111</v>
      </c>
    </row>
    <row r="192" spans="3:5" ht="20.25" customHeight="1">
      <c r="C192" s="91" t="s">
        <v>4700</v>
      </c>
      <c r="E192" s="110">
        <v>45111</v>
      </c>
    </row>
    <row r="193" spans="3:5" ht="20.25" customHeight="1">
      <c r="C193" s="91" t="s">
        <v>4701</v>
      </c>
      <c r="E193" s="110">
        <v>45111</v>
      </c>
    </row>
    <row r="194" spans="3:5" ht="20.25" customHeight="1">
      <c r="C194" s="91" t="s">
        <v>4702</v>
      </c>
      <c r="E194" s="104">
        <v>45097</v>
      </c>
    </row>
    <row r="195" spans="3:5" ht="20.25" customHeight="1">
      <c r="C195" s="91" t="s">
        <v>4703</v>
      </c>
      <c r="E195" s="110">
        <v>45111</v>
      </c>
    </row>
    <row r="196" spans="3:5" ht="20.25" customHeight="1">
      <c r="C196" s="91" t="s">
        <v>4704</v>
      </c>
      <c r="E196" s="110">
        <v>45111</v>
      </c>
    </row>
    <row r="197" spans="3:5" ht="20.25" customHeight="1">
      <c r="C197" s="91" t="s">
        <v>4705</v>
      </c>
      <c r="E197" s="104">
        <v>45097</v>
      </c>
    </row>
    <row r="198" spans="3:5" ht="20.25" customHeight="1">
      <c r="C198" s="91" t="s">
        <v>4706</v>
      </c>
      <c r="E198" s="104">
        <v>45097</v>
      </c>
    </row>
    <row r="199" spans="3:5" ht="20.25" customHeight="1">
      <c r="C199" s="91" t="s">
        <v>4707</v>
      </c>
      <c r="E199" s="104">
        <v>45097</v>
      </c>
    </row>
    <row r="200" spans="3:5" ht="20.25" customHeight="1">
      <c r="C200" s="91" t="s">
        <v>4708</v>
      </c>
      <c r="E200" s="108"/>
    </row>
    <row r="201" spans="3:5" ht="20.25" customHeight="1">
      <c r="C201" s="91" t="s">
        <v>4709</v>
      </c>
      <c r="E201" s="110">
        <v>45111</v>
      </c>
    </row>
    <row r="202" spans="3:5" ht="20.25" customHeight="1">
      <c r="C202" s="91" t="s">
        <v>4710</v>
      </c>
      <c r="E202" s="104">
        <v>45097</v>
      </c>
    </row>
    <row r="203" spans="3:5" ht="20.25" customHeight="1">
      <c r="C203" s="91" t="s">
        <v>4711</v>
      </c>
      <c r="E203" s="107">
        <v>45148</v>
      </c>
    </row>
    <row r="204" spans="3:5" ht="20.25" customHeight="1">
      <c r="C204" s="91" t="s">
        <v>4712</v>
      </c>
      <c r="E204" s="110">
        <v>45111</v>
      </c>
    </row>
    <row r="205" spans="3:5" ht="20.25" customHeight="1">
      <c r="C205" s="91" t="s">
        <v>4713</v>
      </c>
      <c r="E205" s="111"/>
    </row>
    <row r="206" spans="3:5" ht="20.25" customHeight="1">
      <c r="C206" s="91" t="s">
        <v>4714</v>
      </c>
      <c r="E206" s="104">
        <v>44992</v>
      </c>
    </row>
    <row r="207" spans="3:5" ht="20.25" customHeight="1">
      <c r="C207" s="91" t="s">
        <v>4715</v>
      </c>
      <c r="E207" s="104">
        <v>45097</v>
      </c>
    </row>
    <row r="208" spans="3:5" ht="20.25" customHeight="1">
      <c r="C208" s="91" t="s">
        <v>4716</v>
      </c>
      <c r="E208" s="104">
        <v>45097</v>
      </c>
    </row>
    <row r="209" spans="3:5" ht="20.25" customHeight="1">
      <c r="C209" s="91" t="s">
        <v>4717</v>
      </c>
      <c r="E209" s="104">
        <v>45097</v>
      </c>
    </row>
    <row r="210" spans="3:5" ht="20.25" customHeight="1">
      <c r="C210" s="91" t="s">
        <v>4718</v>
      </c>
      <c r="E210" s="111"/>
    </row>
    <row r="211" spans="3:5" ht="20.25" customHeight="1">
      <c r="C211" s="91" t="s">
        <v>4719</v>
      </c>
      <c r="E211" s="111"/>
    </row>
    <row r="212" spans="3:5" ht="20.25" customHeight="1">
      <c r="C212" s="91" t="s">
        <v>4720</v>
      </c>
      <c r="E212" s="104">
        <v>45097</v>
      </c>
    </row>
    <row r="213" spans="3:5" ht="20.25" customHeight="1">
      <c r="C213" s="91" t="s">
        <v>4721</v>
      </c>
      <c r="E213" s="104">
        <v>45097</v>
      </c>
    </row>
    <row r="214" spans="3:5" ht="20.25" customHeight="1">
      <c r="C214" s="91" t="s">
        <v>4722</v>
      </c>
      <c r="E214" s="110">
        <v>45111</v>
      </c>
    </row>
    <row r="215" spans="3:5" ht="20.25" customHeight="1">
      <c r="C215" s="91" t="s">
        <v>4723</v>
      </c>
      <c r="E215" s="104">
        <v>44961</v>
      </c>
    </row>
    <row r="216" spans="3:5" ht="20.25" customHeight="1">
      <c r="C216" s="91" t="s">
        <v>4724</v>
      </c>
      <c r="E216" s="104">
        <v>45097</v>
      </c>
    </row>
    <row r="217" spans="3:5" ht="20.25" customHeight="1">
      <c r="C217" s="91" t="s">
        <v>4725</v>
      </c>
      <c r="E217" s="107">
        <v>45148</v>
      </c>
    </row>
    <row r="218" spans="3:5" ht="20.25" customHeight="1">
      <c r="C218" s="91" t="s">
        <v>4726</v>
      </c>
      <c r="E218" s="110">
        <v>45111</v>
      </c>
    </row>
    <row r="219" spans="3:5" ht="20.25" customHeight="1">
      <c r="C219" s="91" t="s">
        <v>4727</v>
      </c>
      <c r="E219" s="111"/>
    </row>
    <row r="220" spans="3:5" ht="20.25" customHeight="1">
      <c r="C220" s="91" t="s">
        <v>4728</v>
      </c>
      <c r="E220" s="111"/>
    </row>
    <row r="221" spans="3:5" ht="20.25" customHeight="1">
      <c r="C221" s="91" t="s">
        <v>4729</v>
      </c>
      <c r="E221" s="111"/>
    </row>
    <row r="222" spans="3:5" ht="20.25" customHeight="1">
      <c r="C222" s="91" t="s">
        <v>4730</v>
      </c>
      <c r="E222" s="104">
        <v>45097</v>
      </c>
    </row>
    <row r="223" spans="3:5" ht="20.25" customHeight="1">
      <c r="C223" s="91" t="s">
        <v>4731</v>
      </c>
      <c r="E223" s="107">
        <v>45148</v>
      </c>
    </row>
    <row r="224" spans="3:5" ht="20.25" customHeight="1">
      <c r="C224" s="91" t="s">
        <v>4732</v>
      </c>
      <c r="E224" s="110">
        <v>45111</v>
      </c>
    </row>
    <row r="225" spans="3:5" ht="20.25" customHeight="1">
      <c r="C225" s="91" t="s">
        <v>4733</v>
      </c>
      <c r="E225" s="107">
        <v>45148</v>
      </c>
    </row>
    <row r="226" spans="3:5" ht="20.25" customHeight="1">
      <c r="C226" s="91" t="s">
        <v>4734</v>
      </c>
      <c r="E226" s="107">
        <v>45148</v>
      </c>
    </row>
    <row r="227" spans="3:5" ht="20.25" customHeight="1">
      <c r="C227" s="91" t="s">
        <v>4735</v>
      </c>
      <c r="E227" s="104">
        <v>45097</v>
      </c>
    </row>
    <row r="228" spans="3:5" ht="20.25" customHeight="1">
      <c r="C228" s="91" t="s">
        <v>4736</v>
      </c>
      <c r="E228" s="111"/>
    </row>
    <row r="229" spans="3:5" ht="20.25" customHeight="1">
      <c r="C229" s="91" t="s">
        <v>4737</v>
      </c>
      <c r="E229" s="110">
        <v>45111</v>
      </c>
    </row>
    <row r="230" spans="3:5" ht="20.25" customHeight="1">
      <c r="C230" s="91" t="s">
        <v>4738</v>
      </c>
      <c r="E230" s="110">
        <v>45111</v>
      </c>
    </row>
    <row r="231" spans="3:5" ht="20.25" customHeight="1">
      <c r="C231" s="91" t="s">
        <v>4739</v>
      </c>
      <c r="E231" s="104">
        <v>45097</v>
      </c>
    </row>
    <row r="232" spans="3:5" ht="20.25" customHeight="1">
      <c r="C232" s="91" t="s">
        <v>4740</v>
      </c>
      <c r="E232" s="110">
        <v>45111</v>
      </c>
    </row>
    <row r="233" spans="3:5" ht="20.25" customHeight="1">
      <c r="C233" s="91" t="s">
        <v>4741</v>
      </c>
      <c r="E233" s="110">
        <v>45111</v>
      </c>
    </row>
    <row r="234" spans="3:5" ht="20.25" customHeight="1">
      <c r="C234" s="91" t="s">
        <v>4742</v>
      </c>
      <c r="E234" s="104">
        <v>45097</v>
      </c>
    </row>
    <row r="235" spans="3:5" ht="20.25" customHeight="1">
      <c r="C235" s="91" t="s">
        <v>4743</v>
      </c>
      <c r="E235" s="104">
        <v>44992</v>
      </c>
    </row>
    <row r="236" spans="3:5" ht="20.25" customHeight="1">
      <c r="C236" s="91" t="s">
        <v>4744</v>
      </c>
      <c r="E236" s="127"/>
    </row>
    <row r="237" spans="3:5" ht="20.25" customHeight="1">
      <c r="C237" s="91" t="s">
        <v>4745</v>
      </c>
      <c r="E237" s="111"/>
    </row>
    <row r="238" spans="3:5" ht="20.25" customHeight="1">
      <c r="C238" s="91" t="s">
        <v>4746</v>
      </c>
      <c r="E238" s="110">
        <v>45111</v>
      </c>
    </row>
    <row r="239" spans="3:5" ht="20.25" customHeight="1">
      <c r="C239" s="91" t="s">
        <v>4747</v>
      </c>
      <c r="E239" s="111"/>
    </row>
    <row r="240" spans="3:5" ht="20.25" customHeight="1">
      <c r="C240" s="91" t="s">
        <v>4748</v>
      </c>
      <c r="E240" s="108"/>
    </row>
    <row r="241" spans="3:5" ht="20.25" customHeight="1">
      <c r="C241" s="91" t="s">
        <v>4749</v>
      </c>
      <c r="E241" s="111"/>
    </row>
    <row r="242" spans="3:5" ht="20.25" customHeight="1">
      <c r="C242" s="91" t="s">
        <v>4750</v>
      </c>
      <c r="E242" s="111"/>
    </row>
    <row r="243" spans="3:5" ht="20.25" customHeight="1">
      <c r="C243" s="91" t="s">
        <v>4751</v>
      </c>
      <c r="E243" s="107">
        <v>45105</v>
      </c>
    </row>
    <row r="244" spans="3:5" ht="20.25" customHeight="1">
      <c r="C244" s="91" t="s">
        <v>4752</v>
      </c>
      <c r="E244" s="104">
        <v>44992</v>
      </c>
    </row>
    <row r="245" spans="3:5" ht="20.25" customHeight="1">
      <c r="C245" s="91" t="s">
        <v>4753</v>
      </c>
      <c r="E245" s="107">
        <v>45148</v>
      </c>
    </row>
    <row r="246" spans="3:5" ht="20.25" customHeight="1">
      <c r="C246" s="91" t="s">
        <v>4754</v>
      </c>
      <c r="E246" s="103"/>
    </row>
    <row r="247" spans="3:5" ht="20.25" customHeight="1">
      <c r="C247" s="91" t="s">
        <v>4755</v>
      </c>
      <c r="E247" s="127"/>
    </row>
    <row r="248" spans="3:5" ht="20.25" customHeight="1">
      <c r="C248" s="91" t="s">
        <v>4756</v>
      </c>
      <c r="E248" s="127"/>
    </row>
    <row r="249" spans="3:5" ht="20.25" customHeight="1">
      <c r="C249" s="91" t="s">
        <v>4757</v>
      </c>
      <c r="E249" s="104">
        <v>45097</v>
      </c>
    </row>
    <row r="250" spans="3:5" ht="20.25" customHeight="1">
      <c r="C250" s="91" t="s">
        <v>4758</v>
      </c>
      <c r="E250" s="107">
        <v>45105</v>
      </c>
    </row>
    <row r="251" spans="3:5" ht="20.25" customHeight="1">
      <c r="C251" s="91" t="s">
        <v>4759</v>
      </c>
      <c r="E251" s="104">
        <v>45097</v>
      </c>
    </row>
    <row r="252" spans="3:5" ht="20.25" customHeight="1">
      <c r="C252" s="91" t="s">
        <v>4760</v>
      </c>
      <c r="E252" s="104">
        <v>44992</v>
      </c>
    </row>
    <row r="253" spans="3:5" ht="20.25" customHeight="1">
      <c r="C253" s="91" t="s">
        <v>4761</v>
      </c>
      <c r="E253" s="111"/>
    </row>
    <row r="254" spans="3:5" ht="20.25" customHeight="1">
      <c r="C254" s="91" t="s">
        <v>4762</v>
      </c>
      <c r="E254" s="111"/>
    </row>
    <row r="255" spans="3:5" ht="20.25" customHeight="1">
      <c r="C255" s="91" t="s">
        <v>4763</v>
      </c>
      <c r="E255" s="111"/>
    </row>
    <row r="256" spans="3:5" ht="20.25" customHeight="1">
      <c r="C256" s="91" t="s">
        <v>4764</v>
      </c>
      <c r="E256" s="107">
        <v>45105</v>
      </c>
    </row>
    <row r="257" spans="3:5" ht="20.25" customHeight="1">
      <c r="C257" s="91" t="s">
        <v>4765</v>
      </c>
      <c r="E257" s="107">
        <v>45105</v>
      </c>
    </row>
    <row r="258" spans="3:5" ht="20.25" customHeight="1">
      <c r="C258" s="91" t="s">
        <v>4766</v>
      </c>
      <c r="E258" s="107">
        <v>45148</v>
      </c>
    </row>
    <row r="259" spans="3:5" ht="20.25" customHeight="1">
      <c r="C259" s="91" t="s">
        <v>4767</v>
      </c>
      <c r="E259" s="107">
        <v>45148</v>
      </c>
    </row>
    <row r="260" spans="3:5" ht="20.25" customHeight="1">
      <c r="C260" s="91" t="s">
        <v>4768</v>
      </c>
      <c r="E260" s="107">
        <v>45148</v>
      </c>
    </row>
    <row r="261" spans="3:5" ht="20.25" customHeight="1">
      <c r="C261" s="91" t="s">
        <v>4769</v>
      </c>
      <c r="E261" s="127"/>
    </row>
    <row r="262" spans="3:5" ht="20.25" customHeight="1">
      <c r="C262" s="91" t="s">
        <v>4770</v>
      </c>
      <c r="E262" s="111"/>
    </row>
    <row r="263" spans="3:5" ht="20.25" customHeight="1">
      <c r="C263" s="91" t="s">
        <v>4771</v>
      </c>
      <c r="E263" s="111"/>
    </row>
    <row r="264" spans="3:5" ht="20.25" customHeight="1">
      <c r="C264" s="91" t="s">
        <v>4772</v>
      </c>
      <c r="E264" s="111"/>
    </row>
    <row r="265" spans="3:5" ht="20.25" customHeight="1">
      <c r="C265" s="91" t="s">
        <v>4773</v>
      </c>
      <c r="E265" s="111"/>
    </row>
    <row r="266" spans="3:5" ht="20.25" customHeight="1">
      <c r="C266" s="91" t="s">
        <v>4774</v>
      </c>
      <c r="E266" s="111"/>
    </row>
    <row r="267" spans="3:5" ht="20.25" customHeight="1">
      <c r="C267" s="91" t="s">
        <v>4775</v>
      </c>
      <c r="E267" s="111"/>
    </row>
    <row r="268" spans="3:5" ht="20.25" customHeight="1">
      <c r="C268" s="91" t="s">
        <v>4776</v>
      </c>
      <c r="E268" s="111"/>
    </row>
    <row r="269" spans="3:5" ht="20.25" customHeight="1">
      <c r="C269" s="91" t="s">
        <v>4777</v>
      </c>
      <c r="E269" s="103" t="s">
        <v>4355</v>
      </c>
    </row>
    <row r="270" spans="3:5" ht="20.25" customHeight="1">
      <c r="C270" s="91" t="s">
        <v>4778</v>
      </c>
      <c r="E270" s="111"/>
    </row>
    <row r="271" spans="3:5" ht="20.25" customHeight="1">
      <c r="C271" s="90" t="s">
        <v>4779</v>
      </c>
      <c r="E271" s="110">
        <v>45111</v>
      </c>
    </row>
    <row r="272" spans="3:5" ht="20.25" customHeight="1">
      <c r="C272" s="91" t="s">
        <v>4780</v>
      </c>
      <c r="E272" s="110">
        <v>45111</v>
      </c>
    </row>
    <row r="273" spans="3:5" ht="20.25" customHeight="1">
      <c r="C273" s="91" t="s">
        <v>4781</v>
      </c>
      <c r="E273" s="110">
        <v>45111</v>
      </c>
    </row>
    <row r="274" spans="3:5" ht="20.25" customHeight="1">
      <c r="C274" s="91" t="s">
        <v>4782</v>
      </c>
      <c r="E274" s="111"/>
    </row>
    <row r="275" spans="3:5" ht="20.25" customHeight="1">
      <c r="C275" s="91" t="s">
        <v>4783</v>
      </c>
      <c r="E275" s="104">
        <v>45097</v>
      </c>
    </row>
    <row r="276" spans="3:5" ht="20.25" customHeight="1">
      <c r="C276" s="91" t="s">
        <v>4784</v>
      </c>
      <c r="E276" s="111"/>
    </row>
    <row r="277" spans="3:5" ht="20.25" customHeight="1">
      <c r="C277" s="91" t="s">
        <v>4785</v>
      </c>
      <c r="E277" s="111"/>
    </row>
    <row r="278" spans="3:5" ht="20.25" customHeight="1">
      <c r="C278" s="91" t="s">
        <v>4786</v>
      </c>
      <c r="E278" s="111"/>
    </row>
    <row r="279" spans="3:5" ht="20.25" customHeight="1">
      <c r="C279" s="91" t="s">
        <v>4787</v>
      </c>
      <c r="E279" s="110">
        <v>45111</v>
      </c>
    </row>
    <row r="280" spans="3:5" ht="20.25" customHeight="1">
      <c r="C280" s="91" t="s">
        <v>4788</v>
      </c>
      <c r="E280" s="110">
        <v>45111</v>
      </c>
    </row>
    <row r="281" spans="3:5" ht="20.25" customHeight="1">
      <c r="C281" s="91" t="s">
        <v>4789</v>
      </c>
      <c r="E281" s="108"/>
    </row>
    <row r="282" spans="3:5" ht="20.25" customHeight="1">
      <c r="C282" s="91" t="s">
        <v>4790</v>
      </c>
      <c r="E282" s="107" t="s">
        <v>4355</v>
      </c>
    </row>
    <row r="283" spans="3:5" ht="20.25" customHeight="1">
      <c r="C283" s="91" t="s">
        <v>4791</v>
      </c>
      <c r="E283" s="111"/>
    </row>
    <row r="284" spans="3:5" ht="20.25" customHeight="1">
      <c r="C284" s="91" t="s">
        <v>4792</v>
      </c>
      <c r="E284" s="110">
        <v>45111</v>
      </c>
    </row>
    <row r="285" spans="3:5" ht="20.25" customHeight="1">
      <c r="C285" s="91" t="s">
        <v>4793</v>
      </c>
      <c r="E285" s="111"/>
    </row>
    <row r="286" spans="3:5" ht="20.25" customHeight="1">
      <c r="C286" s="91" t="s">
        <v>4794</v>
      </c>
      <c r="E286" s="110">
        <v>45111</v>
      </c>
    </row>
    <row r="287" spans="3:5" ht="20.25" customHeight="1">
      <c r="C287" s="91" t="s">
        <v>4795</v>
      </c>
      <c r="E287" s="111"/>
    </row>
    <row r="288" spans="3:5" ht="20.25" customHeight="1">
      <c r="C288" s="91" t="s">
        <v>4796</v>
      </c>
      <c r="E288" s="111"/>
    </row>
    <row r="289" spans="3:5" ht="20.25" customHeight="1">
      <c r="C289" s="91" t="s">
        <v>4797</v>
      </c>
      <c r="E289" s="107" t="s">
        <v>4355</v>
      </c>
    </row>
    <row r="290" spans="3:5" ht="20.25" customHeight="1">
      <c r="C290" s="91" t="s">
        <v>4798</v>
      </c>
      <c r="E290" s="107" t="s">
        <v>4355</v>
      </c>
    </row>
    <row r="291" spans="3:5" ht="20.25" customHeight="1">
      <c r="C291" s="91" t="s">
        <v>4799</v>
      </c>
      <c r="E291" s="107">
        <v>45105</v>
      </c>
    </row>
    <row r="292" spans="3:5" ht="20.25" customHeight="1">
      <c r="C292" s="91" t="s">
        <v>4800</v>
      </c>
      <c r="E292" s="111"/>
    </row>
    <row r="293" spans="3:5" ht="20.25" customHeight="1">
      <c r="C293" s="91" t="s">
        <v>4801</v>
      </c>
      <c r="E293" s="111"/>
    </row>
    <row r="294" spans="3:5" ht="20.25" customHeight="1">
      <c r="C294" s="91" t="s">
        <v>4802</v>
      </c>
      <c r="E294" s="108"/>
    </row>
    <row r="295" spans="3:5" ht="20.25" customHeight="1">
      <c r="C295" s="91" t="s">
        <v>4803</v>
      </c>
      <c r="E295" s="111"/>
    </row>
    <row r="296" spans="3:5" ht="20.25" customHeight="1">
      <c r="C296" s="91" t="s">
        <v>4804</v>
      </c>
      <c r="E296" s="104">
        <v>44961</v>
      </c>
    </row>
    <row r="297" spans="3:5" ht="20.25" customHeight="1">
      <c r="C297" s="91" t="s">
        <v>4805</v>
      </c>
      <c r="E297" s="111"/>
    </row>
    <row r="298" spans="3:5" ht="20.25" customHeight="1">
      <c r="C298" s="91" t="s">
        <v>4806</v>
      </c>
      <c r="E298" s="111"/>
    </row>
    <row r="299" spans="3:5" ht="20.25" customHeight="1">
      <c r="C299" s="91" t="s">
        <v>4807</v>
      </c>
      <c r="E299" s="111"/>
    </row>
    <row r="300" spans="3:5" ht="20.25" customHeight="1">
      <c r="C300" s="91" t="s">
        <v>4808</v>
      </c>
      <c r="E300" s="107">
        <v>45148</v>
      </c>
    </row>
    <row r="301" spans="3:5" ht="20.25" customHeight="1">
      <c r="C301" s="97" t="s">
        <v>4809</v>
      </c>
      <c r="E301" s="111"/>
    </row>
    <row r="302" spans="3:5" ht="20.25" customHeight="1">
      <c r="C302" s="97" t="s">
        <v>4810</v>
      </c>
      <c r="E302" s="104">
        <v>45097</v>
      </c>
    </row>
    <row r="303" spans="3:5" ht="20.25" customHeight="1">
      <c r="C303" s="91" t="s">
        <v>4811</v>
      </c>
      <c r="E303" s="107">
        <v>45105</v>
      </c>
    </row>
    <row r="304" spans="3:5" ht="20.25" customHeight="1">
      <c r="C304" s="91" t="s">
        <v>4812</v>
      </c>
      <c r="E304" s="111"/>
    </row>
    <row r="305" spans="3:5" ht="20.25" customHeight="1">
      <c r="C305" s="91" t="s">
        <v>4813</v>
      </c>
      <c r="E305" s="111"/>
    </row>
    <row r="306" spans="3:5" ht="20.25" customHeight="1">
      <c r="C306" s="91" t="s">
        <v>4814</v>
      </c>
      <c r="E306" s="111"/>
    </row>
    <row r="307" spans="3:5" ht="20.25" customHeight="1">
      <c r="C307" s="91" t="s">
        <v>4815</v>
      </c>
      <c r="E307" s="104">
        <v>45097</v>
      </c>
    </row>
    <row r="308" spans="3:5" ht="20.25" customHeight="1">
      <c r="C308" s="91" t="s">
        <v>4816</v>
      </c>
      <c r="E308" s="111"/>
    </row>
    <row r="309" spans="3:5" ht="20.25" customHeight="1">
      <c r="C309" s="91" t="s">
        <v>4817</v>
      </c>
      <c r="E309" s="111"/>
    </row>
    <row r="310" spans="3:5" ht="20.25" customHeight="1">
      <c r="C310" s="91" t="s">
        <v>4818</v>
      </c>
      <c r="E310" s="111"/>
    </row>
    <row r="311" spans="3:5" ht="20.25" customHeight="1">
      <c r="C311" s="91" t="s">
        <v>4819</v>
      </c>
      <c r="E311" s="111"/>
    </row>
    <row r="312" spans="3:5" ht="20.25" customHeight="1">
      <c r="C312" s="97" t="s">
        <v>4820</v>
      </c>
      <c r="E312" s="111"/>
    </row>
    <row r="313" spans="3:5" ht="20.25" customHeight="1">
      <c r="C313" s="91" t="s">
        <v>4821</v>
      </c>
      <c r="E313" s="111"/>
    </row>
    <row r="314" spans="3:5" ht="20.25" customHeight="1">
      <c r="C314" s="91" t="s">
        <v>4822</v>
      </c>
      <c r="E314" s="111"/>
    </row>
    <row r="315" spans="3:5" ht="20.25" customHeight="1">
      <c r="C315" s="97" t="s">
        <v>4823</v>
      </c>
      <c r="E315" s="111"/>
    </row>
    <row r="316" spans="3:5" ht="20.25" customHeight="1">
      <c r="C316" s="91" t="s">
        <v>4824</v>
      </c>
      <c r="E316" s="111"/>
    </row>
    <row r="317" spans="3:5" ht="20.25" customHeight="1">
      <c r="C317" s="91" t="s">
        <v>4825</v>
      </c>
      <c r="E317" s="111"/>
    </row>
    <row r="318" spans="3:5" ht="20.25" customHeight="1">
      <c r="C318" s="91" t="s">
        <v>4826</v>
      </c>
      <c r="E318" s="110">
        <v>45111</v>
      </c>
    </row>
    <row r="319" spans="3:5" ht="20.25" customHeight="1">
      <c r="C319" s="91" t="s">
        <v>4827</v>
      </c>
      <c r="E319" s="111"/>
    </row>
    <row r="320" spans="3:5" ht="20.25" customHeight="1">
      <c r="C320" s="91" t="s">
        <v>4828</v>
      </c>
      <c r="E320" s="103" t="s">
        <v>4355</v>
      </c>
    </row>
    <row r="321" spans="3:5" ht="20.25" customHeight="1">
      <c r="C321" s="91" t="s">
        <v>4829</v>
      </c>
      <c r="E321" s="111"/>
    </row>
    <row r="322" spans="3:5" ht="20.25" customHeight="1">
      <c r="C322" s="91" t="s">
        <v>4830</v>
      </c>
      <c r="E322" s="111"/>
    </row>
    <row r="323" spans="3:5" ht="20.25" customHeight="1">
      <c r="C323" s="91" t="s">
        <v>4831</v>
      </c>
      <c r="E323" s="111"/>
    </row>
    <row r="324" spans="3:5" ht="20.25" customHeight="1">
      <c r="C324" s="91" t="s">
        <v>4832</v>
      </c>
      <c r="E324" s="111"/>
    </row>
    <row r="325" spans="3:5" ht="20.25" customHeight="1">
      <c r="C325" s="91" t="s">
        <v>4833</v>
      </c>
      <c r="E325" s="111"/>
    </row>
    <row r="326" spans="3:5" ht="20.25" customHeight="1">
      <c r="C326" s="91" t="s">
        <v>4834</v>
      </c>
      <c r="E326" s="111"/>
    </row>
    <row r="327" spans="3:5" ht="20.25" customHeight="1">
      <c r="C327" s="91" t="s">
        <v>4835</v>
      </c>
      <c r="E327" s="111"/>
    </row>
    <row r="328" spans="3:5" ht="20.25" customHeight="1">
      <c r="C328" s="97" t="s">
        <v>4836</v>
      </c>
      <c r="E328" s="111"/>
    </row>
    <row r="329" spans="3:5" ht="20.25" customHeight="1">
      <c r="C329" s="91" t="s">
        <v>4837</v>
      </c>
      <c r="E329" s="111"/>
    </row>
    <row r="330" spans="3:5" ht="20.25" customHeight="1">
      <c r="C330" s="91" t="s">
        <v>4838</v>
      </c>
      <c r="E330" s="111"/>
    </row>
    <row r="331" spans="3:5" ht="20.25" customHeight="1">
      <c r="C331" s="91" t="s">
        <v>4839</v>
      </c>
      <c r="E331" s="111"/>
    </row>
    <row r="332" spans="3:5" ht="20.25" customHeight="1">
      <c r="C332" s="91" t="s">
        <v>4840</v>
      </c>
      <c r="E332" s="111"/>
    </row>
    <row r="333" spans="3:5" ht="20.25" customHeight="1">
      <c r="C333" s="91" t="s">
        <v>4841</v>
      </c>
      <c r="E333" s="111"/>
    </row>
    <row r="334" spans="3:5" ht="20.25" customHeight="1">
      <c r="C334" s="91" t="s">
        <v>4842</v>
      </c>
      <c r="E334" s="111"/>
    </row>
    <row r="335" spans="3:5" ht="20.25" customHeight="1">
      <c r="C335" s="97" t="s">
        <v>4843</v>
      </c>
      <c r="E335" s="111"/>
    </row>
    <row r="336" spans="3:5" ht="20.25" customHeight="1">
      <c r="C336" s="97" t="s">
        <v>4844</v>
      </c>
      <c r="E336" s="111"/>
    </row>
    <row r="337" spans="3:5" ht="20.25" customHeight="1">
      <c r="C337" s="91" t="s">
        <v>4845</v>
      </c>
      <c r="E337" s="111"/>
    </row>
    <row r="338" spans="3:5" ht="20.25" customHeight="1">
      <c r="C338" s="91" t="s">
        <v>4846</v>
      </c>
      <c r="E338" s="111"/>
    </row>
    <row r="339" spans="3:5" ht="20.25" customHeight="1">
      <c r="C339" s="91" t="s">
        <v>4847</v>
      </c>
      <c r="E339" s="111"/>
    </row>
    <row r="340" spans="3:5" ht="20.25" customHeight="1">
      <c r="C340" s="91" t="s">
        <v>4848</v>
      </c>
      <c r="E340" s="111"/>
    </row>
    <row r="341" spans="3:5" ht="20.25" customHeight="1">
      <c r="C341" s="91" t="s">
        <v>4849</v>
      </c>
      <c r="E341" s="111"/>
    </row>
    <row r="342" spans="3:5" ht="20.25" customHeight="1">
      <c r="C342" s="91" t="s">
        <v>4850</v>
      </c>
      <c r="E342" s="111"/>
    </row>
    <row r="343" spans="3:5" ht="20.25" customHeight="1">
      <c r="C343" s="91" t="s">
        <v>4851</v>
      </c>
      <c r="E343" s="111"/>
    </row>
    <row r="344" spans="3:5" ht="20.25" customHeight="1">
      <c r="C344" s="91" t="s">
        <v>4852</v>
      </c>
      <c r="E344" s="111"/>
    </row>
    <row r="345" spans="3:5" ht="20.25" customHeight="1">
      <c r="C345" s="97" t="s">
        <v>4853</v>
      </c>
      <c r="E345" s="111"/>
    </row>
    <row r="346" spans="3:5" ht="20.25" customHeight="1">
      <c r="C346" s="97" t="s">
        <v>4854</v>
      </c>
      <c r="E346" s="111"/>
    </row>
    <row r="347" spans="3:5" ht="20.25" customHeight="1">
      <c r="C347" s="91" t="s">
        <v>4855</v>
      </c>
      <c r="E347" s="111"/>
    </row>
    <row r="348" spans="3:5" ht="20.25" customHeight="1">
      <c r="C348" s="91" t="s">
        <v>4856</v>
      </c>
      <c r="E348" s="107">
        <v>45148</v>
      </c>
    </row>
    <row r="349" spans="3:5" ht="20.25" customHeight="1">
      <c r="C349" s="97" t="s">
        <v>4857</v>
      </c>
      <c r="E349" s="112"/>
    </row>
    <row r="350" spans="3:5" ht="20.25" customHeight="1">
      <c r="C350" s="91" t="s">
        <v>4858</v>
      </c>
      <c r="E350" s="106"/>
    </row>
    <row r="351" spans="3:5" ht="20.25" customHeight="1">
      <c r="C351" s="91" t="s">
        <v>4859</v>
      </c>
      <c r="E351" s="127"/>
    </row>
    <row r="352" spans="3:5" ht="20.25" customHeight="1">
      <c r="C352" s="91" t="s">
        <v>4860</v>
      </c>
      <c r="E352" s="104">
        <v>44961</v>
      </c>
    </row>
    <row r="353" spans="3:5" ht="20.25" customHeight="1">
      <c r="C353" s="91" t="s">
        <v>4861</v>
      </c>
      <c r="E353" s="104">
        <v>44992</v>
      </c>
    </row>
    <row r="354" spans="3:5" ht="20.25" customHeight="1">
      <c r="C354" s="91" t="s">
        <v>4862</v>
      </c>
      <c r="E354" s="107">
        <v>45105</v>
      </c>
    </row>
    <row r="355" spans="3:5" ht="20.25" customHeight="1">
      <c r="C355" s="91" t="s">
        <v>4863</v>
      </c>
      <c r="E355" s="104">
        <v>44961</v>
      </c>
    </row>
    <row r="356" spans="3:5" ht="20.25" customHeight="1">
      <c r="C356" s="91" t="s">
        <v>4864</v>
      </c>
      <c r="E356" s="104">
        <v>44961</v>
      </c>
    </row>
    <row r="357" spans="3:5" ht="20.25" customHeight="1">
      <c r="C357" s="91" t="s">
        <v>4865</v>
      </c>
      <c r="E357" s="111"/>
    </row>
    <row r="358" spans="3:5" ht="20.25" customHeight="1">
      <c r="C358" s="91" t="s">
        <v>4866</v>
      </c>
      <c r="E358" s="104">
        <v>44992</v>
      </c>
    </row>
    <row r="359" spans="3:5" ht="20.25" customHeight="1">
      <c r="C359" s="91" t="s">
        <v>4867</v>
      </c>
      <c r="E359" s="104">
        <v>44961</v>
      </c>
    </row>
    <row r="360" spans="3:5" ht="20.25" customHeight="1">
      <c r="C360" s="91" t="s">
        <v>4868</v>
      </c>
      <c r="E360" s="104">
        <v>44961</v>
      </c>
    </row>
    <row r="361" spans="3:5" ht="20.25" customHeight="1">
      <c r="C361" s="91" t="s">
        <v>4869</v>
      </c>
      <c r="E361" s="104">
        <v>44961</v>
      </c>
    </row>
    <row r="362" spans="3:5" ht="20.25" customHeight="1">
      <c r="C362" s="91" t="s">
        <v>4535</v>
      </c>
      <c r="E362" s="104">
        <v>44961</v>
      </c>
    </row>
    <row r="363" spans="3:5" ht="20.25" customHeight="1">
      <c r="C363" s="91" t="s">
        <v>4537</v>
      </c>
      <c r="E363" s="111"/>
    </row>
    <row r="364" spans="3:5" ht="20.25" customHeight="1">
      <c r="C364" s="91" t="s">
        <v>4539</v>
      </c>
      <c r="E364" s="104">
        <v>44961</v>
      </c>
    </row>
    <row r="365" spans="3:5" ht="20.25" customHeight="1">
      <c r="C365" s="91" t="s">
        <v>4870</v>
      </c>
      <c r="E365" s="111"/>
    </row>
    <row r="366" spans="3:5" ht="20.25" customHeight="1">
      <c r="C366" s="91" t="s">
        <v>4871</v>
      </c>
      <c r="E366" s="111"/>
    </row>
    <row r="367" spans="3:5" ht="20.25" customHeight="1">
      <c r="C367" s="91" t="s">
        <v>4872</v>
      </c>
      <c r="E367" s="107">
        <v>45106</v>
      </c>
    </row>
    <row r="368" spans="3:5" ht="20.25" customHeight="1">
      <c r="C368" s="91" t="s">
        <v>4873</v>
      </c>
      <c r="E368" s="111"/>
    </row>
    <row r="369" spans="3:5" ht="20.25" customHeight="1">
      <c r="C369" s="91" t="s">
        <v>4874</v>
      </c>
      <c r="E369" s="107">
        <v>45105</v>
      </c>
    </row>
    <row r="370" spans="3:5" ht="20.25" customHeight="1">
      <c r="C370" s="91" t="s">
        <v>4875</v>
      </c>
      <c r="E370" s="107">
        <v>45148</v>
      </c>
    </row>
    <row r="371" spans="3:5" ht="20.25" customHeight="1">
      <c r="C371" s="91" t="s">
        <v>4876</v>
      </c>
      <c r="E371" s="111"/>
    </row>
    <row r="372" spans="3:5" ht="20.25" customHeight="1">
      <c r="C372" s="91" t="s">
        <v>4877</v>
      </c>
      <c r="E372" s="111"/>
    </row>
    <row r="373" spans="3:5" ht="20.25" customHeight="1">
      <c r="C373" s="91" t="s">
        <v>4878</v>
      </c>
      <c r="E373" s="107">
        <v>45105</v>
      </c>
    </row>
    <row r="374" spans="3:5" ht="20.25" customHeight="1">
      <c r="C374" s="91" t="s">
        <v>4879</v>
      </c>
      <c r="E374" s="103" t="s">
        <v>4355</v>
      </c>
    </row>
    <row r="375" spans="3:5" ht="20.25" customHeight="1">
      <c r="C375" s="91" t="s">
        <v>4880</v>
      </c>
      <c r="E375" s="107">
        <v>45148</v>
      </c>
    </row>
    <row r="376" spans="3:5" ht="20.25" customHeight="1">
      <c r="C376" s="91" t="s">
        <v>4881</v>
      </c>
      <c r="E376" s="111"/>
    </row>
    <row r="377" spans="3:5" ht="20.25" customHeight="1">
      <c r="C377" s="97" t="s">
        <v>4541</v>
      </c>
      <c r="E377" s="127"/>
    </row>
    <row r="378" spans="3:5" ht="20.25" customHeight="1">
      <c r="C378" s="91" t="s">
        <v>4543</v>
      </c>
      <c r="E378" s="107">
        <v>45148</v>
      </c>
    </row>
    <row r="379" spans="3:5" ht="20.25" customHeight="1">
      <c r="C379" s="91" t="s">
        <v>4882</v>
      </c>
      <c r="E379" s="107">
        <v>45148</v>
      </c>
    </row>
    <row r="380" spans="3:5" ht="20.25" customHeight="1">
      <c r="C380" s="91" t="s">
        <v>4883</v>
      </c>
      <c r="E380" s="107">
        <v>45148</v>
      </c>
    </row>
    <row r="381" spans="3:5" ht="20.25" customHeight="1">
      <c r="C381" s="91" t="s">
        <v>4884</v>
      </c>
      <c r="E381" s="108"/>
    </row>
    <row r="382" spans="3:5" ht="20.25" customHeight="1">
      <c r="C382" s="91" t="s">
        <v>4885</v>
      </c>
      <c r="E382" s="107">
        <v>45148</v>
      </c>
    </row>
    <row r="383" spans="3:5" ht="20.25" customHeight="1">
      <c r="C383" s="91" t="s">
        <v>4886</v>
      </c>
      <c r="E383" s="107">
        <v>45148</v>
      </c>
    </row>
    <row r="384" spans="3:5" ht="20.25" customHeight="1">
      <c r="C384" s="91" t="s">
        <v>4887</v>
      </c>
      <c r="E384" s="107">
        <v>45148</v>
      </c>
    </row>
    <row r="385" spans="3:5" ht="20.25" customHeight="1">
      <c r="C385" s="91" t="s">
        <v>4888</v>
      </c>
      <c r="E385" s="107">
        <v>45105</v>
      </c>
    </row>
    <row r="386" spans="3:5" ht="20.25" customHeight="1">
      <c r="C386" s="91" t="s">
        <v>4889</v>
      </c>
      <c r="E386" s="104">
        <v>44961</v>
      </c>
    </row>
    <row r="387" spans="3:5" ht="20.25" customHeight="1">
      <c r="C387" s="91" t="s">
        <v>4890</v>
      </c>
      <c r="E387" s="104">
        <v>44961</v>
      </c>
    </row>
    <row r="388" spans="3:5" ht="20.25" customHeight="1">
      <c r="C388" s="91" t="s">
        <v>4891</v>
      </c>
      <c r="E388" s="104">
        <v>44992</v>
      </c>
    </row>
    <row r="389" spans="3:5" ht="20.25" customHeight="1">
      <c r="C389" s="91" t="s">
        <v>4892</v>
      </c>
      <c r="E389" s="104">
        <v>44992</v>
      </c>
    </row>
    <row r="390" spans="3:5" ht="20.25" customHeight="1">
      <c r="C390" s="91" t="s">
        <v>4893</v>
      </c>
      <c r="E390" s="111"/>
    </row>
    <row r="391" spans="3:5" ht="20.25" customHeight="1">
      <c r="C391" s="91" t="s">
        <v>4894</v>
      </c>
      <c r="E391" s="111"/>
    </row>
    <row r="392" spans="3:5" ht="20.25" customHeight="1">
      <c r="C392" s="97" t="s">
        <v>4895</v>
      </c>
      <c r="E392" s="111"/>
    </row>
    <row r="393" spans="3:5" ht="20.25" customHeight="1">
      <c r="C393" s="97" t="s">
        <v>4896</v>
      </c>
      <c r="E393" s="107">
        <v>45105</v>
      </c>
    </row>
    <row r="394" spans="3:5" ht="20.25" customHeight="1">
      <c r="C394" s="91" t="s">
        <v>4897</v>
      </c>
      <c r="E394" s="104">
        <v>44961</v>
      </c>
    </row>
    <row r="395" spans="3:5" ht="20.25" customHeight="1">
      <c r="C395" s="91" t="s">
        <v>4898</v>
      </c>
      <c r="E395" s="104">
        <v>44961</v>
      </c>
    </row>
    <row r="396" spans="3:5" ht="20.25" customHeight="1">
      <c r="C396" s="91" t="s">
        <v>4899</v>
      </c>
      <c r="E396" s="107">
        <v>45105</v>
      </c>
    </row>
    <row r="397" spans="3:5" ht="20.25" customHeight="1">
      <c r="C397" s="91" t="s">
        <v>4900</v>
      </c>
      <c r="E397" s="104">
        <v>44961</v>
      </c>
    </row>
    <row r="398" spans="3:5" ht="20.25" customHeight="1">
      <c r="C398" s="91" t="s">
        <v>4901</v>
      </c>
      <c r="E398" s="107">
        <v>45105</v>
      </c>
    </row>
    <row r="399" spans="3:5" ht="20.25" customHeight="1">
      <c r="C399" s="91" t="s">
        <v>4902</v>
      </c>
      <c r="E399" s="104">
        <v>44961</v>
      </c>
    </row>
    <row r="400" spans="3:5" ht="20.25" customHeight="1">
      <c r="C400" s="91" t="s">
        <v>4903</v>
      </c>
      <c r="E400" s="111"/>
    </row>
    <row r="401" spans="3:5" ht="20.25" customHeight="1">
      <c r="C401" s="91" t="s">
        <v>4904</v>
      </c>
      <c r="E401" s="111"/>
    </row>
    <row r="402" spans="3:5" ht="20.25" customHeight="1">
      <c r="C402" s="91" t="s">
        <v>4545</v>
      </c>
      <c r="E402" s="104">
        <v>44992</v>
      </c>
    </row>
    <row r="403" spans="3:5" ht="20.25" customHeight="1">
      <c r="C403" s="91" t="s">
        <v>4905</v>
      </c>
      <c r="E403" s="111"/>
    </row>
    <row r="404" spans="3:5" ht="20.25" customHeight="1">
      <c r="C404" s="91" t="s">
        <v>4906</v>
      </c>
      <c r="E404" s="111"/>
    </row>
    <row r="405" spans="3:5" ht="20.25" customHeight="1">
      <c r="C405" s="91" t="s">
        <v>4907</v>
      </c>
      <c r="E405" s="107">
        <v>45148</v>
      </c>
    </row>
    <row r="406" spans="3:5" ht="20.25" customHeight="1">
      <c r="C406" s="91" t="s">
        <v>4908</v>
      </c>
      <c r="E406" s="104">
        <v>44889</v>
      </c>
    </row>
    <row r="407" spans="3:5" ht="20.25" customHeight="1">
      <c r="C407" s="91" t="s">
        <v>4909</v>
      </c>
      <c r="E407" s="104">
        <v>44889</v>
      </c>
    </row>
    <row r="408" spans="3:5" ht="20.25" customHeight="1">
      <c r="C408" s="91" t="s">
        <v>4910</v>
      </c>
      <c r="E408" s="104">
        <v>44992</v>
      </c>
    </row>
    <row r="409" spans="3:5" ht="20.25" customHeight="1">
      <c r="C409" s="91" t="s">
        <v>4911</v>
      </c>
      <c r="E409" s="110">
        <v>45111</v>
      </c>
    </row>
    <row r="410" spans="3:5" ht="20.25" customHeight="1">
      <c r="C410" s="91" t="s">
        <v>4912</v>
      </c>
      <c r="E410" s="103" t="s">
        <v>4355</v>
      </c>
    </row>
    <row r="411" spans="3:5" ht="20.25" customHeight="1">
      <c r="C411" s="91" t="s">
        <v>4913</v>
      </c>
      <c r="E411" s="103" t="s">
        <v>4355</v>
      </c>
    </row>
    <row r="412" spans="3:5" ht="20.25" customHeight="1">
      <c r="C412" s="91" t="s">
        <v>4914</v>
      </c>
      <c r="E412" s="103" t="s">
        <v>4355</v>
      </c>
    </row>
    <row r="413" spans="3:5" ht="20.25" customHeight="1">
      <c r="C413" s="91" t="s">
        <v>4915</v>
      </c>
      <c r="E413" s="111"/>
    </row>
    <row r="414" spans="3:5" ht="20.25" customHeight="1">
      <c r="C414" s="91" t="s">
        <v>4916</v>
      </c>
      <c r="E414" s="111"/>
    </row>
    <row r="415" spans="3:5" ht="20.25" customHeight="1">
      <c r="C415" s="91" t="s">
        <v>4917</v>
      </c>
      <c r="E415" s="111"/>
    </row>
    <row r="416" spans="3:5" ht="20.25" customHeight="1">
      <c r="C416" s="91" t="s">
        <v>4918</v>
      </c>
      <c r="E416" s="111"/>
    </row>
    <row r="417" spans="3:5" ht="20.25" customHeight="1">
      <c r="C417" s="91" t="s">
        <v>4919</v>
      </c>
      <c r="E417" s="104">
        <v>44816</v>
      </c>
    </row>
    <row r="418" spans="3:5" ht="20.25" customHeight="1">
      <c r="C418" s="91" t="s">
        <v>4920</v>
      </c>
      <c r="E418" s="104">
        <v>44910</v>
      </c>
    </row>
    <row r="419" spans="3:5" ht="20.25" customHeight="1">
      <c r="C419" s="91" t="s">
        <v>4921</v>
      </c>
      <c r="E419" s="104">
        <v>44816</v>
      </c>
    </row>
    <row r="420" spans="3:5" ht="20.25" customHeight="1">
      <c r="C420" s="91" t="s">
        <v>4922</v>
      </c>
      <c r="E420" s="103" t="s">
        <v>4355</v>
      </c>
    </row>
    <row r="421" spans="3:5" ht="20.25" customHeight="1">
      <c r="C421" s="91" t="s">
        <v>4923</v>
      </c>
      <c r="E421" s="104">
        <v>44923</v>
      </c>
    </row>
    <row r="422" spans="3:5" ht="20.25" customHeight="1">
      <c r="C422" s="91" t="s">
        <v>4924</v>
      </c>
      <c r="E422" s="103"/>
    </row>
    <row r="423" spans="3:5" ht="20.25" customHeight="1">
      <c r="C423" s="91" t="s">
        <v>4925</v>
      </c>
      <c r="E423" s="104">
        <v>45013</v>
      </c>
    </row>
    <row r="424" spans="3:5" ht="20.25" customHeight="1">
      <c r="C424" s="91" t="s">
        <v>4926</v>
      </c>
      <c r="E424" s="104">
        <v>44923</v>
      </c>
    </row>
    <row r="425" spans="3:5" ht="20.25" customHeight="1">
      <c r="C425" s="91" t="s">
        <v>4927</v>
      </c>
      <c r="E425" s="104">
        <v>44923</v>
      </c>
    </row>
    <row r="426" spans="3:5" ht="20.25" customHeight="1">
      <c r="C426" s="91" t="s">
        <v>4928</v>
      </c>
      <c r="E426" s="104">
        <v>44816</v>
      </c>
    </row>
    <row r="427" spans="3:5" ht="20.25" customHeight="1">
      <c r="C427" s="91" t="s">
        <v>4547</v>
      </c>
      <c r="E427" s="103" t="s">
        <v>4355</v>
      </c>
    </row>
    <row r="428" spans="3:5" ht="20.25" customHeight="1">
      <c r="C428" s="91" t="s">
        <v>4929</v>
      </c>
      <c r="E428" s="103" t="s">
        <v>4355</v>
      </c>
    </row>
    <row r="429" spans="3:5" ht="20.25" customHeight="1">
      <c r="C429" s="91" t="s">
        <v>4930</v>
      </c>
      <c r="E429" s="104">
        <v>44816</v>
      </c>
    </row>
    <row r="430" spans="3:5" ht="20.25" customHeight="1">
      <c r="C430" s="91" t="s">
        <v>4931</v>
      </c>
      <c r="E430" s="104">
        <v>44816</v>
      </c>
    </row>
    <row r="431" spans="3:5" ht="20.25" customHeight="1">
      <c r="C431" s="91" t="s">
        <v>4932</v>
      </c>
      <c r="E431" s="104">
        <v>44816</v>
      </c>
    </row>
    <row r="432" spans="3:5" ht="20.25" customHeight="1">
      <c r="C432" s="91" t="s">
        <v>4933</v>
      </c>
      <c r="E432" s="103" t="s">
        <v>4355</v>
      </c>
    </row>
    <row r="433" spans="3:5" ht="20.25" customHeight="1">
      <c r="C433" s="91" t="s">
        <v>4934</v>
      </c>
      <c r="E433" s="117">
        <v>45034</v>
      </c>
    </row>
    <row r="434" spans="3:5" ht="20.25" customHeight="1">
      <c r="C434" s="91" t="s">
        <v>4935</v>
      </c>
      <c r="E434" s="104">
        <v>44992</v>
      </c>
    </row>
    <row r="435" spans="3:5" ht="20.25" customHeight="1">
      <c r="C435" s="91" t="s">
        <v>4936</v>
      </c>
      <c r="E435" s="104">
        <v>44992</v>
      </c>
    </row>
    <row r="436" spans="3:5" ht="20.25" customHeight="1">
      <c r="C436" s="91" t="s">
        <v>4937</v>
      </c>
      <c r="E436" s="117">
        <v>45034</v>
      </c>
    </row>
    <row r="437" spans="3:5" ht="20.25" customHeight="1">
      <c r="C437" s="91" t="s">
        <v>4938</v>
      </c>
      <c r="E437" s="103" t="s">
        <v>4355</v>
      </c>
    </row>
    <row r="438" spans="3:5" ht="20.25" customHeight="1">
      <c r="C438" s="91" t="s">
        <v>4939</v>
      </c>
      <c r="E438" s="103" t="s">
        <v>4355</v>
      </c>
    </row>
    <row r="439" spans="3:5" ht="20.25" customHeight="1">
      <c r="C439" s="91" t="s">
        <v>4940</v>
      </c>
      <c r="E439" s="103" t="s">
        <v>4355</v>
      </c>
    </row>
    <row r="440" spans="3:5" ht="20.25" customHeight="1">
      <c r="C440" s="91" t="s">
        <v>4941</v>
      </c>
      <c r="E440" s="104">
        <v>44862</v>
      </c>
    </row>
    <row r="441" spans="3:5" ht="20.25" customHeight="1">
      <c r="C441" s="97" t="s">
        <v>4942</v>
      </c>
      <c r="E441" s="103" t="s">
        <v>4355</v>
      </c>
    </row>
    <row r="442" spans="3:5" ht="20.25" customHeight="1">
      <c r="C442" s="91" t="s">
        <v>4943</v>
      </c>
      <c r="E442" s="104">
        <v>44862</v>
      </c>
    </row>
    <row r="443" spans="3:5" ht="20.25" customHeight="1">
      <c r="C443" s="91" t="s">
        <v>4944</v>
      </c>
      <c r="E443" s="117">
        <v>45040</v>
      </c>
    </row>
    <row r="444" spans="3:5" ht="20.25" customHeight="1">
      <c r="C444" s="91" t="s">
        <v>4945</v>
      </c>
      <c r="E444" s="103" t="s">
        <v>4355</v>
      </c>
    </row>
    <row r="445" spans="3:5" ht="20.25" customHeight="1">
      <c r="C445" s="91" t="s">
        <v>4946</v>
      </c>
      <c r="E445" s="103" t="s">
        <v>4355</v>
      </c>
    </row>
    <row r="446" spans="3:5" ht="20.25" customHeight="1">
      <c r="C446" s="91" t="s">
        <v>4947</v>
      </c>
      <c r="E446" s="103" t="s">
        <v>4355</v>
      </c>
    </row>
    <row r="447" spans="3:5" ht="20.25" customHeight="1">
      <c r="C447" s="91" t="s">
        <v>4948</v>
      </c>
      <c r="E447" s="103" t="s">
        <v>4355</v>
      </c>
    </row>
    <row r="448" spans="3:5" ht="20.25" customHeight="1">
      <c r="C448" s="91" t="s">
        <v>4949</v>
      </c>
      <c r="E448" s="104">
        <v>44910</v>
      </c>
    </row>
    <row r="449" spans="3:5" ht="20.25" customHeight="1">
      <c r="C449" s="91" t="s">
        <v>4950</v>
      </c>
      <c r="E449" s="117">
        <v>45034</v>
      </c>
    </row>
    <row r="450" spans="3:5" ht="20.25" customHeight="1">
      <c r="C450" s="91" t="s">
        <v>4951</v>
      </c>
      <c r="E450" s="104">
        <v>44923</v>
      </c>
    </row>
    <row r="451" spans="3:5" ht="20.25" customHeight="1">
      <c r="C451" s="91" t="s">
        <v>4952</v>
      </c>
      <c r="E451" s="104">
        <v>44816</v>
      </c>
    </row>
    <row r="452" spans="3:5" ht="20.25" customHeight="1">
      <c r="C452" s="91" t="s">
        <v>4953</v>
      </c>
      <c r="E452" s="104">
        <v>44925</v>
      </c>
    </row>
    <row r="453" spans="3:5" ht="20.25" customHeight="1">
      <c r="C453" s="91" t="s">
        <v>4954</v>
      </c>
      <c r="E453" s="104">
        <v>44816</v>
      </c>
    </row>
    <row r="454" spans="3:5" ht="20.25" customHeight="1">
      <c r="C454" s="91" t="s">
        <v>4955</v>
      </c>
      <c r="E454" s="104">
        <v>44816</v>
      </c>
    </row>
    <row r="455" spans="3:5" ht="20.25" customHeight="1">
      <c r="C455" s="91" t="s">
        <v>4956</v>
      </c>
      <c r="E455" s="104">
        <v>44816</v>
      </c>
    </row>
    <row r="456" spans="3:5" ht="20.25" customHeight="1">
      <c r="C456" s="91" t="s">
        <v>4957</v>
      </c>
      <c r="E456" s="107">
        <v>45065</v>
      </c>
    </row>
    <row r="457" spans="3:5" ht="20.25" customHeight="1">
      <c r="C457" s="91" t="s">
        <v>4958</v>
      </c>
      <c r="E457" s="107">
        <v>45148</v>
      </c>
    </row>
    <row r="458" spans="3:5" ht="20.25" customHeight="1">
      <c r="C458" s="91" t="s">
        <v>4959</v>
      </c>
      <c r="E458" s="104">
        <v>44922</v>
      </c>
    </row>
    <row r="459" spans="3:5" ht="20.25" customHeight="1">
      <c r="C459" s="91" t="s">
        <v>4960</v>
      </c>
      <c r="E459" s="104">
        <v>44910</v>
      </c>
    </row>
    <row r="460" spans="3:5" ht="20.25" customHeight="1">
      <c r="C460" s="91" t="s">
        <v>4961</v>
      </c>
      <c r="E460" s="104">
        <v>44816</v>
      </c>
    </row>
    <row r="461" spans="3:5" ht="20.25" customHeight="1">
      <c r="C461" s="91" t="s">
        <v>4962</v>
      </c>
      <c r="E461" s="104">
        <v>44816</v>
      </c>
    </row>
    <row r="462" spans="3:5" ht="20.25" customHeight="1">
      <c r="C462" s="91" t="s">
        <v>4963</v>
      </c>
      <c r="E462" s="104">
        <v>44816</v>
      </c>
    </row>
    <row r="463" spans="3:5" ht="20.25" customHeight="1">
      <c r="C463" s="91" t="s">
        <v>4964</v>
      </c>
      <c r="E463" s="104">
        <v>44816</v>
      </c>
    </row>
    <row r="464" spans="3:5" ht="20.25" customHeight="1">
      <c r="C464" s="91" t="s">
        <v>4965</v>
      </c>
      <c r="E464" s="104">
        <v>44923</v>
      </c>
    </row>
    <row r="465" spans="3:5" ht="20.25" customHeight="1">
      <c r="C465" s="91" t="s">
        <v>4966</v>
      </c>
      <c r="E465" s="111"/>
    </row>
    <row r="466" spans="3:5" ht="20.25" customHeight="1">
      <c r="C466" s="91" t="s">
        <v>4967</v>
      </c>
      <c r="E466" s="128" t="s">
        <v>4355</v>
      </c>
    </row>
    <row r="467" spans="3:5" ht="20.25" customHeight="1">
      <c r="C467" s="91" t="s">
        <v>4968</v>
      </c>
      <c r="E467" s="128" t="s">
        <v>4355</v>
      </c>
    </row>
    <row r="468" spans="3:5" ht="20.25" customHeight="1">
      <c r="C468" s="91" t="s">
        <v>4969</v>
      </c>
      <c r="E468" s="117">
        <v>45013</v>
      </c>
    </row>
    <row r="469" spans="3:5" ht="20.25" customHeight="1">
      <c r="C469" s="91" t="s">
        <v>4970</v>
      </c>
      <c r="E469" s="104">
        <v>44889</v>
      </c>
    </row>
    <row r="470" spans="3:5" ht="20.25" customHeight="1">
      <c r="C470" s="91" t="s">
        <v>4971</v>
      </c>
      <c r="E470" s="105"/>
    </row>
    <row r="471" spans="3:5" ht="20.25" customHeight="1">
      <c r="C471" s="91" t="s">
        <v>4972</v>
      </c>
      <c r="E471" s="104">
        <v>44877</v>
      </c>
    </row>
    <row r="472" spans="3:5" ht="20.25" customHeight="1">
      <c r="C472" s="91" t="s">
        <v>4973</v>
      </c>
      <c r="E472" s="103" t="s">
        <v>4355</v>
      </c>
    </row>
    <row r="473" spans="3:5" ht="20.25" customHeight="1">
      <c r="C473" s="91" t="s">
        <v>4974</v>
      </c>
      <c r="E473" s="103" t="s">
        <v>4355</v>
      </c>
    </row>
    <row r="474" spans="3:5" ht="20.25" customHeight="1">
      <c r="C474" s="91" t="s">
        <v>4975</v>
      </c>
      <c r="E474" s="103" t="s">
        <v>4355</v>
      </c>
    </row>
    <row r="475" spans="3:5" ht="20.25" customHeight="1">
      <c r="C475" s="91" t="s">
        <v>4976</v>
      </c>
      <c r="E475" s="103" t="s">
        <v>4355</v>
      </c>
    </row>
    <row r="476" spans="3:5" ht="20.25" customHeight="1">
      <c r="C476" s="91" t="s">
        <v>4977</v>
      </c>
      <c r="E476" s="104">
        <v>44889</v>
      </c>
    </row>
    <row r="477" spans="3:5" ht="20.25" customHeight="1">
      <c r="C477" s="91" t="s">
        <v>4978</v>
      </c>
      <c r="E477" s="104">
        <v>44862</v>
      </c>
    </row>
    <row r="478" spans="3:5" ht="20.25" customHeight="1">
      <c r="C478" s="91" t="s">
        <v>4979</v>
      </c>
      <c r="E478" s="104">
        <v>44869</v>
      </c>
    </row>
    <row r="479" spans="3:5" ht="20.25" customHeight="1">
      <c r="C479" s="91" t="s">
        <v>4980</v>
      </c>
      <c r="E479" s="103" t="s">
        <v>4355</v>
      </c>
    </row>
    <row r="480" spans="3:5" ht="20.25" customHeight="1">
      <c r="C480" s="91" t="s">
        <v>4981</v>
      </c>
      <c r="E480" s="103" t="s">
        <v>4355</v>
      </c>
    </row>
    <row r="481" spans="3:5" ht="20.25" customHeight="1">
      <c r="C481" s="91" t="s">
        <v>4982</v>
      </c>
      <c r="E481" s="103" t="s">
        <v>4355</v>
      </c>
    </row>
    <row r="482" spans="3:5" ht="20.25" customHeight="1">
      <c r="C482" s="91" t="s">
        <v>4983</v>
      </c>
      <c r="E482" s="117">
        <v>45014</v>
      </c>
    </row>
    <row r="483" spans="3:5" ht="20.25" customHeight="1">
      <c r="C483" s="91" t="s">
        <v>4984</v>
      </c>
      <c r="E483" s="107">
        <v>45065</v>
      </c>
    </row>
    <row r="484" spans="3:5" ht="20.25" customHeight="1">
      <c r="C484" s="91" t="s">
        <v>4985</v>
      </c>
      <c r="E484" s="104">
        <v>45056</v>
      </c>
    </row>
    <row r="485" spans="3:5" ht="20.25" customHeight="1">
      <c r="C485" s="91" t="s">
        <v>4986</v>
      </c>
      <c r="E485" s="107">
        <v>45049</v>
      </c>
    </row>
    <row r="486" spans="3:5" ht="20.25" customHeight="1">
      <c r="C486" s="91" t="s">
        <v>4987</v>
      </c>
      <c r="E486" s="104">
        <v>45056</v>
      </c>
    </row>
    <row r="487" spans="3:5" ht="20.25" customHeight="1">
      <c r="C487" s="91" t="s">
        <v>4988</v>
      </c>
      <c r="E487" s="103" t="s">
        <v>4355</v>
      </c>
    </row>
    <row r="488" spans="3:5" ht="20.25" customHeight="1">
      <c r="C488" s="91" t="s">
        <v>4989</v>
      </c>
      <c r="E488" s="104">
        <v>44862</v>
      </c>
    </row>
    <row r="489" spans="3:5" ht="20.25" customHeight="1">
      <c r="C489" s="91" t="s">
        <v>4990</v>
      </c>
      <c r="E489" s="104">
        <v>44910</v>
      </c>
    </row>
    <row r="490" spans="3:5" ht="20.25" customHeight="1">
      <c r="C490" s="91" t="s">
        <v>4991</v>
      </c>
      <c r="E490" s="103" t="s">
        <v>4355</v>
      </c>
    </row>
    <row r="491" spans="3:5" ht="20.25" customHeight="1">
      <c r="C491" s="91" t="s">
        <v>4992</v>
      </c>
      <c r="E491" s="103" t="s">
        <v>4355</v>
      </c>
    </row>
    <row r="492" spans="3:5" ht="20.25" customHeight="1">
      <c r="C492" s="91" t="s">
        <v>4993</v>
      </c>
      <c r="E492" s="104">
        <v>44890</v>
      </c>
    </row>
    <row r="493" spans="3:5" ht="20.25" customHeight="1">
      <c r="C493" s="91" t="s">
        <v>4549</v>
      </c>
      <c r="E493" s="104">
        <v>44869</v>
      </c>
    </row>
    <row r="494" spans="3:5" ht="20.25" customHeight="1">
      <c r="C494" s="91" t="s">
        <v>4994</v>
      </c>
      <c r="E494" s="104">
        <v>44867</v>
      </c>
    </row>
    <row r="495" spans="3:5" ht="20.25" customHeight="1">
      <c r="C495" s="91" t="s">
        <v>4995</v>
      </c>
      <c r="E495" s="103" t="s">
        <v>4355</v>
      </c>
    </row>
    <row r="496" spans="3:5" ht="20.25" customHeight="1">
      <c r="C496" s="91" t="s">
        <v>4996</v>
      </c>
      <c r="E496" s="103" t="s">
        <v>4355</v>
      </c>
    </row>
    <row r="497" spans="3:5" ht="20.25" customHeight="1">
      <c r="C497" s="97" t="s">
        <v>4997</v>
      </c>
      <c r="E497" s="103" t="s">
        <v>4355</v>
      </c>
    </row>
    <row r="498" spans="3:5" ht="20.25" customHeight="1">
      <c r="C498" s="91" t="s">
        <v>4998</v>
      </c>
      <c r="E498" s="107">
        <v>45049</v>
      </c>
    </row>
    <row r="499" spans="3:5" ht="20.25" customHeight="1">
      <c r="C499" s="91" t="s">
        <v>4999</v>
      </c>
      <c r="E499" s="104">
        <v>44923</v>
      </c>
    </row>
    <row r="500" spans="3:5" ht="20.25" customHeight="1">
      <c r="C500" s="91" t="s">
        <v>5000</v>
      </c>
      <c r="E500" s="103" t="s">
        <v>4355</v>
      </c>
    </row>
    <row r="501" spans="3:5" ht="20.25" customHeight="1">
      <c r="C501" s="91" t="s">
        <v>5001</v>
      </c>
      <c r="E501" s="104">
        <v>44877</v>
      </c>
    </row>
    <row r="502" spans="3:5" ht="20.25" customHeight="1">
      <c r="C502" s="91" t="s">
        <v>5002</v>
      </c>
      <c r="E502" s="104">
        <v>44862</v>
      </c>
    </row>
    <row r="503" spans="3:5" ht="20.25" customHeight="1">
      <c r="C503" s="97" t="s">
        <v>5003</v>
      </c>
      <c r="E503" s="104">
        <v>44862</v>
      </c>
    </row>
    <row r="504" spans="3:5" ht="20.25" customHeight="1">
      <c r="C504" s="91" t="s">
        <v>5004</v>
      </c>
      <c r="E504" s="103" t="s">
        <v>4355</v>
      </c>
    </row>
    <row r="505" spans="3:5" ht="20.25" customHeight="1">
      <c r="C505" s="91" t="s">
        <v>5005</v>
      </c>
      <c r="E505" s="104">
        <v>44889</v>
      </c>
    </row>
    <row r="506" spans="3:5" ht="20.25" customHeight="1">
      <c r="C506" s="91" t="s">
        <v>5006</v>
      </c>
      <c r="E506" s="103" t="s">
        <v>4355</v>
      </c>
    </row>
    <row r="507" spans="3:5" ht="20.25" customHeight="1">
      <c r="C507" s="91" t="s">
        <v>5007</v>
      </c>
      <c r="E507" s="103" t="s">
        <v>4355</v>
      </c>
    </row>
    <row r="508" spans="3:5" ht="20.25" customHeight="1">
      <c r="C508" s="91" t="s">
        <v>5008</v>
      </c>
      <c r="E508" s="103" t="s">
        <v>4355</v>
      </c>
    </row>
    <row r="509" spans="3:5" ht="20.25" customHeight="1">
      <c r="C509" s="91" t="s">
        <v>5009</v>
      </c>
      <c r="E509" s="104">
        <v>44862</v>
      </c>
    </row>
    <row r="510" spans="3:5" ht="20.25" customHeight="1">
      <c r="C510" s="91" t="s">
        <v>5010</v>
      </c>
      <c r="E510" s="104">
        <v>44862</v>
      </c>
    </row>
    <row r="511" spans="3:5" ht="20.25" customHeight="1">
      <c r="C511" s="91" t="s">
        <v>5011</v>
      </c>
      <c r="E511" s="104">
        <v>44889</v>
      </c>
    </row>
    <row r="512" spans="3:5" ht="20.25" customHeight="1">
      <c r="C512" s="91" t="s">
        <v>4551</v>
      </c>
      <c r="E512" s="104">
        <v>44869</v>
      </c>
    </row>
    <row r="513" spans="3:5" ht="20.25" customHeight="1">
      <c r="C513" s="91" t="s">
        <v>5012</v>
      </c>
      <c r="E513" s="109">
        <v>45013</v>
      </c>
    </row>
    <row r="514" spans="3:5" ht="20.25" customHeight="1">
      <c r="C514" s="91" t="s">
        <v>5013</v>
      </c>
      <c r="E514" s="109">
        <v>45013</v>
      </c>
    </row>
    <row r="515" spans="3:5" ht="20.25" customHeight="1">
      <c r="C515" s="91" t="s">
        <v>5014</v>
      </c>
      <c r="E515" s="104">
        <v>44816</v>
      </c>
    </row>
    <row r="516" spans="3:5" ht="20.25" customHeight="1">
      <c r="C516" s="91" t="s">
        <v>5015</v>
      </c>
      <c r="E516" s="103" t="s">
        <v>4355</v>
      </c>
    </row>
    <row r="517" spans="3:5" ht="20.25" customHeight="1">
      <c r="C517" s="91" t="s">
        <v>5016</v>
      </c>
      <c r="E517" s="103" t="s">
        <v>4355</v>
      </c>
    </row>
    <row r="518" spans="3:5" ht="20.25" customHeight="1">
      <c r="C518" s="91" t="s">
        <v>5017</v>
      </c>
      <c r="E518" s="103" t="s">
        <v>4355</v>
      </c>
    </row>
    <row r="519" spans="3:5" ht="20.25" customHeight="1">
      <c r="C519" s="91" t="s">
        <v>5018</v>
      </c>
      <c r="E519" s="103" t="s">
        <v>4355</v>
      </c>
    </row>
    <row r="520" spans="3:5" ht="20.25" customHeight="1">
      <c r="C520" s="91" t="s">
        <v>4553</v>
      </c>
      <c r="E520" s="103" t="s">
        <v>4355</v>
      </c>
    </row>
    <row r="521" spans="3:5" ht="20.25" customHeight="1">
      <c r="C521" s="91" t="s">
        <v>4555</v>
      </c>
      <c r="E521" s="103" t="s">
        <v>4355</v>
      </c>
    </row>
    <row r="522" spans="3:5" ht="20.25" customHeight="1">
      <c r="C522" s="91" t="s">
        <v>5019</v>
      </c>
      <c r="E522" s="103" t="s">
        <v>4355</v>
      </c>
    </row>
    <row r="523" spans="3:5" ht="20.25" customHeight="1">
      <c r="C523" s="91" t="s">
        <v>5020</v>
      </c>
      <c r="E523" s="103" t="s">
        <v>4355</v>
      </c>
    </row>
    <row r="524" spans="3:5" ht="20.25" customHeight="1">
      <c r="C524" s="91" t="s">
        <v>5021</v>
      </c>
      <c r="E524" s="104">
        <v>44869</v>
      </c>
    </row>
    <row r="525" spans="3:5" ht="20.25" customHeight="1">
      <c r="C525" s="91" t="s">
        <v>5022</v>
      </c>
      <c r="E525" s="104">
        <v>44862</v>
      </c>
    </row>
    <row r="526" spans="3:5" ht="20.25" customHeight="1">
      <c r="C526" s="91" t="s">
        <v>4557</v>
      </c>
      <c r="E526" s="104">
        <v>44869</v>
      </c>
    </row>
    <row r="527" spans="3:5" ht="20.25" customHeight="1">
      <c r="C527" s="91" t="s">
        <v>5023</v>
      </c>
      <c r="E527" s="103" t="s">
        <v>4355</v>
      </c>
    </row>
    <row r="528" spans="3:5" ht="20.25" customHeight="1">
      <c r="C528" s="91" t="s">
        <v>5024</v>
      </c>
      <c r="E528" s="103" t="s">
        <v>4355</v>
      </c>
    </row>
    <row r="529" spans="3:5" ht="20.25" customHeight="1">
      <c r="C529" s="91" t="s">
        <v>5025</v>
      </c>
      <c r="E529" s="103" t="s">
        <v>4355</v>
      </c>
    </row>
    <row r="530" spans="3:5" ht="20.25" customHeight="1">
      <c r="C530" s="91" t="s">
        <v>5026</v>
      </c>
      <c r="E530" s="104">
        <v>44889</v>
      </c>
    </row>
    <row r="531" spans="3:5" ht="20.25" customHeight="1">
      <c r="C531" s="91" t="s">
        <v>5027</v>
      </c>
      <c r="E531" s="104">
        <v>44910</v>
      </c>
    </row>
    <row r="532" spans="3:5" ht="20.25" customHeight="1">
      <c r="C532" s="91" t="s">
        <v>5028</v>
      </c>
      <c r="E532" s="104">
        <v>44869</v>
      </c>
    </row>
    <row r="533" spans="3:5" ht="20.25" customHeight="1">
      <c r="C533" s="91" t="s">
        <v>5029</v>
      </c>
      <c r="E533" s="104">
        <v>44889</v>
      </c>
    </row>
    <row r="534" spans="3:5" ht="20.25" customHeight="1">
      <c r="C534" s="91" t="s">
        <v>5030</v>
      </c>
      <c r="E534" s="104">
        <v>44910</v>
      </c>
    </row>
    <row r="535" spans="3:5" ht="20.25" customHeight="1">
      <c r="C535" s="91" t="s">
        <v>5031</v>
      </c>
      <c r="E535" s="104">
        <v>44889</v>
      </c>
    </row>
    <row r="536" spans="3:5" ht="20.25" customHeight="1">
      <c r="C536" s="91" t="s">
        <v>5032</v>
      </c>
      <c r="E536" s="104">
        <v>44910</v>
      </c>
    </row>
    <row r="537" spans="3:5" ht="20.25" customHeight="1">
      <c r="C537" s="91" t="s">
        <v>5033</v>
      </c>
      <c r="E537" s="104">
        <v>44877</v>
      </c>
    </row>
    <row r="538" spans="3:5" ht="20.25" customHeight="1">
      <c r="C538" s="91" t="s">
        <v>5034</v>
      </c>
      <c r="E538" s="104">
        <v>44862</v>
      </c>
    </row>
    <row r="539" spans="3:5" ht="20.25" customHeight="1">
      <c r="C539" s="91" t="s">
        <v>5035</v>
      </c>
      <c r="E539" s="103" t="s">
        <v>4355</v>
      </c>
    </row>
    <row r="540" spans="3:5" ht="20.25" customHeight="1">
      <c r="C540" s="91" t="s">
        <v>5036</v>
      </c>
      <c r="E540" s="103" t="s">
        <v>4355</v>
      </c>
    </row>
    <row r="541" spans="3:5" ht="20.25" customHeight="1">
      <c r="C541" s="91" t="s">
        <v>5037</v>
      </c>
      <c r="E541" s="103" t="s">
        <v>4355</v>
      </c>
    </row>
    <row r="542" spans="3:5" ht="20.25" customHeight="1">
      <c r="C542" s="91" t="s">
        <v>5038</v>
      </c>
      <c r="E542" s="103" t="s">
        <v>4355</v>
      </c>
    </row>
    <row r="543" spans="3:5" ht="20.25" customHeight="1">
      <c r="C543" s="91" t="s">
        <v>5039</v>
      </c>
      <c r="E543" s="104">
        <v>44816</v>
      </c>
    </row>
    <row r="544" spans="3:5" ht="20.25" customHeight="1">
      <c r="C544" s="91" t="s">
        <v>5040</v>
      </c>
      <c r="E544" s="104">
        <v>44961</v>
      </c>
    </row>
    <row r="545" spans="3:5" ht="20.25" customHeight="1">
      <c r="C545" s="91" t="s">
        <v>5041</v>
      </c>
      <c r="E545" s="103" t="s">
        <v>4355</v>
      </c>
    </row>
    <row r="546" spans="3:5" ht="20.25" customHeight="1">
      <c r="C546" s="91" t="s">
        <v>5042</v>
      </c>
      <c r="E546" s="104">
        <v>44889</v>
      </c>
    </row>
    <row r="547" spans="3:5" ht="20.25" customHeight="1">
      <c r="C547" s="91" t="s">
        <v>5043</v>
      </c>
      <c r="E547" s="104">
        <v>44816</v>
      </c>
    </row>
    <row r="548" spans="3:5" ht="20.25" customHeight="1">
      <c r="C548" s="91" t="s">
        <v>5044</v>
      </c>
      <c r="E548" s="104">
        <v>44961</v>
      </c>
    </row>
    <row r="549" spans="3:5" ht="20.25" customHeight="1">
      <c r="C549" s="91" t="s">
        <v>5045</v>
      </c>
      <c r="E549" s="104">
        <v>44910</v>
      </c>
    </row>
    <row r="550" spans="3:5" ht="20.25" customHeight="1">
      <c r="C550" s="91" t="s">
        <v>5046</v>
      </c>
      <c r="E550" s="104">
        <v>44889</v>
      </c>
    </row>
    <row r="551" spans="3:5" ht="20.25" customHeight="1">
      <c r="C551" s="95" t="s">
        <v>5047</v>
      </c>
      <c r="E551" s="104">
        <v>44816</v>
      </c>
    </row>
    <row r="552" spans="3:5" ht="20.25" customHeight="1">
      <c r="C552" s="91" t="s">
        <v>5048</v>
      </c>
      <c r="E552" s="104">
        <v>44889</v>
      </c>
    </row>
    <row r="553" spans="3:5" ht="20.25" customHeight="1">
      <c r="C553" s="91" t="s">
        <v>5049</v>
      </c>
      <c r="E553" s="104">
        <v>44816</v>
      </c>
    </row>
    <row r="554" spans="3:5" ht="20.25" customHeight="1">
      <c r="C554" s="91" t="s">
        <v>5050</v>
      </c>
      <c r="E554" s="103" t="s">
        <v>4355</v>
      </c>
    </row>
    <row r="555" spans="3:5" ht="20.25" customHeight="1">
      <c r="C555" s="91" t="s">
        <v>5051</v>
      </c>
      <c r="E555" s="103" t="s">
        <v>4355</v>
      </c>
    </row>
    <row r="556" spans="3:5" ht="20.25" customHeight="1">
      <c r="C556" s="91" t="s">
        <v>4559</v>
      </c>
      <c r="E556" s="103" t="s">
        <v>4355</v>
      </c>
    </row>
    <row r="557" spans="3:5" ht="20.25" customHeight="1">
      <c r="C557" s="91" t="s">
        <v>4561</v>
      </c>
      <c r="E557" s="104">
        <v>44889</v>
      </c>
    </row>
    <row r="558" spans="3:5" ht="20.25" customHeight="1">
      <c r="C558" s="91" t="s">
        <v>5052</v>
      </c>
      <c r="E558" s="103" t="s">
        <v>4355</v>
      </c>
    </row>
    <row r="559" spans="3:5" ht="20.25" customHeight="1">
      <c r="C559" s="91" t="s">
        <v>4563</v>
      </c>
      <c r="E559" s="103" t="s">
        <v>4355</v>
      </c>
    </row>
    <row r="560" spans="3:5" ht="20.25" customHeight="1">
      <c r="C560" s="91" t="s">
        <v>5053</v>
      </c>
      <c r="E560" s="104">
        <v>44889</v>
      </c>
    </row>
    <row r="561" spans="3:5" ht="20.25" customHeight="1">
      <c r="C561" s="91" t="s">
        <v>5054</v>
      </c>
      <c r="E561" s="104">
        <v>44889</v>
      </c>
    </row>
    <row r="562" spans="3:5" ht="20.25" customHeight="1">
      <c r="C562" s="91" t="s">
        <v>5055</v>
      </c>
      <c r="E562" s="104"/>
    </row>
    <row r="563" spans="3:5" ht="20.25" customHeight="1">
      <c r="C563" s="91" t="s">
        <v>5056</v>
      </c>
      <c r="E563" s="104">
        <v>45097</v>
      </c>
    </row>
    <row r="564" spans="3:5" ht="20.25" customHeight="1">
      <c r="C564" s="91" t="s">
        <v>5057</v>
      </c>
      <c r="E564" s="104">
        <v>44910</v>
      </c>
    </row>
    <row r="565" spans="3:5" ht="20.25" customHeight="1">
      <c r="C565" s="90" t="s">
        <v>5058</v>
      </c>
      <c r="E565" s="104">
        <v>44923</v>
      </c>
    </row>
    <row r="566" spans="3:5" ht="20.25" customHeight="1">
      <c r="C566" s="91" t="s">
        <v>5059</v>
      </c>
      <c r="E566" s="104">
        <v>44923</v>
      </c>
    </row>
    <row r="567" spans="3:5" ht="20.25" customHeight="1">
      <c r="C567" s="91" t="s">
        <v>5060</v>
      </c>
      <c r="E567" s="104">
        <v>44910</v>
      </c>
    </row>
    <row r="568" spans="3:5" ht="20.25" customHeight="1">
      <c r="C568" s="91" t="s">
        <v>5061</v>
      </c>
      <c r="E568" s="104">
        <v>44910</v>
      </c>
    </row>
    <row r="569" spans="3:5" ht="20.25" customHeight="1">
      <c r="C569" s="91" t="s">
        <v>5062</v>
      </c>
      <c r="E569" s="103" t="s">
        <v>4355</v>
      </c>
    </row>
    <row r="570" spans="3:5" ht="20.25" customHeight="1">
      <c r="C570" s="91" t="s">
        <v>5063</v>
      </c>
      <c r="E570" s="104">
        <v>44923</v>
      </c>
    </row>
    <row r="571" spans="3:5" ht="20.25" customHeight="1">
      <c r="C571" s="91" t="s">
        <v>5064</v>
      </c>
      <c r="E571" s="104">
        <v>44910</v>
      </c>
    </row>
    <row r="572" spans="3:5" ht="20.25" customHeight="1">
      <c r="C572" s="91" t="s">
        <v>5065</v>
      </c>
      <c r="E572" s="104">
        <v>44923</v>
      </c>
    </row>
    <row r="573" spans="3:5" ht="20.25" customHeight="1">
      <c r="C573" s="91" t="s">
        <v>5066</v>
      </c>
      <c r="E573" s="104">
        <v>44910</v>
      </c>
    </row>
    <row r="574" spans="3:5" ht="20.25" customHeight="1">
      <c r="C574" s="91" t="s">
        <v>4565</v>
      </c>
      <c r="E574" s="104">
        <v>44910</v>
      </c>
    </row>
    <row r="575" spans="3:5" ht="20.25" customHeight="1">
      <c r="C575" s="91" t="s">
        <v>4567</v>
      </c>
      <c r="E575" s="104">
        <v>44869</v>
      </c>
    </row>
    <row r="576" spans="3:5" ht="20.25" customHeight="1">
      <c r="C576" s="91" t="s">
        <v>5067</v>
      </c>
      <c r="E576" s="104">
        <v>44869</v>
      </c>
    </row>
    <row r="577" spans="3:5" ht="20.25" customHeight="1">
      <c r="C577" s="91" t="s">
        <v>5068</v>
      </c>
      <c r="E577" s="104">
        <v>44876</v>
      </c>
    </row>
    <row r="578" spans="3:5" ht="20.25" customHeight="1">
      <c r="C578" s="90" t="s">
        <v>5069</v>
      </c>
      <c r="E578" s="103" t="s">
        <v>4355</v>
      </c>
    </row>
    <row r="579" spans="3:5" ht="20.25" customHeight="1">
      <c r="C579" s="91" t="s">
        <v>5070</v>
      </c>
      <c r="E579" s="104">
        <v>44869</v>
      </c>
    </row>
    <row r="580" spans="3:5" ht="20.25" customHeight="1">
      <c r="C580" s="91" t="s">
        <v>5071</v>
      </c>
      <c r="E580" s="103" t="s">
        <v>4355</v>
      </c>
    </row>
    <row r="581" spans="3:5" ht="20.25" customHeight="1">
      <c r="C581" s="91" t="s">
        <v>5072</v>
      </c>
      <c r="E581" s="103" t="s">
        <v>4355</v>
      </c>
    </row>
    <row r="582" spans="3:5" ht="20.25" customHeight="1">
      <c r="C582" s="91" t="s">
        <v>5073</v>
      </c>
      <c r="E582" s="103" t="s">
        <v>4355</v>
      </c>
    </row>
    <row r="583" spans="3:5" ht="20.25" customHeight="1">
      <c r="C583" s="91" t="s">
        <v>4569</v>
      </c>
      <c r="E583" s="103" t="s">
        <v>4355</v>
      </c>
    </row>
    <row r="584" spans="3:5" ht="20.25" customHeight="1">
      <c r="C584" s="91" t="s">
        <v>5074</v>
      </c>
      <c r="E584" s="103" t="s">
        <v>4355</v>
      </c>
    </row>
    <row r="585" spans="3:5" ht="20.25" customHeight="1">
      <c r="C585" s="91" t="s">
        <v>5075</v>
      </c>
      <c r="E585" s="103" t="s">
        <v>4355</v>
      </c>
    </row>
    <row r="586" spans="3:5" ht="20.25" customHeight="1">
      <c r="C586" s="91" t="s">
        <v>5076</v>
      </c>
      <c r="E586" s="103" t="s">
        <v>4355</v>
      </c>
    </row>
    <row r="587" spans="3:5" ht="20.25" customHeight="1">
      <c r="C587" s="91" t="s">
        <v>5077</v>
      </c>
      <c r="E587" s="103" t="s">
        <v>4355</v>
      </c>
    </row>
    <row r="588" spans="3:5" ht="20.25" customHeight="1">
      <c r="C588" s="91" t="s">
        <v>5078</v>
      </c>
      <c r="E588" s="103" t="s">
        <v>4355</v>
      </c>
    </row>
    <row r="589" spans="3:5" ht="20.25" customHeight="1">
      <c r="C589" s="91" t="s">
        <v>5079</v>
      </c>
      <c r="E589" s="103" t="s">
        <v>4355</v>
      </c>
    </row>
    <row r="590" spans="3:5" ht="20.25" customHeight="1">
      <c r="C590" s="91" t="s">
        <v>5080</v>
      </c>
      <c r="E590" s="103" t="s">
        <v>4355</v>
      </c>
    </row>
    <row r="591" spans="3:5" ht="20.25" customHeight="1">
      <c r="C591" s="91" t="s">
        <v>5081</v>
      </c>
      <c r="E591" s="103" t="s">
        <v>4355</v>
      </c>
    </row>
    <row r="592" spans="3:5" ht="20.25" customHeight="1">
      <c r="C592" s="91" t="s">
        <v>5082</v>
      </c>
      <c r="E592" s="103" t="s">
        <v>4355</v>
      </c>
    </row>
    <row r="593" spans="3:5" ht="20.25" customHeight="1">
      <c r="C593" s="91" t="s">
        <v>5083</v>
      </c>
      <c r="E593" s="104">
        <v>44910</v>
      </c>
    </row>
    <row r="594" spans="3:5" ht="20.25" customHeight="1">
      <c r="C594" s="91" t="s">
        <v>5084</v>
      </c>
      <c r="E594" s="103" t="s">
        <v>4355</v>
      </c>
    </row>
    <row r="595" spans="3:5" ht="20.25" customHeight="1">
      <c r="C595" s="91" t="s">
        <v>5085</v>
      </c>
      <c r="E595" s="104">
        <v>44910</v>
      </c>
    </row>
    <row r="596" spans="3:5" ht="20.25" customHeight="1">
      <c r="C596" s="91" t="s">
        <v>5086</v>
      </c>
      <c r="E596" s="103" t="s">
        <v>4355</v>
      </c>
    </row>
    <row r="597" spans="3:5" ht="20.25" customHeight="1">
      <c r="C597" s="91" t="s">
        <v>5087</v>
      </c>
      <c r="E597" s="104">
        <v>44910</v>
      </c>
    </row>
    <row r="598" spans="3:5" ht="20.25" customHeight="1">
      <c r="C598" s="91" t="s">
        <v>5088</v>
      </c>
      <c r="E598" s="103" t="s">
        <v>4355</v>
      </c>
    </row>
    <row r="599" spans="3:5" ht="20.25" customHeight="1">
      <c r="C599" s="95" t="s">
        <v>5089</v>
      </c>
      <c r="E599" s="103" t="s">
        <v>4355</v>
      </c>
    </row>
    <row r="600" spans="3:5" ht="20.25" customHeight="1">
      <c r="C600" s="91" t="s">
        <v>5090</v>
      </c>
      <c r="E600" s="103" t="s">
        <v>4355</v>
      </c>
    </row>
    <row r="601" spans="3:5" ht="20.25" customHeight="1">
      <c r="C601" s="91" t="s">
        <v>5091</v>
      </c>
      <c r="E601" s="103" t="s">
        <v>4355</v>
      </c>
    </row>
    <row r="602" spans="3:5" ht="20.25" customHeight="1">
      <c r="C602" s="91" t="s">
        <v>5092</v>
      </c>
      <c r="E602" s="107">
        <v>45065</v>
      </c>
    </row>
    <row r="603" spans="3:5" ht="20.25" customHeight="1">
      <c r="C603" s="91" t="s">
        <v>5093</v>
      </c>
      <c r="E603" s="107">
        <v>45148</v>
      </c>
    </row>
    <row r="604" spans="3:5" ht="20.25" customHeight="1">
      <c r="C604" s="91" t="s">
        <v>5094</v>
      </c>
      <c r="E604" s="104">
        <v>44910</v>
      </c>
    </row>
    <row r="605" spans="3:5" ht="20.25" customHeight="1">
      <c r="C605" s="91" t="s">
        <v>5095</v>
      </c>
      <c r="E605" s="117">
        <v>45040</v>
      </c>
    </row>
    <row r="606" spans="3:5" ht="20.25" customHeight="1">
      <c r="C606" s="91" t="s">
        <v>5096</v>
      </c>
      <c r="E606" s="103" t="s">
        <v>4355</v>
      </c>
    </row>
    <row r="607" spans="3:5" ht="20.25" customHeight="1">
      <c r="C607" s="91" t="s">
        <v>5097</v>
      </c>
      <c r="E607" s="107">
        <v>45065</v>
      </c>
    </row>
    <row r="608" spans="3:5" ht="20.25" customHeight="1">
      <c r="C608" s="91" t="s">
        <v>5098</v>
      </c>
      <c r="E608" s="103" t="s">
        <v>4355</v>
      </c>
    </row>
    <row r="609" spans="3:5" ht="20.25" customHeight="1">
      <c r="C609" s="91" t="s">
        <v>5099</v>
      </c>
      <c r="E609" s="117">
        <v>45040</v>
      </c>
    </row>
    <row r="610" spans="3:5" ht="20.25" customHeight="1">
      <c r="C610" s="91" t="s">
        <v>5100</v>
      </c>
      <c r="E610" s="104">
        <v>44923</v>
      </c>
    </row>
    <row r="611" spans="3:5" ht="20.25" customHeight="1">
      <c r="C611" s="91" t="s">
        <v>5101</v>
      </c>
      <c r="E611" s="107">
        <v>45065</v>
      </c>
    </row>
    <row r="612" spans="3:5" ht="20.25" customHeight="1">
      <c r="C612" s="91" t="s">
        <v>5102</v>
      </c>
      <c r="E612" s="103" t="s">
        <v>4355</v>
      </c>
    </row>
    <row r="613" spans="3:5" ht="20.25" customHeight="1">
      <c r="C613" s="91" t="s">
        <v>5103</v>
      </c>
      <c r="E613" s="103" t="s">
        <v>4355</v>
      </c>
    </row>
    <row r="614" spans="3:5" ht="20.25" customHeight="1">
      <c r="C614" s="91" t="s">
        <v>5104</v>
      </c>
      <c r="E614" s="104">
        <v>44910</v>
      </c>
    </row>
    <row r="615" spans="3:5" ht="20.25" customHeight="1">
      <c r="C615" s="91" t="s">
        <v>5105</v>
      </c>
      <c r="E615" s="104">
        <v>44923</v>
      </c>
    </row>
    <row r="616" spans="3:5" ht="20.25" customHeight="1">
      <c r="C616" s="91" t="s">
        <v>5106</v>
      </c>
      <c r="E616" s="104">
        <v>44910</v>
      </c>
    </row>
    <row r="617" spans="3:5" ht="20.25" customHeight="1">
      <c r="C617" s="90" t="s">
        <v>5107</v>
      </c>
      <c r="E617" s="104">
        <v>44869</v>
      </c>
    </row>
    <row r="618" spans="3:5" ht="20.25" customHeight="1">
      <c r="C618" s="91" t="s">
        <v>5108</v>
      </c>
      <c r="E618" s="104">
        <v>44910</v>
      </c>
    </row>
    <row r="619" spans="3:5" ht="20.25" customHeight="1">
      <c r="C619" s="91" t="s">
        <v>5109</v>
      </c>
      <c r="E619" s="103"/>
    </row>
    <row r="620" spans="3:5" ht="20.25" customHeight="1">
      <c r="C620" s="91" t="s">
        <v>5110</v>
      </c>
      <c r="E620" s="104">
        <v>44910</v>
      </c>
    </row>
    <row r="621" spans="3:5" ht="20.25" customHeight="1">
      <c r="C621" s="91" t="s">
        <v>4571</v>
      </c>
      <c r="E621" s="103" t="s">
        <v>4355</v>
      </c>
    </row>
    <row r="622" spans="3:5" ht="20.25" customHeight="1">
      <c r="C622" s="91" t="s">
        <v>5111</v>
      </c>
      <c r="E622" s="104">
        <v>44923</v>
      </c>
    </row>
    <row r="623" spans="3:5" ht="20.25" customHeight="1">
      <c r="C623" s="91" t="s">
        <v>5112</v>
      </c>
      <c r="E623" s="104">
        <v>44910</v>
      </c>
    </row>
    <row r="624" spans="3:5" ht="20.25" customHeight="1">
      <c r="C624" s="91" t="s">
        <v>5113</v>
      </c>
      <c r="E624" s="104">
        <v>44910</v>
      </c>
    </row>
    <row r="625" spans="3:5" ht="20.25" customHeight="1">
      <c r="C625" s="91" t="s">
        <v>5114</v>
      </c>
      <c r="E625" s="103"/>
    </row>
    <row r="626" spans="3:5" ht="20.25" customHeight="1">
      <c r="C626" s="91" t="s">
        <v>5115</v>
      </c>
      <c r="E626" s="111"/>
    </row>
    <row r="627" spans="3:5" ht="20.25" customHeight="1">
      <c r="C627" s="91" t="s">
        <v>5116</v>
      </c>
      <c r="E627" s="111"/>
    </row>
    <row r="628" spans="3:5" ht="20.25" customHeight="1">
      <c r="C628" s="91" t="s">
        <v>5117</v>
      </c>
      <c r="E628" s="111"/>
    </row>
    <row r="629" spans="3:5" ht="20.25" customHeight="1">
      <c r="C629" s="91" t="s">
        <v>5118</v>
      </c>
      <c r="E629" s="111"/>
    </row>
    <row r="630" spans="3:5" ht="20.25" customHeight="1">
      <c r="C630" s="91" t="s">
        <v>5119</v>
      </c>
      <c r="E630" s="111"/>
    </row>
    <row r="631" spans="3:5" ht="20.25" customHeight="1">
      <c r="C631" s="91" t="s">
        <v>5120</v>
      </c>
      <c r="E631" s="111"/>
    </row>
    <row r="632" spans="3:5" ht="20.25" customHeight="1">
      <c r="C632" s="91" t="s">
        <v>5121</v>
      </c>
      <c r="E632" s="111"/>
    </row>
    <row r="633" spans="3:5" ht="20.25" customHeight="1">
      <c r="C633" s="91" t="s">
        <v>5122</v>
      </c>
      <c r="E633" s="111"/>
    </row>
    <row r="634" spans="3:5" ht="20.25" customHeight="1">
      <c r="C634" s="91" t="s">
        <v>5123</v>
      </c>
      <c r="E634" s="111"/>
    </row>
    <row r="635" spans="3:5" ht="20.25" customHeight="1">
      <c r="C635" s="91" t="s">
        <v>5124</v>
      </c>
      <c r="E635" s="111"/>
    </row>
    <row r="636" spans="3:5" ht="20.25" customHeight="1">
      <c r="C636" s="95" t="s">
        <v>5125</v>
      </c>
      <c r="E636" s="111"/>
    </row>
    <row r="637" spans="3:5" ht="20.25" customHeight="1">
      <c r="C637" s="91" t="s">
        <v>5126</v>
      </c>
      <c r="E637" s="111"/>
    </row>
    <row r="638" spans="3:5" ht="20.25" customHeight="1">
      <c r="C638" s="91" t="s">
        <v>5127</v>
      </c>
      <c r="E638" s="111"/>
    </row>
    <row r="639" spans="3:5" ht="20.25" customHeight="1">
      <c r="C639" s="95" t="s">
        <v>5128</v>
      </c>
      <c r="E639" s="111"/>
    </row>
    <row r="640" spans="3:5" ht="20.25" customHeight="1">
      <c r="C640" s="91" t="s">
        <v>5129</v>
      </c>
      <c r="E640" s="111"/>
    </row>
    <row r="641" spans="3:5" ht="20.25" customHeight="1">
      <c r="C641" s="91" t="s">
        <v>5130</v>
      </c>
      <c r="E641" s="111"/>
    </row>
    <row r="642" spans="3:5" ht="20.25" customHeight="1">
      <c r="C642" s="91" t="s">
        <v>5131</v>
      </c>
      <c r="E642" s="111"/>
    </row>
    <row r="643" spans="3:5" ht="20.25" customHeight="1">
      <c r="C643" s="91" t="s">
        <v>5132</v>
      </c>
      <c r="E643" s="111"/>
    </row>
    <row r="644" spans="3:5" ht="20.25" customHeight="1">
      <c r="C644" s="95" t="s">
        <v>5133</v>
      </c>
      <c r="E644" s="111"/>
    </row>
    <row r="645" spans="3:5" ht="20.25" customHeight="1">
      <c r="C645" s="91" t="s">
        <v>5134</v>
      </c>
      <c r="E645" s="111"/>
    </row>
    <row r="646" spans="3:5" ht="20.25" customHeight="1">
      <c r="C646" s="91" t="s">
        <v>5135</v>
      </c>
      <c r="E646" s="111"/>
    </row>
    <row r="647" spans="3:5" ht="20.25" customHeight="1">
      <c r="C647" s="97" t="s">
        <v>4573</v>
      </c>
      <c r="E647" s="111"/>
    </row>
    <row r="648" spans="3:5" ht="20.25" customHeight="1">
      <c r="C648" s="95" t="s">
        <v>5136</v>
      </c>
      <c r="E648" s="103" t="s">
        <v>4355</v>
      </c>
    </row>
    <row r="649" spans="3:5" ht="20.25" customHeight="1">
      <c r="C649" s="91" t="s">
        <v>5137</v>
      </c>
      <c r="E649" s="103" t="s">
        <v>4355</v>
      </c>
    </row>
    <row r="650" spans="3:5" ht="20.25" customHeight="1">
      <c r="C650" s="91" t="s">
        <v>4575</v>
      </c>
      <c r="E650" s="103" t="s">
        <v>4355</v>
      </c>
    </row>
    <row r="651" spans="3:5" ht="20.25" customHeight="1">
      <c r="C651" s="91" t="s">
        <v>4577</v>
      </c>
      <c r="E651" s="111" t="s">
        <v>4355</v>
      </c>
    </row>
    <row r="652" spans="3:5" ht="20.25" customHeight="1">
      <c r="C652" s="91" t="s">
        <v>5138</v>
      </c>
      <c r="E652" s="111"/>
    </row>
    <row r="653" spans="3:5" ht="20.25" customHeight="1">
      <c r="C653" s="91" t="s">
        <v>4579</v>
      </c>
      <c r="E653" s="111"/>
    </row>
    <row r="654" spans="3:5" ht="20.25" customHeight="1">
      <c r="C654" s="91" t="s">
        <v>5139</v>
      </c>
      <c r="E654" s="111"/>
    </row>
    <row r="655" spans="3:5" ht="20.25" customHeight="1">
      <c r="C655" s="91" t="s">
        <v>5140</v>
      </c>
      <c r="E655" s="111"/>
    </row>
    <row r="656" spans="3:5" ht="20.25" customHeight="1">
      <c r="C656" s="91" t="s">
        <v>5141</v>
      </c>
      <c r="E656" s="111"/>
    </row>
    <row r="657" spans="3:5" ht="20.25" customHeight="1">
      <c r="C657" s="91" t="s">
        <v>5142</v>
      </c>
      <c r="E657" s="111"/>
    </row>
    <row r="658" spans="3:5" ht="20.25" customHeight="1">
      <c r="C658" s="91" t="s">
        <v>5143</v>
      </c>
      <c r="E658" s="111"/>
    </row>
    <row r="659" spans="3:5" ht="20.25" customHeight="1">
      <c r="C659" s="91" t="s">
        <v>5144</v>
      </c>
      <c r="E659" s="111"/>
    </row>
    <row r="660" spans="3:5" ht="20.25" customHeight="1">
      <c r="C660" s="91" t="s">
        <v>5145</v>
      </c>
      <c r="E660" s="111"/>
    </row>
    <row r="661" spans="3:5" ht="20.25" customHeight="1">
      <c r="C661" s="91" t="s">
        <v>5146</v>
      </c>
      <c r="E661" s="111"/>
    </row>
    <row r="662" spans="3:5" ht="20.25" customHeight="1">
      <c r="C662" s="91" t="s">
        <v>5147</v>
      </c>
      <c r="E662" s="111"/>
    </row>
    <row r="663" spans="3:5" ht="20.25" customHeight="1">
      <c r="C663" s="91" t="s">
        <v>5148</v>
      </c>
      <c r="E663" s="111"/>
    </row>
    <row r="664" spans="3:5" ht="20.25" customHeight="1">
      <c r="C664" s="91" t="s">
        <v>5149</v>
      </c>
      <c r="E664" s="111"/>
    </row>
    <row r="665" spans="3:5" ht="20.25" customHeight="1">
      <c r="C665" s="91" t="s">
        <v>4581</v>
      </c>
      <c r="E665" s="111"/>
    </row>
    <row r="666" spans="3:5" ht="20.25" customHeight="1">
      <c r="C666" s="91" t="s">
        <v>5150</v>
      </c>
      <c r="E666" s="111"/>
    </row>
    <row r="667" spans="3:5" ht="20.25" customHeight="1">
      <c r="C667" s="91" t="s">
        <v>5151</v>
      </c>
      <c r="E667" s="117">
        <v>45040</v>
      </c>
    </row>
    <row r="668" spans="3:5" ht="20.25" customHeight="1">
      <c r="C668" s="91" t="s">
        <v>5152</v>
      </c>
      <c r="E668" s="111"/>
    </row>
    <row r="669" spans="3:5" ht="20.25" customHeight="1">
      <c r="C669" s="91" t="s">
        <v>5153</v>
      </c>
      <c r="E669" s="111"/>
    </row>
    <row r="670" spans="3:5" ht="20.25" customHeight="1">
      <c r="C670" s="91" t="s">
        <v>5154</v>
      </c>
      <c r="E670" s="103"/>
    </row>
    <row r="671" spans="3:5" ht="20.25" customHeight="1">
      <c r="C671" s="91" t="s">
        <v>5155</v>
      </c>
      <c r="E671" s="111"/>
    </row>
    <row r="672" spans="3:5" ht="20.25" customHeight="1">
      <c r="C672" s="91" t="s">
        <v>5156</v>
      </c>
      <c r="E672" s="111"/>
    </row>
    <row r="673" spans="3:5" ht="20.25" customHeight="1">
      <c r="C673" s="91" t="s">
        <v>5157</v>
      </c>
      <c r="E673" s="104">
        <v>44922</v>
      </c>
    </row>
    <row r="674" spans="3:5" ht="20.25" customHeight="1">
      <c r="C674" s="91" t="s">
        <v>5158</v>
      </c>
      <c r="E674" s="111"/>
    </row>
    <row r="675" spans="3:5" ht="20.25" customHeight="1">
      <c r="C675" s="91" t="s">
        <v>5159</v>
      </c>
      <c r="E675" s="111"/>
    </row>
    <row r="676" spans="3:5" ht="20.25" customHeight="1">
      <c r="C676" s="91" t="s">
        <v>5160</v>
      </c>
      <c r="E676" s="111"/>
    </row>
    <row r="677" spans="3:5" ht="20.25" customHeight="1">
      <c r="C677" s="91" t="s">
        <v>5161</v>
      </c>
      <c r="E677" s="111"/>
    </row>
    <row r="678" spans="3:5" ht="20.25" customHeight="1">
      <c r="C678" s="91" t="s">
        <v>5162</v>
      </c>
      <c r="E678" s="111" t="s">
        <v>4355</v>
      </c>
    </row>
    <row r="679" spans="3:5" ht="20.25" customHeight="1">
      <c r="C679" s="91" t="s">
        <v>5163</v>
      </c>
      <c r="E679" s="111" t="s">
        <v>4355</v>
      </c>
    </row>
    <row r="680" spans="3:5" ht="20.25" customHeight="1">
      <c r="C680" s="91" t="s">
        <v>5164</v>
      </c>
      <c r="E680" s="111"/>
    </row>
    <row r="681" spans="3:5" ht="20.25" customHeight="1">
      <c r="C681" s="91" t="s">
        <v>5165</v>
      </c>
      <c r="E681" s="111" t="s">
        <v>4355</v>
      </c>
    </row>
    <row r="682" spans="3:5" ht="20.25" customHeight="1">
      <c r="C682" s="91" t="s">
        <v>5166</v>
      </c>
      <c r="E682" s="111"/>
    </row>
    <row r="683" spans="3:5" ht="20.25" customHeight="1">
      <c r="C683" s="91" t="s">
        <v>5167</v>
      </c>
      <c r="E683" s="111"/>
    </row>
    <row r="684" spans="3:5" ht="20.25" customHeight="1">
      <c r="C684" s="91" t="s">
        <v>5168</v>
      </c>
      <c r="E684" s="111"/>
    </row>
    <row r="685" spans="3:5" ht="20.25" customHeight="1">
      <c r="C685" s="91" t="s">
        <v>5169</v>
      </c>
      <c r="E685" s="103" t="s">
        <v>4355</v>
      </c>
    </row>
    <row r="686" spans="3:5" ht="20.25" customHeight="1">
      <c r="C686" s="91" t="s">
        <v>5170</v>
      </c>
      <c r="E686" s="117">
        <v>45040</v>
      </c>
    </row>
    <row r="687" spans="3:5" ht="20.25" customHeight="1">
      <c r="C687" s="91" t="s">
        <v>5171</v>
      </c>
      <c r="E687" s="111"/>
    </row>
    <row r="688" spans="3:5" ht="20.25" customHeight="1">
      <c r="C688" s="91" t="s">
        <v>5172</v>
      </c>
      <c r="E688" s="103" t="s">
        <v>4355</v>
      </c>
    </row>
    <row r="689" spans="3:5" ht="20.25" customHeight="1">
      <c r="C689" s="91" t="s">
        <v>5173</v>
      </c>
      <c r="E689" s="107">
        <v>45148</v>
      </c>
    </row>
    <row r="690" spans="3:5" ht="20.25" customHeight="1">
      <c r="C690" s="91" t="s">
        <v>5174</v>
      </c>
      <c r="E690" s="111"/>
    </row>
    <row r="691" spans="3:5" ht="20.25" customHeight="1">
      <c r="C691" s="91" t="s">
        <v>5175</v>
      </c>
      <c r="E691" s="107">
        <v>45049</v>
      </c>
    </row>
    <row r="692" spans="3:5" ht="20.25" customHeight="1">
      <c r="C692" s="91" t="s">
        <v>5176</v>
      </c>
      <c r="E692" s="103" t="s">
        <v>4355</v>
      </c>
    </row>
    <row r="693" spans="3:5" ht="20.25" customHeight="1">
      <c r="C693" s="91" t="s">
        <v>5177</v>
      </c>
      <c r="E693" s="111" t="s">
        <v>4355</v>
      </c>
    </row>
    <row r="694" spans="3:5" ht="20.25" customHeight="1">
      <c r="C694" s="91" t="s">
        <v>5178</v>
      </c>
      <c r="E694" s="111"/>
    </row>
    <row r="695" spans="3:5" ht="20.25" customHeight="1">
      <c r="C695" s="91" t="s">
        <v>5179</v>
      </c>
      <c r="E695" s="111"/>
    </row>
    <row r="696" spans="3:5" ht="20.25" customHeight="1">
      <c r="C696" s="91" t="s">
        <v>5180</v>
      </c>
      <c r="E696" s="107">
        <v>45049</v>
      </c>
    </row>
    <row r="697" spans="3:5" ht="20.25" customHeight="1">
      <c r="C697" s="91" t="s">
        <v>5181</v>
      </c>
      <c r="E697" s="104">
        <v>45058</v>
      </c>
    </row>
    <row r="698" spans="3:5" ht="20.25" customHeight="1">
      <c r="C698" s="91" t="s">
        <v>5182</v>
      </c>
      <c r="E698" s="111"/>
    </row>
    <row r="699" spans="3:5" ht="20.25" customHeight="1">
      <c r="C699" s="91" t="s">
        <v>5183</v>
      </c>
      <c r="E699" s="117">
        <v>45040</v>
      </c>
    </row>
    <row r="700" spans="3:5" ht="20.25" customHeight="1">
      <c r="C700" s="91" t="s">
        <v>5184</v>
      </c>
      <c r="E700" s="111"/>
    </row>
    <row r="701" spans="3:5" ht="20.25" customHeight="1">
      <c r="C701" s="91" t="s">
        <v>5185</v>
      </c>
      <c r="E701" s="103" t="s">
        <v>4355</v>
      </c>
    </row>
    <row r="702" spans="3:5" ht="20.25" customHeight="1">
      <c r="C702" s="91" t="s">
        <v>5186</v>
      </c>
      <c r="E702" s="111"/>
    </row>
    <row r="703" spans="3:5" ht="20.25" customHeight="1">
      <c r="C703" s="91" t="s">
        <v>5187</v>
      </c>
      <c r="E703" s="111"/>
    </row>
    <row r="704" spans="3:5" ht="20.25" customHeight="1">
      <c r="C704" s="91" t="s">
        <v>5188</v>
      </c>
      <c r="E704" s="111"/>
    </row>
    <row r="705" spans="3:5" ht="20.25" customHeight="1">
      <c r="C705" s="91" t="s">
        <v>5189</v>
      </c>
      <c r="E705" s="103" t="s">
        <v>4355</v>
      </c>
    </row>
    <row r="706" spans="3:5" ht="20.25" customHeight="1">
      <c r="C706" s="91" t="s">
        <v>5190</v>
      </c>
      <c r="E706" s="111"/>
    </row>
    <row r="707" spans="3:5" ht="20.25" customHeight="1">
      <c r="C707" s="91" t="s">
        <v>5191</v>
      </c>
      <c r="E707" s="111"/>
    </row>
    <row r="708" spans="3:5" ht="20.25" customHeight="1">
      <c r="C708" s="91" t="s">
        <v>5192</v>
      </c>
      <c r="E708" s="111"/>
    </row>
    <row r="709" spans="3:5" ht="20.25" customHeight="1">
      <c r="C709" s="91" t="s">
        <v>5193</v>
      </c>
      <c r="E709" s="103" t="s">
        <v>4355</v>
      </c>
    </row>
    <row r="710" spans="3:5" ht="20.25" customHeight="1">
      <c r="C710" s="91" t="s">
        <v>5194</v>
      </c>
      <c r="E710" s="103" t="s">
        <v>4355</v>
      </c>
    </row>
    <row r="711" spans="3:5" ht="20.25" customHeight="1">
      <c r="C711" s="91" t="s">
        <v>5195</v>
      </c>
      <c r="E711" s="111"/>
    </row>
    <row r="712" spans="3:5" ht="20.25" customHeight="1">
      <c r="C712" s="91" t="s">
        <v>5196</v>
      </c>
      <c r="E712" s="103" t="s">
        <v>4355</v>
      </c>
    </row>
    <row r="713" spans="3:5" ht="20.25" customHeight="1">
      <c r="C713" s="91" t="s">
        <v>5197</v>
      </c>
      <c r="E713" s="111"/>
    </row>
    <row r="714" spans="3:5" ht="20.25" customHeight="1">
      <c r="C714" s="91" t="s">
        <v>5198</v>
      </c>
      <c r="E714" s="111"/>
    </row>
    <row r="715" spans="3:5" ht="20.25" customHeight="1">
      <c r="C715" s="91" t="s">
        <v>5199</v>
      </c>
      <c r="E715" s="103" t="s">
        <v>4355</v>
      </c>
    </row>
    <row r="716" spans="3:5" ht="20.25" customHeight="1">
      <c r="C716" s="91" t="s">
        <v>5200</v>
      </c>
      <c r="E716" s="117">
        <v>45040</v>
      </c>
    </row>
    <row r="717" spans="3:5" ht="20.25" customHeight="1">
      <c r="C717" s="91" t="s">
        <v>5201</v>
      </c>
      <c r="E717" s="111"/>
    </row>
    <row r="718" spans="3:5" ht="20.25" customHeight="1">
      <c r="C718" s="91" t="s">
        <v>4583</v>
      </c>
      <c r="E718" s="103" t="s">
        <v>4355</v>
      </c>
    </row>
    <row r="719" spans="3:5" ht="20.25" customHeight="1">
      <c r="C719" s="91" t="s">
        <v>5202</v>
      </c>
      <c r="E719" s="104">
        <v>44923</v>
      </c>
    </row>
    <row r="720" spans="3:5" ht="20.25" customHeight="1">
      <c r="C720" s="91" t="s">
        <v>5203</v>
      </c>
      <c r="E720" s="111"/>
    </row>
    <row r="721" spans="3:5" ht="20.25" customHeight="1">
      <c r="C721" s="91" t="s">
        <v>5204</v>
      </c>
      <c r="E721" s="104">
        <v>44877</v>
      </c>
    </row>
    <row r="722" spans="3:5" ht="20.25" customHeight="1">
      <c r="C722" s="91" t="s">
        <v>5205</v>
      </c>
      <c r="E722" s="111"/>
    </row>
    <row r="723" spans="3:5" ht="20.25" customHeight="1">
      <c r="C723" s="91" t="s">
        <v>5206</v>
      </c>
      <c r="E723" s="111"/>
    </row>
    <row r="724" spans="3:5" ht="20.25" customHeight="1">
      <c r="C724" s="91" t="s">
        <v>5207</v>
      </c>
      <c r="E724" s="117">
        <v>45040</v>
      </c>
    </row>
    <row r="725" spans="3:5" ht="20.25" customHeight="1">
      <c r="C725" s="91" t="s">
        <v>5208</v>
      </c>
      <c r="E725" s="103" t="s">
        <v>4355</v>
      </c>
    </row>
    <row r="726" spans="3:5" ht="20.25" customHeight="1">
      <c r="C726" s="93" t="s">
        <v>5209</v>
      </c>
      <c r="E726" s="111"/>
    </row>
    <row r="727" spans="3:5" ht="20.25" customHeight="1">
      <c r="C727" s="91" t="s">
        <v>4585</v>
      </c>
      <c r="E727" s="111"/>
    </row>
    <row r="728" spans="3:5" ht="20.25" customHeight="1">
      <c r="C728" s="91" t="s">
        <v>5210</v>
      </c>
      <c r="E728" s="111"/>
    </row>
    <row r="729" spans="3:5" ht="20.25" customHeight="1">
      <c r="C729" s="91" t="s">
        <v>5211</v>
      </c>
      <c r="E729" s="111"/>
    </row>
    <row r="730" spans="3:5" ht="20.25" customHeight="1">
      <c r="C730" s="91" t="s">
        <v>4587</v>
      </c>
      <c r="E730" s="111"/>
    </row>
    <row r="731" spans="3:5" ht="20.25" customHeight="1">
      <c r="C731" s="91" t="s">
        <v>5212</v>
      </c>
      <c r="E731" s="111"/>
    </row>
    <row r="732" spans="3:5" ht="20.25" customHeight="1">
      <c r="C732" s="91" t="s">
        <v>5213</v>
      </c>
      <c r="E732" s="111"/>
    </row>
    <row r="733" spans="3:5" ht="20.25" customHeight="1">
      <c r="C733" s="97" t="s">
        <v>4589</v>
      </c>
      <c r="E733" s="111"/>
    </row>
    <row r="734" spans="3:5" ht="20.25" customHeight="1">
      <c r="C734" s="91" t="s">
        <v>5214</v>
      </c>
      <c r="E734" s="111"/>
    </row>
    <row r="735" spans="3:5" ht="20.25" customHeight="1">
      <c r="C735" s="91" t="s">
        <v>5215</v>
      </c>
      <c r="E735" s="111"/>
    </row>
    <row r="736" spans="3:5" ht="20.25" customHeight="1">
      <c r="C736" s="91" t="s">
        <v>5216</v>
      </c>
      <c r="E736" s="107">
        <v>45049</v>
      </c>
    </row>
    <row r="737" spans="3:5" ht="20.25" customHeight="1">
      <c r="C737" s="91" t="s">
        <v>5217</v>
      </c>
      <c r="E737" s="117">
        <v>45040</v>
      </c>
    </row>
    <row r="738" spans="3:5" ht="20.25" customHeight="1">
      <c r="C738" s="91" t="s">
        <v>5218</v>
      </c>
      <c r="E738" s="111"/>
    </row>
    <row r="739" spans="3:5" ht="20.25" customHeight="1">
      <c r="C739" s="91" t="s">
        <v>5219</v>
      </c>
      <c r="E739" s="111"/>
    </row>
    <row r="740" spans="3:5" ht="20.25" customHeight="1">
      <c r="C740" s="94" t="s">
        <v>5220</v>
      </c>
      <c r="E740" s="103" t="s">
        <v>4355</v>
      </c>
    </row>
    <row r="741" spans="3:5" ht="20.25" customHeight="1">
      <c r="C741" s="91" t="s">
        <v>5221</v>
      </c>
      <c r="E741" s="111"/>
    </row>
    <row r="742" spans="3:5" ht="20.25" customHeight="1">
      <c r="C742" s="91" t="s">
        <v>5222</v>
      </c>
      <c r="E742" s="111"/>
    </row>
    <row r="743" spans="3:5" ht="20.25" customHeight="1">
      <c r="C743" s="91" t="s">
        <v>5223</v>
      </c>
      <c r="E743" s="111"/>
    </row>
    <row r="744" spans="3:5" ht="20.25" customHeight="1">
      <c r="C744" s="91" t="s">
        <v>5224</v>
      </c>
      <c r="E744" s="111"/>
    </row>
    <row r="745" spans="3:5" ht="20.25" customHeight="1">
      <c r="C745" s="91" t="s">
        <v>5225</v>
      </c>
      <c r="E745" s="111"/>
    </row>
    <row r="746" spans="3:5" ht="20.25" customHeight="1">
      <c r="C746" s="91" t="s">
        <v>5226</v>
      </c>
      <c r="E746" s="111"/>
    </row>
    <row r="747" spans="3:5" ht="20.25" customHeight="1">
      <c r="C747" s="91" t="s">
        <v>5227</v>
      </c>
      <c r="E747" s="103" t="s">
        <v>4355</v>
      </c>
    </row>
    <row r="748" spans="3:5" ht="20.25" customHeight="1">
      <c r="C748" s="91" t="s">
        <v>5228</v>
      </c>
      <c r="E748" s="107">
        <v>45105</v>
      </c>
    </row>
    <row r="749" spans="3:5" ht="20.25" customHeight="1">
      <c r="C749" s="91" t="s">
        <v>5229</v>
      </c>
      <c r="E749" s="117">
        <v>45040</v>
      </c>
    </row>
    <row r="750" spans="3:5" ht="20.25" customHeight="1">
      <c r="C750" s="91" t="s">
        <v>5230</v>
      </c>
      <c r="E750" s="111"/>
    </row>
    <row r="751" spans="3:5" ht="20.25" customHeight="1">
      <c r="C751" s="91" t="s">
        <v>5231</v>
      </c>
      <c r="E751" s="103" t="s">
        <v>4355</v>
      </c>
    </row>
    <row r="752" spans="3:5" ht="20.25" customHeight="1">
      <c r="C752" s="91" t="s">
        <v>5232</v>
      </c>
      <c r="E752" s="103" t="s">
        <v>4355</v>
      </c>
    </row>
    <row r="753" spans="3:5" ht="20.25" customHeight="1">
      <c r="C753" s="91" t="s">
        <v>5233</v>
      </c>
      <c r="E753" s="111"/>
    </row>
    <row r="754" spans="3:5" ht="20.25" customHeight="1">
      <c r="C754" s="91" t="s">
        <v>5234</v>
      </c>
      <c r="E754" s="111"/>
    </row>
    <row r="755" spans="3:5" ht="20.25" customHeight="1">
      <c r="C755" s="91" t="s">
        <v>5235</v>
      </c>
      <c r="E755" s="111"/>
    </row>
    <row r="756" spans="3:5" ht="20.25" customHeight="1">
      <c r="C756" s="91" t="s">
        <v>5236</v>
      </c>
      <c r="E756" s="103" t="s">
        <v>4355</v>
      </c>
    </row>
    <row r="757" spans="3:5" ht="20.25" customHeight="1">
      <c r="C757" s="91" t="s">
        <v>5237</v>
      </c>
      <c r="E757" s="111"/>
    </row>
    <row r="758" spans="3:5" ht="20.25" customHeight="1">
      <c r="C758" s="91" t="s">
        <v>5238</v>
      </c>
      <c r="E758" s="104">
        <v>44910</v>
      </c>
    </row>
    <row r="759" spans="3:5" ht="20.25" customHeight="1">
      <c r="C759" s="91" t="s">
        <v>5239</v>
      </c>
      <c r="E759" s="111"/>
    </row>
    <row r="760" spans="3:5" ht="20.25" customHeight="1">
      <c r="C760" s="91" t="s">
        <v>5240</v>
      </c>
      <c r="E760" s="103" t="s">
        <v>4355</v>
      </c>
    </row>
    <row r="761" spans="3:5" ht="20.25" customHeight="1">
      <c r="C761" s="91" t="s">
        <v>5241</v>
      </c>
      <c r="E761" s="111"/>
    </row>
    <row r="762" spans="3:5" ht="20.25" customHeight="1">
      <c r="C762" s="91" t="s">
        <v>5242</v>
      </c>
      <c r="E762" s="111"/>
    </row>
    <row r="763" spans="3:5" ht="20.25" customHeight="1">
      <c r="C763" s="91" t="s">
        <v>5243</v>
      </c>
      <c r="E763" s="111"/>
    </row>
    <row r="764" spans="3:5" ht="20.25" customHeight="1">
      <c r="C764" s="91" t="s">
        <v>5244</v>
      </c>
      <c r="E764" s="111"/>
    </row>
    <row r="765" spans="3:5" ht="20.25" customHeight="1">
      <c r="C765" s="91" t="s">
        <v>5245</v>
      </c>
      <c r="E765" s="117">
        <v>45040</v>
      </c>
    </row>
    <row r="766" spans="3:5" ht="20.25" customHeight="1">
      <c r="C766" s="91" t="s">
        <v>5246</v>
      </c>
      <c r="E766" s="117">
        <v>45040</v>
      </c>
    </row>
    <row r="767" spans="3:5" ht="20.25" customHeight="1">
      <c r="C767" s="91" t="s">
        <v>5247</v>
      </c>
      <c r="E767" s="111"/>
    </row>
    <row r="768" spans="3:5" ht="20.25" customHeight="1">
      <c r="C768" s="91" t="s">
        <v>5248</v>
      </c>
      <c r="E768" s="111"/>
    </row>
    <row r="769" spans="3:5" ht="20.25" customHeight="1">
      <c r="C769" s="91" t="s">
        <v>5249</v>
      </c>
      <c r="E769" s="117">
        <v>45040</v>
      </c>
    </row>
    <row r="770" spans="3:5" ht="20.25" customHeight="1">
      <c r="C770" s="91" t="s">
        <v>5250</v>
      </c>
      <c r="E770" s="104">
        <v>44890</v>
      </c>
    </row>
    <row r="771" spans="3:5" ht="20.25" customHeight="1">
      <c r="C771" s="91" t="s">
        <v>5251</v>
      </c>
      <c r="E771" s="111"/>
    </row>
    <row r="772" spans="3:5" ht="20.25" customHeight="1">
      <c r="C772" s="91" t="s">
        <v>5252</v>
      </c>
      <c r="E772" s="117">
        <v>45040</v>
      </c>
    </row>
    <row r="773" spans="3:5" ht="20.25" customHeight="1">
      <c r="C773" s="91" t="s">
        <v>5253</v>
      </c>
      <c r="E773" s="108"/>
    </row>
    <row r="774" spans="3:5" ht="20.25" customHeight="1">
      <c r="C774" s="91" t="s">
        <v>5254</v>
      </c>
      <c r="E774" s="111"/>
    </row>
    <row r="775" spans="3:5" ht="20.25" customHeight="1">
      <c r="C775" s="91" t="s">
        <v>5255</v>
      </c>
      <c r="E775" s="117">
        <v>45040</v>
      </c>
    </row>
    <row r="776" spans="3:5" ht="20.25" customHeight="1">
      <c r="C776" s="91" t="s">
        <v>5256</v>
      </c>
      <c r="E776" s="111"/>
    </row>
    <row r="777" spans="3:5" ht="20.25" customHeight="1">
      <c r="C777" s="91" t="s">
        <v>5257</v>
      </c>
      <c r="E777" s="111"/>
    </row>
    <row r="778" spans="3:5" ht="20.25" customHeight="1">
      <c r="C778" s="91" t="s">
        <v>5258</v>
      </c>
      <c r="E778" s="117">
        <v>45040</v>
      </c>
    </row>
    <row r="779" spans="3:5" ht="20.25" customHeight="1">
      <c r="C779" s="91" t="s">
        <v>5259</v>
      </c>
      <c r="E779" s="104">
        <v>44922</v>
      </c>
    </row>
    <row r="780" spans="3:5" ht="20.25" customHeight="1">
      <c r="C780" s="91" t="s">
        <v>5260</v>
      </c>
      <c r="E780" s="111"/>
    </row>
    <row r="781" spans="3:5" ht="20.25" customHeight="1">
      <c r="C781" s="91" t="s">
        <v>5261</v>
      </c>
      <c r="E781" s="111"/>
    </row>
    <row r="782" spans="3:5" ht="20.25" customHeight="1">
      <c r="C782" s="91" t="s">
        <v>5262</v>
      </c>
      <c r="E782" s="103" t="s">
        <v>4355</v>
      </c>
    </row>
    <row r="783" spans="3:5" ht="20.25" customHeight="1">
      <c r="C783" s="91" t="s">
        <v>5263</v>
      </c>
      <c r="E783" s="104">
        <v>45056</v>
      </c>
    </row>
    <row r="784" spans="3:5" ht="20.25" customHeight="1">
      <c r="C784" s="91" t="s">
        <v>4591</v>
      </c>
      <c r="E784" s="111"/>
    </row>
    <row r="785" spans="3:5" ht="20.25" customHeight="1">
      <c r="C785" s="91" t="s">
        <v>4593</v>
      </c>
      <c r="E785" s="103" t="s">
        <v>4355</v>
      </c>
    </row>
    <row r="786" spans="3:5" ht="20.25" customHeight="1">
      <c r="C786" s="91" t="s">
        <v>5264</v>
      </c>
      <c r="E786" s="111" t="s">
        <v>4355</v>
      </c>
    </row>
    <row r="787" spans="3:5" ht="20.25" customHeight="1">
      <c r="C787" s="91" t="s">
        <v>5265</v>
      </c>
      <c r="E787" s="103" t="s">
        <v>4355</v>
      </c>
    </row>
    <row r="788" spans="3:5" ht="20.25" customHeight="1">
      <c r="C788" s="91" t="s">
        <v>5266</v>
      </c>
      <c r="E788" s="111"/>
    </row>
    <row r="789" spans="3:5" ht="20.25" customHeight="1">
      <c r="C789" s="91" t="s">
        <v>5267</v>
      </c>
      <c r="E789" s="111"/>
    </row>
    <row r="790" spans="3:5" ht="20.25" customHeight="1">
      <c r="C790" s="91" t="s">
        <v>5268</v>
      </c>
      <c r="E790" s="111"/>
    </row>
    <row r="791" spans="3:5" ht="20.25" customHeight="1">
      <c r="C791" s="91" t="s">
        <v>5269</v>
      </c>
      <c r="E791" s="111"/>
    </row>
    <row r="792" spans="3:5" ht="20.25" customHeight="1">
      <c r="C792" s="91" t="s">
        <v>5270</v>
      </c>
      <c r="E792" s="111"/>
    </row>
    <row r="793" spans="3:5" ht="20.25" customHeight="1">
      <c r="C793" s="91" t="s">
        <v>5271</v>
      </c>
      <c r="E793" s="111"/>
    </row>
    <row r="794" spans="3:5" ht="20.25" customHeight="1">
      <c r="C794" s="91" t="s">
        <v>5272</v>
      </c>
      <c r="E794" s="111"/>
    </row>
    <row r="795" spans="3:5" ht="20.25" customHeight="1">
      <c r="C795" s="91" t="s">
        <v>5273</v>
      </c>
      <c r="E795" s="111"/>
    </row>
    <row r="796" spans="3:5" ht="20.25" customHeight="1">
      <c r="C796" s="91" t="s">
        <v>5274</v>
      </c>
      <c r="E796" s="111"/>
    </row>
    <row r="797" spans="3:5" ht="20.25" customHeight="1">
      <c r="C797" s="91" t="s">
        <v>5275</v>
      </c>
      <c r="E797" s="111"/>
    </row>
    <row r="798" spans="3:5" ht="20.25" customHeight="1">
      <c r="C798" s="91" t="s">
        <v>5276</v>
      </c>
      <c r="E798" s="103" t="s">
        <v>4355</v>
      </c>
    </row>
    <row r="799" spans="3:5" ht="20.25" customHeight="1">
      <c r="C799" s="91" t="s">
        <v>5277</v>
      </c>
      <c r="E799" s="103" t="s">
        <v>4355</v>
      </c>
    </row>
    <row r="800" spans="3:5" ht="20.25" customHeight="1">
      <c r="C800" s="91" t="s">
        <v>5278</v>
      </c>
      <c r="E800" s="103" t="s">
        <v>4355</v>
      </c>
    </row>
    <row r="801" spans="3:5" ht="20.25" customHeight="1">
      <c r="C801" s="91" t="s">
        <v>5279</v>
      </c>
      <c r="E801" s="112"/>
    </row>
    <row r="802" spans="3:5" ht="20.25" customHeight="1">
      <c r="C802" s="91" t="s">
        <v>5280</v>
      </c>
      <c r="E802" s="111"/>
    </row>
    <row r="803" spans="3:5" ht="20.25" customHeight="1">
      <c r="C803" s="91" t="s">
        <v>5281</v>
      </c>
      <c r="E803" s="111"/>
    </row>
    <row r="804" spans="3:5" ht="20.25" customHeight="1">
      <c r="C804" s="91" t="s">
        <v>5282</v>
      </c>
      <c r="E804" s="111"/>
    </row>
    <row r="805" spans="3:5" ht="20.25" customHeight="1">
      <c r="C805" s="91" t="s">
        <v>5283</v>
      </c>
      <c r="E805" s="111"/>
    </row>
    <row r="806" spans="3:5" ht="20.25" customHeight="1">
      <c r="C806" s="92" t="s">
        <v>5284</v>
      </c>
      <c r="E806" s="111"/>
    </row>
    <row r="807" spans="3:5" ht="20.25" customHeight="1">
      <c r="C807" s="92" t="s">
        <v>5285</v>
      </c>
      <c r="E807" s="111"/>
    </row>
    <row r="808" spans="3:5" ht="20.25" customHeight="1">
      <c r="C808" s="91" t="s">
        <v>5286</v>
      </c>
      <c r="E808" s="111"/>
    </row>
    <row r="809" spans="3:5" ht="20.25" customHeight="1">
      <c r="C809" s="92" t="s">
        <v>5287</v>
      </c>
      <c r="E809" s="111"/>
    </row>
    <row r="810" spans="3:5" ht="20.25" customHeight="1">
      <c r="C810" s="92" t="s">
        <v>5288</v>
      </c>
      <c r="E810" s="111"/>
    </row>
    <row r="811" spans="3:5" ht="20.25" customHeight="1">
      <c r="C811" s="92" t="s">
        <v>5289</v>
      </c>
      <c r="E811" s="111"/>
    </row>
    <row r="812" spans="3:5" ht="20.25" customHeight="1">
      <c r="C812" s="92" t="s">
        <v>5290</v>
      </c>
      <c r="E812" s="111"/>
    </row>
    <row r="813" spans="3:5" ht="20.25" customHeight="1">
      <c r="C813" s="92" t="s">
        <v>5291</v>
      </c>
      <c r="E813" s="111"/>
    </row>
    <row r="814" spans="3:5" ht="20.25" customHeight="1">
      <c r="C814" s="92" t="s">
        <v>5292</v>
      </c>
      <c r="E814" s="111"/>
    </row>
    <row r="815" spans="3:5" ht="20.25" customHeight="1">
      <c r="C815" s="92" t="s">
        <v>5293</v>
      </c>
      <c r="E815" s="111"/>
    </row>
    <row r="816" spans="3:5" ht="20.25" customHeight="1">
      <c r="C816" s="92" t="s">
        <v>5294</v>
      </c>
      <c r="E816" s="111"/>
    </row>
    <row r="817" spans="3:5" ht="20.25" customHeight="1">
      <c r="C817" s="92" t="s">
        <v>5295</v>
      </c>
      <c r="E817" s="111"/>
    </row>
    <row r="818" spans="3:5" ht="20.25" customHeight="1">
      <c r="C818" s="92" t="s">
        <v>5296</v>
      </c>
      <c r="E818" s="111"/>
    </row>
    <row r="819" spans="3:5" ht="20.25" customHeight="1">
      <c r="C819" s="92" t="s">
        <v>5297</v>
      </c>
      <c r="E819" s="111"/>
    </row>
    <row r="820" spans="3:5" ht="20.25" customHeight="1">
      <c r="C820" s="92" t="s">
        <v>5298</v>
      </c>
      <c r="E820" s="111"/>
    </row>
    <row r="821" spans="3:5" ht="20.25" customHeight="1">
      <c r="C821" s="92" t="s">
        <v>5299</v>
      </c>
      <c r="E821" s="111"/>
    </row>
    <row r="822" spans="3:5" ht="20.25" customHeight="1">
      <c r="C822" s="92" t="s">
        <v>5300</v>
      </c>
      <c r="E822" s="111"/>
    </row>
    <row r="823" spans="3:5" ht="20.25" customHeight="1">
      <c r="C823" s="92" t="s">
        <v>5301</v>
      </c>
      <c r="E823" s="111"/>
    </row>
    <row r="824" spans="3:5" ht="20.25" customHeight="1">
      <c r="C824" s="92" t="s">
        <v>5302</v>
      </c>
      <c r="E824" s="111"/>
    </row>
    <row r="825" spans="3:5" ht="20.25" customHeight="1">
      <c r="C825" s="92" t="s">
        <v>5303</v>
      </c>
      <c r="E825" s="111"/>
    </row>
    <row r="826" spans="3:5" ht="20.25" customHeight="1">
      <c r="C826" s="92" t="s">
        <v>5304</v>
      </c>
      <c r="E826" s="111"/>
    </row>
    <row r="827" spans="3:5" ht="20.25" customHeight="1">
      <c r="C827" s="92" t="s">
        <v>5305</v>
      </c>
      <c r="E827" s="111"/>
    </row>
    <row r="828" spans="3:5" ht="20.25" customHeight="1">
      <c r="C828" s="92" t="s">
        <v>5306</v>
      </c>
      <c r="E828" s="111"/>
    </row>
    <row r="829" spans="3:5" ht="20.25" customHeight="1">
      <c r="C829" s="92" t="s">
        <v>5307</v>
      </c>
      <c r="E829" s="111"/>
    </row>
    <row r="830" spans="3:5" ht="20.25" customHeight="1">
      <c r="C830" s="92" t="s">
        <v>5308</v>
      </c>
      <c r="E830" s="111"/>
    </row>
    <row r="831" spans="3:5" ht="20.25" customHeight="1">
      <c r="C831" s="92" t="s">
        <v>5309</v>
      </c>
      <c r="E831" s="111"/>
    </row>
    <row r="832" spans="3:5" ht="20.25" customHeight="1">
      <c r="C832" s="92" t="s">
        <v>5310</v>
      </c>
      <c r="E832" s="111"/>
    </row>
    <row r="833" spans="3:5" ht="20.25" customHeight="1">
      <c r="C833" s="92" t="s">
        <v>5311</v>
      </c>
      <c r="E833" s="111"/>
    </row>
    <row r="834" spans="3:5" ht="20.25" customHeight="1">
      <c r="C834" s="92" t="s">
        <v>5312</v>
      </c>
      <c r="E834" s="111"/>
    </row>
    <row r="835" spans="3:5" ht="20.25" customHeight="1">
      <c r="C835" s="92" t="s">
        <v>5313</v>
      </c>
      <c r="E835" s="103" t="s">
        <v>4355</v>
      </c>
    </row>
    <row r="836" spans="3:5" ht="20.25" customHeight="1">
      <c r="C836" s="92" t="s">
        <v>5314</v>
      </c>
      <c r="E836" s="111"/>
    </row>
    <row r="837" spans="3:5" ht="20.25" customHeight="1">
      <c r="C837" s="92" t="s">
        <v>5315</v>
      </c>
      <c r="E837" s="111"/>
    </row>
    <row r="838" spans="3:5" ht="20.25" customHeight="1">
      <c r="C838" s="92" t="s">
        <v>4595</v>
      </c>
      <c r="E838" s="111"/>
    </row>
    <row r="839" spans="3:5" ht="20.25" customHeight="1">
      <c r="C839" s="92" t="s">
        <v>5316</v>
      </c>
      <c r="E839" s="111"/>
    </row>
    <row r="840" spans="3:5" ht="20.25" customHeight="1">
      <c r="C840" s="92" t="s">
        <v>5317</v>
      </c>
      <c r="E840" s="107">
        <v>45065</v>
      </c>
    </row>
    <row r="841" spans="3:5" ht="20.25" customHeight="1">
      <c r="C841" s="92" t="s">
        <v>5318</v>
      </c>
      <c r="E841" s="103" t="s">
        <v>4355</v>
      </c>
    </row>
    <row r="842" spans="3:5" ht="20.25" customHeight="1">
      <c r="C842" s="92" t="s">
        <v>5319</v>
      </c>
      <c r="E842" s="107">
        <v>45148</v>
      </c>
    </row>
    <row r="843" spans="3:5" ht="20.25" customHeight="1">
      <c r="C843" s="92" t="s">
        <v>5320</v>
      </c>
      <c r="E843" s="103" t="s">
        <v>4355</v>
      </c>
    </row>
    <row r="844" spans="3:5" ht="20.25" customHeight="1">
      <c r="C844" s="92" t="s">
        <v>4597</v>
      </c>
      <c r="E844" s="103" t="s">
        <v>4355</v>
      </c>
    </row>
    <row r="845" spans="3:5" ht="20.25" customHeight="1">
      <c r="C845" s="93"/>
      <c r="E845" s="111"/>
    </row>
    <row r="846" spans="3:5" ht="20.25" customHeight="1">
      <c r="C846" s="93"/>
      <c r="E846" s="111"/>
    </row>
    <row r="847" spans="3:5" ht="20.25" customHeight="1">
      <c r="C847" s="93"/>
      <c r="E847" s="111"/>
    </row>
    <row r="848" spans="3:5" ht="20.25" customHeight="1">
      <c r="C848" s="93"/>
      <c r="E848" s="104">
        <v>44910</v>
      </c>
    </row>
    <row r="849" spans="3:5" ht="20.25" customHeight="1">
      <c r="C849" s="93"/>
      <c r="E849" s="107">
        <v>45065</v>
      </c>
    </row>
    <row r="850" spans="3:5" ht="20.25" customHeight="1">
      <c r="C850" s="93"/>
      <c r="E850" s="103" t="s">
        <v>4355</v>
      </c>
    </row>
    <row r="851" spans="3:5" ht="20.25" customHeight="1">
      <c r="C851" s="93"/>
      <c r="E851" s="103" t="s">
        <v>4355</v>
      </c>
    </row>
    <row r="852" spans="3:5" ht="20.25" customHeight="1">
      <c r="C852" s="93"/>
      <c r="E852" s="107">
        <v>45049</v>
      </c>
    </row>
    <row r="854" spans="3:5" ht="20.25" customHeight="1">
      <c r="E854" s="103" t="s">
        <v>4355</v>
      </c>
    </row>
    <row r="855" spans="3:5" ht="20.25" customHeight="1">
      <c r="E855" s="117">
        <v>45040</v>
      </c>
    </row>
    <row r="856" spans="3:5" ht="20.25" customHeight="1">
      <c r="E856" s="111"/>
    </row>
    <row r="857" spans="3:5" ht="20.25" customHeight="1">
      <c r="E857" s="111"/>
    </row>
    <row r="858" spans="3:5" ht="20.25" customHeight="1">
      <c r="E858" s="111"/>
    </row>
    <row r="859" spans="3:5" ht="20.25" customHeight="1">
      <c r="E859" s="111"/>
    </row>
    <row r="860" spans="3:5" ht="20.25" customHeight="1">
      <c r="E860" s="111"/>
    </row>
    <row r="861" spans="3:5" ht="20.25" customHeight="1">
      <c r="E861" s="111"/>
    </row>
    <row r="862" spans="3:5" ht="20.25" customHeight="1">
      <c r="E862" s="111"/>
    </row>
    <row r="863" spans="3:5" ht="20.25" customHeight="1">
      <c r="E863" s="111"/>
    </row>
    <row r="864" spans="3:5" ht="20.25" customHeight="1">
      <c r="E864" s="111"/>
    </row>
    <row r="865" spans="5:5" ht="20.25" customHeight="1">
      <c r="E865" s="111"/>
    </row>
    <row r="866" spans="5:5" ht="20.25" customHeight="1">
      <c r="E866" s="111"/>
    </row>
    <row r="867" spans="5:5" ht="20.25" customHeight="1">
      <c r="E867" s="111"/>
    </row>
    <row r="868" spans="5:5" ht="20.25" customHeight="1">
      <c r="E868" s="103" t="s">
        <v>4355</v>
      </c>
    </row>
    <row r="905" spans="5:5" ht="20.25" customHeight="1">
      <c r="E905" s="103" t="s">
        <v>4355</v>
      </c>
    </row>
    <row r="906" spans="5:5" ht="20.25" customHeight="1">
      <c r="E906" s="103" t="s">
        <v>4355</v>
      </c>
    </row>
    <row r="917" spans="5:5" ht="20.25" customHeight="1">
      <c r="E917" s="103" t="s">
        <v>4355</v>
      </c>
    </row>
    <row r="918" spans="5:5" ht="20.25" customHeight="1">
      <c r="E918" s="103" t="s">
        <v>4355</v>
      </c>
    </row>
    <row r="919" spans="5:5" ht="20.25" customHeight="1">
      <c r="E919" s="111"/>
    </row>
    <row r="920" spans="5:5" ht="20.25" customHeight="1">
      <c r="E920" s="111"/>
    </row>
    <row r="921" spans="5:5" ht="20.25" customHeight="1">
      <c r="E921" s="111"/>
    </row>
    <row r="922" spans="5:5" ht="20.25" customHeight="1">
      <c r="E922" s="111"/>
    </row>
    <row r="923" spans="5:5" ht="20.25" customHeight="1">
      <c r="E923" s="107">
        <v>45049</v>
      </c>
    </row>
    <row r="941" spans="5:5" ht="20.25" customHeight="1">
      <c r="E941" s="104">
        <v>44961</v>
      </c>
    </row>
    <row r="969" spans="5:5" ht="20.25" customHeight="1">
      <c r="E969" s="104">
        <v>44961</v>
      </c>
    </row>
    <row r="970" spans="5:5" ht="20.25" customHeight="1">
      <c r="E970" s="107">
        <v>45105</v>
      </c>
    </row>
    <row r="971" spans="5:5" ht="20.25" customHeight="1">
      <c r="E971" s="107">
        <v>45105</v>
      </c>
    </row>
    <row r="972" spans="5:5" ht="20.25" customHeight="1">
      <c r="E972" s="111"/>
    </row>
    <row r="973" spans="5:5" ht="20.25" customHeight="1">
      <c r="E973" s="103" t="s">
        <v>4355</v>
      </c>
    </row>
    <row r="974" spans="5:5" ht="20.25" customHeight="1">
      <c r="E974" s="104">
        <v>44961</v>
      </c>
    </row>
    <row r="975" spans="5:5" ht="20.25" customHeight="1">
      <c r="E975" s="111"/>
    </row>
    <row r="976" spans="5:5" ht="20.25" customHeight="1">
      <c r="E976" s="103" t="s">
        <v>4355</v>
      </c>
    </row>
  </sheetData>
  <conditionalFormatting sqref="C6:C9">
    <cfRule type="duplicateValues" dxfId="32" priority="1"/>
  </conditionalFormatting>
  <conditionalFormatting sqref="C10">
    <cfRule type="duplicateValues" dxfId="31" priority="9"/>
  </conditionalFormatting>
  <conditionalFormatting sqref="C11:C13">
    <cfRule type="duplicateValues" dxfId="30" priority="14"/>
  </conditionalFormatting>
  <conditionalFormatting sqref="C14:C18">
    <cfRule type="duplicateValues" dxfId="29" priority="20"/>
  </conditionalFormatting>
  <conditionalFormatting sqref="C19:C34">
    <cfRule type="duplicateValues" dxfId="28" priority="3039"/>
  </conditionalFormatting>
  <dataValidations count="2">
    <dataValidation allowBlank="1" showInputMessage="1" showErrorMessage="1" sqref="C78:C109 E180:E202 E57:E67 E272:E274 E239 E601:E602 E314:E316 E267:E270 E278 E632 E580 E480 E418:E420 E503 E629 E94:E129 E477 E475 E536:E540 E582 E584 E591 E636 E616 E531 E556:E560 E285 E975 E738 E547:E554 E717 E79:E89 E280:E282 E296:E299 E433:E437 E544:E545 E352:E353 E358:E362 E400 E252:E253 E700 E413:E415 E364 E91:E92 E439:E444 E597 E493 E533:E534 E463 E518:E524 E310 E242 A35:B77 E387:E390 E447:E453 E403 E942 E634 E698 E76:E77 E224 E406:E409 E725 E227:E236 E355:E356 E294 E139:E140 E50:E55 E767 E668 E44:E48 E776 E514:E515 E487 E469 E483 E750 E687 E773 E485 E784 E72:E74 E564 E256 E262:E265 E143:E157 E136:E137 E856 E287 E204:E216 E604:E607 E609:E611 E159:E178 E395:E396 E398 E319 E276 E308 E303 E218:E222 E131:E134 E250 E7:E42" xr:uid="{F731AB3A-E86B-43A5-B975-C16245A26438}"/>
    <dataValidation type="list" allowBlank="1" showInputMessage="1" showErrorMessage="1" sqref="B6:B18" xr:uid="{46A325D8-A8FD-4F92-B44B-4897F03870D8}">
      <formula1>$C$1:$C$5</formula1>
    </dataValidation>
  </dataValidations>
  <printOptions horizontalCentered="1"/>
  <pageMargins left="0.25" right="0.25" top="0.75" bottom="0.75" header="0.3" footer="0.3"/>
  <pageSetup paperSize="9" fitToWidth="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F3:AO53"/>
  <sheetViews>
    <sheetView topLeftCell="E1" workbookViewId="0">
      <selection activeCell="F4" sqref="F4:J34"/>
    </sheetView>
  </sheetViews>
  <sheetFormatPr defaultColWidth="9.140625" defaultRowHeight="24.75" customHeight="1"/>
  <cols>
    <col min="1" max="1" width="9.140625" style="130"/>
    <col min="2" max="2" width="23.5703125" style="130" bestFit="1" customWidth="1"/>
    <col min="3" max="3" width="2.140625" style="130" bestFit="1" customWidth="1"/>
    <col min="4" max="4" width="10.140625" style="130" bestFit="1" customWidth="1"/>
    <col min="5" max="5" width="10.140625" style="130" customWidth="1"/>
    <col min="6" max="6" width="17.28515625" style="130" customWidth="1"/>
    <col min="7" max="7" width="15" style="130" customWidth="1"/>
    <col min="8" max="8" width="56" style="130" customWidth="1"/>
    <col min="9" max="9" width="19.42578125" style="130" customWidth="1"/>
    <col min="10" max="10" width="30.140625" style="130" bestFit="1" customWidth="1"/>
    <col min="11" max="11" width="9.140625" style="130"/>
    <col min="12" max="12" width="22.42578125" style="130" bestFit="1" customWidth="1"/>
    <col min="13" max="16" width="9.140625" style="130"/>
    <col min="17" max="17" width="13.5703125" style="130" bestFit="1" customWidth="1"/>
    <col min="18" max="18" width="58" style="130" bestFit="1" customWidth="1"/>
    <col min="19" max="19" width="19.140625" style="130" bestFit="1" customWidth="1"/>
    <col min="20" max="40" width="9.140625" style="130"/>
    <col min="41" max="41" width="9.140625" style="131"/>
    <col min="42" max="16384" width="9.140625" style="130"/>
  </cols>
  <sheetData>
    <row r="3" spans="6:10" ht="24.75" customHeight="1" thickBot="1"/>
    <row r="4" spans="6:10" ht="27.75" customHeight="1">
      <c r="F4" s="187" t="s">
        <v>4370</v>
      </c>
      <c r="G4" s="187" t="s">
        <v>4374</v>
      </c>
      <c r="H4" s="188" t="s">
        <v>4394</v>
      </c>
      <c r="I4" s="188" t="s">
        <v>103</v>
      </c>
      <c r="J4" s="189" t="s">
        <v>4406</v>
      </c>
    </row>
    <row r="5" spans="6:10" ht="24.75" customHeight="1">
      <c r="F5" s="183" t="s">
        <v>4500</v>
      </c>
      <c r="G5" s="183" t="s">
        <v>5321</v>
      </c>
      <c r="H5" s="184" t="s">
        <v>5322</v>
      </c>
      <c r="I5" s="184" t="s">
        <v>5323</v>
      </c>
      <c r="J5" s="190" t="s">
        <v>5324</v>
      </c>
    </row>
    <row r="6" spans="6:10" ht="24.75" customHeight="1">
      <c r="F6" s="183" t="s">
        <v>4500</v>
      </c>
      <c r="G6" s="183" t="s">
        <v>5325</v>
      </c>
      <c r="H6" s="184" t="s">
        <v>5326</v>
      </c>
      <c r="I6" s="183" t="s">
        <v>5327</v>
      </c>
      <c r="J6" s="190" t="s">
        <v>5328</v>
      </c>
    </row>
    <row r="7" spans="6:10" ht="24.75" customHeight="1">
      <c r="F7" s="183" t="s">
        <v>4500</v>
      </c>
      <c r="G7" s="183" t="s">
        <v>5329</v>
      </c>
      <c r="H7" s="184" t="s">
        <v>5330</v>
      </c>
      <c r="I7" s="183" t="s">
        <v>5331</v>
      </c>
      <c r="J7" s="190" t="s">
        <v>5332</v>
      </c>
    </row>
    <row r="8" spans="6:10" ht="24.75" customHeight="1">
      <c r="F8" s="183" t="s">
        <v>4500</v>
      </c>
      <c r="G8" s="183" t="s">
        <v>4428</v>
      </c>
      <c r="H8" s="184" t="s">
        <v>5333</v>
      </c>
      <c r="I8" s="184" t="s">
        <v>5334</v>
      </c>
      <c r="J8" s="193" t="s">
        <v>5335</v>
      </c>
    </row>
    <row r="9" spans="6:10" ht="24.75" customHeight="1">
      <c r="F9" s="183" t="s">
        <v>4500</v>
      </c>
      <c r="G9" s="183" t="s">
        <v>5336</v>
      </c>
      <c r="H9" s="184" t="s">
        <v>5337</v>
      </c>
      <c r="I9" s="184" t="s">
        <v>5338</v>
      </c>
      <c r="J9" s="193" t="s">
        <v>5339</v>
      </c>
    </row>
    <row r="10" spans="6:10" ht="24.75" customHeight="1">
      <c r="F10" s="183" t="s">
        <v>4500</v>
      </c>
      <c r="G10" s="183" t="s">
        <v>5340</v>
      </c>
      <c r="H10" s="184" t="s">
        <v>5341</v>
      </c>
      <c r="I10" s="184" t="s">
        <v>5342</v>
      </c>
      <c r="J10" s="193" t="s">
        <v>5343</v>
      </c>
    </row>
    <row r="11" spans="6:10" ht="24.75" customHeight="1">
      <c r="F11" s="183" t="s">
        <v>4500</v>
      </c>
      <c r="G11" s="183" t="s">
        <v>5344</v>
      </c>
      <c r="H11" s="184" t="s">
        <v>5345</v>
      </c>
      <c r="I11" s="184" t="s">
        <v>5346</v>
      </c>
      <c r="J11" s="193" t="s">
        <v>5347</v>
      </c>
    </row>
    <row r="12" spans="6:10" ht="24.75" customHeight="1">
      <c r="F12" s="183" t="s">
        <v>4500</v>
      </c>
      <c r="G12" s="183" t="s">
        <v>5348</v>
      </c>
      <c r="H12" s="184" t="s">
        <v>5349</v>
      </c>
      <c r="I12" s="184" t="s">
        <v>5350</v>
      </c>
      <c r="J12" s="193" t="s">
        <v>5351</v>
      </c>
    </row>
    <row r="13" spans="6:10" ht="24.75" customHeight="1">
      <c r="F13" s="183" t="s">
        <v>4500</v>
      </c>
      <c r="G13" s="183" t="s">
        <v>5352</v>
      </c>
      <c r="H13" s="184" t="s">
        <v>5353</v>
      </c>
      <c r="I13" s="184" t="s">
        <v>5354</v>
      </c>
      <c r="J13" s="193" t="s">
        <v>5355</v>
      </c>
    </row>
    <row r="14" spans="6:10" ht="24.75" customHeight="1">
      <c r="F14" s="183" t="s">
        <v>4500</v>
      </c>
      <c r="G14" s="183" t="s">
        <v>4521</v>
      </c>
      <c r="H14" s="186" t="s">
        <v>4522</v>
      </c>
      <c r="I14" s="192" t="s">
        <v>5356</v>
      </c>
      <c r="J14" s="193" t="s">
        <v>5357</v>
      </c>
    </row>
    <row r="15" spans="6:10" ht="24.75" customHeight="1">
      <c r="F15" s="183" t="s">
        <v>4500</v>
      </c>
      <c r="G15" s="183" t="s">
        <v>4523</v>
      </c>
      <c r="H15" s="186" t="s">
        <v>4524</v>
      </c>
      <c r="I15" s="184" t="s">
        <v>5358</v>
      </c>
      <c r="J15" s="193" t="s">
        <v>5359</v>
      </c>
    </row>
    <row r="16" spans="6:10" ht="24.75" customHeight="1">
      <c r="F16" s="183" t="s">
        <v>4500</v>
      </c>
      <c r="G16" s="183" t="s">
        <v>4530</v>
      </c>
      <c r="H16" s="184" t="s">
        <v>4531</v>
      </c>
      <c r="I16" s="184" t="s">
        <v>5360</v>
      </c>
      <c r="J16" s="190" t="s">
        <v>5361</v>
      </c>
    </row>
    <row r="17" spans="6:10" ht="24.75" customHeight="1">
      <c r="F17" s="183" t="s">
        <v>4500</v>
      </c>
      <c r="G17" s="183" t="s">
        <v>4532</v>
      </c>
      <c r="H17" s="184" t="s">
        <v>4533</v>
      </c>
      <c r="I17" s="184" t="s">
        <v>5362</v>
      </c>
      <c r="J17" s="190" t="s">
        <v>5363</v>
      </c>
    </row>
    <row r="18" spans="6:10" ht="24.75" customHeight="1">
      <c r="F18" s="183" t="s">
        <v>4500</v>
      </c>
      <c r="G18" s="183" t="s">
        <v>5364</v>
      </c>
      <c r="H18" s="184" t="s">
        <v>5365</v>
      </c>
      <c r="I18" s="184" t="s">
        <v>5366</v>
      </c>
      <c r="J18" s="190" t="s">
        <v>5367</v>
      </c>
    </row>
    <row r="19" spans="6:10" ht="24.75" customHeight="1">
      <c r="F19" s="183" t="s">
        <v>4500</v>
      </c>
      <c r="G19" s="183" t="s">
        <v>5368</v>
      </c>
      <c r="H19" s="184" t="s">
        <v>5369</v>
      </c>
      <c r="I19" s="183" t="s">
        <v>5370</v>
      </c>
      <c r="J19" s="183" t="s">
        <v>5371</v>
      </c>
    </row>
    <row r="20" spans="6:10" ht="24.75" customHeight="1">
      <c r="F20" s="183" t="s">
        <v>4500</v>
      </c>
      <c r="G20" s="183" t="s">
        <v>5321</v>
      </c>
      <c r="H20" s="184" t="s">
        <v>5372</v>
      </c>
      <c r="I20" s="183" t="s">
        <v>5373</v>
      </c>
      <c r="J20" s="183" t="s">
        <v>5374</v>
      </c>
    </row>
    <row r="21" spans="6:10" ht="24.75" customHeight="1">
      <c r="F21" s="183" t="s">
        <v>4500</v>
      </c>
      <c r="G21" s="183" t="s">
        <v>5375</v>
      </c>
      <c r="H21" s="184" t="s">
        <v>5376</v>
      </c>
      <c r="I21" s="184" t="s">
        <v>5377</v>
      </c>
      <c r="J21" s="183" t="s">
        <v>5378</v>
      </c>
    </row>
    <row r="22" spans="6:10" ht="24.75" customHeight="1">
      <c r="F22" s="183" t="s">
        <v>4500</v>
      </c>
      <c r="G22" s="183" t="s">
        <v>5352</v>
      </c>
      <c r="H22" s="184" t="s">
        <v>5379</v>
      </c>
      <c r="I22" s="184" t="s">
        <v>5380</v>
      </c>
      <c r="J22" s="190" t="s">
        <v>5381</v>
      </c>
    </row>
    <row r="23" spans="6:10" ht="24.75" customHeight="1">
      <c r="F23" s="183" t="s">
        <v>4500</v>
      </c>
      <c r="G23" s="183" t="s">
        <v>5382</v>
      </c>
      <c r="H23" s="184" t="s">
        <v>5383</v>
      </c>
      <c r="I23" s="184" t="s">
        <v>5384</v>
      </c>
      <c r="J23" s="190" t="s">
        <v>5385</v>
      </c>
    </row>
    <row r="24" spans="6:10" ht="24.75" customHeight="1">
      <c r="F24" s="183" t="s">
        <v>4500</v>
      </c>
      <c r="G24" s="191" t="s">
        <v>5386</v>
      </c>
      <c r="H24" s="186" t="s">
        <v>5387</v>
      </c>
      <c r="I24" s="192" t="s">
        <v>5388</v>
      </c>
      <c r="J24" s="193" t="s">
        <v>5389</v>
      </c>
    </row>
    <row r="25" spans="6:10" ht="24.75" customHeight="1">
      <c r="F25" s="183" t="s">
        <v>4500</v>
      </c>
      <c r="G25" s="183" t="s">
        <v>4523</v>
      </c>
      <c r="H25" s="184" t="s">
        <v>5390</v>
      </c>
      <c r="I25" s="184" t="s">
        <v>5391</v>
      </c>
      <c r="J25" s="193" t="s">
        <v>5392</v>
      </c>
    </row>
    <row r="26" spans="6:10" ht="24.75" customHeight="1">
      <c r="F26" s="183" t="s">
        <v>4500</v>
      </c>
      <c r="G26" s="183" t="s">
        <v>5393</v>
      </c>
      <c r="H26" s="184" t="s">
        <v>5394</v>
      </c>
      <c r="I26" s="184" t="s">
        <v>5395</v>
      </c>
      <c r="J26" s="193" t="s">
        <v>5396</v>
      </c>
    </row>
    <row r="27" spans="6:10" ht="24.75" customHeight="1">
      <c r="F27" s="183" t="s">
        <v>4500</v>
      </c>
      <c r="G27" s="183" t="s">
        <v>5397</v>
      </c>
      <c r="H27" s="184" t="s">
        <v>5398</v>
      </c>
      <c r="I27" s="184" t="s">
        <v>5399</v>
      </c>
      <c r="J27" s="190" t="s">
        <v>5400</v>
      </c>
    </row>
    <row r="28" spans="6:10" ht="24.75" customHeight="1">
      <c r="F28" s="183" t="s">
        <v>4500</v>
      </c>
      <c r="G28" s="183" t="s">
        <v>5401</v>
      </c>
      <c r="H28" s="184" t="s">
        <v>5402</v>
      </c>
      <c r="I28" s="184" t="s">
        <v>5403</v>
      </c>
      <c r="J28" s="190" t="s">
        <v>5404</v>
      </c>
    </row>
    <row r="29" spans="6:10" ht="24.75" customHeight="1">
      <c r="F29" s="183" t="s">
        <v>4500</v>
      </c>
      <c r="G29" s="183" t="s">
        <v>5405</v>
      </c>
      <c r="H29" s="184" t="s">
        <v>5406</v>
      </c>
      <c r="I29" s="184" t="s">
        <v>5407</v>
      </c>
      <c r="J29" s="190" t="s">
        <v>5408</v>
      </c>
    </row>
    <row r="30" spans="6:10" ht="24.75" customHeight="1">
      <c r="F30" s="183" t="s">
        <v>4500</v>
      </c>
      <c r="G30" s="183" t="s">
        <v>5409</v>
      </c>
      <c r="H30" s="184" t="s">
        <v>5410</v>
      </c>
      <c r="I30" s="184" t="s">
        <v>5411</v>
      </c>
      <c r="J30" s="190" t="s">
        <v>5412</v>
      </c>
    </row>
    <row r="31" spans="6:10" ht="24.75" customHeight="1">
      <c r="F31" s="183" t="s">
        <v>4500</v>
      </c>
      <c r="G31" s="183" t="s">
        <v>5413</v>
      </c>
      <c r="H31" s="184" t="s">
        <v>5414</v>
      </c>
      <c r="I31" s="184" t="s">
        <v>5415</v>
      </c>
      <c r="J31" s="190" t="s">
        <v>5416</v>
      </c>
    </row>
    <row r="32" spans="6:10" ht="24.75" customHeight="1">
      <c r="F32" s="183" t="s">
        <v>4500</v>
      </c>
      <c r="G32" s="183" t="s">
        <v>5417</v>
      </c>
      <c r="H32" s="184" t="s">
        <v>5418</v>
      </c>
      <c r="I32" s="184" t="s">
        <v>5419</v>
      </c>
      <c r="J32" s="193" t="s">
        <v>5420</v>
      </c>
    </row>
    <row r="33" spans="6:10" ht="24.75" customHeight="1">
      <c r="F33" s="183" t="s">
        <v>4500</v>
      </c>
      <c r="G33" s="183" t="s">
        <v>5421</v>
      </c>
      <c r="H33" s="184" t="s">
        <v>5422</v>
      </c>
      <c r="I33" s="184" t="s">
        <v>5423</v>
      </c>
      <c r="J33" s="190" t="s">
        <v>5424</v>
      </c>
    </row>
    <row r="34" spans="6:10" ht="24.75" customHeight="1">
      <c r="F34" s="183" t="s">
        <v>4500</v>
      </c>
      <c r="G34" s="183" t="s">
        <v>5425</v>
      </c>
      <c r="H34" s="184" t="s">
        <v>5426</v>
      </c>
      <c r="I34" s="184" t="s">
        <v>5427</v>
      </c>
      <c r="J34" s="193" t="s">
        <v>5428</v>
      </c>
    </row>
    <row r="35" spans="6:10" ht="24.75" customHeight="1">
      <c r="F35" s="133"/>
      <c r="G35" s="171"/>
      <c r="H35" s="171"/>
      <c r="I35" s="171"/>
      <c r="J35" s="171"/>
    </row>
    <row r="36" spans="6:10" ht="24.75" customHeight="1">
      <c r="F36" s="129"/>
      <c r="G36" s="132"/>
      <c r="H36" s="132"/>
      <c r="I36" s="132"/>
      <c r="J36" s="132"/>
    </row>
    <row r="37" spans="6:10" ht="24.75" customHeight="1">
      <c r="F37" s="129"/>
      <c r="G37" s="132"/>
      <c r="H37" s="132"/>
      <c r="I37" s="132"/>
      <c r="J37" s="96"/>
    </row>
    <row r="38" spans="6:10" ht="24.75" customHeight="1">
      <c r="F38" s="133"/>
    </row>
    <row r="39" spans="6:10" ht="24.75" customHeight="1">
      <c r="F39" s="129"/>
    </row>
    <row r="40" spans="6:10" ht="24.75" customHeight="1">
      <c r="F40" s="129"/>
    </row>
    <row r="41" spans="6:10" ht="24.75" customHeight="1">
      <c r="F41" s="129"/>
    </row>
    <row r="42" spans="6:10" ht="24.75" customHeight="1">
      <c r="F42" s="129"/>
    </row>
    <row r="43" spans="6:10" ht="24.75" customHeight="1">
      <c r="F43" s="129"/>
    </row>
    <row r="44" spans="6:10" ht="24.75" customHeight="1">
      <c r="F44" s="129"/>
    </row>
    <row r="45" spans="6:10" ht="24.75" customHeight="1">
      <c r="F45" s="129"/>
    </row>
    <row r="46" spans="6:10" ht="24.75" customHeight="1">
      <c r="F46" s="129"/>
    </row>
    <row r="47" spans="6:10" ht="24.75" customHeight="1">
      <c r="F47" s="129"/>
    </row>
    <row r="48" spans="6:10" ht="24.75" customHeight="1">
      <c r="F48" s="129"/>
    </row>
    <row r="49" spans="6:6" ht="24.75" customHeight="1">
      <c r="F49" s="129"/>
    </row>
    <row r="50" spans="6:6" ht="24.75" customHeight="1">
      <c r="F50" s="129"/>
    </row>
    <row r="51" spans="6:6" ht="24.75" customHeight="1">
      <c r="F51" s="129"/>
    </row>
    <row r="52" spans="6:6" ht="24.75" customHeight="1">
      <c r="F52" s="129"/>
    </row>
    <row r="53" spans="6:6" ht="24.75" customHeight="1">
      <c r="F53" s="129"/>
    </row>
  </sheetData>
  <conditionalFormatting sqref="D3:E11">
    <cfRule type="duplicateValues" dxfId="27" priority="80"/>
    <cfRule type="duplicateValues" dxfId="26" priority="81"/>
    <cfRule type="duplicateValues" dxfId="25" priority="82"/>
  </conditionalFormatting>
  <conditionalFormatting sqref="D13:E14">
    <cfRule type="duplicateValues" dxfId="24" priority="73"/>
    <cfRule type="duplicateValues" dxfId="23" priority="74"/>
    <cfRule type="duplicateValues" dxfId="22" priority="75"/>
    <cfRule type="duplicateValues" dxfId="21" priority="76"/>
    <cfRule type="duplicateValues" dxfId="20" priority="77"/>
    <cfRule type="duplicateValues" dxfId="19" priority="78"/>
    <cfRule type="duplicateValues" dxfId="18" priority="79"/>
  </conditionalFormatting>
  <conditionalFormatting sqref="G4">
    <cfRule type="duplicateValues" dxfId="17" priority="70"/>
    <cfRule type="duplicateValues" dxfId="16" priority="71"/>
    <cfRule type="duplicateValues" dxfId="15" priority="72"/>
  </conditionalFormatting>
  <conditionalFormatting sqref="G5:G34">
    <cfRule type="duplicateValues" dxfId="14" priority="10"/>
  </conditionalFormatting>
  <conditionalFormatting sqref="G35:G37">
    <cfRule type="duplicateValues" dxfId="13" priority="60"/>
  </conditionalFormatting>
  <conditionalFormatting sqref="H4">
    <cfRule type="duplicateValues" dxfId="12" priority="68"/>
    <cfRule type="duplicateValues" dxfId="11" priority="69"/>
  </conditionalFormatting>
  <conditionalFormatting sqref="H29">
    <cfRule type="duplicateValues" dxfId="10" priority="1"/>
  </conditionalFormatting>
  <conditionalFormatting sqref="J19">
    <cfRule type="duplicateValues" dxfId="9" priority="5"/>
  </conditionalFormatting>
  <conditionalFormatting sqref="J20">
    <cfRule type="duplicateValues" dxfId="8" priority="3"/>
  </conditionalFormatting>
  <conditionalFormatting sqref="J21:J22">
    <cfRule type="duplicateValues" dxfId="7" priority="4"/>
  </conditionalFormatting>
  <conditionalFormatting sqref="J28 J22:J23">
    <cfRule type="duplicateValues" dxfId="6" priority="2"/>
  </conditionalFormatting>
  <conditionalFormatting sqref="J28:J29 J15 J10:J12 J7:J8 J5">
    <cfRule type="duplicateValues" dxfId="5" priority="6"/>
  </conditionalFormatting>
  <conditionalFormatting sqref="J31:J34 J26:J29 J17:J24 J5:J15">
    <cfRule type="duplicateValues" dxfId="4" priority="7"/>
    <cfRule type="duplicateValues" dxfId="3" priority="8"/>
  </conditionalFormatting>
  <conditionalFormatting sqref="J31:J34 J26:J29 J23:J24 J17:J18 J10:J15 J5:J8">
    <cfRule type="duplicateValues" dxfId="2" priority="9"/>
  </conditionalFormatting>
  <conditionalFormatting sqref="J35">
    <cfRule type="duplicateValues" dxfId="1" priority="59"/>
  </conditionalFormatting>
  <conditionalFormatting sqref="J36">
    <cfRule type="duplicateValues" dxfId="0" priority="42"/>
  </conditionalFormatting>
  <dataValidations count="1">
    <dataValidation allowBlank="1" showInputMessage="1" showErrorMessage="1" sqref="C6:C11 B3:E5 Q3:Q6 D13:E13 L2:L23 L25:L54 F35:F53" xr:uid="{B38E0AF4-2B0D-45D5-9E94-3B39AD3FD761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Dennise Keller da Silva</cp:lastModifiedBy>
  <cp:revision/>
  <dcterms:created xsi:type="dcterms:W3CDTF">2017-02-23T11:47:08Z</dcterms:created>
  <dcterms:modified xsi:type="dcterms:W3CDTF">2026-07-21T13:40:34Z</dcterms:modified>
  <cp:category/>
  <cp:contentStatus/>
</cp:coreProperties>
</file>