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NORTE/Violão III/Planilha Controle/"/>
    </mc:Choice>
  </mc:AlternateContent>
  <xr:revisionPtr revIDLastSave="74774" documentId="8_{DAC6C9CA-70D7-4111-A0A7-BC6755E560D9}" xr6:coauthVersionLast="47" xr6:coauthVersionMax="47" xr10:uidLastSave="{93100BCA-D233-4AA2-869D-9104BC507FD3}"/>
  <bookViews>
    <workbookView xWindow="28680" yWindow="-120" windowWidth="29040" windowHeight="15720" xr2:uid="{00000000-000D-0000-FFFF-FFFF00000000}"/>
  </bookViews>
  <sheets>
    <sheet name="PRIORIDADES" sheetId="20" r:id="rId1"/>
    <sheet name="Quantitativo Fora da Demanda" sheetId="19" state="hidden" r:id="rId2"/>
    <sheet name="Listas (não utilizar)" sheetId="4" state="hidden" r:id="rId3"/>
    <sheet name="QUANT COND" sheetId="16" state="hidden" r:id="rId4"/>
    <sheet name="OFÍCIOS" sheetId="5" state="hidden" r:id="rId5"/>
    <sheet name="EMAIL" sheetId="21" r:id="rId6"/>
    <sheet name="Planilha2" sheetId="22" r:id="rId7"/>
  </sheets>
  <externalReferences>
    <externalReference r:id="rId8"/>
  </externalReferences>
  <definedNames>
    <definedName name="_xlnm._FilterDatabase" localSheetId="2" hidden="1">'Listas (não utilizar)'!$A$1:$J$1</definedName>
    <definedName name="_xlnm._FilterDatabase" localSheetId="4" hidden="1">OFÍCIOS!$A$2:$U$3059</definedName>
    <definedName name="_xlnm._FilterDatabase" localSheetId="0" hidden="1">PRIORIDADES!$B$13:$BM$67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2" hidden="1">'Listas (não utilizar)'!$F$2:$F$5</definedName>
    <definedName name="Z_39E29B6F_0D66_48AE_A716_BFBE8B532288_.wvu.FilterData" localSheetId="2" hidden="1">'Listas (não utilizar)'!$F$2:$F$5</definedName>
    <definedName name="Z_3C855A2D_2F8A_450A_853C_257A0FC222AF_.wvu.FilterData" localSheetId="2" hidden="1">'Listas (não utilizar)'!$F$2:$F$5</definedName>
    <definedName name="Z_8296C81D_E0C9_43D9_ADA1_0E4705448C59_.wvu.FilterData" localSheetId="2" hidden="1">'Listas (não utilizar)'!$A$1:$F$17</definedName>
    <definedName name="Z_A598ACE7_C3E8_4400_B80E_E7BA9453B8A3_.wvu.FilterData" localSheetId="2" hidden="1">'Listas (não utilizar)'!$F$2:$F$5</definedName>
    <definedName name="Z_AD69B6D1_19BC_4940_B666_EDC66A6E168F_.wvu.FilterData" localSheetId="2" hidden="1">'Listas (não utilizar)'!$A$1:$F$17</definedName>
    <definedName name="Z_C81C67C3_BEE5_43B5_A898_4FF9A711A2FF_.wvu.FilterData" localSheetId="2" hidden="1">'Listas (não utilizar)'!$F$2:$F$5</definedName>
    <definedName name="Z_D4268A78_2B91_4AE5_BC6A_318CAE2503F1_.wvu.FilterData" localSheetId="2" hidden="1">'Listas (não utilizar)'!$F$2:$F$5</definedName>
    <definedName name="Z_D8EF893F_7CCC_418F_8546_BBB4DB0B16B5_.wvu.FilterData" localSheetId="2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20" i="20" l="1"/>
  <c r="BD20" i="20"/>
  <c r="BC20" i="20"/>
  <c r="BE30" i="20"/>
  <c r="BD30" i="20"/>
  <c r="BC30" i="20"/>
  <c r="BE23" i="20"/>
  <c r="BD23" i="20"/>
  <c r="BC23" i="20"/>
  <c r="BE17" i="20"/>
  <c r="BD17" i="20"/>
  <c r="BC17" i="20"/>
  <c r="BE28" i="20"/>
  <c r="BD28" i="20"/>
  <c r="BC28" i="20"/>
  <c r="BE22" i="20"/>
  <c r="BD22" i="20"/>
  <c r="BC22" i="20"/>
  <c r="BE24" i="20"/>
  <c r="BD24" i="20"/>
  <c r="BC24" i="20"/>
  <c r="BC15" i="20"/>
  <c r="BD15" i="20"/>
  <c r="BE15" i="20"/>
  <c r="BC16" i="20"/>
  <c r="BD16" i="20"/>
  <c r="BE16" i="20"/>
  <c r="BC18" i="20"/>
  <c r="BD18" i="20"/>
  <c r="BE18" i="20"/>
  <c r="BC19" i="20"/>
  <c r="BD19" i="20"/>
  <c r="BE19" i="20"/>
  <c r="BC25" i="20"/>
  <c r="BD25" i="20"/>
  <c r="BE25" i="20"/>
  <c r="BC26" i="20"/>
  <c r="BD26" i="20"/>
  <c r="BE26" i="20"/>
  <c r="BC27" i="20"/>
  <c r="BD27" i="20"/>
  <c r="BE27" i="20"/>
  <c r="BC29" i="20"/>
  <c r="BD29" i="20"/>
  <c r="BE29" i="20"/>
  <c r="BC21" i="20"/>
  <c r="BD21" i="20"/>
  <c r="BE21" i="20"/>
  <c r="BC31" i="20"/>
  <c r="BD31" i="20"/>
  <c r="BE31" i="20"/>
  <c r="BC32" i="20"/>
  <c r="BD32" i="20"/>
  <c r="BE32" i="20"/>
  <c r="BC33" i="20"/>
  <c r="BD33" i="20"/>
  <c r="BE33" i="20"/>
  <c r="BC34" i="20"/>
  <c r="BD34" i="20"/>
  <c r="BE34" i="20"/>
  <c r="BC35" i="20"/>
  <c r="BD35" i="20"/>
  <c r="BE35" i="20"/>
  <c r="BC36" i="20"/>
  <c r="BD36" i="20"/>
  <c r="BE36" i="20"/>
  <c r="BC37" i="20"/>
  <c r="BD37" i="20"/>
  <c r="BE37" i="20"/>
  <c r="BC38" i="20"/>
  <c r="BD38" i="20"/>
  <c r="BE38" i="20"/>
  <c r="BC39" i="20"/>
  <c r="BD39" i="20"/>
  <c r="BE39" i="20"/>
  <c r="BC40" i="20"/>
  <c r="BD40" i="20"/>
  <c r="BE40" i="20"/>
  <c r="BC41" i="20"/>
  <c r="BD41" i="20"/>
  <c r="BE41" i="20"/>
  <c r="BC42" i="20"/>
  <c r="BD42" i="20"/>
  <c r="BE42" i="20"/>
  <c r="BC43" i="20"/>
  <c r="BD43" i="20"/>
  <c r="BE43" i="20"/>
  <c r="BC44" i="20"/>
  <c r="BD44" i="20"/>
  <c r="BE44" i="20"/>
  <c r="BC45" i="20"/>
  <c r="BD45" i="20"/>
  <c r="BE45" i="20"/>
  <c r="BC46" i="20"/>
  <c r="BD46" i="20"/>
  <c r="BE46" i="20"/>
  <c r="BC47" i="20"/>
  <c r="BD47" i="20"/>
  <c r="BE47" i="20"/>
  <c r="BC48" i="20"/>
  <c r="BD48" i="20"/>
  <c r="BE48" i="20"/>
  <c r="BC49" i="20"/>
  <c r="BD49" i="20"/>
  <c r="BE49" i="20"/>
  <c r="BC50" i="20"/>
  <c r="BD50" i="20"/>
  <c r="BE50" i="20"/>
  <c r="BC51" i="20"/>
  <c r="BD51" i="20"/>
  <c r="BE51" i="20"/>
  <c r="BC52" i="20"/>
  <c r="BD52" i="20"/>
  <c r="BE52" i="20"/>
  <c r="BC53" i="20"/>
  <c r="BD53" i="20"/>
  <c r="BE53" i="20"/>
  <c r="BC54" i="20"/>
  <c r="BD54" i="20"/>
  <c r="BE54" i="20"/>
  <c r="BC55" i="20"/>
  <c r="BD55" i="20"/>
  <c r="BE55" i="20"/>
  <c r="BC56" i="20"/>
  <c r="BD56" i="20"/>
  <c r="BE56" i="20"/>
  <c r="BC57" i="20"/>
  <c r="BD57" i="20"/>
  <c r="BE57" i="20"/>
  <c r="BC58" i="20"/>
  <c r="BD58" i="20"/>
  <c r="BE58" i="20"/>
  <c r="BC59" i="20"/>
  <c r="BD59" i="20"/>
  <c r="BE59" i="20"/>
  <c r="BC60" i="20"/>
  <c r="BD60" i="20"/>
  <c r="BE60" i="20"/>
  <c r="BC61" i="20"/>
  <c r="BD61" i="20"/>
  <c r="BE61" i="20"/>
  <c r="BC62" i="20"/>
  <c r="BD62" i="20"/>
  <c r="BE62" i="20"/>
  <c r="BC63" i="20"/>
  <c r="BD63" i="20"/>
  <c r="BE63" i="20"/>
  <c r="BC64" i="20"/>
  <c r="BD64" i="20"/>
  <c r="BE64" i="20"/>
  <c r="BC65" i="20"/>
  <c r="BD65" i="20"/>
  <c r="BE65" i="20"/>
  <c r="BC66" i="20"/>
  <c r="BD66" i="20"/>
  <c r="BE66" i="20"/>
  <c r="BC67" i="20"/>
  <c r="BD67" i="20"/>
  <c r="BE67" i="20"/>
  <c r="BE14" i="20"/>
  <c r="BD14" i="20"/>
  <c r="BC14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<sst xmlns="http://schemas.openxmlformats.org/spreadsheetml/2006/main" count="10066" uniqueCount="6337">
  <si>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</si>
  <si>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</si>
  <si>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</si>
  <si>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</si>
  <si>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</si>
  <si>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</si>
  <si>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</si>
  <si>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</si>
  <si>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</si>
  <si>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</si>
  <si>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</si>
  <si>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</si>
  <si>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</si>
  <si>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</si>
  <si>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</si>
  <si>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</si>
  <si>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</si>
  <si>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</si>
  <si>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</si>
  <si>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</si>
  <si>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</si>
  <si>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</si>
  <si>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</si>
  <si>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</si>
  <si>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</si>
  <si>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</si>
  <si>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</si>
  <si>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</si>
  <si>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</si>
  <si>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</si>
  <si>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</si>
  <si>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</si>
  <si>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</si>
  <si>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AGUARDANDO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</si>
  <si>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</si>
  <si>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</si>
  <si>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</si>
  <si>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</si>
  <si>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</si>
  <si>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</si>
  <si>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</si>
  <si>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</si>
  <si>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</si>
  <si>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</si>
  <si>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</si>
  <si>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</si>
  <si>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</si>
  <si>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</si>
  <si>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</si>
  <si>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</si>
  <si>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</si>
  <si>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</si>
  <si>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</si>
  <si>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                                                        AUXÍLIO ALUGUEL ÁREA</t>
  </si>
  <si>
    <t>No PROCESSO SEI                                                       (AUXÍLIO ALUGUEL)</t>
  </si>
  <si>
    <t>ANÁLISE DTS                                              CADASTRO + CHECAGEM DUPLO</t>
  </si>
  <si>
    <t>INSTRUÇÃO PROCESSO SEI                                                     DTS</t>
  </si>
  <si>
    <t>ANÁLISE CTS                                       ASSINATURA GABINETE</t>
  </si>
  <si>
    <t>DATA PUBLICAÇÃO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</si>
  <si>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</si>
  <si>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</si>
  <si>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</si>
  <si>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</si>
  <si>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</si>
  <si>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</si>
  <si>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</si>
  <si>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</si>
  <si>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</si>
  <si>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</si>
  <si>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</si>
  <si>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</si>
  <si>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</si>
  <si>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</si>
  <si>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</si>
  <si>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</si>
  <si>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</si>
  <si>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</si>
  <si>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</si>
  <si>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</si>
  <si>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  DTS</t>
  </si>
  <si>
    <t>ELABORAÇÃO DESPACHO CTS</t>
  </si>
  <si>
    <t>ASSINATURA DESPACHO GABINETE</t>
  </si>
  <si>
    <t>PUBLICAÇÃO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</si>
  <si>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</si>
  <si>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</si>
  <si>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</si>
  <si>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</si>
  <si>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</si>
  <si>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</si>
  <si>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</si>
  <si>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</si>
  <si>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                            BLOQUEIO AA</t>
  </si>
  <si>
    <t>SOLICITAÇÃO                          BLOQUEIO AA  DTS</t>
  </si>
  <si>
    <t>SOLICITAÇÃO                           BLOQUEIO AA</t>
  </si>
  <si>
    <t>DATA BLOQUEIO AA</t>
  </si>
  <si>
    <t>DESPACHO EXCLUSÃO GABINETE</t>
  </si>
  <si>
    <t>PUBLICAÇÃO DOC</t>
  </si>
  <si>
    <t>ENCAMINHAMENTO SOLICITAÇÃO       EXCLUSÃO DEPLAN</t>
  </si>
  <si>
    <t>ENCERRAMENTO PROCESSO DTS</t>
  </si>
  <si>
    <t>VIOLÃO III</t>
  </si>
  <si>
    <t>--</t>
  </si>
  <si>
    <t>0010001A</t>
  </si>
  <si>
    <t>MORADIA</t>
  </si>
  <si>
    <t> </t>
  </si>
  <si>
    <t>LEONARDO VINICIUS DE MELO</t>
  </si>
  <si>
    <t>MARIA EDCLÉCIA GOMES BEZERRA</t>
  </si>
  <si>
    <t>410.204.418-36</t>
  </si>
  <si>
    <t>49.349.859-X</t>
  </si>
  <si>
    <t>PROPRIETARIO RESIDENTE</t>
  </si>
  <si>
    <t>6014.2025/0006976-1</t>
  </si>
  <si>
    <t>0010002A</t>
  </si>
  <si>
    <t>EDNELSON LIMA SANTOS</t>
  </si>
  <si>
    <t>23.995.115-3</t>
  </si>
  <si>
    <t>182.415.438-08</t>
  </si>
  <si>
    <t>CONCLUIDO</t>
  </si>
  <si>
    <t>AUXÍLIO ALUGUEL</t>
  </si>
  <si>
    <t>Finalizada</t>
  </si>
  <si>
    <t>6014.2025/0007038-7</t>
  </si>
  <si>
    <t>Finalizado</t>
  </si>
  <si>
    <t xml:space="preserve">JOSÉ ERALDO BEZERRA </t>
  </si>
  <si>
    <t>677.779.964/87</t>
  </si>
  <si>
    <t>37.579.271-5</t>
  </si>
  <si>
    <t>0010003A</t>
  </si>
  <si>
    <t>JANETE DAMASCENA BORGES</t>
  </si>
  <si>
    <t>56.993.863-2</t>
  </si>
  <si>
    <t>112360.248.42</t>
  </si>
  <si>
    <t>Aguardando</t>
  </si>
  <si>
    <t>LUCICLEIDE DA SILVA</t>
  </si>
  <si>
    <t>293.033.358-80</t>
  </si>
  <si>
    <t>36.359.677-X</t>
  </si>
  <si>
    <t>PROPRIETARIO NÃO RESIDENTE</t>
  </si>
  <si>
    <t>0010004A</t>
  </si>
  <si>
    <t>COMÉRCIO</t>
  </si>
  <si>
    <t>ADRIANA CONCEIÇÃO DOS SANTOS</t>
  </si>
  <si>
    <t>34.460.051-8</t>
  </si>
  <si>
    <t>339.934.348-54</t>
  </si>
  <si>
    <t>FINALIZADO</t>
  </si>
  <si>
    <t>SEM PENDÊNCIA</t>
  </si>
  <si>
    <t>6014.2025/0008113-3</t>
  </si>
  <si>
    <t>LIBERADO DEMOLIÇÃO</t>
  </si>
  <si>
    <t>AGUARDANDO ELABORAÇÃO</t>
  </si>
  <si>
    <t>0010005A</t>
  </si>
  <si>
    <t xml:space="preserve">OCUPADO </t>
  </si>
  <si>
    <t>MARIANE MEDEIROS DE SÁ</t>
  </si>
  <si>
    <t>47.489.953-6</t>
  </si>
  <si>
    <t>393.131.548-70</t>
  </si>
  <si>
    <t>EDENILDES MARIA  NEVES CABRAL</t>
  </si>
  <si>
    <t>315.664.805-15</t>
  </si>
  <si>
    <t>53.084.721-8</t>
  </si>
  <si>
    <t>0010008A</t>
  </si>
  <si>
    <t>EDUARDO HENRIQUE MARTINS LEITE</t>
  </si>
  <si>
    <t>38.968.231-17</t>
  </si>
  <si>
    <t>532.052.748-90</t>
  </si>
  <si>
    <t>Comprovante de residência apresentado não está listado, dentre os que são aceitos, na instrução normativa - sehab nº 5 de 08 de Agosto de 2022.</t>
  </si>
  <si>
    <t>6014.2025/0008119-2</t>
  </si>
  <si>
    <t>0010007A</t>
  </si>
  <si>
    <t>INQUILINO</t>
  </si>
  <si>
    <t>RAQUEL SOARES DE OLIVEIRA</t>
  </si>
  <si>
    <t>-</t>
  </si>
  <si>
    <t>348.492.908-17</t>
  </si>
  <si>
    <t>ROBERT DA SILVA BAPTISTA</t>
  </si>
  <si>
    <t>243.160.878-60</t>
  </si>
  <si>
    <t>AGUARDANDO CORREÇÃO- SITUAÇÃO DO PROPRIETÁRIO DIVERGENTE NA PLANILHA</t>
  </si>
  <si>
    <t>6014.2026/0003615-6</t>
  </si>
  <si>
    <t>0010018A</t>
  </si>
  <si>
    <t>CAIO EDGAR SANTOS TOME</t>
  </si>
  <si>
    <t>38.743.032-5</t>
  </si>
  <si>
    <t>564.859.818-10</t>
  </si>
  <si>
    <t xml:space="preserve">PROPRIETARIO RESIDENTE </t>
  </si>
  <si>
    <t>6014.2025/0008156-7</t>
  </si>
  <si>
    <t>0010009A</t>
  </si>
  <si>
    <t>INSTITUCIONAL</t>
  </si>
  <si>
    <t xml:space="preserve">FLAVIA GIOVANNA DE LIMA SOUZA </t>
  </si>
  <si>
    <t>39.120.433-6</t>
  </si>
  <si>
    <t>501.823.638-80</t>
  </si>
  <si>
    <t>6014.2025/0008133-8</t>
  </si>
  <si>
    <t>0010010A</t>
  </si>
  <si>
    <t>ELOI MUNICK DA SILVA SOUZA ABREU</t>
  </si>
  <si>
    <t>44.474.099-5</t>
  </si>
  <si>
    <t>347.056.708-50</t>
  </si>
  <si>
    <t>6014.2026/0001844-1</t>
  </si>
  <si>
    <t>0010011A</t>
  </si>
  <si>
    <t>SILVANA APARECIDA BEZERRA TRINDADE</t>
  </si>
  <si>
    <t>24.886.228-5</t>
  </si>
  <si>
    <t>264.526.768-81</t>
  </si>
  <si>
    <t>INDENIZAÇÃO COMÉRCIO</t>
  </si>
  <si>
    <t>6014.2025/0007565-6</t>
  </si>
  <si>
    <t>0010012A</t>
  </si>
  <si>
    <t>DIOGO PEDRO DA SILVA</t>
  </si>
  <si>
    <t>42.913.718-7</t>
  </si>
  <si>
    <t>359.203.038-83</t>
  </si>
  <si>
    <t>6014.2025/0008148-6</t>
  </si>
  <si>
    <t>0010013A</t>
  </si>
  <si>
    <t>DOMITÓRIO</t>
  </si>
  <si>
    <t>MARCELE KATERINE ALVES</t>
  </si>
  <si>
    <t>410.699.728-27</t>
  </si>
  <si>
    <t xml:space="preserve">ANA PAULA SANTANA SOUZA </t>
  </si>
  <si>
    <t>373.659.058/08</t>
  </si>
  <si>
    <t>27.811.390-4</t>
  </si>
  <si>
    <t>0010014A</t>
  </si>
  <si>
    <t>MARLON NASCIMENTO DA SILVA</t>
  </si>
  <si>
    <t>38.851.169-2</t>
  </si>
  <si>
    <t>355.091.258-70</t>
  </si>
  <si>
    <t>ALEXANDRO SANTANA SOUZA</t>
  </si>
  <si>
    <t>438.049.148-02</t>
  </si>
  <si>
    <t>52.271.240-X</t>
  </si>
  <si>
    <t>0010016A</t>
  </si>
  <si>
    <t>DIEGO CAVALVANTE VIEIRA DE SÁ</t>
  </si>
  <si>
    <t>39.119.926-2</t>
  </si>
  <si>
    <t>395.297.018-29</t>
  </si>
  <si>
    <t>6014.2025/0007536-2</t>
  </si>
  <si>
    <t>0010017A</t>
  </si>
  <si>
    <t>DEPÓSITO</t>
  </si>
  <si>
    <t>OSMARINO RIBEIRO DOS SANTOS</t>
  </si>
  <si>
    <t>37.213.458-0-BA</t>
  </si>
  <si>
    <t>345.334.785-49</t>
  </si>
  <si>
    <t xml:space="preserve">JUSCINEIDE DE MACÊDO SANTANA </t>
  </si>
  <si>
    <t>022.989.403-36</t>
  </si>
  <si>
    <t>50.915.027-5</t>
  </si>
  <si>
    <t>0010006A</t>
  </si>
  <si>
    <t>MARIA DAYANA RODRIGUES LÔ</t>
  </si>
  <si>
    <t>2009010275775-CE</t>
  </si>
  <si>
    <t>603.861.133-94</t>
  </si>
  <si>
    <t>6014.2026/0001839-5</t>
  </si>
  <si>
    <t>0010019A</t>
  </si>
  <si>
    <t>SILVANA FERNANDES DA SILVA BATISTA</t>
  </si>
  <si>
    <t>284.195.998-83</t>
  </si>
  <si>
    <t>ADILSON GOMES ROCHA</t>
  </si>
  <si>
    <t>354.750.938-65</t>
  </si>
  <si>
    <t>53.179.453-2</t>
  </si>
  <si>
    <t>0010020A</t>
  </si>
  <si>
    <t>JOSEFA MARIA DE SOUZA</t>
  </si>
  <si>
    <t>33.890.191-7</t>
  </si>
  <si>
    <t>292.573.988-11</t>
  </si>
  <si>
    <t>VITORIA VIERA DA SILVA PORTO</t>
  </si>
  <si>
    <t>504.741.198/23</t>
  </si>
  <si>
    <t>53.829.431-0</t>
  </si>
  <si>
    <t>0010021A</t>
  </si>
  <si>
    <t>NAIARA RIBEIRO DO NASCIMENTO ALMEIDA</t>
  </si>
  <si>
    <t>385.936.878-81</t>
  </si>
  <si>
    <t>GUSTAVO ROCHA GOTARDO</t>
  </si>
  <si>
    <t>21.145.736-13</t>
  </si>
  <si>
    <t>864.072.475-00</t>
  </si>
  <si>
    <t>0010022A</t>
  </si>
  <si>
    <t>VALDINETE BONFIM DOS SANTOS SILVA</t>
  </si>
  <si>
    <t>34.635.441-9</t>
  </si>
  <si>
    <t>298.799.678-01</t>
  </si>
  <si>
    <t>ERICK FERREIRA DA SILVA</t>
  </si>
  <si>
    <t>541.725.068-60</t>
  </si>
  <si>
    <t>56.769.551-7</t>
  </si>
  <si>
    <t>0010023A</t>
  </si>
  <si>
    <t>WELSEY DE OLIVEIRA AUGUSTO</t>
  </si>
  <si>
    <t>38.540.375-6</t>
  </si>
  <si>
    <t>454.102.348-20</t>
  </si>
  <si>
    <t>GINA MARIA DA SILVA FERREIRA</t>
  </si>
  <si>
    <t>342.470.298-60</t>
  </si>
  <si>
    <t>43.407.904-2</t>
  </si>
  <si>
    <t>0010024A</t>
  </si>
  <si>
    <t>JADILSON MIRANDA DA SILVA</t>
  </si>
  <si>
    <t>48.4158.284-</t>
  </si>
  <si>
    <t>405.328.268-33</t>
  </si>
  <si>
    <t>EDSON VICENTE DA SILVA</t>
  </si>
  <si>
    <t>356.613.068-06</t>
  </si>
  <si>
    <t>40.573.869-9</t>
  </si>
  <si>
    <t>0010025A</t>
  </si>
  <si>
    <t>THAIS DA SILVA FARIAS</t>
  </si>
  <si>
    <t>54.467.627-0</t>
  </si>
  <si>
    <t>562.089.588-22</t>
  </si>
  <si>
    <t>TATIANE RAINHA DOS SANTOS</t>
  </si>
  <si>
    <t>127.328.156-08</t>
  </si>
  <si>
    <t>43.767.855-0</t>
  </si>
  <si>
    <t>0010026A</t>
  </si>
  <si>
    <t>ROSILDA MARIA DA SILVA</t>
  </si>
  <si>
    <t>54.289.830-5</t>
  </si>
  <si>
    <t>435.208.044-68</t>
  </si>
  <si>
    <t xml:space="preserve">ELIECI RAINHA DOS SANTOS </t>
  </si>
  <si>
    <t>086.758.688-55</t>
  </si>
  <si>
    <t>19.512.082-6</t>
  </si>
  <si>
    <t>0010027A</t>
  </si>
  <si>
    <t>JAQUELINE DA COSTA MONTEIRO</t>
  </si>
  <si>
    <t>40.244.672-0</t>
  </si>
  <si>
    <t>061.236.644-84</t>
  </si>
  <si>
    <t>EVELIN SAMANTA GOMES SILVA</t>
  </si>
  <si>
    <t>491.909.618/62</t>
  </si>
  <si>
    <t>58.614.221-6</t>
  </si>
  <si>
    <t>0010028A</t>
  </si>
  <si>
    <t>ADRIELLE SILVA OLIVEIRA</t>
  </si>
  <si>
    <t>55.115.634-X</t>
  </si>
  <si>
    <t>509.672.978-85</t>
  </si>
  <si>
    <t>LEILA SILVANA DA SILVEIRA SIQUEIRA</t>
  </si>
  <si>
    <t>37.039.112--3</t>
  </si>
  <si>
    <t>37.039.112-3</t>
  </si>
  <si>
    <t>0010029A</t>
  </si>
  <si>
    <t>JARDILENE SILVA DOS SANTOS</t>
  </si>
  <si>
    <t>43.871.217-1</t>
  </si>
  <si>
    <t>436.106.958-11</t>
  </si>
  <si>
    <t>LAUDICEIA SOARES SILVA</t>
  </si>
  <si>
    <t>319.943.338/39</t>
  </si>
  <si>
    <t>33.892.102-3</t>
  </si>
  <si>
    <t>0010030A</t>
  </si>
  <si>
    <t>DORMITÓRIO</t>
  </si>
  <si>
    <t>ARTHUR FRANÇA CEZAR</t>
  </si>
  <si>
    <t>49.371.646-4</t>
  </si>
  <si>
    <t>421.581.048-56</t>
  </si>
  <si>
    <t xml:space="preserve">MARIA APARECIDA XAVIER DOS SANTOS </t>
  </si>
  <si>
    <t>022.840.924/11</t>
  </si>
  <si>
    <t>38.755.186-40028</t>
  </si>
  <si>
    <t>0010031A</t>
  </si>
  <si>
    <t>FRANCISCO ERIVAN DOS SANTOZ SOUZA JUNIOR</t>
  </si>
  <si>
    <t>45.884.500-0</t>
  </si>
  <si>
    <t>340.716.038-01</t>
  </si>
  <si>
    <t>VERA LÚCIA FERREIRA DA SILVA</t>
  </si>
  <si>
    <t>103.766.088/97</t>
  </si>
  <si>
    <t>20.974.649-X</t>
  </si>
  <si>
    <t>0010032A</t>
  </si>
  <si>
    <t>THAIS THIANA DOS SANTOS LEÃO</t>
  </si>
  <si>
    <t>38.755.771-4</t>
  </si>
  <si>
    <t>859.044.925-45</t>
  </si>
  <si>
    <t xml:space="preserve">ELZA MARIA VENÂNCIO </t>
  </si>
  <si>
    <t>172.372.178/60</t>
  </si>
  <si>
    <t>27.498.261-4</t>
  </si>
  <si>
    <t>0010034A</t>
  </si>
  <si>
    <t xml:space="preserve">MISAEL RUBENS DE OLIVEIRA </t>
  </si>
  <si>
    <t>44.474.272-4</t>
  </si>
  <si>
    <t>380.139.478-66</t>
  </si>
  <si>
    <t>KATIANE MÔNICA DA SILVA</t>
  </si>
  <si>
    <t>293.579.388/93</t>
  </si>
  <si>
    <t>28.549.500-8</t>
  </si>
  <si>
    <t>0010035A</t>
  </si>
  <si>
    <t>CARLEANDRO SILVA SANTOS</t>
  </si>
  <si>
    <t>32.360.767-6</t>
  </si>
  <si>
    <t>279.241.898-23</t>
  </si>
  <si>
    <t xml:space="preserve">SIDNEI DE SOUZA ROYO </t>
  </si>
  <si>
    <t>339.395.408-38</t>
  </si>
  <si>
    <t>36.053.320-6</t>
  </si>
  <si>
    <t>0010035B</t>
  </si>
  <si>
    <t>MIGUEL ANGEL  GUARACHI VELASCO</t>
  </si>
  <si>
    <t>901.787.598-48</t>
  </si>
  <si>
    <t xml:space="preserve">MARIA DAS NEVES SILVA LOPES </t>
  </si>
  <si>
    <t>226.791.188-47</t>
  </si>
  <si>
    <t>38.990.952-X</t>
  </si>
  <si>
    <t>001015A</t>
  </si>
  <si>
    <t>LUIS CARLOS DOS SANTOS</t>
  </si>
  <si>
    <t xml:space="preserve">NEUMA GOMES ROCHA </t>
  </si>
  <si>
    <t>358.269.808/42</t>
  </si>
  <si>
    <t>54.991.299-X</t>
  </si>
  <si>
    <t>001033A</t>
  </si>
  <si>
    <t>JOSE ROBERTO DUARTE DE LIMA</t>
  </si>
  <si>
    <t>28.756.969-x</t>
  </si>
  <si>
    <t>253.971.618-02</t>
  </si>
  <si>
    <t>MARIA JOSÉ DA CONCEIÇÃO</t>
  </si>
  <si>
    <t>255.738.168/37</t>
  </si>
  <si>
    <t>16.849.394-9</t>
  </si>
  <si>
    <t>0140066B</t>
  </si>
  <si>
    <t>CLEUDIANE MEDINA DA CRUZ</t>
  </si>
  <si>
    <t>63.150.543-X</t>
  </si>
  <si>
    <t>045.180.753-74</t>
  </si>
  <si>
    <t>0140129A</t>
  </si>
  <si>
    <t>VANDA LOPES OLIVEIRA SILVA</t>
  </si>
  <si>
    <t>48.989.803-8</t>
  </si>
  <si>
    <t>232.535.398-22</t>
  </si>
  <si>
    <t>0140130A</t>
  </si>
  <si>
    <t>PAULO SANTOS DIAS</t>
  </si>
  <si>
    <t>711.496.605-97</t>
  </si>
  <si>
    <t>0140131A</t>
  </si>
  <si>
    <t>MONIQUE PINTO SOUZA</t>
  </si>
  <si>
    <t>36.052.059-5</t>
  </si>
  <si>
    <t>384.416.568-19</t>
  </si>
  <si>
    <t>0140132A</t>
  </si>
  <si>
    <t>TERRENO VAZIO</t>
  </si>
  <si>
    <t>0140133A</t>
  </si>
  <si>
    <t xml:space="preserve">JOSÉ ORLANDO DA CRUZ </t>
  </si>
  <si>
    <t>57.985.220-9</t>
  </si>
  <si>
    <t>081.453.904-19</t>
  </si>
  <si>
    <t>0140134A</t>
  </si>
  <si>
    <t xml:space="preserve">JOSIVAN MARIANO DA  SILVA                </t>
  </si>
  <si>
    <t>113.523.214-83</t>
  </si>
  <si>
    <t>0140134B</t>
  </si>
  <si>
    <t>GEOVANIA MARIANO DA SILVA</t>
  </si>
  <si>
    <t>56.501.489-4</t>
  </si>
  <si>
    <t>235.585.438-66</t>
  </si>
  <si>
    <t>0140135A</t>
  </si>
  <si>
    <t>MARIA APARECIDA LOPES DE MORAES</t>
  </si>
  <si>
    <t>21.568.007-8</t>
  </si>
  <si>
    <t xml:space="preserve">      175.143.488-59</t>
  </si>
  <si>
    <t>0140135B</t>
  </si>
  <si>
    <t>ELINEIDE FILGUEIRA DOS SANTOS</t>
  </si>
  <si>
    <t>55.412.321-6</t>
  </si>
  <si>
    <t>297.348.118-00</t>
  </si>
  <si>
    <t>0140135C</t>
  </si>
  <si>
    <t>IZAC LOPES DE MORAES GARCIA</t>
  </si>
  <si>
    <t>38.413.414.-2</t>
  </si>
  <si>
    <t>491.125.558-78</t>
  </si>
  <si>
    <t>0140135D</t>
  </si>
  <si>
    <t xml:space="preserve">LARISSA CRISTINA FILGUEIRA DOS SANTOS </t>
  </si>
  <si>
    <t>39.851.068-4</t>
  </si>
  <si>
    <t>460.709.448-01</t>
  </si>
  <si>
    <t>0140136A</t>
  </si>
  <si>
    <t>LUCAS BENEDITO DOS SANTOS</t>
  </si>
  <si>
    <t>55.299.807-2</t>
  </si>
  <si>
    <t>482.199.648-04</t>
  </si>
  <si>
    <t>0140137A</t>
  </si>
  <si>
    <t>ABEL BARBOSA DO NASCIMENTO</t>
  </si>
  <si>
    <t>22.819.273-00</t>
  </si>
  <si>
    <t>270.899.588-09</t>
  </si>
  <si>
    <t>0140137B</t>
  </si>
  <si>
    <t xml:space="preserve">  (NÃO ENCONTRAMOS  MORADOR EM TODAS AS VISITAS)</t>
  </si>
  <si>
    <t>0140138A</t>
  </si>
  <si>
    <t xml:space="preserve">SILVIA DAILETE DA COSTA DA SILVA </t>
  </si>
  <si>
    <t>35.418.571-8</t>
  </si>
  <si>
    <t>357.226.418-98</t>
  </si>
  <si>
    <t>0140139A</t>
  </si>
  <si>
    <t xml:space="preserve">JOSÉ APARECIDO DOS SANTOS </t>
  </si>
  <si>
    <t>53.448.929-1</t>
  </si>
  <si>
    <t>008.343.684-71</t>
  </si>
  <si>
    <t>0140140A</t>
  </si>
  <si>
    <t>GIRLENE SILVA SANTOS</t>
  </si>
  <si>
    <t>54.271.082-1</t>
  </si>
  <si>
    <t>040.235.765-37</t>
  </si>
  <si>
    <t>REPROVADOS QUE NÃO DEVERÃO SER REASSENTADOS NO ESPANHA</t>
  </si>
  <si>
    <t>APROVADOS SEM CONDOMÍNIO QUE DEVERÃO SER REASSENTADOS NO CHÁCARA DO CONDE</t>
  </si>
  <si>
    <t>QTD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</si>
  <si>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</si>
  <si>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</si>
  <si>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</si>
  <si>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</si>
  <si>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</si>
  <si>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</si>
  <si>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</si>
  <si>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</si>
  <si>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</si>
  <si>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</si>
  <si>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</si>
  <si>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</si>
  <si>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</si>
  <si>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</si>
  <si>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</si>
  <si>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</si>
  <si>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</si>
  <si>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</si>
  <si>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</si>
  <si>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</si>
  <si>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</si>
  <si>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</si>
  <si>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</si>
  <si>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</si>
  <si>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</si>
  <si>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</si>
  <si>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</si>
  <si>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</si>
  <si>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</si>
  <si>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</si>
  <si>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</si>
  <si>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</si>
  <si>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</si>
  <si>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</si>
  <si>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</si>
  <si>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</si>
  <si>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</si>
  <si>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</si>
  <si>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</si>
  <si>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</si>
  <si>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</si>
  <si>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</si>
  <si>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</si>
  <si>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</si>
  <si>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</si>
  <si>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</si>
  <si>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</si>
  <si>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</si>
  <si>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</si>
  <si>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</si>
  <si>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</si>
  <si>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</si>
  <si>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</si>
  <si>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</si>
  <si>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</si>
  <si>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</si>
  <si>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</si>
  <si>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</si>
  <si>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</si>
  <si>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</si>
  <si>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</si>
  <si>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</si>
  <si>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</si>
  <si>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</si>
  <si>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</si>
  <si>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</si>
  <si>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</si>
  <si>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</si>
  <si>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</si>
  <si>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</si>
  <si>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</si>
  <si>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</si>
  <si>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</si>
  <si>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</si>
  <si>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</si>
  <si>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</si>
  <si>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</si>
  <si>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</si>
  <si>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</si>
  <si>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</si>
  <si>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</si>
  <si>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</si>
  <si>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</si>
  <si>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</si>
  <si>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</si>
  <si>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</si>
  <si>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</si>
  <si>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</si>
  <si>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</si>
  <si>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</si>
  <si>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</si>
  <si>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</si>
  <si>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</si>
  <si>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</si>
  <si>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</si>
  <si>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</si>
  <si>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</si>
  <si>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</si>
  <si>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</si>
  <si>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</si>
  <si>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</si>
  <si>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</si>
  <si>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</si>
  <si>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</si>
  <si>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</si>
  <si>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</si>
  <si>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</si>
  <si>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</si>
  <si>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</si>
  <si>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</si>
  <si>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</si>
  <si>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</si>
  <si>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</si>
  <si>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</si>
  <si>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</si>
  <si>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</si>
  <si>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</si>
  <si>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</si>
  <si>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</si>
  <si>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</si>
  <si>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</si>
  <si>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</si>
  <si>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</si>
  <si>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</si>
  <si>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</si>
  <si>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</si>
  <si>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</si>
  <si>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</si>
  <si>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</si>
  <si>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</si>
  <si>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</si>
  <si>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</si>
  <si>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</si>
  <si>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</si>
  <si>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</si>
  <si>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</si>
  <si>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</si>
  <si>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</si>
  <si>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</si>
  <si>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</si>
  <si>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</si>
  <si>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</si>
  <si>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</si>
  <si>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</si>
  <si>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</si>
  <si>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</si>
  <si>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</si>
  <si>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</si>
  <si>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</si>
  <si>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</si>
  <si>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</si>
  <si>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</si>
  <si>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</si>
  <si>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</si>
  <si>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</si>
  <si>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</si>
  <si>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</si>
  <si>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</si>
  <si>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</si>
  <si>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</si>
  <si>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</si>
  <si>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</si>
  <si>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</si>
  <si>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</si>
  <si>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</si>
  <si>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</si>
  <si>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</si>
  <si>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</si>
  <si>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</si>
  <si>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</si>
  <si>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</si>
  <si>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</si>
  <si>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</si>
  <si>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</si>
  <si>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</si>
  <si>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</si>
  <si>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</si>
  <si>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</si>
  <si>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</si>
  <si>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</si>
  <si>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</si>
  <si>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</si>
  <si>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</si>
  <si>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</si>
  <si>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</si>
  <si>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</si>
  <si>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</si>
  <si>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</si>
  <si>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</si>
  <si>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</si>
  <si>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</si>
  <si>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</si>
  <si>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</si>
  <si>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</si>
  <si>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</si>
  <si>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</si>
  <si>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</si>
  <si>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</si>
  <si>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</si>
  <si>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</si>
  <si>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</si>
  <si>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</si>
  <si>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</si>
  <si>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</si>
  <si>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</si>
  <si>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</si>
  <si>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</si>
  <si>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</si>
  <si>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</si>
  <si>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</si>
  <si>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</si>
  <si>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</si>
  <si>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</si>
  <si>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</si>
  <si>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</si>
  <si>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</si>
  <si>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</si>
  <si>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</si>
  <si>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</si>
  <si>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</si>
  <si>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</si>
  <si>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</si>
  <si>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</si>
  <si>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</si>
  <si>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</si>
  <si>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</si>
  <si>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</si>
  <si>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</si>
  <si>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</si>
  <si>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</si>
  <si>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</si>
  <si>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</si>
  <si>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</si>
  <si>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</si>
  <si>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</si>
  <si>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</si>
  <si>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</si>
  <si>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</si>
  <si>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</si>
  <si>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</si>
  <si>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</si>
  <si>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</si>
  <si>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</si>
  <si>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</si>
  <si>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</si>
  <si>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</si>
  <si>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</si>
  <si>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</si>
  <si>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</si>
  <si>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</si>
  <si>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</si>
  <si>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</si>
  <si>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</si>
  <si>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</si>
  <si>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</si>
  <si>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</si>
  <si>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</si>
  <si>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</si>
  <si>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</si>
  <si>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</si>
  <si>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</si>
  <si>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</si>
  <si>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</si>
  <si>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</si>
  <si>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</si>
  <si>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</si>
  <si>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</si>
  <si>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</si>
  <si>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</si>
  <si>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</si>
  <si>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</si>
  <si>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</si>
  <si>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</si>
  <si>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</si>
  <si>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</si>
  <si>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</si>
  <si>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</si>
  <si>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</si>
  <si>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</si>
  <si>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</si>
  <si>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</si>
  <si>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</si>
  <si>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</si>
  <si>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</si>
  <si>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</si>
  <si>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</si>
  <si>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</si>
  <si>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</si>
  <si>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</si>
  <si>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</si>
  <si>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</si>
  <si>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</si>
  <si>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</si>
  <si>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</si>
  <si>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</si>
  <si>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</si>
  <si>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</si>
  <si>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</si>
  <si>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</si>
  <si>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</si>
  <si>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</si>
  <si>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</si>
  <si>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</si>
  <si>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</si>
  <si>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</si>
  <si>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</si>
  <si>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</si>
  <si>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</si>
  <si>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</si>
  <si>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</si>
  <si>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</si>
  <si>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</si>
  <si>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</si>
  <si>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</si>
  <si>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</si>
  <si>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</si>
  <si>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</si>
  <si>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</si>
  <si>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</si>
  <si>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</si>
  <si>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</si>
  <si>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</si>
  <si>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</si>
  <si>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</si>
  <si>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</si>
  <si>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</si>
  <si>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</si>
  <si>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</si>
  <si>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</si>
  <si>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</si>
  <si>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</si>
  <si>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</si>
  <si>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</si>
  <si>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</si>
  <si>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</si>
  <si>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</si>
  <si>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</si>
  <si>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</si>
  <si>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</si>
  <si>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</si>
  <si>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</si>
  <si>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</si>
  <si>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</si>
  <si>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</si>
  <si>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</si>
  <si>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</si>
  <si>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</si>
  <si>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</si>
  <si>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</si>
  <si>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</si>
  <si>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</si>
  <si>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</si>
  <si>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</si>
  <si>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</si>
  <si>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</si>
  <si>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</si>
  <si>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</si>
  <si>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</si>
  <si>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</si>
  <si>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</si>
  <si>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</si>
  <si>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</si>
  <si>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</si>
  <si>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</si>
  <si>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</si>
  <si>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</si>
  <si>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</si>
  <si>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</si>
  <si>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</si>
  <si>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</si>
  <si>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</si>
  <si>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</si>
  <si>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</si>
  <si>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</si>
  <si>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</si>
  <si>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</si>
  <si>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</si>
  <si>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</si>
  <si>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</si>
  <si>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</si>
  <si>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</si>
  <si>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</si>
  <si>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</si>
  <si>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</si>
  <si>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</si>
  <si>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</si>
  <si>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</si>
  <si>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</si>
  <si>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</si>
  <si>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</si>
  <si>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</si>
  <si>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</si>
  <si>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</si>
  <si>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</si>
  <si>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</si>
  <si>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</si>
  <si>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</si>
  <si>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</si>
  <si>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</si>
  <si>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</si>
  <si>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</si>
  <si>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</si>
  <si>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</si>
  <si>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</si>
  <si>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</si>
  <si>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</si>
  <si>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</si>
  <si>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</si>
  <si>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</si>
  <si>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</si>
  <si>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</si>
  <si>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</si>
  <si>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</si>
  <si>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</si>
  <si>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</si>
  <si>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</si>
  <si>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</si>
  <si>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</si>
  <si>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</si>
  <si>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</si>
  <si>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</si>
  <si>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</si>
  <si>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</si>
  <si>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</si>
  <si>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</si>
  <si>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</si>
  <si>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</si>
  <si>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</si>
  <si>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</si>
  <si>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</si>
  <si>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</si>
  <si>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</si>
  <si>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</si>
  <si>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</si>
  <si>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</si>
  <si>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</si>
  <si>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</si>
  <si>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</si>
  <si>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</si>
  <si>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</si>
  <si>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</si>
  <si>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</si>
  <si>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</si>
  <si>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</si>
  <si>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</si>
  <si>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</si>
  <si>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</si>
  <si>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</si>
  <si>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</si>
  <si>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</si>
  <si>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</si>
  <si>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</si>
  <si>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</si>
  <si>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</si>
  <si>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</si>
  <si>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</si>
  <si>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</si>
  <si>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</si>
  <si>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</si>
  <si>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</si>
  <si>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</si>
  <si>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</si>
  <si>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</si>
  <si>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</si>
  <si>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</si>
  <si>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</si>
  <si>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</si>
  <si>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</si>
  <si>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</si>
  <si>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</si>
  <si>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</si>
  <si>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</si>
  <si>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</si>
  <si>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</si>
  <si>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</si>
  <si>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</si>
  <si>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</si>
  <si>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</si>
  <si>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</si>
  <si>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</si>
  <si>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</si>
  <si>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</si>
  <si>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</si>
  <si>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</si>
  <si>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</si>
  <si>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</si>
  <si>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</si>
  <si>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</si>
  <si>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</si>
  <si>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</si>
  <si>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</si>
  <si>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</si>
  <si>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</si>
  <si>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</si>
  <si>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</si>
  <si>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</si>
  <si>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</si>
  <si>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</si>
  <si>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</si>
  <si>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</si>
  <si>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</si>
  <si>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</si>
  <si>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</si>
  <si>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</si>
  <si>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</si>
  <si>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</si>
  <si>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</si>
  <si>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</si>
  <si>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</si>
  <si>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</si>
  <si>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</si>
  <si>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</si>
  <si>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</si>
  <si>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</si>
  <si>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</si>
  <si>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</si>
  <si>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</si>
  <si>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</si>
  <si>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</si>
  <si>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</si>
  <si>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</si>
  <si>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</si>
  <si>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</si>
  <si>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</si>
  <si>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</si>
  <si>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</si>
  <si>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</si>
  <si>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</si>
  <si>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</si>
  <si>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</si>
  <si>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</si>
  <si>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</si>
  <si>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</si>
  <si>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</si>
  <si>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</si>
  <si>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</si>
  <si>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</si>
  <si>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</si>
  <si>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</si>
  <si>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</si>
  <si>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</si>
  <si>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</si>
  <si>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</si>
  <si>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</si>
  <si>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</si>
  <si>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</si>
  <si>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</si>
  <si>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</si>
  <si>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</si>
  <si>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</si>
  <si>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</si>
  <si>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</si>
  <si>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</si>
  <si>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</si>
  <si>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</si>
  <si>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</si>
  <si>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</si>
  <si>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</si>
  <si>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</si>
  <si>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</si>
  <si>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</si>
  <si>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</si>
  <si>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</si>
  <si>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</si>
  <si>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</si>
  <si>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</si>
  <si>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</si>
  <si>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</si>
  <si>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</si>
  <si>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</si>
  <si>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</si>
  <si>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</si>
  <si>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</si>
  <si>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</si>
  <si>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</si>
  <si>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</si>
  <si>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</si>
  <si>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</si>
  <si>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</si>
  <si>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</si>
  <si>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</si>
  <si>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</si>
  <si>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</si>
  <si>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</si>
  <si>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</si>
  <si>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</si>
  <si>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</si>
  <si>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</si>
  <si>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</si>
  <si>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</si>
  <si>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</si>
  <si>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</si>
  <si>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</si>
  <si>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</si>
  <si>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</si>
  <si>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</si>
  <si>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</si>
  <si>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</si>
  <si>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</si>
  <si>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</si>
  <si>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</si>
  <si>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</si>
  <si>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</si>
  <si>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</si>
  <si>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</si>
  <si>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</si>
  <si>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</si>
  <si>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</si>
  <si>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</si>
  <si>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</si>
  <si>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</si>
  <si>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</si>
  <si>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</si>
  <si>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</si>
  <si>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</si>
  <si>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</si>
  <si>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</si>
  <si>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</si>
  <si>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</si>
  <si>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</si>
  <si>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</si>
  <si>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</si>
  <si>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</si>
  <si>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</si>
  <si>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</si>
  <si>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</si>
  <si>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</si>
  <si>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</si>
  <si>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</si>
  <si>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</si>
  <si>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</si>
  <si>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</si>
  <si>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</si>
  <si>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</si>
  <si>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</si>
  <si>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</si>
  <si>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</si>
  <si>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</si>
  <si>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</si>
  <si>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</si>
  <si>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</si>
  <si>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</si>
  <si>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</si>
  <si>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</si>
  <si>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</si>
  <si>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</si>
  <si>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</si>
  <si>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</si>
  <si>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</si>
  <si>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</si>
  <si>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</si>
  <si>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</si>
  <si>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</si>
  <si>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</si>
  <si>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</si>
  <si>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</si>
  <si>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</si>
  <si>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</si>
  <si>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</si>
  <si>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</si>
  <si>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</si>
  <si>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</si>
  <si>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</si>
  <si>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</si>
  <si>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</si>
  <si>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</si>
  <si>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</si>
  <si>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</si>
  <si>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</si>
  <si>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</si>
  <si>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</si>
  <si>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</si>
  <si>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</si>
  <si>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</si>
  <si>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</si>
  <si>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</si>
  <si>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</si>
  <si>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</si>
  <si>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</si>
  <si>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</si>
  <si>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</si>
  <si>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</si>
  <si>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</si>
  <si>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</si>
  <si>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</si>
  <si>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</si>
  <si>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</si>
  <si>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</si>
  <si>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</si>
  <si>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</si>
  <si>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</si>
  <si>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</si>
  <si>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</si>
  <si>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</si>
  <si>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</si>
  <si>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</si>
  <si>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</si>
  <si>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</si>
  <si>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</si>
  <si>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</si>
  <si>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</si>
  <si>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</si>
  <si>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</si>
  <si>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</si>
  <si>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</si>
  <si>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</si>
  <si>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</si>
  <si>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</si>
  <si>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</si>
  <si>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</si>
  <si>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</si>
  <si>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</si>
  <si>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</si>
  <si>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</si>
  <si>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</si>
  <si>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</si>
  <si>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</si>
  <si>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</si>
  <si>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</si>
  <si>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</si>
  <si>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</si>
  <si>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</si>
  <si>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</si>
  <si>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</si>
  <si>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</si>
  <si>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</si>
  <si>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</si>
  <si>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</si>
  <si>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</si>
  <si>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</si>
  <si>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</si>
  <si>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</si>
  <si>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</si>
  <si>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</si>
  <si>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</si>
  <si>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</si>
  <si>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</si>
  <si>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</si>
  <si>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</si>
  <si>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</si>
  <si>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</si>
  <si>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</si>
  <si>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</si>
  <si>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</si>
  <si>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</si>
  <si>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</si>
  <si>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</si>
  <si>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</si>
  <si>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</si>
  <si>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</si>
  <si>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</si>
  <si>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</si>
  <si>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</si>
  <si>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</si>
  <si>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</si>
  <si>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</si>
  <si>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</si>
  <si>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</si>
  <si>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</si>
  <si>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</si>
  <si>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</si>
  <si>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</si>
  <si>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</si>
  <si>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</si>
  <si>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</si>
  <si>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</si>
  <si>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</si>
  <si>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</si>
  <si>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</si>
  <si>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</si>
  <si>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</si>
  <si>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</si>
  <si>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</si>
  <si>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</si>
  <si>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</si>
  <si>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</si>
  <si>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</si>
  <si>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</si>
  <si>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</si>
  <si>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</si>
  <si>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</si>
  <si>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</si>
  <si>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</si>
  <si>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</si>
  <si>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</si>
  <si>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</si>
  <si>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</si>
  <si>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</si>
  <si>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</si>
  <si>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</si>
  <si>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</si>
  <si>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</si>
  <si>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</si>
  <si>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</si>
  <si>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</si>
  <si>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</si>
  <si>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</si>
  <si>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</si>
  <si>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</si>
  <si>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</si>
  <si>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</si>
  <si>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</si>
  <si>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</si>
  <si>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</si>
  <si>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</si>
  <si>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</si>
  <si>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</si>
  <si>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</si>
  <si>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</si>
  <si>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</si>
  <si>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</si>
  <si>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</si>
  <si>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</si>
  <si>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</si>
  <si>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</si>
  <si>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</si>
  <si>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</si>
  <si>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</si>
  <si>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</si>
  <si>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</si>
  <si>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</si>
  <si>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</si>
  <si>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</si>
  <si>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</si>
  <si>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</si>
  <si>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</si>
  <si>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</si>
  <si>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</si>
  <si>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</si>
  <si>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</si>
  <si>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</si>
  <si>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</si>
  <si>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</si>
  <si>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</si>
  <si>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</si>
  <si>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</si>
  <si>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</si>
  <si>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</si>
  <si>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</si>
  <si>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</si>
  <si>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</si>
  <si>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</si>
  <si>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</si>
  <si>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</si>
  <si>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</si>
  <si>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</si>
  <si>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</si>
  <si>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</si>
  <si>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</si>
  <si>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</si>
  <si>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</si>
  <si>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</si>
  <si>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</si>
  <si>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</si>
  <si>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</si>
  <si>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</si>
  <si>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</si>
  <si>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</si>
  <si>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</si>
  <si>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</si>
  <si>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</si>
  <si>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</si>
  <si>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</si>
  <si>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</si>
  <si>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</si>
  <si>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</si>
  <si>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</si>
  <si>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</si>
  <si>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</si>
  <si>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</si>
  <si>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</si>
  <si>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</si>
  <si>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</si>
  <si>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</si>
  <si>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</si>
  <si>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</si>
  <si>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</si>
  <si>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</si>
  <si>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</si>
  <si>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</si>
  <si>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</si>
  <si>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</si>
  <si>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</si>
  <si>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</si>
  <si>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</si>
  <si>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</si>
  <si>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</si>
  <si>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</si>
  <si>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</si>
  <si>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</si>
  <si>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</si>
  <si>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</si>
  <si>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</si>
  <si>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</si>
  <si>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</si>
  <si>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</si>
  <si>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</si>
  <si>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</si>
  <si>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</si>
  <si>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</si>
  <si>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</si>
  <si>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</si>
  <si>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</si>
  <si>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</si>
  <si>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</si>
  <si>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</si>
  <si>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</si>
  <si>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</si>
  <si>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</si>
  <si>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</si>
  <si>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</si>
  <si>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</si>
  <si>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</si>
  <si>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</si>
  <si>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</si>
  <si>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</si>
  <si>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</si>
  <si>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</si>
  <si>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</si>
  <si>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</si>
  <si>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</si>
  <si>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</si>
  <si>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</si>
  <si>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</si>
  <si>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</si>
  <si>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</si>
  <si>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</si>
  <si>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</si>
  <si>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</si>
  <si>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</si>
  <si>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</si>
  <si>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</si>
  <si>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</si>
  <si>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</si>
  <si>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</si>
  <si>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</si>
  <si>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</si>
  <si>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</si>
  <si>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</si>
  <si>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</si>
  <si>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</si>
  <si>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</si>
  <si>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</si>
  <si>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</si>
  <si>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</si>
  <si>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</si>
  <si>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</si>
  <si>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</si>
  <si>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</si>
  <si>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</si>
  <si>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</si>
  <si>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</si>
  <si>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</si>
  <si>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</si>
  <si>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</si>
  <si>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</si>
  <si>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</si>
  <si>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</si>
  <si>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</si>
  <si>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</si>
  <si>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</si>
  <si>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</si>
  <si>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</si>
  <si>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</si>
  <si>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</si>
  <si>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</si>
  <si>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</si>
  <si>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</si>
  <si>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</si>
  <si>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</si>
  <si>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</si>
  <si>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</si>
  <si>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</si>
  <si>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</si>
  <si>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</si>
  <si>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</si>
  <si>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</si>
  <si>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</si>
  <si>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</si>
  <si>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</si>
  <si>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</si>
  <si>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</si>
  <si>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</si>
  <si>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</si>
  <si>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</si>
  <si>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</si>
  <si>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</si>
  <si>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</si>
  <si>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</si>
  <si>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</si>
  <si>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</si>
  <si>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</si>
  <si>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</si>
  <si>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</si>
  <si>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</si>
  <si>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</si>
  <si>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</si>
  <si>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</si>
  <si>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</si>
  <si>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</si>
  <si>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</si>
  <si>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</si>
  <si>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</si>
  <si>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</si>
  <si>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</si>
  <si>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</si>
  <si>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</si>
  <si>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</si>
  <si>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</si>
  <si>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</si>
  <si>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</si>
  <si>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</si>
  <si>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</si>
  <si>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</si>
  <si>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</si>
  <si>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</si>
  <si>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</si>
  <si>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</si>
  <si>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</si>
  <si>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</si>
  <si>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</si>
  <si>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</si>
  <si>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</si>
  <si>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</si>
  <si>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</si>
  <si>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</si>
  <si>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</si>
  <si>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</si>
  <si>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</si>
  <si>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</si>
  <si>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</si>
  <si>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</si>
  <si>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</si>
  <si>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</si>
  <si>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</si>
  <si>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</si>
  <si>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</si>
  <si>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</si>
  <si>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</si>
  <si>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</si>
  <si>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</si>
  <si>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</si>
  <si>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</si>
  <si>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</si>
  <si>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</si>
  <si>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</si>
  <si>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</si>
  <si>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</si>
  <si>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</si>
  <si>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</si>
  <si>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</si>
  <si>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</si>
  <si>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</si>
  <si>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</si>
  <si>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</si>
  <si>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</si>
  <si>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</si>
  <si>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</si>
  <si>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</si>
  <si>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</si>
  <si>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</si>
  <si>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</si>
  <si>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</si>
  <si>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</si>
  <si>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</si>
  <si>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</si>
  <si>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</si>
  <si>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</si>
  <si>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</si>
  <si>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</si>
  <si>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</si>
  <si>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</si>
  <si>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</si>
  <si>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</si>
  <si>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</si>
  <si>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</si>
  <si>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</si>
  <si>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</si>
  <si>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</si>
  <si>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</si>
  <si>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</si>
  <si>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</si>
  <si>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</si>
  <si>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</si>
  <si>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</si>
  <si>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</si>
  <si>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</si>
  <si>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</si>
  <si>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</si>
  <si>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</si>
  <si>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</si>
  <si>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</si>
  <si>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</si>
  <si>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</si>
  <si>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</si>
  <si>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</si>
  <si>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</si>
  <si>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</si>
  <si>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</si>
  <si>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</si>
  <si>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</si>
  <si>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</si>
  <si>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</si>
  <si>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</si>
  <si>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</si>
  <si>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</si>
  <si>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</si>
  <si>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</si>
  <si>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</si>
  <si>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</si>
  <si>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</si>
  <si>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</si>
  <si>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</si>
  <si>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</si>
  <si>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</si>
  <si>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</si>
  <si>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</si>
  <si>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</si>
  <si>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</si>
  <si>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</si>
  <si>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</si>
  <si>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</si>
  <si>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</si>
  <si>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</si>
  <si>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</si>
  <si>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</si>
  <si>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</si>
  <si>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</si>
  <si>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</si>
  <si>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</si>
  <si>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</si>
  <si>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</si>
  <si>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</si>
  <si>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</si>
  <si>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</si>
  <si>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</si>
  <si>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</si>
  <si>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</si>
  <si>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</si>
  <si>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</si>
  <si>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</si>
  <si>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</si>
  <si>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</si>
  <si>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</si>
  <si>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</si>
  <si>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</si>
  <si>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</si>
  <si>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</si>
  <si>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</si>
  <si>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</si>
  <si>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</si>
  <si>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</si>
  <si>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</si>
  <si>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</si>
  <si>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</si>
  <si>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</si>
  <si>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</si>
  <si>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</si>
  <si>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</si>
  <si>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</si>
  <si>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</si>
  <si>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</si>
  <si>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</si>
  <si>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</si>
  <si>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</si>
  <si>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</si>
  <si>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</si>
  <si>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</si>
  <si>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</si>
  <si>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</si>
  <si>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</si>
  <si>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</si>
  <si>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</si>
  <si>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</si>
  <si>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</si>
  <si>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</si>
  <si>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</si>
  <si>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</si>
  <si>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</si>
  <si>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</si>
  <si>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</si>
  <si>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</si>
  <si>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</si>
  <si>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</si>
  <si>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</si>
  <si>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</si>
  <si>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</si>
  <si>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</si>
  <si>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</si>
  <si>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</si>
  <si>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</si>
  <si>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</si>
  <si>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</si>
  <si>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</si>
  <si>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</si>
  <si>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</si>
  <si>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</si>
  <si>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</si>
  <si>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</si>
  <si>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</si>
  <si>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</si>
  <si>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</si>
  <si>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</si>
  <si>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</si>
  <si>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</si>
  <si>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</si>
  <si>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</si>
  <si>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</si>
  <si>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</si>
  <si>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</si>
  <si>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</si>
  <si>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</si>
  <si>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</si>
  <si>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</si>
  <si>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</si>
  <si>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</si>
  <si>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</si>
  <si>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</si>
  <si>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</si>
  <si>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</si>
  <si>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</si>
  <si>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</si>
  <si>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</si>
  <si>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</si>
  <si>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</si>
  <si>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</si>
  <si>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</si>
  <si>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</si>
  <si>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</si>
  <si>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</si>
  <si>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</si>
  <si>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</si>
  <si>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</si>
  <si>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</si>
  <si>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</si>
  <si>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</si>
  <si>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</si>
  <si>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</si>
  <si>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</si>
  <si>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</si>
  <si>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</si>
  <si>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</si>
  <si>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</si>
  <si>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</si>
  <si>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</si>
  <si>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</si>
  <si>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</si>
  <si>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</si>
  <si>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</si>
  <si>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</si>
  <si>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</si>
  <si>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</si>
  <si>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</si>
  <si>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</si>
  <si>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</si>
  <si>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</si>
  <si>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</si>
  <si>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</si>
  <si>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</si>
  <si>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</si>
  <si>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</si>
  <si>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</si>
  <si>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</si>
  <si>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</si>
  <si>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</si>
  <si>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</si>
  <si>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</si>
  <si>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</si>
  <si>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</si>
  <si>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</si>
  <si>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</si>
  <si>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</si>
  <si>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</si>
  <si>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</si>
  <si>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</si>
  <si>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</si>
  <si>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</si>
  <si>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</si>
  <si>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</si>
  <si>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</si>
  <si>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</si>
  <si>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</si>
  <si>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</si>
  <si>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</si>
  <si>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</si>
  <si>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</si>
  <si>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</si>
  <si>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</si>
  <si>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</si>
  <si>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</si>
  <si>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</si>
  <si>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</si>
  <si>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</si>
  <si>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</si>
  <si>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</si>
  <si>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</si>
  <si>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</si>
  <si>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</si>
  <si>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</si>
  <si>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</si>
  <si>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</si>
  <si>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</si>
  <si>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</si>
  <si>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</si>
  <si>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</si>
  <si>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</si>
  <si>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</si>
  <si>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</si>
  <si>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</si>
  <si>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</si>
  <si>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</si>
  <si>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</si>
  <si>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</si>
  <si>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</si>
  <si>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</si>
  <si>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</si>
  <si>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</si>
  <si>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</si>
  <si>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</si>
  <si>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</si>
  <si>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</si>
  <si>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</si>
  <si>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</si>
  <si>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</si>
  <si>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</si>
  <si>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</si>
  <si>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</si>
  <si>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</si>
  <si>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</si>
  <si>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</si>
  <si>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</si>
  <si>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</si>
  <si>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</si>
  <si>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</si>
  <si>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</si>
  <si>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</si>
  <si>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</si>
  <si>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</si>
  <si>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</si>
  <si>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</si>
  <si>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</si>
  <si>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</si>
  <si>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</si>
  <si>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</si>
  <si>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</si>
  <si>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</si>
  <si>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</si>
  <si>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</si>
  <si>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</si>
  <si>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</si>
  <si>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</si>
  <si>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</si>
  <si>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</si>
  <si>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</si>
  <si>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</si>
  <si>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</si>
  <si>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</si>
  <si>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</si>
  <si>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</si>
  <si>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</si>
  <si>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</si>
  <si>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</si>
  <si>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</si>
  <si>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</si>
  <si>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</si>
  <si>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</si>
  <si>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</si>
  <si>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</si>
  <si>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</si>
  <si>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</si>
  <si>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</si>
  <si>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</si>
  <si>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</si>
  <si>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</si>
  <si>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</si>
  <si>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</si>
  <si>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</si>
  <si>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</si>
  <si>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</si>
  <si>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</si>
  <si>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</si>
  <si>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</si>
  <si>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</si>
  <si>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</si>
  <si>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</si>
  <si>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</si>
  <si>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</si>
  <si>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</si>
  <si>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</si>
  <si>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</si>
  <si>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</si>
  <si>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</si>
  <si>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</si>
  <si>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</si>
  <si>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</si>
  <si>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</si>
  <si>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</si>
  <si>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</si>
  <si>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</si>
  <si>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</si>
  <si>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</si>
  <si>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</si>
  <si>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</si>
  <si>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</si>
  <si>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</si>
  <si>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</si>
  <si>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</si>
  <si>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</si>
  <si>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</si>
  <si>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</si>
  <si>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</si>
  <si>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</si>
  <si>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</si>
  <si>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</si>
  <si>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</si>
  <si>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</si>
  <si>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</si>
  <si>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</si>
  <si>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</si>
  <si>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</si>
  <si>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</si>
  <si>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</si>
  <si>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</si>
  <si>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</si>
  <si>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</si>
  <si>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</si>
  <si>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</si>
  <si>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</si>
  <si>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</si>
  <si>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</si>
  <si>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</si>
  <si>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</si>
  <si>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</si>
  <si>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</si>
  <si>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</si>
  <si>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</si>
  <si>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</si>
  <si>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</si>
  <si>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</si>
  <si>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</si>
  <si>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</si>
  <si>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</si>
  <si>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</si>
  <si>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</si>
  <si>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</si>
  <si>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</si>
  <si>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</si>
  <si>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</si>
  <si>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</si>
  <si>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</si>
  <si>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</si>
  <si>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</si>
  <si>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</si>
  <si>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</si>
  <si>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</si>
  <si>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</si>
  <si>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</si>
  <si>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</si>
  <si>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</si>
  <si>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</si>
  <si>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</si>
  <si>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</si>
  <si>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</si>
  <si>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</si>
  <si>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</si>
  <si>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</si>
  <si>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</si>
  <si>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</si>
  <si>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</si>
  <si>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</si>
  <si>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</si>
  <si>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</si>
  <si>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</si>
  <si>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</si>
  <si>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</si>
  <si>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</si>
  <si>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</si>
  <si>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</si>
  <si>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</si>
  <si>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</si>
  <si>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</si>
  <si>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</si>
  <si>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</si>
  <si>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</si>
  <si>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</si>
  <si>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</si>
  <si>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</si>
  <si>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</si>
  <si>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</si>
  <si>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</si>
  <si>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</si>
  <si>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</si>
  <si>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</si>
  <si>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</si>
  <si>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</si>
  <si>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</si>
  <si>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</si>
  <si>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</si>
  <si>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</si>
  <si>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</si>
  <si>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</si>
  <si>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</si>
  <si>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</si>
  <si>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</si>
  <si>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</si>
  <si>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</si>
  <si>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</si>
  <si>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</si>
  <si>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</si>
  <si>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</si>
  <si>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</si>
  <si>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</si>
  <si>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</si>
  <si>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</si>
  <si>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</si>
  <si>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</si>
  <si>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</si>
  <si>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</si>
  <si>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</si>
  <si>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</si>
  <si>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</si>
  <si>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</si>
  <si>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</si>
  <si>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</si>
  <si>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</si>
  <si>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</si>
  <si>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</si>
  <si>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</si>
  <si>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</si>
  <si>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</si>
  <si>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</si>
  <si>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</si>
  <si>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</si>
  <si>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</si>
  <si>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</si>
  <si>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</si>
  <si>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</si>
  <si>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</si>
  <si>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</si>
  <si>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</si>
  <si>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</si>
  <si>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</si>
  <si>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</si>
  <si>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</si>
  <si>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</si>
  <si>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</si>
  <si>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</si>
  <si>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</si>
  <si>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</si>
  <si>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</si>
  <si>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</si>
  <si>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</si>
  <si>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</si>
  <si>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</si>
  <si>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</si>
  <si>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</si>
  <si>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</si>
  <si>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</si>
  <si>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</si>
  <si>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</si>
  <si>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</si>
  <si>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</si>
  <si>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</si>
  <si>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</si>
  <si>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</si>
  <si>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</si>
  <si>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</si>
  <si>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</si>
  <si>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</si>
  <si>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</si>
  <si>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</si>
  <si>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</si>
  <si>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</si>
  <si>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</si>
  <si>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</si>
  <si>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</si>
  <si>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</si>
  <si>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</si>
  <si>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</si>
  <si>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</si>
  <si>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</si>
  <si>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</si>
  <si>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</si>
  <si>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</si>
  <si>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</si>
  <si>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</si>
  <si>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</si>
  <si>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</si>
  <si>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</si>
  <si>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</si>
  <si>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</si>
  <si>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</si>
  <si>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</si>
  <si>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</si>
  <si>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</si>
  <si>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</si>
  <si>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</si>
  <si>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</si>
  <si>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</si>
  <si>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</si>
  <si>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</si>
  <si>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</si>
  <si>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</si>
  <si>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</si>
  <si>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</si>
  <si>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</si>
  <si>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</si>
  <si>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</si>
  <si>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</si>
  <si>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</si>
  <si>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</si>
  <si>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</si>
  <si>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</si>
  <si>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</si>
  <si>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</si>
  <si>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</si>
  <si>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</si>
  <si>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</si>
  <si>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</si>
  <si>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</si>
  <si>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</si>
  <si>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</si>
  <si>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</si>
  <si>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</si>
  <si>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</si>
  <si>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</si>
  <si>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</si>
  <si>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</si>
  <si>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</si>
  <si>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</si>
  <si>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</si>
  <si>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</si>
  <si>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</si>
  <si>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</si>
  <si>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</si>
  <si>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</si>
  <si>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</si>
  <si>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</si>
  <si>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</si>
  <si>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</si>
  <si>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</si>
  <si>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</si>
  <si>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</si>
  <si>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</si>
  <si>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</si>
  <si>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</si>
  <si>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</si>
  <si>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</si>
  <si>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</si>
  <si>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</si>
  <si>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</si>
  <si>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</si>
  <si>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</si>
  <si>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</si>
  <si>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</si>
  <si>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</si>
  <si>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</si>
  <si>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</si>
  <si>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</si>
  <si>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</si>
  <si>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</si>
  <si>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</si>
  <si>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</si>
  <si>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</si>
  <si>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</si>
  <si>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</si>
  <si>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</si>
  <si>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</si>
  <si>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</si>
  <si>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</si>
  <si>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</si>
  <si>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</si>
  <si>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</si>
  <si>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</si>
  <si>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</si>
  <si>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</si>
  <si>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</si>
  <si>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</si>
  <si>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</si>
  <si>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</si>
  <si>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</si>
  <si>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</si>
  <si>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</si>
  <si>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</si>
  <si>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</si>
  <si>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</si>
  <si>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</si>
  <si>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</si>
  <si>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</si>
  <si>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</si>
  <si>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</si>
  <si>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</si>
  <si>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</si>
  <si>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</si>
  <si>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</si>
  <si>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</si>
  <si>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</si>
  <si>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</si>
  <si>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</si>
  <si>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</si>
  <si>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</si>
  <si>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</si>
  <si>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</si>
  <si>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</si>
  <si>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</si>
  <si>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</si>
  <si>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</si>
  <si>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</si>
  <si>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</si>
  <si>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</si>
  <si>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</si>
  <si>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</si>
  <si>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</si>
  <si>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</si>
  <si>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</si>
  <si>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</si>
  <si>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</si>
  <si>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</si>
  <si>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</si>
  <si>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</si>
  <si>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</si>
  <si>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</si>
  <si>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</si>
  <si>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</si>
  <si>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</si>
  <si>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</si>
  <si>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</si>
  <si>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</si>
  <si>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</si>
  <si>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</si>
  <si>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</si>
  <si>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</si>
  <si>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</si>
  <si>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</si>
  <si>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</si>
  <si>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</si>
  <si>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</si>
  <si>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</si>
  <si>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</si>
  <si>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</si>
  <si>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</si>
  <si>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</si>
  <si>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</si>
  <si>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</si>
  <si>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</si>
  <si>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</si>
  <si>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</si>
  <si>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</si>
  <si>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</si>
  <si>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</si>
  <si>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</si>
  <si>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</si>
  <si>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</si>
  <si>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</si>
  <si>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</si>
  <si>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</si>
  <si>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</si>
  <si>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</si>
  <si>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</si>
  <si>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</si>
  <si>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</si>
  <si>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</si>
  <si>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</si>
  <si>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</si>
  <si>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</si>
  <si>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</si>
  <si>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</si>
  <si>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</si>
  <si>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</si>
  <si>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</si>
  <si>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</si>
  <si>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</si>
  <si>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</si>
  <si>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</si>
  <si>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</si>
  <si>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</si>
  <si>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</si>
  <si>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</si>
  <si>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</si>
  <si>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</si>
  <si>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</si>
  <si>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</si>
  <si>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</si>
  <si>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</si>
  <si>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</si>
  <si>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</si>
  <si>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</si>
  <si>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</si>
  <si>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</si>
  <si>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</si>
  <si>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</si>
  <si>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</si>
  <si>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</si>
  <si>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</si>
  <si>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</si>
  <si>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</si>
  <si>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</si>
  <si>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</si>
  <si>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</si>
  <si>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</si>
  <si>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</si>
  <si>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</si>
  <si>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</si>
  <si>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</si>
  <si>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</si>
  <si>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</si>
  <si>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</si>
  <si>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</si>
  <si>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</si>
  <si>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</si>
  <si>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</si>
  <si>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</si>
  <si>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</si>
  <si>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</si>
  <si>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</si>
  <si>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</si>
  <si>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</si>
  <si>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</si>
  <si>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</si>
  <si>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</si>
  <si>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</si>
  <si>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</si>
  <si>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</si>
  <si>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</si>
  <si>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</si>
  <si>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</si>
  <si>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</si>
  <si>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</si>
  <si>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</si>
  <si>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</si>
  <si>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</si>
  <si>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</si>
  <si>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</si>
  <si>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</si>
  <si>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</si>
  <si>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</si>
  <si>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</si>
  <si>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</si>
  <si>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</si>
  <si>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</si>
  <si>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</si>
  <si>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</si>
  <si>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</si>
  <si>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</si>
  <si>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</si>
  <si>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</si>
  <si>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</si>
  <si>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</si>
  <si>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</si>
  <si>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</si>
  <si>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</si>
  <si>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</si>
  <si>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</si>
  <si>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</si>
  <si>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</si>
  <si>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</si>
  <si>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</si>
  <si>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</si>
  <si>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</si>
  <si>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</si>
  <si>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</si>
  <si>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</si>
  <si>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</si>
  <si>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</si>
  <si>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</si>
  <si>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</si>
  <si>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</si>
  <si>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</si>
  <si>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</si>
  <si>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</si>
  <si>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</si>
  <si>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</si>
  <si>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</si>
  <si>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</si>
  <si>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</si>
  <si>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</si>
  <si>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</si>
  <si>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</si>
  <si>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</si>
  <si>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</si>
  <si>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</si>
  <si>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</si>
  <si>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</si>
  <si>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</si>
  <si>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</si>
  <si>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</si>
  <si>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</si>
  <si>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</si>
  <si>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</si>
  <si>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</si>
  <si>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</si>
  <si>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</si>
  <si>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</si>
  <si>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</si>
  <si>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</si>
  <si>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</si>
  <si>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</si>
  <si>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</si>
  <si>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</si>
  <si>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</si>
  <si>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</si>
  <si>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</si>
  <si>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</si>
  <si>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</si>
  <si>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</si>
  <si>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</si>
  <si>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</si>
  <si>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</si>
  <si>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</si>
  <si>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</si>
  <si>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</si>
  <si>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</si>
  <si>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</si>
  <si>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</si>
  <si>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</si>
  <si>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</si>
  <si>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</si>
  <si>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</si>
  <si>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</si>
  <si>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</si>
  <si>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</si>
  <si>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</si>
  <si>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</si>
  <si>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</si>
  <si>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</si>
  <si>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</si>
  <si>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</si>
  <si>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</si>
  <si>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</si>
  <si>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</si>
  <si>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</si>
  <si>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</si>
  <si>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</si>
  <si>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</si>
  <si>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</si>
  <si>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</si>
  <si>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</si>
  <si>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</si>
  <si>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</si>
  <si>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</si>
  <si>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</si>
  <si>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</si>
  <si>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</si>
  <si>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</si>
  <si>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</si>
  <si>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</si>
  <si>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</si>
  <si>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</si>
  <si>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</si>
  <si>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</si>
  <si>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</si>
  <si>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</si>
  <si>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</si>
  <si>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</si>
  <si>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</si>
  <si>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</si>
  <si>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</si>
  <si>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</si>
  <si>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</si>
  <si>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</si>
  <si>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</si>
  <si>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</si>
  <si>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</si>
  <si>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</si>
  <si>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</si>
  <si>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</si>
  <si>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</si>
  <si>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</si>
  <si>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</si>
  <si>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</si>
  <si>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</si>
  <si>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</si>
  <si>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</si>
  <si>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</si>
  <si>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</si>
  <si>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</si>
  <si>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</si>
  <si>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</si>
  <si>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</si>
  <si>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</si>
  <si>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</si>
  <si>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</si>
  <si>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</si>
  <si>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</si>
  <si>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</si>
  <si>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</si>
  <si>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</si>
  <si>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</si>
  <si>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</si>
  <si>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</si>
  <si>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</si>
  <si>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</si>
  <si>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</si>
  <si>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</si>
  <si>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</si>
  <si>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</si>
  <si>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</si>
  <si>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</si>
  <si>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</si>
  <si>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</si>
  <si>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</si>
  <si>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</si>
  <si>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</si>
  <si>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</si>
  <si>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</si>
  <si>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</si>
  <si>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</si>
  <si>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</si>
  <si>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</si>
  <si>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</si>
  <si>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</si>
  <si>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</si>
  <si>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</si>
  <si>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</si>
  <si>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</si>
  <si>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</si>
  <si>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</si>
  <si>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</si>
  <si>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</si>
  <si>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</si>
  <si>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</si>
  <si>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</si>
  <si>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</si>
  <si>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</si>
  <si>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</si>
  <si>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</si>
  <si>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</si>
  <si>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</si>
  <si>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</si>
  <si>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</si>
  <si>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</si>
  <si>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</si>
  <si>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</si>
  <si>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</si>
  <si>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</si>
  <si>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</si>
  <si>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</si>
  <si>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</si>
  <si>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</si>
  <si>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</si>
  <si>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</si>
  <si>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</si>
  <si>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</si>
  <si>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</si>
  <si>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</si>
  <si>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</si>
  <si>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</si>
  <si>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</si>
  <si>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</si>
  <si>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</si>
  <si>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</si>
  <si>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</si>
  <si>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</si>
  <si>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</si>
  <si>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</si>
  <si>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</si>
  <si>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</si>
  <si>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</si>
  <si>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</si>
  <si>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</si>
  <si>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</si>
  <si>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</si>
  <si>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</si>
  <si>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</si>
  <si>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</si>
  <si>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</si>
  <si>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</si>
  <si>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</si>
  <si>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</si>
  <si>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</si>
  <si>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</si>
  <si>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</si>
  <si>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</si>
  <si>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</si>
  <si>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</si>
  <si>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</si>
  <si>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</si>
  <si>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</si>
  <si>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</si>
  <si>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</si>
  <si>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</si>
  <si>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</si>
  <si>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</si>
  <si>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</si>
  <si>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</si>
  <si>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</si>
  <si>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</si>
  <si>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</si>
  <si>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</si>
  <si>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</si>
  <si>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</si>
  <si>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</si>
  <si>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</si>
  <si>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</si>
  <si>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</si>
  <si>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</si>
  <si>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</si>
  <si>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</si>
  <si>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</si>
  <si>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</si>
  <si>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</si>
  <si>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</si>
  <si>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</si>
  <si>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</si>
  <si>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</si>
  <si>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</si>
  <si>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</si>
  <si>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</si>
  <si>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</si>
  <si>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</si>
  <si>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</si>
  <si>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</si>
  <si>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</si>
  <si>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</si>
  <si>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</si>
  <si>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</si>
  <si>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</si>
  <si>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</si>
  <si>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</si>
  <si>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</si>
  <si>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</si>
  <si>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</si>
  <si>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</si>
  <si>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</si>
  <si>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</si>
  <si>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</si>
  <si>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</si>
  <si>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</si>
  <si>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</si>
  <si>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</si>
  <si>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</si>
  <si>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</si>
  <si>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</si>
  <si>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</si>
  <si>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</si>
  <si>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</si>
  <si>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</si>
  <si>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</si>
  <si>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</si>
  <si>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</si>
  <si>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</si>
  <si>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</si>
  <si>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</si>
  <si>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</si>
  <si>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</si>
  <si>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</si>
  <si>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</si>
  <si>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</si>
  <si>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</si>
  <si>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</si>
  <si>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</si>
  <si>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</si>
  <si>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</si>
  <si>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</si>
  <si>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</si>
  <si>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</si>
  <si>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</si>
  <si>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</si>
  <si>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</si>
  <si>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</si>
  <si>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</si>
  <si>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</si>
  <si>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</si>
  <si>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</si>
  <si>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</si>
  <si>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</si>
  <si>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</si>
  <si>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</si>
  <si>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</si>
  <si>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</si>
  <si>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</si>
  <si>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</si>
  <si>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</si>
  <si>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</si>
  <si>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</si>
  <si>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</si>
  <si>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</si>
  <si>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</si>
  <si>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</si>
  <si>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</si>
  <si>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</si>
  <si>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</si>
  <si>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</si>
  <si>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</si>
  <si>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</si>
  <si>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</si>
  <si>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</si>
  <si>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</si>
  <si>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</si>
  <si>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</si>
  <si>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</si>
  <si>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</si>
  <si>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</si>
  <si>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</si>
  <si>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</si>
  <si>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</si>
  <si>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</si>
  <si>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</si>
  <si>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</si>
  <si>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</si>
  <si>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</si>
  <si>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</si>
  <si>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</si>
  <si>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</si>
  <si>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</si>
  <si>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</si>
  <si>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</si>
  <si>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</si>
  <si>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</si>
  <si>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</si>
  <si>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</si>
  <si>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</si>
  <si>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</si>
  <si>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</si>
  <si>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</si>
  <si>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</si>
  <si>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</si>
  <si>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</si>
  <si>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</si>
  <si>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</si>
  <si>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</si>
  <si>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</si>
  <si>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</si>
  <si>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</si>
  <si>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</si>
  <si>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</si>
  <si>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</si>
  <si>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</si>
  <si>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</si>
  <si>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</si>
  <si>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</si>
  <si>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</si>
  <si>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</si>
  <si>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</si>
  <si>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</si>
  <si>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</si>
  <si>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</si>
  <si>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</si>
  <si>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</si>
  <si>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</si>
  <si>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</si>
  <si>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</si>
  <si>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</si>
  <si>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</si>
  <si>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</si>
  <si>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</si>
  <si>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</si>
  <si>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</si>
  <si>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</si>
  <si>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</si>
  <si>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</si>
  <si>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</si>
  <si>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</si>
  <si>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</si>
  <si>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</si>
  <si>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</si>
  <si>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</si>
  <si>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</si>
  <si>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</si>
  <si>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</si>
  <si>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</si>
  <si>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</si>
  <si>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</si>
  <si>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</si>
  <si>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</si>
  <si>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</si>
  <si>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</si>
  <si>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</si>
  <si>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</si>
  <si>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</si>
  <si>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</si>
  <si>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</si>
  <si>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</si>
  <si>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</si>
  <si>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</si>
  <si>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</si>
  <si>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</si>
  <si>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</si>
  <si>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</si>
  <si>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</si>
  <si>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</si>
  <si>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</si>
  <si>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</si>
  <si>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</si>
  <si>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</si>
  <si>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</si>
  <si>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</si>
  <si>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</si>
  <si>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</si>
  <si>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</si>
  <si>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</si>
  <si>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</si>
  <si>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</si>
  <si>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</si>
  <si>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</si>
  <si>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</si>
  <si>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</si>
  <si>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</si>
  <si>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</si>
  <si>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</si>
  <si>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</si>
  <si>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</si>
  <si>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</si>
  <si>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</si>
  <si>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</si>
  <si>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</si>
  <si>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</si>
  <si>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</si>
  <si>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</si>
  <si>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</si>
  <si>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</si>
  <si>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</si>
  <si>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</si>
  <si>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</si>
  <si>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</si>
  <si>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</si>
  <si>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</si>
  <si>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</si>
  <si>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</si>
  <si>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</si>
  <si>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</si>
  <si>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</si>
  <si>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</si>
  <si>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</si>
  <si>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</si>
  <si>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</si>
  <si>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</si>
  <si>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</si>
  <si>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</si>
  <si>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</si>
  <si>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</si>
  <si>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</si>
  <si>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</si>
  <si>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</si>
  <si>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</si>
  <si>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</si>
  <si>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</si>
  <si>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</si>
  <si>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</si>
  <si>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</si>
  <si>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</si>
  <si>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</si>
  <si>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</si>
  <si>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</si>
  <si>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</si>
  <si>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</si>
  <si>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</si>
  <si>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</si>
  <si>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</si>
  <si>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</si>
  <si>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</si>
  <si>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</si>
  <si>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</si>
  <si>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</si>
  <si>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</si>
  <si>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</si>
  <si>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</si>
  <si>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</si>
  <si>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</si>
  <si>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</si>
  <si>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</si>
  <si>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</si>
  <si>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</si>
  <si>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</si>
  <si>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</si>
  <si>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</si>
  <si>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</si>
  <si>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</si>
  <si>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</si>
  <si>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</si>
  <si>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</si>
  <si>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</si>
  <si>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</si>
  <si>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</si>
  <si>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</si>
  <si>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</si>
  <si>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</si>
  <si>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</si>
  <si>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</si>
  <si>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</si>
  <si>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</si>
  <si>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</si>
  <si>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</si>
  <si>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</si>
  <si>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</si>
  <si>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</si>
  <si>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</si>
  <si>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</si>
  <si>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</si>
  <si>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</si>
  <si>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</si>
  <si>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</si>
  <si>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</si>
  <si>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</si>
  <si>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</si>
  <si>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</si>
  <si>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</si>
  <si>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</si>
  <si>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</si>
  <si>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</si>
  <si>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</si>
  <si>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</si>
  <si>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</si>
  <si>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</si>
  <si>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</si>
  <si>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</si>
  <si>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</si>
  <si>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</si>
  <si>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</si>
  <si>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</si>
  <si>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</si>
  <si>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</si>
  <si>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</si>
  <si>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</si>
  <si>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</si>
  <si>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</si>
  <si>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</si>
  <si>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</si>
  <si>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</si>
  <si>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</si>
  <si>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</si>
  <si>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</si>
  <si>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</si>
  <si>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</si>
  <si>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</si>
  <si>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</si>
  <si>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</si>
  <si>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</si>
  <si>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</si>
  <si>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</si>
  <si>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</si>
  <si>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</si>
  <si>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</si>
  <si>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</si>
  <si>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</si>
  <si>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</si>
  <si>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</si>
  <si>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</si>
  <si>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</si>
  <si>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</si>
  <si>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</si>
  <si>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</si>
  <si>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</si>
  <si>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</si>
  <si>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</si>
  <si>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</si>
  <si>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</si>
  <si>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</si>
  <si>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</si>
  <si>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</si>
  <si>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</si>
  <si>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</si>
  <si>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</si>
  <si>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</si>
  <si>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</si>
  <si>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</si>
  <si>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</si>
  <si>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</si>
  <si>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</si>
  <si>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</si>
  <si>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</si>
  <si>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</si>
  <si>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</si>
  <si>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</si>
  <si>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</si>
  <si>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</si>
  <si>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</si>
  <si>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</si>
  <si>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</si>
  <si>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</si>
  <si>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</si>
  <si>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</si>
  <si>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</si>
  <si>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</si>
  <si>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</si>
  <si>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</si>
  <si>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</si>
  <si>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</si>
  <si>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</si>
  <si>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</si>
  <si>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</si>
  <si>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</si>
  <si>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</si>
  <si>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</si>
  <si>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</si>
  <si>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</si>
  <si>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</si>
  <si>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</si>
  <si>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</si>
  <si>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</si>
  <si>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</si>
  <si>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</si>
  <si>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</si>
  <si>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</si>
  <si>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</si>
  <si>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</si>
  <si>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</si>
  <si>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</si>
  <si>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</si>
  <si>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</si>
  <si>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</si>
  <si>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</si>
  <si>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</si>
  <si>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</si>
  <si>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</si>
  <si>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</si>
  <si>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</si>
  <si>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</si>
  <si>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</si>
  <si>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</si>
  <si>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</si>
  <si>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</si>
  <si>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</si>
  <si>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</si>
  <si>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</si>
  <si>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</si>
  <si>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</si>
  <si>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</si>
  <si>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</si>
  <si>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</si>
  <si>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</si>
  <si>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</si>
  <si>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</si>
  <si>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</si>
  <si>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</si>
  <si>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</si>
  <si>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</si>
  <si>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</si>
  <si>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</si>
  <si>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</si>
  <si>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</si>
  <si>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</si>
  <si>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</si>
  <si>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</si>
  <si>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</si>
  <si>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</si>
  <si>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</si>
  <si>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</si>
  <si>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</si>
  <si>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</si>
  <si>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</si>
  <si>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</si>
  <si>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</si>
  <si>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</si>
  <si>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</si>
  <si>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</si>
  <si>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</si>
  <si>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</si>
  <si>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</si>
  <si>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</si>
  <si>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</si>
  <si>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</si>
  <si>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</si>
  <si>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</si>
  <si>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</si>
  <si>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</si>
  <si>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</si>
  <si>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</si>
  <si>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</si>
  <si>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</si>
  <si>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</si>
  <si>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</si>
  <si>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</si>
  <si>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</si>
  <si>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</si>
  <si>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</si>
  <si>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</si>
  <si>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</si>
  <si>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</si>
  <si>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</si>
  <si>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</si>
  <si>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</si>
  <si>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</si>
  <si>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</si>
  <si>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</si>
  <si>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</si>
  <si>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</si>
  <si>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</si>
  <si>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</si>
  <si>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</si>
  <si>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</si>
  <si>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</si>
  <si>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</si>
  <si>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</si>
  <si>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</si>
  <si>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</si>
  <si>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</si>
  <si>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</si>
  <si>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</si>
  <si>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</si>
  <si>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</si>
  <si>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</si>
  <si>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</si>
  <si>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</si>
  <si>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</si>
  <si>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</si>
  <si>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</si>
  <si>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</si>
  <si>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</si>
  <si>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</si>
  <si>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</si>
  <si>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</si>
  <si>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</si>
  <si>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</si>
  <si>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</si>
  <si>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</si>
  <si>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</si>
  <si>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</si>
  <si>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</si>
  <si>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</si>
  <si>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</si>
  <si>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</si>
  <si>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</si>
  <si>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</si>
  <si>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</si>
  <si>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</si>
  <si>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</si>
  <si>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</si>
  <si>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</si>
  <si>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</si>
  <si>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</si>
  <si>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</si>
  <si>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</si>
  <si>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</si>
  <si>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</si>
  <si>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</si>
  <si>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</si>
  <si>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</si>
  <si>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</si>
  <si>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</si>
  <si>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</si>
  <si>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</si>
  <si>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</si>
  <si>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</si>
  <si>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</si>
  <si>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</si>
  <si>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</si>
  <si>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</si>
  <si>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</si>
  <si>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</si>
  <si>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</si>
  <si>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</si>
  <si>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</si>
  <si>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</si>
  <si>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</si>
  <si>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</si>
  <si>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</si>
  <si>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</si>
  <si>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</si>
  <si>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</si>
  <si>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</si>
  <si>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</si>
  <si>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</si>
  <si>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</si>
  <si>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</si>
  <si>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</si>
  <si>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</si>
  <si>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</si>
  <si>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</si>
  <si>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</si>
  <si>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</si>
  <si>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</si>
  <si>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</si>
  <si>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</si>
  <si>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</si>
  <si>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</si>
  <si>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</si>
  <si>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</si>
  <si>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</si>
  <si>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</si>
  <si>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</si>
  <si>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</si>
  <si>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</si>
  <si>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</si>
  <si>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</si>
  <si>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</si>
  <si>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</si>
  <si>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</si>
  <si>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</si>
  <si>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</si>
  <si>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</si>
  <si>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</si>
  <si>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</si>
  <si>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</si>
  <si>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</si>
  <si>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</si>
  <si>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</si>
  <si>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</si>
  <si>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</si>
  <si>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</si>
  <si>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</si>
  <si>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</si>
  <si>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</si>
  <si>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</si>
  <si>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</si>
  <si>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</si>
  <si>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</si>
  <si>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</si>
  <si>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</si>
  <si>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</si>
  <si>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</si>
  <si>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</si>
  <si>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</si>
  <si>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</si>
  <si>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</si>
  <si>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</si>
  <si>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</si>
  <si>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</si>
  <si>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</si>
  <si>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</si>
  <si>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</si>
  <si>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</si>
  <si>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</si>
  <si>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</si>
  <si>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</si>
  <si>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</si>
  <si>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</si>
  <si>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</si>
  <si>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</si>
  <si>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</si>
  <si>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</si>
  <si>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</si>
  <si>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</si>
  <si>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</si>
  <si>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</si>
  <si>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</si>
  <si>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</si>
  <si>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</si>
  <si>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</si>
  <si>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</si>
  <si>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</si>
  <si>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</si>
  <si>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</si>
  <si>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</si>
  <si>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</si>
  <si>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</si>
  <si>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</si>
  <si>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</si>
  <si>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</si>
  <si>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</si>
  <si>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</si>
  <si>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</si>
  <si>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</si>
  <si>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</si>
  <si>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</si>
  <si>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</si>
  <si>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</si>
  <si>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</si>
  <si>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</si>
  <si>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</si>
  <si>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</si>
  <si>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</si>
  <si>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</si>
  <si>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</si>
  <si>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</si>
  <si>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</si>
  <si>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</si>
  <si>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</si>
  <si>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</si>
  <si>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</si>
  <si>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</si>
  <si>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</si>
  <si>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</si>
  <si>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</si>
  <si>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</si>
  <si>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</si>
  <si>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</si>
  <si>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</si>
  <si>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</si>
  <si>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</si>
  <si>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</si>
  <si>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</si>
  <si>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</si>
  <si>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</si>
  <si>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</si>
  <si>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</si>
  <si>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</si>
  <si>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</si>
  <si>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</si>
  <si>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</si>
  <si>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</si>
  <si>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</si>
  <si>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</si>
  <si>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</si>
  <si>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</si>
  <si>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</si>
  <si>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</si>
  <si>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</si>
  <si>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</si>
  <si>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</si>
  <si>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</si>
  <si>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</si>
  <si>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</si>
  <si>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</si>
  <si>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</si>
  <si>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</si>
  <si>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</si>
  <si>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</si>
  <si>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</si>
  <si>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</si>
  <si>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</si>
  <si>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</si>
  <si>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</si>
  <si>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</si>
  <si>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</si>
  <si>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</si>
  <si>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</si>
  <si>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</si>
  <si>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</si>
  <si>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</si>
  <si>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</si>
  <si>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</si>
  <si>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</si>
  <si>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</si>
  <si>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</si>
  <si>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</si>
  <si>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</si>
  <si>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</si>
  <si>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</si>
  <si>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</si>
  <si>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</si>
  <si>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</si>
  <si>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</si>
  <si>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</si>
  <si>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</si>
  <si>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</si>
  <si>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</si>
  <si>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</si>
  <si>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</si>
  <si>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</si>
  <si>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</si>
  <si>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</si>
  <si>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</si>
  <si>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</si>
  <si>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</si>
  <si>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</si>
  <si>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</si>
  <si>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</si>
  <si>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</si>
  <si>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</si>
  <si>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</si>
  <si>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</si>
  <si>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</si>
  <si>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</si>
  <si>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</si>
  <si>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</si>
  <si>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</si>
  <si>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</si>
  <si>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</si>
  <si>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</si>
  <si>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</si>
  <si>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</si>
  <si>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</si>
  <si>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</si>
  <si>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</si>
  <si>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</si>
  <si>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</si>
  <si>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</si>
  <si>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</si>
  <si>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</si>
  <si>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</si>
  <si>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</si>
  <si>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</si>
  <si>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</si>
  <si>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</si>
  <si>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</si>
  <si>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</si>
  <si>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</si>
  <si>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</si>
  <si>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</si>
  <si>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</si>
  <si>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</si>
  <si>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</si>
  <si>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</si>
  <si>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</si>
  <si>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</si>
  <si>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</si>
  <si>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</si>
  <si>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</si>
  <si>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</si>
  <si>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</si>
  <si>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</si>
  <si>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</si>
  <si>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</si>
  <si>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</si>
  <si>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</si>
  <si>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</si>
  <si>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</si>
  <si>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</si>
  <si>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</si>
  <si>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</si>
  <si>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</si>
  <si>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</si>
  <si>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</si>
  <si>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</si>
  <si>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</si>
  <si>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</si>
  <si>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</si>
  <si>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</si>
  <si>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</si>
  <si>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</si>
  <si>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</si>
  <si>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</si>
  <si>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</si>
  <si>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</si>
  <si>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</si>
  <si>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</si>
  <si>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</si>
  <si>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</si>
  <si>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</si>
  <si>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</si>
  <si>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</si>
  <si>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</si>
  <si>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</si>
  <si>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</si>
  <si>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</si>
  <si>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</si>
  <si>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</si>
  <si>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</si>
  <si>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</si>
  <si>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</si>
  <si>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</si>
  <si>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</si>
  <si>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</si>
  <si>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</si>
  <si>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</si>
  <si>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</si>
  <si>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</si>
  <si>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</si>
  <si>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</si>
  <si>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</si>
  <si>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</si>
  <si>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</si>
  <si>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</si>
  <si>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</si>
  <si>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</si>
  <si>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</si>
  <si>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</si>
  <si>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</si>
  <si>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</si>
  <si>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</si>
  <si>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</si>
  <si>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</si>
  <si>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</si>
  <si>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</si>
  <si>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</si>
  <si>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</si>
  <si>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</si>
  <si>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</si>
  <si>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</si>
  <si>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</si>
  <si>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</si>
  <si>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</si>
  <si>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</si>
  <si>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</si>
  <si>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</si>
  <si>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</si>
  <si>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</si>
  <si>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</si>
  <si>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</si>
  <si>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</si>
  <si>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</si>
  <si>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</si>
  <si>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</si>
  <si>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</si>
  <si>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</si>
  <si>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</si>
  <si>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</si>
  <si>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</si>
  <si>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</si>
  <si>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</si>
  <si>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</si>
  <si>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</si>
  <si>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</si>
  <si>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</si>
  <si>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</si>
  <si>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</si>
  <si>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</si>
  <si>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</si>
  <si>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</si>
  <si>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</si>
  <si>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</si>
  <si>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</si>
  <si>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</si>
  <si>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</si>
  <si>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</si>
  <si>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</si>
  <si>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</si>
  <si>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</si>
  <si>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</si>
  <si>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</si>
  <si>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</si>
  <si>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</si>
  <si>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</si>
  <si>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</si>
  <si>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</si>
  <si>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</si>
  <si>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</si>
  <si>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</si>
  <si>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</si>
  <si>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</si>
  <si>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</si>
  <si>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</si>
  <si>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</si>
  <si>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</si>
  <si>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</si>
  <si>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</si>
  <si>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</si>
  <si>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</si>
  <si>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</si>
  <si>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</si>
  <si>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</si>
  <si>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</si>
  <si>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</si>
  <si>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</si>
  <si>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</si>
  <si>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</si>
  <si>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</si>
  <si>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</si>
  <si>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</si>
  <si>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</si>
  <si>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</si>
  <si>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</si>
  <si>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</si>
  <si>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</si>
  <si>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</si>
  <si>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</si>
  <si>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</si>
  <si>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</si>
  <si>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</si>
  <si>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</si>
  <si>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</si>
  <si>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</si>
  <si>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</si>
  <si>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</si>
  <si>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</si>
  <si>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</si>
  <si>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</si>
  <si>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</si>
  <si>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</si>
  <si>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</si>
  <si>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</si>
  <si>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</si>
  <si>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</si>
  <si>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</si>
  <si>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</si>
  <si>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</si>
  <si>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</si>
  <si>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</si>
  <si>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</si>
  <si>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</si>
  <si>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</si>
  <si>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</si>
  <si>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</si>
  <si>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</si>
  <si>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</si>
  <si>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</si>
  <si>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</si>
  <si>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</si>
  <si>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</si>
  <si>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</si>
  <si>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</si>
  <si>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</si>
  <si>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</si>
  <si>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</si>
  <si>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</si>
  <si>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</si>
  <si>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</si>
  <si>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</si>
  <si>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</si>
  <si>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</si>
  <si>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</si>
  <si>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</si>
  <si>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</si>
  <si>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</si>
  <si>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</si>
  <si>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</si>
  <si>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</si>
  <si>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</si>
  <si>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</si>
  <si>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</si>
  <si>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</si>
  <si>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</si>
  <si>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</si>
  <si>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</si>
  <si>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</si>
  <si>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</si>
  <si>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</si>
  <si>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</si>
  <si>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</si>
  <si>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</si>
  <si>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</si>
  <si>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</si>
  <si>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</si>
  <si>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</si>
  <si>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</si>
  <si>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</si>
  <si>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</si>
  <si>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</si>
  <si>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</si>
  <si>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</si>
  <si>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</si>
  <si>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</si>
  <si>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</si>
  <si>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</si>
  <si>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</si>
  <si>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</si>
  <si>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</si>
  <si>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</si>
  <si>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</si>
  <si>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</si>
  <si>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</si>
  <si>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</si>
  <si>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</si>
  <si>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</si>
  <si>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</si>
  <si>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</si>
  <si>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</si>
  <si>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</si>
  <si>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</si>
  <si>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</si>
  <si>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</si>
  <si>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</si>
  <si>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</si>
  <si>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</si>
  <si>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</si>
  <si>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</si>
  <si>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</si>
  <si>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</si>
  <si>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</si>
  <si>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</si>
  <si>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</si>
  <si>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</si>
  <si>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</si>
  <si>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</si>
  <si>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</si>
  <si>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</si>
  <si>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</si>
  <si>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</si>
  <si>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</si>
  <si>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</si>
  <si>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</si>
  <si>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</si>
  <si>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</si>
  <si>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</si>
  <si>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</si>
  <si>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</si>
  <si>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</si>
  <si>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</si>
  <si>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</si>
  <si>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</si>
  <si>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</si>
  <si>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</si>
  <si>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</si>
  <si>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</si>
  <si>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</si>
  <si>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</si>
  <si>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</si>
  <si>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</si>
  <si>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</si>
  <si>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</si>
  <si>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</si>
  <si>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</si>
  <si>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</si>
  <si>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</si>
  <si>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</si>
  <si>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</si>
  <si>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</si>
  <si>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</si>
  <si>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</si>
  <si>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</si>
  <si>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</si>
  <si>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</si>
  <si>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</si>
  <si>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</si>
  <si>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</si>
  <si>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</si>
  <si>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</si>
  <si>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</si>
  <si>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</si>
  <si>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</si>
  <si>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</si>
  <si>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</si>
  <si>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</si>
  <si>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</si>
  <si>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</si>
  <si>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</si>
  <si>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</si>
  <si>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</si>
  <si>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</si>
  <si>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</si>
  <si>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</si>
  <si>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</si>
  <si>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</si>
  <si>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</si>
  <si>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</si>
  <si>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</si>
  <si>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</si>
  <si>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</si>
  <si>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</si>
  <si>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</si>
  <si>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</si>
  <si>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</si>
  <si>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</si>
  <si>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</si>
  <si>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</si>
  <si>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</si>
  <si>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</si>
  <si>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</si>
  <si>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</si>
  <si>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</si>
  <si>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</si>
  <si>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</si>
  <si>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</si>
  <si>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</si>
  <si>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</si>
  <si>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</si>
  <si>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</si>
  <si>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</si>
  <si>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</si>
  <si>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</si>
  <si>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</si>
  <si>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</si>
  <si>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</si>
  <si>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</si>
  <si>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</si>
  <si>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</si>
  <si>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</si>
  <si>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</si>
  <si>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</si>
  <si>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</si>
  <si>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</si>
  <si>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</si>
  <si>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</si>
  <si>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</si>
  <si>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</si>
  <si>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</si>
  <si>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</si>
  <si>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</si>
  <si>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</si>
  <si>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</si>
  <si>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</si>
  <si>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</si>
  <si>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</si>
  <si>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</si>
  <si>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</si>
  <si>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</si>
  <si>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</si>
  <si>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</si>
  <si>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</si>
  <si>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</si>
  <si>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</si>
  <si>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</si>
  <si>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</si>
  <si>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</si>
  <si>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</si>
  <si>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</si>
  <si>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</si>
  <si>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</si>
  <si>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</si>
  <si>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</si>
  <si>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</si>
  <si>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</si>
  <si>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</si>
  <si>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</si>
  <si>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</si>
  <si>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</si>
  <si>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</si>
  <si>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</si>
  <si>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</si>
  <si>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</si>
  <si>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</si>
  <si>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</si>
  <si>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</si>
  <si>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</si>
  <si>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</si>
  <si>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</si>
  <si>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</si>
  <si>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</si>
  <si>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</si>
  <si>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</si>
  <si>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</si>
  <si>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</si>
  <si>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</si>
  <si>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</si>
  <si>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</si>
  <si>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</si>
  <si>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</si>
  <si>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</si>
  <si>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</si>
  <si>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</si>
  <si>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</si>
  <si>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</si>
  <si>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</si>
  <si>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</si>
  <si>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</si>
  <si>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</si>
  <si>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</si>
  <si>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</si>
  <si>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</si>
  <si>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</si>
  <si>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</si>
  <si>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</si>
  <si>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</si>
  <si>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</si>
  <si>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</si>
  <si>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</si>
  <si>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</si>
  <si>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</si>
  <si>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</si>
  <si>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</si>
  <si>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</si>
  <si>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</si>
  <si>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</si>
  <si>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</si>
  <si>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</si>
  <si>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</si>
  <si>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</si>
  <si>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</si>
  <si>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</si>
  <si>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</si>
  <si>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</si>
  <si>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</si>
  <si>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</si>
  <si>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</si>
  <si>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</si>
  <si>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</si>
  <si>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</si>
  <si>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</si>
  <si>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</si>
  <si>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</si>
  <si>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</si>
  <si>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</si>
  <si>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</si>
  <si>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</si>
  <si>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</si>
  <si>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</si>
  <si>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</si>
  <si>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</si>
  <si>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</si>
  <si>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</si>
  <si>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</si>
  <si>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</si>
  <si>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</si>
  <si>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</si>
  <si>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</si>
  <si>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</si>
  <si>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</si>
  <si>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</si>
  <si>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</si>
  <si>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</si>
  <si>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</si>
  <si>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</si>
  <si>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</si>
  <si>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</si>
  <si>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</si>
  <si>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</si>
  <si>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</si>
  <si>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</si>
  <si>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</si>
  <si>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</si>
  <si>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</si>
  <si>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</si>
  <si>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</si>
  <si>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</si>
  <si>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</si>
  <si>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</si>
  <si>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</si>
  <si>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</si>
  <si>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</si>
  <si>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</si>
  <si>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</si>
  <si>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</si>
  <si>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</si>
  <si>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</si>
  <si>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</si>
  <si>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</si>
  <si>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</si>
  <si>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</si>
  <si>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</si>
  <si>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</si>
  <si>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</si>
  <si>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</si>
  <si>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</si>
  <si>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</si>
  <si>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</si>
  <si>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</si>
  <si>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</si>
  <si>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</si>
  <si>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</si>
  <si>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</si>
  <si>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</si>
  <si>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</si>
  <si>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</si>
  <si>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</si>
  <si>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</si>
  <si>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</si>
  <si>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</si>
  <si>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</si>
  <si>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</si>
  <si>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</si>
  <si>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</si>
  <si>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</si>
  <si>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</si>
  <si>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</si>
  <si>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</si>
  <si>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</si>
  <si>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</si>
  <si>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</si>
  <si>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</si>
  <si>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</si>
  <si>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</si>
  <si>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</si>
  <si>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</si>
  <si>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</si>
  <si>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</si>
  <si>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</si>
  <si>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</si>
  <si>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</si>
  <si>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</si>
  <si>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</si>
  <si>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</si>
  <si>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</si>
  <si>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</si>
  <si>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</si>
  <si>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</si>
  <si>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</si>
  <si>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</si>
  <si>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</si>
  <si>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</si>
  <si>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</si>
  <si>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</si>
  <si>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</si>
  <si>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</si>
  <si>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</si>
  <si>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</si>
  <si>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</si>
  <si>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</si>
  <si>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</si>
  <si>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</si>
  <si>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</si>
  <si>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</si>
  <si>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</si>
  <si>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</si>
  <si>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</si>
  <si>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</si>
  <si>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</si>
  <si>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</si>
  <si>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</si>
  <si>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</si>
  <si>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</si>
  <si>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</si>
  <si>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</si>
  <si>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</si>
  <si>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</si>
  <si>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</si>
  <si>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</si>
  <si>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</si>
  <si>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</si>
  <si>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</si>
  <si>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</si>
  <si>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</si>
  <si>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</si>
  <si>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</si>
  <si>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</si>
  <si>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</si>
  <si>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</si>
  <si>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</si>
  <si>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</si>
  <si>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</si>
  <si>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</si>
  <si>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</si>
  <si>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</si>
  <si>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</si>
  <si>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</si>
  <si>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</si>
  <si>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</si>
  <si>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</si>
  <si>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</si>
  <si>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</si>
  <si>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</si>
  <si>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</si>
  <si>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</si>
  <si>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</si>
  <si>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</si>
  <si>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</si>
  <si>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</si>
  <si>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</si>
  <si>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</si>
  <si>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</si>
  <si>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</si>
  <si>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</si>
  <si>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</si>
  <si>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</si>
  <si>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</si>
  <si>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</si>
  <si>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</si>
  <si>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</si>
  <si>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</si>
  <si>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</si>
  <si>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</si>
  <si>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</si>
  <si>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</si>
  <si>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</si>
  <si>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</si>
  <si>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</si>
  <si>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</si>
  <si>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</si>
  <si>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</si>
  <si>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</si>
  <si>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</si>
  <si>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</si>
  <si>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</si>
  <si>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</si>
  <si>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</si>
  <si>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</si>
  <si>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</si>
  <si>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</si>
  <si>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</si>
  <si>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</si>
  <si>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</si>
  <si>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</si>
  <si>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</si>
  <si>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</si>
  <si>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</si>
  <si>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</si>
  <si>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</si>
  <si>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</si>
  <si>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</si>
  <si>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</si>
  <si>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</si>
  <si>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</si>
  <si>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</si>
  <si>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</si>
  <si>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</si>
  <si>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</si>
  <si>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</si>
  <si>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</si>
  <si>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</si>
  <si>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</si>
  <si>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</si>
  <si>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</si>
  <si>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</si>
  <si>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</si>
  <si>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</si>
  <si>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</si>
  <si>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</si>
  <si>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</si>
  <si>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</si>
  <si>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</si>
  <si>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</si>
  <si>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</si>
  <si>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</si>
  <si>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</si>
  <si>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</si>
  <si>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</si>
  <si>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</si>
  <si>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</si>
  <si>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</si>
  <si>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</si>
  <si>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</si>
  <si>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</si>
  <si>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</si>
  <si>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</si>
  <si>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</si>
  <si>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</si>
  <si>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</si>
  <si>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</si>
  <si>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</si>
  <si>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</si>
  <si>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</si>
  <si>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</si>
  <si>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</si>
  <si>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</si>
  <si>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</si>
  <si>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</si>
  <si>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</si>
  <si>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</si>
  <si>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</si>
  <si>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</si>
  <si>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</si>
  <si>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</si>
  <si>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</si>
  <si>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</si>
  <si>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</si>
  <si>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</si>
  <si>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</si>
  <si>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</si>
  <si>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</si>
  <si>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</si>
  <si>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</si>
  <si>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</si>
  <si>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</si>
  <si>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</si>
  <si>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</si>
  <si>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</si>
  <si>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</si>
  <si>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</si>
  <si>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</si>
  <si>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</si>
  <si>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</si>
  <si>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</si>
  <si>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</si>
  <si>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</si>
  <si>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</si>
  <si>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</si>
  <si>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</si>
  <si>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</si>
  <si>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</si>
  <si>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</si>
  <si>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</si>
  <si>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</si>
  <si>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</si>
  <si>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</si>
  <si>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</si>
  <si>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</si>
  <si>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</si>
  <si>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</si>
  <si>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</si>
  <si>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</si>
  <si>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</si>
  <si>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</si>
  <si>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</si>
  <si>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</si>
  <si>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</si>
  <si>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</si>
  <si>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</si>
  <si>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</si>
  <si>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</si>
  <si>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</si>
  <si>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</si>
  <si>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</si>
  <si>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</si>
  <si>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</si>
  <si>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</si>
  <si>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</si>
  <si>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</si>
  <si>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</si>
  <si>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</si>
  <si>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</si>
  <si>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</si>
  <si>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</si>
  <si>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</si>
  <si>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</si>
  <si>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</si>
  <si>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</si>
  <si>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</si>
  <si>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</si>
  <si>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</si>
  <si>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</si>
  <si>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</si>
  <si>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</si>
  <si>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</si>
  <si>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</si>
  <si>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</si>
  <si>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</si>
  <si>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</si>
  <si>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</si>
  <si>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</si>
  <si>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</si>
  <si>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</si>
  <si>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</si>
  <si>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</si>
  <si>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</si>
  <si>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</si>
  <si>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</si>
  <si>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</si>
  <si>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</si>
  <si>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</si>
  <si>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</si>
  <si>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</si>
  <si>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</si>
  <si>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</si>
  <si>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</si>
  <si>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</si>
  <si>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</si>
  <si>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</si>
  <si>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</si>
  <si>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</si>
  <si>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</si>
  <si>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</si>
  <si>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</si>
  <si>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</si>
  <si>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</si>
  <si>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</si>
  <si>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</si>
  <si>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</si>
  <si>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</si>
  <si>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</si>
  <si>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</si>
  <si>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</si>
  <si>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</si>
  <si>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</si>
  <si>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</si>
  <si>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</si>
  <si>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</si>
  <si>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</si>
  <si>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</si>
  <si>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</si>
  <si>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</si>
  <si>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</si>
  <si>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</si>
  <si>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</si>
  <si>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</si>
  <si>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</si>
  <si>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</si>
  <si>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</si>
  <si>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</si>
  <si>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</si>
  <si>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</si>
  <si>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</si>
  <si>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</si>
  <si>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</si>
  <si>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</si>
  <si>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</si>
  <si>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</si>
  <si>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</si>
  <si>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</si>
  <si>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</si>
  <si>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</si>
  <si>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</si>
  <si>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</si>
  <si>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</si>
  <si>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</si>
  <si>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</si>
  <si>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</si>
  <si>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</si>
  <si>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</si>
  <si>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</si>
  <si>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</si>
  <si>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</si>
  <si>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</si>
  <si>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</si>
  <si>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</si>
  <si>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</si>
  <si>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</si>
  <si>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</si>
  <si>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</si>
  <si>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</si>
  <si>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</si>
  <si>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</si>
  <si>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</si>
  <si>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</si>
  <si>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</si>
  <si>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</si>
  <si>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</si>
  <si>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</si>
  <si>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</si>
  <si>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</si>
  <si>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</si>
  <si>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</si>
  <si>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</si>
  <si>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</si>
  <si>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</si>
  <si>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</si>
  <si>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</si>
  <si>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</si>
  <si>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</si>
  <si>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</si>
  <si>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</si>
  <si>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</si>
  <si>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</si>
  <si>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</si>
  <si>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</si>
  <si>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</si>
  <si>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</si>
  <si>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</si>
  <si>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</si>
  <si>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</si>
  <si>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</si>
  <si>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</si>
  <si>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</si>
  <si>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</si>
  <si>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</si>
  <si>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</si>
  <si>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</si>
  <si>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</si>
  <si>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</si>
  <si>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</si>
  <si>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</si>
  <si>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</si>
  <si>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</si>
  <si>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</si>
  <si>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</si>
  <si>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</si>
  <si>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</si>
  <si>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</si>
  <si>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</si>
  <si>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</si>
  <si>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</si>
  <si>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</si>
  <si>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</si>
  <si>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</si>
  <si>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</si>
  <si>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</si>
  <si>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</si>
  <si>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</si>
  <si>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</si>
  <si>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</si>
  <si>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</si>
  <si>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</si>
  <si>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</si>
  <si>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</si>
  <si>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</si>
  <si>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</si>
  <si>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</si>
  <si>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</si>
  <si>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</si>
  <si>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</si>
  <si>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</si>
  <si>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</si>
  <si>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</si>
  <si>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</si>
  <si>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</si>
  <si>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</si>
  <si>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</si>
  <si>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</si>
  <si>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</si>
  <si>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</si>
  <si>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</si>
  <si>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</si>
  <si>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</si>
  <si>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</si>
  <si>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</si>
  <si>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</si>
  <si>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</si>
  <si>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</si>
  <si>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</si>
  <si>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</si>
  <si>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</si>
  <si>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</si>
  <si>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</si>
  <si>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</si>
  <si>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</si>
  <si>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</si>
  <si>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</si>
  <si>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</si>
  <si>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</si>
  <si>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</si>
  <si>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</si>
  <si>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</si>
  <si>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</si>
  <si>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</si>
  <si>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</si>
  <si>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</si>
  <si>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</si>
  <si>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</si>
  <si>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</si>
  <si>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</si>
  <si>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</si>
  <si>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</si>
  <si>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</si>
  <si>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</si>
  <si>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</si>
  <si>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</si>
  <si>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</si>
  <si>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</si>
  <si>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</si>
  <si>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</si>
  <si>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</si>
  <si>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</si>
  <si>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</si>
  <si>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</si>
  <si>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</si>
  <si>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</si>
  <si>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</si>
  <si>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</si>
  <si>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</si>
  <si>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</si>
  <si>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</si>
  <si>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</si>
  <si>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</si>
  <si>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</si>
  <si>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</si>
  <si>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</si>
  <si>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</si>
  <si>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</si>
  <si>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</si>
  <si>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</si>
  <si>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</si>
  <si>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</si>
  <si>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</si>
  <si>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</si>
  <si>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</si>
  <si>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</si>
  <si>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</si>
  <si>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</si>
  <si>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</si>
  <si>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</si>
  <si>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</si>
  <si>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</si>
  <si>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</si>
  <si>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</si>
  <si>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</si>
  <si>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</si>
  <si>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</si>
  <si>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</si>
  <si>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</si>
  <si>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</si>
  <si>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</si>
  <si>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</si>
  <si>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</si>
  <si>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</si>
  <si>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</si>
  <si>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</si>
  <si>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</si>
  <si>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</si>
  <si>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</si>
  <si>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</si>
  <si>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</si>
  <si>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</si>
  <si>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</si>
  <si>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</si>
  <si>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</si>
  <si>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</si>
  <si>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</si>
  <si>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</si>
  <si>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</si>
  <si>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</si>
  <si>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</si>
  <si>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</si>
  <si>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</si>
  <si>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</si>
  <si>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</si>
  <si>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</si>
  <si>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</si>
  <si>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</si>
  <si>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</si>
  <si>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</si>
  <si>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</si>
  <si>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</si>
  <si>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</si>
  <si>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</si>
  <si>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</si>
  <si>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</si>
  <si>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</si>
  <si>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</si>
  <si>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</si>
  <si>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</si>
  <si>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</si>
  <si>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</si>
  <si>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</si>
  <si>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</si>
  <si>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</si>
  <si>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</si>
  <si>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</si>
  <si>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</si>
  <si>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</si>
  <si>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</si>
  <si>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</si>
  <si>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</si>
  <si>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</si>
  <si>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</si>
  <si>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</si>
  <si>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</si>
  <si>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</si>
  <si>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</si>
  <si>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</si>
  <si>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</si>
  <si>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</si>
  <si>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</si>
  <si>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</si>
  <si>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</si>
  <si>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</si>
  <si>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</si>
  <si>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</si>
  <si>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</si>
  <si>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</si>
  <si>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</si>
  <si>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</si>
  <si>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</si>
  <si>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</si>
  <si>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</si>
  <si>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</si>
  <si>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</si>
  <si>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</si>
  <si>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</si>
  <si>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</si>
  <si>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</si>
  <si>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</si>
  <si>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</si>
  <si>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</si>
  <si>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</si>
  <si>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</si>
  <si>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</si>
  <si>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</si>
  <si>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</si>
  <si>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</si>
  <si>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</si>
  <si>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</si>
  <si>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</si>
  <si>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</si>
  <si>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</si>
  <si>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</si>
  <si>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</si>
  <si>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</si>
  <si>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</si>
  <si>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</si>
  <si>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</si>
  <si>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</si>
  <si>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</si>
  <si>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</si>
  <si>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</si>
  <si>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</si>
  <si>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</si>
  <si>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</si>
  <si>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</si>
  <si>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</si>
  <si>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</si>
  <si>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</si>
  <si>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</si>
  <si>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</si>
  <si>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</si>
  <si>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</si>
  <si>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</si>
  <si>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</si>
  <si>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</si>
  <si>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</si>
  <si>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</si>
  <si>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</si>
  <si>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</si>
  <si>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</si>
  <si>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</si>
  <si>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</si>
  <si>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</si>
  <si>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</si>
  <si>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</si>
  <si>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</si>
  <si>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</si>
  <si>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</si>
  <si>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</si>
  <si>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</si>
  <si>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</si>
  <si>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</si>
  <si>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</si>
  <si>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</si>
  <si>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</si>
  <si>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</si>
  <si>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</si>
  <si>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</si>
  <si>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</si>
  <si>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</si>
  <si>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</si>
  <si>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</si>
  <si>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</si>
  <si>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</si>
  <si>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</si>
  <si>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</si>
  <si>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</si>
  <si>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</si>
  <si>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</si>
  <si>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</si>
  <si>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</si>
  <si>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</si>
  <si>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</si>
  <si>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</si>
  <si>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</si>
  <si>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</si>
  <si>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</si>
  <si>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</si>
  <si>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</si>
  <si>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</si>
  <si>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</si>
  <si>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</si>
  <si>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</si>
  <si>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</si>
  <si>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</si>
  <si>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</si>
  <si>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</si>
  <si>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</si>
  <si>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</si>
  <si>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</si>
  <si>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</si>
  <si>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</si>
  <si>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</si>
  <si>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</si>
  <si>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</si>
  <si>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</si>
  <si>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</si>
  <si>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</si>
  <si>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</si>
  <si>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</si>
  <si>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</si>
  <si>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</si>
  <si>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</si>
  <si>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</si>
  <si>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</si>
  <si>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</si>
  <si>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</si>
  <si>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</si>
  <si>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</si>
  <si>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</si>
  <si>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</si>
  <si>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</si>
  <si>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</si>
  <si>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</si>
  <si>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</si>
  <si>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</si>
  <si>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</si>
  <si>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</si>
  <si>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</si>
  <si>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</si>
  <si>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</si>
  <si>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</si>
  <si>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</si>
  <si>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</si>
  <si>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</si>
  <si>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</si>
  <si>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</si>
  <si>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</si>
  <si>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</si>
  <si>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</si>
  <si>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</si>
  <si>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</si>
  <si>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</si>
  <si>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</si>
  <si>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</si>
  <si>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</si>
  <si>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</si>
  <si>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</si>
  <si>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</si>
  <si>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</si>
  <si>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</si>
  <si>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</si>
  <si>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</si>
  <si>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</si>
  <si>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</si>
  <si>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</si>
  <si>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</si>
  <si>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</si>
  <si>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</si>
  <si>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</si>
  <si>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</si>
  <si>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</si>
  <si>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</si>
  <si>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</si>
  <si>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</si>
  <si>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</si>
  <si>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</si>
  <si>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</si>
  <si>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</si>
  <si>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</si>
  <si>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</si>
  <si>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</si>
  <si>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</si>
  <si>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</si>
  <si>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</si>
  <si>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</si>
  <si>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</si>
  <si>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</si>
  <si>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</si>
  <si>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</si>
  <si>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</si>
  <si>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</si>
  <si>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</si>
  <si>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</si>
  <si>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</si>
  <si>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</si>
  <si>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</si>
  <si>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</si>
  <si>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</si>
  <si>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</si>
  <si>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</si>
  <si>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</si>
  <si>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</si>
  <si>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</si>
  <si>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</si>
  <si>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</si>
  <si>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</si>
  <si>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</si>
  <si>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</si>
  <si>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</si>
  <si>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</si>
  <si>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</si>
  <si>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</si>
  <si>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</si>
  <si>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</si>
  <si>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</si>
  <si>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</si>
  <si>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</si>
  <si>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</si>
  <si>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</si>
  <si>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</si>
  <si>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</si>
  <si>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</si>
  <si>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</si>
  <si>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</si>
  <si>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</si>
  <si>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</si>
  <si>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</si>
  <si>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</si>
  <si>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</si>
  <si>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</si>
  <si>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</si>
  <si>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</si>
  <si>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</si>
  <si>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</si>
  <si>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</si>
  <si>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</si>
  <si>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</si>
  <si>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</si>
  <si>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</si>
  <si>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</si>
  <si>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</si>
  <si>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</si>
  <si>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</si>
  <si>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</si>
  <si>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</si>
  <si>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</si>
  <si>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</si>
  <si>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</si>
  <si>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</si>
  <si>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</si>
  <si>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</si>
  <si>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</si>
  <si>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</si>
  <si>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</si>
  <si>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</si>
  <si>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</si>
  <si>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</si>
  <si>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</si>
  <si>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</si>
  <si>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</si>
  <si>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</si>
  <si>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</si>
  <si>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</si>
  <si>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</si>
  <si>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</si>
  <si>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</si>
  <si>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</si>
  <si>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</si>
  <si>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</si>
  <si>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</si>
  <si>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</si>
  <si>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</si>
  <si>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</si>
  <si>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</si>
  <si>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</si>
  <si>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</si>
  <si>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</si>
  <si>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</si>
  <si>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</si>
  <si>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</si>
  <si>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</si>
  <si>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</si>
  <si>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</si>
  <si>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</si>
  <si>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</si>
  <si>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</si>
  <si>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</si>
  <si>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</si>
  <si>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</si>
  <si>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</si>
  <si>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</si>
  <si>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</si>
  <si>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</si>
  <si>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</si>
  <si>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</si>
  <si>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</si>
  <si>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</si>
  <si>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</si>
  <si>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</si>
  <si>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</si>
  <si>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</si>
  <si>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</si>
  <si>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</si>
  <si>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</si>
  <si>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</si>
  <si>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</si>
  <si>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</si>
  <si>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</si>
  <si>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</si>
  <si>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</si>
  <si>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</si>
  <si>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</si>
  <si>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</si>
  <si>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</si>
  <si>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</si>
  <si>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</si>
  <si>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</si>
  <si>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</si>
  <si>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</si>
  <si>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</si>
  <si>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</si>
  <si>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</si>
  <si>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</si>
  <si>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</si>
  <si>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</si>
  <si>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</si>
  <si>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</si>
  <si>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</si>
  <si>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</si>
  <si>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</si>
  <si>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</si>
  <si>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</si>
  <si>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</si>
  <si>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</si>
  <si>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</si>
  <si>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</si>
  <si>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</si>
  <si>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</si>
  <si>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</si>
  <si>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</si>
  <si>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</si>
  <si>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</si>
  <si>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</si>
  <si>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</si>
  <si>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</si>
  <si>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</si>
  <si>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</si>
  <si>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</si>
  <si>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</si>
  <si>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</si>
  <si>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</si>
  <si>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</si>
  <si>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</si>
  <si>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</si>
  <si>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</si>
  <si>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</si>
  <si>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</si>
  <si>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</si>
  <si>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</si>
  <si>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</si>
  <si>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</si>
  <si>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</si>
  <si>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</si>
  <si>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</si>
  <si>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</si>
  <si>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</si>
  <si>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</si>
  <si>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024/0030/B</t>
  </si>
  <si>
    <t>029/0024/C</t>
  </si>
  <si>
    <t>CONFIRMAÇÃO PAGAMENTO</t>
  </si>
  <si>
    <t>024/0041/A</t>
  </si>
  <si>
    <t>029/0023/E</t>
  </si>
  <si>
    <t>024/0051/A</t>
  </si>
  <si>
    <t>024/0057/A</t>
  </si>
  <si>
    <t>024/0079/C</t>
  </si>
  <si>
    <t>031/0020/C</t>
  </si>
  <si>
    <t>024/0088/B</t>
  </si>
  <si>
    <t>029/0069/D</t>
  </si>
  <si>
    <t>024/0099/A</t>
  </si>
  <si>
    <t>031/0033/K</t>
  </si>
  <si>
    <t>029/0007/B</t>
  </si>
  <si>
    <t>031/0039/C</t>
  </si>
  <si>
    <t>029/0035/B</t>
  </si>
  <si>
    <t>029/0027/A</t>
  </si>
  <si>
    <t>029/0064/A</t>
  </si>
  <si>
    <t>029/0069/B</t>
  </si>
  <si>
    <t>029/0036/F</t>
  </si>
  <si>
    <t>031/0028/D</t>
  </si>
  <si>
    <t>029/0039/B</t>
  </si>
  <si>
    <t>029/0067/A</t>
  </si>
  <si>
    <t>029/0045/A</t>
  </si>
  <si>
    <t>029/0007/A</t>
  </si>
  <si>
    <t>029/0061/A</t>
  </si>
  <si>
    <t>029/0070/C</t>
  </si>
  <si>
    <t>JD DA PAZ</t>
  </si>
  <si>
    <t>013/0126/A</t>
  </si>
  <si>
    <t>CLAUDIA MARIA RUFINO DA SILVA</t>
  </si>
  <si>
    <t>029/0064/F</t>
  </si>
  <si>
    <t>029/0070/B</t>
  </si>
  <si>
    <t>013/0126/C</t>
  </si>
  <si>
    <t>MIRIAN AMARO SILVA</t>
  </si>
  <si>
    <t>029/0066/A</t>
  </si>
  <si>
    <t>013/0133/A</t>
  </si>
  <si>
    <t>JOSÉ CICERO DA SILVA</t>
  </si>
  <si>
    <t>029/0066/B</t>
  </si>
  <si>
    <t>024/0102/D</t>
  </si>
  <si>
    <t>029/0066/E</t>
  </si>
  <si>
    <t>031/0035/A</t>
  </si>
  <si>
    <t>029/0067/F</t>
  </si>
  <si>
    <t>031/0067/B</t>
  </si>
  <si>
    <t>024/0077/B</t>
  </si>
  <si>
    <t>029/0069/C</t>
  </si>
  <si>
    <t>033/0016/C</t>
  </si>
  <si>
    <t>PARAISÓPOLIS/ANTONICO</t>
  </si>
  <si>
    <t>029/0035/C</t>
  </si>
  <si>
    <t>GLAUCIA APARECIDA FIDELIX DA SILVA</t>
  </si>
  <si>
    <t>NATALINA MATIAS ALMEIDA DE SOUZA</t>
  </si>
  <si>
    <t>031/0033/Q</t>
  </si>
  <si>
    <t>LEANDRO PEREIRA DE OLIVEIRA</t>
  </si>
  <si>
    <t>031/0034/I</t>
  </si>
  <si>
    <t>APARECIDA RIBEIRO DA CRUZ</t>
  </si>
  <si>
    <t>029/0071/B</t>
  </si>
  <si>
    <t>029/0071/D</t>
  </si>
  <si>
    <t>031/0034/J</t>
  </si>
  <si>
    <t xml:space="preserve">ELIAS GABRIEL SANTANA DE BRITO </t>
  </si>
  <si>
    <t>031/0058/A</t>
  </si>
  <si>
    <t>031/0040/C</t>
  </si>
  <si>
    <t>FABIANA APARECIDA FRANCISCO</t>
  </si>
  <si>
    <t>029/0071/E</t>
  </si>
  <si>
    <t>031/0076/B</t>
  </si>
  <si>
    <t>LUCIENE FERREIRA DA SILVA</t>
  </si>
  <si>
    <t>029/0080/E</t>
  </si>
  <si>
    <t>031/0067/A</t>
  </si>
  <si>
    <t>031/0076/C</t>
  </si>
  <si>
    <t xml:space="preserve">ADILSON DE ASSIS GOMES </t>
  </si>
  <si>
    <t>029/0081/A</t>
  </si>
  <si>
    <t>031/0028/L</t>
  </si>
  <si>
    <t>031/0076/D</t>
  </si>
  <si>
    <t>VIVALDO JOSÉ DE SANTANA FILHO</t>
  </si>
  <si>
    <t>029/0083/A</t>
  </si>
  <si>
    <t>024/0105/A</t>
  </si>
  <si>
    <t>029/0085/G</t>
  </si>
  <si>
    <t>029/0086/B</t>
  </si>
  <si>
    <t>031/0025/A</t>
  </si>
  <si>
    <t>031/0004/C</t>
  </si>
  <si>
    <t>031/0014/A</t>
  </si>
  <si>
    <t>031/0015/D</t>
  </si>
  <si>
    <t>031/0020/B</t>
  </si>
  <si>
    <t>031/0022/B</t>
  </si>
  <si>
    <t>033/0029/B</t>
  </si>
  <si>
    <t>031/0022/E</t>
  </si>
  <si>
    <t>031/0033/E</t>
  </si>
  <si>
    <t>024/0070/E</t>
  </si>
  <si>
    <t>031/0031/B</t>
  </si>
  <si>
    <t>033/0030/A</t>
  </si>
  <si>
    <t>024/0041/B</t>
  </si>
  <si>
    <t>031/0035/B</t>
  </si>
  <si>
    <t>027/0014/H</t>
  </si>
  <si>
    <t>GERILZA BRITO CAVALCANTE</t>
  </si>
  <si>
    <t>027/0016/B</t>
  </si>
  <si>
    <t>LOURISMAR LIMA BRAGA</t>
  </si>
  <si>
    <t>027/0016/C</t>
  </si>
  <si>
    <t>HUGO DA SILVA</t>
  </si>
  <si>
    <t>029/0018/A</t>
  </si>
  <si>
    <t>PATRICIA BEZERRA DE OLIVEIRA</t>
  </si>
  <si>
    <t>029/0024/D</t>
  </si>
  <si>
    <t>CARLOS JESUS DA SILVA</t>
  </si>
  <si>
    <t>029/0025/A</t>
  </si>
  <si>
    <t>ADAILTON ALVES DOS SANTOS</t>
  </si>
  <si>
    <t>029/0036/L</t>
  </si>
  <si>
    <t>ROMÁRIO SANTANA DA SILVA</t>
  </si>
  <si>
    <t>029/0036/M</t>
  </si>
  <si>
    <t>PATRICIA PEREIRA TEIXEIRA</t>
  </si>
  <si>
    <t>029/0036/N</t>
  </si>
  <si>
    <t>VITÓRIA DA SILVA MEDEIROS</t>
  </si>
  <si>
    <t>029/0036/O</t>
  </si>
  <si>
    <t>WALDECI MARQUES CARDOSO FILHO</t>
  </si>
  <si>
    <t>029/0042/A</t>
  </si>
  <si>
    <t>CRISTINE DE LIMA BRITO</t>
  </si>
  <si>
    <t>029/0042/B</t>
  </si>
  <si>
    <t xml:space="preserve">PRISCILA SILVA ROLT </t>
  </si>
  <si>
    <t>029/0054/E</t>
  </si>
  <si>
    <t>AGUINALDO FERREIRA GUILHERME</t>
  </si>
  <si>
    <t>029/0066/C</t>
  </si>
  <si>
    <t>VERINA DOS SANTOS SILVA</t>
  </si>
  <si>
    <t>029/0085/D</t>
  </si>
  <si>
    <t> SARAH CAROLINE SILVA GUILHERME</t>
  </si>
  <si>
    <t>031/0006/C</t>
  </si>
  <si>
    <t>MARCIA DE SOUZA DE LIMA</t>
  </si>
  <si>
    <t>031/0009/A</t>
  </si>
  <si>
    <t>MANOEL ANTONIO DE LIMA</t>
  </si>
  <si>
    <t>031/0009/B</t>
  </si>
  <si>
    <t>MÁRCIA PANTALEÃO DA SILVA</t>
  </si>
  <si>
    <t>031/0010/A</t>
  </si>
  <si>
    <t>031/0017/F</t>
  </si>
  <si>
    <t>TAINA SANTANA DIAS DA SILVA</t>
  </si>
  <si>
    <t>031/0017/G</t>
  </si>
  <si>
    <t>PROPRIETÁRIO NÃO IDENTIFICADO</t>
  </si>
  <si>
    <t>031/0018/A</t>
  </si>
  <si>
    <t>LUCIANA FRANCILINO DE LIMA</t>
  </si>
  <si>
    <t>031/0023/B</t>
  </si>
  <si>
    <t>JOSE RIBEIRO DA CRUZ</t>
  </si>
  <si>
    <t>031/0023/C</t>
  </si>
  <si>
    <t xml:space="preserve">ERIVALDO DE SOUZA BARRETO </t>
  </si>
  <si>
    <t>031/0026/E</t>
  </si>
  <si>
    <t>EDIMILSON SANTOS GOMES</t>
  </si>
  <si>
    <t>031/0032/C</t>
  </si>
  <si>
    <t>ANOILSON SANTOS GOMES</t>
  </si>
  <si>
    <t>031/0034/E</t>
  </si>
  <si>
    <t>RONALDO DE SOUSA FONTENELE GOMES</t>
  </si>
  <si>
    <t>031/0034/H</t>
  </si>
  <si>
    <t>EUDES GONÇALVES CAVALCANTE</t>
  </si>
  <si>
    <t>DANIELE COSTA</t>
  </si>
  <si>
    <t>031/0034/K</t>
  </si>
  <si>
    <t>031/0036/A</t>
  </si>
  <si>
    <t>EUDES GONÇALVES CAVALCANTI</t>
  </si>
  <si>
    <t>031/0053/A</t>
  </si>
  <si>
    <t>JOÃO VICTOR ARAUJO DOS SANTOS</t>
  </si>
  <si>
    <t>031/0058/B</t>
  </si>
  <si>
    <t>FLAVIO ARAUJO DOS SANTOS</t>
  </si>
  <si>
    <t>031/0058/E</t>
  </si>
  <si>
    <t>ELIO NEVES DE SOUZA</t>
  </si>
  <si>
    <t>031/0058/H</t>
  </si>
  <si>
    <t>IVA CERQUEIRA LENARES</t>
  </si>
  <si>
    <t>031/0078/A</t>
  </si>
  <si>
    <t>EDNALDO BARBOSA BATISTA</t>
  </si>
  <si>
    <t>031/0078/B</t>
  </si>
  <si>
    <t>MARIA JOSE PEREIRA BASTOS</t>
  </si>
  <si>
    <t>033/0029/C</t>
  </si>
  <si>
    <t>PABLO SANTANA DA SILVA</t>
  </si>
  <si>
    <t>035/0029/A</t>
  </si>
  <si>
    <t>ERNANDES GOMES DE OLIVEIRA</t>
  </si>
  <si>
    <t>GILBERTO XAVIER DE SOUZA</t>
  </si>
  <si>
    <t>ANA CLAUDIA PEREIRA DA SILVA</t>
  </si>
  <si>
    <t>MAGDA GOMES LISBÔA</t>
  </si>
  <si>
    <t>VALQUIRIA GOMES DA SILVA</t>
  </si>
  <si>
    <t>IVALDO GOMES DA SILVA</t>
  </si>
  <si>
    <t>GRACELINE DE BARROS COSTA</t>
  </si>
  <si>
    <t>VANUSA GOMES DA SILVA</t>
  </si>
  <si>
    <t>TIAGO GOMES DA SILVA</t>
  </si>
  <si>
    <t>ERICA DE SOUZA DAS VIRGENS</t>
  </si>
  <si>
    <t>ROSENILDO MOREIRA DOS SANTOS</t>
  </si>
  <si>
    <t>MARCOS SILVA OLIVEIRA</t>
  </si>
  <si>
    <t>ANA CRISTINA DE BARROS COSTA</t>
  </si>
  <si>
    <t>ANDERSON NÓBREGA DE ARAÚJO</t>
  </si>
  <si>
    <t>025/0006/K</t>
  </si>
  <si>
    <t>JOSE REINALDO DA SILVA</t>
  </si>
  <si>
    <t>025/0006/L</t>
  </si>
  <si>
    <t>JOSINETE CARVALHO SILVA</t>
  </si>
  <si>
    <t>025/0007/A</t>
  </si>
  <si>
    <t>MARIA APARECIDA FLECKENSTEIN VIEIRA</t>
  </si>
  <si>
    <t>025/0007/B</t>
  </si>
  <si>
    <t>CAROLINA SILVA DO NASCIMENTO</t>
  </si>
  <si>
    <t>025/0007/C</t>
  </si>
  <si>
    <t>025/0007/D</t>
  </si>
  <si>
    <t>JADIMILE BENIGNO BARRETO</t>
  </si>
  <si>
    <t>025/0007/E</t>
  </si>
  <si>
    <t>WILLIAN SALGADO DA SILVA</t>
  </si>
  <si>
    <t>025/0008/A</t>
  </si>
  <si>
    <t>WESLLEY DE JESUS OLIVEIRA</t>
  </si>
  <si>
    <t>025/0008/B</t>
  </si>
  <si>
    <t>JACKSON BISPO DA SILVA</t>
  </si>
  <si>
    <t>025/0008/C</t>
  </si>
  <si>
    <t>LAYZA FERREIRA OLIVEIRA</t>
  </si>
  <si>
    <t>025/0009/A</t>
  </si>
  <si>
    <t>025/0009/B</t>
  </si>
  <si>
    <t>JOANÊZ BISPO DOS SANTOS DA SILVA</t>
  </si>
  <si>
    <t>025/0009/C</t>
  </si>
  <si>
    <t>PAULA VIVIANE DA SILVA</t>
  </si>
  <si>
    <t>025/0009/D</t>
  </si>
  <si>
    <t>DENISE LIMA DA CRUZ</t>
  </si>
  <si>
    <t>025/0009/E</t>
  </si>
  <si>
    <t>GEOVANA DO COUTO GONÇALVES</t>
  </si>
  <si>
    <t>025/0009/F</t>
  </si>
  <si>
    <t>SUELI ZACARIAS</t>
  </si>
  <si>
    <t>025/0009/G</t>
  </si>
  <si>
    <t>EDINALDO DOS SANTOS MACEDO</t>
  </si>
  <si>
    <t>025/0009/H</t>
  </si>
  <si>
    <t>DIANA FATIMA DE SANTANA</t>
  </si>
  <si>
    <t>025/0009/I</t>
  </si>
  <si>
    <t xml:space="preserve">FRANCISCO CILANE AMADOR DA SILVA </t>
  </si>
  <si>
    <t>025/0009/J</t>
  </si>
  <si>
    <t>LECIVALDO ALVES DE OLIVEIRA</t>
  </si>
  <si>
    <t>025/0009/K</t>
  </si>
  <si>
    <t>FRANCISCO IRANILDO DOMINGO ARAUJO</t>
  </si>
  <si>
    <t>025/0010/A</t>
  </si>
  <si>
    <t>EDNALDA DA CONCEIÇÃO BENTO</t>
  </si>
  <si>
    <t>025/0010/B</t>
  </si>
  <si>
    <t>MÁRIO DE SANTANA</t>
  </si>
  <si>
    <t>025/0010/C</t>
  </si>
  <si>
    <t>JOSÉ IVAM DE MELO SILVA</t>
  </si>
  <si>
    <t>025/0010/D</t>
  </si>
  <si>
    <t>DARLENE ESTEFANY DA SILVA</t>
  </si>
  <si>
    <t>025/0010/E</t>
  </si>
  <si>
    <t>DANILO DA SILVA SANTOS</t>
  </si>
  <si>
    <t>025/0010/F</t>
  </si>
  <si>
    <t>JOHN WESLEY BARBOSA DANTAS</t>
  </si>
  <si>
    <t>025/0010/G</t>
  </si>
  <si>
    <t>JOSÉ MARIA FERREIRA DE SOUSA</t>
  </si>
  <si>
    <t>025/0010/H</t>
  </si>
  <si>
    <t>LUANA CAROLINA SOUZA DA SILVA</t>
  </si>
  <si>
    <t>025/0010/I</t>
  </si>
  <si>
    <t>ESMERALDO DA CRUZ SOUZA</t>
  </si>
  <si>
    <t>025/0011/A</t>
  </si>
  <si>
    <t>LUCAS EDUARDO NOBREGA MARTINS</t>
  </si>
  <si>
    <t>025/0012/A</t>
  </si>
  <si>
    <t>MAIANE PRAZERES DIAS</t>
  </si>
  <si>
    <t>025/0012/B</t>
  </si>
  <si>
    <t>AGUINALDO RODRIGUES DE BRITO</t>
  </si>
  <si>
    <t>025/0012/C</t>
  </si>
  <si>
    <t>JUSCIARA ALVES DE ALMEIDA</t>
  </si>
  <si>
    <t>025/0012/D</t>
  </si>
  <si>
    <t>MICHELE ALBUQUERQUE SILVA</t>
  </si>
  <si>
    <t>025/0012/E</t>
  </si>
  <si>
    <t>CORNELIO CESARIO DA SILVA</t>
  </si>
  <si>
    <t>025/0013/A</t>
  </si>
  <si>
    <t>VANDERLEIA LOIOLA GOMES</t>
  </si>
  <si>
    <t>025/0013/B</t>
  </si>
  <si>
    <t>ALINE SANTOS XAVIER</t>
  </si>
  <si>
    <t>025/0013/C</t>
  </si>
  <si>
    <t>025/0013/D</t>
  </si>
  <si>
    <t>025/0014/A</t>
  </si>
  <si>
    <t>JOENILSON PEREIRA ALMEIDA</t>
  </si>
  <si>
    <t>025/0014/B</t>
  </si>
  <si>
    <t>RODRIGO LIMA PEREIRA</t>
  </si>
  <si>
    <t>025/0014/C</t>
  </si>
  <si>
    <t>CARLOS MATHEUS FILHO</t>
  </si>
  <si>
    <t>025/0015/A</t>
  </si>
  <si>
    <t>ADRIANA CONCEIÇÃO CAMILO</t>
  </si>
  <si>
    <t>025/0015/B</t>
  </si>
  <si>
    <t>WILLIAM SANTOS NASCIMENTO</t>
  </si>
  <si>
    <t>025/0016/A</t>
  </si>
  <si>
    <t>RODRIGO SILVA NASCIMENTO</t>
  </si>
  <si>
    <t>025/0016/B</t>
  </si>
  <si>
    <t>025/0016/C</t>
  </si>
  <si>
    <t>JOSEFA MARIA DE SOUZA MELO</t>
  </si>
  <si>
    <t>025/0016/D</t>
  </si>
  <si>
    <t>JONAS BARRA NOVA DE MELO</t>
  </si>
  <si>
    <t>025/0016/E</t>
  </si>
  <si>
    <t>ANA PAULA DA CONCEIÇÃO QUEIROZ</t>
  </si>
  <si>
    <t>025/0017/A</t>
  </si>
  <si>
    <t>JOCENILDA BARRA NOVA DE SOUZA</t>
  </si>
  <si>
    <t>025/0017/B</t>
  </si>
  <si>
    <t>JOCINEIDE BARRA NOVA DE MELO</t>
  </si>
  <si>
    <t>025/0018/A</t>
  </si>
  <si>
    <t>CIDELIA DA SILVA MASCARENHAS</t>
  </si>
  <si>
    <t>025/0018/B</t>
  </si>
  <si>
    <t>025/0018/C</t>
  </si>
  <si>
    <t>EDIVALDO RAMOS MASCARENHAS</t>
  </si>
  <si>
    <t>025/0018/D</t>
  </si>
  <si>
    <t>SILVANA DA SILVA MASCARENHAS</t>
  </si>
  <si>
    <t>025/0018/E</t>
  </si>
  <si>
    <t>025/0018/F</t>
  </si>
  <si>
    <t>CILENE MARTINS CORREIA DA CRUZ</t>
  </si>
  <si>
    <t>025/0018/G</t>
  </si>
  <si>
    <t>THAISA NASCIMENTO CARVALHO</t>
  </si>
  <si>
    <t>025/0018/H</t>
  </si>
  <si>
    <t>PEDRO ALVARES CANDIDO</t>
  </si>
  <si>
    <t>025/0018/I</t>
  </si>
  <si>
    <t>JOSE IZIDRO DA SILVA FILHO</t>
  </si>
  <si>
    <t>025/0018/J</t>
  </si>
  <si>
    <t>025/0019/A</t>
  </si>
  <si>
    <t>025/0019/B</t>
  </si>
  <si>
    <t>025/0019/C</t>
  </si>
  <si>
    <t>025/0019/D</t>
  </si>
  <si>
    <t>JUNITA FRAGA FIGUEREDO</t>
  </si>
  <si>
    <t>025/0019/E</t>
  </si>
  <si>
    <t>025/0019/F</t>
  </si>
  <si>
    <t>025/0019/G</t>
  </si>
  <si>
    <t>025/0019/H</t>
  </si>
  <si>
    <t xml:space="preserve">KARINA NOEMIA FONTOURA FREIRE </t>
  </si>
  <si>
    <t>025/0019/I</t>
  </si>
  <si>
    <t>JACILENE DE JESUS LOPES</t>
  </si>
  <si>
    <t>025/0019/J</t>
  </si>
  <si>
    <t>ANTONIO BATISTA FERNANDES BESERRA</t>
  </si>
  <si>
    <t>025/0020/A</t>
  </si>
  <si>
    <t> FABIO BARBOSA DA SILVA VIANA</t>
  </si>
  <si>
    <t>025/0020/B</t>
  </si>
  <si>
    <t>GUILHERME NERIS SANTOS</t>
  </si>
  <si>
    <t>025/0020/C</t>
  </si>
  <si>
    <t>LORRANA DOS SANTOS SOUZA</t>
  </si>
  <si>
    <t>025/0020/D</t>
  </si>
  <si>
    <t>IRES KEILLA DO NASCIMENTO</t>
  </si>
  <si>
    <t>025/0020/E</t>
  </si>
  <si>
    <t xml:space="preserve">GUILHERME SOARES DA SILVA </t>
  </si>
  <si>
    <t>025/0020/F</t>
  </si>
  <si>
    <t xml:space="preserve">BRUNO PEREIRA DUARTE </t>
  </si>
  <si>
    <t>025/0021/A</t>
  </si>
  <si>
    <t>DANIEL DA CRUZ SOUZA</t>
  </si>
  <si>
    <t>025/0021/B</t>
  </si>
  <si>
    <t>ANTÔNIO CARLOS DE JESUS FRANCA</t>
  </si>
  <si>
    <t>025/0021/C</t>
  </si>
  <si>
    <t xml:space="preserve">LUCAS EVANGELISTA ROCHA </t>
  </si>
  <si>
    <t>025/0021/D</t>
  </si>
  <si>
    <t>RAILAN DOURADO ROCHA</t>
  </si>
  <si>
    <t>025/0021/E</t>
  </si>
  <si>
    <t>MAURICIO SANTOS GAUDENCIO DA SILVA</t>
  </si>
  <si>
    <t>025/0022/A</t>
  </si>
  <si>
    <t>RODOLFO FIGUEREDO SANTOS DE CARVALHO</t>
  </si>
  <si>
    <t>025/0022/B</t>
  </si>
  <si>
    <t>GABRIELLA DA SILVA LOPES BARBOSA</t>
  </si>
  <si>
    <t>025/0023/A</t>
  </si>
  <si>
    <t>GUSTAVO GOMES DA SILVA</t>
  </si>
  <si>
    <t>025/0023/B</t>
  </si>
  <si>
    <t>JÉSSICA RAMOS DE SANTANA</t>
  </si>
  <si>
    <t>025/0023/C</t>
  </si>
  <si>
    <t> DENILSON DE SOUZA LOPES</t>
  </si>
  <si>
    <t>025/0023/D</t>
  </si>
  <si>
    <t>025/0023/E</t>
  </si>
  <si>
    <t xml:space="preserve">LUCIELLY FLORENCIO DE ALMEIDA </t>
  </si>
  <si>
    <t>025/0024/A</t>
  </si>
  <si>
    <t>THAYNAN EVILLY DINIZ SILVA</t>
  </si>
  <si>
    <t>025/0024/B</t>
  </si>
  <si>
    <t xml:space="preserve">ISAIAS DA CRUZ SOUZA </t>
  </si>
  <si>
    <t>025/0024/C</t>
  </si>
  <si>
    <t> THIAGO DA CRUZ ARAUJO</t>
  </si>
  <si>
    <t>025/0024/D</t>
  </si>
  <si>
    <t>  DAIANA DE MOURA BATISTA</t>
  </si>
  <si>
    <t>025/0024/E</t>
  </si>
  <si>
    <t>FERNANDO CHÉLIDO DE OLIVEIRA</t>
  </si>
  <si>
    <t>025/0025/A</t>
  </si>
  <si>
    <t xml:space="preserve">ALESSANDRA CLEMENTE DA SILVA </t>
  </si>
  <si>
    <t>025/0025/B</t>
  </si>
  <si>
    <t>ELIENE DE JESUS SANTIAGO</t>
  </si>
  <si>
    <t>025/0025/C</t>
  </si>
  <si>
    <t>ALCIMAR CORREIA DA SILVA</t>
  </si>
  <si>
    <t>025/0025/D</t>
  </si>
  <si>
    <t>EVANDRO FRAGA LIMA</t>
  </si>
  <si>
    <t>025/0025/E</t>
  </si>
  <si>
    <t>ANA MICHELLE PAIXÃO DA SILVA</t>
  </si>
  <si>
    <t>025/0025/F</t>
  </si>
  <si>
    <t>MAURICIO FREITAS DE JESUS</t>
  </si>
  <si>
    <t>025/0025/G</t>
  </si>
  <si>
    <t>SILVANEIDE ROSA DE SOUSA</t>
  </si>
  <si>
    <t>025/0025/H</t>
  </si>
  <si>
    <t>ANISIA ROSA RODRIGUES DE SOUZA</t>
  </si>
  <si>
    <t>025/0025/I</t>
  </si>
  <si>
    <t>JOSÉ MARCOS SOUSA SANTOS</t>
  </si>
  <si>
    <t>025/0025/J</t>
  </si>
  <si>
    <t>DJAILSON SOUSA SANTOS</t>
  </si>
  <si>
    <t>025/0025/K</t>
  </si>
  <si>
    <t>BRUNO RIBEIRO NOVAES</t>
  </si>
  <si>
    <t>025/0025/L</t>
  </si>
  <si>
    <t>MARIA DO DESTERRO SOARES DA SILVA</t>
  </si>
  <si>
    <t>025/0025/M</t>
  </si>
  <si>
    <t>JOILSON SANTOS DE SOUZA</t>
  </si>
  <si>
    <t>025/0025/N</t>
  </si>
  <si>
    <t>LUCAS AUGUSTO ALVES BRAGA DOS SANTOS</t>
  </si>
  <si>
    <t>025/0026/A</t>
  </si>
  <si>
    <t>MARIA ZÉLIA RODRIGUES DE SOUSA SILVA</t>
  </si>
  <si>
    <t>025/0026/B</t>
  </si>
  <si>
    <t>ELIANDRO DE SOUZA ALMEIDA</t>
  </si>
  <si>
    <t>025/0026/C</t>
  </si>
  <si>
    <t> CLÉIA BRITO DE OLIVEIRA</t>
  </si>
  <si>
    <t>025/0026/D</t>
  </si>
  <si>
    <t>REGINALDO SIQUEIRA</t>
  </si>
  <si>
    <t>025/0026/E</t>
  </si>
  <si>
    <t>SEVERINA BARBOSA DA SILVA</t>
  </si>
  <si>
    <t>025/0026/F</t>
  </si>
  <si>
    <t>ELIANE CRISTINA OLIVEIRA ROCHA</t>
  </si>
  <si>
    <t>025/0026/G</t>
  </si>
  <si>
    <t>VINICIUS DE FONTES ARAUJO</t>
  </si>
  <si>
    <t>025/0026/H</t>
  </si>
  <si>
    <t>DEBORA MARIA DE FARIAS</t>
  </si>
  <si>
    <t>025/0026/I</t>
  </si>
  <si>
    <t>MARIA DACILEIDE DA SILVA DE OLIVEIRA</t>
  </si>
  <si>
    <t>025/0027/A</t>
  </si>
  <si>
    <t>RAFAEL DA SILVA CANDIDO</t>
  </si>
  <si>
    <t>025/0027/B</t>
  </si>
  <si>
    <t>VALDELICE CÂNDIDA DA SILVA</t>
  </si>
  <si>
    <t>025/0027/C</t>
  </si>
  <si>
    <t>LUANA CANDIDA DA SILVA</t>
  </si>
  <si>
    <t>025/0028/A</t>
  </si>
  <si>
    <t>RENILSON SANTOS DE JESUS</t>
  </si>
  <si>
    <t>025/0028/B</t>
  </si>
  <si>
    <t>JOSÉ CANDIDO DE FARIAS</t>
  </si>
  <si>
    <t>025/0028/C</t>
  </si>
  <si>
    <t> RAFAEL CANDIDO DE FARIAS</t>
  </si>
  <si>
    <t>025/0028/D</t>
  </si>
  <si>
    <t> MIQUEIAS ARNALDO CANDIDO DA SILVA</t>
  </si>
  <si>
    <t>025/0028/E</t>
  </si>
  <si>
    <t>VALDIR BRAZ SOUZA</t>
  </si>
  <si>
    <t>025/0028/F</t>
  </si>
  <si>
    <t> NATALY CRISTINA FARIAS DOS SANTOS</t>
  </si>
  <si>
    <t>025/0028/G</t>
  </si>
  <si>
    <t>VILMÁRIA CANDIDA</t>
  </si>
  <si>
    <t>025/0028/H</t>
  </si>
  <si>
    <t>JOSE BARBOSA MACIEL</t>
  </si>
  <si>
    <t>025/0028/I</t>
  </si>
  <si>
    <t>MARIANA PEREIRA DUARTE</t>
  </si>
  <si>
    <t>025/0029/A</t>
  </si>
  <si>
    <t>STEPHANIE CAROLINE BORGES E SILVA DE SOUZA</t>
  </si>
  <si>
    <t>025/0029/B</t>
  </si>
  <si>
    <t>PAULO ROBERTO DA ROCHA</t>
  </si>
  <si>
    <t>025/0029/C</t>
  </si>
  <si>
    <t>JOSE CARLOS ATHAYDES</t>
  </si>
  <si>
    <t>025/0029/D</t>
  </si>
  <si>
    <t>HELENA FERREIRA DE OLIVEIRA</t>
  </si>
  <si>
    <t>025/0030/A</t>
  </si>
  <si>
    <t>DANIELE VITÓRIA ANDRADE DE OLIVEIRA</t>
  </si>
  <si>
    <t>025/0031/A</t>
  </si>
  <si>
    <t>JAQUELINE VELOSO ROCHA</t>
  </si>
  <si>
    <t>025/0031/B</t>
  </si>
  <si>
    <t>DAMIAO DE JESUS SANTOS</t>
  </si>
  <si>
    <t>025/0055/A</t>
  </si>
  <si>
    <t>JOEL JOSUÉ BATISTA LIMA</t>
  </si>
  <si>
    <t>027/0002/E</t>
  </si>
  <si>
    <t>RAQUEL BARROS SILVA</t>
  </si>
  <si>
    <t>027/0004/A</t>
  </si>
  <si>
    <t>JOEL ALMEIDA DOS SANTOS</t>
  </si>
  <si>
    <t>027/0004/B</t>
  </si>
  <si>
    <t>PABLO SOUZA SANTOS</t>
  </si>
  <si>
    <t>027/0005/A</t>
  </si>
  <si>
    <t> ERINALDO LIMA SANTOS</t>
  </si>
  <si>
    <t>027/0005/B</t>
  </si>
  <si>
    <t>SHEILA SANTOS OLIVEIRA</t>
  </si>
  <si>
    <t>027/0005/C</t>
  </si>
  <si>
    <t>JOÃO CARLOS HOLANDA DA SILVA</t>
  </si>
  <si>
    <t>027/0005/D</t>
  </si>
  <si>
    <t>ROZICLEUDES DAMACENO DOS SANTOS</t>
  </si>
  <si>
    <t>027/0005/E</t>
  </si>
  <si>
    <t>IVANILDO FERREIRA DA CRUZ</t>
  </si>
  <si>
    <t>027/0005/F</t>
  </si>
  <si>
    <t> GENIVAL CONSTANTINO DE OLIVEIRA</t>
  </si>
  <si>
    <t>027/0005/G</t>
  </si>
  <si>
    <t> MARIA FRANCISCO ALVES</t>
  </si>
  <si>
    <t>027/0005/H</t>
  </si>
  <si>
    <t>NAYARA FRANCISCO ALVES</t>
  </si>
  <si>
    <t>027/0005/I</t>
  </si>
  <si>
    <t>CLOVIS RODRIGUES DA SILVA</t>
  </si>
  <si>
    <t>027/0005/J</t>
  </si>
  <si>
    <t>MANOEL LUIZ PAIXÃO DA SILVA</t>
  </si>
  <si>
    <t>027/0005/K</t>
  </si>
  <si>
    <t>027/0006/A</t>
  </si>
  <si>
    <t>PEDRO JOÃO NASCIMENTO</t>
  </si>
  <si>
    <t>027/0007/A</t>
  </si>
  <si>
    <t>027/0007/B</t>
  </si>
  <si>
    <t>JURANDIR RODRIGUES ALMEIDA SOUZA</t>
  </si>
  <si>
    <t>027/0008/A</t>
  </si>
  <si>
    <t>027/0008/B</t>
  </si>
  <si>
    <t>027/0008/C</t>
  </si>
  <si>
    <t>ELEANDRO DE JESUS</t>
  </si>
  <si>
    <t>027/0008/D</t>
  </si>
  <si>
    <t>JAQUELINE DE JESUS SANTOS</t>
  </si>
  <si>
    <t>027/0009/A</t>
  </si>
  <si>
    <t>LUCIANO OLIVEIRA BOMFIM</t>
  </si>
  <si>
    <t>027/0009/B</t>
  </si>
  <si>
    <t>PRETIANE MARQUES DE SOUSA</t>
  </si>
  <si>
    <t>027/0009/C</t>
  </si>
  <si>
    <t>MARIA CÍCERA DA SILVA</t>
  </si>
  <si>
    <t>027/0010/A</t>
  </si>
  <si>
    <t>MIRIAM DA CONCEIÇÃO SANTOS</t>
  </si>
  <si>
    <t>027/0010/B</t>
  </si>
  <si>
    <t>TERESINHA DA ROCHA CAMILO</t>
  </si>
  <si>
    <t>027/0012/C</t>
  </si>
  <si>
    <t>JOSUE CAMILO DE ANDRADE</t>
  </si>
  <si>
    <t>027/0014/A</t>
  </si>
  <si>
    <t>ILZETE DE JESUS</t>
  </si>
  <si>
    <t>027/0014/B</t>
  </si>
  <si>
    <t>MARLENE PORTO DA SILVA</t>
  </si>
  <si>
    <t>027/0014/C</t>
  </si>
  <si>
    <t>VINICIUS DIAS NOGUEIRA</t>
  </si>
  <si>
    <t>027/0014/D</t>
  </si>
  <si>
    <t>027/0014/E</t>
  </si>
  <si>
    <t>CLAUDIA DIAS DE SOUZA</t>
  </si>
  <si>
    <t>027/0014/F</t>
  </si>
  <si>
    <t>MAXIMA CRISTINA FRANCISCA DA SILVA</t>
  </si>
  <si>
    <t>027/0014/G</t>
  </si>
  <si>
    <t>ELIENE DE JESUS SANTOS</t>
  </si>
  <si>
    <t>JUVENAL PEREIRA CASTRO</t>
  </si>
  <si>
    <t>027/0015/A</t>
  </si>
  <si>
    <t> LUIZ FELIPE DE SOUZA SANTOS</t>
  </si>
  <si>
    <t>027/0016/A</t>
  </si>
  <si>
    <t>ALIOMAR PEREIRA SOUZA</t>
  </si>
  <si>
    <t>ÂNGELA CASTRO DOS SANTOS </t>
  </si>
  <si>
    <t>EMILIA MARIA DA SILVA SANTOS</t>
  </si>
  <si>
    <t>027/0016/D</t>
  </si>
  <si>
    <t> FRANCEILTON FEITOSA MANDU</t>
  </si>
  <si>
    <t>027/0017/A</t>
  </si>
  <si>
    <t>JESICA CELINA GIMENEZ GONZALEZ</t>
  </si>
  <si>
    <t>027/0017/B</t>
  </si>
  <si>
    <t>TACISO FERNANDES DA SILVA</t>
  </si>
  <si>
    <t>027/0018/A</t>
  </si>
  <si>
    <t xml:space="preserve">RAIMUNDO FERNANDES DA SILVA </t>
  </si>
  <si>
    <t>027/0018/B</t>
  </si>
  <si>
    <t>027/0018/C</t>
  </si>
  <si>
    <t>AILTON ROSA DOS SANTOS</t>
  </si>
  <si>
    <t>027/0018/D</t>
  </si>
  <si>
    <t>JEANE PEREIRA DA SILVA NUNES</t>
  </si>
  <si>
    <t>027/0018/E</t>
  </si>
  <si>
    <t>VALMISIA JESUS SANTOS</t>
  </si>
  <si>
    <t>027/0018/F</t>
  </si>
  <si>
    <t>MARIANA DA SILVA VIANA</t>
  </si>
  <si>
    <t>027/0018/G</t>
  </si>
  <si>
    <t>MICHEL ALEXANDRE DA SILVA</t>
  </si>
  <si>
    <t>027/0018/H</t>
  </si>
  <si>
    <t>SABRINA OTAVIANO DOS SANTOS</t>
  </si>
  <si>
    <t>027/0018/I</t>
  </si>
  <si>
    <t>027/0018/J</t>
  </si>
  <si>
    <t>ZENOBIA FIGUEIREDO DA SILVA</t>
  </si>
  <si>
    <t>027/0019/A</t>
  </si>
  <si>
    <t>CLAUDINEI SILVERIO BEZERRA</t>
  </si>
  <si>
    <t>027/0019/B</t>
  </si>
  <si>
    <t>DOMICIO DE SOUZA SANTOS FILHO</t>
  </si>
  <si>
    <t>027/0019/C</t>
  </si>
  <si>
    <t>SIMONE DE ANDRADE SANTOS</t>
  </si>
  <si>
    <t>027/0019/D</t>
  </si>
  <si>
    <t>CRISTINA DE LIMA</t>
  </si>
  <si>
    <t>JORGE RIBEIRO ALMEIDA DE NORONHA</t>
  </si>
  <si>
    <t>JONATAS SANTOS DIAS</t>
  </si>
  <si>
    <t>029/0008/A</t>
  </si>
  <si>
    <t>GLÓRIA DE FÁTIMA SANTOS MATOS</t>
  </si>
  <si>
    <t>029/0008/B</t>
  </si>
  <si>
    <t>029/0008/C</t>
  </si>
  <si>
    <t>CARLOS ROBERTO SANTANA DA SILVA</t>
  </si>
  <si>
    <t>029/0009/A</t>
  </si>
  <si>
    <t xml:space="preserve">LÉA FABIANA RODRIGUES ALVES </t>
  </si>
  <si>
    <t>029/0010/A</t>
  </si>
  <si>
    <t>JACKSON FELICIDADE DOS SANTOS</t>
  </si>
  <si>
    <t>029/0011/A</t>
  </si>
  <si>
    <t>029/0011/B</t>
  </si>
  <si>
    <t>MARIA JOSÉ DOS SANTOS</t>
  </si>
  <si>
    <t>029/0011/C</t>
  </si>
  <si>
    <t>DANIELLA DO NASCIMENTO JESUS</t>
  </si>
  <si>
    <t>029/0011/D</t>
  </si>
  <si>
    <t>GIRLENE PEREIRA DO NASCIMENTO</t>
  </si>
  <si>
    <t>029/0014/A</t>
  </si>
  <si>
    <t>MARIA ALVES VIEIRA</t>
  </si>
  <si>
    <t>029/0014/B</t>
  </si>
  <si>
    <t>SANDRA PEREIRA DE OLIVEIRA</t>
  </si>
  <si>
    <t>029/0015/A</t>
  </si>
  <si>
    <t> VIVIANE PEREIRA DA SILVA</t>
  </si>
  <si>
    <t>029/0016/A</t>
  </si>
  <si>
    <t>SANDRO MARIANO DE ALMEIDA</t>
  </si>
  <si>
    <t>029/0016/B</t>
  </si>
  <si>
    <t>029/0016/C</t>
  </si>
  <si>
    <t>VERA LUCIA SILVA</t>
  </si>
  <si>
    <t>LUIZ DAVI FERNANDES DO NASCIMENTO</t>
  </si>
  <si>
    <t>029/0019/A</t>
  </si>
  <si>
    <t>WILLIAM BASTOS DE OLIVEIRA</t>
  </si>
  <si>
    <t>029/0020/A</t>
  </si>
  <si>
    <t>029/0021/A</t>
  </si>
  <si>
    <t>ERICA FERREIRA DOS SANTOS</t>
  </si>
  <si>
    <t>029/0021/B</t>
  </si>
  <si>
    <t>SIMONE FAUSTINO DOS SANTOS</t>
  </si>
  <si>
    <t>029/0021/C</t>
  </si>
  <si>
    <t>SIRANY FRANCISCA DE SÁ</t>
  </si>
  <si>
    <t>029/0021/D</t>
  </si>
  <si>
    <t>KEVIN THOMAS MARQUES DE OLIVEIRA</t>
  </si>
  <si>
    <t>029/0021/E</t>
  </si>
  <si>
    <t>CARLOS LUIS SOUZA DA CUNHA</t>
  </si>
  <si>
    <t>029/0021/F</t>
  </si>
  <si>
    <t>NELSON HENRIQUE SANTOS</t>
  </si>
  <si>
    <t>029/0021/G</t>
  </si>
  <si>
    <t>NAIR DE SOUZA BRAGA</t>
  </si>
  <si>
    <t>029/0022/A</t>
  </si>
  <si>
    <t>ISMAEL COSME DE OLIVEIRA</t>
  </si>
  <si>
    <t>029/0022/B</t>
  </si>
  <si>
    <t>VICTOR DE SOUZA ROCHA</t>
  </si>
  <si>
    <t>029/0022/C</t>
  </si>
  <si>
    <t>VALESKA DE SOUZA ROCHA</t>
  </si>
  <si>
    <t>029/0022/D</t>
  </si>
  <si>
    <t>029/0022/E</t>
  </si>
  <si>
    <t>029/0022/F</t>
  </si>
  <si>
    <t>029/0023/A</t>
  </si>
  <si>
    <t>WAGNER KLEBSON DE SOUSA</t>
  </si>
  <si>
    <t>029/0023/B</t>
  </si>
  <si>
    <t>DIOGO MARQUES TEIXEIRA</t>
  </si>
  <si>
    <t>029/0023/C</t>
  </si>
  <si>
    <t>029/0023/D</t>
  </si>
  <si>
    <t>JOSEFA LUCIA DOS SANTOS SOUZA</t>
  </si>
  <si>
    <t>MARIA BATISTA LIMA</t>
  </si>
  <si>
    <t>029/0023/F</t>
  </si>
  <si>
    <t>ANTÔNIO MIGUEL DA CONCEIÇÃO SILVA</t>
  </si>
  <si>
    <t>029/0023/G</t>
  </si>
  <si>
    <t>EDVALDO PINHEIRO DA SILVA</t>
  </si>
  <si>
    <t>029/0024/A</t>
  </si>
  <si>
    <t>EDUARDA DE SOUSA SILVA</t>
  </si>
  <si>
    <t>029/0024/B</t>
  </si>
  <si>
    <t>VANIA CRISTINA DE SOUZA</t>
  </si>
  <si>
    <t>GILNETO EDUARDO PEREIRA</t>
  </si>
  <si>
    <t>MARIA PAULA BATISTA LISBOA</t>
  </si>
  <si>
    <t>029/0024/E</t>
  </si>
  <si>
    <t>GILCELIANE DE NOVAES SANTOS</t>
  </si>
  <si>
    <t>029/0024/F</t>
  </si>
  <si>
    <t>029/0024/G</t>
  </si>
  <si>
    <t>029/0024/H</t>
  </si>
  <si>
    <t>CANTIDIA CARLOS DE SOUZA</t>
  </si>
  <si>
    <t>029/0024/I</t>
  </si>
  <si>
    <t>029/0024/J</t>
  </si>
  <si>
    <t>VANDERSON DE SOUZA MENEZES</t>
  </si>
  <si>
    <t>029/0025/B</t>
  </si>
  <si>
    <t>MARIA ALBERTINA DE JESUS</t>
  </si>
  <si>
    <t>029/0026/A</t>
  </si>
  <si>
    <t>029/0026/B</t>
  </si>
  <si>
    <t>029/0027/B</t>
  </si>
  <si>
    <t>HILZA AGUIAR DE SOUZA</t>
  </si>
  <si>
    <t>029/0027/C</t>
  </si>
  <si>
    <t>JUCELI MARIA DOS SANTOS</t>
  </si>
  <si>
    <t>029/0028/A</t>
  </si>
  <si>
    <t>JOSÉ DANIEL GOMES</t>
  </si>
  <si>
    <t>029/0028/B</t>
  </si>
  <si>
    <t>029/0029/A</t>
  </si>
  <si>
    <t>029/0032/A</t>
  </si>
  <si>
    <t>LUCAS SANTOS NERY REIS</t>
  </si>
  <si>
    <t>029/0032/B</t>
  </si>
  <si>
    <t>AMANDA MARIA FELIX DA SILVA</t>
  </si>
  <si>
    <t>029/0035/A</t>
  </si>
  <si>
    <t>MARIA NECI MARTINS CORREIA</t>
  </si>
  <si>
    <t>ANTONIA MARIA DE SOUZA CORREIA</t>
  </si>
  <si>
    <t>029/0036/A</t>
  </si>
  <si>
    <t>ROBSON MARTINS CORREIA</t>
  </si>
  <si>
    <t>029/0036/B</t>
  </si>
  <si>
    <t>029/0036/C</t>
  </si>
  <si>
    <t>JOÃO NILSON DA SILVA DULTRA</t>
  </si>
  <si>
    <t>029/0036/D</t>
  </si>
  <si>
    <t>JOÃO PAULO DE SOUZA</t>
  </si>
  <si>
    <t>029/0036/E</t>
  </si>
  <si>
    <t>PEDRO IZIDORIO BISPO</t>
  </si>
  <si>
    <t>MICHEL DA SILVA PACHECO</t>
  </si>
  <si>
    <t>029/0036/G</t>
  </si>
  <si>
    <t>GILMARIO RODRIGUES FERREIRA</t>
  </si>
  <si>
    <t>029/0036/H</t>
  </si>
  <si>
    <t>JOSÉ LAILTON DOS SANTOS</t>
  </si>
  <si>
    <t>029/0036/I</t>
  </si>
  <si>
    <t>JEAN DE JESUS SILVA</t>
  </si>
  <si>
    <t>029/0036/J</t>
  </si>
  <si>
    <t>CARLITO IZIDORIO BISPO</t>
  </si>
  <si>
    <t>029/0036/K</t>
  </si>
  <si>
    <t>MATEUS LEITE DE MELO</t>
  </si>
  <si>
    <t> IARA CERQUEIRA DA SILVA</t>
  </si>
  <si>
    <t>CRISTIAN DE JESUS DIAS</t>
  </si>
  <si>
    <t>VINICIUS LINS MELO</t>
  </si>
  <si>
    <t>CRICIELTON MARQUES DA SILVA PEREIRA</t>
  </si>
  <si>
    <t>029/0036/P</t>
  </si>
  <si>
    <t>LUCAS ALVES DE ANDRADE FERREIRA</t>
  </si>
  <si>
    <t>029/0037/A</t>
  </si>
  <si>
    <t>LUIS HENRIQUE DE CARVALHO BARBOSA</t>
  </si>
  <si>
    <t>029/0038/A</t>
  </si>
  <si>
    <t>PALOMA FRAGA DOS SAQNTOS</t>
  </si>
  <si>
    <t>029/0038/B</t>
  </si>
  <si>
    <t>NILANDE DA SILVA SOUZA</t>
  </si>
  <si>
    <t>029/0038/C</t>
  </si>
  <si>
    <t>029/0039/A</t>
  </si>
  <si>
    <t>LUIZ CARLOS MATOS LIMA</t>
  </si>
  <si>
    <t>029/0039/C</t>
  </si>
  <si>
    <t>ADELSON DO VALI PEREIRA</t>
  </si>
  <si>
    <t>029/0039/D</t>
  </si>
  <si>
    <t xml:space="preserve"> EMILY DA SILVA RODRIGUES </t>
  </si>
  <si>
    <t>029/0040/A</t>
  </si>
  <si>
    <t>MARIA ELIANE DA SILVA</t>
  </si>
  <si>
    <t>029/0041/A</t>
  </si>
  <si>
    <t>029/0041/B</t>
  </si>
  <si>
    <t> MARIA ANGELICA POMA SANCHEZ</t>
  </si>
  <si>
    <t>LUCILENE DOS SANTOS SILVA</t>
  </si>
  <si>
    <t>029/0042/C</t>
  </si>
  <si>
    <t>JOSÉ IVONILDO DOS SANTOS</t>
  </si>
  <si>
    <t>029/0043/A</t>
  </si>
  <si>
    <t>029/0043/B</t>
  </si>
  <si>
    <t xml:space="preserve">CLEUDYSON EDSON SILVA DINIZ </t>
  </si>
  <si>
    <t>029/0044/A</t>
  </si>
  <si>
    <t>FRANCISCA AURINETE DINIZ</t>
  </si>
  <si>
    <t>029/0044/B</t>
  </si>
  <si>
    <t>ANTÔNIO AURILEUDO DINIZ</t>
  </si>
  <si>
    <t>CARLOS EDUARDO DINIZ VILAR</t>
  </si>
  <si>
    <t>029/0046/A</t>
  </si>
  <si>
    <t>REGINA SANTOS DA SILVA</t>
  </si>
  <si>
    <t>029/0046/B</t>
  </si>
  <si>
    <t>RITA DE CÁCIA VILAR</t>
  </si>
  <si>
    <t>029/0047/A</t>
  </si>
  <si>
    <t>MARIA RANIELE DE SOUZA DINIZ</t>
  </si>
  <si>
    <t>029/0047/B</t>
  </si>
  <si>
    <t> MARIA AURIVÂNIA DINIZ DA SILVA</t>
  </si>
  <si>
    <t>029/0048/A</t>
  </si>
  <si>
    <t>RENAN MOURA BARBOSA</t>
  </si>
  <si>
    <t>029/0048/B</t>
  </si>
  <si>
    <t>DANILO DA SILVA MIRANDA</t>
  </si>
  <si>
    <t>029/0049/A</t>
  </si>
  <si>
    <t>EDNADYJA ANDRELLI VITAL</t>
  </si>
  <si>
    <t>029/0049/B</t>
  </si>
  <si>
    <t>SEVERINO MIRANDA DE SOUSA</t>
  </si>
  <si>
    <t>029/0049/C</t>
  </si>
  <si>
    <t>VALMIRA SILVA ARAUJO</t>
  </si>
  <si>
    <t>029/0050/A</t>
  </si>
  <si>
    <t>029/0051/A</t>
  </si>
  <si>
    <t>029/0052/A</t>
  </si>
  <si>
    <t>LUIS CARLOS DA SILVA</t>
  </si>
  <si>
    <t>029/0053/A</t>
  </si>
  <si>
    <t>LILIAN CRISTINA BOAVENTURA DA SILVA</t>
  </si>
  <si>
    <t>029/0054/A</t>
  </si>
  <si>
    <t>LUCILÉIA DE ARAUJO LIMA</t>
  </si>
  <si>
    <t>029/0054/B</t>
  </si>
  <si>
    <t>REGINALDO NASCIMENTO DA SILVA</t>
  </si>
  <si>
    <t>029/0054/C</t>
  </si>
  <si>
    <t>SIMONE APARECIDA DE JESUS</t>
  </si>
  <si>
    <t>029/0054/D</t>
  </si>
  <si>
    <t>ALBERT DE ARAUJO KELLER</t>
  </si>
  <si>
    <t>JANDIRA MARIA DA SILVA</t>
  </si>
  <si>
    <t>029/0055/A</t>
  </si>
  <si>
    <t>CRISTIANE DE ARAÚJO KELLER</t>
  </si>
  <si>
    <t>029/0056/A</t>
  </si>
  <si>
    <t>WEBERT BOAVENTURA DA SILVA</t>
  </si>
  <si>
    <t>029/0056/B</t>
  </si>
  <si>
    <t>029/0057/A</t>
  </si>
  <si>
    <t>DANIELA MARIA DE JESUS</t>
  </si>
  <si>
    <t>029/0058/A</t>
  </si>
  <si>
    <t>OTILIA SENHORINHA DOS SANTOS</t>
  </si>
  <si>
    <t>029/0059/A</t>
  </si>
  <si>
    <t> GUILHERME DE OLIVEIRA LIMA</t>
  </si>
  <si>
    <t>029/0060/A</t>
  </si>
  <si>
    <t>ANALIA SENHORINHA DE OLIVEIRA</t>
  </si>
  <si>
    <t>029/0060/B</t>
  </si>
  <si>
    <t>IVANITA BARBOSA DE SOUSA SANTOS</t>
  </si>
  <si>
    <t>JOSE DINIZ DOS SANTOS</t>
  </si>
  <si>
    <t>029/0061/B</t>
  </si>
  <si>
    <t>ELIZELMA ALVES DA SILVA</t>
  </si>
  <si>
    <t>029/0062/A</t>
  </si>
  <si>
    <t>LUIZ FERNANDO FERREIRA DOS SANTOS</t>
  </si>
  <si>
    <t>029/0062/B</t>
  </si>
  <si>
    <t>CAROLINA MOREIRA TEMOTEO REAL</t>
  </si>
  <si>
    <t>029/0062/C</t>
  </si>
  <si>
    <t>DAIANE CLEMENTE DA SILVA</t>
  </si>
  <si>
    <t>029/0063/A</t>
  </si>
  <si>
    <t>ADILMA FRANCISCA DE PAULA</t>
  </si>
  <si>
    <t>MARIA GESSICA LIMA MORAIS</t>
  </si>
  <si>
    <t>029/0064/B</t>
  </si>
  <si>
    <t>NÃO IDENTIFICADO</t>
  </si>
  <si>
    <t>029/0064/C</t>
  </si>
  <si>
    <t>029/0064/D</t>
  </si>
  <si>
    <t>FELIPE MARCOS DE ANDRADE</t>
  </si>
  <si>
    <t>029/0064/E</t>
  </si>
  <si>
    <t>CARLA MARIA ALVES DA COSTA</t>
  </si>
  <si>
    <t>ANTONIA RAQUEL ALVES GALDINO</t>
  </si>
  <si>
    <t>029/0065/A</t>
  </si>
  <si>
    <t>ELIZABETE DE MORAIS CARVALHO DE SOUZA</t>
  </si>
  <si>
    <t>029/0065/B</t>
  </si>
  <si>
    <t>JOÃO JUSTINIANO DOS SANTOS</t>
  </si>
  <si>
    <t>EVERTON TIAGO LISBOA SEVERO</t>
  </si>
  <si>
    <t>ADINALDO GOMES DA SILVA</t>
  </si>
  <si>
    <t>AMANDA FERNANDES DA SILVA</t>
  </si>
  <si>
    <t>029/0066/D</t>
  </si>
  <si>
    <t>GRAZIELA DA SILVA BARBOSA</t>
  </si>
  <si>
    <t>CELMA GALDINO DE SOUZA</t>
  </si>
  <si>
    <t>029/0066/F</t>
  </si>
  <si>
    <t>SAMARA FERREIRA DE ALMEIDA</t>
  </si>
  <si>
    <t>GILVAN DE NOVAES FRANÇA</t>
  </si>
  <si>
    <t>029/0067/B</t>
  </si>
  <si>
    <t>FRANCENILSON FAUSTINO</t>
  </si>
  <si>
    <t>029/0067/C</t>
  </si>
  <si>
    <t>HÉLIO SILVÉIRO JUNIOR</t>
  </si>
  <si>
    <t>029/0067/D</t>
  </si>
  <si>
    <t>FRANCISCA FERREIRA ALVES SANTANA</t>
  </si>
  <si>
    <t>029/0067/E</t>
  </si>
  <si>
    <t>HÉLIO SILVÉIRO</t>
  </si>
  <si>
    <t>DANIEL LUCAS DE LACERDA</t>
  </si>
  <si>
    <t>029/0068/A</t>
  </si>
  <si>
    <t>JOSÉ RAMOS DA CRUZ</t>
  </si>
  <si>
    <t>029/0069/A</t>
  </si>
  <si>
    <t>FRANCISCO ISRAEL FERREIRA LIMA</t>
  </si>
  <si>
    <t>MARCOS VINICIUS GOMES DA SILVA</t>
  </si>
  <si>
    <t>DANIELA FERREIRA DA CRUZ</t>
  </si>
  <si>
    <t>MARIA BERNADETE FERREIRA</t>
  </si>
  <si>
    <t>029/0070/A</t>
  </si>
  <si>
    <t>MARIA DE FATIMA FERREIRA LIMA</t>
  </si>
  <si>
    <t>NURYTH APARECIDA SAMPAIO DE ALMEIDA</t>
  </si>
  <si>
    <t>FRANCISCO WILLIAN GOMES DO NASCIMENTO</t>
  </si>
  <si>
    <t>029/0070/D</t>
  </si>
  <si>
    <t>DÉBORA MARIA DA SILVA DE JESUS</t>
  </si>
  <si>
    <t>029/0070/E</t>
  </si>
  <si>
    <t>MARIA IZOLETE DA SILVA</t>
  </si>
  <si>
    <t>029/0070/F</t>
  </si>
  <si>
    <t>AILTON JÚNIOR DA SILVA</t>
  </si>
  <si>
    <t>029/0071/A</t>
  </si>
  <si>
    <t>GERVASIO LOPES DE SOUSA</t>
  </si>
  <si>
    <t>MARCONCÉLIO DAMASCENO</t>
  </si>
  <si>
    <t>029/0071/C</t>
  </si>
  <si>
    <t>JHENIFFER FABIOLA BARBOSA NOLASCO</t>
  </si>
  <si>
    <t>WESLEY BARBOSA NOLASCO</t>
  </si>
  <si>
    <t>ADRIANA BARBOSA NOLASCO</t>
  </si>
  <si>
    <t>029/0071/F</t>
  </si>
  <si>
    <t>MARIA ALMEIDA DA SILVA</t>
  </si>
  <si>
    <t>029/0071/G</t>
  </si>
  <si>
    <t>VANESSA DE ALMEIDA SAMPAIO</t>
  </si>
  <si>
    <t>029/0071/H</t>
  </si>
  <si>
    <t>CLAYSON ROSA DA SILVA</t>
  </si>
  <si>
    <t>029/0072/A</t>
  </si>
  <si>
    <t>VALDIONOR SANTOS SILVA</t>
  </si>
  <si>
    <t>029/0072/B</t>
  </si>
  <si>
    <t>MARIA RITA SIQUEIRA RODRIGUES</t>
  </si>
  <si>
    <t>029/0073/A</t>
  </si>
  <si>
    <t xml:space="preserve">AILDA JESUS DA SILVA </t>
  </si>
  <si>
    <t>029/0073/B</t>
  </si>
  <si>
    <t>FRANCISCO JOSIMAR DO NASCIMENTO SILVA</t>
  </si>
  <si>
    <t>029/0074/A</t>
  </si>
  <si>
    <t>ANGELA MARIA MARTINS</t>
  </si>
  <si>
    <t>029/0074/B</t>
  </si>
  <si>
    <t>ADRIANO MARTINS LUIZ</t>
  </si>
  <si>
    <t>029/0074/C</t>
  </si>
  <si>
    <t>MARCELO GONÇALVES FERREIRA</t>
  </si>
  <si>
    <t>029/0074/D</t>
  </si>
  <si>
    <t>JOSÉ GERALDO MARTINS</t>
  </si>
  <si>
    <t>029/0074/E</t>
  </si>
  <si>
    <t>HENRIQUE PEREIRA DOS ANJOS</t>
  </si>
  <si>
    <t>029/0074/F</t>
  </si>
  <si>
    <t>OSVALDO DOS ANJOS</t>
  </si>
  <si>
    <t>029/0074/G</t>
  </si>
  <si>
    <t>ALESSANDRA PEREIRA DOS SANTOS</t>
  </si>
  <si>
    <t>029/0074/H</t>
  </si>
  <si>
    <t>WILLIAN DA SILVA MARTINS</t>
  </si>
  <si>
    <t>029/0074/I</t>
  </si>
  <si>
    <t>TANIA MARA DE PASCHOA</t>
  </si>
  <si>
    <t>029/0075/A</t>
  </si>
  <si>
    <t>MARGARETE DIAS MARTINS</t>
  </si>
  <si>
    <t>029/0076/A</t>
  </si>
  <si>
    <t>LUCINEIDE FERREIRA DA SILVA</t>
  </si>
  <si>
    <t>029/0077/A</t>
  </si>
  <si>
    <t>JACKSON FERREIRA DE SALES</t>
  </si>
  <si>
    <t>029/0078/A</t>
  </si>
  <si>
    <t>APARECIDA FIDELIX DA CRUZ OLIVEIRA</t>
  </si>
  <si>
    <t>029/0078/B</t>
  </si>
  <si>
    <t>GISELIA DOS SANTOS</t>
  </si>
  <si>
    <t>029/0078/C</t>
  </si>
  <si>
    <t>029/0079/A</t>
  </si>
  <si>
    <t>WOLFLAN TARGINO DE OLIVEIRA</t>
  </si>
  <si>
    <t>029/0079/B</t>
  </si>
  <si>
    <t>ROSENILDA LEOCÁDIA ALVES DA CONCEIÇÃO</t>
  </si>
  <si>
    <t>029/0079/C</t>
  </si>
  <si>
    <t>GERVÁSIO LOPES DE SOUSA FILHO</t>
  </si>
  <si>
    <t>029/0080/A</t>
  </si>
  <si>
    <t>NATALIA FERREIRA DE OLIVEIRA</t>
  </si>
  <si>
    <t>029/0080/B</t>
  </si>
  <si>
    <t>ELIANA FERREIRA DA SILVA</t>
  </si>
  <si>
    <t>029/0080/C</t>
  </si>
  <si>
    <t>MARILU APARECIDA FIDELIX DA SILVA</t>
  </si>
  <si>
    <t>029/0080/D</t>
  </si>
  <si>
    <t>JANAINA SANTOS DE MELO</t>
  </si>
  <si>
    <t>DJAILSON FREITAS DE LIMA</t>
  </si>
  <si>
    <t>JOICE DE SOUZA SANTOS</t>
  </si>
  <si>
    <t>029/0081/B</t>
  </si>
  <si>
    <t>LUÍS GONZAGA DE SOUSA</t>
  </si>
  <si>
    <t>029/0082/A</t>
  </si>
  <si>
    <t>MARIA MEYRE DAMASCENO</t>
  </si>
  <si>
    <t>029/0082/B</t>
  </si>
  <si>
    <t>MARIA VITORIA ALVES SILVA</t>
  </si>
  <si>
    <t>INGRID DE OLIVEIRA ANDRADE</t>
  </si>
  <si>
    <t>029/0083/B</t>
  </si>
  <si>
    <t>EDIVALDO DE OLIVEIRA BELO</t>
  </si>
  <si>
    <t>029/0084/A</t>
  </si>
  <si>
    <t>ROSIVANIA SILVERIA DA SILVA</t>
  </si>
  <si>
    <t>029/0085/A</t>
  </si>
  <si>
    <t>JACILDO DAMIÃO PEREIRA DE SOUZA</t>
  </si>
  <si>
    <t>029/0085/B</t>
  </si>
  <si>
    <t>LUIZ RICARDO DOS SANTOS FARIAS</t>
  </si>
  <si>
    <t>029/0085/C</t>
  </si>
  <si>
    <t>CICERO PEREIRA DE ARAUJO</t>
  </si>
  <si>
    <t>AMAILDA RODRIGUES DA COSTA</t>
  </si>
  <si>
    <t>029/0085/E</t>
  </si>
  <si>
    <t>LUAN DE ASSIS SILVA</t>
  </si>
  <si>
    <t>029/0085/F</t>
  </si>
  <si>
    <t>LILIANE LIMA ARAUJO</t>
  </si>
  <si>
    <t>WILLIAMES LIMA ARAUJO</t>
  </si>
  <si>
    <t>029/0085/H</t>
  </si>
  <si>
    <t>ALEX SANDRO LIMA DE ARAÚJO</t>
  </si>
  <si>
    <t>029/0085/I</t>
  </si>
  <si>
    <t>ARTHUR BARBOSA DE SOUZA</t>
  </si>
  <si>
    <t>029/0085/J</t>
  </si>
  <si>
    <t>EDIZIO FELICIO</t>
  </si>
  <si>
    <t>029/0086/A</t>
  </si>
  <si>
    <t>GABRIELA DA SILVA</t>
  </si>
  <si>
    <t>KEILA CRISTINA DA CONCEIÇÃO MONTALVÃO</t>
  </si>
  <si>
    <t>029/0086/C</t>
  </si>
  <si>
    <t>CAMILA DOS SANTOS SOARES</t>
  </si>
  <si>
    <t>029/0086/D</t>
  </si>
  <si>
    <t xml:space="preserve">ANTÔNIO CARLOS BARBOSA </t>
  </si>
  <si>
    <t>031/0004/A</t>
  </si>
  <si>
    <t>JOSE SAMPAIO MACIEL</t>
  </si>
  <si>
    <t>031/0004/B</t>
  </si>
  <si>
    <t>BEATRIZ MOREIRA SILVA</t>
  </si>
  <si>
    <t>MARIVANEIDE MOREIRA SILVA</t>
  </si>
  <si>
    <t>031/0005/A</t>
  </si>
  <si>
    <t>CLAUDIOMIRO SOUSA DE ALMEIDA</t>
  </si>
  <si>
    <t>031/0005/B</t>
  </si>
  <si>
    <t>UILIAM SANTOS SANTANA</t>
  </si>
  <si>
    <t>031/0005/C</t>
  </si>
  <si>
    <t>JULIANE DIAS MAGALHÃES</t>
  </si>
  <si>
    <t>031/0006/A</t>
  </si>
  <si>
    <t>ARTHUR ARAUJO SANTOS</t>
  </si>
  <si>
    <t>031/0006/B</t>
  </si>
  <si>
    <t>JOÃO MARCELO OLIVEIRA DE BARROS</t>
  </si>
  <si>
    <t>SABRINA FARIAS FERREIRA</t>
  </si>
  <si>
    <t>031/0006/D</t>
  </si>
  <si>
    <t>BRUNA DA CONCEIÇÃO ARAUJO</t>
  </si>
  <si>
    <t>031/0007/A</t>
  </si>
  <si>
    <t xml:space="preserve">CAIQUE BEZERRA SALVADOR DA SILVA </t>
  </si>
  <si>
    <t>031/0007/B</t>
  </si>
  <si>
    <t>CAROLINA BEZERRA DA SILVA</t>
  </si>
  <si>
    <t>031/0008/A</t>
  </si>
  <si>
    <t>FLAVIA SANTOS SOUZA</t>
  </si>
  <si>
    <t>031/0008/B</t>
  </si>
  <si>
    <t>ISAQUE DA SILVA SOUSA</t>
  </si>
  <si>
    <t>031/0008/C</t>
  </si>
  <si>
    <t>ALBERT SANTOS CARINHENHA</t>
  </si>
  <si>
    <t>031/0008/D</t>
  </si>
  <si>
    <t>ADALTO SANTOS DE ASSIS</t>
  </si>
  <si>
    <t>DANIEL ANTONIO DA SILVA</t>
  </si>
  <si>
    <t>AGRICERIO FRANCISCO LEITE</t>
  </si>
  <si>
    <t>031/0009/C</t>
  </si>
  <si>
    <t>GERNANE LIMA ARAUJO</t>
  </si>
  <si>
    <t>031/0009/D</t>
  </si>
  <si>
    <t>RAFAELA JESUS DOS SANTOS</t>
  </si>
  <si>
    <t>031/0009/E</t>
  </si>
  <si>
    <t>TAINA TAYANE DE JESUS ATOYEBI</t>
  </si>
  <si>
    <t>031/0009/F</t>
  </si>
  <si>
    <t>DAIANE CUNHA DOS SANTOS</t>
  </si>
  <si>
    <t>BENIGNA BISPO DA SILVA</t>
  </si>
  <si>
    <t>031/0010/B</t>
  </si>
  <si>
    <t>JADI DE JESUS SILVA</t>
  </si>
  <si>
    <t>031/0010/C</t>
  </si>
  <si>
    <t>GLEICON CARLOS CESAR GOMES</t>
  </si>
  <si>
    <t>031/0010/D</t>
  </si>
  <si>
    <t>MARIA GERLANE DE SOUZA BOÍBA</t>
  </si>
  <si>
    <t>031/0011/A</t>
  </si>
  <si>
    <t>MAICO JONHATAS ALVARES PINTO</t>
  </si>
  <si>
    <t>031/0011/B</t>
  </si>
  <si>
    <t>EDVALDO OLIVEIRA DO CARMO</t>
  </si>
  <si>
    <t>031/0012/A</t>
  </si>
  <si>
    <t>BEATRIZ DOS SANTOS ARAÚJO</t>
  </si>
  <si>
    <t>031/0012/B</t>
  </si>
  <si>
    <t>RENILSON MARTINS</t>
  </si>
  <si>
    <t>031/0012/C</t>
  </si>
  <si>
    <t>THIAGO NERES BARBOSA</t>
  </si>
  <si>
    <t>031/0013/A</t>
  </si>
  <si>
    <t>GILVANIA PEREIRA DE SOUZA</t>
  </si>
  <si>
    <t>031/0013/B</t>
  </si>
  <si>
    <t>MANOEL DOMINGUES</t>
  </si>
  <si>
    <t>031/0013/C</t>
  </si>
  <si>
    <t>LEONARDO SOUZA SANTOS</t>
  </si>
  <si>
    <t xml:space="preserve"> THAIS DE SOUZA NEPOMUCENO</t>
  </si>
  <si>
    <t>031/0014/B</t>
  </si>
  <si>
    <t>PATRICIA DE SOUZA NEPOMUCENO</t>
  </si>
  <si>
    <t>031/0014/C</t>
  </si>
  <si>
    <t>IVAN DE ANDRADE NEPOMUCENO</t>
  </si>
  <si>
    <t>031/0014/D</t>
  </si>
  <si>
    <t>ADELICIO DOS SANTOS PINTO</t>
  </si>
  <si>
    <t>031/0014/E</t>
  </si>
  <si>
    <t>HERISVALDO OLIVEIRA DA SILVA</t>
  </si>
  <si>
    <t>031/0014/F</t>
  </si>
  <si>
    <t>JOSÉ FELIX DE MORAES FILHO</t>
  </si>
  <si>
    <t>031/0015/A</t>
  </si>
  <si>
    <t>MARIA APARECIDA NEVES VIANA</t>
  </si>
  <si>
    <t>031/0015/B</t>
  </si>
  <si>
    <t>GIRLEIDE SANTOS COSTA</t>
  </si>
  <si>
    <t>031/0015/C</t>
  </si>
  <si>
    <t>ANA CLAUDIA TRINDADE SILVA</t>
  </si>
  <si>
    <t>MIRAI FERREIRA NEVES</t>
  </si>
  <si>
    <t>031/0015/E</t>
  </si>
  <si>
    <t>DORIELSON LOPES SANTOS</t>
  </si>
  <si>
    <t>031/0016/A</t>
  </si>
  <si>
    <t>031/0016/B</t>
  </si>
  <si>
    <t>BENEDITA GOMES DA SILVA</t>
  </si>
  <si>
    <t>031/0017/A</t>
  </si>
  <si>
    <t>MARIA DA CONCEIÇÃO DE OLIVEIRA</t>
  </si>
  <si>
    <t>031/0017/B</t>
  </si>
  <si>
    <t>ANTONIO FRANCISCO DOS SANTOS REIS</t>
  </si>
  <si>
    <t>031/0017/C</t>
  </si>
  <si>
    <t>JOSE DOS SANTOS MEDEIROS</t>
  </si>
  <si>
    <t>031/0017/D</t>
  </si>
  <si>
    <t>FABIANA BATISTA DA SILVA</t>
  </si>
  <si>
    <t>031/0017/E</t>
  </si>
  <si>
    <t>IVO JOSÉ DE OLIVEIRA</t>
  </si>
  <si>
    <t>ISMAEL SILVA CABRAL</t>
  </si>
  <si>
    <t xml:space="preserve">SAMUEL DA SILVA ARAUJO PEREIRA </t>
  </si>
  <si>
    <t>031/0017/H</t>
  </si>
  <si>
    <t>GILVAN ARAUJO DE OLIVEIRA</t>
  </si>
  <si>
    <t>FLORIANE PATRICIA DA COSTA</t>
  </si>
  <si>
    <t>031/0019/A</t>
  </si>
  <si>
    <t>ADRIELE DIAS TRINDADE</t>
  </si>
  <si>
    <t>031/0019/B</t>
  </si>
  <si>
    <t>VALDEMIR ARAÚJO DE OLIVEIRA</t>
  </si>
  <si>
    <t>031/0019/C</t>
  </si>
  <si>
    <t>EISENHOWER MAGALHAES MASCARENHAS</t>
  </si>
  <si>
    <t>031/0020/A</t>
  </si>
  <si>
    <t>JACKSON FERNANDES DE ALMEIDA</t>
  </si>
  <si>
    <t>IARA BARBOSA LIMA</t>
  </si>
  <si>
    <t>LUZIA NUNES BARBOSA</t>
  </si>
  <si>
    <t>031/0020/D</t>
  </si>
  <si>
    <t>031/0021/A</t>
  </si>
  <si>
    <t>ELECI FRANCISCA DE SOUZA</t>
  </si>
  <si>
    <t>031/0022/A</t>
  </si>
  <si>
    <t>JOSE AILTON DE PAULA</t>
  </si>
  <si>
    <t>JOSÉ DOMINGOS DA SILVA</t>
  </si>
  <si>
    <t>031/0022/C</t>
  </si>
  <si>
    <t>JOELITE MARCELINO DA CONCEIÇÃO</t>
  </si>
  <si>
    <t>031/0022/D</t>
  </si>
  <si>
    <t>LUCAS VINÍCIUS COUTINHO</t>
  </si>
  <si>
    <t>ELEILMA ÁLVARES DE SOUZA</t>
  </si>
  <si>
    <t>031/0023/A</t>
  </si>
  <si>
    <t>ANTONIA MARIA DA SILVA COSTA</t>
  </si>
  <si>
    <t>ELIANA MARIA DE OLIVEIRA</t>
  </si>
  <si>
    <t>ALINE RAQUEL DE SOUSA SOARES</t>
  </si>
  <si>
    <t>031/0023/D</t>
  </si>
  <si>
    <t>EDIANE MARIA DE OLIVEIRA</t>
  </si>
  <si>
    <t>031/0024/A</t>
  </si>
  <si>
    <t>MARIA DOS RÉMEDIOS SOARES ALCÂNTARA</t>
  </si>
  <si>
    <t>ROBERTO ARAUJO DOS SANTOS</t>
  </si>
  <si>
    <t>031/0026/A</t>
  </si>
  <si>
    <t>ADEVAL DA CRUZ OLIVEIRA</t>
  </si>
  <si>
    <t>031/0026/B</t>
  </si>
  <si>
    <t>FRANCISCO DE ASSIS DINIZ</t>
  </si>
  <si>
    <t>031/0026/C</t>
  </si>
  <si>
    <t>MARIA LÚCIA ANACLETO DE SOUZA</t>
  </si>
  <si>
    <t>031/0026/D</t>
  </si>
  <si>
    <t>ANA LUCIA AGUIAR DA SILVA</t>
  </si>
  <si>
    <t>MERCIA FLORENCIO DA CRUZ</t>
  </si>
  <si>
    <t>031/0026/F</t>
  </si>
  <si>
    <t>RODRIGO DE SOUZA DA SILVA</t>
  </si>
  <si>
    <t>031/0026/G</t>
  </si>
  <si>
    <t>JOSE MARIA FERREIRA</t>
  </si>
  <si>
    <t>031/0026/H</t>
  </si>
  <si>
    <t>ANA MARIA DE LIMA</t>
  </si>
  <si>
    <t>031/0026/I</t>
  </si>
  <si>
    <t xml:space="preserve">MIKAELLA RODRIGUES BRANDO VIEIRA DA SILVA </t>
  </si>
  <si>
    <t>031/0027/A</t>
  </si>
  <si>
    <t>JAINI ALVES DA SILVA</t>
  </si>
  <si>
    <t>031/0027/B</t>
  </si>
  <si>
    <t>031/0027/C</t>
  </si>
  <si>
    <t>031/0027/D</t>
  </si>
  <si>
    <t>SEBASTIÃO ANTONIO FERREIRA</t>
  </si>
  <si>
    <t>031/0027/E</t>
  </si>
  <si>
    <t>RITA DE CASSIA RODRIGUES BRANDO</t>
  </si>
  <si>
    <t>031/0028/C</t>
  </si>
  <si>
    <t>MARIA SEBASTIANA DE PAULA</t>
  </si>
  <si>
    <t>031/0028/E</t>
  </si>
  <si>
    <t>TALITA MENDES DOS SANTOS</t>
  </si>
  <si>
    <t>031/0028/F</t>
  </si>
  <si>
    <t>LEANDRO BEIRÃO SOUZA</t>
  </si>
  <si>
    <t>031/0028/G</t>
  </si>
  <si>
    <t>ERINEIDE DE SOUZA COSTA</t>
  </si>
  <si>
    <t>031/0028/H</t>
  </si>
  <si>
    <t>GEAN CARLOS MACIEL SOARES</t>
  </si>
  <si>
    <t>031/0028/I</t>
  </si>
  <si>
    <t>GIOVANI DOS SANTOS ROCHA</t>
  </si>
  <si>
    <t>031/0028/J</t>
  </si>
  <si>
    <t>MARIA APARECIDA MELO RODRIGUES</t>
  </si>
  <si>
    <t>031/0028/K</t>
  </si>
  <si>
    <t>JONATHAN SOARES MEDEIROS</t>
  </si>
  <si>
    <t>MARILENA DA SILVA</t>
  </si>
  <si>
    <t>031/0028/M</t>
  </si>
  <si>
    <t>THAYNÁ ALVES DA SILVA</t>
  </si>
  <si>
    <t>031/0028/N</t>
  </si>
  <si>
    <t>GESIELE FERNANDA RODRIGUES</t>
  </si>
  <si>
    <t>031/0028/O</t>
  </si>
  <si>
    <t>EMANUELLA DA SILVA MELO SIMÃO</t>
  </si>
  <si>
    <t>031/0029/A</t>
  </si>
  <si>
    <t>LINDALVA SILVA OLIVEIRA</t>
  </si>
  <si>
    <t>031/0029/B</t>
  </si>
  <si>
    <t>ROSALINA SILVA OLIVEIRA</t>
  </si>
  <si>
    <t>031/0029/C</t>
  </si>
  <si>
    <t>DANÚBIA GOMES DE ARAÚJO</t>
  </si>
  <si>
    <t>031/0029/D</t>
  </si>
  <si>
    <t>GIDEON JOSÉ DA SILVA</t>
  </si>
  <si>
    <t>031/0029/E</t>
  </si>
  <si>
    <t>CELSO SANTOS</t>
  </si>
  <si>
    <t>031/0029/F</t>
  </si>
  <si>
    <t>CLEIDE PEREIRA BATISTA</t>
  </si>
  <si>
    <t>031/0029/G</t>
  </si>
  <si>
    <t>ROSELI DA SILVA</t>
  </si>
  <si>
    <t>031/0030/A</t>
  </si>
  <si>
    <t>PATRÍCIA DA SILVA</t>
  </si>
  <si>
    <t>031/0030/B</t>
  </si>
  <si>
    <t>HENRIQUE SILVA SANTOS</t>
  </si>
  <si>
    <t>031/0030/C</t>
  </si>
  <si>
    <t>JOSE AURELIANO ALEXANDRE</t>
  </si>
  <si>
    <t>031/0031/A</t>
  </si>
  <si>
    <t>SUELLEN CONCEICÃO</t>
  </si>
  <si>
    <t>MARCELA APARECIDA DA CONCEIÇÃO ALVES</t>
  </si>
  <si>
    <t>031/0031/C</t>
  </si>
  <si>
    <t xml:space="preserve">DANIELA GOMES DE OLIVEIRA </t>
  </si>
  <si>
    <t>031/0032/A</t>
  </si>
  <si>
    <t>NIVALDO PEREIRA DA SILVA</t>
  </si>
  <si>
    <t>031/0032/B</t>
  </si>
  <si>
    <t>ANTONIETA DE ARAÚJO SOUSA</t>
  </si>
  <si>
    <t>ORLANDO CONCEIÇÃO SANTIAGO</t>
  </si>
  <si>
    <t>031/0032/D</t>
  </si>
  <si>
    <t>SEVERINO DOS RAMOS FERREIRA DA CRUZ</t>
  </si>
  <si>
    <t>031/0033/A</t>
  </si>
  <si>
    <t xml:space="preserve">BRUNO DA SILVA MARQUES </t>
  </si>
  <si>
    <t>031/0033/B</t>
  </si>
  <si>
    <t>ROSIVALDO JOSE DA SILVA</t>
  </si>
  <si>
    <t>031/0033/C</t>
  </si>
  <si>
    <t>DAIANE SILVA PEREIRA</t>
  </si>
  <si>
    <t>031/0033/D</t>
  </si>
  <si>
    <t>ISRAEL JOAQUIM DOS SANTOS</t>
  </si>
  <si>
    <t>SILVIO JOAQUIM DOS SANTOS</t>
  </si>
  <si>
    <t>031/0033/F</t>
  </si>
  <si>
    <t>ARNON PRADO DE OLIVEIRA</t>
  </si>
  <si>
    <t>031/0033/G</t>
  </si>
  <si>
    <t>EDUARDO FERNANDES</t>
  </si>
  <si>
    <t>031/0033/H</t>
  </si>
  <si>
    <t>DANIEL BALBINO DE FARIA ROCHA</t>
  </si>
  <si>
    <t>031/0033/I</t>
  </si>
  <si>
    <t>ISMAEL SANTANA SOARES</t>
  </si>
  <si>
    <t>031/0033/J</t>
  </si>
  <si>
    <t>PRISCILA MARCELINO</t>
  </si>
  <si>
    <t>JOSÉ GUILHERME GOMES DA ROCHA</t>
  </si>
  <si>
    <t>031/0033/L</t>
  </si>
  <si>
    <t>031/0033/M</t>
  </si>
  <si>
    <t>JOSE GUILHERME GOMES DA ROCHA</t>
  </si>
  <si>
    <t>031/0033/N</t>
  </si>
  <si>
    <t>031/0033/O</t>
  </si>
  <si>
    <t>031/0033/P</t>
  </si>
  <si>
    <t>JOSÉ  GUILHERME GOMES</t>
  </si>
  <si>
    <t>031/0033/R</t>
  </si>
  <si>
    <t>ALEXANDRO NUNES DE SOUZA</t>
  </si>
  <si>
    <t>031/0033/S</t>
  </si>
  <si>
    <t>ALEX NUNES DE SOUZA</t>
  </si>
  <si>
    <t>031/0033/T</t>
  </si>
  <si>
    <t>031/0034/A</t>
  </si>
  <si>
    <t>031/0034/B</t>
  </si>
  <si>
    <t>DIEGO DA CONCEICAO SANTANA</t>
  </si>
  <si>
    <t>031/0034/C</t>
  </si>
  <si>
    <t>BRUNO</t>
  </si>
  <si>
    <t>031/0034/D</t>
  </si>
  <si>
    <t xml:space="preserve">GLEBER ERIBERTO PAULA MONTEIRO </t>
  </si>
  <si>
    <t>KLEBER ERIBERTO PAULA MONTEIRO</t>
  </si>
  <si>
    <t>031/0034/F</t>
  </si>
  <si>
    <t>FERNANDO FELIX DA SILVA</t>
  </si>
  <si>
    <t>031/0034/G</t>
  </si>
  <si>
    <t>JAÍLSON ALVES TELES</t>
  </si>
  <si>
    <t>GLEICIELI ALVES DE SOUSA</t>
  </si>
  <si>
    <t>031/0034/L</t>
  </si>
  <si>
    <t>FELIPE ALVES TELES FERREIRA</t>
  </si>
  <si>
    <t>031/0034/M</t>
  </si>
  <si>
    <t xml:space="preserve">FABRÍCIO ALVES TELES FERREIRA </t>
  </si>
  <si>
    <t>VALDELIA DOS ANJOS SANTOS</t>
  </si>
  <si>
    <t>EDSON ALVES DOS SANTOS FILHO</t>
  </si>
  <si>
    <t>031/0035/C</t>
  </si>
  <si>
    <t>INAIURA AVELAS SANTOS</t>
  </si>
  <si>
    <t>031/0035/D</t>
  </si>
  <si>
    <t>DIEGO ROCHA DOS SANTOS</t>
  </si>
  <si>
    <t>031/0035/E</t>
  </si>
  <si>
    <t>MARCELO MOREIRA DOS SANTOS</t>
  </si>
  <si>
    <t>031/0035/F</t>
  </si>
  <si>
    <t>031/0035/G</t>
  </si>
  <si>
    <t xml:space="preserve">VALDIRENE DE MORAES BARROSO  </t>
  </si>
  <si>
    <t>031/0035/H</t>
  </si>
  <si>
    <t>ANA PAULA DE MORAES BARROZO</t>
  </si>
  <si>
    <t>031/0035/I</t>
  </si>
  <si>
    <t>RAFAEL PANAN BRITO</t>
  </si>
  <si>
    <t>031/0036/B</t>
  </si>
  <si>
    <t>DIOGO ROCHA DOS SANTOS</t>
  </si>
  <si>
    <t>031/0036/C</t>
  </si>
  <si>
    <t>LEANDRO BATISTA ROCHA DAMASCENO</t>
  </si>
  <si>
    <t>031/0036/D</t>
  </si>
  <si>
    <t>031/0037/A</t>
  </si>
  <si>
    <t>031/0037/B</t>
  </si>
  <si>
    <t>FRANCISCO DAVI DA LUZ</t>
  </si>
  <si>
    <t>031/0037/C</t>
  </si>
  <si>
    <t>JOANA DA LUZ SILVA</t>
  </si>
  <si>
    <t>031/0037/D</t>
  </si>
  <si>
    <t>SAMARIA DA SILVA</t>
  </si>
  <si>
    <t>031/0038/A</t>
  </si>
  <si>
    <t>ROSANA SANTOS OLIVEIRA</t>
  </si>
  <si>
    <t>031/0038/B</t>
  </si>
  <si>
    <t>JURACEMA RIBEIRO DE JESUS DIAS</t>
  </si>
  <si>
    <t>031/0038/C</t>
  </si>
  <si>
    <t>031/0039/A</t>
  </si>
  <si>
    <t>FÁBIO GONÇALVES CIRINO .</t>
  </si>
  <si>
    <t>031/0039/B</t>
  </si>
  <si>
    <t>ELENILSON JOSÉ FERREIRA</t>
  </si>
  <si>
    <t>GUSTAVO ALVES</t>
  </si>
  <si>
    <t>031/0039/D</t>
  </si>
  <si>
    <t>GUSTAVO DA SILVA ALVES</t>
  </si>
  <si>
    <t>031/0040/A</t>
  </si>
  <si>
    <t>031/0040/B</t>
  </si>
  <si>
    <t>GUSTAVO DE JESUS TORRES</t>
  </si>
  <si>
    <t>CAMILA BERNARDO DA CRUZ SILVA</t>
  </si>
  <si>
    <t>031/0041/A</t>
  </si>
  <si>
    <t>NATÁLIA DE ALMEIDA DE BARROS</t>
  </si>
  <si>
    <t>031/0041/B</t>
  </si>
  <si>
    <t>CAROLINA SILVA DE JESUS</t>
  </si>
  <si>
    <t>031/0042/A</t>
  </si>
  <si>
    <t>ALEXANDRE DOS SANTOS RIBEIRO</t>
  </si>
  <si>
    <t>031/0042/B</t>
  </si>
  <si>
    <t>MARCOS JOSE DE PAULA FERREIRA</t>
  </si>
  <si>
    <t>031/0042/C</t>
  </si>
  <si>
    <t>RENATO DE PAULA FERREIRA</t>
  </si>
  <si>
    <t>031/0042/D</t>
  </si>
  <si>
    <t>031/0043/A</t>
  </si>
  <si>
    <t>TALITA NATALIA XAVIER</t>
  </si>
  <si>
    <t>031/0043/B</t>
  </si>
  <si>
    <t>SEVERINA BERNARDO DA SILVA</t>
  </si>
  <si>
    <t>031/0044/A</t>
  </si>
  <si>
    <t>031/0045/A</t>
  </si>
  <si>
    <t>FABIANO MARQUES DE JESUS</t>
  </si>
  <si>
    <t>031/0046/A</t>
  </si>
  <si>
    <t>DAVID DOUGLAS ROCHA ARAUJO</t>
  </si>
  <si>
    <t>031/0046/B</t>
  </si>
  <si>
    <t>CAMILA DA SILVA DOMINGUES</t>
  </si>
  <si>
    <t>031/0047/A</t>
  </si>
  <si>
    <t>TATIANE DO SANTO AZEVEDO</t>
  </si>
  <si>
    <t>031/0047/B</t>
  </si>
  <si>
    <t>ANDRESSA DA SILVA ANTONIO</t>
  </si>
  <si>
    <t>031/0047/C</t>
  </si>
  <si>
    <t>VANESSA DA SILVA ANTONIO</t>
  </si>
  <si>
    <t>031/0047/D</t>
  </si>
  <si>
    <t>DAIANE SOUZA FERREIRA</t>
  </si>
  <si>
    <t>031/0047/E</t>
  </si>
  <si>
    <t>031/0048/A</t>
  </si>
  <si>
    <t>ELIENE FONSECA DA SILVA</t>
  </si>
  <si>
    <t>031/0048/B</t>
  </si>
  <si>
    <t>BALBINO BORGES DE JESUS</t>
  </si>
  <si>
    <t>031/0048/C</t>
  </si>
  <si>
    <t>JOSE CARLOS FONSECA DA SILVA</t>
  </si>
  <si>
    <t>031/0048/D</t>
  </si>
  <si>
    <t>VANESSA MACIEL RESENDE</t>
  </si>
  <si>
    <t>031/0048/E</t>
  </si>
  <si>
    <t>NATAN SOUZA SANTOS</t>
  </si>
  <si>
    <t>031/0048/F</t>
  </si>
  <si>
    <t>SAVIO SILVA DE MELO</t>
  </si>
  <si>
    <t>031/0049/A</t>
  </si>
  <si>
    <t>JEDEILDES SANTOS DE ARAÚJO</t>
  </si>
  <si>
    <t>031/0049/B</t>
  </si>
  <si>
    <t>031/0049/C</t>
  </si>
  <si>
    <t>031/0049/D</t>
  </si>
  <si>
    <t>VIVIANE DA SILVA ALMEIDA</t>
  </si>
  <si>
    <t>031/0049/E</t>
  </si>
  <si>
    <t>JOÃO PEDRO DE ALMEIDA</t>
  </si>
  <si>
    <t>031/0050/A</t>
  </si>
  <si>
    <t>VITOR PEREIRA ROCHA</t>
  </si>
  <si>
    <t>031/0050/B</t>
  </si>
  <si>
    <t>ANA CAROLINA PEREIRA ROCHA</t>
  </si>
  <si>
    <t>031/0051/A</t>
  </si>
  <si>
    <t>PALOMA SANTOS DE LIMA</t>
  </si>
  <si>
    <t>031/0052/A</t>
  </si>
  <si>
    <t>ADRIANA VIANA RODRIGUES</t>
  </si>
  <si>
    <t>031/0052/B</t>
  </si>
  <si>
    <t>JOSÉ NETO DE AMORIM</t>
  </si>
  <si>
    <t>031/0052/C</t>
  </si>
  <si>
    <t>MARIA VALDINETE ALVES TEIXEIRA</t>
  </si>
  <si>
    <t>031/0052/D</t>
  </si>
  <si>
    <t>VALTER ALEXANDRE DA SILVA</t>
  </si>
  <si>
    <t>LUIZ GONÇALVES DE AMORIM</t>
  </si>
  <si>
    <t>031/0054/A</t>
  </si>
  <si>
    <t>MARCELO CARLOS DE ABREU</t>
  </si>
  <si>
    <t>031/0054/B</t>
  </si>
  <si>
    <t>IARA SANTOS CRUZ</t>
  </si>
  <si>
    <t>031/0055/A</t>
  </si>
  <si>
    <t>031/0055/B</t>
  </si>
  <si>
    <t>ROSA MARIA XAVIER</t>
  </si>
  <si>
    <t>031/0056/A</t>
  </si>
  <si>
    <t>MARIA DOS SANTOS COSTA</t>
  </si>
  <si>
    <t>031/0057/A</t>
  </si>
  <si>
    <t>031/0057/B</t>
  </si>
  <si>
    <t xml:space="preserve">WELLINGTON SANTOS SILVA </t>
  </si>
  <si>
    <t>031/0058/C</t>
  </si>
  <si>
    <t>MARTA DOS REIS SANTOS</t>
  </si>
  <si>
    <t>031/0058/D</t>
  </si>
  <si>
    <t>MARIA DA CONCEIÇÃO NERI DA SILVA</t>
  </si>
  <si>
    <t>MARINALDO BRITO DE VASCONCELOS</t>
  </si>
  <si>
    <t>031/0058/F</t>
  </si>
  <si>
    <t xml:space="preserve">MARINALDO BRITO DE VASCONCELOS 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</si>
  <si>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</si>
  <si>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</si>
  <si>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</si>
  <si>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</si>
  <si>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</si>
  <si>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</si>
  <si>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</si>
  <si>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</si>
  <si>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MARIA ALINE MACEDO GONÇALVES</t>
  </si>
  <si>
    <t>031/0060/G</t>
  </si>
  <si>
    <t>CARLA JESUS DOS SANTOS</t>
  </si>
  <si>
    <t>031/0060/H</t>
  </si>
  <si>
    <t>031/0063/A</t>
  </si>
  <si>
    <t>EDILTON JESUS DOS SANTOS</t>
  </si>
  <si>
    <t>031/0063/B</t>
  </si>
  <si>
    <t>ADRIANA PEREIRA DA SILVA</t>
  </si>
  <si>
    <t>031/0063/C</t>
  </si>
  <si>
    <t>031/0063/D</t>
  </si>
  <si>
    <t>031/0063/E</t>
  </si>
  <si>
    <t>KLEBER CARVALHO DO NASCIMENTO</t>
  </si>
  <si>
    <t>031/0063/F</t>
  </si>
  <si>
    <t>031/0063/G</t>
  </si>
  <si>
    <t>031/0064/A</t>
  </si>
  <si>
    <t>031/0064/B</t>
  </si>
  <si>
    <t>WERLEN BARBOSA SANTOS</t>
  </si>
  <si>
    <t>031/0064/C</t>
  </si>
  <si>
    <t>ELISÂNGELA XAVIER DE SOUZA</t>
  </si>
  <si>
    <t>031/0064/D</t>
  </si>
  <si>
    <t>RODRIGO DOS SANTOS MARINHO</t>
  </si>
  <si>
    <t>031/0064/E</t>
  </si>
  <si>
    <t>031/0064/F</t>
  </si>
  <si>
    <t>GRAZIELY DO NASCIMENTO LIMA</t>
  </si>
  <si>
    <t>FRANCISCA JÔSINETE DO NASCIMENTO SILVA</t>
  </si>
  <si>
    <t>031/0068/A</t>
  </si>
  <si>
    <t>031/0069/A</t>
  </si>
  <si>
    <t>JACKSON NUNES DE MELO BARBOSA</t>
  </si>
  <si>
    <t>031/0069/B</t>
  </si>
  <si>
    <t>SUIANNE TRINDADE SANTOS</t>
  </si>
  <si>
    <t>031/0069/C</t>
  </si>
  <si>
    <t>FRANCISCO LEANDRO DA SILVA HOLANDA</t>
  </si>
  <si>
    <t>031/0069/D</t>
  </si>
  <si>
    <t>MARIA DO SOCORRO RODRIGUES DOS SANTOS</t>
  </si>
  <si>
    <t>031/0070/A</t>
  </si>
  <si>
    <t>ELISANGELA XAVIER DE SOUZA</t>
  </si>
  <si>
    <t>031/0071/A</t>
  </si>
  <si>
    <t>ISMAEL PEREIRA DOS SANTOS</t>
  </si>
  <si>
    <t>031/0071/B</t>
  </si>
  <si>
    <t>031/0071/C</t>
  </si>
  <si>
    <t>EDUARDO SOUZA DA SILVA</t>
  </si>
  <si>
    <t>031/0071/D</t>
  </si>
  <si>
    <t>JOHNATA JEFERSON SILVA VASCONCELOS</t>
  </si>
  <si>
    <t>031/0072/A</t>
  </si>
  <si>
    <t>031/0072/B</t>
  </si>
  <si>
    <t>MANUELA SANTANA DE BRITO</t>
  </si>
  <si>
    <t>031/0072/C</t>
  </si>
  <si>
    <t>GEOVANILSON DE ANDRADE</t>
  </si>
  <si>
    <t>031/0072/D</t>
  </si>
  <si>
    <t>031/0073/A</t>
  </si>
  <si>
    <t>031/0073/B</t>
  </si>
  <si>
    <t>TALITA VIEIRA SANTOS DA SILVA</t>
  </si>
  <si>
    <t>031/0074/A</t>
  </si>
  <si>
    <t>MARIA AMANDA FEITOSA DE LIRA</t>
  </si>
  <si>
    <t>031/0075/A</t>
  </si>
  <si>
    <t>MILENA DE MELO MORAIS</t>
  </si>
  <si>
    <t>031/0075/B</t>
  </si>
  <si>
    <t>VALDEIR EURIVALDO DE SOUZA</t>
  </si>
  <si>
    <t>031/0075/C</t>
  </si>
  <si>
    <t>031/0076/A</t>
  </si>
  <si>
    <t xml:space="preserve">LUCAS DE CARVALHO ABREU </t>
  </si>
  <si>
    <t>LIDIANE SOARES DINIZ</t>
  </si>
  <si>
    <t>AGUIMAR MARTINS DE ASSIS</t>
  </si>
  <si>
    <t>031/0077/A</t>
  </si>
  <si>
    <t>LAURENICE ALMEIDA DOS SANTOS</t>
  </si>
  <si>
    <t>031/0077/B</t>
  </si>
  <si>
    <t>SEVERINA DA CONCEIÇÃO ALMEIDA SOARES</t>
  </si>
  <si>
    <t>PAULO SERGIO DA SILVA</t>
  </si>
  <si>
    <t>031/0078/C</t>
  </si>
  <si>
    <t>WASHINGTON FELIPE CATARINA CEZARINA</t>
  </si>
  <si>
    <t>031/0078/D</t>
  </si>
  <si>
    <t>JANICARLOS ISALBERTO RODRIGUES</t>
  </si>
  <si>
    <t>031/0078/E</t>
  </si>
  <si>
    <t>JOSÉ BATISTA IRMÃO</t>
  </si>
  <si>
    <t>031/0078/F</t>
  </si>
  <si>
    <t>JOSE CARLOS PEREIRA BATISTA</t>
  </si>
  <si>
    <t>031/0078/G</t>
  </si>
  <si>
    <t>EMERSON CARLOS DA SILVA ARAUJO</t>
  </si>
  <si>
    <t>031/0079/A</t>
  </si>
  <si>
    <t>MARISVALDO DE JESUS PEREIRA</t>
  </si>
  <si>
    <t>031/0079/B</t>
  </si>
  <si>
    <t>JOELMA AROEIRA PEREIRA DE BRITO</t>
  </si>
  <si>
    <t>031/0079/C</t>
  </si>
  <si>
    <t>NOEL SANTOS DE JESUS</t>
  </si>
  <si>
    <t>031/0080/A</t>
  </si>
  <si>
    <t xml:space="preserve">JOÃO PAULO CORDEIRO DE SOUZA  </t>
  </si>
  <si>
    <t>031/0080/B</t>
  </si>
  <si>
    <t>GABRIEL DE SOUZA MOREIRA</t>
  </si>
  <si>
    <t>031/0080/C</t>
  </si>
  <si>
    <t>VALMIRA ROSA DE SOUZA</t>
  </si>
  <si>
    <t>031/0080/D</t>
  </si>
  <si>
    <t>MAURILIO LIMA DA CRUZ</t>
  </si>
  <si>
    <t>031/0081/C</t>
  </si>
  <si>
    <t>031/0081/D</t>
  </si>
  <si>
    <t>BERNARDO DE JESUS RODRIGUES</t>
  </si>
  <si>
    <t>031/0081/E</t>
  </si>
  <si>
    <t>031/0081/F</t>
  </si>
  <si>
    <t>MARCOS DAIAN DA SILVA FERREIRA</t>
  </si>
  <si>
    <t>031/0081/G</t>
  </si>
  <si>
    <t>JOSE RIBEIRO DOS SANTOS</t>
  </si>
  <si>
    <t>031/0081/H</t>
  </si>
  <si>
    <t>JOELMA JEIZA AMARAL GOMES SILVA</t>
  </si>
  <si>
    <t>031/0081/I</t>
  </si>
  <si>
    <t>GEISE APARECIDA LIMA E SILVA</t>
  </si>
  <si>
    <t>031/0081/J</t>
  </si>
  <si>
    <t>PAULO SILVA DE FREITAS</t>
  </si>
  <si>
    <t>033/0016/A</t>
  </si>
  <si>
    <t>LUIS ALBERTO FEGLIA DA ROSA</t>
  </si>
  <si>
    <t>033/0016/B</t>
  </si>
  <si>
    <t>ALEXANDRE FEGLIA DA ROSA</t>
  </si>
  <si>
    <t>033/0016/D</t>
  </si>
  <si>
    <t>033/0016/E</t>
  </si>
  <si>
    <t>033/0016/F</t>
  </si>
  <si>
    <t>033/0016/G</t>
  </si>
  <si>
    <t>JOILSON ALVES MACEDO</t>
  </si>
  <si>
    <t>033/0017/A</t>
  </si>
  <si>
    <t>033/0018/A</t>
  </si>
  <si>
    <t>033/0018/B</t>
  </si>
  <si>
    <t>DIOCI PEREIRA DO BOMFIM</t>
  </si>
  <si>
    <t>033/0018/C</t>
  </si>
  <si>
    <t>VILMA RIBEIRO LIMA DOS SANTOS</t>
  </si>
  <si>
    <t>033/0018/D</t>
  </si>
  <si>
    <t>RAFAEL RODRIGUES DE SOUZA</t>
  </si>
  <si>
    <t>033/0019/A</t>
  </si>
  <si>
    <t>033/0019/C</t>
  </si>
  <si>
    <t>MANOEL VIERA DOS SANTOS</t>
  </si>
  <si>
    <t>033/0019/D</t>
  </si>
  <si>
    <t>FRANCISCO SOUZA SANTOS</t>
  </si>
  <si>
    <t>033/0020/A</t>
  </si>
  <si>
    <t>033/0020/B</t>
  </si>
  <si>
    <t>CLAUDENILSON NEVES DE SOUZA</t>
  </si>
  <si>
    <t>033/0020/C</t>
  </si>
  <si>
    <t>033/0021/A</t>
  </si>
  <si>
    <t>033/0021/B</t>
  </si>
  <si>
    <t>VALDEMIRA DE SOUZA BRANDÃO BRAGA</t>
  </si>
  <si>
    <t>033/0022/A</t>
  </si>
  <si>
    <t>JOHN LUCAS CAMILO DA SILVA</t>
  </si>
  <si>
    <t>033/0023/A</t>
  </si>
  <si>
    <t>033/0024/A</t>
  </si>
  <si>
    <t>AIDÊ DE OLIVEIRA ALMEIDA DOS SANTOS</t>
  </si>
  <si>
    <t>033/0024/B</t>
  </si>
  <si>
    <t>JOELMA ALMEIDA DOS SANTOS</t>
  </si>
  <si>
    <t>033/0026/A</t>
  </si>
  <si>
    <t>JOYCE DE ALMEIDA FELIX</t>
  </si>
  <si>
    <t>033/0026/B</t>
  </si>
  <si>
    <t>HELENA FRANCISCA DOS SANTOS</t>
  </si>
  <si>
    <t>033/0026/C</t>
  </si>
  <si>
    <t>AUTELINA ROSA DOS SANTOS</t>
  </si>
  <si>
    <t>033/0027/A</t>
  </si>
  <si>
    <t>ARLINDO FRANCISCO SANTOS JUNIOR</t>
  </si>
  <si>
    <t>033/0027/B</t>
  </si>
  <si>
    <t>ALINE CALDEIRA LOPES</t>
  </si>
  <si>
    <t>033/0028/A</t>
  </si>
  <si>
    <t>VANESSA ROSA SILVA SANTOS</t>
  </si>
  <si>
    <t>033/0029/A</t>
  </si>
  <si>
    <t>MARIA AUXILIADORA DIAS DE BRITO</t>
  </si>
  <si>
    <t>INGRID DIAS DE BRITO SILVA</t>
  </si>
  <si>
    <t>033/0029/D</t>
  </si>
  <si>
    <t>RAIMUNDO NONATO GOMES DE CARVALHO</t>
  </si>
  <si>
    <t>033/0029/E</t>
  </si>
  <si>
    <t>EVERTON REZENDE PEREIRA</t>
  </si>
  <si>
    <t>033/0030/C</t>
  </si>
  <si>
    <t>033/0030/D</t>
  </si>
  <si>
    <t>LUZIANE SILVA REIS</t>
  </si>
  <si>
    <t>DULCILENE MARIA DA SILVA</t>
  </si>
  <si>
    <t xml:space="preserve">THALLYS RODRIGUES MARTIM MACIEL DA CONCEIÇÃO </t>
  </si>
  <si>
    <t>VALDEICE CORREIA DA SILVA</t>
  </si>
  <si>
    <t>MARIANE CORREIA MELO</t>
  </si>
  <si>
    <t>ANDREA REZENDE FERREIRA</t>
  </si>
  <si>
    <t>RENATA PEREIRA DA SILVA</t>
  </si>
  <si>
    <t>MARILDA FRANCA MIRANDA</t>
  </si>
  <si>
    <t>SERGIO SENA DE ABREU</t>
  </si>
  <si>
    <t>VITOR VIEIRA DA SILVA</t>
  </si>
  <si>
    <t>RONIVIA DE OLIVEIRA PORCINO</t>
  </si>
  <si>
    <t>ODETE BEZERRA DA SILVA</t>
  </si>
  <si>
    <t>ELIVELTON</t>
  </si>
  <si>
    <t>MARISA FERREIRA</t>
  </si>
  <si>
    <t>FELIPE ALMEIDA DA CRUZ</t>
  </si>
  <si>
    <t>JOSUE RODRIGUES DA COSTA</t>
  </si>
  <si>
    <t xml:space="preserve">MANOEL APARECIDO DE LIMA SILVA  </t>
  </si>
  <si>
    <t>CRISTIANE DA SILVA SANTOS</t>
  </si>
  <si>
    <t>MARCELO CONSTANCIO AZEVEDO</t>
  </si>
  <si>
    <t>GILMARA PEREIRA DE OLIVEIRA</t>
  </si>
  <si>
    <t>MARTA GOMES DE OLIVEIRA</t>
  </si>
  <si>
    <t>RITA FERREIRA DOS SANTOS</t>
  </si>
  <si>
    <t>DILSON</t>
  </si>
  <si>
    <t>ANNA PATRÍCIA ALVES FERREIRA</t>
  </si>
  <si>
    <t>UELITON NOLASCO DOS SANTOS</t>
  </si>
  <si>
    <t>MARIVAN NERES ROSA</t>
  </si>
  <si>
    <t>LUAN PHILIPPE ROSA VIANA</t>
  </si>
  <si>
    <t>CHARLES SILVA GONÇALVES</t>
  </si>
  <si>
    <t>SANDRA OLIVEIRA GONÇALVES</t>
  </si>
  <si>
    <t>QUITERIA GOMES DA SILVA</t>
  </si>
  <si>
    <t>MARIA VANDELY DE MELO TEIXEIRA</t>
  </si>
  <si>
    <t>ANTONIO GUSTAVO DE JERÔNIMO</t>
  </si>
  <si>
    <t>CRISLANE GOMES MENDONÇA</t>
  </si>
  <si>
    <t>TAIS FERREIRA DA SILVA</t>
  </si>
  <si>
    <t>EMILIA ROSA DA SILVA</t>
  </si>
  <si>
    <t>RONNY PEDRO SILVA DOS SANTOS</t>
  </si>
  <si>
    <t>VAGNER LIMA SANTOS</t>
  </si>
  <si>
    <t>ANTONIO FERREIRA DE SOUZA</t>
  </si>
  <si>
    <t>MARCOS VINICIUS ALMEIDA SANTANA SANTOS</t>
  </si>
  <si>
    <t>MARIA JOSE JULIÃO DOS SANTOS</t>
  </si>
  <si>
    <t>WARLEY BARINHO DOS SANTOS</t>
  </si>
  <si>
    <t>FERNANDO FRANCISCO DA SILVA XAVIER</t>
  </si>
  <si>
    <t>LIDIANE FERREIRA TOMÁS</t>
  </si>
  <si>
    <t>CLAYTON BRITO SILVA</t>
  </si>
  <si>
    <t>ALEX DE SOUZA DINIZ</t>
  </si>
  <si>
    <t>GILSON LIMA DINIZ</t>
  </si>
  <si>
    <t xml:space="preserve">CICERO XAVIER ALMEIDA </t>
  </si>
  <si>
    <t>JOSE BARBOSA DA CRUZ</t>
  </si>
  <si>
    <t>SINVALDO PEREIRA NUNES</t>
  </si>
  <si>
    <t>KLEBER MAURICIO SOARES</t>
  </si>
  <si>
    <t>SHEILA APARECIDA MAURICIO PEREIRA</t>
  </si>
  <si>
    <t>LUZIA ANDRADE DA COSTA</t>
  </si>
  <si>
    <t>JONATAS DA SILVA COSTA</t>
  </si>
  <si>
    <t>DAVID JOSE DA SILVA COSTA</t>
  </si>
  <si>
    <t>DIOGO CORADO DE OLIVEIRA</t>
  </si>
  <si>
    <t>JOSÉ DAMIÃO COSTA</t>
  </si>
  <si>
    <t>MARIA DE JESUS DE MELO VITAL</t>
  </si>
  <si>
    <t>JULIA CECILIA OLIVEIRA DOS SANTOS</t>
  </si>
  <si>
    <t>JUSSARA OLIVEIRA DOS SANTOS</t>
  </si>
  <si>
    <t>LUIZ FERNANDO MERCE DA SILVA CARVALHO</t>
  </si>
  <si>
    <t>ANTONIO FRANCISCO DE SOUZA SOBRINHO</t>
  </si>
  <si>
    <t>EDILANE SANTOS SILVA</t>
  </si>
  <si>
    <t>MARIA DALVA DE SOUZA SOBRINHO DA SILVA</t>
  </si>
  <si>
    <t>OPLINIO GONÇALVES SOUZA</t>
  </si>
  <si>
    <t>RAISSA SOUZA GONÇALVES</t>
  </si>
  <si>
    <t>RENILTON DA SILVA GONÇALVES</t>
  </si>
  <si>
    <t>GELITON HENRIQUE BRITO</t>
  </si>
  <si>
    <t>IVONETE HENRIQUE DOS SANTOS</t>
  </si>
  <si>
    <t>MARIO MATOS MARAMALDO</t>
  </si>
  <si>
    <t>RONALDO SANTANA PACHECO</t>
  </si>
  <si>
    <t>ISABELA DOS SANTOS SILVA</t>
  </si>
  <si>
    <t>REINALDO FERREIRA DOS SANTOS</t>
  </si>
  <si>
    <t>CREONICE IZIDIO DE MOURA</t>
  </si>
  <si>
    <t>ORLANDO SOARES DE OLIVEIRA</t>
  </si>
  <si>
    <t>MARIA MILZA DE OLIVEIRA</t>
  </si>
  <si>
    <t>RAIMUNDO ARAUJO LIMA</t>
  </si>
  <si>
    <t>VERA LUCIA ARAUJO DOS SANTOS</t>
  </si>
  <si>
    <t>SILVESTRE GOMES DA SILVA</t>
  </si>
  <si>
    <t>JOSE GUSTAVO DIAS DA SILVA</t>
  </si>
  <si>
    <t>ROSINÊS MARIA DE BARROS</t>
  </si>
  <si>
    <t>SEBASTIÃO DE JESUS DE OLIVEIRA</t>
  </si>
  <si>
    <t>PEDRO CIPRIANO DA SILVA FILHO</t>
  </si>
  <si>
    <t>JARDIM MONTE ALEGRE</t>
  </si>
  <si>
    <t>001/0002/C</t>
  </si>
  <si>
    <t xml:space="preserve">HUGO FÉLIX PEREIRA DA SILVA </t>
  </si>
  <si>
    <t>480.070.948-22</t>
  </si>
  <si>
    <t>6014.2025/0004876-4</t>
  </si>
  <si>
    <t>001/0004/A</t>
  </si>
  <si>
    <t xml:space="preserve">DANIELA GISELIA DA SILVA </t>
  </si>
  <si>
    <t>411.798.508-66</t>
  </si>
  <si>
    <t>6014.2025/0004546-3</t>
  </si>
  <si>
    <t>001/0007/B</t>
  </si>
  <si>
    <t>FRANCISCO ANTONIO SALES</t>
  </si>
  <si>
    <t>441.086.948-56</t>
  </si>
  <si>
    <t>6014.2025/0003850-5</t>
  </si>
  <si>
    <t>001/0010/A</t>
  </si>
  <si>
    <t xml:space="preserve">JOSÉ GABRIEL DA SILVA </t>
  </si>
  <si>
    <t>065.751.208-73</t>
  </si>
  <si>
    <t>6014.2025/0004882-9</t>
  </si>
  <si>
    <t>001/0011/A</t>
  </si>
  <si>
    <t>LÚCIA GARCIA NUNES NASCIMENTO</t>
  </si>
  <si>
    <t>452.900.084-20</t>
  </si>
  <si>
    <t>6014.2025/0004390-8</t>
  </si>
  <si>
    <t>001/0018/B</t>
  </si>
  <si>
    <t>GUILHERME CATELI BARBOSA</t>
  </si>
  <si>
    <t>535.389.928-86</t>
  </si>
  <si>
    <t>6014.2024/0005453-3</t>
  </si>
  <si>
    <t>001/0019/A</t>
  </si>
  <si>
    <t>SABRINA DE CAMPOS MASCARENHAS</t>
  </si>
  <si>
    <t>533.629.768-24</t>
  </si>
  <si>
    <t>6014.2025/0000289-6</t>
  </si>
  <si>
    <t>001/0022/A</t>
  </si>
  <si>
    <t xml:space="preserve">DAVID LYE VEIRA </t>
  </si>
  <si>
    <t>316.735.778-90</t>
  </si>
  <si>
    <t>6014.2024/0005451-7</t>
  </si>
  <si>
    <t>001/0022/B</t>
  </si>
  <si>
    <t xml:space="preserve">GABRIELLY ADRIANY VIEIRA </t>
  </si>
  <si>
    <t>427.120.998-85</t>
  </si>
  <si>
    <t>6014.2024/0005450-9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</si>
</sst>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[$R$-416]\ #,##0.00"/>
    <numFmt numFmtId="169" formatCode="dd/mm/yy;@"/>
  </numFmts>
  <fonts count="5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  <font>
      <b/>
      <sz val="12"/>
      <color indexed="8"/>
      <name val="Arial Nova"/>
      <family val="2"/>
    </font>
    <font>
      <b/>
      <sz val="12"/>
      <color rgb="FF000000"/>
      <name val="Arial Nova"/>
      <family val="2"/>
    </font>
    <font>
      <b/>
      <sz val="12"/>
      <name val="Arial Nova"/>
      <family val="2"/>
    </font>
    <font>
      <b/>
      <sz val="9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</borders>
  <cellStyleXfs count="51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270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9" fillId="0" borderId="17" xfId="0" applyFont="1" applyBorder="1"/>
    <xf numFmtId="0" fontId="33" fillId="0" borderId="0" xfId="0" applyFont="1" applyAlignment="1">
      <alignment horizontal="center" vertical="center"/>
    </xf>
    <xf numFmtId="0" fontId="34" fillId="20" borderId="18" xfId="0" applyFont="1" applyFill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20" borderId="18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4" fillId="24" borderId="18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11" borderId="11" xfId="1" applyNumberFormat="1" applyFont="1" applyFill="1" applyBorder="1" applyAlignment="1">
      <alignment horizontal="center" vertical="center" wrapText="1"/>
    </xf>
    <xf numFmtId="0" fontId="42" fillId="11" borderId="11" xfId="1" applyFont="1" applyFill="1" applyBorder="1" applyAlignment="1">
      <alignment horizontal="center" vertical="center" wrapText="1"/>
    </xf>
    <xf numFmtId="0" fontId="42" fillId="11" borderId="11" xfId="0" applyFont="1" applyFill="1" applyBorder="1" applyAlignment="1">
      <alignment horizontal="center" vertical="center" wrapText="1"/>
    </xf>
    <xf numFmtId="166" fontId="42" fillId="15" borderId="11" xfId="0" applyNumberFormat="1" applyFont="1" applyFill="1" applyBorder="1" applyAlignment="1">
      <alignment horizontal="center" vertical="center" wrapText="1"/>
    </xf>
    <xf numFmtId="0" fontId="42" fillId="15" borderId="11" xfId="0" applyFont="1" applyFill="1" applyBorder="1" applyAlignment="1">
      <alignment horizontal="center" vertical="center" wrapText="1"/>
    </xf>
    <xf numFmtId="0" fontId="42" fillId="16" borderId="11" xfId="0" applyFont="1" applyFill="1" applyBorder="1" applyAlignment="1">
      <alignment horizontal="center" vertical="center" wrapText="1"/>
    </xf>
    <xf numFmtId="0" fontId="42" fillId="16" borderId="11" xfId="1" applyFont="1" applyFill="1" applyBorder="1" applyAlignment="1">
      <alignment horizontal="center" vertical="center" wrapText="1"/>
    </xf>
    <xf numFmtId="0" fontId="42" fillId="16" borderId="14" xfId="0" applyFont="1" applyFill="1" applyBorder="1" applyAlignment="1">
      <alignment horizontal="center" vertical="center" wrapText="1"/>
    </xf>
    <xf numFmtId="0" fontId="42" fillId="17" borderId="12" xfId="0" applyFont="1" applyFill="1" applyBorder="1" applyAlignment="1">
      <alignment horizontal="center" vertical="center"/>
    </xf>
    <xf numFmtId="0" fontId="42" fillId="17" borderId="14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6" fontId="37" fillId="11" borderId="18" xfId="0" applyNumberFormat="1" applyFont="1" applyFill="1" applyBorder="1" applyAlignment="1">
      <alignment horizontal="center" vertical="center"/>
    </xf>
    <xf numFmtId="0" fontId="37" fillId="11" borderId="18" xfId="0" applyFont="1" applyFill="1" applyBorder="1" applyAlignment="1">
      <alignment horizontal="center" vertical="center"/>
    </xf>
    <xf numFmtId="166" fontId="38" fillId="0" borderId="18" xfId="0" applyNumberFormat="1" applyFont="1" applyBorder="1" applyAlignment="1">
      <alignment horizontal="center" vertical="center"/>
    </xf>
    <xf numFmtId="0" fontId="38" fillId="11" borderId="18" xfId="0" applyFont="1" applyFill="1" applyBorder="1" applyAlignment="1">
      <alignment horizontal="center" vertical="center"/>
    </xf>
    <xf numFmtId="0" fontId="41" fillId="0" borderId="18" xfId="0" applyFont="1" applyBorder="1" applyAlignment="1">
      <alignment horizontal="center" vertical="center" wrapText="1"/>
    </xf>
    <xf numFmtId="14" fontId="37" fillId="0" borderId="18" xfId="0" applyNumberFormat="1" applyFont="1" applyBorder="1" applyAlignment="1">
      <alignment horizontal="center" vertical="center"/>
    </xf>
    <xf numFmtId="166" fontId="37" fillId="22" borderId="18" xfId="0" applyNumberFormat="1" applyFont="1" applyFill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23" borderId="18" xfId="0" applyFont="1" applyFill="1" applyBorder="1" applyAlignment="1">
      <alignment horizontal="center" vertical="center"/>
    </xf>
    <xf numFmtId="0" fontId="41" fillId="19" borderId="18" xfId="0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166" fontId="38" fillId="0" borderId="7" xfId="0" applyNumberFormat="1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167" fontId="38" fillId="0" borderId="0" xfId="0" applyNumberFormat="1" applyFont="1" applyAlignment="1">
      <alignment horizontal="center" vertical="center"/>
    </xf>
    <xf numFmtId="0" fontId="42" fillId="25" borderId="14" xfId="0" applyFont="1" applyFill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167" fontId="37" fillId="0" borderId="18" xfId="0" applyNumberFormat="1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38" fillId="21" borderId="18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166" fontId="38" fillId="0" borderId="19" xfId="0" applyNumberFormat="1" applyFont="1" applyBorder="1" applyAlignment="1">
      <alignment horizontal="center" vertical="center"/>
    </xf>
    <xf numFmtId="167" fontId="42" fillId="25" borderId="14" xfId="0" applyNumberFormat="1" applyFont="1" applyFill="1" applyBorder="1" applyAlignment="1">
      <alignment horizontal="center" vertical="center" wrapText="1"/>
    </xf>
    <xf numFmtId="167" fontId="42" fillId="25" borderId="14" xfId="0" applyNumberFormat="1" applyFont="1" applyFill="1" applyBorder="1" applyAlignment="1">
      <alignment horizontal="center" vertical="center"/>
    </xf>
    <xf numFmtId="0" fontId="42" fillId="25" borderId="14" xfId="0" applyFont="1" applyFill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/>
    </xf>
    <xf numFmtId="0" fontId="37" fillId="27" borderId="18" xfId="0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/>
    </xf>
    <xf numFmtId="167" fontId="42" fillId="11" borderId="11" xfId="0" applyNumberFormat="1" applyFont="1" applyFill="1" applyBorder="1" applyAlignment="1">
      <alignment horizontal="center" vertical="center" wrapText="1"/>
    </xf>
    <xf numFmtId="167" fontId="38" fillId="0" borderId="8" xfId="0" applyNumberFormat="1" applyFont="1" applyBorder="1" applyAlignment="1">
      <alignment horizontal="center" vertical="center"/>
    </xf>
    <xf numFmtId="166" fontId="45" fillId="0" borderId="9" xfId="0" applyNumberFormat="1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 wrapText="1"/>
    </xf>
    <xf numFmtId="166" fontId="45" fillId="0" borderId="16" xfId="0" applyNumberFormat="1" applyFont="1" applyBorder="1" applyAlignment="1">
      <alignment horizontal="center" vertical="center"/>
    </xf>
    <xf numFmtId="166" fontId="30" fillId="11" borderId="9" xfId="0" applyNumberFormat="1" applyFont="1" applyFill="1" applyBorder="1" applyAlignment="1">
      <alignment horizontal="center" vertical="center"/>
    </xf>
    <xf numFmtId="166" fontId="45" fillId="11" borderId="9" xfId="0" applyNumberFormat="1" applyFont="1" applyFill="1" applyBorder="1" applyAlignment="1">
      <alignment horizontal="center" vertical="center"/>
    </xf>
    <xf numFmtId="0" fontId="41" fillId="0" borderId="19" xfId="0" applyFont="1" applyBorder="1" applyAlignment="1">
      <alignment horizontal="center" vertical="center" wrapText="1"/>
    </xf>
    <xf numFmtId="0" fontId="36" fillId="28" borderId="11" xfId="1" applyFont="1" applyFill="1" applyBorder="1" applyAlignment="1">
      <alignment horizontal="center" vertical="center" wrapText="1"/>
    </xf>
    <xf numFmtId="0" fontId="36" fillId="28" borderId="11" xfId="0" applyFont="1" applyFill="1" applyBorder="1" applyAlignment="1">
      <alignment horizontal="center" vertical="center" wrapText="1"/>
    </xf>
    <xf numFmtId="0" fontId="36" fillId="28" borderId="14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167" fontId="45" fillId="0" borderId="9" xfId="0" applyNumberFormat="1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 wrapText="1"/>
    </xf>
    <xf numFmtId="166" fontId="45" fillId="11" borderId="16" xfId="0" applyNumberFormat="1" applyFont="1" applyFill="1" applyBorder="1" applyAlignment="1">
      <alignment horizontal="center" vertical="center"/>
    </xf>
    <xf numFmtId="168" fontId="39" fillId="0" borderId="0" xfId="0" applyNumberFormat="1" applyFont="1" applyAlignment="1">
      <alignment horizontal="center" vertical="center"/>
    </xf>
    <xf numFmtId="168" fontId="42" fillId="16" borderId="11" xfId="0" applyNumberFormat="1" applyFont="1" applyFill="1" applyBorder="1" applyAlignment="1">
      <alignment horizontal="center" vertical="center" wrapText="1"/>
    </xf>
    <xf numFmtId="167" fontId="45" fillId="0" borderId="16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166" fontId="42" fillId="16" borderId="11" xfId="0" applyNumberFormat="1" applyFont="1" applyFill="1" applyBorder="1" applyAlignment="1">
      <alignment horizontal="center" vertical="center" wrapText="1"/>
    </xf>
    <xf numFmtId="167" fontId="38" fillId="0" borderId="18" xfId="0" applyNumberFormat="1" applyFont="1" applyBorder="1" applyAlignment="1">
      <alignment horizontal="center" vertical="center"/>
    </xf>
    <xf numFmtId="169" fontId="39" fillId="0" borderId="0" xfId="0" applyNumberFormat="1" applyFont="1" applyAlignment="1">
      <alignment horizontal="center" vertical="center"/>
    </xf>
    <xf numFmtId="169" fontId="42" fillId="11" borderId="11" xfId="1" applyNumberFormat="1" applyFont="1" applyFill="1" applyBorder="1" applyAlignment="1">
      <alignment horizontal="center" vertical="center" wrapText="1"/>
    </xf>
    <xf numFmtId="0" fontId="46" fillId="12" borderId="12" xfId="47" applyNumberFormat="1" applyFont="1" applyFill="1" applyBorder="1" applyAlignment="1">
      <alignment horizontal="center" vertical="center" wrapText="1"/>
    </xf>
    <xf numFmtId="165" fontId="46" fillId="12" borderId="12" xfId="47" applyNumberFormat="1" applyFont="1" applyFill="1" applyBorder="1" applyAlignment="1">
      <alignment horizontal="center" vertical="center" wrapText="1"/>
    </xf>
    <xf numFmtId="166" fontId="46" fillId="12" borderId="12" xfId="47" applyNumberFormat="1" applyFont="1" applyFill="1" applyBorder="1" applyAlignment="1">
      <alignment horizontal="center" vertical="center" wrapText="1"/>
    </xf>
    <xf numFmtId="166" fontId="38" fillId="22" borderId="18" xfId="0" applyNumberFormat="1" applyFont="1" applyFill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169" fontId="48" fillId="0" borderId="9" xfId="0" applyNumberFormat="1" applyFont="1" applyBorder="1" applyAlignment="1">
      <alignment horizontal="center" vertical="center"/>
    </xf>
    <xf numFmtId="166" fontId="48" fillId="11" borderId="9" xfId="0" applyNumberFormat="1" applyFont="1" applyFill="1" applyBorder="1" applyAlignment="1">
      <alignment horizontal="center" vertical="center"/>
    </xf>
    <xf numFmtId="169" fontId="48" fillId="0" borderId="16" xfId="0" applyNumberFormat="1" applyFont="1" applyBorder="1" applyAlignment="1">
      <alignment horizontal="center" vertical="center"/>
    </xf>
    <xf numFmtId="166" fontId="48" fillId="11" borderId="16" xfId="0" applyNumberFormat="1" applyFont="1" applyFill="1" applyBorder="1" applyAlignment="1">
      <alignment horizontal="center" vertical="center"/>
    </xf>
    <xf numFmtId="0" fontId="49" fillId="11" borderId="11" xfId="1" applyNumberFormat="1" applyFont="1" applyFill="1" applyBorder="1" applyAlignment="1">
      <alignment horizontal="center" vertical="center" wrapText="1"/>
    </xf>
    <xf numFmtId="169" fontId="36" fillId="11" borderId="11" xfId="1" applyNumberFormat="1" applyFont="1" applyFill="1" applyBorder="1" applyAlignment="1">
      <alignment horizontal="center" vertical="center" wrapText="1"/>
    </xf>
    <xf numFmtId="0" fontId="36" fillId="16" borderId="11" xfId="0" applyFont="1" applyFill="1" applyBorder="1" applyAlignment="1">
      <alignment horizontal="center" vertical="center" wrapText="1"/>
    </xf>
    <xf numFmtId="0" fontId="50" fillId="0" borderId="0" xfId="0" applyFont="1"/>
    <xf numFmtId="0" fontId="51" fillId="0" borderId="0" xfId="0" applyFont="1"/>
    <xf numFmtId="169" fontId="30" fillId="0" borderId="9" xfId="0" applyNumberFormat="1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169" fontId="30" fillId="0" borderId="16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37" fillId="22" borderId="18" xfId="0" applyFont="1" applyFill="1" applyBorder="1" applyAlignment="1">
      <alignment horizontal="center" vertical="center"/>
    </xf>
    <xf numFmtId="167" fontId="37" fillId="22" borderId="18" xfId="0" applyNumberFormat="1" applyFont="1" applyFill="1" applyBorder="1" applyAlignment="1">
      <alignment horizontal="center" vertical="center"/>
    </xf>
    <xf numFmtId="166" fontId="37" fillId="22" borderId="18" xfId="0" quotePrefix="1" applyNumberFormat="1" applyFont="1" applyFill="1" applyBorder="1" applyAlignment="1">
      <alignment horizontal="center" vertical="center" wrapText="1"/>
    </xf>
    <xf numFmtId="166" fontId="37" fillId="22" borderId="18" xfId="0" quotePrefix="1" applyNumberFormat="1" applyFont="1" applyFill="1" applyBorder="1" applyAlignment="1">
      <alignment horizontal="center" vertical="center"/>
    </xf>
    <xf numFmtId="0" fontId="41" fillId="22" borderId="18" xfId="0" applyFont="1" applyFill="1" applyBorder="1" applyAlignment="1">
      <alignment horizontal="center" vertical="center" wrapText="1"/>
    </xf>
    <xf numFmtId="0" fontId="41" fillId="22" borderId="18" xfId="0" applyFont="1" applyFill="1" applyBorder="1" applyAlignment="1">
      <alignment horizontal="center" vertical="center"/>
    </xf>
    <xf numFmtId="168" fontId="41" fillId="22" borderId="18" xfId="0" applyNumberFormat="1" applyFont="1" applyFill="1" applyBorder="1" applyAlignment="1">
      <alignment horizontal="center" vertical="center"/>
    </xf>
    <xf numFmtId="0" fontId="38" fillId="22" borderId="18" xfId="0" applyFont="1" applyFill="1" applyBorder="1" applyAlignment="1">
      <alignment horizontal="center" vertical="center"/>
    </xf>
    <xf numFmtId="1" fontId="37" fillId="22" borderId="18" xfId="0" applyNumberFormat="1" applyFont="1" applyFill="1" applyBorder="1" applyAlignment="1">
      <alignment horizontal="center" vertical="center"/>
    </xf>
    <xf numFmtId="0" fontId="39" fillId="22" borderId="18" xfId="0" applyFont="1" applyFill="1" applyBorder="1" applyAlignment="1">
      <alignment horizontal="center" vertical="center"/>
    </xf>
    <xf numFmtId="0" fontId="37" fillId="22" borderId="23" xfId="0" applyFont="1" applyFill="1" applyBorder="1" applyAlignment="1">
      <alignment horizontal="center" vertical="center"/>
    </xf>
    <xf numFmtId="0" fontId="37" fillId="22" borderId="22" xfId="0" applyFont="1" applyFill="1" applyBorder="1" applyAlignment="1">
      <alignment horizontal="center" vertical="center"/>
    </xf>
    <xf numFmtId="0" fontId="37" fillId="22" borderId="18" xfId="0" applyFont="1" applyFill="1" applyBorder="1" applyAlignment="1">
      <alignment horizontal="center" vertical="center" wrapText="1"/>
    </xf>
    <xf numFmtId="167" fontId="38" fillId="22" borderId="18" xfId="0" applyNumberFormat="1" applyFont="1" applyFill="1" applyBorder="1" applyAlignment="1">
      <alignment horizontal="center" vertical="center"/>
    </xf>
    <xf numFmtId="0" fontId="38" fillId="22" borderId="18" xfId="0" applyFont="1" applyFill="1" applyBorder="1" applyAlignment="1">
      <alignment horizontal="center" vertical="center" wrapText="1"/>
    </xf>
    <xf numFmtId="168" fontId="39" fillId="22" borderId="18" xfId="0" applyNumberFormat="1" applyFont="1" applyFill="1" applyBorder="1" applyAlignment="1">
      <alignment horizontal="center" vertical="center"/>
    </xf>
    <xf numFmtId="169" fontId="39" fillId="22" borderId="18" xfId="0" applyNumberFormat="1" applyFont="1" applyFill="1" applyBorder="1" applyAlignment="1">
      <alignment horizontal="center" vertical="center"/>
    </xf>
    <xf numFmtId="169" fontId="39" fillId="0" borderId="18" xfId="0" applyNumberFormat="1" applyFont="1" applyBorder="1" applyAlignment="1">
      <alignment horizontal="center" vertical="center"/>
    </xf>
    <xf numFmtId="168" fontId="39" fillId="0" borderId="18" xfId="0" applyNumberFormat="1" applyFont="1" applyBorder="1" applyAlignment="1">
      <alignment horizontal="center" vertical="center"/>
    </xf>
    <xf numFmtId="0" fontId="37" fillId="22" borderId="23" xfId="0" applyFont="1" applyFill="1" applyBorder="1" applyAlignment="1">
      <alignment horizontal="center" vertical="center" wrapText="1"/>
    </xf>
    <xf numFmtId="0" fontId="38" fillId="22" borderId="23" xfId="0" applyFont="1" applyFill="1" applyBorder="1" applyAlignment="1">
      <alignment horizontal="center" vertical="center"/>
    </xf>
    <xf numFmtId="0" fontId="38" fillId="22" borderId="22" xfId="0" applyFont="1" applyFill="1" applyBorder="1" applyAlignment="1">
      <alignment horizontal="center" vertical="center"/>
    </xf>
    <xf numFmtId="0" fontId="39" fillId="22" borderId="19" xfId="0" applyFont="1" applyFill="1" applyBorder="1" applyAlignment="1">
      <alignment horizontal="center" vertical="center"/>
    </xf>
    <xf numFmtId="0" fontId="38" fillId="22" borderId="19" xfId="0" applyFont="1" applyFill="1" applyBorder="1" applyAlignment="1">
      <alignment horizontal="center" vertical="center"/>
    </xf>
    <xf numFmtId="0" fontId="42" fillId="22" borderId="18" xfId="0" applyFont="1" applyFill="1" applyBorder="1" applyAlignment="1">
      <alignment horizontal="center" vertical="center"/>
    </xf>
    <xf numFmtId="0" fontId="42" fillId="22" borderId="18" xfId="0" quotePrefix="1" applyFont="1" applyFill="1" applyBorder="1" applyAlignment="1">
      <alignment horizontal="center" vertical="center"/>
    </xf>
    <xf numFmtId="3" fontId="41" fillId="22" borderId="18" xfId="0" applyNumberFormat="1" applyFont="1" applyFill="1" applyBorder="1" applyAlignment="1">
      <alignment horizontal="center" vertical="center"/>
    </xf>
    <xf numFmtId="166" fontId="39" fillId="0" borderId="0" xfId="0" applyNumberFormat="1" applyFont="1" applyAlignment="1">
      <alignment horizontal="center" vertical="center"/>
    </xf>
    <xf numFmtId="166" fontId="41" fillId="22" borderId="18" xfId="0" applyNumberFormat="1" applyFont="1" applyFill="1" applyBorder="1" applyAlignment="1">
      <alignment horizontal="center" vertical="center"/>
    </xf>
    <xf numFmtId="166" fontId="39" fillId="22" borderId="18" xfId="0" applyNumberFormat="1" applyFont="1" applyFill="1" applyBorder="1" applyAlignment="1">
      <alignment horizontal="center" vertical="center"/>
    </xf>
    <xf numFmtId="166" fontId="39" fillId="0" borderId="18" xfId="0" applyNumberFormat="1" applyFont="1" applyBorder="1" applyAlignment="1">
      <alignment horizontal="center" vertical="center"/>
    </xf>
    <xf numFmtId="0" fontId="43" fillId="22" borderId="16" xfId="0" applyFont="1" applyFill="1" applyBorder="1" applyAlignment="1">
      <alignment horizontal="center" vertical="center"/>
    </xf>
    <xf numFmtId="0" fontId="43" fillId="22" borderId="16" xfId="0" applyFont="1" applyFill="1" applyBorder="1" applyAlignment="1">
      <alignment horizontal="center" vertical="center" wrapText="1"/>
    </xf>
    <xf numFmtId="167" fontId="52" fillId="22" borderId="16" xfId="0" applyNumberFormat="1" applyFont="1" applyFill="1" applyBorder="1" applyAlignment="1">
      <alignment horizontal="center" vertical="center"/>
    </xf>
    <xf numFmtId="0" fontId="30" fillId="19" borderId="16" xfId="0" applyFont="1" applyFill="1" applyBorder="1" applyAlignment="1">
      <alignment horizontal="center" vertical="center"/>
    </xf>
    <xf numFmtId="0" fontId="30" fillId="19" borderId="9" xfId="0" applyFont="1" applyFill="1" applyBorder="1" applyAlignment="1">
      <alignment horizontal="center" vertical="center"/>
    </xf>
    <xf numFmtId="0" fontId="41" fillId="19" borderId="19" xfId="0" applyFont="1" applyFill="1" applyBorder="1" applyAlignment="1">
      <alignment horizontal="center" vertical="center"/>
    </xf>
    <xf numFmtId="0" fontId="41" fillId="19" borderId="18" xfId="0" applyFont="1" applyFill="1" applyBorder="1" applyAlignment="1">
      <alignment horizontal="center" vertical="center"/>
    </xf>
    <xf numFmtId="0" fontId="29" fillId="20" borderId="1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3" fillId="22" borderId="9" xfId="0" applyFont="1" applyFill="1" applyBorder="1" applyAlignment="1">
      <alignment horizontal="center" vertical="center"/>
    </xf>
    <xf numFmtId="0" fontId="43" fillId="22" borderId="9" xfId="0" applyFont="1" applyFill="1" applyBorder="1" applyAlignment="1">
      <alignment horizontal="center" vertical="center" wrapText="1"/>
    </xf>
    <xf numFmtId="167" fontId="52" fillId="22" borderId="9" xfId="0" applyNumberFormat="1" applyFont="1" applyFill="1" applyBorder="1" applyAlignment="1">
      <alignment horizontal="center" vertical="center"/>
    </xf>
    <xf numFmtId="0" fontId="46" fillId="26" borderId="20" xfId="0" applyFont="1" applyFill="1" applyBorder="1" applyAlignment="1">
      <alignment horizontal="center" vertical="center" wrapText="1"/>
    </xf>
    <xf numFmtId="0" fontId="46" fillId="26" borderId="21" xfId="0" applyFont="1" applyFill="1" applyBorder="1" applyAlignment="1">
      <alignment horizontal="center" vertical="center" wrapText="1"/>
    </xf>
    <xf numFmtId="0" fontId="46" fillId="14" borderId="12" xfId="47" applyNumberFormat="1" applyFont="1" applyFill="1" applyBorder="1" applyAlignment="1">
      <alignment horizontal="center" vertical="center" wrapText="1"/>
    </xf>
    <xf numFmtId="166" fontId="46" fillId="14" borderId="12" xfId="47" applyNumberFormat="1" applyFont="1" applyFill="1" applyBorder="1" applyAlignment="1">
      <alignment horizontal="center" vertical="center" wrapText="1"/>
    </xf>
    <xf numFmtId="0" fontId="46" fillId="14" borderId="13" xfId="47" applyNumberFormat="1" applyFont="1" applyFill="1" applyBorder="1" applyAlignment="1">
      <alignment horizontal="center" vertical="center" wrapText="1"/>
    </xf>
    <xf numFmtId="0" fontId="46" fillId="13" borderId="11" xfId="47" applyNumberFormat="1" applyFont="1" applyFill="1" applyBorder="1" applyAlignment="1">
      <alignment horizontal="center" vertical="center" wrapText="1"/>
    </xf>
    <xf numFmtId="0" fontId="46" fillId="13" borderId="12" xfId="47" applyNumberFormat="1" applyFont="1" applyFill="1" applyBorder="1" applyAlignment="1">
      <alignment horizontal="center" vertical="center" wrapText="1"/>
    </xf>
    <xf numFmtId="166" fontId="46" fillId="13" borderId="13" xfId="47" applyNumberFormat="1" applyFont="1" applyFill="1" applyBorder="1" applyAlignment="1">
      <alignment horizontal="center" vertical="center" wrapText="1"/>
    </xf>
    <xf numFmtId="0" fontId="46" fillId="18" borderId="11" xfId="0" applyFont="1" applyFill="1" applyBorder="1" applyAlignment="1">
      <alignment horizontal="center" vertical="center" wrapText="1"/>
    </xf>
    <xf numFmtId="0" fontId="46" fillId="18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96FF9C"/>
      <color rgb="FFFFFA69"/>
      <color rgb="FFFF2BA0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I37505"/>
  <sheetViews>
    <sheetView showGridLines="0" tabSelected="1" topLeftCell="A10" zoomScale="85" zoomScaleNormal="85" workbookViewId="0">
      <pane xSplit="6" ySplit="4" topLeftCell="BB17" activePane="bottomRight" state="frozen"/>
      <selection pane="topRight"/>
      <selection pane="bottomLeft"/>
      <selection pane="bottomRight" activeCell="BF17" sqref="BF17"/>
    </sheetView>
  </sheetViews>
  <sheetFormatPr defaultColWidth="9.140625" defaultRowHeight="30" customHeight="1" x14ac:dyDescent="0.25"/>
  <cols>
    <col min="1" max="1" width="10" style="180" bestFit="1" customWidth="1"/>
    <col min="2" max="2" width="29.140625" style="180" bestFit="1" customWidth="1"/>
    <col min="3" max="3" width="9.85546875" style="117" customWidth="1"/>
    <col min="4" max="4" width="16.28515625" style="117" customWidth="1"/>
    <col min="5" max="5" width="18" style="117" customWidth="1"/>
    <col min="6" max="6" width="15.85546875" style="192" bestFit="1" customWidth="1"/>
    <col min="7" max="7" width="24" style="117" customWidth="1"/>
    <col min="8" max="8" width="22.85546875" style="117" customWidth="1"/>
    <col min="9" max="9" width="38.7109375" style="117" customWidth="1"/>
    <col min="10" max="10" width="70.28515625" style="118" bestFit="1" customWidth="1"/>
    <col min="11" max="11" width="21.5703125" style="118" bestFit="1" customWidth="1"/>
    <col min="12" max="12" width="22.140625" style="118" customWidth="1"/>
    <col min="13" max="13" width="35.42578125" style="117" customWidth="1"/>
    <col min="14" max="14" width="51.85546875" style="117" bestFit="1" customWidth="1"/>
    <col min="15" max="15" width="19.85546875" style="169" bestFit="1" customWidth="1"/>
    <col min="16" max="16" width="60.42578125" style="119" bestFit="1" customWidth="1"/>
    <col min="17" max="17" width="50.42578125" style="239" customWidth="1"/>
    <col min="18" max="18" width="56.5703125" style="119" customWidth="1"/>
    <col min="19" max="19" width="49.28515625" style="119" customWidth="1"/>
    <col min="20" max="20" width="53.5703125" style="119" customWidth="1"/>
    <col min="21" max="21" width="49.28515625" style="119" customWidth="1"/>
    <col min="22" max="22" width="27.5703125" style="119" customWidth="1"/>
    <col min="23" max="23" width="30.5703125" style="119" customWidth="1"/>
    <col min="24" max="24" width="31.28515625" style="119" customWidth="1"/>
    <col min="25" max="25" width="21.28515625" style="119" customWidth="1"/>
    <col min="26" max="26" width="33.5703125" style="147" customWidth="1"/>
    <col min="27" max="27" width="103.7109375" style="117" customWidth="1"/>
    <col min="28" max="28" width="59.5703125" style="118" bestFit="1" customWidth="1"/>
    <col min="29" max="29" width="21" style="118" bestFit="1" customWidth="1"/>
    <col min="30" max="30" width="19.7109375" style="118" bestFit="1" customWidth="1"/>
    <col min="31" max="31" width="40.28515625" style="117" bestFit="1" customWidth="1"/>
    <col min="32" max="32" width="40.28515625" style="117" customWidth="1"/>
    <col min="33" max="33" width="28.28515625" style="186" bestFit="1" customWidth="1"/>
    <col min="34" max="34" width="34.7109375" style="186" bestFit="1" customWidth="1"/>
    <col min="35" max="35" width="70.5703125" style="117" bestFit="1" customWidth="1"/>
    <col min="36" max="36" width="38" style="117" bestFit="1" customWidth="1"/>
    <col min="37" max="37" width="38" style="117" customWidth="1"/>
    <col min="38" max="38" width="91.28515625" style="117" bestFit="1" customWidth="1"/>
    <col min="39" max="39" width="14.85546875" style="117" bestFit="1" customWidth="1"/>
    <col min="40" max="40" width="59.5703125" style="117" bestFit="1" customWidth="1"/>
    <col min="41" max="41" width="90" style="117" bestFit="1" customWidth="1"/>
    <col min="42" max="42" width="43.42578125" style="118" bestFit="1" customWidth="1"/>
    <col min="43" max="43" width="40.140625" style="117" bestFit="1" customWidth="1"/>
    <col min="44" max="44" width="36.85546875" style="117" bestFit="1" customWidth="1"/>
    <col min="45" max="45" width="42.7109375" style="117" bestFit="1" customWidth="1"/>
    <col min="46" max="46" width="54.5703125" style="117" customWidth="1"/>
    <col min="47" max="47" width="45" style="119" customWidth="1"/>
    <col min="48" max="48" width="57" style="117" bestFit="1" customWidth="1"/>
    <col min="49" max="49" width="46.42578125" style="117" bestFit="1" customWidth="1"/>
    <col min="50" max="50" width="31.28515625" style="117" bestFit="1" customWidth="1"/>
    <col min="51" max="51" width="28.7109375" style="119" bestFit="1" customWidth="1"/>
    <col min="52" max="52" width="33.5703125" style="148" bestFit="1" customWidth="1"/>
    <col min="53" max="53" width="34.140625" style="148" bestFit="1" customWidth="1"/>
    <col min="54" max="54" width="54.7109375" style="148" customWidth="1"/>
    <col min="55" max="55" width="18.140625" style="148" customWidth="1"/>
    <col min="56" max="56" width="28.28515625" style="117" bestFit="1" customWidth="1"/>
    <col min="57" max="58" width="43.42578125" style="117" bestFit="1" customWidth="1"/>
    <col min="59" max="59" width="43.85546875" style="149" bestFit="1" customWidth="1"/>
    <col min="60" max="60" width="27.140625" style="149" bestFit="1" customWidth="1"/>
    <col min="61" max="61" width="57" style="117" bestFit="1" customWidth="1"/>
    <col min="62" max="62" width="45.42578125" style="117" bestFit="1" customWidth="1"/>
    <col min="63" max="63" width="25" style="117" bestFit="1" customWidth="1"/>
    <col min="64" max="64" width="54.7109375" style="117" bestFit="1" customWidth="1"/>
    <col min="65" max="65" width="47.7109375" style="117" bestFit="1" customWidth="1"/>
    <col min="66" max="67" width="9.140625" style="117" bestFit="1" customWidth="1"/>
    <col min="68" max="68" width="24.140625" style="117" bestFit="1" customWidth="1"/>
    <col min="69" max="103" width="9.140625" style="117" bestFit="1" customWidth="1"/>
    <col min="104" max="16384" width="9.140625" style="117"/>
  </cols>
  <sheetData>
    <row r="1" spans="1:87" ht="30" customHeight="1" x14ac:dyDescent="0.25">
      <c r="O1" s="149"/>
      <c r="Z1" s="119"/>
      <c r="AZ1" s="117"/>
      <c r="BA1" s="117"/>
      <c r="BB1" s="117"/>
      <c r="BC1" s="117"/>
    </row>
    <row r="2" spans="1:87" ht="30" customHeight="1" x14ac:dyDescent="0.25">
      <c r="O2" s="149"/>
      <c r="Z2" s="119"/>
      <c r="AZ2" s="117"/>
      <c r="BA2" s="117"/>
      <c r="BB2" s="117"/>
      <c r="BC2" s="117"/>
    </row>
    <row r="3" spans="1:87" ht="30" customHeight="1" x14ac:dyDescent="0.25">
      <c r="C3" s="117">
        <v>2</v>
      </c>
      <c r="D3" s="117" t="s">
        <v>0</v>
      </c>
      <c r="G3" s="117" t="s">
        <v>1</v>
      </c>
      <c r="H3" s="117" t="s">
        <v>2</v>
      </c>
      <c r="I3" s="117" t="s">
        <v>3</v>
      </c>
      <c r="M3" s="117" t="s">
        <v>4</v>
      </c>
      <c r="N3" s="117" t="s">
        <v>5</v>
      </c>
      <c r="O3" s="149"/>
      <c r="P3" s="119" t="s">
        <v>6</v>
      </c>
      <c r="R3" s="119" t="s">
        <v>6</v>
      </c>
      <c r="X3" s="119" t="s">
        <v>7</v>
      </c>
      <c r="Z3" s="119"/>
      <c r="AE3" s="117" t="s">
        <v>3</v>
      </c>
      <c r="AF3" s="117" t="s">
        <v>4</v>
      </c>
      <c r="AI3" s="117" t="s">
        <v>6</v>
      </c>
      <c r="AJ3" s="117" t="s">
        <v>6</v>
      </c>
      <c r="AM3" s="117" t="s">
        <v>8</v>
      </c>
      <c r="AN3" s="117" t="s">
        <v>9</v>
      </c>
      <c r="AZ3" s="117"/>
      <c r="BA3" s="117"/>
      <c r="BB3" s="117"/>
      <c r="BC3" s="117"/>
    </row>
    <row r="4" spans="1:87" ht="30" customHeight="1" x14ac:dyDescent="0.25">
      <c r="C4" s="117">
        <v>4</v>
      </c>
      <c r="G4" s="117" t="s">
        <v>10</v>
      </c>
      <c r="H4" s="117" t="s">
        <v>11</v>
      </c>
      <c r="I4" s="117" t="s">
        <v>12</v>
      </c>
      <c r="M4" s="117" t="s">
        <v>13</v>
      </c>
      <c r="N4" s="117" t="s">
        <v>14</v>
      </c>
      <c r="O4" s="149"/>
      <c r="P4" s="119" t="s">
        <v>15</v>
      </c>
      <c r="R4" s="119" t="s">
        <v>15</v>
      </c>
      <c r="Z4" s="119"/>
      <c r="AE4" s="117" t="s">
        <v>12</v>
      </c>
      <c r="AF4" s="117" t="s">
        <v>13</v>
      </c>
      <c r="AI4" s="117" t="s">
        <v>16</v>
      </c>
      <c r="AJ4" s="117" t="s">
        <v>15</v>
      </c>
      <c r="AM4" s="117" t="s">
        <v>17</v>
      </c>
      <c r="AN4" s="117" t="s">
        <v>18</v>
      </c>
      <c r="AZ4" s="117"/>
      <c r="BA4" s="117"/>
      <c r="BB4" s="117"/>
      <c r="BC4" s="117"/>
    </row>
    <row r="5" spans="1:87" ht="30" customHeight="1" x14ac:dyDescent="0.25">
      <c r="G5" s="117" t="s">
        <v>19</v>
      </c>
      <c r="H5" s="120" t="s">
        <v>20</v>
      </c>
      <c r="I5" s="117" t="s">
        <v>21</v>
      </c>
      <c r="N5" s="117" t="s">
        <v>22</v>
      </c>
      <c r="O5" s="149"/>
      <c r="Z5" s="119"/>
      <c r="AI5" s="117" t="s">
        <v>23</v>
      </c>
      <c r="AJ5" s="117" t="s">
        <v>24</v>
      </c>
      <c r="AN5" s="117" t="s">
        <v>25</v>
      </c>
      <c r="AZ5" s="117"/>
      <c r="BA5" s="117"/>
      <c r="BB5" s="117"/>
      <c r="BC5" s="117"/>
    </row>
    <row r="6" spans="1:87" ht="30" customHeight="1" x14ac:dyDescent="0.25">
      <c r="G6" s="117" t="s">
        <v>26</v>
      </c>
      <c r="N6" s="117" t="s">
        <v>27</v>
      </c>
      <c r="O6" s="149"/>
      <c r="Z6" s="119"/>
      <c r="AI6" s="117" t="s">
        <v>28</v>
      </c>
      <c r="AJ6" s="117" t="s">
        <v>17</v>
      </c>
      <c r="AN6" s="117" t="s">
        <v>29</v>
      </c>
      <c r="AZ6" s="117"/>
      <c r="BA6" s="117"/>
      <c r="BB6" s="117"/>
      <c r="BC6" s="117"/>
    </row>
    <row r="7" spans="1:87" ht="30" customHeight="1" x14ac:dyDescent="0.25">
      <c r="G7" s="117" t="s">
        <v>30</v>
      </c>
      <c r="O7" s="149"/>
      <c r="Z7" s="119"/>
      <c r="AZ7" s="117"/>
      <c r="BA7" s="117"/>
      <c r="BB7" s="117"/>
      <c r="BC7" s="117"/>
    </row>
    <row r="8" spans="1:87" ht="30" customHeight="1" x14ac:dyDescent="0.25">
      <c r="G8" s="117" t="s">
        <v>31</v>
      </c>
      <c r="O8" s="149"/>
      <c r="Z8" s="119"/>
      <c r="AZ8" s="117"/>
      <c r="BA8" s="117"/>
      <c r="BB8" s="117"/>
      <c r="BC8" s="117"/>
    </row>
    <row r="9" spans="1:87" ht="30" customHeight="1" x14ac:dyDescent="0.25">
      <c r="G9" s="117" t="s">
        <v>32</v>
      </c>
      <c r="O9" s="149"/>
      <c r="Z9" s="119"/>
      <c r="AZ9" s="117"/>
      <c r="BA9" s="117"/>
      <c r="BB9" s="117"/>
      <c r="BC9" s="117"/>
    </row>
    <row r="10" spans="1:87" ht="30" customHeight="1" x14ac:dyDescent="0.25">
      <c r="O10" s="149"/>
      <c r="Z10" s="119"/>
      <c r="AP10" s="118" t="s">
        <v>33</v>
      </c>
      <c r="AQ10" s="118"/>
      <c r="AR10" s="118"/>
      <c r="AS10" s="118"/>
      <c r="AT10" s="118"/>
      <c r="AU10" s="118"/>
      <c r="AV10" s="118"/>
      <c r="AW10" s="118"/>
      <c r="AY10" s="117"/>
      <c r="AZ10" s="117"/>
      <c r="BA10" s="117"/>
      <c r="BB10" s="117"/>
      <c r="BC10" s="117"/>
    </row>
    <row r="11" spans="1:87" ht="30" customHeight="1" x14ac:dyDescent="0.25">
      <c r="O11" s="149"/>
      <c r="Z11" s="119"/>
      <c r="AQ11" s="118"/>
      <c r="AR11" s="118"/>
      <c r="AS11" s="118"/>
      <c r="AT11" s="118"/>
      <c r="AU11" s="118"/>
      <c r="AV11" s="118"/>
      <c r="AW11" s="118"/>
      <c r="AY11" s="117"/>
      <c r="AZ11" s="117"/>
      <c r="BA11" s="117"/>
      <c r="BB11" s="117"/>
      <c r="BC11" s="117"/>
    </row>
    <row r="12" spans="1:87" s="181" customFormat="1" ht="30" customHeight="1" x14ac:dyDescent="0.25">
      <c r="A12" s="260" t="s">
        <v>34</v>
      </c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2"/>
      <c r="P12" s="257" t="s">
        <v>35</v>
      </c>
      <c r="Q12" s="257"/>
      <c r="R12" s="257"/>
      <c r="S12" s="257"/>
      <c r="T12" s="257"/>
      <c r="U12" s="258"/>
      <c r="V12" s="257"/>
      <c r="W12" s="257"/>
      <c r="X12" s="257"/>
      <c r="Y12" s="258"/>
      <c r="Z12" s="257"/>
      <c r="AA12" s="259"/>
      <c r="AB12" s="194" t="s">
        <v>36</v>
      </c>
      <c r="AC12" s="194"/>
      <c r="AD12" s="194"/>
      <c r="AE12" s="194"/>
      <c r="AF12" s="194"/>
      <c r="AG12" s="195"/>
      <c r="AH12" s="195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6"/>
      <c r="AV12" s="194"/>
      <c r="AW12" s="194"/>
      <c r="AX12" s="194"/>
      <c r="AY12" s="196"/>
      <c r="AZ12" s="194"/>
      <c r="BA12" s="194"/>
      <c r="BB12" s="263" t="s">
        <v>37</v>
      </c>
      <c r="BC12" s="264"/>
      <c r="BD12" s="255"/>
      <c r="BE12" s="256"/>
      <c r="BF12" s="256"/>
      <c r="BG12" s="256"/>
      <c r="BH12" s="256"/>
      <c r="BI12" s="256"/>
      <c r="BJ12" s="256"/>
      <c r="BK12" s="256"/>
      <c r="BL12" s="256"/>
      <c r="BM12" s="256"/>
    </row>
    <row r="13" spans="1:87" s="118" customFormat="1" ht="48" customHeight="1" x14ac:dyDescent="0.25">
      <c r="A13" s="121" t="s">
        <v>38</v>
      </c>
      <c r="B13" s="121" t="s">
        <v>39</v>
      </c>
      <c r="C13" s="122" t="s">
        <v>40</v>
      </c>
      <c r="D13" s="122" t="s">
        <v>41</v>
      </c>
      <c r="E13" s="122" t="s">
        <v>42</v>
      </c>
      <c r="F13" s="193" t="s">
        <v>43</v>
      </c>
      <c r="G13" s="122" t="s">
        <v>44</v>
      </c>
      <c r="H13" s="122" t="s">
        <v>45</v>
      </c>
      <c r="I13" s="122" t="s">
        <v>46</v>
      </c>
      <c r="J13" s="123" t="s">
        <v>47</v>
      </c>
      <c r="K13" s="123" t="s">
        <v>48</v>
      </c>
      <c r="L13" s="123" t="s">
        <v>49</v>
      </c>
      <c r="M13" s="123" t="s">
        <v>50</v>
      </c>
      <c r="N13" s="123" t="s">
        <v>51</v>
      </c>
      <c r="O13" s="168" t="s">
        <v>52</v>
      </c>
      <c r="P13" s="124" t="s">
        <v>53</v>
      </c>
      <c r="Q13" s="124" t="s">
        <v>54</v>
      </c>
      <c r="R13" s="124" t="s">
        <v>55</v>
      </c>
      <c r="S13" s="124" t="s">
        <v>56</v>
      </c>
      <c r="T13" s="124" t="s">
        <v>57</v>
      </c>
      <c r="U13" s="124" t="s">
        <v>58</v>
      </c>
      <c r="V13" s="124" t="s">
        <v>59</v>
      </c>
      <c r="W13" s="124" t="s">
        <v>60</v>
      </c>
      <c r="X13" s="124" t="s">
        <v>61</v>
      </c>
      <c r="Y13" s="124" t="s">
        <v>62</v>
      </c>
      <c r="Z13" s="124" t="s">
        <v>63</v>
      </c>
      <c r="AA13" s="125" t="s">
        <v>64</v>
      </c>
      <c r="AB13" s="126" t="s">
        <v>65</v>
      </c>
      <c r="AC13" s="126" t="s">
        <v>48</v>
      </c>
      <c r="AD13" s="126" t="s">
        <v>49</v>
      </c>
      <c r="AE13" s="127" t="s">
        <v>66</v>
      </c>
      <c r="AF13" s="126" t="s">
        <v>67</v>
      </c>
      <c r="AG13" s="187" t="s">
        <v>68</v>
      </c>
      <c r="AH13" s="187" t="s">
        <v>69</v>
      </c>
      <c r="AI13" s="126" t="s">
        <v>70</v>
      </c>
      <c r="AJ13" s="127" t="s">
        <v>71</v>
      </c>
      <c r="AK13" s="127" t="s">
        <v>72</v>
      </c>
      <c r="AL13" s="126" t="s">
        <v>73</v>
      </c>
      <c r="AM13" s="126" t="s">
        <v>74</v>
      </c>
      <c r="AN13" s="126" t="s">
        <v>75</v>
      </c>
      <c r="AO13" s="126" t="s">
        <v>76</v>
      </c>
      <c r="AP13" s="126" t="s">
        <v>77</v>
      </c>
      <c r="AQ13" s="126" t="s">
        <v>78</v>
      </c>
      <c r="AR13" s="126" t="s">
        <v>79</v>
      </c>
      <c r="AS13" s="126" t="s">
        <v>80</v>
      </c>
      <c r="AT13" s="126" t="s">
        <v>81</v>
      </c>
      <c r="AU13" s="190" t="s">
        <v>82</v>
      </c>
      <c r="AV13" s="126" t="s">
        <v>83</v>
      </c>
      <c r="AW13" s="126" t="s">
        <v>84</v>
      </c>
      <c r="AX13" s="126" t="s">
        <v>61</v>
      </c>
      <c r="AY13" s="190" t="s">
        <v>85</v>
      </c>
      <c r="AZ13" s="126" t="s">
        <v>86</v>
      </c>
      <c r="BA13" s="128" t="s">
        <v>87</v>
      </c>
      <c r="BB13" s="129" t="s">
        <v>88</v>
      </c>
      <c r="BC13" s="130" t="s">
        <v>89</v>
      </c>
      <c r="BD13" s="162" t="s">
        <v>90</v>
      </c>
      <c r="BE13" s="162" t="s">
        <v>91</v>
      </c>
      <c r="BF13" s="162" t="s">
        <v>92</v>
      </c>
      <c r="BG13" s="160" t="s">
        <v>93</v>
      </c>
      <c r="BH13" s="161" t="s">
        <v>94</v>
      </c>
      <c r="BI13" s="162" t="s">
        <v>95</v>
      </c>
      <c r="BJ13" s="150" t="s">
        <v>81</v>
      </c>
      <c r="BK13" s="150" t="s">
        <v>96</v>
      </c>
      <c r="BL13" s="162" t="s">
        <v>97</v>
      </c>
      <c r="BM13" s="150" t="s">
        <v>98</v>
      </c>
    </row>
    <row r="14" spans="1:87" s="131" customFormat="1" ht="30" hidden="1" customHeight="1" x14ac:dyDescent="0.25">
      <c r="A14" s="212">
        <v>1</v>
      </c>
      <c r="B14" s="212" t="s">
        <v>99</v>
      </c>
      <c r="C14" s="212">
        <v>1</v>
      </c>
      <c r="D14" s="212" t="s">
        <v>100</v>
      </c>
      <c r="E14" s="212" t="s">
        <v>100</v>
      </c>
      <c r="F14" s="216" t="s">
        <v>101</v>
      </c>
      <c r="G14" s="212" t="s">
        <v>10</v>
      </c>
      <c r="H14" s="212" t="s">
        <v>102</v>
      </c>
      <c r="I14" s="212" t="s">
        <v>103</v>
      </c>
      <c r="J14" s="216" t="s">
        <v>104</v>
      </c>
      <c r="K14" s="236" t="s">
        <v>103</v>
      </c>
      <c r="L14" s="217" t="s">
        <v>103</v>
      </c>
      <c r="M14" s="212"/>
      <c r="N14" s="212" t="s">
        <v>5</v>
      </c>
      <c r="O14" s="213"/>
      <c r="P14" s="140"/>
      <c r="Q14" s="240"/>
      <c r="R14" s="214"/>
      <c r="S14" s="215"/>
      <c r="T14" s="215"/>
      <c r="U14" s="215"/>
      <c r="V14" s="215"/>
      <c r="W14" s="215"/>
      <c r="X14" s="215"/>
      <c r="Y14" s="140"/>
      <c r="Z14" s="140"/>
      <c r="AA14" s="222"/>
      <c r="AB14" s="216" t="s">
        <v>105</v>
      </c>
      <c r="AC14" s="217" t="s">
        <v>106</v>
      </c>
      <c r="AD14" s="217" t="s">
        <v>107</v>
      </c>
      <c r="AE14" s="212" t="s">
        <v>108</v>
      </c>
      <c r="AF14" s="223"/>
      <c r="AG14" s="218"/>
      <c r="AH14" s="218"/>
      <c r="AI14" s="212"/>
      <c r="AJ14" s="217" t="s">
        <v>109</v>
      </c>
      <c r="AK14" s="212"/>
      <c r="AL14" s="212"/>
      <c r="AM14" s="212"/>
      <c r="AN14" s="212"/>
      <c r="AO14" s="212"/>
      <c r="AP14" s="217"/>
      <c r="AQ14" s="212"/>
      <c r="AR14" s="212"/>
      <c r="AS14" s="212"/>
      <c r="AT14" s="212"/>
      <c r="AU14" s="214"/>
      <c r="AV14" s="212"/>
      <c r="AW14" s="212"/>
      <c r="AX14" s="140"/>
      <c r="AY14" s="140"/>
      <c r="AZ14" s="140"/>
      <c r="BA14" s="212"/>
      <c r="BB14" s="219"/>
      <c r="BC14" s="220" t="str">
        <f t="shared" ref="BC14:BC45" si="0">IF(AY14-KD14=0,"",AY14-O14)</f>
        <v/>
      </c>
      <c r="BD14" s="212" t="str">
        <f t="shared" ref="BD14:BD45" si="1">IF(AND(AI14&lt;&gt;"SIM",AI14="UH"),"AA","INDENIZAÇÃO")</f>
        <v>INDENIZAÇÃO</v>
      </c>
      <c r="BE14" s="212" t="str">
        <f t="shared" ref="BE14:BE45" si="2">IF(AND(AY14&lt;&gt;"AGUARDANDO",AY14&lt;&gt;"",N14="AUXÍLIO ALUGUEL ATÉ INDENIZAÇÃO"),"SIM","NÃO")</f>
        <v>NÃO</v>
      </c>
      <c r="BF14" s="212"/>
      <c r="BG14" s="212"/>
      <c r="BH14" s="212"/>
      <c r="BI14" s="212"/>
      <c r="BJ14" s="212"/>
      <c r="BK14" s="212"/>
      <c r="BL14" s="212"/>
      <c r="BM14" s="212"/>
      <c r="BN14" s="189"/>
      <c r="CI14" s="189"/>
    </row>
    <row r="15" spans="1:87" s="131" customFormat="1" ht="30" hidden="1" customHeight="1" x14ac:dyDescent="0.25">
      <c r="A15" s="212">
        <v>2</v>
      </c>
      <c r="B15" s="212" t="s">
        <v>99</v>
      </c>
      <c r="C15" s="212">
        <v>1</v>
      </c>
      <c r="D15" s="212" t="s">
        <v>100</v>
      </c>
      <c r="E15" s="212" t="s">
        <v>100</v>
      </c>
      <c r="F15" s="216" t="s">
        <v>110</v>
      </c>
      <c r="G15" s="212" t="s">
        <v>1</v>
      </c>
      <c r="H15" s="212" t="s">
        <v>102</v>
      </c>
      <c r="I15" s="212" t="s">
        <v>108</v>
      </c>
      <c r="J15" s="216" t="s">
        <v>111</v>
      </c>
      <c r="K15" s="236" t="s">
        <v>112</v>
      </c>
      <c r="L15" s="217" t="s">
        <v>113</v>
      </c>
      <c r="M15" s="212" t="s">
        <v>114</v>
      </c>
      <c r="N15" s="212" t="s">
        <v>115</v>
      </c>
      <c r="O15" s="213">
        <v>45987</v>
      </c>
      <c r="P15" s="140" t="s">
        <v>116</v>
      </c>
      <c r="Q15" s="240" t="s">
        <v>117</v>
      </c>
      <c r="R15" s="140" t="s">
        <v>118</v>
      </c>
      <c r="S15" s="140" t="s">
        <v>118</v>
      </c>
      <c r="T15" s="140"/>
      <c r="U15" s="140"/>
      <c r="V15" s="140"/>
      <c r="W15" s="140"/>
      <c r="X15" s="140"/>
      <c r="Y15" s="140"/>
      <c r="Z15" s="140"/>
      <c r="AA15" s="222"/>
      <c r="AB15" s="216" t="s">
        <v>119</v>
      </c>
      <c r="AC15" s="217" t="s">
        <v>120</v>
      </c>
      <c r="AD15" s="217" t="s">
        <v>121</v>
      </c>
      <c r="AE15" s="212" t="s">
        <v>108</v>
      </c>
      <c r="AF15" s="223"/>
      <c r="AG15" s="218"/>
      <c r="AH15" s="218"/>
      <c r="AI15" s="212"/>
      <c r="AJ15" s="217"/>
      <c r="AK15" s="212"/>
      <c r="AL15" s="212"/>
      <c r="AM15" s="212"/>
      <c r="AN15" s="212"/>
      <c r="AO15" s="212"/>
      <c r="AP15" s="217"/>
      <c r="AQ15" s="219"/>
      <c r="AR15" s="219"/>
      <c r="AS15" s="219"/>
      <c r="AT15" s="219"/>
      <c r="AU15" s="197"/>
      <c r="AV15" s="219"/>
      <c r="AW15" s="219"/>
      <c r="AX15" s="197"/>
      <c r="AY15" s="140"/>
      <c r="AZ15" s="140"/>
      <c r="BA15" s="212"/>
      <c r="BB15" s="219"/>
      <c r="BC15" s="220" t="str">
        <f t="shared" si="0"/>
        <v/>
      </c>
      <c r="BD15" s="212" t="str">
        <f t="shared" si="1"/>
        <v>INDENIZAÇÃO</v>
      </c>
      <c r="BE15" s="212" t="str">
        <f t="shared" si="2"/>
        <v>NÃO</v>
      </c>
      <c r="BF15" s="212"/>
      <c r="BG15" s="212"/>
      <c r="BH15" s="212"/>
      <c r="BI15" s="212"/>
      <c r="BJ15" s="212"/>
      <c r="BK15" s="212"/>
      <c r="BL15" s="212"/>
      <c r="BM15" s="212"/>
      <c r="BN15" s="189"/>
      <c r="CI15" s="189"/>
    </row>
    <row r="16" spans="1:87" s="131" customFormat="1" ht="30" hidden="1" customHeight="1" x14ac:dyDescent="0.25">
      <c r="A16" s="212">
        <v>3</v>
      </c>
      <c r="B16" s="212" t="s">
        <v>99</v>
      </c>
      <c r="C16" s="212">
        <v>1</v>
      </c>
      <c r="D16" s="212" t="s">
        <v>100</v>
      </c>
      <c r="E16" s="212" t="s">
        <v>100</v>
      </c>
      <c r="F16" s="216" t="s">
        <v>122</v>
      </c>
      <c r="G16" s="212" t="s">
        <v>1</v>
      </c>
      <c r="H16" s="224" t="s">
        <v>2</v>
      </c>
      <c r="I16" s="212" t="s">
        <v>108</v>
      </c>
      <c r="J16" s="216" t="s">
        <v>123</v>
      </c>
      <c r="K16" s="217" t="s">
        <v>124</v>
      </c>
      <c r="L16" s="217" t="s">
        <v>125</v>
      </c>
      <c r="M16" s="212" t="s">
        <v>114</v>
      </c>
      <c r="N16" s="212" t="s">
        <v>115</v>
      </c>
      <c r="O16" s="213">
        <v>45960</v>
      </c>
      <c r="P16" s="140" t="s">
        <v>116</v>
      </c>
      <c r="Q16" s="240" t="s">
        <v>117</v>
      </c>
      <c r="R16" s="140" t="s">
        <v>118</v>
      </c>
      <c r="S16" s="140" t="s">
        <v>118</v>
      </c>
      <c r="T16" s="140" t="s">
        <v>118</v>
      </c>
      <c r="U16" s="140">
        <v>45968</v>
      </c>
      <c r="V16" s="140" t="s">
        <v>118</v>
      </c>
      <c r="W16" s="140">
        <v>45980</v>
      </c>
      <c r="X16" s="140">
        <v>45993</v>
      </c>
      <c r="Y16" s="140" t="s">
        <v>126</v>
      </c>
      <c r="Z16" s="140" t="s">
        <v>126</v>
      </c>
      <c r="AA16" s="222"/>
      <c r="AB16" s="216" t="s">
        <v>127</v>
      </c>
      <c r="AC16" s="217" t="s">
        <v>128</v>
      </c>
      <c r="AD16" s="217" t="s">
        <v>129</v>
      </c>
      <c r="AE16" s="212" t="s">
        <v>130</v>
      </c>
      <c r="AF16" s="223"/>
      <c r="AG16" s="218"/>
      <c r="AH16" s="218"/>
      <c r="AI16" s="212"/>
      <c r="AJ16" s="217"/>
      <c r="AK16" s="212"/>
      <c r="AL16" s="212"/>
      <c r="AM16" s="212"/>
      <c r="AN16" s="212"/>
      <c r="AO16" s="212"/>
      <c r="AP16" s="221"/>
      <c r="AQ16" s="219"/>
      <c r="AR16" s="219"/>
      <c r="AS16" s="219"/>
      <c r="AT16" s="219"/>
      <c r="AU16" s="197"/>
      <c r="AV16" s="219"/>
      <c r="AW16" s="219"/>
      <c r="AX16" s="197"/>
      <c r="AY16" s="140"/>
      <c r="AZ16" s="140"/>
      <c r="BA16" s="212"/>
      <c r="BB16" s="219"/>
      <c r="BC16" s="220" t="str">
        <f t="shared" si="0"/>
        <v/>
      </c>
      <c r="BD16" s="212" t="str">
        <f t="shared" si="1"/>
        <v>INDENIZAÇÃO</v>
      </c>
      <c r="BE16" s="212" t="str">
        <f t="shared" si="2"/>
        <v>NÃO</v>
      </c>
      <c r="BF16" s="212"/>
      <c r="BG16" s="212"/>
      <c r="BH16" s="212"/>
      <c r="BI16" s="212"/>
      <c r="BJ16" s="212"/>
      <c r="BK16" s="212"/>
      <c r="BL16" s="212"/>
      <c r="BM16" s="212"/>
      <c r="BN16" s="189"/>
      <c r="CI16" s="189"/>
    </row>
    <row r="17" spans="1:87" s="131" customFormat="1" ht="30" customHeight="1" x14ac:dyDescent="0.25">
      <c r="A17" s="212">
        <v>4</v>
      </c>
      <c r="B17" s="212" t="s">
        <v>99</v>
      </c>
      <c r="C17" s="212">
        <v>1</v>
      </c>
      <c r="D17" s="212" t="s">
        <v>100</v>
      </c>
      <c r="E17" s="212" t="s">
        <v>100</v>
      </c>
      <c r="F17" s="216" t="s">
        <v>131</v>
      </c>
      <c r="G17" s="212" t="s">
        <v>1</v>
      </c>
      <c r="H17" s="212" t="s">
        <v>132</v>
      </c>
      <c r="I17" s="212" t="s">
        <v>108</v>
      </c>
      <c r="J17" s="216" t="s">
        <v>133</v>
      </c>
      <c r="K17" s="236" t="s">
        <v>134</v>
      </c>
      <c r="L17" s="217" t="s">
        <v>135</v>
      </c>
      <c r="M17" s="212" t="s">
        <v>114</v>
      </c>
      <c r="N17" s="212" t="s">
        <v>5</v>
      </c>
      <c r="O17" s="213">
        <v>45999</v>
      </c>
      <c r="P17" s="197" t="s">
        <v>24</v>
      </c>
      <c r="Q17" s="197" t="s">
        <v>24</v>
      </c>
      <c r="R17" s="197" t="s">
        <v>24</v>
      </c>
      <c r="S17" s="197" t="s">
        <v>24</v>
      </c>
      <c r="T17" s="197" t="s">
        <v>24</v>
      </c>
      <c r="U17" s="197" t="s">
        <v>24</v>
      </c>
      <c r="V17" s="197" t="s">
        <v>24</v>
      </c>
      <c r="W17" s="197" t="s">
        <v>24</v>
      </c>
      <c r="X17" s="197" t="s">
        <v>24</v>
      </c>
      <c r="Y17" s="197" t="s">
        <v>24</v>
      </c>
      <c r="Z17" s="197" t="s">
        <v>24</v>
      </c>
      <c r="AA17" s="222"/>
      <c r="AB17" s="216" t="s">
        <v>133</v>
      </c>
      <c r="AC17" s="236" t="s">
        <v>134</v>
      </c>
      <c r="AD17" s="217" t="s">
        <v>135</v>
      </c>
      <c r="AE17" s="212" t="s">
        <v>108</v>
      </c>
      <c r="AF17" s="223" t="s">
        <v>114</v>
      </c>
      <c r="AG17" s="218">
        <v>17740.68</v>
      </c>
      <c r="AH17" s="218">
        <v>47740.68</v>
      </c>
      <c r="AI17" s="212" t="s">
        <v>6</v>
      </c>
      <c r="AJ17" s="217" t="s">
        <v>109</v>
      </c>
      <c r="AK17" s="212">
        <v>146475359</v>
      </c>
      <c r="AL17" s="212" t="s">
        <v>136</v>
      </c>
      <c r="AM17" s="212" t="s">
        <v>136</v>
      </c>
      <c r="AN17" s="219" t="s">
        <v>137</v>
      </c>
      <c r="AO17" s="212"/>
      <c r="AP17" s="221" t="s">
        <v>138</v>
      </c>
      <c r="AQ17" s="219" t="s">
        <v>136</v>
      </c>
      <c r="AR17" s="219" t="s">
        <v>136</v>
      </c>
      <c r="AS17" s="219" t="s">
        <v>136</v>
      </c>
      <c r="AT17" s="219" t="s">
        <v>136</v>
      </c>
      <c r="AU17" s="213">
        <v>46013</v>
      </c>
      <c r="AV17" s="219" t="s">
        <v>136</v>
      </c>
      <c r="AW17" s="219" t="s">
        <v>136</v>
      </c>
      <c r="AX17" s="213">
        <v>46017</v>
      </c>
      <c r="AY17" s="140">
        <v>46017</v>
      </c>
      <c r="AZ17" s="135" t="s">
        <v>33</v>
      </c>
      <c r="BA17" s="135" t="s">
        <v>139</v>
      </c>
      <c r="BB17" s="219" t="s">
        <v>136</v>
      </c>
      <c r="BC17" s="220">
        <f t="shared" si="0"/>
        <v>18</v>
      </c>
      <c r="BD17" s="212" t="str">
        <f t="shared" si="1"/>
        <v>INDENIZAÇÃO</v>
      </c>
      <c r="BE17" s="212" t="str">
        <f t="shared" si="2"/>
        <v>NÃO</v>
      </c>
      <c r="BF17" s="212" t="s">
        <v>24</v>
      </c>
      <c r="BG17" s="212" t="s">
        <v>24</v>
      </c>
      <c r="BH17" s="212" t="s">
        <v>24</v>
      </c>
      <c r="BI17" s="135" t="s">
        <v>140</v>
      </c>
      <c r="BJ17" s="135"/>
      <c r="BK17" s="135"/>
      <c r="BL17" s="135"/>
      <c r="BM17" s="135"/>
      <c r="BN17" s="189"/>
      <c r="CI17" s="189"/>
    </row>
    <row r="18" spans="1:87" s="131" customFormat="1" ht="30" hidden="1" customHeight="1" x14ac:dyDescent="0.25">
      <c r="A18" s="212">
        <v>5</v>
      </c>
      <c r="B18" s="212" t="s">
        <v>99</v>
      </c>
      <c r="C18" s="212">
        <v>1</v>
      </c>
      <c r="D18" s="212" t="s">
        <v>100</v>
      </c>
      <c r="E18" s="212" t="s">
        <v>100</v>
      </c>
      <c r="F18" s="216" t="s">
        <v>141</v>
      </c>
      <c r="G18" s="212" t="s">
        <v>142</v>
      </c>
      <c r="H18" s="212" t="s">
        <v>2</v>
      </c>
      <c r="I18" s="212" t="s">
        <v>108</v>
      </c>
      <c r="J18" s="216" t="s">
        <v>143</v>
      </c>
      <c r="K18" s="236" t="s">
        <v>144</v>
      </c>
      <c r="L18" s="217" t="s">
        <v>145</v>
      </c>
      <c r="M18" s="212" t="s">
        <v>114</v>
      </c>
      <c r="N18" s="212" t="s">
        <v>115</v>
      </c>
      <c r="O18" s="213">
        <v>45960</v>
      </c>
      <c r="P18" s="140" t="s">
        <v>116</v>
      </c>
      <c r="Q18" s="240" t="s">
        <v>117</v>
      </c>
      <c r="R18" s="140" t="s">
        <v>118</v>
      </c>
      <c r="S18" s="140" t="s">
        <v>118</v>
      </c>
      <c r="T18" s="140" t="s">
        <v>118</v>
      </c>
      <c r="U18" s="140">
        <v>45968</v>
      </c>
      <c r="V18" s="140" t="s">
        <v>118</v>
      </c>
      <c r="W18" s="140">
        <v>45980</v>
      </c>
      <c r="X18" s="140">
        <v>45993</v>
      </c>
      <c r="Y18" s="140" t="s">
        <v>126</v>
      </c>
      <c r="Z18" s="140" t="s">
        <v>126</v>
      </c>
      <c r="AA18" s="222"/>
      <c r="AB18" s="216" t="s">
        <v>146</v>
      </c>
      <c r="AC18" s="217" t="s">
        <v>147</v>
      </c>
      <c r="AD18" s="217" t="s">
        <v>148</v>
      </c>
      <c r="AE18" s="212" t="s">
        <v>108</v>
      </c>
      <c r="AF18" s="223"/>
      <c r="AG18" s="218"/>
      <c r="AH18" s="218"/>
      <c r="AI18" s="212"/>
      <c r="AJ18" s="217"/>
      <c r="AK18" s="212"/>
      <c r="AL18" s="212"/>
      <c r="AM18" s="212"/>
      <c r="AN18" s="212"/>
      <c r="AO18" s="212"/>
      <c r="AP18" s="217"/>
      <c r="AQ18" s="219"/>
      <c r="AR18" s="219"/>
      <c r="AS18" s="219"/>
      <c r="AT18" s="219"/>
      <c r="AU18" s="197"/>
      <c r="AV18" s="219"/>
      <c r="AW18" s="219"/>
      <c r="AX18" s="213"/>
      <c r="AY18" s="140"/>
      <c r="AZ18" s="140"/>
      <c r="BA18" s="212"/>
      <c r="BB18" s="219"/>
      <c r="BC18" s="220" t="str">
        <f t="shared" si="0"/>
        <v/>
      </c>
      <c r="BD18" s="212" t="str">
        <f t="shared" si="1"/>
        <v>INDENIZAÇÃO</v>
      </c>
      <c r="BE18" s="212" t="str">
        <f t="shared" si="2"/>
        <v>NÃO</v>
      </c>
      <c r="BF18" s="212"/>
      <c r="BG18" s="212"/>
      <c r="BH18" s="212"/>
      <c r="BI18" s="212"/>
      <c r="BJ18" s="212"/>
      <c r="BK18" s="212"/>
      <c r="BL18" s="212"/>
      <c r="BM18" s="212"/>
      <c r="BN18" s="189"/>
      <c r="CI18" s="189"/>
    </row>
    <row r="19" spans="1:87" s="131" customFormat="1" ht="30" customHeight="1" x14ac:dyDescent="0.25">
      <c r="A19" s="212">
        <v>6</v>
      </c>
      <c r="B19" s="212" t="s">
        <v>99</v>
      </c>
      <c r="C19" s="212">
        <v>1</v>
      </c>
      <c r="D19" s="212" t="s">
        <v>100</v>
      </c>
      <c r="E19" s="212" t="s">
        <v>100</v>
      </c>
      <c r="F19" s="216" t="s">
        <v>149</v>
      </c>
      <c r="G19" s="212" t="s">
        <v>1</v>
      </c>
      <c r="H19" s="212" t="s">
        <v>132</v>
      </c>
      <c r="I19" s="212" t="s">
        <v>108</v>
      </c>
      <c r="J19" s="216" t="s">
        <v>150</v>
      </c>
      <c r="K19" s="217" t="s">
        <v>151</v>
      </c>
      <c r="L19" s="217" t="s">
        <v>152</v>
      </c>
      <c r="M19" s="212" t="s">
        <v>114</v>
      </c>
      <c r="N19" s="212" t="s">
        <v>5</v>
      </c>
      <c r="O19" s="225">
        <v>45999</v>
      </c>
      <c r="P19" s="197" t="s">
        <v>24</v>
      </c>
      <c r="Q19" s="197" t="s">
        <v>24</v>
      </c>
      <c r="R19" s="197" t="s">
        <v>24</v>
      </c>
      <c r="S19" s="197" t="s">
        <v>24</v>
      </c>
      <c r="T19" s="197" t="s">
        <v>24</v>
      </c>
      <c r="U19" s="197" t="s">
        <v>24</v>
      </c>
      <c r="V19" s="197" t="s">
        <v>24</v>
      </c>
      <c r="W19" s="197" t="s">
        <v>24</v>
      </c>
      <c r="X19" s="197" t="s">
        <v>24</v>
      </c>
      <c r="Y19" s="197" t="s">
        <v>24</v>
      </c>
      <c r="Z19" s="197" t="s">
        <v>24</v>
      </c>
      <c r="AA19" s="232"/>
      <c r="AB19" s="216" t="s">
        <v>150</v>
      </c>
      <c r="AC19" s="217" t="s">
        <v>151</v>
      </c>
      <c r="AD19" s="217" t="s">
        <v>152</v>
      </c>
      <c r="AE19" s="212" t="s">
        <v>108</v>
      </c>
      <c r="AF19" s="233" t="s">
        <v>114</v>
      </c>
      <c r="AG19" s="218">
        <v>25598.29</v>
      </c>
      <c r="AH19" s="218">
        <v>55598.29</v>
      </c>
      <c r="AI19" s="212" t="s">
        <v>6</v>
      </c>
      <c r="AJ19" s="217" t="s">
        <v>109</v>
      </c>
      <c r="AK19" s="212">
        <v>146468980</v>
      </c>
      <c r="AL19" s="212" t="s">
        <v>136</v>
      </c>
      <c r="AM19" s="212" t="s">
        <v>136</v>
      </c>
      <c r="AN19" s="219" t="s">
        <v>137</v>
      </c>
      <c r="AO19" s="226" t="s">
        <v>153</v>
      </c>
      <c r="AP19" s="221" t="s">
        <v>154</v>
      </c>
      <c r="AQ19" s="219" t="s">
        <v>136</v>
      </c>
      <c r="AR19" s="219" t="s">
        <v>136</v>
      </c>
      <c r="AS19" s="219" t="s">
        <v>136</v>
      </c>
      <c r="AT19" s="219" t="s">
        <v>136</v>
      </c>
      <c r="AU19" s="225">
        <v>46105</v>
      </c>
      <c r="AV19" s="219" t="s">
        <v>136</v>
      </c>
      <c r="AW19" s="219" t="s">
        <v>136</v>
      </c>
      <c r="AX19" s="225">
        <v>46119</v>
      </c>
      <c r="AY19" s="140">
        <v>46119</v>
      </c>
      <c r="AZ19" s="137" t="s">
        <v>33</v>
      </c>
      <c r="BA19" s="135" t="s">
        <v>139</v>
      </c>
      <c r="BB19" s="219" t="s">
        <v>136</v>
      </c>
      <c r="BC19" s="220">
        <f t="shared" si="0"/>
        <v>120</v>
      </c>
      <c r="BD19" s="212" t="str">
        <f t="shared" si="1"/>
        <v>INDENIZAÇÃO</v>
      </c>
      <c r="BE19" s="212" t="str">
        <f t="shared" si="2"/>
        <v>NÃO</v>
      </c>
      <c r="BF19" s="212" t="s">
        <v>24</v>
      </c>
      <c r="BG19" s="212" t="s">
        <v>24</v>
      </c>
      <c r="BH19" s="212" t="s">
        <v>24</v>
      </c>
      <c r="BI19" s="135" t="s">
        <v>140</v>
      </c>
      <c r="BJ19" s="135"/>
      <c r="BK19" s="135"/>
      <c r="BL19" s="135"/>
      <c r="BM19" s="135"/>
      <c r="BN19" s="189"/>
      <c r="CI19" s="189"/>
    </row>
    <row r="20" spans="1:87" s="141" customFormat="1" ht="30" customHeight="1" x14ac:dyDescent="0.25">
      <c r="A20" s="212">
        <v>7</v>
      </c>
      <c r="B20" s="212" t="s">
        <v>99</v>
      </c>
      <c r="C20" s="212">
        <v>1</v>
      </c>
      <c r="D20" s="212" t="s">
        <v>100</v>
      </c>
      <c r="E20" s="212" t="s">
        <v>100</v>
      </c>
      <c r="F20" s="216" t="s">
        <v>155</v>
      </c>
      <c r="G20" s="212" t="s">
        <v>1</v>
      </c>
      <c r="H20" s="212" t="s">
        <v>2</v>
      </c>
      <c r="I20" s="212" t="s">
        <v>156</v>
      </c>
      <c r="J20" s="216" t="s">
        <v>157</v>
      </c>
      <c r="K20" s="237" t="s">
        <v>158</v>
      </c>
      <c r="L20" s="217" t="s">
        <v>159</v>
      </c>
      <c r="M20" s="212" t="s">
        <v>114</v>
      </c>
      <c r="N20" s="212" t="s">
        <v>115</v>
      </c>
      <c r="O20" s="213">
        <v>46160</v>
      </c>
      <c r="P20" s="140" t="s">
        <v>116</v>
      </c>
      <c r="Q20" s="240" t="s">
        <v>117</v>
      </c>
      <c r="R20" s="140" t="s">
        <v>118</v>
      </c>
      <c r="S20" s="140" t="s">
        <v>118</v>
      </c>
      <c r="T20" s="140" t="s">
        <v>118</v>
      </c>
      <c r="U20" s="140">
        <v>45968</v>
      </c>
      <c r="V20" s="140" t="s">
        <v>118</v>
      </c>
      <c r="W20" s="140">
        <v>45980</v>
      </c>
      <c r="X20" s="140">
        <v>45993</v>
      </c>
      <c r="Y20" s="140" t="s">
        <v>126</v>
      </c>
      <c r="Z20" s="140" t="s">
        <v>126</v>
      </c>
      <c r="AA20" s="232"/>
      <c r="AB20" s="216" t="s">
        <v>160</v>
      </c>
      <c r="AC20" s="234"/>
      <c r="AD20" s="234" t="s">
        <v>161</v>
      </c>
      <c r="AE20" s="212" t="s">
        <v>130</v>
      </c>
      <c r="AF20" s="233" t="s">
        <v>114</v>
      </c>
      <c r="AG20" s="218">
        <v>21635.93</v>
      </c>
      <c r="AH20" s="218">
        <v>21635.93</v>
      </c>
      <c r="AI20" s="212" t="s">
        <v>6</v>
      </c>
      <c r="AJ20" s="217" t="s">
        <v>109</v>
      </c>
      <c r="AK20" s="212">
        <v>151421068</v>
      </c>
      <c r="AL20" s="141" t="s">
        <v>136</v>
      </c>
      <c r="AM20" s="219" t="s">
        <v>136</v>
      </c>
      <c r="AN20" s="219" t="s">
        <v>137</v>
      </c>
      <c r="AO20" s="224" t="s">
        <v>162</v>
      </c>
      <c r="AP20" s="221" t="s">
        <v>163</v>
      </c>
      <c r="AQ20" s="219" t="s">
        <v>136</v>
      </c>
      <c r="AR20" s="219" t="s">
        <v>136</v>
      </c>
      <c r="AS20" s="219" t="s">
        <v>136</v>
      </c>
      <c r="AT20" s="219" t="s">
        <v>136</v>
      </c>
      <c r="AU20" s="225">
        <v>46255</v>
      </c>
      <c r="AV20" s="219" t="s">
        <v>136</v>
      </c>
      <c r="AW20" s="219" t="s">
        <v>136</v>
      </c>
      <c r="AX20" s="225">
        <v>46260</v>
      </c>
      <c r="AY20" s="140">
        <v>46260</v>
      </c>
      <c r="AZ20" s="137" t="s">
        <v>33</v>
      </c>
      <c r="BA20" s="135" t="s">
        <v>139</v>
      </c>
      <c r="BB20" s="219" t="s">
        <v>136</v>
      </c>
      <c r="BC20" s="220">
        <f t="shared" ref="BC20" si="3">IF(AY20-KD20=0,"",AY20-O20)</f>
        <v>100</v>
      </c>
      <c r="BD20" s="212" t="str">
        <f t="shared" ref="BD20" si="4">IF(AND(AI20&lt;&gt;"SIM",AI20="UH"),"AA","INDENIZAÇÃO")</f>
        <v>INDENIZAÇÃO</v>
      </c>
      <c r="BE20" s="212" t="str">
        <f t="shared" ref="BE20" si="5">IF(AND(AY20&lt;&gt;"AGUARDANDO",AY20&lt;&gt;"",N20="AUXÍLIO ALUGUEL ATÉ INDENIZAÇÃO"),"SIM","NÃO")</f>
        <v>NÃO</v>
      </c>
      <c r="BF20" s="212" t="s">
        <v>24</v>
      </c>
      <c r="BG20" s="212" t="s">
        <v>24</v>
      </c>
      <c r="BH20" s="212" t="s">
        <v>24</v>
      </c>
      <c r="BI20" s="135" t="s">
        <v>140</v>
      </c>
      <c r="BJ20" s="135"/>
      <c r="BK20" s="135"/>
      <c r="BL20" s="135"/>
      <c r="BM20" s="135"/>
      <c r="BN20" s="189"/>
      <c r="BO20" s="131"/>
      <c r="BP20" s="131"/>
      <c r="BQ20" s="131"/>
      <c r="BR20" s="131"/>
      <c r="BS20" s="131"/>
      <c r="CI20" s="182"/>
    </row>
    <row r="21" spans="1:87" s="141" customFormat="1" ht="30" customHeight="1" x14ac:dyDescent="0.25">
      <c r="A21" s="212">
        <v>8</v>
      </c>
      <c r="B21" s="212" t="s">
        <v>99</v>
      </c>
      <c r="C21" s="212">
        <v>1</v>
      </c>
      <c r="D21" s="212" t="s">
        <v>100</v>
      </c>
      <c r="E21" s="212" t="s">
        <v>100</v>
      </c>
      <c r="F21" s="216" t="s">
        <v>164</v>
      </c>
      <c r="G21" s="212" t="s">
        <v>1</v>
      </c>
      <c r="H21" s="212" t="s">
        <v>132</v>
      </c>
      <c r="I21" s="212" t="s">
        <v>108</v>
      </c>
      <c r="J21" s="216" t="s">
        <v>165</v>
      </c>
      <c r="K21" s="217" t="s">
        <v>166</v>
      </c>
      <c r="L21" s="217" t="s">
        <v>167</v>
      </c>
      <c r="M21" s="212" t="s">
        <v>114</v>
      </c>
      <c r="N21" s="212" t="s">
        <v>5</v>
      </c>
      <c r="O21" s="225">
        <v>45999</v>
      </c>
      <c r="P21" s="197" t="s">
        <v>24</v>
      </c>
      <c r="Q21" s="197" t="s">
        <v>24</v>
      </c>
      <c r="R21" s="197" t="s">
        <v>24</v>
      </c>
      <c r="S21" s="197" t="s">
        <v>24</v>
      </c>
      <c r="T21" s="197" t="s">
        <v>24</v>
      </c>
      <c r="U21" s="197" t="s">
        <v>24</v>
      </c>
      <c r="V21" s="197" t="s">
        <v>24</v>
      </c>
      <c r="W21" s="197" t="s">
        <v>24</v>
      </c>
      <c r="X21" s="197" t="s">
        <v>24</v>
      </c>
      <c r="Y21" s="197" t="s">
        <v>24</v>
      </c>
      <c r="Z21" s="197" t="s">
        <v>24</v>
      </c>
      <c r="AA21" s="232"/>
      <c r="AB21" s="216" t="s">
        <v>165</v>
      </c>
      <c r="AC21" s="217" t="s">
        <v>166</v>
      </c>
      <c r="AD21" s="217" t="s">
        <v>167</v>
      </c>
      <c r="AE21" s="212" t="s">
        <v>168</v>
      </c>
      <c r="AF21" s="233" t="s">
        <v>114</v>
      </c>
      <c r="AG21" s="218">
        <v>2414.67</v>
      </c>
      <c r="AH21" s="218">
        <v>32414.67</v>
      </c>
      <c r="AI21" s="212" t="s">
        <v>6</v>
      </c>
      <c r="AJ21" s="217" t="s">
        <v>109</v>
      </c>
      <c r="AK21" s="219">
        <v>146474567</v>
      </c>
      <c r="AL21" s="212" t="s">
        <v>136</v>
      </c>
      <c r="AM21" s="212" t="s">
        <v>136</v>
      </c>
      <c r="AN21" s="219" t="s">
        <v>137</v>
      </c>
      <c r="AO21" s="226"/>
      <c r="AP21" s="217" t="s">
        <v>169</v>
      </c>
      <c r="AQ21" s="219" t="s">
        <v>136</v>
      </c>
      <c r="AR21" s="219" t="s">
        <v>136</v>
      </c>
      <c r="AS21" s="219" t="s">
        <v>136</v>
      </c>
      <c r="AT21" s="219" t="s">
        <v>136</v>
      </c>
      <c r="AU21" s="225">
        <v>46142</v>
      </c>
      <c r="AV21" s="219" t="s">
        <v>136</v>
      </c>
      <c r="AW21" s="219" t="s">
        <v>136</v>
      </c>
      <c r="AX21" s="225">
        <v>46153</v>
      </c>
      <c r="AY21" s="140">
        <v>46153</v>
      </c>
      <c r="AZ21" s="137" t="s">
        <v>33</v>
      </c>
      <c r="BA21" s="135" t="s">
        <v>139</v>
      </c>
      <c r="BB21" s="219" t="s">
        <v>136</v>
      </c>
      <c r="BC21" s="220">
        <f t="shared" si="0"/>
        <v>154</v>
      </c>
      <c r="BD21" s="212" t="str">
        <f t="shared" si="1"/>
        <v>INDENIZAÇÃO</v>
      </c>
      <c r="BE21" s="212" t="str">
        <f t="shared" si="2"/>
        <v>NÃO</v>
      </c>
      <c r="BF21" s="212" t="s">
        <v>24</v>
      </c>
      <c r="BG21" s="212" t="s">
        <v>24</v>
      </c>
      <c r="BH21" s="212" t="s">
        <v>24</v>
      </c>
      <c r="BI21" s="135" t="s">
        <v>140</v>
      </c>
      <c r="BJ21" s="135"/>
      <c r="BK21" s="135"/>
      <c r="BL21" s="135"/>
      <c r="BM21" s="135"/>
      <c r="BN21" s="182"/>
      <c r="CI21" s="182"/>
    </row>
    <row r="22" spans="1:87" s="141" customFormat="1" ht="30" customHeight="1" x14ac:dyDescent="0.25">
      <c r="A22" s="212">
        <v>9</v>
      </c>
      <c r="B22" s="212" t="s">
        <v>99</v>
      </c>
      <c r="C22" s="212">
        <v>1</v>
      </c>
      <c r="D22" s="212" t="s">
        <v>100</v>
      </c>
      <c r="E22" s="212" t="s">
        <v>100</v>
      </c>
      <c r="F22" s="216" t="s">
        <v>170</v>
      </c>
      <c r="G22" s="212" t="s">
        <v>1</v>
      </c>
      <c r="H22" s="212" t="s">
        <v>171</v>
      </c>
      <c r="I22" s="212" t="s">
        <v>108</v>
      </c>
      <c r="J22" s="216" t="s">
        <v>172</v>
      </c>
      <c r="K22" s="217" t="s">
        <v>173</v>
      </c>
      <c r="L22" s="217" t="s">
        <v>174</v>
      </c>
      <c r="M22" s="212" t="s">
        <v>114</v>
      </c>
      <c r="N22" s="212" t="s">
        <v>5</v>
      </c>
      <c r="O22" s="225">
        <v>45999</v>
      </c>
      <c r="P22" s="197" t="s">
        <v>24</v>
      </c>
      <c r="Q22" s="197" t="s">
        <v>24</v>
      </c>
      <c r="R22" s="197" t="s">
        <v>24</v>
      </c>
      <c r="S22" s="197" t="s">
        <v>24</v>
      </c>
      <c r="T22" s="197" t="s">
        <v>24</v>
      </c>
      <c r="U22" s="197" t="s">
        <v>24</v>
      </c>
      <c r="V22" s="197" t="s">
        <v>24</v>
      </c>
      <c r="W22" s="197" t="s">
        <v>24</v>
      </c>
      <c r="X22" s="197" t="s">
        <v>24</v>
      </c>
      <c r="Y22" s="197" t="s">
        <v>24</v>
      </c>
      <c r="Z22" s="197" t="s">
        <v>24</v>
      </c>
      <c r="AA22" s="232"/>
      <c r="AB22" s="216" t="s">
        <v>172</v>
      </c>
      <c r="AC22" s="217" t="s">
        <v>173</v>
      </c>
      <c r="AD22" s="217" t="s">
        <v>174</v>
      </c>
      <c r="AE22" s="212" t="s">
        <v>108</v>
      </c>
      <c r="AF22" s="233" t="s">
        <v>114</v>
      </c>
      <c r="AG22" s="218">
        <v>30181.61</v>
      </c>
      <c r="AH22" s="218">
        <v>60000</v>
      </c>
      <c r="AI22" s="212" t="s">
        <v>6</v>
      </c>
      <c r="AJ22" s="217" t="s">
        <v>109</v>
      </c>
      <c r="AK22" s="212">
        <v>146475434</v>
      </c>
      <c r="AL22" s="212" t="s">
        <v>136</v>
      </c>
      <c r="AM22" s="212" t="s">
        <v>136</v>
      </c>
      <c r="AN22" s="219" t="s">
        <v>137</v>
      </c>
      <c r="AO22" s="226"/>
      <c r="AP22" s="221" t="s">
        <v>175</v>
      </c>
      <c r="AQ22" s="219" t="s">
        <v>136</v>
      </c>
      <c r="AR22" s="219" t="s">
        <v>136</v>
      </c>
      <c r="AS22" s="219" t="s">
        <v>136</v>
      </c>
      <c r="AT22" s="219" t="s">
        <v>136</v>
      </c>
      <c r="AU22" s="213">
        <v>46013</v>
      </c>
      <c r="AV22" s="219" t="s">
        <v>136</v>
      </c>
      <c r="AW22" s="219" t="s">
        <v>136</v>
      </c>
      <c r="AX22" s="213">
        <v>46017</v>
      </c>
      <c r="AY22" s="140">
        <v>46017</v>
      </c>
      <c r="AZ22" s="135" t="s">
        <v>33</v>
      </c>
      <c r="BA22" s="135" t="s">
        <v>139</v>
      </c>
      <c r="BB22" s="219" t="s">
        <v>136</v>
      </c>
      <c r="BC22" s="220">
        <f t="shared" si="0"/>
        <v>18</v>
      </c>
      <c r="BD22" s="212" t="str">
        <f t="shared" si="1"/>
        <v>INDENIZAÇÃO</v>
      </c>
      <c r="BE22" s="212" t="str">
        <f t="shared" si="2"/>
        <v>NÃO</v>
      </c>
      <c r="BF22" s="212" t="s">
        <v>24</v>
      </c>
      <c r="BG22" s="212" t="s">
        <v>24</v>
      </c>
      <c r="BH22" s="212" t="s">
        <v>24</v>
      </c>
      <c r="BI22" s="135" t="s">
        <v>140</v>
      </c>
      <c r="BJ22" s="135"/>
      <c r="BK22" s="135"/>
      <c r="BL22" s="135"/>
      <c r="BM22" s="135"/>
      <c r="BN22" s="182"/>
      <c r="CI22" s="182"/>
    </row>
    <row r="23" spans="1:87" s="141" customFormat="1" ht="30" customHeight="1" x14ac:dyDescent="0.25">
      <c r="A23" s="212">
        <v>10</v>
      </c>
      <c r="B23" s="212" t="s">
        <v>99</v>
      </c>
      <c r="C23" s="212">
        <v>1</v>
      </c>
      <c r="D23" s="212" t="s">
        <v>100</v>
      </c>
      <c r="E23" s="212" t="s">
        <v>100</v>
      </c>
      <c r="F23" s="216" t="s">
        <v>176</v>
      </c>
      <c r="G23" s="212" t="s">
        <v>1</v>
      </c>
      <c r="H23" s="212" t="s">
        <v>132</v>
      </c>
      <c r="I23" s="212" t="s">
        <v>108</v>
      </c>
      <c r="J23" s="216" t="s">
        <v>177</v>
      </c>
      <c r="K23" s="236" t="s">
        <v>178</v>
      </c>
      <c r="L23" s="217" t="s">
        <v>179</v>
      </c>
      <c r="M23" s="212" t="s">
        <v>114</v>
      </c>
      <c r="N23" s="212" t="s">
        <v>5</v>
      </c>
      <c r="O23" s="225">
        <v>46079</v>
      </c>
      <c r="P23" s="197" t="s">
        <v>24</v>
      </c>
      <c r="Q23" s="197" t="s">
        <v>24</v>
      </c>
      <c r="R23" s="197" t="s">
        <v>24</v>
      </c>
      <c r="S23" s="197" t="s">
        <v>24</v>
      </c>
      <c r="T23" s="197" t="s">
        <v>24</v>
      </c>
      <c r="U23" s="197" t="s">
        <v>24</v>
      </c>
      <c r="V23" s="197" t="s">
        <v>24</v>
      </c>
      <c r="W23" s="197" t="s">
        <v>24</v>
      </c>
      <c r="X23" s="197" t="s">
        <v>24</v>
      </c>
      <c r="Y23" s="197" t="s">
        <v>24</v>
      </c>
      <c r="Z23" s="197" t="s">
        <v>24</v>
      </c>
      <c r="AA23" s="232"/>
      <c r="AB23" s="216" t="s">
        <v>177</v>
      </c>
      <c r="AC23" s="236" t="s">
        <v>178</v>
      </c>
      <c r="AD23" s="217" t="s">
        <v>179</v>
      </c>
      <c r="AE23" s="212" t="s">
        <v>108</v>
      </c>
      <c r="AF23" s="233" t="s">
        <v>114</v>
      </c>
      <c r="AG23" s="218">
        <v>20915.330000000002</v>
      </c>
      <c r="AH23" s="218">
        <v>50915.33</v>
      </c>
      <c r="AI23" s="212" t="s">
        <v>6</v>
      </c>
      <c r="AJ23" s="217" t="s">
        <v>109</v>
      </c>
      <c r="AK23" s="212">
        <v>147572559</v>
      </c>
      <c r="AL23" s="219" t="s">
        <v>136</v>
      </c>
      <c r="AM23" s="219" t="s">
        <v>136</v>
      </c>
      <c r="AN23" s="219" t="s">
        <v>137</v>
      </c>
      <c r="AO23" s="219"/>
      <c r="AP23" s="221" t="s">
        <v>180</v>
      </c>
      <c r="AQ23" s="219" t="s">
        <v>136</v>
      </c>
      <c r="AR23" s="219" t="s">
        <v>136</v>
      </c>
      <c r="AS23" s="219" t="s">
        <v>136</v>
      </c>
      <c r="AT23" s="219" t="s">
        <v>136</v>
      </c>
      <c r="AU23" s="225">
        <v>46142</v>
      </c>
      <c r="AV23" s="219" t="s">
        <v>136</v>
      </c>
      <c r="AW23" s="219" t="s">
        <v>136</v>
      </c>
      <c r="AX23" s="225">
        <v>46153</v>
      </c>
      <c r="AY23" s="140">
        <v>46153</v>
      </c>
      <c r="AZ23" s="137" t="s">
        <v>33</v>
      </c>
      <c r="BA23" s="135" t="s">
        <v>139</v>
      </c>
      <c r="BB23" s="219" t="s">
        <v>136</v>
      </c>
      <c r="BC23" s="220">
        <f t="shared" si="0"/>
        <v>74</v>
      </c>
      <c r="BD23" s="212" t="str">
        <f t="shared" si="1"/>
        <v>INDENIZAÇÃO</v>
      </c>
      <c r="BE23" s="212" t="str">
        <f t="shared" si="2"/>
        <v>NÃO</v>
      </c>
      <c r="BF23" s="212" t="s">
        <v>24</v>
      </c>
      <c r="BG23" s="212" t="s">
        <v>24</v>
      </c>
      <c r="BH23" s="212" t="s">
        <v>24</v>
      </c>
      <c r="BI23" s="135" t="s">
        <v>140</v>
      </c>
      <c r="BJ23" s="135"/>
      <c r="BK23" s="135"/>
      <c r="BL23" s="135"/>
      <c r="BM23" s="135"/>
      <c r="BN23" s="182"/>
      <c r="CI23" s="182"/>
    </row>
    <row r="24" spans="1:87" s="141" customFormat="1" ht="30" customHeight="1" x14ac:dyDescent="0.25">
      <c r="A24" s="212">
        <v>11</v>
      </c>
      <c r="B24" s="212" t="s">
        <v>99</v>
      </c>
      <c r="C24" s="212">
        <v>1</v>
      </c>
      <c r="D24" s="212" t="s">
        <v>100</v>
      </c>
      <c r="E24" s="212" t="s">
        <v>100</v>
      </c>
      <c r="F24" s="216" t="s">
        <v>181</v>
      </c>
      <c r="G24" s="212" t="s">
        <v>1</v>
      </c>
      <c r="H24" s="212" t="s">
        <v>132</v>
      </c>
      <c r="I24" s="212" t="s">
        <v>108</v>
      </c>
      <c r="J24" s="216" t="s">
        <v>182</v>
      </c>
      <c r="K24" s="236" t="s">
        <v>183</v>
      </c>
      <c r="L24" s="217" t="s">
        <v>184</v>
      </c>
      <c r="M24" s="212" t="s">
        <v>114</v>
      </c>
      <c r="N24" s="212" t="s">
        <v>185</v>
      </c>
      <c r="O24" s="225">
        <v>45978</v>
      </c>
      <c r="P24" s="197" t="s">
        <v>24</v>
      </c>
      <c r="Q24" s="197" t="s">
        <v>24</v>
      </c>
      <c r="R24" s="197" t="s">
        <v>24</v>
      </c>
      <c r="S24" s="197" t="s">
        <v>24</v>
      </c>
      <c r="T24" s="197" t="s">
        <v>24</v>
      </c>
      <c r="U24" s="197" t="s">
        <v>24</v>
      </c>
      <c r="V24" s="197" t="s">
        <v>24</v>
      </c>
      <c r="W24" s="197" t="s">
        <v>24</v>
      </c>
      <c r="X24" s="197" t="s">
        <v>24</v>
      </c>
      <c r="Y24" s="197" t="s">
        <v>24</v>
      </c>
      <c r="Z24" s="197" t="s">
        <v>24</v>
      </c>
      <c r="AA24" s="232"/>
      <c r="AB24" s="216" t="s">
        <v>182</v>
      </c>
      <c r="AC24" s="236" t="s">
        <v>183</v>
      </c>
      <c r="AD24" s="217" t="s">
        <v>184</v>
      </c>
      <c r="AE24" s="212" t="s">
        <v>108</v>
      </c>
      <c r="AF24" s="233" t="s">
        <v>114</v>
      </c>
      <c r="AG24" s="218">
        <v>10084.18</v>
      </c>
      <c r="AH24" s="218">
        <v>40084.18</v>
      </c>
      <c r="AI24" s="212" t="s">
        <v>6</v>
      </c>
      <c r="AJ24" s="217" t="s">
        <v>109</v>
      </c>
      <c r="AK24" s="212">
        <v>145107701</v>
      </c>
      <c r="AL24" s="212" t="s">
        <v>136</v>
      </c>
      <c r="AM24" s="212" t="s">
        <v>136</v>
      </c>
      <c r="AN24" s="219" t="s">
        <v>137</v>
      </c>
      <c r="AO24" s="219"/>
      <c r="AP24" s="221" t="s">
        <v>186</v>
      </c>
      <c r="AQ24" s="219" t="s">
        <v>136</v>
      </c>
      <c r="AR24" s="219" t="s">
        <v>136</v>
      </c>
      <c r="AS24" s="219" t="s">
        <v>136</v>
      </c>
      <c r="AT24" s="219" t="s">
        <v>136</v>
      </c>
      <c r="AU24" s="225">
        <v>46105</v>
      </c>
      <c r="AV24" s="219" t="s">
        <v>136</v>
      </c>
      <c r="AW24" s="219" t="s">
        <v>136</v>
      </c>
      <c r="AX24" s="225">
        <v>46119</v>
      </c>
      <c r="AY24" s="140">
        <v>46119</v>
      </c>
      <c r="AZ24" s="134" t="s">
        <v>33</v>
      </c>
      <c r="BA24" s="135" t="s">
        <v>139</v>
      </c>
      <c r="BB24" s="219" t="s">
        <v>136</v>
      </c>
      <c r="BC24" s="220">
        <f t="shared" si="0"/>
        <v>141</v>
      </c>
      <c r="BD24" s="212" t="str">
        <f t="shared" si="1"/>
        <v>INDENIZAÇÃO</v>
      </c>
      <c r="BE24" s="212" t="str">
        <f t="shared" si="2"/>
        <v>NÃO</v>
      </c>
      <c r="BF24" s="212" t="s">
        <v>24</v>
      </c>
      <c r="BG24" s="212" t="s">
        <v>24</v>
      </c>
      <c r="BH24" s="212" t="s">
        <v>24</v>
      </c>
      <c r="BI24" s="135" t="s">
        <v>140</v>
      </c>
      <c r="BJ24" s="135"/>
      <c r="BK24" s="135"/>
      <c r="BL24" s="135"/>
      <c r="BM24" s="135"/>
      <c r="BN24" s="182"/>
      <c r="CI24" s="182"/>
    </row>
    <row r="25" spans="1:87" s="141" customFormat="1" ht="30" customHeight="1" x14ac:dyDescent="0.25">
      <c r="A25" s="212">
        <v>12</v>
      </c>
      <c r="B25" s="212" t="s">
        <v>99</v>
      </c>
      <c r="C25" s="212">
        <v>1</v>
      </c>
      <c r="D25" s="212" t="s">
        <v>100</v>
      </c>
      <c r="E25" s="212" t="s">
        <v>100</v>
      </c>
      <c r="F25" s="216" t="s">
        <v>187</v>
      </c>
      <c r="G25" s="212" t="s">
        <v>1</v>
      </c>
      <c r="H25" s="212" t="s">
        <v>132</v>
      </c>
      <c r="I25" s="212" t="s">
        <v>108</v>
      </c>
      <c r="J25" s="216" t="s">
        <v>188</v>
      </c>
      <c r="K25" s="236" t="s">
        <v>189</v>
      </c>
      <c r="L25" s="217" t="s">
        <v>190</v>
      </c>
      <c r="M25" s="212" t="s">
        <v>114</v>
      </c>
      <c r="N25" s="212" t="s">
        <v>5</v>
      </c>
      <c r="O25" s="225">
        <v>45999</v>
      </c>
      <c r="P25" s="197" t="s">
        <v>24</v>
      </c>
      <c r="Q25" s="197" t="s">
        <v>24</v>
      </c>
      <c r="R25" s="197" t="s">
        <v>24</v>
      </c>
      <c r="S25" s="197" t="s">
        <v>24</v>
      </c>
      <c r="T25" s="197" t="s">
        <v>24</v>
      </c>
      <c r="U25" s="197" t="s">
        <v>24</v>
      </c>
      <c r="V25" s="197" t="s">
        <v>24</v>
      </c>
      <c r="W25" s="197" t="s">
        <v>24</v>
      </c>
      <c r="X25" s="197" t="s">
        <v>24</v>
      </c>
      <c r="Y25" s="197" t="s">
        <v>24</v>
      </c>
      <c r="Z25" s="197" t="s">
        <v>24</v>
      </c>
      <c r="AA25" s="232"/>
      <c r="AB25" s="216" t="s">
        <v>188</v>
      </c>
      <c r="AC25" s="236" t="s">
        <v>189</v>
      </c>
      <c r="AD25" s="217" t="s">
        <v>190</v>
      </c>
      <c r="AE25" s="212" t="s">
        <v>108</v>
      </c>
      <c r="AF25" s="233" t="s">
        <v>114</v>
      </c>
      <c r="AG25" s="218">
        <v>2395.12</v>
      </c>
      <c r="AH25" s="218">
        <v>32395.119999999999</v>
      </c>
      <c r="AI25" s="212" t="s">
        <v>6</v>
      </c>
      <c r="AJ25" s="217" t="s">
        <v>109</v>
      </c>
      <c r="AK25" s="212">
        <v>146469069</v>
      </c>
      <c r="AL25" s="212" t="s">
        <v>136</v>
      </c>
      <c r="AM25" s="212" t="s">
        <v>136</v>
      </c>
      <c r="AN25" s="219" t="s">
        <v>137</v>
      </c>
      <c r="AO25" s="219"/>
      <c r="AP25" s="221" t="s">
        <v>191</v>
      </c>
      <c r="AQ25" s="219" t="s">
        <v>136</v>
      </c>
      <c r="AR25" s="219" t="s">
        <v>136</v>
      </c>
      <c r="AS25" s="219" t="s">
        <v>136</v>
      </c>
      <c r="AT25" s="219" t="s">
        <v>136</v>
      </c>
      <c r="AU25" s="213">
        <v>46013</v>
      </c>
      <c r="AV25" s="219" t="s">
        <v>136</v>
      </c>
      <c r="AW25" s="219" t="s">
        <v>136</v>
      </c>
      <c r="AX25" s="213">
        <v>46017</v>
      </c>
      <c r="AY25" s="140">
        <v>46017</v>
      </c>
      <c r="AZ25" s="135" t="s">
        <v>33</v>
      </c>
      <c r="BA25" s="135" t="s">
        <v>139</v>
      </c>
      <c r="BB25" s="219" t="s">
        <v>136</v>
      </c>
      <c r="BC25" s="220">
        <f t="shared" si="0"/>
        <v>18</v>
      </c>
      <c r="BD25" s="212" t="str">
        <f t="shared" si="1"/>
        <v>INDENIZAÇÃO</v>
      </c>
      <c r="BE25" s="212" t="str">
        <f t="shared" si="2"/>
        <v>NÃO</v>
      </c>
      <c r="BF25" s="212" t="s">
        <v>24</v>
      </c>
      <c r="BG25" s="212" t="s">
        <v>24</v>
      </c>
      <c r="BH25" s="212" t="s">
        <v>24</v>
      </c>
      <c r="BI25" s="135" t="s">
        <v>140</v>
      </c>
      <c r="BJ25" s="135"/>
      <c r="BK25" s="135"/>
      <c r="BL25" s="135"/>
      <c r="BM25" s="135"/>
      <c r="BN25" s="182"/>
      <c r="CI25" s="182"/>
    </row>
    <row r="26" spans="1:87" s="141" customFormat="1" ht="30" hidden="1" customHeight="1" x14ac:dyDescent="0.25">
      <c r="A26" s="212">
        <v>13</v>
      </c>
      <c r="B26" s="212" t="s">
        <v>99</v>
      </c>
      <c r="C26" s="212">
        <v>1</v>
      </c>
      <c r="D26" s="212" t="s">
        <v>100</v>
      </c>
      <c r="E26" s="212" t="s">
        <v>100</v>
      </c>
      <c r="F26" s="216" t="s">
        <v>192</v>
      </c>
      <c r="G26" s="212" t="s">
        <v>1</v>
      </c>
      <c r="H26" s="212" t="s">
        <v>193</v>
      </c>
      <c r="I26" s="212" t="s">
        <v>108</v>
      </c>
      <c r="J26" s="216" t="s">
        <v>194</v>
      </c>
      <c r="K26" s="217" t="s">
        <v>103</v>
      </c>
      <c r="L26" s="217" t="s">
        <v>195</v>
      </c>
      <c r="M26" s="212"/>
      <c r="N26" s="212" t="s">
        <v>103</v>
      </c>
      <c r="O26" s="225"/>
      <c r="P26" s="197"/>
      <c r="Q26" s="241"/>
      <c r="R26" s="197"/>
      <c r="S26" s="197"/>
      <c r="T26" s="197"/>
      <c r="U26" s="197"/>
      <c r="V26" s="197"/>
      <c r="W26" s="197"/>
      <c r="X26" s="197"/>
      <c r="Y26" s="197"/>
      <c r="Z26" s="197"/>
      <c r="AA26" s="232"/>
      <c r="AB26" s="216" t="s">
        <v>196</v>
      </c>
      <c r="AC26" s="217" t="s">
        <v>197</v>
      </c>
      <c r="AD26" s="217" t="s">
        <v>198</v>
      </c>
      <c r="AE26" s="212" t="s">
        <v>108</v>
      </c>
      <c r="AF26" s="223"/>
      <c r="AG26" s="218"/>
      <c r="AH26" s="218"/>
      <c r="AI26" s="212"/>
      <c r="AJ26" s="217"/>
      <c r="AK26" s="212"/>
      <c r="AL26" s="212"/>
      <c r="AM26" s="212"/>
      <c r="AN26" s="219"/>
      <c r="AO26" s="219"/>
      <c r="AP26" s="221"/>
      <c r="AQ26" s="219"/>
      <c r="AR26" s="219"/>
      <c r="AS26" s="219"/>
      <c r="AT26" s="219"/>
      <c r="AU26" s="197"/>
      <c r="AV26" s="219"/>
      <c r="AW26" s="219"/>
      <c r="AX26" s="197"/>
      <c r="AY26" s="140"/>
      <c r="AZ26" s="140"/>
      <c r="BA26" s="212"/>
      <c r="BB26" s="219"/>
      <c r="BC26" s="220" t="str">
        <f t="shared" si="0"/>
        <v/>
      </c>
      <c r="BD26" s="212" t="str">
        <f t="shared" si="1"/>
        <v>INDENIZAÇÃO</v>
      </c>
      <c r="BE26" s="212" t="str">
        <f t="shared" si="2"/>
        <v>NÃO</v>
      </c>
      <c r="BF26" s="212"/>
      <c r="BG26" s="212"/>
      <c r="BH26" s="212"/>
      <c r="BI26" s="212"/>
      <c r="BJ26" s="212"/>
      <c r="BK26" s="212"/>
      <c r="BL26" s="212"/>
      <c r="BM26" s="212"/>
      <c r="BN26" s="182"/>
      <c r="CI26" s="182"/>
    </row>
    <row r="27" spans="1:87" s="141" customFormat="1" ht="30" hidden="1" customHeight="1" x14ac:dyDescent="0.25">
      <c r="A27" s="212">
        <v>14</v>
      </c>
      <c r="B27" s="212" t="s">
        <v>99</v>
      </c>
      <c r="C27" s="212">
        <v>1</v>
      </c>
      <c r="D27" s="212" t="s">
        <v>100</v>
      </c>
      <c r="E27" s="212" t="s">
        <v>100</v>
      </c>
      <c r="F27" s="216" t="s">
        <v>199</v>
      </c>
      <c r="G27" s="212" t="s">
        <v>1</v>
      </c>
      <c r="H27" s="212" t="s">
        <v>102</v>
      </c>
      <c r="I27" s="212" t="s">
        <v>108</v>
      </c>
      <c r="J27" s="216" t="s">
        <v>200</v>
      </c>
      <c r="K27" s="217" t="s">
        <v>201</v>
      </c>
      <c r="L27" s="217" t="s">
        <v>202</v>
      </c>
      <c r="M27" s="212"/>
      <c r="N27" s="212" t="s">
        <v>5</v>
      </c>
      <c r="O27" s="225"/>
      <c r="P27" s="197"/>
      <c r="Q27" s="241"/>
      <c r="R27" s="197"/>
      <c r="S27" s="197"/>
      <c r="T27" s="197"/>
      <c r="U27" s="197"/>
      <c r="V27" s="197"/>
      <c r="W27" s="197"/>
      <c r="X27" s="197"/>
      <c r="Y27" s="197"/>
      <c r="Z27" s="197"/>
      <c r="AA27" s="232"/>
      <c r="AB27" s="216" t="s">
        <v>203</v>
      </c>
      <c r="AC27" s="217" t="s">
        <v>204</v>
      </c>
      <c r="AD27" s="217" t="s">
        <v>205</v>
      </c>
      <c r="AE27" s="212" t="s">
        <v>108</v>
      </c>
      <c r="AF27" s="223"/>
      <c r="AG27" s="218"/>
      <c r="AH27" s="218"/>
      <c r="AI27" s="212"/>
      <c r="AJ27" s="217" t="s">
        <v>109</v>
      </c>
      <c r="AK27" s="212"/>
      <c r="AL27" s="212"/>
      <c r="AM27" s="212"/>
      <c r="AN27" s="219"/>
      <c r="AO27" s="219"/>
      <c r="AP27" s="221"/>
      <c r="AQ27" s="219"/>
      <c r="AR27" s="219"/>
      <c r="AS27" s="219"/>
      <c r="AT27" s="219"/>
      <c r="AU27" s="213"/>
      <c r="AV27" s="219"/>
      <c r="AW27" s="219"/>
      <c r="AX27" s="213"/>
      <c r="AY27" s="140"/>
      <c r="AZ27" s="140"/>
      <c r="BA27" s="212"/>
      <c r="BB27" s="219"/>
      <c r="BC27" s="220" t="str">
        <f t="shared" si="0"/>
        <v/>
      </c>
      <c r="BD27" s="212" t="str">
        <f t="shared" si="1"/>
        <v>INDENIZAÇÃO</v>
      </c>
      <c r="BE27" s="212" t="str">
        <f t="shared" si="2"/>
        <v>NÃO</v>
      </c>
      <c r="BF27" s="212"/>
      <c r="BG27" s="212"/>
      <c r="BH27" s="212"/>
      <c r="BI27" s="212"/>
      <c r="BJ27" s="212"/>
      <c r="BK27" s="212"/>
      <c r="BL27" s="212"/>
      <c r="BM27" s="212"/>
      <c r="BN27" s="182"/>
      <c r="CI27" s="182"/>
    </row>
    <row r="28" spans="1:87" s="141" customFormat="1" ht="30" customHeight="1" x14ac:dyDescent="0.25">
      <c r="A28" s="212">
        <v>15</v>
      </c>
      <c r="B28" s="212" t="s">
        <v>99</v>
      </c>
      <c r="C28" s="212">
        <v>1</v>
      </c>
      <c r="D28" s="212" t="s">
        <v>100</v>
      </c>
      <c r="E28" s="212" t="s">
        <v>100</v>
      </c>
      <c r="F28" s="216" t="s">
        <v>206</v>
      </c>
      <c r="G28" s="212" t="s">
        <v>1</v>
      </c>
      <c r="H28" s="212" t="s">
        <v>132</v>
      </c>
      <c r="I28" s="212" t="s">
        <v>108</v>
      </c>
      <c r="J28" s="216" t="s">
        <v>207</v>
      </c>
      <c r="K28" s="217" t="s">
        <v>208</v>
      </c>
      <c r="L28" s="217" t="s">
        <v>209</v>
      </c>
      <c r="M28" s="212" t="s">
        <v>114</v>
      </c>
      <c r="N28" s="212" t="s">
        <v>185</v>
      </c>
      <c r="O28" s="225">
        <v>45978</v>
      </c>
      <c r="P28" s="197" t="s">
        <v>24</v>
      </c>
      <c r="Q28" s="197" t="s">
        <v>24</v>
      </c>
      <c r="R28" s="197" t="s">
        <v>24</v>
      </c>
      <c r="S28" s="197" t="s">
        <v>24</v>
      </c>
      <c r="T28" s="197" t="s">
        <v>24</v>
      </c>
      <c r="U28" s="197" t="s">
        <v>24</v>
      </c>
      <c r="V28" s="197" t="s">
        <v>24</v>
      </c>
      <c r="W28" s="197" t="s">
        <v>24</v>
      </c>
      <c r="X28" s="197" t="s">
        <v>24</v>
      </c>
      <c r="Y28" s="197" t="s">
        <v>24</v>
      </c>
      <c r="Z28" s="197" t="s">
        <v>24</v>
      </c>
      <c r="AA28" s="232"/>
      <c r="AB28" s="216" t="s">
        <v>207</v>
      </c>
      <c r="AC28" s="217" t="s">
        <v>208</v>
      </c>
      <c r="AD28" s="217" t="s">
        <v>209</v>
      </c>
      <c r="AE28" s="212" t="s">
        <v>108</v>
      </c>
      <c r="AF28" s="233" t="s">
        <v>114</v>
      </c>
      <c r="AG28" s="218">
        <v>14629.7</v>
      </c>
      <c r="AH28" s="218">
        <v>44629.7</v>
      </c>
      <c r="AI28" s="212" t="s">
        <v>6</v>
      </c>
      <c r="AJ28" s="217" t="s">
        <v>109</v>
      </c>
      <c r="AK28" s="212">
        <v>145107989</v>
      </c>
      <c r="AL28" s="212" t="s">
        <v>136</v>
      </c>
      <c r="AM28" s="212" t="s">
        <v>136</v>
      </c>
      <c r="AN28" s="219" t="s">
        <v>137</v>
      </c>
      <c r="AO28" s="219"/>
      <c r="AP28" s="221" t="s">
        <v>210</v>
      </c>
      <c r="AQ28" s="219" t="s">
        <v>136</v>
      </c>
      <c r="AR28" s="219" t="s">
        <v>136</v>
      </c>
      <c r="AS28" s="219" t="s">
        <v>136</v>
      </c>
      <c r="AT28" s="219" t="s">
        <v>136</v>
      </c>
      <c r="AU28" s="225">
        <v>46017</v>
      </c>
      <c r="AV28" s="219" t="s">
        <v>136</v>
      </c>
      <c r="AW28" s="219" t="s">
        <v>136</v>
      </c>
      <c r="AX28" s="225">
        <v>46024</v>
      </c>
      <c r="AY28" s="140">
        <v>46024</v>
      </c>
      <c r="AZ28" s="135" t="s">
        <v>33</v>
      </c>
      <c r="BA28" s="135" t="s">
        <v>139</v>
      </c>
      <c r="BB28" s="219" t="s">
        <v>136</v>
      </c>
      <c r="BC28" s="220">
        <f t="shared" si="0"/>
        <v>46</v>
      </c>
      <c r="BD28" s="212" t="str">
        <f t="shared" si="1"/>
        <v>INDENIZAÇÃO</v>
      </c>
      <c r="BE28" s="212" t="str">
        <f t="shared" si="2"/>
        <v>NÃO</v>
      </c>
      <c r="BF28" s="212" t="s">
        <v>24</v>
      </c>
      <c r="BG28" s="212" t="s">
        <v>24</v>
      </c>
      <c r="BH28" s="212" t="s">
        <v>24</v>
      </c>
      <c r="BI28" s="135" t="s">
        <v>140</v>
      </c>
      <c r="BJ28" s="135"/>
      <c r="BK28" s="135"/>
      <c r="BL28" s="135"/>
      <c r="BM28" s="135"/>
      <c r="BN28" s="182"/>
      <c r="CI28" s="182"/>
    </row>
    <row r="29" spans="1:87" s="141" customFormat="1" ht="30" hidden="1" customHeight="1" x14ac:dyDescent="0.25">
      <c r="A29" s="212">
        <v>16</v>
      </c>
      <c r="B29" s="212" t="s">
        <v>99</v>
      </c>
      <c r="C29" s="212">
        <v>1</v>
      </c>
      <c r="D29" s="212" t="s">
        <v>100</v>
      </c>
      <c r="E29" s="212" t="s">
        <v>100</v>
      </c>
      <c r="F29" s="216" t="s">
        <v>211</v>
      </c>
      <c r="G29" s="212" t="s">
        <v>10</v>
      </c>
      <c r="H29" s="212" t="s">
        <v>212</v>
      </c>
      <c r="I29" s="212" t="s">
        <v>103</v>
      </c>
      <c r="J29" s="216" t="s">
        <v>213</v>
      </c>
      <c r="K29" s="236" t="s">
        <v>214</v>
      </c>
      <c r="L29" s="217" t="s">
        <v>215</v>
      </c>
      <c r="M29" s="212" t="s">
        <v>114</v>
      </c>
      <c r="N29" s="212" t="s">
        <v>5</v>
      </c>
      <c r="O29" s="225"/>
      <c r="P29" s="197"/>
      <c r="Q29" s="241"/>
      <c r="R29" s="197"/>
      <c r="S29" s="197"/>
      <c r="T29" s="197"/>
      <c r="U29" s="197"/>
      <c r="V29" s="197"/>
      <c r="W29" s="197"/>
      <c r="X29" s="197"/>
      <c r="Y29" s="197"/>
      <c r="Z29" s="197"/>
      <c r="AA29" s="232"/>
      <c r="AB29" s="216" t="s">
        <v>216</v>
      </c>
      <c r="AC29" s="217" t="s">
        <v>217</v>
      </c>
      <c r="AD29" s="217" t="s">
        <v>218</v>
      </c>
      <c r="AE29" s="212" t="s">
        <v>108</v>
      </c>
      <c r="AF29" s="233"/>
      <c r="AG29" s="218"/>
      <c r="AH29" s="218"/>
      <c r="AI29" s="212"/>
      <c r="AJ29" s="217" t="s">
        <v>109</v>
      </c>
      <c r="AK29" s="212"/>
      <c r="AL29" s="212"/>
      <c r="AM29" s="212"/>
      <c r="AN29" s="219"/>
      <c r="AO29" s="219"/>
      <c r="AP29" s="221"/>
      <c r="AQ29" s="219"/>
      <c r="AR29" s="219"/>
      <c r="AS29" s="219"/>
      <c r="AT29" s="219"/>
      <c r="AU29" s="197"/>
      <c r="AV29" s="219"/>
      <c r="AW29" s="219"/>
      <c r="AX29" s="197"/>
      <c r="AY29" s="140"/>
      <c r="AZ29" s="140"/>
      <c r="BA29" s="212"/>
      <c r="BB29" s="219"/>
      <c r="BC29" s="220" t="str">
        <f t="shared" si="0"/>
        <v/>
      </c>
      <c r="BD29" s="212" t="str">
        <f t="shared" si="1"/>
        <v>INDENIZAÇÃO</v>
      </c>
      <c r="BE29" s="212" t="str">
        <f t="shared" si="2"/>
        <v>NÃO</v>
      </c>
      <c r="BF29" s="212"/>
      <c r="BG29" s="212"/>
      <c r="BH29" s="212"/>
      <c r="BI29" s="212"/>
      <c r="BJ29" s="212"/>
      <c r="BK29" s="212"/>
      <c r="BL29" s="212"/>
      <c r="BM29" s="212"/>
      <c r="BN29" s="182"/>
      <c r="CI29" s="182"/>
    </row>
    <row r="30" spans="1:87" s="141" customFormat="1" ht="30" customHeight="1" x14ac:dyDescent="0.25">
      <c r="A30" s="212">
        <v>17</v>
      </c>
      <c r="B30" s="212" t="s">
        <v>99</v>
      </c>
      <c r="C30" s="212">
        <v>1</v>
      </c>
      <c r="D30" s="212" t="s">
        <v>100</v>
      </c>
      <c r="E30" s="212" t="s">
        <v>100</v>
      </c>
      <c r="F30" s="216" t="s">
        <v>219</v>
      </c>
      <c r="G30" s="212" t="s">
        <v>1</v>
      </c>
      <c r="H30" s="212" t="s">
        <v>132</v>
      </c>
      <c r="I30" s="212" t="s">
        <v>108</v>
      </c>
      <c r="J30" s="216" t="s">
        <v>220</v>
      </c>
      <c r="K30" s="236" t="s">
        <v>221</v>
      </c>
      <c r="L30" s="217" t="s">
        <v>222</v>
      </c>
      <c r="M30" s="212" t="s">
        <v>114</v>
      </c>
      <c r="N30" s="212" t="s">
        <v>5</v>
      </c>
      <c r="O30" s="213">
        <v>46079</v>
      </c>
      <c r="P30" s="197" t="s">
        <v>24</v>
      </c>
      <c r="Q30" s="197" t="s">
        <v>24</v>
      </c>
      <c r="R30" s="197" t="s">
        <v>24</v>
      </c>
      <c r="S30" s="197" t="s">
        <v>24</v>
      </c>
      <c r="T30" s="197" t="s">
        <v>24</v>
      </c>
      <c r="U30" s="197" t="s">
        <v>24</v>
      </c>
      <c r="V30" s="197" t="s">
        <v>24</v>
      </c>
      <c r="W30" s="197" t="s">
        <v>24</v>
      </c>
      <c r="X30" s="197" t="s">
        <v>24</v>
      </c>
      <c r="Y30" s="197" t="s">
        <v>24</v>
      </c>
      <c r="Z30" s="197" t="s">
        <v>24</v>
      </c>
      <c r="AA30" s="231"/>
      <c r="AB30" s="216" t="s">
        <v>220</v>
      </c>
      <c r="AC30" s="236" t="s">
        <v>221</v>
      </c>
      <c r="AD30" s="217" t="s">
        <v>222</v>
      </c>
      <c r="AE30" s="212" t="s">
        <v>108</v>
      </c>
      <c r="AF30" s="223" t="s">
        <v>114</v>
      </c>
      <c r="AG30" s="218">
        <v>25627.02</v>
      </c>
      <c r="AH30" s="218">
        <v>55627.02</v>
      </c>
      <c r="AI30" s="212" t="s">
        <v>6</v>
      </c>
      <c r="AJ30" s="217" t="s">
        <v>109</v>
      </c>
      <c r="AK30" s="212">
        <v>148882518</v>
      </c>
      <c r="AL30" s="212" t="s">
        <v>136</v>
      </c>
      <c r="AM30" s="219" t="s">
        <v>136</v>
      </c>
      <c r="AN30" s="219" t="s">
        <v>137</v>
      </c>
      <c r="AO30" s="212"/>
      <c r="AP30" s="217" t="s">
        <v>223</v>
      </c>
      <c r="AQ30" s="219" t="s">
        <v>136</v>
      </c>
      <c r="AR30" s="219" t="s">
        <v>136</v>
      </c>
      <c r="AS30" s="219" t="s">
        <v>136</v>
      </c>
      <c r="AT30" s="219" t="s">
        <v>136</v>
      </c>
      <c r="AU30" s="225">
        <v>46142</v>
      </c>
      <c r="AV30" s="219" t="s">
        <v>136</v>
      </c>
      <c r="AW30" s="219" t="s">
        <v>136</v>
      </c>
      <c r="AX30" s="225">
        <v>46153</v>
      </c>
      <c r="AY30" s="140">
        <v>46153</v>
      </c>
      <c r="AZ30" s="137" t="s">
        <v>33</v>
      </c>
      <c r="BA30" s="135" t="s">
        <v>139</v>
      </c>
      <c r="BB30" s="219" t="s">
        <v>136</v>
      </c>
      <c r="BC30" s="220">
        <f t="shared" ref="BC30" si="6">IF(AY30-KD30=0,"",AY30-O30)</f>
        <v>74</v>
      </c>
      <c r="BD30" s="212" t="str">
        <f t="shared" ref="BD30" si="7">IF(AND(AI30&lt;&gt;"SIM",AI30="UH"),"AA","INDENIZAÇÃO")</f>
        <v>INDENIZAÇÃO</v>
      </c>
      <c r="BE30" s="212" t="str">
        <f t="shared" ref="BE30" si="8">IF(AND(AY30&lt;&gt;"AGUARDANDO",AY30&lt;&gt;"",N30="AUXÍLIO ALUGUEL ATÉ INDENIZAÇÃO"),"SIM","NÃO")</f>
        <v>NÃO</v>
      </c>
      <c r="BF30" s="212" t="s">
        <v>24</v>
      </c>
      <c r="BG30" s="212" t="s">
        <v>24</v>
      </c>
      <c r="BH30" s="212" t="s">
        <v>24</v>
      </c>
      <c r="BI30" s="135" t="s">
        <v>140</v>
      </c>
      <c r="BJ30" s="135"/>
      <c r="BK30" s="135"/>
      <c r="BL30" s="135"/>
      <c r="BM30" s="135"/>
      <c r="BN30" s="182"/>
      <c r="CI30" s="182"/>
    </row>
    <row r="31" spans="1:87" s="141" customFormat="1" ht="30" hidden="1" customHeight="1" x14ac:dyDescent="0.25">
      <c r="A31" s="212">
        <v>18</v>
      </c>
      <c r="B31" s="212" t="s">
        <v>99</v>
      </c>
      <c r="C31" s="212">
        <v>1</v>
      </c>
      <c r="D31" s="212" t="s">
        <v>100</v>
      </c>
      <c r="E31" s="212" t="s">
        <v>100</v>
      </c>
      <c r="F31" s="216" t="s">
        <v>224</v>
      </c>
      <c r="G31" s="212" t="s">
        <v>1</v>
      </c>
      <c r="H31" s="212" t="s">
        <v>102</v>
      </c>
      <c r="I31" s="212" t="s">
        <v>108</v>
      </c>
      <c r="J31" s="216" t="s">
        <v>225</v>
      </c>
      <c r="K31" s="236" t="s">
        <v>226</v>
      </c>
      <c r="L31" s="217" t="s">
        <v>226</v>
      </c>
      <c r="M31" s="212" t="s">
        <v>114</v>
      </c>
      <c r="N31" s="212" t="s">
        <v>115</v>
      </c>
      <c r="O31" s="225">
        <v>45987</v>
      </c>
      <c r="P31" s="197" t="s">
        <v>116</v>
      </c>
      <c r="Q31" s="240" t="s">
        <v>117</v>
      </c>
      <c r="R31" s="197" t="s">
        <v>118</v>
      </c>
      <c r="S31" s="197" t="s">
        <v>118</v>
      </c>
      <c r="T31" s="197"/>
      <c r="U31" s="197"/>
      <c r="V31" s="197"/>
      <c r="W31" s="197"/>
      <c r="X31" s="197"/>
      <c r="Y31" s="197"/>
      <c r="Z31" s="197"/>
      <c r="AA31" s="232"/>
      <c r="AB31" s="216" t="s">
        <v>227</v>
      </c>
      <c r="AC31" s="217" t="s">
        <v>228</v>
      </c>
      <c r="AD31" s="217" t="s">
        <v>229</v>
      </c>
      <c r="AE31" s="212" t="s">
        <v>108</v>
      </c>
      <c r="AF31" s="233"/>
      <c r="AG31" s="218"/>
      <c r="AH31" s="218"/>
      <c r="AI31" s="212"/>
      <c r="AJ31" s="219"/>
      <c r="AK31" s="219"/>
      <c r="AL31" s="219"/>
      <c r="AM31" s="219"/>
      <c r="AN31" s="219"/>
      <c r="AO31" s="219"/>
      <c r="AP31" s="221"/>
      <c r="AQ31" s="219"/>
      <c r="AR31" s="219"/>
      <c r="AS31" s="219"/>
      <c r="AT31" s="219"/>
      <c r="AU31" s="225"/>
      <c r="AV31" s="219"/>
      <c r="AW31" s="219"/>
      <c r="AX31" s="219"/>
      <c r="AY31" s="140"/>
      <c r="AZ31" s="140"/>
      <c r="BA31" s="212"/>
      <c r="BB31" s="219"/>
      <c r="BC31" s="220" t="str">
        <f t="shared" si="0"/>
        <v/>
      </c>
      <c r="BD31" s="212" t="str">
        <f t="shared" si="1"/>
        <v>INDENIZAÇÃO</v>
      </c>
      <c r="BE31" s="212" t="str">
        <f t="shared" si="2"/>
        <v>NÃO</v>
      </c>
      <c r="BF31" s="212"/>
      <c r="BG31" s="212"/>
      <c r="BH31" s="212"/>
      <c r="BI31" s="212"/>
      <c r="BJ31" s="212"/>
      <c r="BK31" s="212"/>
      <c r="BL31" s="212"/>
      <c r="BM31" s="212"/>
      <c r="BN31" s="182"/>
      <c r="CI31" s="182"/>
    </row>
    <row r="32" spans="1:87" s="141" customFormat="1" ht="30" hidden="1" customHeight="1" x14ac:dyDescent="0.25">
      <c r="A32" s="212">
        <v>19</v>
      </c>
      <c r="B32" s="212" t="s">
        <v>99</v>
      </c>
      <c r="C32" s="212">
        <v>1</v>
      </c>
      <c r="D32" s="212" t="s">
        <v>100</v>
      </c>
      <c r="E32" s="212" t="s">
        <v>100</v>
      </c>
      <c r="F32" s="216" t="s">
        <v>230</v>
      </c>
      <c r="G32" s="212" t="s">
        <v>1</v>
      </c>
      <c r="H32" s="212" t="s">
        <v>102</v>
      </c>
      <c r="I32" s="212" t="s">
        <v>108</v>
      </c>
      <c r="J32" s="216" t="s">
        <v>231</v>
      </c>
      <c r="K32" s="236" t="s">
        <v>232</v>
      </c>
      <c r="L32" s="217" t="s">
        <v>233</v>
      </c>
      <c r="M32" s="212"/>
      <c r="N32" s="212" t="s">
        <v>5</v>
      </c>
      <c r="O32" s="225"/>
      <c r="P32" s="197"/>
      <c r="Q32" s="241"/>
      <c r="R32" s="197"/>
      <c r="S32" s="197"/>
      <c r="T32" s="197"/>
      <c r="U32" s="197"/>
      <c r="V32" s="197"/>
      <c r="W32" s="197"/>
      <c r="X32" s="197"/>
      <c r="Y32" s="197"/>
      <c r="Z32" s="197"/>
      <c r="AA32" s="232"/>
      <c r="AB32" s="216" t="s">
        <v>234</v>
      </c>
      <c r="AC32" s="217" t="s">
        <v>235</v>
      </c>
      <c r="AD32" s="217" t="s">
        <v>236</v>
      </c>
      <c r="AE32" s="212" t="s">
        <v>108</v>
      </c>
      <c r="AF32" s="223"/>
      <c r="AG32" s="218"/>
      <c r="AH32" s="218"/>
      <c r="AI32" s="212"/>
      <c r="AJ32" s="217" t="s">
        <v>109</v>
      </c>
      <c r="AK32" s="212"/>
      <c r="AL32" s="212"/>
      <c r="AM32" s="212"/>
      <c r="AN32" s="219"/>
      <c r="AO32" s="226"/>
      <c r="AP32" s="221"/>
      <c r="AQ32" s="219"/>
      <c r="AR32" s="219"/>
      <c r="AS32" s="219"/>
      <c r="AT32" s="219"/>
      <c r="AU32" s="225"/>
      <c r="AV32" s="219"/>
      <c r="AW32" s="219"/>
      <c r="AX32" s="213"/>
      <c r="AY32" s="140"/>
      <c r="AZ32" s="140"/>
      <c r="BA32" s="212"/>
      <c r="BB32" s="219"/>
      <c r="BC32" s="220" t="str">
        <f t="shared" si="0"/>
        <v/>
      </c>
      <c r="BD32" s="212" t="str">
        <f t="shared" si="1"/>
        <v>INDENIZAÇÃO</v>
      </c>
      <c r="BE32" s="212" t="str">
        <f t="shared" si="2"/>
        <v>NÃO</v>
      </c>
      <c r="BF32" s="212"/>
      <c r="BG32" s="212"/>
      <c r="BH32" s="212"/>
      <c r="BI32" s="212"/>
      <c r="BJ32" s="212"/>
      <c r="BK32" s="212"/>
      <c r="BL32" s="212"/>
      <c r="BM32" s="212"/>
      <c r="BN32" s="182"/>
      <c r="CI32" s="182"/>
    </row>
    <row r="33" spans="1:87" s="141" customFormat="1" ht="30" hidden="1" customHeight="1" x14ac:dyDescent="0.25">
      <c r="A33" s="212">
        <v>20</v>
      </c>
      <c r="B33" s="212" t="s">
        <v>99</v>
      </c>
      <c r="C33" s="212">
        <v>1</v>
      </c>
      <c r="D33" s="212" t="s">
        <v>100</v>
      </c>
      <c r="E33" s="212" t="s">
        <v>100</v>
      </c>
      <c r="F33" s="216" t="s">
        <v>237</v>
      </c>
      <c r="G33" s="212" t="s">
        <v>1</v>
      </c>
      <c r="H33" s="212" t="s">
        <v>20</v>
      </c>
      <c r="I33" s="212" t="s">
        <v>130</v>
      </c>
      <c r="J33" s="216" t="s">
        <v>238</v>
      </c>
      <c r="K33" s="236">
        <v>48020699</v>
      </c>
      <c r="L33" s="217" t="s">
        <v>239</v>
      </c>
      <c r="M33" s="212"/>
      <c r="N33" s="212" t="s">
        <v>5</v>
      </c>
      <c r="O33" s="225"/>
      <c r="P33" s="197"/>
      <c r="Q33" s="241"/>
      <c r="R33" s="197"/>
      <c r="S33" s="197"/>
      <c r="T33" s="197"/>
      <c r="U33" s="197"/>
      <c r="V33" s="197"/>
      <c r="W33" s="197"/>
      <c r="X33" s="197"/>
      <c r="Y33" s="197"/>
      <c r="Z33" s="197"/>
      <c r="AA33" s="232"/>
      <c r="AB33" s="216" t="s">
        <v>240</v>
      </c>
      <c r="AC33" s="217" t="s">
        <v>241</v>
      </c>
      <c r="AD33" s="217" t="s">
        <v>242</v>
      </c>
      <c r="AE33" s="212" t="s">
        <v>130</v>
      </c>
      <c r="AF33" s="233"/>
      <c r="AG33" s="218"/>
      <c r="AH33" s="218"/>
      <c r="AI33" s="212"/>
      <c r="AJ33" s="217" t="s">
        <v>109</v>
      </c>
      <c r="AK33" s="212"/>
      <c r="AL33" s="212"/>
      <c r="AM33" s="212"/>
      <c r="AN33" s="219"/>
      <c r="AO33" s="219"/>
      <c r="AP33" s="221"/>
      <c r="AQ33" s="219"/>
      <c r="AR33" s="219"/>
      <c r="AS33" s="219"/>
      <c r="AT33" s="219"/>
      <c r="AU33" s="197"/>
      <c r="AV33" s="219"/>
      <c r="AW33" s="219"/>
      <c r="AX33" s="197"/>
      <c r="AY33" s="140"/>
      <c r="AZ33" s="140"/>
      <c r="BA33" s="212"/>
      <c r="BB33" s="219"/>
      <c r="BC33" s="220" t="str">
        <f t="shared" si="0"/>
        <v/>
      </c>
      <c r="BD33" s="212" t="str">
        <f t="shared" si="1"/>
        <v>INDENIZAÇÃO</v>
      </c>
      <c r="BE33" s="212" t="str">
        <f t="shared" si="2"/>
        <v>NÃO</v>
      </c>
      <c r="BF33" s="212"/>
      <c r="BG33" s="212"/>
      <c r="BH33" s="212"/>
      <c r="BI33" s="212"/>
      <c r="BJ33" s="212"/>
      <c r="BK33" s="212"/>
      <c r="BL33" s="212"/>
      <c r="BM33" s="212"/>
      <c r="BN33" s="182"/>
      <c r="CI33" s="182"/>
    </row>
    <row r="34" spans="1:87" s="141" customFormat="1" ht="35.25" hidden="1" customHeight="1" x14ac:dyDescent="0.25">
      <c r="A34" s="212">
        <v>21</v>
      </c>
      <c r="B34" s="212" t="s">
        <v>99</v>
      </c>
      <c r="C34" s="212">
        <v>1</v>
      </c>
      <c r="D34" s="212" t="s">
        <v>100</v>
      </c>
      <c r="E34" s="212" t="s">
        <v>100</v>
      </c>
      <c r="F34" s="216" t="s">
        <v>243</v>
      </c>
      <c r="G34" s="212" t="s">
        <v>10</v>
      </c>
      <c r="H34" s="212" t="s">
        <v>26</v>
      </c>
      <c r="I34" s="212" t="s">
        <v>103</v>
      </c>
      <c r="J34" s="216" t="s">
        <v>244</v>
      </c>
      <c r="K34" s="236" t="s">
        <v>245</v>
      </c>
      <c r="L34" s="217" t="s">
        <v>246</v>
      </c>
      <c r="M34" s="212"/>
      <c r="N34" s="212" t="s">
        <v>5</v>
      </c>
      <c r="O34" s="225"/>
      <c r="P34" s="197"/>
      <c r="Q34" s="241"/>
      <c r="R34" s="197"/>
      <c r="S34" s="197"/>
      <c r="T34" s="197"/>
      <c r="U34" s="197"/>
      <c r="V34" s="197"/>
      <c r="W34" s="197"/>
      <c r="X34" s="197"/>
      <c r="Y34" s="197"/>
      <c r="Z34" s="197"/>
      <c r="AA34" s="232"/>
      <c r="AB34" s="216" t="s">
        <v>247</v>
      </c>
      <c r="AC34" s="217" t="s">
        <v>248</v>
      </c>
      <c r="AD34" s="217" t="s">
        <v>249</v>
      </c>
      <c r="AE34" s="212" t="s">
        <v>108</v>
      </c>
      <c r="AF34" s="233"/>
      <c r="AG34" s="218"/>
      <c r="AH34" s="218"/>
      <c r="AI34" s="212"/>
      <c r="AJ34" s="217" t="s">
        <v>109</v>
      </c>
      <c r="AK34" s="212"/>
      <c r="AL34" s="212"/>
      <c r="AM34" s="212"/>
      <c r="AN34" s="219"/>
      <c r="AO34" s="219"/>
      <c r="AP34" s="221"/>
      <c r="AQ34" s="219"/>
      <c r="AR34" s="219"/>
      <c r="AS34" s="219"/>
      <c r="AT34" s="219"/>
      <c r="AU34" s="197"/>
      <c r="AV34" s="219"/>
      <c r="AW34" s="219"/>
      <c r="AX34" s="197"/>
      <c r="AY34" s="140"/>
      <c r="AZ34" s="140"/>
      <c r="BA34" s="212"/>
      <c r="BB34" s="219"/>
      <c r="BC34" s="220" t="str">
        <f t="shared" si="0"/>
        <v/>
      </c>
      <c r="BD34" s="212" t="str">
        <f t="shared" si="1"/>
        <v>INDENIZAÇÃO</v>
      </c>
      <c r="BE34" s="212" t="str">
        <f t="shared" si="2"/>
        <v>NÃO</v>
      </c>
      <c r="BF34" s="212"/>
      <c r="BG34" s="212"/>
      <c r="BH34" s="212"/>
      <c r="BI34" s="212"/>
      <c r="BJ34" s="212"/>
      <c r="BK34" s="212"/>
      <c r="BL34" s="212"/>
      <c r="BM34" s="212"/>
      <c r="BN34" s="182"/>
      <c r="CI34" s="182"/>
    </row>
    <row r="35" spans="1:87" s="141" customFormat="1" ht="30" hidden="1" customHeight="1" x14ac:dyDescent="0.25">
      <c r="A35" s="212">
        <v>22</v>
      </c>
      <c r="B35" s="212" t="s">
        <v>99</v>
      </c>
      <c r="C35" s="212">
        <v>1</v>
      </c>
      <c r="D35" s="212" t="s">
        <v>100</v>
      </c>
      <c r="E35" s="212" t="s">
        <v>100</v>
      </c>
      <c r="F35" s="216" t="s">
        <v>250</v>
      </c>
      <c r="G35" s="212" t="s">
        <v>1</v>
      </c>
      <c r="H35" s="212" t="s">
        <v>102</v>
      </c>
      <c r="I35" s="212" t="s">
        <v>108</v>
      </c>
      <c r="J35" s="216" t="s">
        <v>251</v>
      </c>
      <c r="K35" s="236" t="s">
        <v>252</v>
      </c>
      <c r="L35" s="217" t="s">
        <v>253</v>
      </c>
      <c r="M35" s="212"/>
      <c r="N35" s="212" t="s">
        <v>5</v>
      </c>
      <c r="O35" s="225"/>
      <c r="P35" s="197"/>
      <c r="Q35" s="241"/>
      <c r="R35" s="197"/>
      <c r="S35" s="197"/>
      <c r="T35" s="197"/>
      <c r="U35" s="197"/>
      <c r="V35" s="197"/>
      <c r="W35" s="197"/>
      <c r="X35" s="197"/>
      <c r="Y35" s="197"/>
      <c r="Z35" s="197"/>
      <c r="AA35" s="232"/>
      <c r="AB35" s="216" t="s">
        <v>254</v>
      </c>
      <c r="AC35" s="217" t="s">
        <v>255</v>
      </c>
      <c r="AD35" s="217" t="s">
        <v>256</v>
      </c>
      <c r="AE35" s="212" t="s">
        <v>108</v>
      </c>
      <c r="AF35" s="233"/>
      <c r="AG35" s="218"/>
      <c r="AH35" s="218"/>
      <c r="AI35" s="212"/>
      <c r="AJ35" s="217" t="s">
        <v>109</v>
      </c>
      <c r="AK35" s="212"/>
      <c r="AL35" s="212"/>
      <c r="AM35" s="212"/>
      <c r="AN35" s="219"/>
      <c r="AO35" s="219"/>
      <c r="AP35" s="221"/>
      <c r="AQ35" s="219"/>
      <c r="AR35" s="219"/>
      <c r="AS35" s="219"/>
      <c r="AT35" s="219"/>
      <c r="AU35" s="225"/>
      <c r="AV35" s="219"/>
      <c r="AW35" s="219"/>
      <c r="AX35" s="213"/>
      <c r="AY35" s="140"/>
      <c r="AZ35" s="140"/>
      <c r="BA35" s="212"/>
      <c r="BB35" s="219"/>
      <c r="BC35" s="220" t="str">
        <f t="shared" si="0"/>
        <v/>
      </c>
      <c r="BD35" s="212" t="str">
        <f t="shared" si="1"/>
        <v>INDENIZAÇÃO</v>
      </c>
      <c r="BE35" s="212" t="str">
        <f t="shared" si="2"/>
        <v>NÃO</v>
      </c>
      <c r="BF35" s="212"/>
      <c r="BG35" s="212"/>
      <c r="BH35" s="212"/>
      <c r="BI35" s="212"/>
      <c r="BJ35" s="212"/>
      <c r="BK35" s="212"/>
      <c r="BL35" s="212"/>
      <c r="BM35" s="212"/>
      <c r="BN35" s="182"/>
      <c r="CI35" s="182"/>
    </row>
    <row r="36" spans="1:87" s="141" customFormat="1" ht="30" hidden="1" customHeight="1" x14ac:dyDescent="0.25">
      <c r="A36" s="212">
        <v>23</v>
      </c>
      <c r="B36" s="212" t="s">
        <v>99</v>
      </c>
      <c r="C36" s="212">
        <v>1</v>
      </c>
      <c r="D36" s="212" t="s">
        <v>100</v>
      </c>
      <c r="E36" s="212" t="s">
        <v>100</v>
      </c>
      <c r="F36" s="216" t="s">
        <v>257</v>
      </c>
      <c r="G36" s="212" t="s">
        <v>1</v>
      </c>
      <c r="H36" s="212" t="s">
        <v>102</v>
      </c>
      <c r="I36" s="212" t="s">
        <v>108</v>
      </c>
      <c r="J36" s="216" t="s">
        <v>258</v>
      </c>
      <c r="K36" s="236" t="s">
        <v>259</v>
      </c>
      <c r="L36" s="217" t="s">
        <v>260</v>
      </c>
      <c r="M36" s="212"/>
      <c r="N36" s="212" t="s">
        <v>5</v>
      </c>
      <c r="O36" s="225"/>
      <c r="P36" s="197"/>
      <c r="Q36" s="241"/>
      <c r="R36" s="197"/>
      <c r="S36" s="197"/>
      <c r="T36" s="197"/>
      <c r="U36" s="197"/>
      <c r="V36" s="197"/>
      <c r="W36" s="197"/>
      <c r="X36" s="197"/>
      <c r="Y36" s="197"/>
      <c r="Z36" s="197"/>
      <c r="AA36" s="232"/>
      <c r="AB36" s="216" t="s">
        <v>261</v>
      </c>
      <c r="AC36" s="217" t="s">
        <v>262</v>
      </c>
      <c r="AD36" s="217" t="s">
        <v>263</v>
      </c>
      <c r="AE36" s="212" t="s">
        <v>108</v>
      </c>
      <c r="AF36" s="233"/>
      <c r="AG36" s="218"/>
      <c r="AH36" s="218"/>
      <c r="AI36" s="212"/>
      <c r="AJ36" s="217" t="s">
        <v>109</v>
      </c>
      <c r="AK36" s="212"/>
      <c r="AL36" s="212"/>
      <c r="AM36" s="212"/>
      <c r="AN36" s="219"/>
      <c r="AO36" s="219"/>
      <c r="AP36" s="221"/>
      <c r="AQ36" s="219"/>
      <c r="AR36" s="219"/>
      <c r="AS36" s="219"/>
      <c r="AT36" s="219"/>
      <c r="AU36" s="197"/>
      <c r="AV36" s="219"/>
      <c r="AW36" s="219"/>
      <c r="AX36" s="197"/>
      <c r="AY36" s="140"/>
      <c r="AZ36" s="140"/>
      <c r="BA36" s="212"/>
      <c r="BB36" s="219"/>
      <c r="BC36" s="220" t="str">
        <f t="shared" si="0"/>
        <v/>
      </c>
      <c r="BD36" s="212" t="str">
        <f t="shared" si="1"/>
        <v>INDENIZAÇÃO</v>
      </c>
      <c r="BE36" s="212" t="str">
        <f t="shared" si="2"/>
        <v>NÃO</v>
      </c>
      <c r="BF36" s="212"/>
      <c r="BG36" s="212"/>
      <c r="BH36" s="212"/>
      <c r="BI36" s="212"/>
      <c r="BJ36" s="212"/>
      <c r="BK36" s="212"/>
      <c r="BL36" s="212"/>
      <c r="BM36" s="212"/>
      <c r="BN36" s="182"/>
      <c r="CI36" s="182"/>
    </row>
    <row r="37" spans="1:87" s="141" customFormat="1" ht="30" hidden="1" customHeight="1" x14ac:dyDescent="0.25">
      <c r="A37" s="212">
        <v>24</v>
      </c>
      <c r="B37" s="212" t="s">
        <v>99</v>
      </c>
      <c r="C37" s="212">
        <v>1</v>
      </c>
      <c r="D37" s="212" t="s">
        <v>100</v>
      </c>
      <c r="E37" s="212" t="s">
        <v>100</v>
      </c>
      <c r="F37" s="216" t="s">
        <v>264</v>
      </c>
      <c r="G37" s="212" t="s">
        <v>1</v>
      </c>
      <c r="H37" s="212" t="s">
        <v>102</v>
      </c>
      <c r="I37" s="212" t="s">
        <v>108</v>
      </c>
      <c r="J37" s="216" t="s">
        <v>265</v>
      </c>
      <c r="K37" s="236" t="s">
        <v>266</v>
      </c>
      <c r="L37" s="217" t="s">
        <v>267</v>
      </c>
      <c r="M37" s="212" t="s">
        <v>114</v>
      </c>
      <c r="N37" s="212" t="s">
        <v>5</v>
      </c>
      <c r="O37" s="225"/>
      <c r="P37" s="197"/>
      <c r="Q37" s="241"/>
      <c r="R37" s="197"/>
      <c r="S37" s="197"/>
      <c r="T37" s="197"/>
      <c r="U37" s="197"/>
      <c r="V37" s="197"/>
      <c r="W37" s="197"/>
      <c r="X37" s="197"/>
      <c r="Y37" s="197"/>
      <c r="Z37" s="197"/>
      <c r="AA37" s="232"/>
      <c r="AB37" s="216" t="s">
        <v>268</v>
      </c>
      <c r="AC37" s="217" t="s">
        <v>269</v>
      </c>
      <c r="AD37" s="217" t="s">
        <v>270</v>
      </c>
      <c r="AE37" s="212" t="s">
        <v>108</v>
      </c>
      <c r="AF37" s="233"/>
      <c r="AG37" s="218"/>
      <c r="AH37" s="218"/>
      <c r="AI37" s="212"/>
      <c r="AJ37" s="217" t="s">
        <v>109</v>
      </c>
      <c r="AK37" s="212"/>
      <c r="AL37" s="212"/>
      <c r="AM37" s="212"/>
      <c r="AN37" s="219"/>
      <c r="AO37" s="219"/>
      <c r="AP37" s="221"/>
      <c r="AQ37" s="219"/>
      <c r="AR37" s="219"/>
      <c r="AS37" s="219"/>
      <c r="AT37" s="219"/>
      <c r="AU37" s="197"/>
      <c r="AV37" s="219"/>
      <c r="AW37" s="219"/>
      <c r="AX37" s="197"/>
      <c r="AY37" s="140"/>
      <c r="AZ37" s="140"/>
      <c r="BA37" s="212"/>
      <c r="BB37" s="219"/>
      <c r="BC37" s="220" t="str">
        <f t="shared" si="0"/>
        <v/>
      </c>
      <c r="BD37" s="212" t="str">
        <f t="shared" si="1"/>
        <v>INDENIZAÇÃO</v>
      </c>
      <c r="BE37" s="212" t="str">
        <f t="shared" si="2"/>
        <v>NÃO</v>
      </c>
      <c r="BF37" s="212"/>
      <c r="BG37" s="212"/>
      <c r="BH37" s="212"/>
      <c r="BI37" s="212"/>
      <c r="BJ37" s="212"/>
      <c r="BK37" s="212"/>
      <c r="BL37" s="212"/>
      <c r="BM37" s="212"/>
      <c r="BN37" s="182"/>
      <c r="CI37" s="182"/>
    </row>
    <row r="38" spans="1:87" s="141" customFormat="1" ht="30" hidden="1" customHeight="1" x14ac:dyDescent="0.25">
      <c r="A38" s="212">
        <v>25</v>
      </c>
      <c r="B38" s="212" t="s">
        <v>99</v>
      </c>
      <c r="C38" s="212">
        <v>1</v>
      </c>
      <c r="D38" s="212" t="s">
        <v>100</v>
      </c>
      <c r="E38" s="212" t="s">
        <v>100</v>
      </c>
      <c r="F38" s="216" t="s">
        <v>271</v>
      </c>
      <c r="G38" s="212" t="s">
        <v>1</v>
      </c>
      <c r="H38" s="212" t="s">
        <v>2</v>
      </c>
      <c r="I38" s="212" t="s">
        <v>108</v>
      </c>
      <c r="J38" s="216" t="s">
        <v>272</v>
      </c>
      <c r="K38" s="236" t="s">
        <v>273</v>
      </c>
      <c r="L38" s="217" t="s">
        <v>274</v>
      </c>
      <c r="M38" s="212" t="s">
        <v>114</v>
      </c>
      <c r="N38" s="212" t="s">
        <v>115</v>
      </c>
      <c r="O38" s="213">
        <v>45960</v>
      </c>
      <c r="P38" s="140" t="s">
        <v>116</v>
      </c>
      <c r="Q38" s="240" t="s">
        <v>117</v>
      </c>
      <c r="R38" s="140" t="s">
        <v>118</v>
      </c>
      <c r="S38" s="140" t="s">
        <v>118</v>
      </c>
      <c r="T38" s="140" t="s">
        <v>118</v>
      </c>
      <c r="U38" s="140">
        <v>45968</v>
      </c>
      <c r="V38" s="140" t="s">
        <v>118</v>
      </c>
      <c r="W38" s="140">
        <v>45980</v>
      </c>
      <c r="X38" s="140">
        <v>45993</v>
      </c>
      <c r="Y38" s="140" t="s">
        <v>126</v>
      </c>
      <c r="Z38" s="140" t="s">
        <v>126</v>
      </c>
      <c r="AA38" s="232"/>
      <c r="AB38" s="216" t="s">
        <v>275</v>
      </c>
      <c r="AC38" s="217" t="s">
        <v>276</v>
      </c>
      <c r="AD38" s="217" t="s">
        <v>277</v>
      </c>
      <c r="AE38" s="212" t="s">
        <v>108</v>
      </c>
      <c r="AF38" s="233"/>
      <c r="AG38" s="218"/>
      <c r="AH38" s="218"/>
      <c r="AI38" s="212"/>
      <c r="AJ38" s="217"/>
      <c r="AK38" s="212"/>
      <c r="AL38" s="212"/>
      <c r="AM38" s="212"/>
      <c r="AN38" s="219"/>
      <c r="AO38" s="219"/>
      <c r="AP38" s="221"/>
      <c r="AQ38" s="219"/>
      <c r="AR38" s="219"/>
      <c r="AS38" s="219"/>
      <c r="AT38" s="219"/>
      <c r="AU38" s="197"/>
      <c r="AV38" s="219"/>
      <c r="AW38" s="219"/>
      <c r="AX38" s="197"/>
      <c r="AY38" s="140"/>
      <c r="AZ38" s="140"/>
      <c r="BA38" s="212"/>
      <c r="BB38" s="219"/>
      <c r="BC38" s="220" t="str">
        <f t="shared" si="0"/>
        <v/>
      </c>
      <c r="BD38" s="212" t="str">
        <f t="shared" si="1"/>
        <v>INDENIZAÇÃO</v>
      </c>
      <c r="BE38" s="212" t="str">
        <f t="shared" si="2"/>
        <v>NÃO</v>
      </c>
      <c r="BF38" s="212"/>
      <c r="BG38" s="212"/>
      <c r="BH38" s="212"/>
      <c r="BI38" s="212"/>
      <c r="BJ38" s="212"/>
      <c r="BK38" s="212"/>
      <c r="BL38" s="212"/>
      <c r="BM38" s="212"/>
      <c r="BN38" s="182"/>
      <c r="CI38" s="182"/>
    </row>
    <row r="39" spans="1:87" s="141" customFormat="1" ht="30" hidden="1" customHeight="1" x14ac:dyDescent="0.25">
      <c r="A39" s="212">
        <v>26</v>
      </c>
      <c r="B39" s="212" t="s">
        <v>99</v>
      </c>
      <c r="C39" s="212">
        <v>1</v>
      </c>
      <c r="D39" s="212" t="s">
        <v>100</v>
      </c>
      <c r="E39" s="212" t="s">
        <v>100</v>
      </c>
      <c r="F39" s="216" t="s">
        <v>278</v>
      </c>
      <c r="G39" s="212" t="s">
        <v>1</v>
      </c>
      <c r="H39" s="212" t="s">
        <v>102</v>
      </c>
      <c r="I39" s="212" t="s">
        <v>108</v>
      </c>
      <c r="J39" s="216" t="s">
        <v>279</v>
      </c>
      <c r="K39" s="236" t="s">
        <v>280</v>
      </c>
      <c r="L39" s="217" t="s">
        <v>281</v>
      </c>
      <c r="M39" s="212" t="s">
        <v>114</v>
      </c>
      <c r="N39" s="212" t="s">
        <v>5</v>
      </c>
      <c r="O39" s="225"/>
      <c r="P39" s="197"/>
      <c r="Q39" s="241"/>
      <c r="R39" s="197"/>
      <c r="S39" s="197"/>
      <c r="T39" s="197"/>
      <c r="U39" s="197"/>
      <c r="V39" s="197"/>
      <c r="W39" s="197"/>
      <c r="X39" s="197"/>
      <c r="Y39" s="197"/>
      <c r="Z39" s="197"/>
      <c r="AA39" s="232"/>
      <c r="AB39" s="216" t="s">
        <v>282</v>
      </c>
      <c r="AC39" s="217" t="s">
        <v>283</v>
      </c>
      <c r="AD39" s="217" t="s">
        <v>284</v>
      </c>
      <c r="AE39" s="212" t="s">
        <v>108</v>
      </c>
      <c r="AF39" s="233"/>
      <c r="AG39" s="218"/>
      <c r="AH39" s="218"/>
      <c r="AI39" s="212"/>
      <c r="AJ39" s="217" t="s">
        <v>109</v>
      </c>
      <c r="AK39" s="212"/>
      <c r="AL39" s="219"/>
      <c r="AM39" s="219"/>
      <c r="AN39" s="219"/>
      <c r="AO39" s="219"/>
      <c r="AP39" s="221"/>
      <c r="AQ39" s="219"/>
      <c r="AR39" s="219"/>
      <c r="AS39" s="219"/>
      <c r="AT39" s="219"/>
      <c r="AU39" s="219"/>
      <c r="AV39" s="219"/>
      <c r="AW39" s="219"/>
      <c r="AX39" s="219"/>
      <c r="AY39" s="140"/>
      <c r="AZ39" s="140"/>
      <c r="BA39" s="212"/>
      <c r="BB39" s="219"/>
      <c r="BC39" s="220" t="str">
        <f t="shared" si="0"/>
        <v/>
      </c>
      <c r="BD39" s="212" t="str">
        <f t="shared" si="1"/>
        <v>INDENIZAÇÃO</v>
      </c>
      <c r="BE39" s="212" t="str">
        <f t="shared" si="2"/>
        <v>NÃO</v>
      </c>
      <c r="BF39" s="212"/>
      <c r="BG39" s="212"/>
      <c r="BH39" s="212"/>
      <c r="BI39" s="212"/>
      <c r="BJ39" s="212"/>
      <c r="BK39" s="212"/>
      <c r="BL39" s="212"/>
      <c r="BM39" s="212"/>
      <c r="BN39" s="182"/>
      <c r="CI39" s="182"/>
    </row>
    <row r="40" spans="1:87" s="141" customFormat="1" ht="30" hidden="1" customHeight="1" x14ac:dyDescent="0.25">
      <c r="A40" s="212">
        <v>27</v>
      </c>
      <c r="B40" s="212" t="s">
        <v>99</v>
      </c>
      <c r="C40" s="212">
        <v>1</v>
      </c>
      <c r="D40" s="212" t="s">
        <v>100</v>
      </c>
      <c r="E40" s="212" t="s">
        <v>100</v>
      </c>
      <c r="F40" s="216" t="s">
        <v>285</v>
      </c>
      <c r="G40" s="212" t="s">
        <v>1</v>
      </c>
      <c r="H40" s="212" t="s">
        <v>102</v>
      </c>
      <c r="I40" s="212" t="s">
        <v>108</v>
      </c>
      <c r="J40" s="216" t="s">
        <v>286</v>
      </c>
      <c r="K40" s="236" t="s">
        <v>287</v>
      </c>
      <c r="L40" s="217" t="s">
        <v>288</v>
      </c>
      <c r="M40" s="212" t="s">
        <v>114</v>
      </c>
      <c r="N40" s="212" t="s">
        <v>115</v>
      </c>
      <c r="O40" s="225">
        <v>45987</v>
      </c>
      <c r="P40" s="197" t="s">
        <v>116</v>
      </c>
      <c r="Q40" s="240" t="s">
        <v>117</v>
      </c>
      <c r="R40" s="140" t="s">
        <v>118</v>
      </c>
      <c r="S40" s="140" t="s">
        <v>118</v>
      </c>
      <c r="T40" s="197"/>
      <c r="U40" s="197"/>
      <c r="V40" s="197"/>
      <c r="W40" s="197"/>
      <c r="X40" s="197"/>
      <c r="Y40" s="197"/>
      <c r="Z40" s="197"/>
      <c r="AA40" s="232"/>
      <c r="AB40" s="216" t="s">
        <v>289</v>
      </c>
      <c r="AC40" s="217" t="s">
        <v>290</v>
      </c>
      <c r="AD40" s="217" t="s">
        <v>291</v>
      </c>
      <c r="AE40" s="212" t="s">
        <v>108</v>
      </c>
      <c r="AF40" s="233"/>
      <c r="AG40" s="218"/>
      <c r="AH40" s="218"/>
      <c r="AI40" s="212"/>
      <c r="AJ40" s="217"/>
      <c r="AK40" s="212"/>
      <c r="AL40" s="212"/>
      <c r="AM40" s="212"/>
      <c r="AN40" s="212"/>
      <c r="AO40" s="219"/>
      <c r="AP40" s="217"/>
      <c r="AQ40" s="219"/>
      <c r="AR40" s="219"/>
      <c r="AS40" s="219"/>
      <c r="AT40" s="219"/>
      <c r="AU40" s="197"/>
      <c r="AV40" s="219"/>
      <c r="AW40" s="219"/>
      <c r="AX40" s="213"/>
      <c r="AY40" s="140"/>
      <c r="AZ40" s="140"/>
      <c r="BA40" s="212"/>
      <c r="BB40" s="219"/>
      <c r="BC40" s="220" t="str">
        <f t="shared" si="0"/>
        <v/>
      </c>
      <c r="BD40" s="212" t="str">
        <f t="shared" si="1"/>
        <v>INDENIZAÇÃO</v>
      </c>
      <c r="BE40" s="212" t="str">
        <f t="shared" si="2"/>
        <v>NÃO</v>
      </c>
      <c r="BF40" s="212"/>
      <c r="BG40" s="212"/>
      <c r="BH40" s="212"/>
      <c r="BI40" s="212"/>
      <c r="BJ40" s="212"/>
      <c r="BK40" s="212"/>
      <c r="BL40" s="212"/>
      <c r="BM40" s="212"/>
      <c r="BN40" s="182"/>
      <c r="CI40" s="182"/>
    </row>
    <row r="41" spans="1:87" s="141" customFormat="1" ht="30" hidden="1" customHeight="1" x14ac:dyDescent="0.25">
      <c r="A41" s="212">
        <v>28</v>
      </c>
      <c r="B41" s="212" t="s">
        <v>99</v>
      </c>
      <c r="C41" s="212">
        <v>1</v>
      </c>
      <c r="D41" s="212" t="s">
        <v>100</v>
      </c>
      <c r="E41" s="212" t="s">
        <v>100</v>
      </c>
      <c r="F41" s="216" t="s">
        <v>292</v>
      </c>
      <c r="G41" s="212" t="s">
        <v>1</v>
      </c>
      <c r="H41" s="212" t="s">
        <v>102</v>
      </c>
      <c r="I41" s="212" t="s">
        <v>108</v>
      </c>
      <c r="J41" s="216" t="s">
        <v>293</v>
      </c>
      <c r="K41" s="236" t="s">
        <v>294</v>
      </c>
      <c r="L41" s="217" t="s">
        <v>295</v>
      </c>
      <c r="M41" s="212"/>
      <c r="N41" s="212" t="s">
        <v>5</v>
      </c>
      <c r="O41" s="225"/>
      <c r="P41" s="197"/>
      <c r="Q41" s="241"/>
      <c r="R41" s="197"/>
      <c r="S41" s="197"/>
      <c r="T41" s="197"/>
      <c r="U41" s="197"/>
      <c r="V41" s="197"/>
      <c r="W41" s="197"/>
      <c r="X41" s="197"/>
      <c r="Y41" s="197"/>
      <c r="Z41" s="197"/>
      <c r="AA41" s="232"/>
      <c r="AB41" s="216" t="s">
        <v>296</v>
      </c>
      <c r="AC41" s="217" t="s">
        <v>297</v>
      </c>
      <c r="AD41" s="217" t="s">
        <v>298</v>
      </c>
      <c r="AE41" s="212" t="s">
        <v>108</v>
      </c>
      <c r="AF41" s="233"/>
      <c r="AG41" s="218"/>
      <c r="AH41" s="218"/>
      <c r="AI41" s="212"/>
      <c r="AJ41" s="217" t="s">
        <v>109</v>
      </c>
      <c r="AK41" s="212"/>
      <c r="AL41" s="212"/>
      <c r="AM41" s="212"/>
      <c r="AN41" s="219"/>
      <c r="AO41" s="219"/>
      <c r="AP41" s="221"/>
      <c r="AQ41" s="219"/>
      <c r="AR41" s="219"/>
      <c r="AS41" s="219"/>
      <c r="AT41" s="219"/>
      <c r="AU41" s="197"/>
      <c r="AV41" s="219"/>
      <c r="AW41" s="219"/>
      <c r="AX41" s="197"/>
      <c r="AY41" s="140"/>
      <c r="AZ41" s="140"/>
      <c r="BA41" s="212"/>
      <c r="BB41" s="219"/>
      <c r="BC41" s="220" t="str">
        <f t="shared" si="0"/>
        <v/>
      </c>
      <c r="BD41" s="212" t="str">
        <f t="shared" si="1"/>
        <v>INDENIZAÇÃO</v>
      </c>
      <c r="BE41" s="212" t="str">
        <f t="shared" si="2"/>
        <v>NÃO</v>
      </c>
      <c r="BF41" s="212"/>
      <c r="BG41" s="212"/>
      <c r="BH41" s="212"/>
      <c r="BI41" s="212"/>
      <c r="BJ41" s="212"/>
      <c r="BK41" s="212"/>
      <c r="BL41" s="212"/>
      <c r="BM41" s="212"/>
      <c r="BN41" s="182"/>
      <c r="CI41" s="182"/>
    </row>
    <row r="42" spans="1:87" s="141" customFormat="1" ht="30" hidden="1" customHeight="1" x14ac:dyDescent="0.25">
      <c r="A42" s="212">
        <v>29</v>
      </c>
      <c r="B42" s="212" t="s">
        <v>99</v>
      </c>
      <c r="C42" s="212">
        <v>1</v>
      </c>
      <c r="D42" s="212" t="s">
        <v>100</v>
      </c>
      <c r="E42" s="212" t="s">
        <v>100</v>
      </c>
      <c r="F42" s="216" t="s">
        <v>299</v>
      </c>
      <c r="G42" s="212" t="s">
        <v>1</v>
      </c>
      <c r="H42" s="212" t="s">
        <v>300</v>
      </c>
      <c r="I42" s="212" t="s">
        <v>108</v>
      </c>
      <c r="J42" s="216" t="s">
        <v>301</v>
      </c>
      <c r="K42" s="236" t="s">
        <v>302</v>
      </c>
      <c r="L42" s="217" t="s">
        <v>303</v>
      </c>
      <c r="M42" s="212"/>
      <c r="N42" s="212" t="s">
        <v>103</v>
      </c>
      <c r="O42" s="225"/>
      <c r="P42" s="197"/>
      <c r="Q42" s="241"/>
      <c r="R42" s="197"/>
      <c r="S42" s="197"/>
      <c r="T42" s="197"/>
      <c r="U42" s="197"/>
      <c r="V42" s="197"/>
      <c r="W42" s="197"/>
      <c r="X42" s="197"/>
      <c r="Y42" s="197"/>
      <c r="Z42" s="197"/>
      <c r="AA42" s="232"/>
      <c r="AB42" s="216" t="s">
        <v>304</v>
      </c>
      <c r="AC42" s="217" t="s">
        <v>305</v>
      </c>
      <c r="AD42" s="217" t="s">
        <v>306</v>
      </c>
      <c r="AE42" s="212" t="s">
        <v>108</v>
      </c>
      <c r="AF42" s="233"/>
      <c r="AG42" s="218"/>
      <c r="AH42" s="218"/>
      <c r="AI42" s="212"/>
      <c r="AJ42" s="212"/>
      <c r="AK42" s="212"/>
      <c r="AL42" s="219"/>
      <c r="AM42" s="219"/>
      <c r="AN42" s="219"/>
      <c r="AO42" s="219"/>
      <c r="AP42" s="221"/>
      <c r="AQ42" s="219"/>
      <c r="AR42" s="219"/>
      <c r="AS42" s="219"/>
      <c r="AT42" s="219"/>
      <c r="AU42" s="219"/>
      <c r="AV42" s="219"/>
      <c r="AW42" s="219"/>
      <c r="AX42" s="219"/>
      <c r="AY42" s="140"/>
      <c r="AZ42" s="140"/>
      <c r="BA42" s="212"/>
      <c r="BB42" s="219"/>
      <c r="BC42" s="220" t="str">
        <f t="shared" si="0"/>
        <v/>
      </c>
      <c r="BD42" s="212" t="str">
        <f t="shared" si="1"/>
        <v>INDENIZAÇÃO</v>
      </c>
      <c r="BE42" s="212" t="str">
        <f t="shared" si="2"/>
        <v>NÃO</v>
      </c>
      <c r="BF42" s="212"/>
      <c r="BG42" s="212"/>
      <c r="BH42" s="212"/>
      <c r="BI42" s="212"/>
      <c r="BJ42" s="212"/>
      <c r="BK42" s="212"/>
      <c r="BL42" s="212"/>
      <c r="BM42" s="212"/>
      <c r="BN42" s="182"/>
      <c r="CI42" s="182"/>
    </row>
    <row r="43" spans="1:87" s="141" customFormat="1" ht="30" hidden="1" customHeight="1" x14ac:dyDescent="0.25">
      <c r="A43" s="212">
        <v>30</v>
      </c>
      <c r="B43" s="212" t="s">
        <v>99</v>
      </c>
      <c r="C43" s="212">
        <v>1</v>
      </c>
      <c r="D43" s="212" t="s">
        <v>100</v>
      </c>
      <c r="E43" s="212" t="s">
        <v>100</v>
      </c>
      <c r="F43" s="216" t="s">
        <v>307</v>
      </c>
      <c r="G43" s="212" t="s">
        <v>1</v>
      </c>
      <c r="H43" s="212" t="s">
        <v>300</v>
      </c>
      <c r="I43" s="212" t="s">
        <v>108</v>
      </c>
      <c r="J43" s="216" t="s">
        <v>308</v>
      </c>
      <c r="K43" s="217" t="s">
        <v>309</v>
      </c>
      <c r="L43" s="217" t="s">
        <v>310</v>
      </c>
      <c r="M43" s="212"/>
      <c r="N43" s="212" t="s">
        <v>103</v>
      </c>
      <c r="O43" s="225"/>
      <c r="P43" s="197"/>
      <c r="Q43" s="241"/>
      <c r="R43" s="197"/>
      <c r="S43" s="197"/>
      <c r="T43" s="197"/>
      <c r="U43" s="197"/>
      <c r="V43" s="197"/>
      <c r="W43" s="197"/>
      <c r="X43" s="197"/>
      <c r="Y43" s="197"/>
      <c r="Z43" s="197"/>
      <c r="AA43" s="232"/>
      <c r="AB43" s="216" t="s">
        <v>311</v>
      </c>
      <c r="AC43" s="217" t="s">
        <v>312</v>
      </c>
      <c r="AD43" s="217" t="s">
        <v>313</v>
      </c>
      <c r="AE43" s="212" t="s">
        <v>108</v>
      </c>
      <c r="AF43" s="233"/>
      <c r="AG43" s="218"/>
      <c r="AH43" s="218"/>
      <c r="AI43" s="212"/>
      <c r="AJ43" s="219"/>
      <c r="AK43" s="219"/>
      <c r="AL43" s="219"/>
      <c r="AM43" s="219"/>
      <c r="AN43" s="219"/>
      <c r="AO43" s="219"/>
      <c r="AP43" s="221"/>
      <c r="AQ43" s="219"/>
      <c r="AR43" s="219"/>
      <c r="AS43" s="219"/>
      <c r="AT43" s="219"/>
      <c r="AU43" s="225"/>
      <c r="AV43" s="219"/>
      <c r="AW43" s="219"/>
      <c r="AX43" s="225"/>
      <c r="AY43" s="140"/>
      <c r="AZ43" s="140"/>
      <c r="BA43" s="212"/>
      <c r="BB43" s="219"/>
      <c r="BC43" s="220" t="str">
        <f t="shared" si="0"/>
        <v/>
      </c>
      <c r="BD43" s="212" t="str">
        <f t="shared" si="1"/>
        <v>INDENIZAÇÃO</v>
      </c>
      <c r="BE43" s="212" t="str">
        <f t="shared" si="2"/>
        <v>NÃO</v>
      </c>
      <c r="BF43" s="212"/>
      <c r="BG43" s="212"/>
      <c r="BH43" s="212"/>
      <c r="BI43" s="212"/>
      <c r="BJ43" s="212"/>
      <c r="BK43" s="212"/>
      <c r="BL43" s="212"/>
      <c r="BM43" s="212"/>
      <c r="BN43" s="182"/>
      <c r="CI43" s="182"/>
    </row>
    <row r="44" spans="1:87" s="141" customFormat="1" ht="30" hidden="1" customHeight="1" x14ac:dyDescent="0.25">
      <c r="A44" s="212">
        <v>31</v>
      </c>
      <c r="B44" s="212" t="s">
        <v>99</v>
      </c>
      <c r="C44" s="212">
        <v>1</v>
      </c>
      <c r="D44" s="212" t="s">
        <v>100</v>
      </c>
      <c r="E44" s="212" t="s">
        <v>100</v>
      </c>
      <c r="F44" s="216" t="s">
        <v>314</v>
      </c>
      <c r="G44" s="212" t="s">
        <v>1</v>
      </c>
      <c r="H44" s="212" t="s">
        <v>300</v>
      </c>
      <c r="I44" s="212" t="s">
        <v>108</v>
      </c>
      <c r="J44" s="216" t="s">
        <v>315</v>
      </c>
      <c r="K44" s="217" t="s">
        <v>316</v>
      </c>
      <c r="L44" s="217" t="s">
        <v>317</v>
      </c>
      <c r="M44" s="212"/>
      <c r="N44" s="212" t="s">
        <v>103</v>
      </c>
      <c r="O44" s="225"/>
      <c r="P44" s="197"/>
      <c r="Q44" s="241"/>
      <c r="R44" s="197"/>
      <c r="S44" s="197"/>
      <c r="T44" s="197"/>
      <c r="U44" s="197"/>
      <c r="V44" s="197"/>
      <c r="W44" s="197"/>
      <c r="X44" s="197"/>
      <c r="Y44" s="197"/>
      <c r="Z44" s="197"/>
      <c r="AA44" s="232"/>
      <c r="AB44" s="216" t="s">
        <v>318</v>
      </c>
      <c r="AC44" s="217" t="s">
        <v>319</v>
      </c>
      <c r="AD44" s="217" t="s">
        <v>320</v>
      </c>
      <c r="AE44" s="212" t="s">
        <v>108</v>
      </c>
      <c r="AF44" s="233"/>
      <c r="AG44" s="218"/>
      <c r="AH44" s="218"/>
      <c r="AI44" s="212"/>
      <c r="AJ44" s="217"/>
      <c r="AK44" s="212"/>
      <c r="AL44" s="212"/>
      <c r="AM44" s="212"/>
      <c r="AN44" s="212"/>
      <c r="AO44" s="219"/>
      <c r="AP44" s="217"/>
      <c r="AQ44" s="219"/>
      <c r="AR44" s="219"/>
      <c r="AS44" s="219"/>
      <c r="AT44" s="219"/>
      <c r="AU44" s="197"/>
      <c r="AV44" s="219"/>
      <c r="AW44" s="219"/>
      <c r="AX44" s="213"/>
      <c r="AY44" s="140"/>
      <c r="AZ44" s="140"/>
      <c r="BA44" s="212"/>
      <c r="BB44" s="219"/>
      <c r="BC44" s="220" t="str">
        <f t="shared" si="0"/>
        <v/>
      </c>
      <c r="BD44" s="212" t="str">
        <f t="shared" si="1"/>
        <v>INDENIZAÇÃO</v>
      </c>
      <c r="BE44" s="212" t="str">
        <f t="shared" si="2"/>
        <v>NÃO</v>
      </c>
      <c r="BF44" s="212"/>
      <c r="BG44" s="212"/>
      <c r="BH44" s="212"/>
      <c r="BI44" s="212"/>
      <c r="BJ44" s="212"/>
      <c r="BK44" s="212"/>
      <c r="BL44" s="212"/>
      <c r="BM44" s="212"/>
      <c r="BN44" s="182"/>
      <c r="CI44" s="182"/>
    </row>
    <row r="45" spans="1:87" s="141" customFormat="1" ht="30" hidden="1" customHeight="1" x14ac:dyDescent="0.25">
      <c r="A45" s="212">
        <v>32</v>
      </c>
      <c r="B45" s="212" t="s">
        <v>99</v>
      </c>
      <c r="C45" s="212">
        <v>1</v>
      </c>
      <c r="D45" s="212" t="s">
        <v>100</v>
      </c>
      <c r="E45" s="212" t="s">
        <v>100</v>
      </c>
      <c r="F45" s="216" t="s">
        <v>321</v>
      </c>
      <c r="G45" s="212" t="s">
        <v>1</v>
      </c>
      <c r="H45" s="212" t="s">
        <v>300</v>
      </c>
      <c r="I45" s="212" t="s">
        <v>108</v>
      </c>
      <c r="J45" s="216" t="s">
        <v>322</v>
      </c>
      <c r="K45" s="217" t="s">
        <v>323</v>
      </c>
      <c r="L45" s="217" t="s">
        <v>324</v>
      </c>
      <c r="M45" s="212"/>
      <c r="N45" s="212" t="s">
        <v>5</v>
      </c>
      <c r="O45" s="225"/>
      <c r="P45" s="197"/>
      <c r="Q45" s="241"/>
      <c r="R45" s="197"/>
      <c r="S45" s="197"/>
      <c r="T45" s="197"/>
      <c r="U45" s="197"/>
      <c r="V45" s="197"/>
      <c r="W45" s="197"/>
      <c r="X45" s="197"/>
      <c r="Y45" s="197"/>
      <c r="Z45" s="197"/>
      <c r="AA45" s="232"/>
      <c r="AB45" s="216" t="s">
        <v>325</v>
      </c>
      <c r="AC45" s="217" t="s">
        <v>326</v>
      </c>
      <c r="AD45" s="217" t="s">
        <v>327</v>
      </c>
      <c r="AE45" s="212" t="s">
        <v>108</v>
      </c>
      <c r="AF45" s="233"/>
      <c r="AG45" s="218"/>
      <c r="AH45" s="218"/>
      <c r="AI45" s="212"/>
      <c r="AJ45" s="217" t="s">
        <v>109</v>
      </c>
      <c r="AK45" s="212"/>
      <c r="AL45" s="212"/>
      <c r="AM45" s="212"/>
      <c r="AN45" s="212"/>
      <c r="AO45" s="219"/>
      <c r="AP45" s="217"/>
      <c r="AQ45" s="219"/>
      <c r="AR45" s="219"/>
      <c r="AS45" s="219"/>
      <c r="AT45" s="219"/>
      <c r="AU45" s="197"/>
      <c r="AV45" s="219"/>
      <c r="AW45" s="219"/>
      <c r="AX45" s="213"/>
      <c r="AY45" s="140"/>
      <c r="AZ45" s="140"/>
      <c r="BA45" s="212"/>
      <c r="BB45" s="219"/>
      <c r="BC45" s="220" t="str">
        <f t="shared" si="0"/>
        <v/>
      </c>
      <c r="BD45" s="212" t="str">
        <f t="shared" si="1"/>
        <v>INDENIZAÇÃO</v>
      </c>
      <c r="BE45" s="212" t="str">
        <f t="shared" si="2"/>
        <v>NÃO</v>
      </c>
      <c r="BF45" s="212"/>
      <c r="BG45" s="212"/>
      <c r="BH45" s="212"/>
      <c r="BI45" s="212"/>
      <c r="BJ45" s="212"/>
      <c r="BK45" s="212"/>
      <c r="BL45" s="212"/>
      <c r="BM45" s="212"/>
      <c r="BN45" s="182"/>
      <c r="CI45" s="182"/>
    </row>
    <row r="46" spans="1:87" s="141" customFormat="1" ht="30" hidden="1" customHeight="1" x14ac:dyDescent="0.25">
      <c r="A46" s="212">
        <v>33</v>
      </c>
      <c r="B46" s="212" t="s">
        <v>99</v>
      </c>
      <c r="C46" s="212">
        <v>1</v>
      </c>
      <c r="D46" s="212" t="s">
        <v>100</v>
      </c>
      <c r="E46" s="212" t="s">
        <v>100</v>
      </c>
      <c r="F46" s="216" t="s">
        <v>328</v>
      </c>
      <c r="G46" s="212" t="s">
        <v>1</v>
      </c>
      <c r="H46" s="212" t="s">
        <v>300</v>
      </c>
      <c r="I46" s="212" t="s">
        <v>108</v>
      </c>
      <c r="J46" s="216" t="s">
        <v>329</v>
      </c>
      <c r="K46" s="236" t="s">
        <v>330</v>
      </c>
      <c r="L46" s="217" t="s">
        <v>331</v>
      </c>
      <c r="M46" s="212"/>
      <c r="N46" s="212" t="s">
        <v>5</v>
      </c>
      <c r="O46" s="225"/>
      <c r="P46" s="197"/>
      <c r="Q46" s="241"/>
      <c r="R46" s="197"/>
      <c r="S46" s="197"/>
      <c r="T46" s="197"/>
      <c r="U46" s="197"/>
      <c r="V46" s="197"/>
      <c r="W46" s="197"/>
      <c r="X46" s="197"/>
      <c r="Y46" s="197"/>
      <c r="Z46" s="197"/>
      <c r="AA46" s="232"/>
      <c r="AB46" s="216" t="s">
        <v>332</v>
      </c>
      <c r="AC46" s="217" t="s">
        <v>333</v>
      </c>
      <c r="AD46" s="217" t="s">
        <v>334</v>
      </c>
      <c r="AE46" s="212" t="s">
        <v>108</v>
      </c>
      <c r="AF46" s="233"/>
      <c r="AG46" s="218"/>
      <c r="AH46" s="218"/>
      <c r="AI46" s="212"/>
      <c r="AJ46" s="217" t="s">
        <v>109</v>
      </c>
      <c r="AK46" s="212"/>
      <c r="AL46" s="219"/>
      <c r="AM46" s="219"/>
      <c r="AN46" s="219"/>
      <c r="AO46" s="219"/>
      <c r="AP46" s="221"/>
      <c r="AQ46" s="219"/>
      <c r="AR46" s="219"/>
      <c r="AS46" s="219"/>
      <c r="AT46" s="219"/>
      <c r="AU46" s="219"/>
      <c r="AV46" s="219"/>
      <c r="AW46" s="219"/>
      <c r="AX46" s="219"/>
      <c r="AY46" s="140"/>
      <c r="AZ46" s="140"/>
      <c r="BA46" s="212"/>
      <c r="BB46" s="219"/>
      <c r="BC46" s="220" t="str">
        <f t="shared" ref="BC46:BC67" si="9">IF(AY46-KD46=0,"",AY46-O46)</f>
        <v/>
      </c>
      <c r="BD46" s="212" t="str">
        <f t="shared" ref="BD46:BD67" si="10">IF(AND(AI46&lt;&gt;"SIM",AI46="UH"),"AA","INDENIZAÇÃO")</f>
        <v>INDENIZAÇÃO</v>
      </c>
      <c r="BE46" s="212" t="str">
        <f t="shared" ref="BE46:BE67" si="11">IF(AND(AY46&lt;&gt;"AGUARDANDO",AY46&lt;&gt;"",N46="AUXÍLIO ALUGUEL ATÉ INDENIZAÇÃO"),"SIM","NÃO")</f>
        <v>NÃO</v>
      </c>
      <c r="BF46" s="212"/>
      <c r="BG46" s="212"/>
      <c r="BH46" s="212"/>
      <c r="BI46" s="212"/>
      <c r="BJ46" s="212"/>
      <c r="BK46" s="212"/>
      <c r="BL46" s="212"/>
      <c r="BM46" s="212"/>
      <c r="BN46" s="182"/>
      <c r="CI46" s="182"/>
    </row>
    <row r="47" spans="1:87" s="141" customFormat="1" ht="30" hidden="1" customHeight="1" x14ac:dyDescent="0.25">
      <c r="A47" s="212">
        <v>34</v>
      </c>
      <c r="B47" s="212" t="s">
        <v>99</v>
      </c>
      <c r="C47" s="212">
        <v>1</v>
      </c>
      <c r="D47" s="212" t="s">
        <v>100</v>
      </c>
      <c r="E47" s="212" t="s">
        <v>100</v>
      </c>
      <c r="F47" s="216" t="s">
        <v>335</v>
      </c>
      <c r="G47" s="212" t="s">
        <v>1</v>
      </c>
      <c r="H47" s="212" t="s">
        <v>300</v>
      </c>
      <c r="I47" s="212" t="s">
        <v>108</v>
      </c>
      <c r="J47" s="216" t="s">
        <v>336</v>
      </c>
      <c r="K47" s="217" t="s">
        <v>103</v>
      </c>
      <c r="L47" s="217" t="s">
        <v>337</v>
      </c>
      <c r="M47" s="212"/>
      <c r="N47" s="212" t="s">
        <v>103</v>
      </c>
      <c r="O47" s="225"/>
      <c r="P47" s="197"/>
      <c r="Q47" s="241"/>
      <c r="R47" s="197"/>
      <c r="S47" s="197"/>
      <c r="T47" s="197"/>
      <c r="U47" s="197"/>
      <c r="V47" s="197"/>
      <c r="W47" s="197"/>
      <c r="X47" s="197"/>
      <c r="Y47" s="197"/>
      <c r="Z47" s="197"/>
      <c r="AA47" s="232"/>
      <c r="AB47" s="216" t="s">
        <v>338</v>
      </c>
      <c r="AC47" s="217" t="s">
        <v>339</v>
      </c>
      <c r="AD47" s="217" t="s">
        <v>340</v>
      </c>
      <c r="AE47" s="212" t="s">
        <v>108</v>
      </c>
      <c r="AF47" s="233"/>
      <c r="AG47" s="218"/>
      <c r="AH47" s="218"/>
      <c r="AI47" s="212"/>
      <c r="AJ47" s="212"/>
      <c r="AK47" s="212"/>
      <c r="AL47" s="219"/>
      <c r="AM47" s="219"/>
      <c r="AN47" s="219"/>
      <c r="AO47" s="219"/>
      <c r="AP47" s="221"/>
      <c r="AQ47" s="219"/>
      <c r="AR47" s="219"/>
      <c r="AS47" s="219"/>
      <c r="AT47" s="219"/>
      <c r="AU47" s="219"/>
      <c r="AV47" s="219"/>
      <c r="AW47" s="219"/>
      <c r="AX47" s="219"/>
      <c r="AY47" s="140"/>
      <c r="AZ47" s="140"/>
      <c r="BA47" s="212"/>
      <c r="BB47" s="219"/>
      <c r="BC47" s="220" t="str">
        <f t="shared" si="9"/>
        <v/>
      </c>
      <c r="BD47" s="212" t="str">
        <f t="shared" si="10"/>
        <v>INDENIZAÇÃO</v>
      </c>
      <c r="BE47" s="212" t="str">
        <f t="shared" si="11"/>
        <v>NÃO</v>
      </c>
      <c r="BF47" s="212"/>
      <c r="BG47" s="212"/>
      <c r="BH47" s="212"/>
      <c r="BI47" s="212"/>
      <c r="BJ47" s="212"/>
      <c r="BK47" s="212"/>
      <c r="BL47" s="212"/>
      <c r="BM47" s="212"/>
      <c r="BN47" s="182"/>
      <c r="CI47" s="182"/>
    </row>
    <row r="48" spans="1:87" s="141" customFormat="1" ht="30" hidden="1" customHeight="1" x14ac:dyDescent="0.25">
      <c r="A48" s="212">
        <v>35</v>
      </c>
      <c r="B48" s="212" t="s">
        <v>99</v>
      </c>
      <c r="C48" s="212">
        <v>1</v>
      </c>
      <c r="D48" s="212" t="s">
        <v>100</v>
      </c>
      <c r="E48" s="212" t="s">
        <v>100</v>
      </c>
      <c r="F48" s="217" t="s">
        <v>341</v>
      </c>
      <c r="G48" s="212" t="s">
        <v>1</v>
      </c>
      <c r="H48" s="212" t="s">
        <v>300</v>
      </c>
      <c r="I48" s="212" t="s">
        <v>108</v>
      </c>
      <c r="J48" s="216" t="s">
        <v>342</v>
      </c>
      <c r="K48" s="236" t="s">
        <v>103</v>
      </c>
      <c r="L48" s="217" t="s">
        <v>103</v>
      </c>
      <c r="M48" s="212"/>
      <c r="N48" s="212" t="s">
        <v>103</v>
      </c>
      <c r="O48" s="225"/>
      <c r="P48" s="197"/>
      <c r="Q48" s="241"/>
      <c r="R48" s="197"/>
      <c r="S48" s="197"/>
      <c r="T48" s="197"/>
      <c r="U48" s="197"/>
      <c r="V48" s="197"/>
      <c r="W48" s="197"/>
      <c r="X48" s="197"/>
      <c r="Y48" s="197"/>
      <c r="Z48" s="197"/>
      <c r="AA48" s="232"/>
      <c r="AB48" s="216" t="s">
        <v>343</v>
      </c>
      <c r="AC48" s="217" t="s">
        <v>344</v>
      </c>
      <c r="AD48" s="217" t="s">
        <v>345</v>
      </c>
      <c r="AE48" s="212" t="s">
        <v>108</v>
      </c>
      <c r="AF48" s="233"/>
      <c r="AG48" s="218"/>
      <c r="AH48" s="218"/>
      <c r="AI48" s="212"/>
      <c r="AJ48" s="212"/>
      <c r="AK48" s="212"/>
      <c r="AL48" s="219"/>
      <c r="AM48" s="219"/>
      <c r="AN48" s="219"/>
      <c r="AO48" s="219"/>
      <c r="AP48" s="221"/>
      <c r="AQ48" s="219"/>
      <c r="AR48" s="219"/>
      <c r="AS48" s="219"/>
      <c r="AT48" s="219"/>
      <c r="AU48" s="225"/>
      <c r="AV48" s="219"/>
      <c r="AW48" s="219"/>
      <c r="AX48" s="225"/>
      <c r="AY48" s="140"/>
      <c r="AZ48" s="140"/>
      <c r="BA48" s="212"/>
      <c r="BB48" s="219"/>
      <c r="BC48" s="220" t="str">
        <f t="shared" si="9"/>
        <v/>
      </c>
      <c r="BD48" s="212" t="str">
        <f t="shared" si="10"/>
        <v>INDENIZAÇÃO</v>
      </c>
      <c r="BE48" s="212" t="str">
        <f t="shared" si="11"/>
        <v>NÃO</v>
      </c>
      <c r="BF48" s="212"/>
      <c r="BG48" s="212"/>
      <c r="BH48" s="212"/>
      <c r="BI48" s="212"/>
      <c r="BJ48" s="212"/>
      <c r="BK48" s="212"/>
      <c r="BL48" s="212"/>
      <c r="BM48" s="212"/>
      <c r="BN48" s="182"/>
      <c r="CI48" s="182"/>
    </row>
    <row r="49" spans="1:87" s="141" customFormat="1" ht="30" hidden="1" customHeight="1" x14ac:dyDescent="0.25">
      <c r="A49" s="212">
        <v>36</v>
      </c>
      <c r="B49" s="212" t="s">
        <v>99</v>
      </c>
      <c r="C49" s="212">
        <v>1</v>
      </c>
      <c r="D49" s="212" t="s">
        <v>100</v>
      </c>
      <c r="E49" s="212" t="s">
        <v>100</v>
      </c>
      <c r="F49" s="217" t="s">
        <v>346</v>
      </c>
      <c r="G49" s="212" t="s">
        <v>1</v>
      </c>
      <c r="H49" s="212" t="s">
        <v>300</v>
      </c>
      <c r="I49" s="212" t="s">
        <v>108</v>
      </c>
      <c r="J49" s="216" t="s">
        <v>347</v>
      </c>
      <c r="K49" s="217" t="s">
        <v>348</v>
      </c>
      <c r="L49" s="217" t="s">
        <v>349</v>
      </c>
      <c r="M49" s="212"/>
      <c r="N49" s="212" t="s">
        <v>103</v>
      </c>
      <c r="O49" s="225"/>
      <c r="P49" s="197"/>
      <c r="Q49" s="241"/>
      <c r="R49" s="197"/>
      <c r="S49" s="197"/>
      <c r="T49" s="197"/>
      <c r="U49" s="197"/>
      <c r="V49" s="197"/>
      <c r="W49" s="197"/>
      <c r="X49" s="197"/>
      <c r="Y49" s="197"/>
      <c r="Z49" s="197"/>
      <c r="AA49" s="232"/>
      <c r="AB49" s="216" t="s">
        <v>350</v>
      </c>
      <c r="AC49" s="217" t="s">
        <v>351</v>
      </c>
      <c r="AD49" s="217" t="s">
        <v>352</v>
      </c>
      <c r="AE49" s="212" t="s">
        <v>108</v>
      </c>
      <c r="AF49" s="233"/>
      <c r="AG49" s="218"/>
      <c r="AH49" s="218"/>
      <c r="AI49" s="212"/>
      <c r="AJ49" s="219"/>
      <c r="AK49" s="219"/>
      <c r="AL49" s="219"/>
      <c r="AM49" s="219"/>
      <c r="AN49" s="219"/>
      <c r="AO49" s="219"/>
      <c r="AP49" s="221"/>
      <c r="AQ49" s="219"/>
      <c r="AR49" s="219"/>
      <c r="AS49" s="219"/>
      <c r="AT49" s="219"/>
      <c r="AU49" s="225"/>
      <c r="AV49" s="219"/>
      <c r="AW49" s="219"/>
      <c r="AX49" s="225"/>
      <c r="AY49" s="140"/>
      <c r="AZ49" s="140"/>
      <c r="BA49" s="212"/>
      <c r="BB49" s="219"/>
      <c r="BC49" s="220" t="str">
        <f t="shared" si="9"/>
        <v/>
      </c>
      <c r="BD49" s="212" t="str">
        <f t="shared" si="10"/>
        <v>INDENIZAÇÃO</v>
      </c>
      <c r="BE49" s="212" t="str">
        <f t="shared" si="11"/>
        <v>NÃO</v>
      </c>
      <c r="BF49" s="212"/>
      <c r="BG49" s="212"/>
      <c r="BH49" s="212"/>
      <c r="BI49" s="212"/>
      <c r="BJ49" s="212"/>
      <c r="BK49" s="212"/>
      <c r="BL49" s="212"/>
      <c r="BM49" s="212"/>
      <c r="BN49" s="182"/>
      <c r="CI49" s="182"/>
    </row>
    <row r="50" spans="1:87" ht="30" hidden="1" customHeight="1" x14ac:dyDescent="0.25">
      <c r="A50" s="212">
        <v>37</v>
      </c>
      <c r="B50" s="212" t="s">
        <v>99</v>
      </c>
      <c r="C50" s="212">
        <v>1</v>
      </c>
      <c r="D50" s="212" t="s">
        <v>100</v>
      </c>
      <c r="E50" s="212" t="s">
        <v>100</v>
      </c>
      <c r="F50" s="217" t="s">
        <v>353</v>
      </c>
      <c r="G50" s="212" t="s">
        <v>1</v>
      </c>
      <c r="H50" s="212" t="s">
        <v>2</v>
      </c>
      <c r="I50" s="212" t="s">
        <v>108</v>
      </c>
      <c r="J50" s="216" t="s">
        <v>354</v>
      </c>
      <c r="K50" s="217" t="s">
        <v>355</v>
      </c>
      <c r="L50" s="217" t="s">
        <v>356</v>
      </c>
      <c r="M50" s="212" t="s">
        <v>114</v>
      </c>
      <c r="N50" s="212" t="s">
        <v>5</v>
      </c>
      <c r="O50" s="225"/>
      <c r="P50" s="197"/>
      <c r="Q50" s="241"/>
      <c r="R50" s="197"/>
      <c r="S50" s="197"/>
      <c r="T50" s="197"/>
      <c r="U50" s="197"/>
      <c r="V50" s="197"/>
      <c r="W50" s="197"/>
      <c r="X50" s="197"/>
      <c r="Y50" s="197"/>
      <c r="Z50" s="197"/>
      <c r="AA50" s="232"/>
      <c r="AB50" s="216" t="s">
        <v>354</v>
      </c>
      <c r="AC50" s="217" t="s">
        <v>356</v>
      </c>
      <c r="AD50" s="217" t="s">
        <v>355</v>
      </c>
      <c r="AE50" s="212" t="s">
        <v>108</v>
      </c>
      <c r="AF50" s="233"/>
      <c r="AG50" s="227"/>
      <c r="AH50" s="227"/>
      <c r="AI50" s="219"/>
      <c r="AJ50" s="217" t="s">
        <v>109</v>
      </c>
      <c r="AK50" s="219"/>
      <c r="AL50" s="219"/>
      <c r="AM50" s="219"/>
      <c r="AN50" s="219"/>
      <c r="AO50" s="219"/>
      <c r="AP50" s="221"/>
      <c r="AQ50" s="219"/>
      <c r="AR50" s="219"/>
      <c r="AS50" s="219"/>
      <c r="AT50" s="219"/>
      <c r="AU50" s="197"/>
      <c r="AV50" s="219"/>
      <c r="AW50" s="219"/>
      <c r="AX50" s="219"/>
      <c r="AY50" s="140"/>
      <c r="AZ50" s="140"/>
      <c r="BA50" s="212"/>
      <c r="BB50" s="219"/>
      <c r="BC50" s="220" t="str">
        <f t="shared" si="9"/>
        <v/>
      </c>
      <c r="BD50" s="212" t="str">
        <f t="shared" si="10"/>
        <v>INDENIZAÇÃO</v>
      </c>
      <c r="BE50" s="212" t="str">
        <f t="shared" si="11"/>
        <v>NÃO</v>
      </c>
      <c r="BF50" s="212"/>
      <c r="BG50" s="212"/>
      <c r="BH50" s="212"/>
      <c r="BI50" s="212"/>
      <c r="BJ50" s="212"/>
      <c r="BK50" s="212"/>
      <c r="BL50" s="212"/>
      <c r="BM50" s="212"/>
    </row>
    <row r="51" spans="1:87" ht="30" hidden="1" customHeight="1" x14ac:dyDescent="0.25">
      <c r="A51" s="212">
        <v>38</v>
      </c>
      <c r="B51" s="212" t="s">
        <v>99</v>
      </c>
      <c r="C51" s="212">
        <v>1</v>
      </c>
      <c r="D51" s="212" t="s">
        <v>100</v>
      </c>
      <c r="E51" s="212" t="s">
        <v>100</v>
      </c>
      <c r="F51" s="217" t="s">
        <v>357</v>
      </c>
      <c r="G51" s="212" t="s">
        <v>1</v>
      </c>
      <c r="H51" s="212" t="s">
        <v>2</v>
      </c>
      <c r="I51" s="212" t="s">
        <v>108</v>
      </c>
      <c r="J51" s="216" t="s">
        <v>358</v>
      </c>
      <c r="K51" s="217" t="s">
        <v>359</v>
      </c>
      <c r="L51" s="217" t="s">
        <v>360</v>
      </c>
      <c r="M51" s="212" t="s">
        <v>114</v>
      </c>
      <c r="N51" s="212" t="s">
        <v>5</v>
      </c>
      <c r="O51" s="225"/>
      <c r="P51" s="197"/>
      <c r="Q51" s="241"/>
      <c r="R51" s="197"/>
      <c r="S51" s="197"/>
      <c r="T51" s="197"/>
      <c r="U51" s="197"/>
      <c r="V51" s="197"/>
      <c r="W51" s="197"/>
      <c r="X51" s="197"/>
      <c r="Y51" s="197"/>
      <c r="Z51" s="197"/>
      <c r="AA51" s="232"/>
      <c r="AB51" s="216" t="s">
        <v>358</v>
      </c>
      <c r="AC51" s="217" t="s">
        <v>360</v>
      </c>
      <c r="AD51" s="217" t="s">
        <v>359</v>
      </c>
      <c r="AE51" s="212" t="s">
        <v>108</v>
      </c>
      <c r="AF51" s="233"/>
      <c r="AG51" s="227"/>
      <c r="AH51" s="227"/>
      <c r="AI51" s="219"/>
      <c r="AJ51" s="217" t="s">
        <v>109</v>
      </c>
      <c r="AK51" s="219"/>
      <c r="AL51" s="219"/>
      <c r="AM51" s="219"/>
      <c r="AN51" s="219"/>
      <c r="AO51" s="219"/>
      <c r="AP51" s="221"/>
      <c r="AQ51" s="219"/>
      <c r="AR51" s="219"/>
      <c r="AS51" s="219"/>
      <c r="AT51" s="219"/>
      <c r="AU51" s="197"/>
      <c r="AV51" s="219"/>
      <c r="AW51" s="219"/>
      <c r="AX51" s="219"/>
      <c r="AY51" s="140"/>
      <c r="AZ51" s="140"/>
      <c r="BA51" s="212"/>
      <c r="BB51" s="219"/>
      <c r="BC51" s="220" t="str">
        <f t="shared" si="9"/>
        <v/>
      </c>
      <c r="BD51" s="212" t="str">
        <f t="shared" si="10"/>
        <v>INDENIZAÇÃO</v>
      </c>
      <c r="BE51" s="212" t="str">
        <f t="shared" si="11"/>
        <v>NÃO</v>
      </c>
      <c r="BF51" s="212"/>
      <c r="BG51" s="212"/>
      <c r="BH51" s="212"/>
      <c r="BI51" s="212"/>
      <c r="BJ51" s="212"/>
      <c r="BK51" s="212"/>
      <c r="BL51" s="212"/>
      <c r="BM51" s="212"/>
    </row>
    <row r="52" spans="1:87" ht="30" hidden="1" customHeight="1" x14ac:dyDescent="0.25">
      <c r="A52" s="212">
        <v>39</v>
      </c>
      <c r="B52" s="212" t="s">
        <v>99</v>
      </c>
      <c r="C52" s="212">
        <v>1</v>
      </c>
      <c r="D52" s="212" t="s">
        <v>100</v>
      </c>
      <c r="E52" s="212" t="s">
        <v>100</v>
      </c>
      <c r="F52" s="217" t="s">
        <v>361</v>
      </c>
      <c r="G52" s="212" t="s">
        <v>1</v>
      </c>
      <c r="H52" s="212" t="s">
        <v>2</v>
      </c>
      <c r="I52" s="212" t="s">
        <v>108</v>
      </c>
      <c r="J52" s="216" t="s">
        <v>362</v>
      </c>
      <c r="K52" s="217">
        <v>325462859</v>
      </c>
      <c r="L52" s="217" t="s">
        <v>363</v>
      </c>
      <c r="M52" s="212" t="s">
        <v>114</v>
      </c>
      <c r="N52" s="212" t="s">
        <v>5</v>
      </c>
      <c r="O52" s="225"/>
      <c r="P52" s="197"/>
      <c r="Q52" s="241"/>
      <c r="R52" s="197"/>
      <c r="S52" s="197"/>
      <c r="T52" s="197"/>
      <c r="U52" s="197"/>
      <c r="V52" s="197"/>
      <c r="W52" s="197"/>
      <c r="X52" s="197"/>
      <c r="Y52" s="197"/>
      <c r="Z52" s="197"/>
      <c r="AA52" s="232"/>
      <c r="AB52" s="216" t="s">
        <v>362</v>
      </c>
      <c r="AC52" s="217" t="s">
        <v>363</v>
      </c>
      <c r="AD52" s="217">
        <v>325462859</v>
      </c>
      <c r="AE52" s="212" t="s">
        <v>108</v>
      </c>
      <c r="AF52" s="233"/>
      <c r="AG52" s="227"/>
      <c r="AH52" s="227"/>
      <c r="AI52" s="219"/>
      <c r="AJ52" s="217" t="s">
        <v>109</v>
      </c>
      <c r="AK52" s="219"/>
      <c r="AL52" s="219"/>
      <c r="AM52" s="219"/>
      <c r="AN52" s="219"/>
      <c r="AO52" s="219"/>
      <c r="AP52" s="221"/>
      <c r="AQ52" s="219"/>
      <c r="AR52" s="219"/>
      <c r="AS52" s="219"/>
      <c r="AT52" s="219"/>
      <c r="AU52" s="197"/>
      <c r="AV52" s="219"/>
      <c r="AW52" s="219"/>
      <c r="AX52" s="219"/>
      <c r="AY52" s="140"/>
      <c r="AZ52" s="140"/>
      <c r="BA52" s="212"/>
      <c r="BB52" s="219"/>
      <c r="BC52" s="220" t="str">
        <f t="shared" si="9"/>
        <v/>
      </c>
      <c r="BD52" s="212" t="str">
        <f t="shared" si="10"/>
        <v>INDENIZAÇÃO</v>
      </c>
      <c r="BE52" s="212" t="str">
        <f t="shared" si="11"/>
        <v>NÃO</v>
      </c>
      <c r="BF52" s="212"/>
      <c r="BG52" s="212"/>
      <c r="BH52" s="212"/>
      <c r="BI52" s="212"/>
      <c r="BJ52" s="212"/>
      <c r="BK52" s="212"/>
      <c r="BL52" s="212"/>
      <c r="BM52" s="212"/>
    </row>
    <row r="53" spans="1:87" ht="30" hidden="1" customHeight="1" x14ac:dyDescent="0.25">
      <c r="A53" s="212">
        <v>40</v>
      </c>
      <c r="B53" s="212" t="s">
        <v>99</v>
      </c>
      <c r="C53" s="212">
        <v>1</v>
      </c>
      <c r="D53" s="212" t="s">
        <v>100</v>
      </c>
      <c r="E53" s="212" t="s">
        <v>100</v>
      </c>
      <c r="F53" s="217" t="s">
        <v>364</v>
      </c>
      <c r="G53" s="212" t="s">
        <v>1</v>
      </c>
      <c r="H53" s="212" t="s">
        <v>2</v>
      </c>
      <c r="I53" s="212" t="s">
        <v>108</v>
      </c>
      <c r="J53" s="216" t="s">
        <v>365</v>
      </c>
      <c r="K53" s="217" t="s">
        <v>366</v>
      </c>
      <c r="L53" s="217" t="s">
        <v>367</v>
      </c>
      <c r="M53" s="212" t="s">
        <v>114</v>
      </c>
      <c r="N53" s="212" t="s">
        <v>5</v>
      </c>
      <c r="O53" s="225"/>
      <c r="P53" s="197"/>
      <c r="Q53" s="241"/>
      <c r="R53" s="197"/>
      <c r="S53" s="197"/>
      <c r="T53" s="197"/>
      <c r="U53" s="197"/>
      <c r="V53" s="197"/>
      <c r="W53" s="197"/>
      <c r="X53" s="197"/>
      <c r="Y53" s="197"/>
      <c r="Z53" s="197"/>
      <c r="AA53" s="232"/>
      <c r="AB53" s="216" t="s">
        <v>365</v>
      </c>
      <c r="AC53" s="217" t="s">
        <v>367</v>
      </c>
      <c r="AD53" s="217" t="s">
        <v>366</v>
      </c>
      <c r="AE53" s="212" t="s">
        <v>108</v>
      </c>
      <c r="AF53" s="233"/>
      <c r="AG53" s="227"/>
      <c r="AH53" s="227"/>
      <c r="AI53" s="219"/>
      <c r="AJ53" s="217" t="s">
        <v>109</v>
      </c>
      <c r="AK53" s="219"/>
      <c r="AL53" s="219"/>
      <c r="AM53" s="219"/>
      <c r="AN53" s="219"/>
      <c r="AO53" s="219"/>
      <c r="AP53" s="221"/>
      <c r="AQ53" s="219"/>
      <c r="AR53" s="219"/>
      <c r="AS53" s="219"/>
      <c r="AT53" s="219"/>
      <c r="AU53" s="197"/>
      <c r="AV53" s="219"/>
      <c r="AW53" s="219"/>
      <c r="AX53" s="219"/>
      <c r="AY53" s="140"/>
      <c r="AZ53" s="140"/>
      <c r="BA53" s="212"/>
      <c r="BB53" s="219"/>
      <c r="BC53" s="220" t="str">
        <f t="shared" si="9"/>
        <v/>
      </c>
      <c r="BD53" s="212" t="str">
        <f t="shared" si="10"/>
        <v>INDENIZAÇÃO</v>
      </c>
      <c r="BE53" s="212" t="str">
        <f t="shared" si="11"/>
        <v>NÃO</v>
      </c>
      <c r="BF53" s="212"/>
      <c r="BG53" s="212"/>
      <c r="BH53" s="212"/>
      <c r="BI53" s="212"/>
      <c r="BJ53" s="212"/>
      <c r="BK53" s="212"/>
      <c r="BL53" s="212"/>
      <c r="BM53" s="212"/>
    </row>
    <row r="54" spans="1:87" ht="30" hidden="1" customHeight="1" x14ac:dyDescent="0.25">
      <c r="A54" s="212">
        <v>41</v>
      </c>
      <c r="B54" s="212" t="s">
        <v>99</v>
      </c>
      <c r="C54" s="212">
        <v>1</v>
      </c>
      <c r="D54" s="212" t="s">
        <v>100</v>
      </c>
      <c r="E54" s="212" t="s">
        <v>100</v>
      </c>
      <c r="F54" s="217" t="s">
        <v>368</v>
      </c>
      <c r="G54" s="212" t="s">
        <v>1</v>
      </c>
      <c r="H54" s="212" t="s">
        <v>2</v>
      </c>
      <c r="I54" s="212" t="s">
        <v>108</v>
      </c>
      <c r="J54" s="216" t="s">
        <v>369</v>
      </c>
      <c r="K54" s="217" t="s">
        <v>103</v>
      </c>
      <c r="L54" s="217" t="s">
        <v>103</v>
      </c>
      <c r="M54" s="212" t="s">
        <v>114</v>
      </c>
      <c r="N54" s="212" t="s">
        <v>103</v>
      </c>
      <c r="O54" s="225"/>
      <c r="P54" s="197"/>
      <c r="Q54" s="241"/>
      <c r="R54" s="197"/>
      <c r="S54" s="197"/>
      <c r="T54" s="197"/>
      <c r="U54" s="197"/>
      <c r="V54" s="197"/>
      <c r="W54" s="197"/>
      <c r="X54" s="197"/>
      <c r="Y54" s="197"/>
      <c r="Z54" s="197"/>
      <c r="AA54" s="232"/>
      <c r="AB54" s="216" t="s">
        <v>369</v>
      </c>
      <c r="AC54" s="217" t="s">
        <v>103</v>
      </c>
      <c r="AD54" s="217" t="s">
        <v>103</v>
      </c>
      <c r="AE54" s="212" t="s">
        <v>108</v>
      </c>
      <c r="AF54" s="233"/>
      <c r="AG54" s="227"/>
      <c r="AH54" s="227"/>
      <c r="AI54" s="219"/>
      <c r="AJ54" s="219"/>
      <c r="AK54" s="219"/>
      <c r="AL54" s="219"/>
      <c r="AM54" s="219"/>
      <c r="AN54" s="219"/>
      <c r="AO54" s="219"/>
      <c r="AP54" s="221"/>
      <c r="AQ54" s="219"/>
      <c r="AR54" s="219"/>
      <c r="AS54" s="219"/>
      <c r="AT54" s="219"/>
      <c r="AU54" s="197"/>
      <c r="AV54" s="219"/>
      <c r="AW54" s="219"/>
      <c r="AX54" s="219"/>
      <c r="AY54" s="140"/>
      <c r="AZ54" s="140"/>
      <c r="BA54" s="212"/>
      <c r="BB54" s="219"/>
      <c r="BC54" s="220" t="str">
        <f t="shared" si="9"/>
        <v/>
      </c>
      <c r="BD54" s="212" t="str">
        <f t="shared" si="10"/>
        <v>INDENIZAÇÃO</v>
      </c>
      <c r="BE54" s="212" t="str">
        <f t="shared" si="11"/>
        <v>NÃO</v>
      </c>
      <c r="BF54" s="212"/>
      <c r="BG54" s="212"/>
      <c r="BH54" s="212"/>
      <c r="BI54" s="212"/>
      <c r="BJ54" s="212"/>
      <c r="BK54" s="212"/>
      <c r="BL54" s="212"/>
      <c r="BM54" s="212"/>
    </row>
    <row r="55" spans="1:87" ht="30" hidden="1" customHeight="1" x14ac:dyDescent="0.25">
      <c r="A55" s="212">
        <v>42</v>
      </c>
      <c r="B55" s="212" t="s">
        <v>99</v>
      </c>
      <c r="C55" s="212">
        <v>1</v>
      </c>
      <c r="D55" s="212" t="s">
        <v>100</v>
      </c>
      <c r="E55" s="212" t="s">
        <v>100</v>
      </c>
      <c r="F55" s="217" t="s">
        <v>370</v>
      </c>
      <c r="G55" s="212" t="s">
        <v>1</v>
      </c>
      <c r="H55" s="212" t="s">
        <v>2</v>
      </c>
      <c r="I55" s="212" t="s">
        <v>108</v>
      </c>
      <c r="J55" s="216" t="s">
        <v>371</v>
      </c>
      <c r="K55" s="217" t="s">
        <v>372</v>
      </c>
      <c r="L55" s="217" t="s">
        <v>373</v>
      </c>
      <c r="M55" s="212" t="s">
        <v>114</v>
      </c>
      <c r="N55" s="212" t="s">
        <v>5</v>
      </c>
      <c r="O55" s="225"/>
      <c r="P55" s="197"/>
      <c r="Q55" s="241"/>
      <c r="R55" s="197"/>
      <c r="S55" s="197"/>
      <c r="T55" s="197"/>
      <c r="U55" s="197"/>
      <c r="V55" s="197"/>
      <c r="W55" s="197"/>
      <c r="X55" s="197"/>
      <c r="Y55" s="197"/>
      <c r="Z55" s="197"/>
      <c r="AA55" s="232"/>
      <c r="AB55" s="216" t="s">
        <v>371</v>
      </c>
      <c r="AC55" s="217" t="s">
        <v>373</v>
      </c>
      <c r="AD55" s="217" t="s">
        <v>372</v>
      </c>
      <c r="AE55" s="212" t="s">
        <v>108</v>
      </c>
      <c r="AF55" s="233"/>
      <c r="AG55" s="227"/>
      <c r="AH55" s="227"/>
      <c r="AI55" s="219"/>
      <c r="AJ55" s="217" t="s">
        <v>109</v>
      </c>
      <c r="AK55" s="219"/>
      <c r="AL55" s="219"/>
      <c r="AM55" s="219"/>
      <c r="AN55" s="219"/>
      <c r="AO55" s="219"/>
      <c r="AP55" s="221"/>
      <c r="AQ55" s="219"/>
      <c r="AR55" s="219"/>
      <c r="AS55" s="219"/>
      <c r="AT55" s="219"/>
      <c r="AU55" s="197"/>
      <c r="AV55" s="219"/>
      <c r="AW55" s="219"/>
      <c r="AX55" s="219"/>
      <c r="AY55" s="140"/>
      <c r="AZ55" s="140"/>
      <c r="BA55" s="212"/>
      <c r="BB55" s="219"/>
      <c r="BC55" s="220" t="str">
        <f t="shared" si="9"/>
        <v/>
      </c>
      <c r="BD55" s="212" t="str">
        <f t="shared" si="10"/>
        <v>INDENIZAÇÃO</v>
      </c>
      <c r="BE55" s="212" t="str">
        <f t="shared" si="11"/>
        <v>NÃO</v>
      </c>
      <c r="BF55" s="212"/>
      <c r="BG55" s="212"/>
      <c r="BH55" s="212"/>
      <c r="BI55" s="212"/>
      <c r="BJ55" s="212"/>
      <c r="BK55" s="212"/>
      <c r="BL55" s="212"/>
      <c r="BM55" s="212"/>
    </row>
    <row r="56" spans="1:87" ht="30" hidden="1" customHeight="1" x14ac:dyDescent="0.25">
      <c r="A56" s="212">
        <v>43</v>
      </c>
      <c r="B56" s="212" t="s">
        <v>99</v>
      </c>
      <c r="C56" s="212">
        <v>1</v>
      </c>
      <c r="D56" s="212" t="s">
        <v>100</v>
      </c>
      <c r="E56" s="212" t="s">
        <v>100</v>
      </c>
      <c r="F56" s="217" t="s">
        <v>374</v>
      </c>
      <c r="G56" s="212" t="s">
        <v>1</v>
      </c>
      <c r="H56" s="212" t="s">
        <v>2</v>
      </c>
      <c r="I56" s="212" t="s">
        <v>108</v>
      </c>
      <c r="J56" s="216" t="s">
        <v>375</v>
      </c>
      <c r="K56" s="238">
        <v>37586025</v>
      </c>
      <c r="L56" s="217" t="s">
        <v>376</v>
      </c>
      <c r="M56" s="212" t="s">
        <v>114</v>
      </c>
      <c r="N56" s="212" t="s">
        <v>5</v>
      </c>
      <c r="O56" s="225"/>
      <c r="P56" s="197"/>
      <c r="Q56" s="241"/>
      <c r="R56" s="197"/>
      <c r="S56" s="197"/>
      <c r="T56" s="197"/>
      <c r="U56" s="197"/>
      <c r="V56" s="197"/>
      <c r="W56" s="197"/>
      <c r="X56" s="197"/>
      <c r="Y56" s="197"/>
      <c r="Z56" s="197"/>
      <c r="AA56" s="232"/>
      <c r="AB56" s="216" t="s">
        <v>375</v>
      </c>
      <c r="AC56" s="217" t="s">
        <v>376</v>
      </c>
      <c r="AD56" s="238">
        <v>37586025</v>
      </c>
      <c r="AE56" s="212" t="s">
        <v>108</v>
      </c>
      <c r="AF56" s="233"/>
      <c r="AG56" s="227"/>
      <c r="AH56" s="227"/>
      <c r="AI56" s="219"/>
      <c r="AJ56" s="217" t="s">
        <v>109</v>
      </c>
      <c r="AK56" s="219"/>
      <c r="AL56" s="219"/>
      <c r="AM56" s="219"/>
      <c r="AN56" s="219"/>
      <c r="AO56" s="219"/>
      <c r="AP56" s="221"/>
      <c r="AQ56" s="219"/>
      <c r="AR56" s="219"/>
      <c r="AS56" s="219"/>
      <c r="AT56" s="219"/>
      <c r="AU56" s="197"/>
      <c r="AV56" s="219"/>
      <c r="AW56" s="219"/>
      <c r="AX56" s="219"/>
      <c r="AY56" s="140"/>
      <c r="AZ56" s="140"/>
      <c r="BA56" s="212"/>
      <c r="BB56" s="219"/>
      <c r="BC56" s="220" t="str">
        <f t="shared" si="9"/>
        <v/>
      </c>
      <c r="BD56" s="212" t="str">
        <f t="shared" si="10"/>
        <v>INDENIZAÇÃO</v>
      </c>
      <c r="BE56" s="212" t="str">
        <f t="shared" si="11"/>
        <v>NÃO</v>
      </c>
      <c r="BF56" s="212"/>
      <c r="BG56" s="212"/>
      <c r="BH56" s="212"/>
      <c r="BI56" s="212"/>
      <c r="BJ56" s="212"/>
      <c r="BK56" s="212"/>
      <c r="BL56" s="212"/>
      <c r="BM56" s="212"/>
    </row>
    <row r="57" spans="1:87" ht="30" hidden="1" customHeight="1" x14ac:dyDescent="0.25">
      <c r="A57" s="212">
        <v>44</v>
      </c>
      <c r="B57" s="212" t="s">
        <v>99</v>
      </c>
      <c r="C57" s="212">
        <v>1</v>
      </c>
      <c r="D57" s="212" t="s">
        <v>100</v>
      </c>
      <c r="E57" s="212" t="s">
        <v>100</v>
      </c>
      <c r="F57" s="217" t="s">
        <v>377</v>
      </c>
      <c r="G57" s="212" t="s">
        <v>1</v>
      </c>
      <c r="H57" s="212" t="s">
        <v>2</v>
      </c>
      <c r="I57" s="212" t="s">
        <v>108</v>
      </c>
      <c r="J57" s="216" t="s">
        <v>378</v>
      </c>
      <c r="K57" s="217" t="s">
        <v>379</v>
      </c>
      <c r="L57" s="217" t="s">
        <v>380</v>
      </c>
      <c r="M57" s="212" t="s">
        <v>114</v>
      </c>
      <c r="N57" s="212" t="s">
        <v>5</v>
      </c>
      <c r="O57" s="225"/>
      <c r="P57" s="197"/>
      <c r="Q57" s="241"/>
      <c r="R57" s="197"/>
      <c r="S57" s="197"/>
      <c r="T57" s="197"/>
      <c r="U57" s="197"/>
      <c r="V57" s="197"/>
      <c r="W57" s="197"/>
      <c r="X57" s="197"/>
      <c r="Y57" s="197"/>
      <c r="Z57" s="197"/>
      <c r="AA57" s="232"/>
      <c r="AB57" s="216" t="s">
        <v>378</v>
      </c>
      <c r="AC57" s="217" t="s">
        <v>380</v>
      </c>
      <c r="AD57" s="217" t="s">
        <v>379</v>
      </c>
      <c r="AE57" s="212" t="s">
        <v>108</v>
      </c>
      <c r="AF57" s="233"/>
      <c r="AG57" s="227"/>
      <c r="AH57" s="227"/>
      <c r="AI57" s="219"/>
      <c r="AJ57" s="217" t="s">
        <v>109</v>
      </c>
      <c r="AK57" s="219"/>
      <c r="AL57" s="219"/>
      <c r="AM57" s="219"/>
      <c r="AN57" s="219"/>
      <c r="AO57" s="219"/>
      <c r="AP57" s="221"/>
      <c r="AQ57" s="219"/>
      <c r="AR57" s="219"/>
      <c r="AS57" s="219"/>
      <c r="AT57" s="219"/>
      <c r="AU57" s="197"/>
      <c r="AV57" s="219"/>
      <c r="AW57" s="219"/>
      <c r="AX57" s="219"/>
      <c r="AY57" s="140"/>
      <c r="AZ57" s="140"/>
      <c r="BA57" s="212"/>
      <c r="BB57" s="219"/>
      <c r="BC57" s="220" t="str">
        <f t="shared" si="9"/>
        <v/>
      </c>
      <c r="BD57" s="212" t="str">
        <f t="shared" si="10"/>
        <v>INDENIZAÇÃO</v>
      </c>
      <c r="BE57" s="212" t="str">
        <f t="shared" si="11"/>
        <v>NÃO</v>
      </c>
      <c r="BF57" s="212"/>
      <c r="BG57" s="212"/>
      <c r="BH57" s="212"/>
      <c r="BI57" s="212"/>
      <c r="BJ57" s="212"/>
      <c r="BK57" s="212"/>
      <c r="BL57" s="212"/>
      <c r="BM57" s="212"/>
    </row>
    <row r="58" spans="1:87" ht="30" hidden="1" customHeight="1" x14ac:dyDescent="0.25">
      <c r="A58" s="212">
        <v>45</v>
      </c>
      <c r="B58" s="212" t="s">
        <v>99</v>
      </c>
      <c r="C58" s="212">
        <v>1</v>
      </c>
      <c r="D58" s="212" t="s">
        <v>100</v>
      </c>
      <c r="E58" s="212" t="s">
        <v>100</v>
      </c>
      <c r="F58" s="217" t="s">
        <v>381</v>
      </c>
      <c r="G58" s="212" t="s">
        <v>1</v>
      </c>
      <c r="H58" s="212" t="s">
        <v>2</v>
      </c>
      <c r="I58" s="212" t="s">
        <v>108</v>
      </c>
      <c r="J58" s="216" t="s">
        <v>382</v>
      </c>
      <c r="K58" s="217" t="s">
        <v>383</v>
      </c>
      <c r="L58" s="217" t="s">
        <v>384</v>
      </c>
      <c r="M58" s="212" t="s">
        <v>114</v>
      </c>
      <c r="N58" s="212" t="s">
        <v>5</v>
      </c>
      <c r="O58" s="225"/>
      <c r="P58" s="197"/>
      <c r="Q58" s="241"/>
      <c r="R58" s="197"/>
      <c r="S58" s="197"/>
      <c r="T58" s="197"/>
      <c r="U58" s="197"/>
      <c r="V58" s="197"/>
      <c r="W58" s="197"/>
      <c r="X58" s="197"/>
      <c r="Y58" s="197"/>
      <c r="Z58" s="197"/>
      <c r="AA58" s="232"/>
      <c r="AB58" s="216" t="s">
        <v>382</v>
      </c>
      <c r="AC58" s="217" t="s">
        <v>384</v>
      </c>
      <c r="AD58" s="217" t="s">
        <v>383</v>
      </c>
      <c r="AE58" s="212" t="s">
        <v>108</v>
      </c>
      <c r="AF58" s="233"/>
      <c r="AG58" s="227"/>
      <c r="AH58" s="227"/>
      <c r="AI58" s="219"/>
      <c r="AJ58" s="217" t="s">
        <v>109</v>
      </c>
      <c r="AK58" s="219"/>
      <c r="AL58" s="219"/>
      <c r="AM58" s="219"/>
      <c r="AN58" s="219"/>
      <c r="AO58" s="219"/>
      <c r="AP58" s="221"/>
      <c r="AQ58" s="219"/>
      <c r="AR58" s="219"/>
      <c r="AS58" s="219"/>
      <c r="AT58" s="219"/>
      <c r="AU58" s="197"/>
      <c r="AV58" s="219"/>
      <c r="AW58" s="219"/>
      <c r="AX58" s="219"/>
      <c r="AY58" s="140"/>
      <c r="AZ58" s="140"/>
      <c r="BA58" s="212"/>
      <c r="BB58" s="219"/>
      <c r="BC58" s="220" t="str">
        <f t="shared" si="9"/>
        <v/>
      </c>
      <c r="BD58" s="212" t="str">
        <f t="shared" si="10"/>
        <v>INDENIZAÇÃO</v>
      </c>
      <c r="BE58" s="212" t="str">
        <f t="shared" si="11"/>
        <v>NÃO</v>
      </c>
      <c r="BF58" s="212"/>
      <c r="BG58" s="212"/>
      <c r="BH58" s="212"/>
      <c r="BI58" s="212"/>
      <c r="BJ58" s="212"/>
      <c r="BK58" s="212"/>
      <c r="BL58" s="212"/>
      <c r="BM58" s="212"/>
    </row>
    <row r="59" spans="1:87" ht="30" hidden="1" customHeight="1" x14ac:dyDescent="0.25">
      <c r="A59" s="212">
        <v>46</v>
      </c>
      <c r="B59" s="212" t="s">
        <v>99</v>
      </c>
      <c r="C59" s="212">
        <v>1</v>
      </c>
      <c r="D59" s="212" t="s">
        <v>100</v>
      </c>
      <c r="E59" s="212" t="s">
        <v>100</v>
      </c>
      <c r="F59" s="217" t="s">
        <v>385</v>
      </c>
      <c r="G59" s="212" t="s">
        <v>1</v>
      </c>
      <c r="H59" s="212" t="s">
        <v>2</v>
      </c>
      <c r="I59" s="212" t="s">
        <v>108</v>
      </c>
      <c r="J59" s="216" t="s">
        <v>386</v>
      </c>
      <c r="K59" s="217" t="s">
        <v>387</v>
      </c>
      <c r="L59" s="217" t="s">
        <v>388</v>
      </c>
      <c r="M59" s="212" t="s">
        <v>114</v>
      </c>
      <c r="N59" s="212" t="s">
        <v>5</v>
      </c>
      <c r="O59" s="225"/>
      <c r="P59" s="197"/>
      <c r="Q59" s="241"/>
      <c r="R59" s="197"/>
      <c r="S59" s="197"/>
      <c r="T59" s="197"/>
      <c r="U59" s="197"/>
      <c r="V59" s="197"/>
      <c r="W59" s="197"/>
      <c r="X59" s="197"/>
      <c r="Y59" s="197"/>
      <c r="Z59" s="197"/>
      <c r="AA59" s="232"/>
      <c r="AB59" s="216" t="s">
        <v>386</v>
      </c>
      <c r="AC59" s="217" t="s">
        <v>388</v>
      </c>
      <c r="AD59" s="217" t="s">
        <v>387</v>
      </c>
      <c r="AE59" s="212" t="s">
        <v>108</v>
      </c>
      <c r="AF59" s="233"/>
      <c r="AG59" s="227"/>
      <c r="AH59" s="227"/>
      <c r="AI59" s="219"/>
      <c r="AJ59" s="217" t="s">
        <v>109</v>
      </c>
      <c r="AK59" s="219"/>
      <c r="AL59" s="219"/>
      <c r="AM59" s="219"/>
      <c r="AN59" s="219"/>
      <c r="AO59" s="219"/>
      <c r="AP59" s="221"/>
      <c r="AQ59" s="219"/>
      <c r="AR59" s="219"/>
      <c r="AS59" s="219"/>
      <c r="AT59" s="219"/>
      <c r="AU59" s="197"/>
      <c r="AV59" s="219"/>
      <c r="AW59" s="219"/>
      <c r="AX59" s="219"/>
      <c r="AY59" s="140"/>
      <c r="AZ59" s="140"/>
      <c r="BA59" s="212"/>
      <c r="BB59" s="219"/>
      <c r="BC59" s="220" t="str">
        <f t="shared" si="9"/>
        <v/>
      </c>
      <c r="BD59" s="212" t="str">
        <f t="shared" si="10"/>
        <v>INDENIZAÇÃO</v>
      </c>
      <c r="BE59" s="212" t="str">
        <f t="shared" si="11"/>
        <v>NÃO</v>
      </c>
      <c r="BF59" s="212"/>
      <c r="BG59" s="212"/>
      <c r="BH59" s="212"/>
      <c r="BI59" s="212"/>
      <c r="BJ59" s="212"/>
      <c r="BK59" s="212"/>
      <c r="BL59" s="212"/>
      <c r="BM59" s="212"/>
    </row>
    <row r="60" spans="1:87" ht="30" hidden="1" customHeight="1" x14ac:dyDescent="0.25">
      <c r="A60" s="212">
        <v>47</v>
      </c>
      <c r="B60" s="212" t="s">
        <v>99</v>
      </c>
      <c r="C60" s="212">
        <v>1</v>
      </c>
      <c r="D60" s="212" t="s">
        <v>100</v>
      </c>
      <c r="E60" s="212" t="s">
        <v>100</v>
      </c>
      <c r="F60" s="217" t="s">
        <v>389</v>
      </c>
      <c r="G60" s="212" t="s">
        <v>1</v>
      </c>
      <c r="H60" s="212" t="s">
        <v>2</v>
      </c>
      <c r="I60" s="212" t="s">
        <v>108</v>
      </c>
      <c r="J60" s="216" t="s">
        <v>390</v>
      </c>
      <c r="K60" s="217" t="s">
        <v>391</v>
      </c>
      <c r="L60" s="217" t="s">
        <v>392</v>
      </c>
      <c r="M60" s="212" t="s">
        <v>114</v>
      </c>
      <c r="N60" s="212" t="s">
        <v>5</v>
      </c>
      <c r="O60" s="225"/>
      <c r="P60" s="197"/>
      <c r="Q60" s="241"/>
      <c r="R60" s="197"/>
      <c r="S60" s="197"/>
      <c r="T60" s="197"/>
      <c r="U60" s="197"/>
      <c r="V60" s="197"/>
      <c r="W60" s="197"/>
      <c r="X60" s="197"/>
      <c r="Y60" s="197"/>
      <c r="Z60" s="197"/>
      <c r="AA60" s="232"/>
      <c r="AB60" s="216" t="s">
        <v>390</v>
      </c>
      <c r="AC60" s="217" t="s">
        <v>392</v>
      </c>
      <c r="AD60" s="217" t="s">
        <v>391</v>
      </c>
      <c r="AE60" s="212" t="s">
        <v>108</v>
      </c>
      <c r="AF60" s="233"/>
      <c r="AG60" s="227"/>
      <c r="AH60" s="227"/>
      <c r="AI60" s="219"/>
      <c r="AJ60" s="217" t="s">
        <v>109</v>
      </c>
      <c r="AK60" s="219"/>
      <c r="AL60" s="219"/>
      <c r="AM60" s="219"/>
      <c r="AN60" s="219"/>
      <c r="AO60" s="219"/>
      <c r="AP60" s="221"/>
      <c r="AQ60" s="219"/>
      <c r="AR60" s="219"/>
      <c r="AS60" s="219"/>
      <c r="AT60" s="219"/>
      <c r="AU60" s="197"/>
      <c r="AV60" s="219"/>
      <c r="AW60" s="219"/>
      <c r="AX60" s="219"/>
      <c r="AY60" s="140"/>
      <c r="AZ60" s="140"/>
      <c r="BA60" s="212"/>
      <c r="BB60" s="219"/>
      <c r="BC60" s="220" t="str">
        <f t="shared" si="9"/>
        <v/>
      </c>
      <c r="BD60" s="212" t="str">
        <f t="shared" si="10"/>
        <v>INDENIZAÇÃO</v>
      </c>
      <c r="BE60" s="212" t="str">
        <f t="shared" si="11"/>
        <v>NÃO</v>
      </c>
      <c r="BF60" s="212"/>
      <c r="BG60" s="212"/>
      <c r="BH60" s="212"/>
      <c r="BI60" s="212"/>
      <c r="BJ60" s="212"/>
      <c r="BK60" s="212"/>
      <c r="BL60" s="212"/>
      <c r="BM60" s="212"/>
    </row>
    <row r="61" spans="1:87" ht="30" hidden="1" customHeight="1" x14ac:dyDescent="0.25">
      <c r="A61" s="212">
        <v>48</v>
      </c>
      <c r="B61" s="212" t="s">
        <v>99</v>
      </c>
      <c r="C61" s="212">
        <v>1</v>
      </c>
      <c r="D61" s="212" t="s">
        <v>100</v>
      </c>
      <c r="E61" s="212" t="s">
        <v>100</v>
      </c>
      <c r="F61" s="217" t="s">
        <v>393</v>
      </c>
      <c r="G61" s="212" t="s">
        <v>1</v>
      </c>
      <c r="H61" s="212" t="s">
        <v>2</v>
      </c>
      <c r="I61" s="212" t="s">
        <v>108</v>
      </c>
      <c r="J61" s="216" t="s">
        <v>394</v>
      </c>
      <c r="K61" s="217" t="s">
        <v>395</v>
      </c>
      <c r="L61" s="217" t="s">
        <v>396</v>
      </c>
      <c r="M61" s="212" t="s">
        <v>114</v>
      </c>
      <c r="N61" s="212" t="s">
        <v>5</v>
      </c>
      <c r="O61" s="225"/>
      <c r="P61" s="197"/>
      <c r="Q61" s="241"/>
      <c r="R61" s="197"/>
      <c r="S61" s="197"/>
      <c r="T61" s="197"/>
      <c r="U61" s="197"/>
      <c r="V61" s="197"/>
      <c r="W61" s="197"/>
      <c r="X61" s="197"/>
      <c r="Y61" s="197"/>
      <c r="Z61" s="197"/>
      <c r="AA61" s="232"/>
      <c r="AB61" s="216" t="s">
        <v>394</v>
      </c>
      <c r="AC61" s="217" t="s">
        <v>395</v>
      </c>
      <c r="AD61" s="217" t="s">
        <v>396</v>
      </c>
      <c r="AE61" s="212" t="s">
        <v>108</v>
      </c>
      <c r="AF61" s="233"/>
      <c r="AG61" s="227"/>
      <c r="AH61" s="227"/>
      <c r="AI61" s="219"/>
      <c r="AJ61" s="217" t="s">
        <v>109</v>
      </c>
      <c r="AK61" s="219"/>
      <c r="AL61" s="219"/>
      <c r="AM61" s="219"/>
      <c r="AN61" s="219"/>
      <c r="AO61" s="219"/>
      <c r="AP61" s="221"/>
      <c r="AQ61" s="219"/>
      <c r="AR61" s="219"/>
      <c r="AS61" s="219"/>
      <c r="AT61" s="219"/>
      <c r="AU61" s="197"/>
      <c r="AV61" s="219"/>
      <c r="AW61" s="219"/>
      <c r="AX61" s="219"/>
      <c r="AY61" s="140"/>
      <c r="AZ61" s="140"/>
      <c r="BA61" s="212"/>
      <c r="BB61" s="219"/>
      <c r="BC61" s="220" t="str">
        <f t="shared" si="9"/>
        <v/>
      </c>
      <c r="BD61" s="212" t="str">
        <f t="shared" si="10"/>
        <v>INDENIZAÇÃO</v>
      </c>
      <c r="BE61" s="212" t="str">
        <f t="shared" si="11"/>
        <v>NÃO</v>
      </c>
      <c r="BF61" s="212"/>
      <c r="BG61" s="212"/>
      <c r="BH61" s="212"/>
      <c r="BI61" s="212"/>
      <c r="BJ61" s="212"/>
      <c r="BK61" s="212"/>
      <c r="BL61" s="212"/>
      <c r="BM61" s="212"/>
    </row>
    <row r="62" spans="1:87" ht="30" hidden="1" customHeight="1" x14ac:dyDescent="0.25">
      <c r="A62" s="212">
        <v>49</v>
      </c>
      <c r="B62" s="212" t="s">
        <v>99</v>
      </c>
      <c r="C62" s="212">
        <v>1</v>
      </c>
      <c r="D62" s="212" t="s">
        <v>100</v>
      </c>
      <c r="E62" s="212" t="s">
        <v>100</v>
      </c>
      <c r="F62" s="217" t="s">
        <v>397</v>
      </c>
      <c r="G62" s="212" t="s">
        <v>1</v>
      </c>
      <c r="H62" s="212" t="s">
        <v>2</v>
      </c>
      <c r="I62" s="212" t="s">
        <v>108</v>
      </c>
      <c r="J62" s="216" t="s">
        <v>398</v>
      </c>
      <c r="K62" s="217" t="s">
        <v>399</v>
      </c>
      <c r="L62" s="217" t="s">
        <v>400</v>
      </c>
      <c r="M62" s="212" t="s">
        <v>114</v>
      </c>
      <c r="N62" s="212" t="s">
        <v>5</v>
      </c>
      <c r="O62" s="225"/>
      <c r="P62" s="197"/>
      <c r="Q62" s="241"/>
      <c r="R62" s="197"/>
      <c r="S62" s="197"/>
      <c r="T62" s="197"/>
      <c r="U62" s="197"/>
      <c r="V62" s="197"/>
      <c r="W62" s="197"/>
      <c r="X62" s="197"/>
      <c r="Y62" s="197"/>
      <c r="Z62" s="197"/>
      <c r="AA62" s="232"/>
      <c r="AB62" s="216" t="s">
        <v>398</v>
      </c>
      <c r="AC62" s="217" t="s">
        <v>400</v>
      </c>
      <c r="AD62" s="217" t="s">
        <v>399</v>
      </c>
      <c r="AE62" s="212" t="s">
        <v>108</v>
      </c>
      <c r="AF62" s="233"/>
      <c r="AG62" s="227"/>
      <c r="AH62" s="227"/>
      <c r="AI62" s="219"/>
      <c r="AJ62" s="217" t="s">
        <v>109</v>
      </c>
      <c r="AK62" s="219"/>
      <c r="AL62" s="219"/>
      <c r="AM62" s="219"/>
      <c r="AN62" s="219"/>
      <c r="AO62" s="219"/>
      <c r="AP62" s="221"/>
      <c r="AQ62" s="219"/>
      <c r="AR62" s="219"/>
      <c r="AS62" s="219"/>
      <c r="AT62" s="219"/>
      <c r="AU62" s="197"/>
      <c r="AV62" s="219"/>
      <c r="AW62" s="219"/>
      <c r="AX62" s="219"/>
      <c r="AY62" s="140"/>
      <c r="AZ62" s="140"/>
      <c r="BA62" s="212"/>
      <c r="BB62" s="219"/>
      <c r="BC62" s="220" t="str">
        <f t="shared" si="9"/>
        <v/>
      </c>
      <c r="BD62" s="212" t="str">
        <f t="shared" si="10"/>
        <v>INDENIZAÇÃO</v>
      </c>
      <c r="BE62" s="212" t="str">
        <f t="shared" si="11"/>
        <v>NÃO</v>
      </c>
      <c r="BF62" s="212"/>
      <c r="BG62" s="212"/>
      <c r="BH62" s="212"/>
      <c r="BI62" s="212"/>
      <c r="BJ62" s="212"/>
      <c r="BK62" s="212"/>
      <c r="BL62" s="212"/>
      <c r="BM62" s="212"/>
    </row>
    <row r="63" spans="1:87" ht="30" hidden="1" customHeight="1" x14ac:dyDescent="0.25">
      <c r="A63" s="212">
        <v>50</v>
      </c>
      <c r="B63" s="212" t="s">
        <v>99</v>
      </c>
      <c r="C63" s="212">
        <v>1</v>
      </c>
      <c r="D63" s="212" t="s">
        <v>100</v>
      </c>
      <c r="E63" s="212" t="s">
        <v>100</v>
      </c>
      <c r="F63" s="217" t="s">
        <v>401</v>
      </c>
      <c r="G63" s="212" t="s">
        <v>1</v>
      </c>
      <c r="H63" s="212" t="s">
        <v>2</v>
      </c>
      <c r="I63" s="212" t="s">
        <v>108</v>
      </c>
      <c r="J63" s="216" t="s">
        <v>402</v>
      </c>
      <c r="K63" s="217" t="s">
        <v>403</v>
      </c>
      <c r="L63" s="217" t="s">
        <v>404</v>
      </c>
      <c r="M63" s="212" t="s">
        <v>114</v>
      </c>
      <c r="N63" s="212" t="s">
        <v>5</v>
      </c>
      <c r="O63" s="225"/>
      <c r="P63" s="197"/>
      <c r="Q63" s="241"/>
      <c r="R63" s="197"/>
      <c r="S63" s="197"/>
      <c r="T63" s="197"/>
      <c r="U63" s="197"/>
      <c r="V63" s="197"/>
      <c r="W63" s="197"/>
      <c r="X63" s="197"/>
      <c r="Y63" s="197"/>
      <c r="Z63" s="197"/>
      <c r="AA63" s="232"/>
      <c r="AB63" s="216" t="s">
        <v>402</v>
      </c>
      <c r="AC63" s="217" t="s">
        <v>404</v>
      </c>
      <c r="AD63" s="217" t="s">
        <v>403</v>
      </c>
      <c r="AE63" s="212" t="s">
        <v>108</v>
      </c>
      <c r="AF63" s="233"/>
      <c r="AG63" s="227"/>
      <c r="AH63" s="227"/>
      <c r="AI63" s="219"/>
      <c r="AJ63" s="217" t="s">
        <v>109</v>
      </c>
      <c r="AK63" s="219"/>
      <c r="AL63" s="219"/>
      <c r="AM63" s="219"/>
      <c r="AN63" s="219"/>
      <c r="AO63" s="219"/>
      <c r="AP63" s="221"/>
      <c r="AQ63" s="219"/>
      <c r="AR63" s="219"/>
      <c r="AS63" s="219"/>
      <c r="AT63" s="219"/>
      <c r="AU63" s="197"/>
      <c r="AV63" s="219"/>
      <c r="AW63" s="219"/>
      <c r="AX63" s="219"/>
      <c r="AY63" s="140"/>
      <c r="AZ63" s="140"/>
      <c r="BA63" s="212"/>
      <c r="BB63" s="219"/>
      <c r="BC63" s="220" t="str">
        <f t="shared" si="9"/>
        <v/>
      </c>
      <c r="BD63" s="212" t="str">
        <f t="shared" si="10"/>
        <v>INDENIZAÇÃO</v>
      </c>
      <c r="BE63" s="212" t="str">
        <f t="shared" si="11"/>
        <v>NÃO</v>
      </c>
      <c r="BF63" s="212"/>
      <c r="BG63" s="212"/>
      <c r="BH63" s="212"/>
      <c r="BI63" s="212"/>
      <c r="BJ63" s="212"/>
      <c r="BK63" s="212"/>
      <c r="BL63" s="212"/>
      <c r="BM63" s="212"/>
    </row>
    <row r="64" spans="1:87" ht="30" hidden="1" customHeight="1" x14ac:dyDescent="0.25">
      <c r="A64" s="212">
        <v>51</v>
      </c>
      <c r="B64" s="212" t="s">
        <v>99</v>
      </c>
      <c r="C64" s="212">
        <v>1</v>
      </c>
      <c r="D64" s="212" t="s">
        <v>100</v>
      </c>
      <c r="E64" s="212" t="s">
        <v>100</v>
      </c>
      <c r="F64" s="217" t="s">
        <v>405</v>
      </c>
      <c r="G64" s="212" t="s">
        <v>1</v>
      </c>
      <c r="H64" s="212" t="s">
        <v>2</v>
      </c>
      <c r="I64" s="212" t="s">
        <v>108</v>
      </c>
      <c r="J64" s="216" t="s">
        <v>406</v>
      </c>
      <c r="K64" s="217" t="s">
        <v>103</v>
      </c>
      <c r="L64" s="217" t="s">
        <v>103</v>
      </c>
      <c r="M64" s="212" t="s">
        <v>114</v>
      </c>
      <c r="N64" s="212" t="s">
        <v>103</v>
      </c>
      <c r="O64" s="225"/>
      <c r="P64" s="197"/>
      <c r="Q64" s="241"/>
      <c r="R64" s="197"/>
      <c r="S64" s="197"/>
      <c r="T64" s="197"/>
      <c r="U64" s="197"/>
      <c r="V64" s="197"/>
      <c r="W64" s="197"/>
      <c r="X64" s="197"/>
      <c r="Y64" s="197"/>
      <c r="Z64" s="197"/>
      <c r="AA64" s="232"/>
      <c r="AB64" s="216" t="s">
        <v>406</v>
      </c>
      <c r="AC64" s="217" t="s">
        <v>103</v>
      </c>
      <c r="AD64" s="217" t="s">
        <v>103</v>
      </c>
      <c r="AE64" s="212" t="s">
        <v>108</v>
      </c>
      <c r="AF64" s="233"/>
      <c r="AG64" s="227"/>
      <c r="AH64" s="227"/>
      <c r="AI64" s="219"/>
      <c r="AJ64" s="219"/>
      <c r="AK64" s="219"/>
      <c r="AL64" s="219"/>
      <c r="AM64" s="219"/>
      <c r="AN64" s="219"/>
      <c r="AO64" s="219"/>
      <c r="AP64" s="221"/>
      <c r="AQ64" s="219"/>
      <c r="AR64" s="219"/>
      <c r="AS64" s="219"/>
      <c r="AT64" s="219"/>
      <c r="AU64" s="197"/>
      <c r="AV64" s="219"/>
      <c r="AW64" s="219"/>
      <c r="AX64" s="219"/>
      <c r="AY64" s="140"/>
      <c r="AZ64" s="140"/>
      <c r="BA64" s="212"/>
      <c r="BB64" s="219"/>
      <c r="BC64" s="220" t="str">
        <f t="shared" si="9"/>
        <v/>
      </c>
      <c r="BD64" s="212" t="str">
        <f t="shared" si="10"/>
        <v>INDENIZAÇÃO</v>
      </c>
      <c r="BE64" s="212" t="str">
        <f t="shared" si="11"/>
        <v>NÃO</v>
      </c>
      <c r="BF64" s="212"/>
      <c r="BG64" s="212"/>
      <c r="BH64" s="212"/>
      <c r="BI64" s="212"/>
      <c r="BJ64" s="212"/>
      <c r="BK64" s="212"/>
      <c r="BL64" s="212"/>
      <c r="BM64" s="212"/>
    </row>
    <row r="65" spans="1:65" ht="30" hidden="1" customHeight="1" x14ac:dyDescent="0.25">
      <c r="A65" s="212">
        <v>52</v>
      </c>
      <c r="B65" s="212" t="s">
        <v>99</v>
      </c>
      <c r="C65" s="212">
        <v>1</v>
      </c>
      <c r="D65" s="212" t="s">
        <v>100</v>
      </c>
      <c r="E65" s="212" t="s">
        <v>100</v>
      </c>
      <c r="F65" s="217" t="s">
        <v>407</v>
      </c>
      <c r="G65" s="212" t="s">
        <v>1</v>
      </c>
      <c r="H65" s="212" t="s">
        <v>2</v>
      </c>
      <c r="I65" s="212" t="s">
        <v>108</v>
      </c>
      <c r="J65" s="216" t="s">
        <v>408</v>
      </c>
      <c r="K65" s="217" t="s">
        <v>409</v>
      </c>
      <c r="L65" s="217" t="s">
        <v>410</v>
      </c>
      <c r="M65" s="212" t="s">
        <v>114</v>
      </c>
      <c r="N65" s="212" t="s">
        <v>5</v>
      </c>
      <c r="O65" s="225"/>
      <c r="P65" s="197"/>
      <c r="Q65" s="241"/>
      <c r="R65" s="197"/>
      <c r="S65" s="197"/>
      <c r="T65" s="197"/>
      <c r="U65" s="197"/>
      <c r="V65" s="197"/>
      <c r="W65" s="197"/>
      <c r="X65" s="197"/>
      <c r="Y65" s="197"/>
      <c r="Z65" s="197"/>
      <c r="AA65" s="232"/>
      <c r="AB65" s="216" t="s">
        <v>408</v>
      </c>
      <c r="AC65" s="217" t="s">
        <v>409</v>
      </c>
      <c r="AD65" s="217" t="s">
        <v>410</v>
      </c>
      <c r="AE65" s="212" t="s">
        <v>108</v>
      </c>
      <c r="AF65" s="233"/>
      <c r="AG65" s="227"/>
      <c r="AH65" s="227"/>
      <c r="AI65" s="219"/>
      <c r="AJ65" s="217" t="s">
        <v>109</v>
      </c>
      <c r="AK65" s="219"/>
      <c r="AL65" s="219"/>
      <c r="AM65" s="219"/>
      <c r="AN65" s="219"/>
      <c r="AO65" s="219"/>
      <c r="AP65" s="221"/>
      <c r="AQ65" s="219"/>
      <c r="AR65" s="219"/>
      <c r="AS65" s="219"/>
      <c r="AT65" s="219"/>
      <c r="AU65" s="197"/>
      <c r="AV65" s="219"/>
      <c r="AW65" s="219"/>
      <c r="AX65" s="219"/>
      <c r="AY65" s="140"/>
      <c r="AZ65" s="140"/>
      <c r="BA65" s="212"/>
      <c r="BB65" s="219"/>
      <c r="BC65" s="220" t="str">
        <f t="shared" si="9"/>
        <v/>
      </c>
      <c r="BD65" s="212" t="str">
        <f t="shared" si="10"/>
        <v>INDENIZAÇÃO</v>
      </c>
      <c r="BE65" s="212" t="str">
        <f t="shared" si="11"/>
        <v>NÃO</v>
      </c>
      <c r="BF65" s="212"/>
      <c r="BG65" s="212"/>
      <c r="BH65" s="212"/>
      <c r="BI65" s="212"/>
      <c r="BJ65" s="212"/>
      <c r="BK65" s="212"/>
      <c r="BL65" s="212"/>
      <c r="BM65" s="212"/>
    </row>
    <row r="66" spans="1:65" ht="30" hidden="1" customHeight="1" x14ac:dyDescent="0.25">
      <c r="A66" s="212">
        <v>53</v>
      </c>
      <c r="B66" s="212" t="s">
        <v>99</v>
      </c>
      <c r="C66" s="212">
        <v>1</v>
      </c>
      <c r="D66" s="212" t="s">
        <v>100</v>
      </c>
      <c r="E66" s="212" t="s">
        <v>100</v>
      </c>
      <c r="F66" s="217" t="s">
        <v>411</v>
      </c>
      <c r="G66" s="212" t="s">
        <v>1</v>
      </c>
      <c r="H66" s="212" t="s">
        <v>2</v>
      </c>
      <c r="I66" s="212" t="s">
        <v>108</v>
      </c>
      <c r="J66" s="216" t="s">
        <v>412</v>
      </c>
      <c r="K66" s="217" t="s">
        <v>413</v>
      </c>
      <c r="L66" s="217" t="s">
        <v>414</v>
      </c>
      <c r="M66" s="212" t="s">
        <v>114</v>
      </c>
      <c r="N66" s="212" t="s">
        <v>5</v>
      </c>
      <c r="O66" s="225"/>
      <c r="P66" s="197"/>
      <c r="Q66" s="241"/>
      <c r="R66" s="197"/>
      <c r="S66" s="197"/>
      <c r="T66" s="197"/>
      <c r="U66" s="197"/>
      <c r="V66" s="197"/>
      <c r="W66" s="197"/>
      <c r="X66" s="197"/>
      <c r="Y66" s="197"/>
      <c r="Z66" s="197"/>
      <c r="AA66" s="232"/>
      <c r="AB66" s="216" t="s">
        <v>412</v>
      </c>
      <c r="AC66" s="217" t="s">
        <v>414</v>
      </c>
      <c r="AD66" s="217" t="s">
        <v>413</v>
      </c>
      <c r="AE66" s="212" t="s">
        <v>108</v>
      </c>
      <c r="AF66" s="233"/>
      <c r="AG66" s="227"/>
      <c r="AH66" s="227"/>
      <c r="AI66" s="219"/>
      <c r="AJ66" s="217" t="s">
        <v>109</v>
      </c>
      <c r="AK66" s="219"/>
      <c r="AL66" s="219"/>
      <c r="AM66" s="219"/>
      <c r="AN66" s="219"/>
      <c r="AO66" s="219"/>
      <c r="AP66" s="221"/>
      <c r="AQ66" s="219"/>
      <c r="AR66" s="219"/>
      <c r="AS66" s="219"/>
      <c r="AT66" s="219"/>
      <c r="AU66" s="197"/>
      <c r="AV66" s="219"/>
      <c r="AW66" s="219"/>
      <c r="AX66" s="219"/>
      <c r="AY66" s="140"/>
      <c r="AZ66" s="140"/>
      <c r="BA66" s="212"/>
      <c r="BB66" s="219"/>
      <c r="BC66" s="220" t="str">
        <f t="shared" si="9"/>
        <v/>
      </c>
      <c r="BD66" s="212" t="str">
        <f t="shared" si="10"/>
        <v>INDENIZAÇÃO</v>
      </c>
      <c r="BE66" s="212" t="str">
        <f t="shared" si="11"/>
        <v>NÃO</v>
      </c>
      <c r="BF66" s="212"/>
      <c r="BG66" s="212"/>
      <c r="BH66" s="212"/>
      <c r="BI66" s="212"/>
      <c r="BJ66" s="212"/>
      <c r="BK66" s="212"/>
      <c r="BL66" s="212"/>
      <c r="BM66" s="212"/>
    </row>
    <row r="67" spans="1:65" ht="30" hidden="1" customHeight="1" x14ac:dyDescent="0.25">
      <c r="A67" s="212">
        <v>54</v>
      </c>
      <c r="B67" s="212" t="s">
        <v>99</v>
      </c>
      <c r="C67" s="212">
        <v>1</v>
      </c>
      <c r="D67" s="212" t="s">
        <v>100</v>
      </c>
      <c r="E67" s="212" t="s">
        <v>100</v>
      </c>
      <c r="F67" s="217" t="s">
        <v>415</v>
      </c>
      <c r="G67" s="212" t="s">
        <v>1</v>
      </c>
      <c r="H67" s="212" t="s">
        <v>2</v>
      </c>
      <c r="I67" s="212" t="s">
        <v>108</v>
      </c>
      <c r="J67" s="216" t="s">
        <v>416</v>
      </c>
      <c r="K67" s="217" t="s">
        <v>417</v>
      </c>
      <c r="L67" s="217" t="s">
        <v>418</v>
      </c>
      <c r="M67" s="212" t="s">
        <v>114</v>
      </c>
      <c r="N67" s="212" t="s">
        <v>115</v>
      </c>
      <c r="O67" s="225"/>
      <c r="P67" s="197"/>
      <c r="Q67" s="241"/>
      <c r="R67" s="197"/>
      <c r="S67" s="197"/>
      <c r="T67" s="197"/>
      <c r="U67" s="197"/>
      <c r="V67" s="197"/>
      <c r="W67" s="197"/>
      <c r="X67" s="197"/>
      <c r="Y67" s="197"/>
      <c r="Z67" s="197"/>
      <c r="AA67" s="232"/>
      <c r="AB67" s="216" t="s">
        <v>416</v>
      </c>
      <c r="AC67" s="217" t="s">
        <v>418</v>
      </c>
      <c r="AD67" s="217" t="s">
        <v>417</v>
      </c>
      <c r="AE67" s="212" t="s">
        <v>108</v>
      </c>
      <c r="AF67" s="233"/>
      <c r="AG67" s="227"/>
      <c r="AH67" s="227"/>
      <c r="AI67" s="219"/>
      <c r="AJ67" s="219"/>
      <c r="AK67" s="219"/>
      <c r="AL67" s="219"/>
      <c r="AM67" s="219"/>
      <c r="AN67" s="219"/>
      <c r="AO67" s="219"/>
      <c r="AP67" s="221"/>
      <c r="AQ67" s="219"/>
      <c r="AR67" s="219"/>
      <c r="AS67" s="219"/>
      <c r="AT67" s="219"/>
      <c r="AU67" s="197"/>
      <c r="AV67" s="219"/>
      <c r="AW67" s="219"/>
      <c r="AX67" s="219"/>
      <c r="AY67" s="140"/>
      <c r="AZ67" s="140"/>
      <c r="BA67" s="212"/>
      <c r="BB67" s="219"/>
      <c r="BC67" s="220" t="str">
        <f t="shared" si="9"/>
        <v/>
      </c>
      <c r="BD67" s="212" t="str">
        <f t="shared" si="10"/>
        <v>INDENIZAÇÃO</v>
      </c>
      <c r="BE67" s="212" t="str">
        <f t="shared" si="11"/>
        <v>NÃO</v>
      </c>
      <c r="BF67" s="212"/>
      <c r="BG67" s="212"/>
      <c r="BH67" s="212"/>
      <c r="BI67" s="212"/>
      <c r="BJ67" s="212"/>
      <c r="BK67" s="212"/>
      <c r="BL67" s="212"/>
      <c r="BM67" s="212"/>
    </row>
    <row r="68" spans="1:65" ht="30" customHeight="1" x14ac:dyDescent="0.25">
      <c r="A68" s="217"/>
      <c r="B68" s="217"/>
      <c r="C68" s="219"/>
      <c r="D68" s="219"/>
      <c r="E68" s="219"/>
      <c r="F68" s="217"/>
      <c r="G68" s="219"/>
      <c r="H68" s="219"/>
      <c r="I68" s="219"/>
      <c r="J68" s="221"/>
      <c r="K68" s="221"/>
      <c r="L68" s="221"/>
      <c r="M68" s="219"/>
      <c r="N68" s="219"/>
      <c r="O68" s="225"/>
      <c r="P68" s="197"/>
      <c r="Q68" s="241"/>
      <c r="R68" s="197"/>
      <c r="S68" s="197"/>
      <c r="T68" s="197"/>
      <c r="U68" s="197"/>
      <c r="V68" s="197"/>
      <c r="W68" s="197"/>
      <c r="X68" s="197"/>
      <c r="Y68" s="197"/>
      <c r="Z68" s="197"/>
      <c r="AA68" s="219"/>
      <c r="AB68" s="234"/>
      <c r="AC68" s="234"/>
      <c r="AD68" s="234"/>
      <c r="AE68" s="235"/>
      <c r="AF68" s="219"/>
      <c r="AG68" s="227"/>
      <c r="AH68" s="227"/>
      <c r="AI68" s="219"/>
      <c r="AJ68" s="219"/>
      <c r="AK68" s="219"/>
      <c r="AL68" s="219"/>
      <c r="AM68" s="219"/>
      <c r="AN68" s="219"/>
      <c r="AO68" s="219"/>
      <c r="AP68" s="221"/>
      <c r="AQ68" s="219"/>
      <c r="AR68" s="219"/>
      <c r="AS68" s="219"/>
      <c r="AT68" s="219"/>
      <c r="AU68" s="197"/>
      <c r="AV68" s="219"/>
      <c r="AW68" s="219"/>
      <c r="AX68" s="219"/>
      <c r="AY68" s="140"/>
      <c r="AZ68" s="219"/>
      <c r="BA68" s="219"/>
      <c r="BB68" s="219"/>
      <c r="BC68" s="219"/>
      <c r="BD68" s="219"/>
      <c r="BE68" s="219"/>
      <c r="BF68" s="219"/>
      <c r="BG68" s="225"/>
      <c r="BH68" s="225"/>
      <c r="BI68" s="219"/>
      <c r="BJ68" s="219"/>
      <c r="BK68" s="219"/>
      <c r="BL68" s="219"/>
      <c r="BM68" s="219"/>
    </row>
    <row r="69" spans="1:65" ht="30" customHeight="1" x14ac:dyDescent="0.25">
      <c r="A69" s="217"/>
      <c r="B69" s="217"/>
      <c r="C69" s="219"/>
      <c r="D69" s="219"/>
      <c r="E69" s="219"/>
      <c r="F69" s="228"/>
      <c r="G69" s="219"/>
      <c r="H69" s="219"/>
      <c r="I69" s="219"/>
      <c r="J69" s="221"/>
      <c r="K69" s="221"/>
      <c r="L69" s="221"/>
      <c r="M69" s="219"/>
      <c r="N69" s="219"/>
      <c r="O69" s="225"/>
      <c r="P69" s="197"/>
      <c r="Q69" s="241"/>
      <c r="R69" s="197"/>
      <c r="S69" s="197"/>
      <c r="T69" s="197"/>
      <c r="U69" s="197"/>
      <c r="V69" s="197"/>
      <c r="W69" s="197"/>
      <c r="X69" s="197"/>
      <c r="Y69" s="197"/>
      <c r="Z69" s="197"/>
      <c r="AA69" s="219"/>
      <c r="AB69" s="221"/>
      <c r="AC69" s="221"/>
      <c r="AD69" s="221"/>
      <c r="AE69" s="219"/>
      <c r="AF69" s="219"/>
      <c r="AG69" s="227"/>
      <c r="AH69" s="227"/>
      <c r="AI69" s="219"/>
      <c r="AJ69" s="219"/>
      <c r="AK69" s="219"/>
      <c r="AL69" s="219"/>
      <c r="AM69" s="219"/>
      <c r="AN69" s="219"/>
      <c r="AO69" s="219"/>
      <c r="AP69" s="221"/>
      <c r="AQ69" s="219"/>
      <c r="AR69" s="219"/>
      <c r="AS69" s="219"/>
      <c r="AT69" s="219"/>
      <c r="AU69" s="197"/>
      <c r="AV69" s="219"/>
      <c r="AW69" s="219"/>
      <c r="AX69" s="219"/>
      <c r="AY69" s="197"/>
      <c r="AZ69" s="219"/>
      <c r="BA69" s="219"/>
      <c r="BB69" s="219"/>
      <c r="BC69" s="219"/>
      <c r="BD69" s="219"/>
      <c r="BE69" s="219"/>
      <c r="BF69" s="219"/>
      <c r="BG69" s="225"/>
      <c r="BH69" s="225"/>
      <c r="BI69" s="219"/>
      <c r="BJ69" s="219"/>
      <c r="BK69" s="219"/>
      <c r="BL69" s="219"/>
      <c r="BM69" s="219"/>
    </row>
    <row r="70" spans="1:65" ht="30" customHeight="1" x14ac:dyDescent="0.25">
      <c r="A70" s="217"/>
      <c r="B70" s="217"/>
      <c r="C70" s="219"/>
      <c r="D70" s="219"/>
      <c r="E70" s="219"/>
      <c r="F70" s="228"/>
      <c r="G70" s="219"/>
      <c r="H70" s="219"/>
      <c r="I70" s="219"/>
      <c r="J70" s="221"/>
      <c r="K70" s="221"/>
      <c r="L70" s="221"/>
      <c r="M70" s="219"/>
      <c r="N70" s="219"/>
      <c r="O70" s="225"/>
      <c r="P70" s="197"/>
      <c r="Q70" s="241"/>
      <c r="R70" s="197"/>
      <c r="S70" s="197"/>
      <c r="T70" s="197"/>
      <c r="U70" s="197"/>
      <c r="V70" s="197"/>
      <c r="W70" s="197"/>
      <c r="X70" s="197"/>
      <c r="Y70" s="197"/>
      <c r="Z70" s="197"/>
      <c r="AA70" s="219"/>
      <c r="AB70" s="221"/>
      <c r="AC70" s="221"/>
      <c r="AD70" s="221"/>
      <c r="AE70" s="219"/>
      <c r="AF70" s="219"/>
      <c r="AG70" s="227"/>
      <c r="AH70" s="227"/>
      <c r="AI70" s="219"/>
      <c r="AJ70" s="219"/>
      <c r="AK70" s="219"/>
      <c r="AL70" s="219"/>
      <c r="AM70" s="219"/>
      <c r="AN70" s="219"/>
      <c r="AO70" s="219"/>
      <c r="AP70" s="221"/>
      <c r="AQ70" s="219"/>
      <c r="AR70" s="219"/>
      <c r="AS70" s="219"/>
      <c r="AT70" s="219"/>
      <c r="AU70" s="197"/>
      <c r="AV70" s="219"/>
      <c r="AW70" s="219"/>
      <c r="AX70" s="219"/>
      <c r="AY70" s="197"/>
      <c r="AZ70" s="219"/>
      <c r="BA70" s="219"/>
      <c r="BB70" s="219"/>
      <c r="BC70" s="219"/>
      <c r="BD70" s="219"/>
      <c r="BE70" s="219"/>
      <c r="BF70" s="219"/>
      <c r="BG70" s="225"/>
      <c r="BH70" s="225"/>
      <c r="BI70" s="219"/>
      <c r="BJ70" s="219"/>
      <c r="BK70" s="219"/>
      <c r="BL70" s="219"/>
      <c r="BM70" s="219"/>
    </row>
    <row r="71" spans="1:65" ht="30" customHeight="1" x14ac:dyDescent="0.25">
      <c r="A71" s="217"/>
      <c r="B71" s="217"/>
      <c r="C71" s="219"/>
      <c r="D71" s="219"/>
      <c r="E71" s="219"/>
      <c r="F71" s="228"/>
      <c r="G71" s="219"/>
      <c r="H71" s="219"/>
      <c r="I71" s="219"/>
      <c r="J71" s="221"/>
      <c r="K71" s="221"/>
      <c r="L71" s="221"/>
      <c r="M71" s="219"/>
      <c r="N71" s="219"/>
      <c r="O71" s="225"/>
      <c r="P71" s="197"/>
      <c r="Q71" s="241"/>
      <c r="R71" s="197"/>
      <c r="S71" s="197"/>
      <c r="T71" s="197"/>
      <c r="U71" s="197"/>
      <c r="V71" s="197"/>
      <c r="W71" s="197"/>
      <c r="X71" s="197"/>
      <c r="Y71" s="197"/>
      <c r="Z71" s="197"/>
      <c r="AA71" s="219"/>
      <c r="AB71" s="221"/>
      <c r="AC71" s="221"/>
      <c r="AD71" s="221"/>
      <c r="AE71" s="219"/>
      <c r="AF71" s="219"/>
      <c r="AG71" s="227"/>
      <c r="AH71" s="227"/>
      <c r="AI71" s="219"/>
      <c r="AJ71" s="219"/>
      <c r="AK71" s="219"/>
      <c r="AL71" s="219"/>
      <c r="AM71" s="219"/>
      <c r="AN71" s="219"/>
      <c r="AO71" s="219"/>
      <c r="AP71" s="221"/>
      <c r="AQ71" s="219"/>
      <c r="AR71" s="219"/>
      <c r="AS71" s="219"/>
      <c r="AT71" s="219"/>
      <c r="AU71" s="197"/>
      <c r="AV71" s="219"/>
      <c r="AW71" s="219"/>
      <c r="AX71" s="219"/>
      <c r="AY71" s="197"/>
      <c r="AZ71" s="219"/>
      <c r="BA71" s="219"/>
      <c r="BB71" s="219"/>
      <c r="BC71" s="219"/>
      <c r="BD71" s="219"/>
      <c r="BE71" s="219"/>
      <c r="BF71" s="219"/>
      <c r="BG71" s="225"/>
      <c r="BH71" s="225"/>
      <c r="BI71" s="219"/>
      <c r="BJ71" s="219"/>
      <c r="BK71" s="219"/>
      <c r="BL71" s="219"/>
      <c r="BM71" s="219"/>
    </row>
    <row r="72" spans="1:65" ht="30" customHeight="1" x14ac:dyDescent="0.25">
      <c r="A72" s="217"/>
      <c r="B72" s="217"/>
      <c r="C72" s="219"/>
      <c r="D72" s="219"/>
      <c r="E72" s="219"/>
      <c r="F72" s="228"/>
      <c r="G72" s="219"/>
      <c r="H72" s="219"/>
      <c r="I72" s="219"/>
      <c r="J72" s="221"/>
      <c r="K72" s="221"/>
      <c r="L72" s="221"/>
      <c r="M72" s="219"/>
      <c r="N72" s="219"/>
      <c r="O72" s="225"/>
      <c r="P72" s="197"/>
      <c r="Q72" s="241"/>
      <c r="R72" s="197"/>
      <c r="S72" s="197"/>
      <c r="T72" s="197"/>
      <c r="U72" s="197"/>
      <c r="V72" s="197"/>
      <c r="W72" s="197"/>
      <c r="X72" s="197"/>
      <c r="Y72" s="197"/>
      <c r="Z72" s="197"/>
      <c r="AA72" s="219"/>
      <c r="AB72" s="221"/>
      <c r="AC72" s="221"/>
      <c r="AD72" s="221"/>
      <c r="AE72" s="219"/>
      <c r="AF72" s="219"/>
      <c r="AG72" s="227"/>
      <c r="AH72" s="227"/>
      <c r="AI72" s="219"/>
      <c r="AJ72" s="219"/>
      <c r="AK72" s="219"/>
      <c r="AL72" s="219"/>
      <c r="AM72" s="219"/>
      <c r="AN72" s="219"/>
      <c r="AO72" s="219"/>
      <c r="AP72" s="221"/>
      <c r="AQ72" s="219"/>
      <c r="AR72" s="219"/>
      <c r="AS72" s="219"/>
      <c r="AT72" s="219"/>
      <c r="AU72" s="197"/>
      <c r="AV72" s="219"/>
      <c r="AW72" s="219"/>
      <c r="AX72" s="219"/>
      <c r="AY72" s="197"/>
      <c r="AZ72" s="219"/>
      <c r="BA72" s="219"/>
      <c r="BB72" s="219"/>
      <c r="BC72" s="219"/>
      <c r="BD72" s="219"/>
      <c r="BE72" s="219"/>
      <c r="BF72" s="219"/>
      <c r="BG72" s="225"/>
      <c r="BH72" s="225"/>
      <c r="BI72" s="219"/>
      <c r="BJ72" s="219"/>
      <c r="BK72" s="219"/>
      <c r="BL72" s="219"/>
      <c r="BM72" s="219"/>
    </row>
    <row r="73" spans="1:65" ht="30" customHeight="1" x14ac:dyDescent="0.25">
      <c r="A73" s="217"/>
      <c r="B73" s="217"/>
      <c r="C73" s="219"/>
      <c r="D73" s="219"/>
      <c r="E73" s="219"/>
      <c r="F73" s="228"/>
      <c r="G73" s="219"/>
      <c r="H73" s="219"/>
      <c r="I73" s="219"/>
      <c r="J73" s="221"/>
      <c r="K73" s="221"/>
      <c r="L73" s="221"/>
      <c r="M73" s="219"/>
      <c r="N73" s="219"/>
      <c r="O73" s="225"/>
      <c r="P73" s="197"/>
      <c r="Q73" s="241"/>
      <c r="R73" s="197"/>
      <c r="S73" s="197"/>
      <c r="T73" s="197"/>
      <c r="U73" s="197"/>
      <c r="V73" s="197"/>
      <c r="W73" s="197"/>
      <c r="X73" s="197"/>
      <c r="Y73" s="197"/>
      <c r="Z73" s="197"/>
      <c r="AA73" s="219"/>
      <c r="AB73" s="221"/>
      <c r="AC73" s="221"/>
      <c r="AD73" s="221"/>
      <c r="AE73" s="219"/>
      <c r="AF73" s="219"/>
      <c r="AG73" s="227"/>
      <c r="AH73" s="227"/>
      <c r="AI73" s="219"/>
      <c r="AJ73" s="219"/>
      <c r="AK73" s="219"/>
      <c r="AL73" s="219"/>
      <c r="AM73" s="219"/>
      <c r="AN73" s="219"/>
      <c r="AO73" s="219"/>
      <c r="AP73" s="221"/>
      <c r="AQ73" s="219"/>
      <c r="AR73" s="219"/>
      <c r="AS73" s="219"/>
      <c r="AT73" s="219"/>
      <c r="AU73" s="197"/>
      <c r="AV73" s="219"/>
      <c r="AW73" s="219"/>
      <c r="AX73" s="219"/>
      <c r="AY73" s="197"/>
      <c r="AZ73" s="219"/>
      <c r="BA73" s="219"/>
      <c r="BB73" s="219"/>
      <c r="BC73" s="219"/>
      <c r="BD73" s="219"/>
      <c r="BE73" s="219"/>
      <c r="BF73" s="219"/>
      <c r="BG73" s="225"/>
      <c r="BH73" s="225"/>
      <c r="BI73" s="219"/>
      <c r="BJ73" s="219"/>
      <c r="BK73" s="219"/>
      <c r="BL73" s="219"/>
      <c r="BM73" s="219"/>
    </row>
    <row r="74" spans="1:65" ht="30" customHeight="1" x14ac:dyDescent="0.25">
      <c r="A74" s="217"/>
      <c r="B74" s="217"/>
      <c r="C74" s="219"/>
      <c r="D74" s="219"/>
      <c r="E74" s="219"/>
      <c r="F74" s="228"/>
      <c r="G74" s="219"/>
      <c r="H74" s="219"/>
      <c r="I74" s="219"/>
      <c r="J74" s="221"/>
      <c r="K74" s="221"/>
      <c r="L74" s="221"/>
      <c r="M74" s="219"/>
      <c r="N74" s="219"/>
      <c r="O74" s="225"/>
      <c r="P74" s="197"/>
      <c r="Q74" s="241"/>
      <c r="R74" s="197"/>
      <c r="S74" s="197"/>
      <c r="T74" s="197"/>
      <c r="U74" s="197"/>
      <c r="V74" s="197"/>
      <c r="W74" s="197"/>
      <c r="X74" s="197"/>
      <c r="Y74" s="197"/>
      <c r="Z74" s="197"/>
      <c r="AA74" s="219"/>
      <c r="AB74" s="221"/>
      <c r="AC74" s="221"/>
      <c r="AD74" s="221"/>
      <c r="AE74" s="219"/>
      <c r="AF74" s="219"/>
      <c r="AG74" s="227"/>
      <c r="AH74" s="227"/>
      <c r="AI74" s="219"/>
      <c r="AJ74" s="219"/>
      <c r="AK74" s="219"/>
      <c r="AL74" s="219"/>
      <c r="AM74" s="219"/>
      <c r="AN74" s="219"/>
      <c r="AO74" s="219"/>
      <c r="AP74" s="221"/>
      <c r="AQ74" s="219"/>
      <c r="AR74" s="219"/>
      <c r="AS74" s="219"/>
      <c r="AT74" s="219"/>
      <c r="AU74" s="197"/>
      <c r="AV74" s="219"/>
      <c r="AW74" s="219"/>
      <c r="AX74" s="219"/>
      <c r="AY74" s="197"/>
      <c r="AZ74" s="219"/>
      <c r="BA74" s="219"/>
      <c r="BB74" s="219"/>
      <c r="BC74" s="219"/>
      <c r="BD74" s="219"/>
      <c r="BE74" s="219"/>
      <c r="BF74" s="219"/>
      <c r="BG74" s="225"/>
      <c r="BH74" s="225"/>
      <c r="BI74" s="219"/>
      <c r="BJ74" s="219"/>
      <c r="BK74" s="219"/>
      <c r="BL74" s="219"/>
      <c r="BM74" s="219"/>
    </row>
    <row r="75" spans="1:65" ht="30" customHeight="1" x14ac:dyDescent="0.25">
      <c r="A75" s="217"/>
      <c r="B75" s="217"/>
      <c r="C75" s="219"/>
      <c r="D75" s="219"/>
      <c r="E75" s="219"/>
      <c r="F75" s="228"/>
      <c r="G75" s="219"/>
      <c r="H75" s="219"/>
      <c r="I75" s="219"/>
      <c r="J75" s="221"/>
      <c r="K75" s="221"/>
      <c r="L75" s="221"/>
      <c r="M75" s="219"/>
      <c r="N75" s="219"/>
      <c r="O75" s="225"/>
      <c r="P75" s="197"/>
      <c r="Q75" s="241"/>
      <c r="R75" s="197"/>
      <c r="S75" s="197"/>
      <c r="T75" s="197"/>
      <c r="U75" s="197"/>
      <c r="V75" s="197"/>
      <c r="W75" s="197"/>
      <c r="X75" s="197"/>
      <c r="Y75" s="197"/>
      <c r="Z75" s="197"/>
      <c r="AA75" s="219"/>
      <c r="AB75" s="221"/>
      <c r="AC75" s="221"/>
      <c r="AD75" s="221"/>
      <c r="AE75" s="219"/>
      <c r="AF75" s="219"/>
      <c r="AG75" s="227"/>
      <c r="AH75" s="227"/>
      <c r="AI75" s="219"/>
      <c r="AJ75" s="219"/>
      <c r="AK75" s="219"/>
      <c r="AL75" s="219"/>
      <c r="AM75" s="219"/>
      <c r="AN75" s="219"/>
      <c r="AO75" s="219"/>
      <c r="AP75" s="221"/>
      <c r="AQ75" s="219"/>
      <c r="AR75" s="219"/>
      <c r="AS75" s="219"/>
      <c r="AT75" s="219"/>
      <c r="AU75" s="197"/>
      <c r="AV75" s="219"/>
      <c r="AW75" s="219"/>
      <c r="AX75" s="219"/>
      <c r="AY75" s="197"/>
      <c r="AZ75" s="219"/>
      <c r="BA75" s="219"/>
      <c r="BB75" s="219"/>
      <c r="BC75" s="219"/>
      <c r="BD75" s="219"/>
      <c r="BE75" s="219"/>
      <c r="BF75" s="219"/>
      <c r="BG75" s="225"/>
      <c r="BH75" s="225"/>
      <c r="BI75" s="219"/>
      <c r="BJ75" s="219"/>
      <c r="BK75" s="219"/>
      <c r="BL75" s="219"/>
      <c r="BM75" s="219"/>
    </row>
    <row r="76" spans="1:65" ht="30" customHeight="1" x14ac:dyDescent="0.25">
      <c r="A76" s="217"/>
      <c r="B76" s="217"/>
      <c r="C76" s="219"/>
      <c r="D76" s="219"/>
      <c r="E76" s="219"/>
      <c r="F76" s="228"/>
      <c r="G76" s="219"/>
      <c r="H76" s="219"/>
      <c r="I76" s="219"/>
      <c r="J76" s="221"/>
      <c r="K76" s="221"/>
      <c r="L76" s="221"/>
      <c r="M76" s="219"/>
      <c r="N76" s="219"/>
      <c r="O76" s="225"/>
      <c r="P76" s="197"/>
      <c r="Q76" s="241"/>
      <c r="R76" s="197"/>
      <c r="S76" s="197"/>
      <c r="T76" s="197"/>
      <c r="U76" s="197"/>
      <c r="V76" s="197"/>
      <c r="W76" s="197"/>
      <c r="X76" s="197"/>
      <c r="Y76" s="197"/>
      <c r="Z76" s="197"/>
      <c r="AA76" s="219"/>
      <c r="AB76" s="221"/>
      <c r="AC76" s="221"/>
      <c r="AD76" s="221"/>
      <c r="AE76" s="219"/>
      <c r="AF76" s="219"/>
      <c r="AG76" s="227"/>
      <c r="AH76" s="227"/>
      <c r="AI76" s="219"/>
      <c r="AJ76" s="219"/>
      <c r="AK76" s="219"/>
      <c r="AL76" s="219"/>
      <c r="AM76" s="219"/>
      <c r="AN76" s="219"/>
      <c r="AO76" s="219"/>
      <c r="AP76" s="221"/>
      <c r="AQ76" s="219"/>
      <c r="AR76" s="219"/>
      <c r="AS76" s="219"/>
      <c r="AT76" s="219"/>
      <c r="AU76" s="197"/>
      <c r="AV76" s="219"/>
      <c r="AW76" s="219"/>
      <c r="AX76" s="219"/>
      <c r="AY76" s="197"/>
      <c r="AZ76" s="219"/>
      <c r="BA76" s="219"/>
      <c r="BB76" s="219"/>
      <c r="BC76" s="219"/>
      <c r="BD76" s="219"/>
      <c r="BE76" s="219"/>
      <c r="BF76" s="219"/>
      <c r="BG76" s="225"/>
      <c r="BH76" s="225"/>
      <c r="BI76" s="219"/>
      <c r="BJ76" s="219"/>
      <c r="BK76" s="219"/>
      <c r="BL76" s="219"/>
      <c r="BM76" s="219"/>
    </row>
    <row r="77" spans="1:65" ht="30" customHeight="1" x14ac:dyDescent="0.25">
      <c r="A77" s="217"/>
      <c r="B77" s="217"/>
      <c r="C77" s="219"/>
      <c r="D77" s="219"/>
      <c r="E77" s="219"/>
      <c r="F77" s="228"/>
      <c r="G77" s="219"/>
      <c r="H77" s="219"/>
      <c r="I77" s="219"/>
      <c r="J77" s="221"/>
      <c r="K77" s="221"/>
      <c r="L77" s="221"/>
      <c r="M77" s="219"/>
      <c r="N77" s="219"/>
      <c r="O77" s="225"/>
      <c r="P77" s="197"/>
      <c r="Q77" s="241"/>
      <c r="R77" s="197"/>
      <c r="S77" s="197"/>
      <c r="T77" s="197"/>
      <c r="U77" s="197"/>
      <c r="V77" s="197"/>
      <c r="W77" s="197"/>
      <c r="X77" s="197"/>
      <c r="Y77" s="197"/>
      <c r="Z77" s="197"/>
      <c r="AA77" s="219"/>
      <c r="AB77" s="221"/>
      <c r="AC77" s="221"/>
      <c r="AD77" s="221"/>
      <c r="AE77" s="219"/>
      <c r="AF77" s="219"/>
      <c r="AG77" s="227"/>
      <c r="AH77" s="227"/>
      <c r="AI77" s="219"/>
      <c r="AJ77" s="219"/>
      <c r="AK77" s="219"/>
      <c r="AL77" s="219"/>
      <c r="AM77" s="219"/>
      <c r="AN77" s="219"/>
      <c r="AO77" s="219"/>
      <c r="AP77" s="221"/>
      <c r="AQ77" s="219"/>
      <c r="AR77" s="219"/>
      <c r="AS77" s="219"/>
      <c r="AT77" s="219"/>
      <c r="AU77" s="197"/>
      <c r="AV77" s="219"/>
      <c r="AW77" s="219"/>
      <c r="AX77" s="219"/>
      <c r="AY77" s="197"/>
      <c r="AZ77" s="219"/>
      <c r="BA77" s="219"/>
      <c r="BB77" s="219"/>
      <c r="BC77" s="219"/>
      <c r="BD77" s="219"/>
      <c r="BE77" s="219"/>
      <c r="BF77" s="219"/>
      <c r="BG77" s="225"/>
      <c r="BH77" s="225"/>
      <c r="BI77" s="219"/>
      <c r="BJ77" s="219"/>
      <c r="BK77" s="219"/>
      <c r="BL77" s="219"/>
      <c r="BM77" s="219"/>
    </row>
    <row r="78" spans="1:65" ht="30" customHeight="1" x14ac:dyDescent="0.25">
      <c r="A78" s="217"/>
      <c r="B78" s="217"/>
      <c r="C78" s="219"/>
      <c r="D78" s="219"/>
      <c r="E78" s="219"/>
      <c r="F78" s="228"/>
      <c r="G78" s="219"/>
      <c r="H78" s="219"/>
      <c r="I78" s="219"/>
      <c r="J78" s="221"/>
      <c r="K78" s="221"/>
      <c r="L78" s="221"/>
      <c r="M78" s="219"/>
      <c r="N78" s="219"/>
      <c r="O78" s="225"/>
      <c r="P78" s="197"/>
      <c r="Q78" s="241"/>
      <c r="R78" s="197"/>
      <c r="S78" s="197"/>
      <c r="T78" s="197"/>
      <c r="U78" s="197"/>
      <c r="V78" s="197"/>
      <c r="W78" s="197"/>
      <c r="X78" s="197"/>
      <c r="Y78" s="197"/>
      <c r="Z78" s="197"/>
      <c r="AA78" s="219"/>
      <c r="AB78" s="221"/>
      <c r="AC78" s="221"/>
      <c r="AD78" s="221"/>
      <c r="AE78" s="219"/>
      <c r="AF78" s="219"/>
      <c r="AG78" s="227"/>
      <c r="AH78" s="227"/>
      <c r="AI78" s="219"/>
      <c r="AJ78" s="219"/>
      <c r="AK78" s="219"/>
      <c r="AL78" s="219"/>
      <c r="AM78" s="219"/>
      <c r="AN78" s="219"/>
      <c r="AO78" s="219"/>
      <c r="AP78" s="221"/>
      <c r="AQ78" s="219"/>
      <c r="AR78" s="219"/>
      <c r="AS78" s="219"/>
      <c r="AT78" s="219"/>
      <c r="AU78" s="197"/>
      <c r="AV78" s="219"/>
      <c r="AW78" s="219"/>
      <c r="AX78" s="219"/>
      <c r="AY78" s="197"/>
      <c r="AZ78" s="219"/>
      <c r="BA78" s="219"/>
      <c r="BB78" s="219"/>
      <c r="BC78" s="219"/>
      <c r="BD78" s="219"/>
      <c r="BE78" s="219"/>
      <c r="BF78" s="219"/>
      <c r="BG78" s="225"/>
      <c r="BH78" s="225"/>
      <c r="BI78" s="219"/>
      <c r="BJ78" s="219"/>
      <c r="BK78" s="219"/>
      <c r="BL78" s="219"/>
      <c r="BM78" s="219"/>
    </row>
    <row r="79" spans="1:65" ht="30" customHeight="1" x14ac:dyDescent="0.25">
      <c r="A79" s="217"/>
      <c r="B79" s="217"/>
      <c r="C79" s="219"/>
      <c r="D79" s="219"/>
      <c r="E79" s="219"/>
      <c r="F79" s="228"/>
      <c r="G79" s="219"/>
      <c r="H79" s="219"/>
      <c r="I79" s="219"/>
      <c r="J79" s="221"/>
      <c r="K79" s="221"/>
      <c r="L79" s="221"/>
      <c r="M79" s="219"/>
      <c r="N79" s="219"/>
      <c r="O79" s="225"/>
      <c r="P79" s="197"/>
      <c r="Q79" s="241"/>
      <c r="R79" s="197"/>
      <c r="S79" s="197"/>
      <c r="T79" s="197"/>
      <c r="U79" s="197"/>
      <c r="V79" s="197"/>
      <c r="W79" s="197"/>
      <c r="X79" s="197"/>
      <c r="Y79" s="197"/>
      <c r="Z79" s="197"/>
      <c r="AA79" s="219"/>
      <c r="AB79" s="221"/>
      <c r="AC79" s="221"/>
      <c r="AD79" s="221"/>
      <c r="AE79" s="219"/>
      <c r="AF79" s="219"/>
      <c r="AG79" s="227"/>
      <c r="AH79" s="227"/>
      <c r="AI79" s="219"/>
      <c r="AJ79" s="219"/>
      <c r="AK79" s="219"/>
      <c r="AL79" s="219"/>
      <c r="AM79" s="219"/>
      <c r="AN79" s="219"/>
      <c r="AO79" s="219"/>
      <c r="AP79" s="221"/>
      <c r="AQ79" s="219"/>
      <c r="AR79" s="219"/>
      <c r="AS79" s="219"/>
      <c r="AT79" s="219"/>
      <c r="AU79" s="197"/>
      <c r="AV79" s="219"/>
      <c r="AW79" s="219"/>
      <c r="AX79" s="219"/>
      <c r="AY79" s="197"/>
      <c r="AZ79" s="219"/>
      <c r="BA79" s="219"/>
      <c r="BB79" s="219"/>
      <c r="BC79" s="219"/>
      <c r="BD79" s="219"/>
      <c r="BE79" s="219"/>
      <c r="BF79" s="219"/>
      <c r="BG79" s="225"/>
      <c r="BH79" s="225"/>
      <c r="BI79" s="219"/>
      <c r="BJ79" s="219"/>
      <c r="BK79" s="219"/>
      <c r="BL79" s="219"/>
      <c r="BM79" s="219"/>
    </row>
    <row r="80" spans="1:65" ht="30" customHeight="1" x14ac:dyDescent="0.25">
      <c r="A80" s="217"/>
      <c r="B80" s="217"/>
      <c r="C80" s="219"/>
      <c r="D80" s="219"/>
      <c r="E80" s="219"/>
      <c r="F80" s="228"/>
      <c r="G80" s="219"/>
      <c r="H80" s="219"/>
      <c r="I80" s="219"/>
      <c r="J80" s="221"/>
      <c r="K80" s="221"/>
      <c r="L80" s="221"/>
      <c r="M80" s="219"/>
      <c r="N80" s="219"/>
      <c r="O80" s="225"/>
      <c r="P80" s="197"/>
      <c r="Q80" s="241"/>
      <c r="R80" s="197"/>
      <c r="S80" s="197"/>
      <c r="T80" s="197"/>
      <c r="U80" s="197"/>
      <c r="V80" s="197"/>
      <c r="W80" s="197"/>
      <c r="X80" s="197"/>
      <c r="Y80" s="197"/>
      <c r="Z80" s="197"/>
      <c r="AA80" s="219"/>
      <c r="AB80" s="221"/>
      <c r="AC80" s="221"/>
      <c r="AD80" s="221"/>
      <c r="AE80" s="219"/>
      <c r="AF80" s="219"/>
      <c r="AG80" s="227"/>
      <c r="AH80" s="227"/>
      <c r="AI80" s="219"/>
      <c r="AJ80" s="219"/>
      <c r="AK80" s="219"/>
      <c r="AL80" s="219"/>
      <c r="AM80" s="219"/>
      <c r="AN80" s="219"/>
      <c r="AO80" s="219"/>
      <c r="AP80" s="221"/>
      <c r="AQ80" s="219"/>
      <c r="AR80" s="219"/>
      <c r="AS80" s="219"/>
      <c r="AT80" s="219"/>
      <c r="AU80" s="197"/>
      <c r="AV80" s="219"/>
      <c r="AW80" s="219"/>
      <c r="AX80" s="219"/>
      <c r="AY80" s="197"/>
      <c r="AZ80" s="219"/>
      <c r="BA80" s="219"/>
      <c r="BB80" s="219"/>
      <c r="BC80" s="219"/>
      <c r="BD80" s="219"/>
      <c r="BE80" s="219"/>
      <c r="BF80" s="219"/>
      <c r="BG80" s="225"/>
      <c r="BH80" s="225"/>
      <c r="BI80" s="219"/>
      <c r="BJ80" s="219"/>
      <c r="BK80" s="219"/>
      <c r="BL80" s="219"/>
      <c r="BM80" s="219"/>
    </row>
    <row r="81" spans="1:65" ht="30" customHeight="1" x14ac:dyDescent="0.25">
      <c r="A81" s="217"/>
      <c r="B81" s="217"/>
      <c r="C81" s="219"/>
      <c r="D81" s="219"/>
      <c r="E81" s="219"/>
      <c r="F81" s="228"/>
      <c r="G81" s="219"/>
      <c r="H81" s="219"/>
      <c r="I81" s="219"/>
      <c r="J81" s="221"/>
      <c r="K81" s="221"/>
      <c r="L81" s="221"/>
      <c r="M81" s="219"/>
      <c r="N81" s="219"/>
      <c r="O81" s="225"/>
      <c r="P81" s="197"/>
      <c r="Q81" s="241"/>
      <c r="R81" s="197"/>
      <c r="S81" s="197"/>
      <c r="T81" s="197"/>
      <c r="U81" s="197"/>
      <c r="V81" s="197"/>
      <c r="W81" s="197"/>
      <c r="X81" s="197"/>
      <c r="Y81" s="197"/>
      <c r="Z81" s="197"/>
      <c r="AA81" s="219"/>
      <c r="AB81" s="221"/>
      <c r="AC81" s="221"/>
      <c r="AD81" s="221"/>
      <c r="AE81" s="219"/>
      <c r="AF81" s="219"/>
      <c r="AG81" s="227"/>
      <c r="AH81" s="227"/>
      <c r="AI81" s="219"/>
      <c r="AJ81" s="219"/>
      <c r="AK81" s="219"/>
      <c r="AL81" s="219"/>
      <c r="AM81" s="219"/>
      <c r="AN81" s="219"/>
      <c r="AO81" s="219"/>
      <c r="AP81" s="221"/>
      <c r="AQ81" s="219"/>
      <c r="AR81" s="219"/>
      <c r="AS81" s="219"/>
      <c r="AT81" s="219"/>
      <c r="AU81" s="197"/>
      <c r="AV81" s="219"/>
      <c r="AW81" s="219"/>
      <c r="AX81" s="219"/>
      <c r="AY81" s="197"/>
      <c r="AZ81" s="219"/>
      <c r="BA81" s="219"/>
      <c r="BB81" s="219"/>
      <c r="BC81" s="219"/>
      <c r="BD81" s="219"/>
      <c r="BE81" s="219"/>
      <c r="BF81" s="219"/>
      <c r="BG81" s="225"/>
      <c r="BH81" s="225"/>
      <c r="BI81" s="219"/>
      <c r="BJ81" s="219"/>
      <c r="BK81" s="219"/>
      <c r="BL81" s="219"/>
      <c r="BM81" s="219"/>
    </row>
    <row r="82" spans="1:65" ht="30" customHeight="1" x14ac:dyDescent="0.25">
      <c r="A82" s="217"/>
      <c r="B82" s="217"/>
      <c r="C82" s="219"/>
      <c r="D82" s="219"/>
      <c r="E82" s="219"/>
      <c r="F82" s="228"/>
      <c r="G82" s="219"/>
      <c r="H82" s="219"/>
      <c r="I82" s="219"/>
      <c r="J82" s="221"/>
      <c r="K82" s="221"/>
      <c r="L82" s="221"/>
      <c r="M82" s="219"/>
      <c r="N82" s="219"/>
      <c r="O82" s="225"/>
      <c r="P82" s="197"/>
      <c r="Q82" s="241"/>
      <c r="R82" s="197"/>
      <c r="S82" s="197"/>
      <c r="T82" s="197"/>
      <c r="U82" s="197"/>
      <c r="V82" s="197"/>
      <c r="W82" s="197"/>
      <c r="X82" s="197"/>
      <c r="Y82" s="197"/>
      <c r="Z82" s="197"/>
      <c r="AA82" s="219"/>
      <c r="AB82" s="221"/>
      <c r="AC82" s="221"/>
      <c r="AD82" s="221"/>
      <c r="AE82" s="219"/>
      <c r="AF82" s="219"/>
      <c r="AG82" s="227"/>
      <c r="AH82" s="227"/>
      <c r="AI82" s="219"/>
      <c r="AJ82" s="219"/>
      <c r="AK82" s="219"/>
      <c r="AL82" s="219"/>
      <c r="AM82" s="219"/>
      <c r="AN82" s="219"/>
      <c r="AO82" s="219"/>
      <c r="AP82" s="221"/>
      <c r="AQ82" s="219"/>
      <c r="AR82" s="219"/>
      <c r="AS82" s="219"/>
      <c r="AT82" s="219"/>
      <c r="AU82" s="197"/>
      <c r="AV82" s="219"/>
      <c r="AW82" s="219"/>
      <c r="AX82" s="219"/>
      <c r="AY82" s="197"/>
      <c r="AZ82" s="219"/>
      <c r="BA82" s="219"/>
      <c r="BB82" s="219"/>
      <c r="BC82" s="219"/>
      <c r="BD82" s="219"/>
      <c r="BE82" s="219"/>
      <c r="BF82" s="219"/>
      <c r="BG82" s="225"/>
      <c r="BH82" s="225"/>
      <c r="BI82" s="219"/>
      <c r="BJ82" s="219"/>
      <c r="BK82" s="219"/>
      <c r="BL82" s="219"/>
      <c r="BM82" s="219"/>
    </row>
    <row r="83" spans="1:65" ht="30" customHeight="1" x14ac:dyDescent="0.25">
      <c r="A83" s="217"/>
      <c r="B83" s="217"/>
      <c r="C83" s="219"/>
      <c r="D83" s="219"/>
      <c r="E83" s="219"/>
      <c r="F83" s="228"/>
      <c r="G83" s="219"/>
      <c r="H83" s="219"/>
      <c r="I83" s="219"/>
      <c r="J83" s="221"/>
      <c r="K83" s="221"/>
      <c r="L83" s="221"/>
      <c r="M83" s="219"/>
      <c r="N83" s="219"/>
      <c r="O83" s="225"/>
      <c r="P83" s="197"/>
      <c r="Q83" s="241"/>
      <c r="R83" s="197"/>
      <c r="S83" s="197"/>
      <c r="T83" s="197"/>
      <c r="U83" s="197"/>
      <c r="V83" s="197"/>
      <c r="W83" s="197"/>
      <c r="X83" s="197"/>
      <c r="Y83" s="197"/>
      <c r="Z83" s="197"/>
      <c r="AA83" s="219"/>
      <c r="AB83" s="221"/>
      <c r="AC83" s="221"/>
      <c r="AD83" s="221"/>
      <c r="AE83" s="219"/>
      <c r="AF83" s="219"/>
      <c r="AG83" s="227"/>
      <c r="AH83" s="227"/>
      <c r="AI83" s="219"/>
      <c r="AJ83" s="219"/>
      <c r="AK83" s="219"/>
      <c r="AL83" s="219"/>
      <c r="AM83" s="219"/>
      <c r="AN83" s="219"/>
      <c r="AO83" s="219"/>
      <c r="AP83" s="221"/>
      <c r="AQ83" s="219"/>
      <c r="AR83" s="219"/>
      <c r="AS83" s="219"/>
      <c r="AT83" s="219"/>
      <c r="AU83" s="197"/>
      <c r="AV83" s="219"/>
      <c r="AW83" s="219"/>
      <c r="AX83" s="219"/>
      <c r="AY83" s="197"/>
      <c r="AZ83" s="219"/>
      <c r="BA83" s="219"/>
      <c r="BB83" s="219"/>
      <c r="BC83" s="219"/>
      <c r="BD83" s="219"/>
      <c r="BE83" s="219"/>
      <c r="BF83" s="219"/>
      <c r="BG83" s="225"/>
      <c r="BH83" s="225"/>
      <c r="BI83" s="219"/>
      <c r="BJ83" s="219"/>
      <c r="BK83" s="219"/>
      <c r="BL83" s="219"/>
      <c r="BM83" s="219"/>
    </row>
    <row r="84" spans="1:65" ht="30" customHeight="1" x14ac:dyDescent="0.25">
      <c r="A84" s="217"/>
      <c r="B84" s="217"/>
      <c r="C84" s="219"/>
      <c r="D84" s="219"/>
      <c r="E84" s="219"/>
      <c r="F84" s="228"/>
      <c r="G84" s="219"/>
      <c r="H84" s="219"/>
      <c r="I84" s="219"/>
      <c r="J84" s="221"/>
      <c r="K84" s="221"/>
      <c r="L84" s="221"/>
      <c r="M84" s="219"/>
      <c r="N84" s="219"/>
      <c r="O84" s="225"/>
      <c r="P84" s="197"/>
      <c r="Q84" s="241"/>
      <c r="R84" s="197"/>
      <c r="S84" s="197"/>
      <c r="T84" s="197"/>
      <c r="U84" s="197"/>
      <c r="V84" s="197"/>
      <c r="W84" s="197"/>
      <c r="X84" s="197"/>
      <c r="Y84" s="197"/>
      <c r="Z84" s="197"/>
      <c r="AA84" s="219"/>
      <c r="AB84" s="221"/>
      <c r="AC84" s="221"/>
      <c r="AD84" s="221"/>
      <c r="AE84" s="219"/>
      <c r="AF84" s="219"/>
      <c r="AG84" s="227"/>
      <c r="AH84" s="227"/>
      <c r="AI84" s="219"/>
      <c r="AJ84" s="219"/>
      <c r="AK84" s="219"/>
      <c r="AL84" s="219"/>
      <c r="AM84" s="219"/>
      <c r="AN84" s="219"/>
      <c r="AO84" s="219"/>
      <c r="AP84" s="221"/>
      <c r="AQ84" s="219"/>
      <c r="AR84" s="219"/>
      <c r="AS84" s="219"/>
      <c r="AT84" s="219"/>
      <c r="AU84" s="197"/>
      <c r="AV84" s="219"/>
      <c r="AW84" s="219"/>
      <c r="AX84" s="219"/>
      <c r="AY84" s="197"/>
      <c r="AZ84" s="219"/>
      <c r="BA84" s="219"/>
      <c r="BB84" s="219"/>
      <c r="BC84" s="219"/>
      <c r="BD84" s="219"/>
      <c r="BE84" s="219"/>
      <c r="BF84" s="219"/>
      <c r="BG84" s="225"/>
      <c r="BH84" s="225"/>
      <c r="BI84" s="219"/>
      <c r="BJ84" s="219"/>
      <c r="BK84" s="219"/>
      <c r="BL84" s="219"/>
      <c r="BM84" s="219"/>
    </row>
    <row r="85" spans="1:65" ht="30" customHeight="1" x14ac:dyDescent="0.25">
      <c r="A85" s="217"/>
      <c r="B85" s="217"/>
      <c r="C85" s="219"/>
      <c r="D85" s="219"/>
      <c r="E85" s="219"/>
      <c r="F85" s="228"/>
      <c r="G85" s="219"/>
      <c r="H85" s="219"/>
      <c r="I85" s="219"/>
      <c r="J85" s="221"/>
      <c r="K85" s="221"/>
      <c r="L85" s="221"/>
      <c r="M85" s="219"/>
      <c r="N85" s="219"/>
      <c r="O85" s="225"/>
      <c r="P85" s="197"/>
      <c r="Q85" s="241"/>
      <c r="R85" s="197"/>
      <c r="S85" s="197"/>
      <c r="T85" s="197"/>
      <c r="U85" s="197"/>
      <c r="V85" s="197"/>
      <c r="W85" s="197"/>
      <c r="X85" s="197"/>
      <c r="Y85" s="197"/>
      <c r="Z85" s="197"/>
      <c r="AA85" s="219"/>
      <c r="AB85" s="221"/>
      <c r="AC85" s="221"/>
      <c r="AD85" s="221"/>
      <c r="AE85" s="219"/>
      <c r="AF85" s="219"/>
      <c r="AG85" s="227"/>
      <c r="AH85" s="227"/>
      <c r="AI85" s="219"/>
      <c r="AJ85" s="219"/>
      <c r="AK85" s="219"/>
      <c r="AL85" s="219"/>
      <c r="AM85" s="219"/>
      <c r="AN85" s="219"/>
      <c r="AO85" s="219"/>
      <c r="AP85" s="221"/>
      <c r="AQ85" s="219"/>
      <c r="AR85" s="219"/>
      <c r="AS85" s="219"/>
      <c r="AT85" s="219"/>
      <c r="AU85" s="197"/>
      <c r="AV85" s="219"/>
      <c r="AW85" s="219"/>
      <c r="AX85" s="219"/>
      <c r="AY85" s="197"/>
      <c r="AZ85" s="219"/>
      <c r="BA85" s="219"/>
      <c r="BB85" s="219"/>
      <c r="BC85" s="219"/>
      <c r="BD85" s="219"/>
      <c r="BE85" s="219"/>
      <c r="BF85" s="219"/>
      <c r="BG85" s="225"/>
      <c r="BH85" s="225"/>
      <c r="BI85" s="219"/>
      <c r="BJ85" s="219"/>
      <c r="BK85" s="219"/>
      <c r="BL85" s="219"/>
      <c r="BM85" s="219"/>
    </row>
    <row r="86" spans="1:65" ht="30" customHeight="1" x14ac:dyDescent="0.25">
      <c r="A86" s="132"/>
      <c r="B86" s="132"/>
      <c r="C86" s="141"/>
      <c r="D86" s="141"/>
      <c r="E86" s="141"/>
      <c r="F86" s="229"/>
      <c r="G86" s="141"/>
      <c r="H86" s="141"/>
      <c r="I86" s="141"/>
      <c r="J86" s="144"/>
      <c r="K86" s="144"/>
      <c r="L86" s="144"/>
      <c r="M86" s="141"/>
      <c r="N86" s="141"/>
      <c r="O86" s="191"/>
      <c r="P86" s="136"/>
      <c r="Q86" s="242"/>
      <c r="R86" s="136"/>
      <c r="S86" s="136"/>
      <c r="T86" s="136"/>
      <c r="U86" s="136"/>
      <c r="V86" s="136"/>
      <c r="W86" s="136"/>
      <c r="X86" s="136"/>
      <c r="Y86" s="136"/>
      <c r="Z86" s="136"/>
      <c r="AA86" s="141"/>
      <c r="AB86" s="144"/>
      <c r="AC86" s="144"/>
      <c r="AD86" s="144"/>
      <c r="AE86" s="141"/>
      <c r="AF86" s="141"/>
      <c r="AG86" s="230"/>
      <c r="AH86" s="230"/>
      <c r="AI86" s="141"/>
      <c r="AJ86" s="141"/>
      <c r="AK86" s="141"/>
      <c r="AL86" s="141"/>
      <c r="AM86" s="141"/>
      <c r="AN86" s="141"/>
      <c r="AO86" s="141"/>
      <c r="AP86" s="144"/>
      <c r="AQ86" s="141"/>
      <c r="AR86" s="141"/>
      <c r="AS86" s="141"/>
      <c r="AT86" s="141"/>
      <c r="AU86" s="136"/>
      <c r="AV86" s="141"/>
      <c r="AW86" s="141"/>
      <c r="AX86" s="141"/>
      <c r="AY86" s="136"/>
      <c r="AZ86" s="141"/>
      <c r="BA86" s="141"/>
      <c r="BB86" s="141"/>
      <c r="BC86" s="141"/>
      <c r="BD86" s="141"/>
      <c r="BE86" s="141"/>
      <c r="BF86" s="141"/>
      <c r="BG86" s="191"/>
      <c r="BH86" s="191"/>
      <c r="BI86" s="141"/>
      <c r="BJ86" s="141"/>
      <c r="BK86" s="141"/>
      <c r="BL86" s="141"/>
      <c r="BM86" s="141"/>
    </row>
    <row r="87" spans="1:65" ht="30" customHeight="1" x14ac:dyDescent="0.25">
      <c r="A87" s="132"/>
      <c r="B87" s="132"/>
      <c r="C87" s="141"/>
      <c r="D87" s="141"/>
      <c r="E87" s="141"/>
      <c r="F87" s="229"/>
      <c r="G87" s="141"/>
      <c r="H87" s="141"/>
      <c r="I87" s="141"/>
      <c r="J87" s="144"/>
      <c r="K87" s="144"/>
      <c r="L87" s="144"/>
      <c r="M87" s="141"/>
      <c r="N87" s="141"/>
      <c r="O87" s="191"/>
      <c r="P87" s="136"/>
      <c r="Q87" s="242"/>
      <c r="R87" s="136"/>
      <c r="S87" s="136"/>
      <c r="T87" s="136"/>
      <c r="U87" s="136"/>
      <c r="V87" s="136"/>
      <c r="W87" s="136"/>
      <c r="X87" s="136"/>
      <c r="Y87" s="136"/>
      <c r="Z87" s="136"/>
      <c r="AA87" s="141"/>
      <c r="AB87" s="144"/>
      <c r="AC87" s="144"/>
      <c r="AD87" s="144"/>
      <c r="AE87" s="141"/>
      <c r="AF87" s="141"/>
      <c r="AG87" s="230"/>
      <c r="AH87" s="230"/>
      <c r="AI87" s="141"/>
      <c r="AJ87" s="141"/>
      <c r="AK87" s="141"/>
      <c r="AL87" s="141"/>
      <c r="AM87" s="141"/>
      <c r="AN87" s="141"/>
      <c r="AO87" s="141"/>
      <c r="AP87" s="144"/>
      <c r="AQ87" s="141"/>
      <c r="AR87" s="141"/>
      <c r="AS87" s="141"/>
      <c r="AT87" s="141"/>
      <c r="AU87" s="136"/>
      <c r="AV87" s="141"/>
      <c r="AW87" s="141"/>
      <c r="AX87" s="141"/>
      <c r="AY87" s="136"/>
      <c r="AZ87" s="141"/>
      <c r="BA87" s="141"/>
      <c r="BB87" s="141"/>
      <c r="BC87" s="141"/>
      <c r="BD87" s="141"/>
      <c r="BE87" s="141"/>
      <c r="BF87" s="141"/>
      <c r="BG87" s="191"/>
      <c r="BH87" s="191"/>
      <c r="BI87" s="141"/>
      <c r="BJ87" s="141"/>
      <c r="BK87" s="141"/>
      <c r="BL87" s="141"/>
      <c r="BM87" s="141"/>
    </row>
    <row r="88" spans="1:65" ht="30" customHeight="1" x14ac:dyDescent="0.25">
      <c r="A88" s="132"/>
      <c r="B88" s="132"/>
      <c r="C88" s="141"/>
      <c r="D88" s="141"/>
      <c r="E88" s="141"/>
      <c r="F88" s="229"/>
      <c r="G88" s="141"/>
      <c r="H88" s="141"/>
      <c r="I88" s="141"/>
      <c r="J88" s="144"/>
      <c r="K88" s="144"/>
      <c r="L88" s="144"/>
      <c r="M88" s="141"/>
      <c r="N88" s="141"/>
      <c r="O88" s="191"/>
      <c r="P88" s="136"/>
      <c r="Q88" s="242"/>
      <c r="R88" s="136"/>
      <c r="S88" s="136"/>
      <c r="T88" s="136"/>
      <c r="U88" s="136"/>
      <c r="V88" s="136"/>
      <c r="W88" s="136"/>
      <c r="X88" s="136"/>
      <c r="Y88" s="136"/>
      <c r="Z88" s="136"/>
      <c r="AA88" s="141"/>
      <c r="AB88" s="144"/>
      <c r="AC88" s="144"/>
      <c r="AD88" s="144"/>
      <c r="AE88" s="141"/>
      <c r="AF88" s="141"/>
      <c r="AG88" s="230"/>
      <c r="AH88" s="230"/>
      <c r="AI88" s="141"/>
      <c r="AJ88" s="141"/>
      <c r="AK88" s="141"/>
      <c r="AL88" s="141"/>
      <c r="AM88" s="141"/>
      <c r="AN88" s="141"/>
      <c r="AO88" s="141"/>
      <c r="AP88" s="144"/>
      <c r="AQ88" s="141"/>
      <c r="AR88" s="141"/>
      <c r="AS88" s="141"/>
      <c r="AT88" s="141"/>
      <c r="AU88" s="136"/>
      <c r="AV88" s="141"/>
      <c r="AW88" s="141"/>
      <c r="AX88" s="141"/>
      <c r="AY88" s="136"/>
      <c r="AZ88" s="141"/>
      <c r="BA88" s="141"/>
      <c r="BB88" s="141"/>
      <c r="BC88" s="141"/>
      <c r="BD88" s="141"/>
      <c r="BE88" s="141"/>
      <c r="BF88" s="141"/>
      <c r="BG88" s="191"/>
      <c r="BH88" s="191"/>
      <c r="BI88" s="141"/>
      <c r="BJ88" s="141"/>
      <c r="BK88" s="141"/>
      <c r="BL88" s="141"/>
      <c r="BM88" s="141"/>
    </row>
    <row r="37505" ht="29.25" customHeight="1" x14ac:dyDescent="0.25"/>
  </sheetData>
  <autoFilter ref="B13:BM67" xr:uid="{00000000-0001-0000-0000-000000000000}">
    <filterColumn colId="40">
      <customFilters>
        <customFilter operator="notEqual" val=" "/>
      </customFilters>
    </filterColumn>
  </autoFilter>
  <sortState xmlns:xlrd2="http://schemas.microsoft.com/office/spreadsheetml/2017/richdata2" ref="A14:BM19">
    <sortCondition ref="J14:J19"/>
  </sortState>
  <dataConsolidate function="product"/>
  <mergeCells count="4">
    <mergeCell ref="BD12:BM12"/>
    <mergeCell ref="P12:AA12"/>
    <mergeCell ref="A12:O12"/>
    <mergeCell ref="BB12:BC12"/>
  </mergeCells>
  <phoneticPr fontId="7" type="noConversion"/>
  <conditionalFormatting sqref="F1:F1048576">
    <cfRule type="duplicateValues" dxfId="82" priority="1"/>
  </conditionalFormatting>
  <conditionalFormatting sqref="F69:F1048576 F1:F13">
    <cfRule type="duplicateValues" dxfId="81" priority="879"/>
  </conditionalFormatting>
  <conditionalFormatting sqref="J68:J1048576 J1:J13">
    <cfRule type="duplicateValues" dxfId="80" priority="1038"/>
  </conditionalFormatting>
  <conditionalFormatting sqref="AB1:AB13">
    <cfRule type="duplicateValues" dxfId="79" priority="1042"/>
  </conditionalFormatting>
  <conditionalFormatting sqref="AB68:AB1048576 AB1:AB13">
    <cfRule type="duplicateValues" dxfId="78" priority="1040"/>
  </conditionalFormatting>
  <conditionalFormatting sqref="AE1:AE13 AE68:AE37505 AE37506:AF1048576">
    <cfRule type="containsText" dxfId="77" priority="325" operator="containsText" text="NÃO RESIDENTE">
      <formula>NOT(ISERROR(SEARCH("NÃO RESIDENTE",AE1)))</formula>
    </cfRule>
  </conditionalFormatting>
  <conditionalFormatting sqref="AP1:AP1048576 BP1:BP1048576">
    <cfRule type="duplicateValues" dxfId="76" priority="62"/>
  </conditionalFormatting>
  <conditionalFormatting sqref="AP1:AP1048576">
    <cfRule type="duplicateValues" dxfId="75" priority="1034"/>
  </conditionalFormatting>
  <conditionalFormatting sqref="AY1:AY13">
    <cfRule type="cellIs" dxfId="74" priority="509" operator="between">
      <formula>36526</formula>
      <formula>402133</formula>
    </cfRule>
  </conditionalFormatting>
  <conditionalFormatting sqref="AY1:AY1048576">
    <cfRule type="cellIs" dxfId="73" priority="397" operator="between">
      <formula>36526</formula>
      <formula>"31/12/3000"</formula>
    </cfRule>
  </conditionalFormatting>
  <conditionalFormatting sqref="AY68:AY1048576">
    <cfRule type="cellIs" dxfId="72" priority="53" operator="between">
      <formula>36526</formula>
      <formula>402133</formula>
    </cfRule>
  </conditionalFormatting>
  <conditionalFormatting sqref="BB1:BB1048576">
    <cfRule type="containsText" dxfId="71" priority="474" operator="containsText" text="FINALIZADO">
      <formula>NOT(ISERROR(SEARCH("FINALIZADO",BB1)))</formula>
    </cfRule>
  </conditionalFormatting>
  <conditionalFormatting sqref="BD1:BD1048576">
    <cfRule type="cellIs" dxfId="70" priority="493" operator="equal">
      <formula>"INDENIZAÇÃO"</formula>
    </cfRule>
    <cfRule type="cellIs" dxfId="69" priority="494" operator="equal">
      <formula>"AA"</formula>
    </cfRule>
  </conditionalFormatting>
  <conditionalFormatting sqref="BD14:BD67">
    <cfRule type="cellIs" dxfId="68" priority="521" operator="equal">
      <formula>"FINALIZADO"</formula>
    </cfRule>
  </conditionalFormatting>
  <dataValidations disablePrompts="1" count="1">
    <dataValidation allowBlank="1" showInputMessage="1" showErrorMessage="1" sqref="AG29:AH29 AG22:AH22 AG15:AG17 AG24:AH24 AH17 D14:E67 A14:B67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265" t="s">
        <v>419</v>
      </c>
      <c r="B1" s="265"/>
      <c r="C1" s="59"/>
      <c r="D1" s="59"/>
      <c r="E1" s="265" t="s">
        <v>420</v>
      </c>
      <c r="F1" s="265"/>
    </row>
    <row r="2" spans="1:6" x14ac:dyDescent="0.25">
      <c r="A2" s="60" t="s">
        <v>39</v>
      </c>
      <c r="B2" s="60" t="s">
        <v>421</v>
      </c>
      <c r="E2" s="58" t="s">
        <v>39</v>
      </c>
      <c r="F2" s="58" t="s">
        <v>421</v>
      </c>
    </row>
    <row r="3" spans="1:6" x14ac:dyDescent="0.25">
      <c r="A3" s="8" t="s">
        <v>115</v>
      </c>
      <c r="B3" s="11">
        <v>39</v>
      </c>
      <c r="E3" s="8" t="s">
        <v>115</v>
      </c>
      <c r="F3" s="11">
        <v>54</v>
      </c>
    </row>
    <row r="4" spans="1:6" x14ac:dyDescent="0.25">
      <c r="A4" s="8" t="s">
        <v>422</v>
      </c>
      <c r="B4" s="11">
        <v>15</v>
      </c>
      <c r="E4" s="8" t="s">
        <v>423</v>
      </c>
      <c r="F4" s="11">
        <v>13</v>
      </c>
    </row>
    <row r="5" spans="1:6" x14ac:dyDescent="0.25">
      <c r="A5" s="8" t="s">
        <v>424</v>
      </c>
      <c r="B5" s="11">
        <v>7</v>
      </c>
      <c r="E5" s="8" t="s">
        <v>424</v>
      </c>
      <c r="F5" s="11">
        <v>15</v>
      </c>
    </row>
    <row r="6" spans="1:6" x14ac:dyDescent="0.25">
      <c r="A6" s="8" t="s">
        <v>425</v>
      </c>
      <c r="B6" s="11">
        <v>2</v>
      </c>
      <c r="E6" s="8" t="s">
        <v>425</v>
      </c>
      <c r="F6" s="11">
        <v>9</v>
      </c>
    </row>
    <row r="7" spans="1:6" x14ac:dyDescent="0.25">
      <c r="A7" s="8" t="s">
        <v>426</v>
      </c>
      <c r="B7" s="11">
        <v>0</v>
      </c>
      <c r="E7" s="8" t="s">
        <v>426</v>
      </c>
      <c r="F7" s="11">
        <v>9</v>
      </c>
    </row>
    <row r="8" spans="1:6" x14ac:dyDescent="0.25">
      <c r="A8" s="8" t="s">
        <v>427</v>
      </c>
      <c r="B8" s="11">
        <v>15</v>
      </c>
      <c r="E8" s="8" t="s">
        <v>427</v>
      </c>
      <c r="F8" s="11">
        <v>21</v>
      </c>
    </row>
    <row r="9" spans="1:6" x14ac:dyDescent="0.25">
      <c r="A9" s="61" t="s">
        <v>428</v>
      </c>
      <c r="B9" s="62">
        <f>SUM(B3:B8)</f>
        <v>78</v>
      </c>
      <c r="E9" s="61" t="s">
        <v>428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429</v>
      </c>
      <c r="B1" s="5" t="s">
        <v>430</v>
      </c>
      <c r="C1" s="5" t="s">
        <v>431</v>
      </c>
      <c r="D1" s="5" t="s">
        <v>432</v>
      </c>
      <c r="E1" s="5" t="s">
        <v>433</v>
      </c>
      <c r="F1" s="5" t="s">
        <v>434</v>
      </c>
      <c r="G1" s="5" t="s">
        <v>435</v>
      </c>
      <c r="H1" s="5" t="s">
        <v>436</v>
      </c>
      <c r="I1" s="5" t="s">
        <v>437</v>
      </c>
      <c r="J1" s="5" t="s">
        <v>438</v>
      </c>
    </row>
    <row r="2" spans="1:10" x14ac:dyDescent="0.25">
      <c r="A2" s="1" t="s">
        <v>439</v>
      </c>
      <c r="B2" s="3" t="s">
        <v>440</v>
      </c>
      <c r="C2" s="3">
        <v>1</v>
      </c>
      <c r="D2" s="3">
        <v>101</v>
      </c>
      <c r="E2" s="24" t="s">
        <v>441</v>
      </c>
      <c r="F2" s="3" t="s">
        <v>442</v>
      </c>
      <c r="G2" s="3" t="s">
        <v>15</v>
      </c>
      <c r="H2" s="3" t="s">
        <v>15</v>
      </c>
      <c r="I2" s="3" t="s">
        <v>443</v>
      </c>
      <c r="J2" s="3" t="s">
        <v>444</v>
      </c>
    </row>
    <row r="3" spans="1:10" x14ac:dyDescent="0.25">
      <c r="A3" s="1" t="s">
        <v>445</v>
      </c>
      <c r="B3" s="3" t="s">
        <v>446</v>
      </c>
      <c r="C3" s="3">
        <v>2</v>
      </c>
      <c r="D3" s="3">
        <v>102</v>
      </c>
      <c r="E3" s="3" t="s">
        <v>447</v>
      </c>
      <c r="F3" s="6" t="s">
        <v>448</v>
      </c>
      <c r="G3" s="3" t="s">
        <v>449</v>
      </c>
      <c r="H3" s="3" t="s">
        <v>450</v>
      </c>
      <c r="I3" s="3" t="s">
        <v>451</v>
      </c>
      <c r="J3" s="3" t="s">
        <v>452</v>
      </c>
    </row>
    <row r="4" spans="1:10" x14ac:dyDescent="0.25">
      <c r="A4" s="1" t="s">
        <v>453</v>
      </c>
      <c r="B4" s="3" t="s">
        <v>454</v>
      </c>
      <c r="C4" s="3">
        <v>3</v>
      </c>
      <c r="D4" s="3">
        <v>103</v>
      </c>
      <c r="E4" s="3" t="s">
        <v>455</v>
      </c>
      <c r="F4" s="3" t="s">
        <v>456</v>
      </c>
      <c r="G4" s="3" t="s">
        <v>457</v>
      </c>
      <c r="H4" s="3" t="s">
        <v>458</v>
      </c>
      <c r="I4" s="3" t="s">
        <v>459</v>
      </c>
      <c r="J4" s="3" t="s">
        <v>458</v>
      </c>
    </row>
    <row r="5" spans="1:10" x14ac:dyDescent="0.25">
      <c r="A5" s="1" t="s">
        <v>460</v>
      </c>
      <c r="B5" s="3" t="s">
        <v>461</v>
      </c>
      <c r="C5" s="3">
        <v>4</v>
      </c>
      <c r="D5" s="3">
        <v>104</v>
      </c>
      <c r="E5" s="3" t="s">
        <v>452</v>
      </c>
      <c r="F5" s="3" t="s">
        <v>462</v>
      </c>
      <c r="G5" s="3" t="s">
        <v>463</v>
      </c>
      <c r="H5" s="3" t="s">
        <v>464</v>
      </c>
      <c r="I5" s="3" t="s">
        <v>458</v>
      </c>
    </row>
    <row r="6" spans="1:10" x14ac:dyDescent="0.25">
      <c r="A6" s="1" t="s">
        <v>465</v>
      </c>
      <c r="B6" s="3" t="s">
        <v>466</v>
      </c>
      <c r="C6" s="3">
        <v>5</v>
      </c>
      <c r="D6" s="3">
        <v>201</v>
      </c>
      <c r="E6" s="3" t="s">
        <v>467</v>
      </c>
      <c r="G6" s="3" t="s">
        <v>468</v>
      </c>
      <c r="H6" s="3" t="s">
        <v>469</v>
      </c>
      <c r="I6" s="3" t="s">
        <v>470</v>
      </c>
    </row>
    <row r="7" spans="1:10" x14ac:dyDescent="0.25">
      <c r="A7" s="1" t="s">
        <v>471</v>
      </c>
      <c r="B7" s="3" t="s">
        <v>472</v>
      </c>
      <c r="C7" s="3">
        <v>6</v>
      </c>
      <c r="D7" s="3">
        <v>202</v>
      </c>
      <c r="E7" s="3" t="s">
        <v>473</v>
      </c>
      <c r="G7" s="3" t="s">
        <v>474</v>
      </c>
      <c r="I7" s="3" t="s">
        <v>475</v>
      </c>
    </row>
    <row r="8" spans="1:10" x14ac:dyDescent="0.25">
      <c r="A8" s="1" t="s">
        <v>476</v>
      </c>
      <c r="B8" s="3" t="s">
        <v>477</v>
      </c>
      <c r="C8" s="3">
        <v>7</v>
      </c>
      <c r="D8" s="3">
        <v>203</v>
      </c>
      <c r="E8" s="3" t="s">
        <v>478</v>
      </c>
      <c r="G8" s="3"/>
      <c r="I8" s="3" t="s">
        <v>479</v>
      </c>
    </row>
    <row r="9" spans="1:10" x14ac:dyDescent="0.25">
      <c r="A9" s="1" t="s">
        <v>480</v>
      </c>
      <c r="B9" s="3" t="s">
        <v>481</v>
      </c>
      <c r="C9" s="3">
        <v>8</v>
      </c>
      <c r="D9" s="3">
        <v>204</v>
      </c>
      <c r="E9" s="3" t="s">
        <v>482</v>
      </c>
    </row>
    <row r="10" spans="1:10" x14ac:dyDescent="0.25">
      <c r="A10" s="1" t="s">
        <v>483</v>
      </c>
      <c r="B10" s="3" t="s">
        <v>484</v>
      </c>
      <c r="C10" s="3">
        <v>9</v>
      </c>
      <c r="D10" s="3">
        <v>301</v>
      </c>
      <c r="E10" s="3" t="s">
        <v>485</v>
      </c>
    </row>
    <row r="11" spans="1:10" x14ac:dyDescent="0.25">
      <c r="A11" s="1" t="s">
        <v>486</v>
      </c>
      <c r="B11" s="3" t="s">
        <v>487</v>
      </c>
      <c r="C11" s="3">
        <v>10</v>
      </c>
      <c r="D11" s="3">
        <v>302</v>
      </c>
      <c r="E11" s="3" t="s">
        <v>488</v>
      </c>
    </row>
    <row r="12" spans="1:10" x14ac:dyDescent="0.25">
      <c r="A12" s="1" t="s">
        <v>489</v>
      </c>
      <c r="B12" s="3" t="s">
        <v>490</v>
      </c>
      <c r="C12" s="3">
        <v>11</v>
      </c>
      <c r="D12" s="3">
        <v>303</v>
      </c>
      <c r="E12" s="24" t="s">
        <v>491</v>
      </c>
    </row>
    <row r="13" spans="1:10" x14ac:dyDescent="0.25">
      <c r="A13" s="1" t="s">
        <v>492</v>
      </c>
      <c r="B13" s="3" t="s">
        <v>493</v>
      </c>
      <c r="C13" s="3">
        <v>12</v>
      </c>
      <c r="D13" s="3">
        <v>304</v>
      </c>
      <c r="E13" t="s">
        <v>494</v>
      </c>
    </row>
    <row r="14" spans="1:10" x14ac:dyDescent="0.25">
      <c r="A14" s="1" t="s">
        <v>495</v>
      </c>
      <c r="B14" s="3" t="s">
        <v>496</v>
      </c>
      <c r="C14" s="3">
        <v>13</v>
      </c>
      <c r="D14" s="3">
        <v>401</v>
      </c>
      <c r="E14" s="3" t="s">
        <v>497</v>
      </c>
    </row>
    <row r="15" spans="1:10" x14ac:dyDescent="0.25">
      <c r="A15" s="1" t="s">
        <v>498</v>
      </c>
      <c r="B15" s="3" t="s">
        <v>499</v>
      </c>
      <c r="C15" s="3">
        <v>14</v>
      </c>
      <c r="D15" s="3">
        <v>402</v>
      </c>
      <c r="E15" s="3" t="s">
        <v>456</v>
      </c>
    </row>
    <row r="16" spans="1:10" x14ac:dyDescent="0.25">
      <c r="A16" s="1" t="s">
        <v>500</v>
      </c>
      <c r="C16" s="3">
        <v>15</v>
      </c>
      <c r="D16" s="3">
        <v>403</v>
      </c>
      <c r="E16" s="3" t="s">
        <v>501</v>
      </c>
    </row>
    <row r="17" spans="1:7" x14ac:dyDescent="0.25">
      <c r="A17" s="1" t="s">
        <v>426</v>
      </c>
      <c r="C17" s="3"/>
      <c r="D17" s="3">
        <v>404</v>
      </c>
      <c r="E17" s="3" t="s">
        <v>502</v>
      </c>
    </row>
    <row r="18" spans="1:7" x14ac:dyDescent="0.25">
      <c r="A18" s="1" t="s">
        <v>503</v>
      </c>
      <c r="C18" s="3"/>
      <c r="D18" s="3">
        <v>501</v>
      </c>
      <c r="E18" s="3" t="s">
        <v>504</v>
      </c>
    </row>
    <row r="19" spans="1:7" x14ac:dyDescent="0.25">
      <c r="A19" s="1" t="s">
        <v>505</v>
      </c>
      <c r="D19" s="3">
        <v>502</v>
      </c>
      <c r="E19" s="3" t="s">
        <v>506</v>
      </c>
    </row>
    <row r="20" spans="1:7" x14ac:dyDescent="0.25">
      <c r="A20" s="1" t="s">
        <v>425</v>
      </c>
      <c r="D20" s="3">
        <v>503</v>
      </c>
      <c r="E20" s="3" t="s">
        <v>507</v>
      </c>
    </row>
    <row r="21" spans="1:7" x14ac:dyDescent="0.25">
      <c r="A21" s="1" t="s">
        <v>508</v>
      </c>
      <c r="D21" s="3">
        <v>504</v>
      </c>
      <c r="E21" s="3" t="s">
        <v>444</v>
      </c>
    </row>
    <row r="22" spans="1:7" x14ac:dyDescent="0.25">
      <c r="A22" s="1" t="s">
        <v>509</v>
      </c>
      <c r="E22" s="3" t="s">
        <v>510</v>
      </c>
      <c r="G22" s="3"/>
    </row>
    <row r="23" spans="1:7" x14ac:dyDescent="0.25">
      <c r="A23" s="1" t="s">
        <v>511</v>
      </c>
      <c r="E23" s="3" t="s">
        <v>512</v>
      </c>
    </row>
    <row r="24" spans="1:7" x14ac:dyDescent="0.25">
      <c r="A24" s="1" t="s">
        <v>513</v>
      </c>
    </row>
    <row r="25" spans="1:7" x14ac:dyDescent="0.25">
      <c r="A25" s="1" t="s">
        <v>427</v>
      </c>
      <c r="G25" s="5"/>
    </row>
    <row r="26" spans="1:7" x14ac:dyDescent="0.25">
      <c r="A26" s="1" t="s">
        <v>514</v>
      </c>
      <c r="G26" s="3"/>
    </row>
    <row r="27" spans="1:7" x14ac:dyDescent="0.25">
      <c r="A27" s="1" t="s">
        <v>515</v>
      </c>
      <c r="G27" s="3"/>
    </row>
    <row r="28" spans="1:7" x14ac:dyDescent="0.25">
      <c r="A28" s="1" t="s">
        <v>516</v>
      </c>
      <c r="G28" s="3"/>
    </row>
    <row r="29" spans="1:7" x14ac:dyDescent="0.25">
      <c r="A29" s="1" t="s">
        <v>517</v>
      </c>
      <c r="G29" s="3"/>
    </row>
    <row r="30" spans="1:7" x14ac:dyDescent="0.25">
      <c r="A30" s="1" t="s">
        <v>518</v>
      </c>
      <c r="G30" s="3"/>
    </row>
    <row r="31" spans="1:7" x14ac:dyDescent="0.25">
      <c r="A31" s="1" t="s">
        <v>519</v>
      </c>
    </row>
    <row r="32" spans="1:7" x14ac:dyDescent="0.25">
      <c r="A32" s="1" t="s">
        <v>520</v>
      </c>
    </row>
    <row r="33" spans="1:1" x14ac:dyDescent="0.25">
      <c r="A33" s="1" t="s">
        <v>521</v>
      </c>
    </row>
    <row r="34" spans="1:1" x14ac:dyDescent="0.25">
      <c r="A34" s="1" t="s">
        <v>522</v>
      </c>
    </row>
    <row r="35" spans="1:1" x14ac:dyDescent="0.25">
      <c r="A35" s="1" t="s">
        <v>523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524</v>
      </c>
      <c r="B1" s="56" t="s">
        <v>525</v>
      </c>
    </row>
    <row r="2" spans="1:3" ht="24.95" customHeight="1" x14ac:dyDescent="0.25">
      <c r="A2" s="57" t="s">
        <v>440</v>
      </c>
      <c r="B2" s="57" t="e">
        <f>COUNTIF(#REF!,'QUANT COND'!A2)</f>
        <v>#REF!</v>
      </c>
    </row>
    <row r="3" spans="1:3" ht="24.95" customHeight="1" x14ac:dyDescent="0.25">
      <c r="A3" s="57" t="s">
        <v>446</v>
      </c>
      <c r="B3" s="57" t="e">
        <f>COUNTIF(#REF!,'QUANT COND'!A3)</f>
        <v>#REF!</v>
      </c>
    </row>
    <row r="4" spans="1:3" ht="24.95" customHeight="1" x14ac:dyDescent="0.25">
      <c r="A4" s="57" t="s">
        <v>454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461</v>
      </c>
      <c r="B5" s="57" t="e">
        <f>COUNTIF(#REF!,'QUANT COND'!A5)</f>
        <v>#REF!</v>
      </c>
    </row>
    <row r="6" spans="1:3" ht="24.95" customHeight="1" x14ac:dyDescent="0.25">
      <c r="A6" s="57" t="s">
        <v>466</v>
      </c>
      <c r="B6" s="57" t="e">
        <f>COUNTIF(#REF!,'QUANT COND'!A6)</f>
        <v>#REF!</v>
      </c>
    </row>
    <row r="7" spans="1:3" ht="24.95" customHeight="1" x14ac:dyDescent="0.25">
      <c r="A7" s="57" t="s">
        <v>472</v>
      </c>
      <c r="B7" s="57" t="e">
        <f>COUNTIF(#REF!,'QUANT COND'!A7)</f>
        <v>#REF!</v>
      </c>
    </row>
    <row r="8" spans="1:3" ht="24.95" customHeight="1" x14ac:dyDescent="0.25">
      <c r="A8" s="57" t="s">
        <v>477</v>
      </c>
      <c r="B8" s="57" t="e">
        <f>COUNTIF(#REF!,'QUANT COND'!A8)</f>
        <v>#REF!</v>
      </c>
    </row>
    <row r="9" spans="1:3" ht="24.95" customHeight="1" x14ac:dyDescent="0.25">
      <c r="A9" s="57" t="s">
        <v>481</v>
      </c>
      <c r="B9" s="57" t="e">
        <f>COUNTIF(#REF!,'QUANT COND'!A9)</f>
        <v>#REF!</v>
      </c>
    </row>
    <row r="10" spans="1:3" ht="24.95" customHeight="1" x14ac:dyDescent="0.25">
      <c r="A10" s="57" t="s">
        <v>484</v>
      </c>
      <c r="B10" s="57" t="e">
        <f>COUNTIF(#REF!,'QUANT COND'!A10)</f>
        <v>#REF!</v>
      </c>
    </row>
    <row r="11" spans="1:3" ht="24.95" customHeight="1" x14ac:dyDescent="0.25">
      <c r="A11" s="57" t="s">
        <v>487</v>
      </c>
      <c r="B11" s="57" t="e">
        <f>COUNTIF(#REF!,'QUANT COND'!A11)</f>
        <v>#REF!</v>
      </c>
    </row>
    <row r="12" spans="1:3" ht="24.95" customHeight="1" x14ac:dyDescent="0.25">
      <c r="A12" s="57" t="s">
        <v>490</v>
      </c>
      <c r="B12" s="57" t="e">
        <f>COUNTIF(#REF!,'QUANT COND'!A12)</f>
        <v>#REF!</v>
      </c>
    </row>
    <row r="13" spans="1:3" ht="24.95" customHeight="1" x14ac:dyDescent="0.25">
      <c r="A13" s="57" t="s">
        <v>493</v>
      </c>
      <c r="B13" s="57" t="e">
        <f>COUNTIF(#REF!,'QUANT COND'!A13)</f>
        <v>#REF!</v>
      </c>
    </row>
    <row r="14" spans="1:3" ht="24.95" customHeight="1" x14ac:dyDescent="0.25">
      <c r="A14" s="57" t="s">
        <v>496</v>
      </c>
      <c r="B14" s="57" t="e">
        <f>COUNTIF(#REF!,'QUANT COND'!A14)</f>
        <v>#REF!</v>
      </c>
    </row>
    <row r="15" spans="1:3" ht="24.95" customHeight="1" x14ac:dyDescent="0.25">
      <c r="A15" s="57" t="s">
        <v>499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267" t="s">
        <v>526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9"/>
    </row>
    <row r="2" spans="1:27" ht="50.25" customHeight="1" x14ac:dyDescent="0.25">
      <c r="A2" s="7" t="s">
        <v>47</v>
      </c>
      <c r="B2" s="7" t="s">
        <v>49</v>
      </c>
      <c r="C2" s="7" t="s">
        <v>527</v>
      </c>
      <c r="D2" s="12" t="s">
        <v>49</v>
      </c>
      <c r="E2" s="63" t="s">
        <v>528</v>
      </c>
      <c r="F2" s="63" t="s">
        <v>529</v>
      </c>
      <c r="G2" s="64" t="s">
        <v>530</v>
      </c>
      <c r="H2" s="64" t="s">
        <v>531</v>
      </c>
      <c r="I2" s="41" t="s">
        <v>532</v>
      </c>
      <c r="J2" s="42" t="s">
        <v>529</v>
      </c>
      <c r="K2" s="41" t="s">
        <v>531</v>
      </c>
      <c r="L2" s="53" t="s">
        <v>533</v>
      </c>
      <c r="M2" s="53" t="s">
        <v>534</v>
      </c>
      <c r="O2" s="65" t="s">
        <v>535</v>
      </c>
      <c r="P2" s="66" t="s">
        <v>525</v>
      </c>
      <c r="Q2" s="66" t="s">
        <v>536</v>
      </c>
      <c r="R2" s="66" t="s">
        <v>537</v>
      </c>
      <c r="S2" s="66" t="s">
        <v>538</v>
      </c>
      <c r="T2" s="43" t="s">
        <v>539</v>
      </c>
      <c r="Y2" s="45" t="s">
        <v>540</v>
      </c>
      <c r="Z2" s="45" t="s">
        <v>541</v>
      </c>
      <c r="AA2" s="44" t="s">
        <v>542</v>
      </c>
    </row>
    <row r="3" spans="1:27" x14ac:dyDescent="0.25">
      <c r="A3" s="13" t="s">
        <v>543</v>
      </c>
      <c r="B3" s="67">
        <v>27140979871</v>
      </c>
      <c r="C3" s="68"/>
      <c r="D3" s="69"/>
      <c r="E3" s="9">
        <v>1128</v>
      </c>
      <c r="F3" s="25">
        <v>42972</v>
      </c>
      <c r="G3" s="70" t="s">
        <v>442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544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545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546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547</v>
      </c>
      <c r="B5" s="67">
        <v>75489104872</v>
      </c>
      <c r="C5" s="72"/>
      <c r="D5" s="69"/>
      <c r="E5" s="9">
        <v>1752</v>
      </c>
      <c r="F5" s="25">
        <v>43051</v>
      </c>
      <c r="G5" s="70" t="s">
        <v>442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548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549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550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551</v>
      </c>
      <c r="B7" s="67"/>
      <c r="C7" s="18" t="s">
        <v>552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553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554</v>
      </c>
      <c r="B8" s="67">
        <v>97443271620</v>
      </c>
      <c r="C8" s="72"/>
      <c r="D8" s="69"/>
      <c r="E8" s="9">
        <v>1106</v>
      </c>
      <c r="F8" s="25">
        <v>42965</v>
      </c>
      <c r="G8" s="70" t="s">
        <v>442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555</v>
      </c>
      <c r="B9" s="67">
        <v>98058690597</v>
      </c>
      <c r="C9" s="72"/>
      <c r="D9" s="69"/>
      <c r="E9" s="9">
        <v>423</v>
      </c>
      <c r="F9" s="25">
        <v>43182</v>
      </c>
      <c r="G9" s="70" t="s">
        <v>442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556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557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558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442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559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560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442</v>
      </c>
      <c r="H14" s="25">
        <v>42921</v>
      </c>
      <c r="I14" s="8"/>
      <c r="J14" s="8"/>
      <c r="K14" s="8"/>
      <c r="L14" s="9" t="s">
        <v>561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562</v>
      </c>
      <c r="B15" s="67">
        <v>38772276860</v>
      </c>
      <c r="C15" s="18" t="s">
        <v>563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564</v>
      </c>
      <c r="B16" s="67">
        <v>21538837846</v>
      </c>
      <c r="C16" s="72" t="s">
        <v>565</v>
      </c>
      <c r="D16" s="69">
        <v>94203180520</v>
      </c>
      <c r="E16" s="9">
        <v>810</v>
      </c>
      <c r="F16" s="25">
        <v>42915</v>
      </c>
      <c r="G16" s="70" t="s">
        <v>442</v>
      </c>
      <c r="H16" s="25">
        <v>42921</v>
      </c>
      <c r="I16" s="8"/>
      <c r="J16" s="8"/>
      <c r="K16" s="8"/>
      <c r="L16" s="9" t="s">
        <v>561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566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567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442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568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448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569</v>
      </c>
      <c r="B20" s="67">
        <v>18419589802</v>
      </c>
      <c r="C20" s="18" t="s">
        <v>552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570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571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442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572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442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573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442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574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575</v>
      </c>
      <c r="B26" s="67"/>
      <c r="C26" s="18" t="s">
        <v>552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576</v>
      </c>
      <c r="B27" s="67">
        <v>25894152810</v>
      </c>
      <c r="C27" s="72" t="s">
        <v>577</v>
      </c>
      <c r="D27" s="69">
        <v>8263008808</v>
      </c>
      <c r="E27" s="9">
        <v>292</v>
      </c>
      <c r="F27" s="25">
        <v>43168</v>
      </c>
      <c r="G27" s="70" t="s">
        <v>442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578</v>
      </c>
      <c r="B28" s="67">
        <v>43026389587</v>
      </c>
      <c r="C28" s="72" t="s">
        <v>579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580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448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581</v>
      </c>
      <c r="B30" s="67">
        <v>36531080809</v>
      </c>
      <c r="C30" s="72" t="s">
        <v>582</v>
      </c>
      <c r="D30" s="69">
        <v>22485483892</v>
      </c>
      <c r="E30" s="9">
        <v>1489</v>
      </c>
      <c r="F30" s="25">
        <v>43038</v>
      </c>
      <c r="G30" s="70" t="s">
        <v>442</v>
      </c>
      <c r="H30" s="9"/>
      <c r="I30" s="8"/>
      <c r="J30" s="8"/>
      <c r="K30" s="8"/>
      <c r="L30" s="9" t="s">
        <v>583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584</v>
      </c>
      <c r="B31" s="67">
        <v>28147186819</v>
      </c>
      <c r="C31" s="72" t="s">
        <v>585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586</v>
      </c>
      <c r="B32" s="67">
        <v>37559228860</v>
      </c>
      <c r="C32" s="72" t="s">
        <v>587</v>
      </c>
      <c r="D32" s="69">
        <v>28072024892</v>
      </c>
      <c r="E32" s="9">
        <v>1555</v>
      </c>
      <c r="F32" s="25">
        <v>43049</v>
      </c>
      <c r="G32" s="9" t="s">
        <v>442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588</v>
      </c>
      <c r="B33" s="67">
        <v>23635229822</v>
      </c>
      <c r="C33" s="72" t="s">
        <v>589</v>
      </c>
      <c r="D33" s="69">
        <v>21668057875</v>
      </c>
      <c r="E33" s="9">
        <v>262</v>
      </c>
      <c r="F33" s="25">
        <v>43160</v>
      </c>
      <c r="G33" s="70" t="s">
        <v>442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590</v>
      </c>
      <c r="B34" s="67"/>
      <c r="C34" s="29" t="s">
        <v>552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591</v>
      </c>
      <c r="B35" s="67">
        <v>40902634844</v>
      </c>
      <c r="C35" s="72" t="s">
        <v>592</v>
      </c>
      <c r="D35" s="69">
        <v>23795007895</v>
      </c>
      <c r="E35" s="9">
        <v>117</v>
      </c>
      <c r="F35" s="25">
        <v>43117</v>
      </c>
      <c r="G35" s="70" t="s">
        <v>442</v>
      </c>
      <c r="H35" s="25">
        <v>43151</v>
      </c>
      <c r="I35" s="8"/>
      <c r="J35" s="8"/>
      <c r="K35" s="8"/>
      <c r="L35" s="9" t="s">
        <v>593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594</v>
      </c>
      <c r="B36" s="67">
        <v>39615629898</v>
      </c>
      <c r="C36" s="72" t="s">
        <v>595</v>
      </c>
      <c r="D36" s="69">
        <v>43328275894</v>
      </c>
      <c r="E36" s="9">
        <v>423</v>
      </c>
      <c r="F36" s="25">
        <v>43182</v>
      </c>
      <c r="G36" s="70" t="s">
        <v>442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596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597</v>
      </c>
      <c r="B38" s="67"/>
      <c r="C38" s="29" t="s">
        <v>598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599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442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600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442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601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442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602</v>
      </c>
      <c r="B42" s="67">
        <v>10201704412</v>
      </c>
      <c r="C42" s="72" t="s">
        <v>603</v>
      </c>
      <c r="D42" s="69">
        <v>33674895811</v>
      </c>
      <c r="E42" s="9">
        <v>262</v>
      </c>
      <c r="F42" s="25">
        <v>43160</v>
      </c>
      <c r="G42" s="70" t="s">
        <v>442</v>
      </c>
      <c r="H42" s="25">
        <v>43164</v>
      </c>
      <c r="I42" s="8"/>
      <c r="J42" s="8"/>
      <c r="K42" s="8"/>
      <c r="L42" s="9">
        <v>255</v>
      </c>
      <c r="M42" s="8"/>
      <c r="O42" s="66" t="s">
        <v>604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605</v>
      </c>
      <c r="B43" s="67">
        <v>35271487873</v>
      </c>
      <c r="C43" s="68" t="s">
        <v>606</v>
      </c>
      <c r="D43" s="69">
        <v>557351502</v>
      </c>
      <c r="E43" s="9">
        <v>1128</v>
      </c>
      <c r="F43" s="25">
        <v>42972</v>
      </c>
      <c r="G43" s="70" t="s">
        <v>442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607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442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608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609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442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610</v>
      </c>
      <c r="B47" s="67">
        <v>31801479895</v>
      </c>
      <c r="C47" s="72" t="s">
        <v>611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612</v>
      </c>
      <c r="B48" s="67">
        <v>28638653824</v>
      </c>
      <c r="C48" s="72" t="s">
        <v>613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614</v>
      </c>
      <c r="B49" s="67">
        <v>17766101807</v>
      </c>
      <c r="C49" s="72" t="s">
        <v>615</v>
      </c>
      <c r="D49" s="69">
        <v>31993041842</v>
      </c>
      <c r="E49" s="9">
        <v>1824</v>
      </c>
      <c r="F49" s="25">
        <v>43091</v>
      </c>
      <c r="G49" s="70" t="s">
        <v>442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616</v>
      </c>
      <c r="B50" s="67">
        <v>17902799840</v>
      </c>
      <c r="C50" s="72" t="s">
        <v>617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618</v>
      </c>
      <c r="B51" s="67">
        <v>49122403892</v>
      </c>
      <c r="C51" s="75" t="s">
        <v>619</v>
      </c>
      <c r="D51" s="69">
        <v>1478139560</v>
      </c>
      <c r="E51" s="9">
        <v>608</v>
      </c>
      <c r="F51" s="25">
        <v>43012</v>
      </c>
      <c r="G51" s="70" t="s">
        <v>442</v>
      </c>
      <c r="H51" s="25">
        <v>43024</v>
      </c>
      <c r="I51" s="8"/>
      <c r="J51" s="8"/>
      <c r="K51" s="8"/>
      <c r="L51" s="8"/>
      <c r="M51" s="8"/>
      <c r="O51" s="266" t="s">
        <v>620</v>
      </c>
      <c r="P51" s="266"/>
      <c r="Q51" s="266"/>
      <c r="R51" s="266"/>
      <c r="S51" s="266"/>
      <c r="T51" s="266"/>
      <c r="U51" s="266"/>
    </row>
    <row r="52" spans="1:21" x14ac:dyDescent="0.25">
      <c r="A52" s="13" t="s">
        <v>621</v>
      </c>
      <c r="B52" s="67">
        <v>37534302854</v>
      </c>
      <c r="C52" s="71" t="s">
        <v>622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623</v>
      </c>
      <c r="B53" s="67">
        <v>14699996841</v>
      </c>
      <c r="C53" s="68" t="s">
        <v>624</v>
      </c>
      <c r="D53" s="69">
        <v>15089706883</v>
      </c>
      <c r="E53" s="9">
        <v>1128</v>
      </c>
      <c r="F53" s="25">
        <v>42972</v>
      </c>
      <c r="G53" s="70" t="s">
        <v>442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625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626</v>
      </c>
      <c r="B55" s="67">
        <v>40396239838</v>
      </c>
      <c r="C55" s="72" t="s">
        <v>627</v>
      </c>
      <c r="D55" s="69">
        <v>39420747883</v>
      </c>
      <c r="E55" s="9">
        <v>262</v>
      </c>
      <c r="F55" s="25">
        <v>43160</v>
      </c>
      <c r="G55" s="70" t="s">
        <v>442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628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442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629</v>
      </c>
      <c r="B57" s="67">
        <v>38781151802</v>
      </c>
      <c r="C57" s="18" t="s">
        <v>552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630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631</v>
      </c>
      <c r="B59" s="67">
        <v>2428277219</v>
      </c>
      <c r="C59" s="72" t="s">
        <v>632</v>
      </c>
      <c r="D59" s="69">
        <v>909805229</v>
      </c>
      <c r="E59" s="9">
        <v>810</v>
      </c>
      <c r="F59" s="25">
        <v>42915</v>
      </c>
      <c r="G59" s="70" t="s">
        <v>442</v>
      </c>
      <c r="H59" s="25">
        <v>42921</v>
      </c>
      <c r="I59" s="8"/>
      <c r="J59" s="8"/>
      <c r="K59" s="8"/>
      <c r="L59" s="9" t="s">
        <v>561</v>
      </c>
      <c r="M59" s="8"/>
    </row>
    <row r="60" spans="1:21" x14ac:dyDescent="0.25">
      <c r="A60" s="71" t="s">
        <v>633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634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442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635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636</v>
      </c>
      <c r="B63" s="67">
        <v>3722493889</v>
      </c>
      <c r="C63" s="72" t="s">
        <v>637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638</v>
      </c>
      <c r="B64" s="67">
        <v>14519340845</v>
      </c>
      <c r="C64" s="72" t="s">
        <v>639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640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641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642</v>
      </c>
      <c r="B67" s="67">
        <v>36392955879</v>
      </c>
      <c r="C67" s="72" t="s">
        <v>643</v>
      </c>
      <c r="D67" s="69">
        <v>5242864346</v>
      </c>
      <c r="E67" s="9">
        <v>117</v>
      </c>
      <c r="F67" s="25">
        <v>43117</v>
      </c>
      <c r="G67" s="70" t="s">
        <v>442</v>
      </c>
      <c r="H67" s="25">
        <v>43151</v>
      </c>
      <c r="I67" s="8"/>
      <c r="J67" s="8"/>
      <c r="K67" s="8"/>
      <c r="L67" s="9" t="s">
        <v>593</v>
      </c>
      <c r="M67" s="8"/>
    </row>
    <row r="68" spans="1:13" x14ac:dyDescent="0.25">
      <c r="A68" s="71" t="s">
        <v>644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442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645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646</v>
      </c>
      <c r="B70" s="67">
        <v>9882942490</v>
      </c>
      <c r="C70" s="18" t="s">
        <v>647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648</v>
      </c>
      <c r="B71" s="67">
        <v>14777572870</v>
      </c>
      <c r="C71" s="72" t="s">
        <v>649</v>
      </c>
      <c r="D71" s="69">
        <v>12874739898</v>
      </c>
      <c r="E71" s="9">
        <v>1824</v>
      </c>
      <c r="F71" s="25">
        <v>43091</v>
      </c>
      <c r="G71" s="70" t="s">
        <v>442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650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651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442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652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442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653</v>
      </c>
      <c r="B75" s="67">
        <v>26940268855</v>
      </c>
      <c r="C75" s="18" t="s">
        <v>654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655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442</v>
      </c>
      <c r="H76" s="9"/>
      <c r="I76" s="8"/>
      <c r="J76" s="8"/>
      <c r="K76" s="8"/>
      <c r="L76" s="9" t="s">
        <v>583</v>
      </c>
      <c r="M76" s="8"/>
    </row>
    <row r="77" spans="1:13" x14ac:dyDescent="0.25">
      <c r="A77" s="15" t="s">
        <v>656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442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657</v>
      </c>
      <c r="B78" s="67">
        <v>42352732808</v>
      </c>
      <c r="C78" s="72" t="s">
        <v>658</v>
      </c>
      <c r="D78" s="69">
        <v>281893373</v>
      </c>
      <c r="E78" s="9">
        <v>1214</v>
      </c>
      <c r="F78" s="25">
        <v>42989</v>
      </c>
      <c r="G78" s="70" t="s">
        <v>442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659</v>
      </c>
      <c r="B79" s="67">
        <v>13480043801</v>
      </c>
      <c r="C79" s="18" t="s">
        <v>660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661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442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662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442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663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442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664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665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666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667</v>
      </c>
      <c r="B86" s="67">
        <v>43053250802</v>
      </c>
      <c r="C86" s="68" t="s">
        <v>668</v>
      </c>
      <c r="D86" s="69">
        <v>35893147880</v>
      </c>
      <c r="E86" s="9">
        <v>1128</v>
      </c>
      <c r="F86" s="25">
        <v>42972</v>
      </c>
      <c r="G86" s="70" t="s">
        <v>442</v>
      </c>
      <c r="H86" s="9"/>
      <c r="I86" s="8"/>
      <c r="J86" s="8"/>
      <c r="K86" s="8"/>
      <c r="L86" s="8"/>
      <c r="M86" s="8"/>
    </row>
    <row r="87" spans="1:13" x14ac:dyDescent="0.25">
      <c r="A87" s="71" t="s">
        <v>669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442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670</v>
      </c>
      <c r="B88" s="67">
        <v>33617584837</v>
      </c>
      <c r="C88" s="72" t="s">
        <v>671</v>
      </c>
      <c r="D88" s="69">
        <v>26520094862</v>
      </c>
      <c r="E88" s="9">
        <v>608</v>
      </c>
      <c r="F88" s="25">
        <v>43012</v>
      </c>
      <c r="G88" s="70" t="s">
        <v>442</v>
      </c>
      <c r="H88" s="9"/>
      <c r="I88" s="8"/>
      <c r="J88" s="8"/>
      <c r="K88" s="8"/>
      <c r="L88" s="8"/>
      <c r="M88" s="8"/>
    </row>
    <row r="89" spans="1:13" x14ac:dyDescent="0.25">
      <c r="A89" s="14" t="s">
        <v>672</v>
      </c>
      <c r="B89" s="67">
        <v>38168161858</v>
      </c>
      <c r="C89" s="72" t="s">
        <v>673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674</v>
      </c>
      <c r="B90" s="67">
        <v>38728353862</v>
      </c>
      <c r="C90" s="72" t="s">
        <v>675</v>
      </c>
      <c r="D90" s="69">
        <v>37650358828</v>
      </c>
      <c r="E90" s="9">
        <v>1417</v>
      </c>
      <c r="F90" s="25">
        <v>43017</v>
      </c>
      <c r="G90" s="70" t="s">
        <v>442</v>
      </c>
      <c r="H90" s="9"/>
      <c r="I90" s="8"/>
      <c r="J90" s="8"/>
      <c r="K90" s="8"/>
      <c r="L90" s="9" t="s">
        <v>676</v>
      </c>
      <c r="M90" s="8"/>
    </row>
    <row r="91" spans="1:13" x14ac:dyDescent="0.25">
      <c r="A91" s="15" t="s">
        <v>677</v>
      </c>
      <c r="B91" s="67">
        <v>29479419858</v>
      </c>
      <c r="C91" s="72" t="s">
        <v>678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679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680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442</v>
      </c>
      <c r="H93" s="9"/>
      <c r="I93" s="8"/>
      <c r="J93" s="8"/>
      <c r="K93" s="8"/>
      <c r="L93" s="8"/>
      <c r="M93" s="8"/>
    </row>
    <row r="94" spans="1:13" x14ac:dyDescent="0.25">
      <c r="A94" s="15" t="s">
        <v>681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442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682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683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442</v>
      </c>
      <c r="H96" s="9"/>
      <c r="I96" s="8"/>
      <c r="J96" s="8"/>
      <c r="K96" s="8"/>
      <c r="L96" s="9" t="s">
        <v>583</v>
      </c>
      <c r="M96" s="8"/>
    </row>
    <row r="97" spans="1:13" x14ac:dyDescent="0.25">
      <c r="A97" s="71" t="s">
        <v>684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442</v>
      </c>
      <c r="H97" s="9"/>
      <c r="I97" s="8"/>
      <c r="J97" s="8"/>
      <c r="K97" s="8"/>
      <c r="L97" s="8"/>
      <c r="M97" s="8"/>
    </row>
    <row r="98" spans="1:13" x14ac:dyDescent="0.25">
      <c r="A98" s="29" t="s">
        <v>685</v>
      </c>
      <c r="B98" s="67">
        <v>3317260505</v>
      </c>
      <c r="C98" s="29" t="s">
        <v>686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687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442</v>
      </c>
      <c r="H99" s="9"/>
      <c r="I99" s="8"/>
      <c r="J99" s="8"/>
      <c r="K99" s="8"/>
      <c r="L99" s="8"/>
      <c r="M99" s="8"/>
    </row>
    <row r="100" spans="1:13" x14ac:dyDescent="0.25">
      <c r="A100" s="15" t="s">
        <v>688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442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689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442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690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442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691</v>
      </c>
      <c r="B103" s="67"/>
      <c r="C103" s="18" t="s">
        <v>552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692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442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693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442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694</v>
      </c>
      <c r="B106" s="67">
        <v>40823037827</v>
      </c>
      <c r="C106" s="72" t="s">
        <v>695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696</v>
      </c>
      <c r="B107" s="67">
        <v>54215625491</v>
      </c>
      <c r="C107" s="18" t="s">
        <v>697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698</v>
      </c>
      <c r="B108" s="67">
        <v>8424740807</v>
      </c>
      <c r="C108" s="18" t="s">
        <v>552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699</v>
      </c>
      <c r="B109" s="67">
        <v>78495857472</v>
      </c>
      <c r="C109" s="72" t="s">
        <v>700</v>
      </c>
      <c r="D109" s="69">
        <v>148572863</v>
      </c>
      <c r="E109" s="9">
        <v>1752</v>
      </c>
      <c r="F109" s="25">
        <v>43051</v>
      </c>
      <c r="G109" s="70" t="s">
        <v>442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701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702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442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703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704</v>
      </c>
      <c r="B113" s="67">
        <v>44444325860</v>
      </c>
      <c r="C113" s="72" t="s">
        <v>705</v>
      </c>
      <c r="D113" s="69">
        <v>36636133805</v>
      </c>
      <c r="E113" s="9">
        <v>292</v>
      </c>
      <c r="F113" s="25">
        <v>43168</v>
      </c>
      <c r="G113" s="70" t="s">
        <v>442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706</v>
      </c>
      <c r="B114" s="67">
        <v>39701017862</v>
      </c>
      <c r="C114" s="72" t="s">
        <v>707</v>
      </c>
      <c r="D114" s="69">
        <v>38933316892</v>
      </c>
      <c r="E114" s="9">
        <v>1350</v>
      </c>
      <c r="F114" s="25">
        <v>43006</v>
      </c>
      <c r="G114" s="70" t="s">
        <v>442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708</v>
      </c>
      <c r="B115" s="67">
        <v>40003107809</v>
      </c>
      <c r="C115" s="72" t="s">
        <v>709</v>
      </c>
      <c r="D115" s="69">
        <v>37929345823</v>
      </c>
      <c r="E115" s="9">
        <v>262</v>
      </c>
      <c r="F115" s="25">
        <v>43160</v>
      </c>
      <c r="G115" s="70" t="s">
        <v>442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710</v>
      </c>
      <c r="B116" s="67">
        <v>38786146831</v>
      </c>
      <c r="C116" s="29" t="s">
        <v>711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712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456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713</v>
      </c>
      <c r="B118" s="67">
        <v>3486705598</v>
      </c>
      <c r="C118" s="72" t="s">
        <v>714</v>
      </c>
      <c r="D118" s="69">
        <v>3581817551</v>
      </c>
      <c r="E118" s="9">
        <v>1752</v>
      </c>
      <c r="F118" s="25">
        <v>43051</v>
      </c>
      <c r="G118" s="70" t="s">
        <v>442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715</v>
      </c>
      <c r="B119" s="67">
        <v>37051125893</v>
      </c>
      <c r="C119" s="72" t="s">
        <v>716</v>
      </c>
      <c r="D119" s="69">
        <v>4303791458</v>
      </c>
      <c r="E119" s="9">
        <v>292</v>
      </c>
      <c r="F119" s="25">
        <v>43168</v>
      </c>
      <c r="G119" s="9" t="s">
        <v>442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717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718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719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442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720</v>
      </c>
      <c r="B123" s="67">
        <v>33879586845</v>
      </c>
      <c r="C123" s="77" t="s">
        <v>721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722</v>
      </c>
      <c r="M123" s="8"/>
    </row>
    <row r="124" spans="1:13" x14ac:dyDescent="0.25">
      <c r="A124" s="72" t="s">
        <v>723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724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725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442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726</v>
      </c>
      <c r="B127" s="67">
        <v>15401963807</v>
      </c>
      <c r="C127" s="72" t="s">
        <v>727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728</v>
      </c>
      <c r="B128" s="67">
        <v>2022016351</v>
      </c>
      <c r="C128" s="72" t="s">
        <v>729</v>
      </c>
      <c r="D128" s="69">
        <v>84914270315</v>
      </c>
      <c r="E128" s="9">
        <v>1106</v>
      </c>
      <c r="F128" s="25">
        <v>42965</v>
      </c>
      <c r="G128" s="70" t="s">
        <v>442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730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731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732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442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733</v>
      </c>
      <c r="B132" s="67">
        <v>1860886558</v>
      </c>
      <c r="C132" s="72" t="s">
        <v>734</v>
      </c>
      <c r="D132" s="69">
        <v>35132798845</v>
      </c>
      <c r="E132" s="9">
        <v>229</v>
      </c>
      <c r="F132" s="25">
        <v>43151</v>
      </c>
      <c r="G132" s="70" t="s">
        <v>442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735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442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736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737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738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442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739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442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740</v>
      </c>
      <c r="B138" s="67">
        <v>42262731845</v>
      </c>
      <c r="C138" s="72" t="s">
        <v>741</v>
      </c>
      <c r="D138" s="69">
        <v>34728432840</v>
      </c>
      <c r="E138" s="9">
        <v>1824</v>
      </c>
      <c r="F138" s="25">
        <v>43091</v>
      </c>
      <c r="G138" s="70" t="s">
        <v>442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742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442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743</v>
      </c>
      <c r="B140" s="67">
        <v>41446773892</v>
      </c>
      <c r="C140" s="72" t="s">
        <v>744</v>
      </c>
      <c r="D140" s="69">
        <v>38180353850</v>
      </c>
      <c r="E140" s="9">
        <v>292</v>
      </c>
      <c r="F140" s="25">
        <v>43168</v>
      </c>
      <c r="G140" s="9" t="s">
        <v>442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745</v>
      </c>
      <c r="B141" s="67">
        <v>1436459354</v>
      </c>
      <c r="C141" s="72" t="s">
        <v>746</v>
      </c>
      <c r="D141" s="69">
        <v>4149263310</v>
      </c>
      <c r="E141" s="9">
        <v>229</v>
      </c>
      <c r="F141" s="25">
        <v>43151</v>
      </c>
      <c r="G141" s="70" t="s">
        <v>442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747</v>
      </c>
      <c r="B142" s="67">
        <v>39953063818</v>
      </c>
      <c r="C142" s="29" t="s">
        <v>748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749</v>
      </c>
      <c r="B143" s="80">
        <v>15371893873</v>
      </c>
      <c r="C143" s="81" t="s">
        <v>750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751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442</v>
      </c>
      <c r="H144" s="9"/>
      <c r="I144" s="8"/>
      <c r="J144" s="8"/>
      <c r="K144" s="8"/>
      <c r="L144" s="9" t="s">
        <v>561</v>
      </c>
      <c r="M144" s="8"/>
    </row>
    <row r="145" spans="1:13" x14ac:dyDescent="0.25">
      <c r="A145" s="73" t="s">
        <v>752</v>
      </c>
      <c r="B145" s="67">
        <v>50773453334</v>
      </c>
      <c r="C145" s="72" t="s">
        <v>753</v>
      </c>
      <c r="D145" s="69">
        <v>51551365391</v>
      </c>
      <c r="E145" s="9">
        <v>1106</v>
      </c>
      <c r="F145" s="25">
        <v>42965</v>
      </c>
      <c r="G145" s="70" t="s">
        <v>448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754</v>
      </c>
      <c r="B146" s="67">
        <v>37805884803</v>
      </c>
      <c r="C146" s="72" t="s">
        <v>755</v>
      </c>
      <c r="D146" s="69">
        <v>35792474842</v>
      </c>
      <c r="E146" s="9">
        <v>262</v>
      </c>
      <c r="F146" s="25">
        <v>43160</v>
      </c>
      <c r="G146" s="9" t="s">
        <v>442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756</v>
      </c>
      <c r="B147" s="67">
        <v>38072219804</v>
      </c>
      <c r="C147" s="72" t="s">
        <v>757</v>
      </c>
      <c r="D147" s="69">
        <v>37125330800</v>
      </c>
      <c r="E147" s="9">
        <v>292</v>
      </c>
      <c r="F147" s="25">
        <v>43168</v>
      </c>
      <c r="G147" s="70" t="s">
        <v>442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758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442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759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760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442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761</v>
      </c>
      <c r="B151" s="67">
        <v>31476352879</v>
      </c>
      <c r="C151" s="72" t="s">
        <v>762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763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442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764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442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765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766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767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768</v>
      </c>
      <c r="B157" s="67">
        <v>86665944468</v>
      </c>
      <c r="C157" s="72" t="s">
        <v>769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770</v>
      </c>
      <c r="B158" s="67">
        <v>39747831805</v>
      </c>
      <c r="C158" s="72" t="s">
        <v>771</v>
      </c>
      <c r="D158" s="69">
        <v>1202056458</v>
      </c>
      <c r="E158" s="9">
        <v>292</v>
      </c>
      <c r="F158" s="25">
        <v>43168</v>
      </c>
      <c r="G158" s="70" t="s">
        <v>442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772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442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773</v>
      </c>
      <c r="B160" s="67"/>
      <c r="C160" s="29" t="s">
        <v>774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775</v>
      </c>
      <c r="B161" s="67">
        <v>38107907884</v>
      </c>
      <c r="C161" s="72" t="s">
        <v>776</v>
      </c>
      <c r="D161" s="69">
        <v>8669747685</v>
      </c>
      <c r="E161" s="9">
        <v>117</v>
      </c>
      <c r="F161" s="25">
        <v>43117</v>
      </c>
      <c r="G161" s="70" t="s">
        <v>442</v>
      </c>
      <c r="H161" s="9"/>
      <c r="I161" s="8"/>
      <c r="J161" s="8"/>
      <c r="K161" s="8"/>
      <c r="L161" s="9" t="s">
        <v>593</v>
      </c>
      <c r="M161" s="8"/>
    </row>
    <row r="162" spans="1:13" x14ac:dyDescent="0.25">
      <c r="A162" s="29" t="s">
        <v>777</v>
      </c>
      <c r="B162" s="67">
        <v>24759436880</v>
      </c>
      <c r="C162" s="29" t="s">
        <v>778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779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442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780</v>
      </c>
      <c r="B164" s="67">
        <v>22537971892</v>
      </c>
      <c r="C164" s="29" t="s">
        <v>781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782</v>
      </c>
      <c r="B165" s="67">
        <v>31362502812</v>
      </c>
      <c r="C165" s="72" t="s">
        <v>783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784</v>
      </c>
      <c r="B166" s="67">
        <v>4625640539</v>
      </c>
      <c r="C166" s="18" t="s">
        <v>785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786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442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787</v>
      </c>
      <c r="B168" s="67">
        <v>22234108802</v>
      </c>
      <c r="C168" s="72" t="s">
        <v>788</v>
      </c>
      <c r="D168" s="69"/>
      <c r="E168" s="9"/>
      <c r="F168" s="25"/>
      <c r="G168" s="70" t="s">
        <v>442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789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790</v>
      </c>
      <c r="B170" s="67">
        <v>182316599</v>
      </c>
      <c r="C170" s="72" t="s">
        <v>791</v>
      </c>
      <c r="D170" s="69">
        <v>73673560549</v>
      </c>
      <c r="E170" s="9">
        <v>292</v>
      </c>
      <c r="F170" s="25">
        <v>43168</v>
      </c>
      <c r="G170" s="9" t="s">
        <v>442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792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442</v>
      </c>
      <c r="H171" s="9"/>
      <c r="I171" s="8">
        <v>117</v>
      </c>
      <c r="J171" s="26">
        <v>43117</v>
      </c>
      <c r="K171" s="26">
        <v>43151</v>
      </c>
      <c r="L171" s="9" t="s">
        <v>676</v>
      </c>
      <c r="M171" s="26"/>
    </row>
    <row r="172" spans="1:13" x14ac:dyDescent="0.25">
      <c r="A172" s="71" t="s">
        <v>793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442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794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442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795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796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442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797</v>
      </c>
      <c r="B176" s="67">
        <v>36777190899</v>
      </c>
      <c r="C176" s="72" t="s">
        <v>798</v>
      </c>
      <c r="D176" s="69">
        <v>37104057854</v>
      </c>
      <c r="E176" s="9">
        <v>810</v>
      </c>
      <c r="F176" s="25">
        <v>42915</v>
      </c>
      <c r="G176" s="70" t="s">
        <v>442</v>
      </c>
      <c r="H176" s="9"/>
      <c r="I176" s="8"/>
      <c r="J176" s="8"/>
      <c r="K176" s="8"/>
      <c r="L176" s="9" t="s">
        <v>561</v>
      </c>
      <c r="M176" s="8"/>
    </row>
    <row r="177" spans="1:13" x14ac:dyDescent="0.25">
      <c r="A177" s="15" t="s">
        <v>799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442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800</v>
      </c>
      <c r="B178" s="67">
        <v>32428102877</v>
      </c>
      <c r="C178" s="72" t="s">
        <v>801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802</v>
      </c>
      <c r="B179" s="67">
        <v>28640229821</v>
      </c>
      <c r="C179" s="72" t="s">
        <v>803</v>
      </c>
      <c r="D179" s="69">
        <v>7752420808</v>
      </c>
      <c r="E179" s="9">
        <v>1106</v>
      </c>
      <c r="F179" s="25">
        <v>42965</v>
      </c>
      <c r="G179" s="70" t="s">
        <v>442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804</v>
      </c>
      <c r="B180" s="67">
        <v>38122976808</v>
      </c>
      <c r="C180" s="29" t="s">
        <v>805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806</v>
      </c>
      <c r="B181" s="67">
        <v>41494645882</v>
      </c>
      <c r="C181" s="72" t="s">
        <v>807</v>
      </c>
      <c r="D181" s="69">
        <v>23413130862</v>
      </c>
      <c r="E181" s="9">
        <v>1824</v>
      </c>
      <c r="F181" s="25">
        <v>43091</v>
      </c>
      <c r="G181" s="70" t="s">
        <v>442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808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442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809</v>
      </c>
      <c r="B183" s="67">
        <v>32882437846</v>
      </c>
      <c r="C183" s="77" t="s">
        <v>810</v>
      </c>
      <c r="D183" s="69" t="s">
        <v>811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812</v>
      </c>
      <c r="B184" s="67">
        <v>40733908802</v>
      </c>
      <c r="C184" s="72" t="s">
        <v>813</v>
      </c>
      <c r="D184" s="69"/>
      <c r="E184" s="9">
        <v>1128</v>
      </c>
      <c r="F184" s="25">
        <v>42972</v>
      </c>
      <c r="G184" s="70" t="s">
        <v>442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814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815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442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816</v>
      </c>
      <c r="B187" s="67">
        <v>32321499877</v>
      </c>
      <c r="C187" s="72" t="s">
        <v>817</v>
      </c>
      <c r="D187" s="69">
        <v>4788348373</v>
      </c>
      <c r="E187" s="9">
        <v>292</v>
      </c>
      <c r="F187" s="25">
        <v>43168</v>
      </c>
      <c r="G187" s="70" t="s">
        <v>442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818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442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819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442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820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456</v>
      </c>
      <c r="H190" s="9"/>
      <c r="I190" s="8"/>
      <c r="J190" s="8"/>
      <c r="K190" s="8"/>
      <c r="L190" s="9" t="s">
        <v>821</v>
      </c>
      <c r="M190" s="8"/>
    </row>
    <row r="191" spans="1:13" x14ac:dyDescent="0.25">
      <c r="A191" s="13" t="s">
        <v>822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442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823</v>
      </c>
      <c r="B192" s="67">
        <v>16700300835</v>
      </c>
      <c r="C192" s="72" t="s">
        <v>824</v>
      </c>
      <c r="D192" s="69">
        <v>28699951809</v>
      </c>
      <c r="E192" s="9">
        <v>262</v>
      </c>
      <c r="F192" s="25">
        <v>43160</v>
      </c>
      <c r="G192" s="70" t="s">
        <v>442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825</v>
      </c>
      <c r="B193" s="67">
        <v>33595120817</v>
      </c>
      <c r="C193" s="68" t="s">
        <v>826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827</v>
      </c>
      <c r="B194" s="67">
        <v>40386203873</v>
      </c>
      <c r="C194" s="68" t="s">
        <v>828</v>
      </c>
      <c r="D194" s="69">
        <v>27988479822</v>
      </c>
      <c r="E194" s="9">
        <v>1128</v>
      </c>
      <c r="F194" s="25">
        <v>42972</v>
      </c>
      <c r="G194" s="70" t="s">
        <v>442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829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830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831</v>
      </c>
      <c r="B197" s="67">
        <v>23473254851</v>
      </c>
      <c r="C197" s="72" t="s">
        <v>832</v>
      </c>
      <c r="D197" s="69">
        <v>32944503898</v>
      </c>
      <c r="E197" s="9">
        <v>85</v>
      </c>
      <c r="F197" s="25">
        <v>43109</v>
      </c>
      <c r="G197" s="70" t="s">
        <v>442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833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442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834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442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835</v>
      </c>
      <c r="B200" s="67">
        <v>2218915871</v>
      </c>
      <c r="C200" s="72" t="s">
        <v>836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837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838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839</v>
      </c>
      <c r="B203" s="67">
        <v>31793836825</v>
      </c>
      <c r="C203" s="72" t="s">
        <v>840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841</v>
      </c>
      <c r="B204" s="67">
        <v>41307266843</v>
      </c>
      <c r="C204" s="18" t="s">
        <v>842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843</v>
      </c>
      <c r="B205" s="67">
        <v>96683295549</v>
      </c>
      <c r="C205" s="72"/>
      <c r="D205" s="69"/>
      <c r="E205" s="9"/>
      <c r="F205" s="25"/>
      <c r="G205" s="70" t="s">
        <v>442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844</v>
      </c>
      <c r="B206" s="67">
        <v>18965913888</v>
      </c>
      <c r="C206" s="72" t="s">
        <v>845</v>
      </c>
      <c r="D206" s="69">
        <v>30385646801</v>
      </c>
      <c r="E206" s="9">
        <v>117</v>
      </c>
      <c r="F206" s="25">
        <v>43117</v>
      </c>
      <c r="G206" s="70" t="s">
        <v>442</v>
      </c>
      <c r="H206" s="9"/>
      <c r="I206" s="8"/>
      <c r="J206" s="8"/>
      <c r="K206" s="8"/>
      <c r="L206" s="9" t="s">
        <v>593</v>
      </c>
      <c r="M206" s="8"/>
    </row>
    <row r="207" spans="1:13" x14ac:dyDescent="0.25">
      <c r="A207" s="29" t="s">
        <v>846</v>
      </c>
      <c r="B207" s="67">
        <v>52371501875</v>
      </c>
      <c r="C207" s="18" t="s">
        <v>552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847</v>
      </c>
      <c r="B208" s="67"/>
      <c r="C208" s="18" t="s">
        <v>552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848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849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850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448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851</v>
      </c>
      <c r="B212" s="67">
        <v>25897391840</v>
      </c>
      <c r="C212" s="72" t="s">
        <v>852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853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854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855</v>
      </c>
      <c r="B215" s="67">
        <v>32841222810</v>
      </c>
      <c r="C215" s="72" t="s">
        <v>856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857</v>
      </c>
      <c r="B216" s="67">
        <v>32242692860</v>
      </c>
      <c r="C216" s="72" t="s">
        <v>858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859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860</v>
      </c>
      <c r="B218" s="67">
        <v>35157366892</v>
      </c>
      <c r="C218" s="72" t="s">
        <v>861</v>
      </c>
      <c r="D218" s="69">
        <v>7540659440</v>
      </c>
      <c r="E218" s="9">
        <v>262</v>
      </c>
      <c r="F218" s="25">
        <v>43160</v>
      </c>
      <c r="G218" s="70" t="s">
        <v>442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862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442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863</v>
      </c>
      <c r="B220" s="67">
        <v>86052484594</v>
      </c>
      <c r="C220" s="72" t="s">
        <v>864</v>
      </c>
      <c r="D220" s="69">
        <v>5551698556</v>
      </c>
      <c r="E220" s="9">
        <v>117</v>
      </c>
      <c r="F220" s="25">
        <v>43117</v>
      </c>
      <c r="G220" s="70" t="s">
        <v>442</v>
      </c>
      <c r="H220" s="70"/>
      <c r="I220" s="8"/>
      <c r="J220" s="8"/>
      <c r="K220" s="8"/>
      <c r="L220" s="9" t="s">
        <v>593</v>
      </c>
      <c r="M220" s="8"/>
    </row>
    <row r="221" spans="1:13" x14ac:dyDescent="0.25">
      <c r="A221" s="15" t="s">
        <v>865</v>
      </c>
      <c r="B221" s="67">
        <v>32193061874</v>
      </c>
      <c r="C221" s="72" t="s">
        <v>866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867</v>
      </c>
      <c r="B222" s="67">
        <v>32729382810</v>
      </c>
      <c r="C222" s="29" t="s">
        <v>868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869</v>
      </c>
      <c r="B223" s="67">
        <v>32554462879</v>
      </c>
      <c r="C223" s="72" t="s">
        <v>870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871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872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873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874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442</v>
      </c>
      <c r="H227" s="70"/>
      <c r="I227" s="8"/>
      <c r="J227" s="8"/>
      <c r="K227" s="8"/>
      <c r="L227" s="9" t="s">
        <v>561</v>
      </c>
      <c r="M227" s="8"/>
    </row>
    <row r="228" spans="1:13" x14ac:dyDescent="0.25">
      <c r="A228" s="72" t="s">
        <v>875</v>
      </c>
      <c r="B228" s="67">
        <v>39961258878</v>
      </c>
      <c r="C228" s="72" t="s">
        <v>876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877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878</v>
      </c>
      <c r="B230" s="67">
        <v>35719819878</v>
      </c>
      <c r="C230" s="72" t="s">
        <v>879</v>
      </c>
      <c r="D230" s="69">
        <v>11407737473</v>
      </c>
      <c r="E230" s="9">
        <v>1214</v>
      </c>
      <c r="F230" s="25">
        <v>42989</v>
      </c>
      <c r="G230" s="70" t="s">
        <v>442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880</v>
      </c>
      <c r="B231" s="67">
        <v>45813645829</v>
      </c>
      <c r="C231" s="68" t="s">
        <v>881</v>
      </c>
      <c r="D231" s="69">
        <v>40890894841</v>
      </c>
      <c r="E231" s="9">
        <v>1752</v>
      </c>
      <c r="F231" s="25">
        <v>43051</v>
      </c>
      <c r="G231" s="70" t="s">
        <v>442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882</v>
      </c>
      <c r="B232" s="67">
        <v>43811085824</v>
      </c>
      <c r="C232" s="15" t="s">
        <v>883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884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722</v>
      </c>
      <c r="M233" s="8"/>
    </row>
    <row r="234" spans="1:13" x14ac:dyDescent="0.25">
      <c r="A234" s="29" t="s">
        <v>885</v>
      </c>
      <c r="B234" s="67"/>
      <c r="C234" s="18" t="s">
        <v>552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886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887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442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888</v>
      </c>
      <c r="B237" s="67">
        <v>86221152593</v>
      </c>
      <c r="C237" s="72" t="s">
        <v>889</v>
      </c>
      <c r="D237" s="69">
        <v>3688414560</v>
      </c>
      <c r="E237" s="9">
        <v>1214</v>
      </c>
      <c r="F237" s="25">
        <v>42989</v>
      </c>
      <c r="G237" s="70" t="s">
        <v>442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890</v>
      </c>
      <c r="B238" s="67">
        <v>5918222456</v>
      </c>
      <c r="C238" s="72" t="s">
        <v>891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892</v>
      </c>
      <c r="B239" s="67">
        <v>37239200809</v>
      </c>
      <c r="C239" s="72" t="s">
        <v>893</v>
      </c>
      <c r="D239" s="69">
        <v>36014828869</v>
      </c>
      <c r="E239" s="9">
        <v>1350</v>
      </c>
      <c r="F239" s="25">
        <v>43006</v>
      </c>
      <c r="G239" s="70" t="s">
        <v>442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894</v>
      </c>
      <c r="B240" s="67">
        <v>6620279813</v>
      </c>
      <c r="C240" s="72" t="s">
        <v>895</v>
      </c>
      <c r="D240" s="69">
        <v>18461089855</v>
      </c>
      <c r="E240" s="9">
        <v>1824</v>
      </c>
      <c r="F240" s="25">
        <v>43091</v>
      </c>
      <c r="G240" s="70" t="s">
        <v>442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896</v>
      </c>
      <c r="B241" s="67">
        <v>11805424874</v>
      </c>
      <c r="C241" s="77" t="s">
        <v>897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898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442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899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442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900</v>
      </c>
      <c r="B244" s="67">
        <v>34001342871</v>
      </c>
      <c r="C244" s="18" t="s">
        <v>901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902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442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903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904</v>
      </c>
      <c r="B247" s="67">
        <v>1308082533</v>
      </c>
      <c r="C247" s="72" t="s">
        <v>905</v>
      </c>
      <c r="D247" s="69">
        <v>73690139520</v>
      </c>
      <c r="E247" s="9">
        <v>262</v>
      </c>
      <c r="F247" s="25">
        <v>43160</v>
      </c>
      <c r="G247" s="70" t="s">
        <v>442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906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442</v>
      </c>
      <c r="H248" s="70"/>
      <c r="I248" s="8"/>
      <c r="J248" s="8"/>
      <c r="K248" s="8"/>
      <c r="L248" s="9" t="s">
        <v>593</v>
      </c>
      <c r="M248" s="8"/>
    </row>
    <row r="249" spans="1:13" x14ac:dyDescent="0.25">
      <c r="A249" s="71" t="s">
        <v>907</v>
      </c>
      <c r="B249" s="67">
        <v>4068496846</v>
      </c>
      <c r="C249" s="72" t="s">
        <v>908</v>
      </c>
      <c r="D249" s="69">
        <v>26922524896</v>
      </c>
      <c r="E249" s="9">
        <v>1752</v>
      </c>
      <c r="F249" s="25">
        <v>43051</v>
      </c>
      <c r="G249" s="70" t="s">
        <v>442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909</v>
      </c>
      <c r="B250" s="67">
        <v>92175163849</v>
      </c>
      <c r="C250" s="72" t="s">
        <v>910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911</v>
      </c>
      <c r="B251" s="67">
        <v>76906388304</v>
      </c>
      <c r="C251" s="18" t="s">
        <v>912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913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442</v>
      </c>
      <c r="H252" s="70"/>
      <c r="I252" s="8"/>
      <c r="J252" s="8"/>
      <c r="K252" s="8"/>
      <c r="L252" s="9" t="s">
        <v>593</v>
      </c>
      <c r="M252" s="8"/>
    </row>
    <row r="253" spans="1:13" x14ac:dyDescent="0.25">
      <c r="A253" s="71" t="s">
        <v>914</v>
      </c>
      <c r="B253" s="67">
        <v>2925106323</v>
      </c>
      <c r="C253" s="72" t="s">
        <v>915</v>
      </c>
      <c r="D253" s="69">
        <v>16131378851</v>
      </c>
      <c r="E253" s="9">
        <v>1214</v>
      </c>
      <c r="F253" s="25">
        <v>42989</v>
      </c>
      <c r="G253" s="70" t="s">
        <v>442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916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442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917</v>
      </c>
      <c r="B255" s="67">
        <v>30871120895</v>
      </c>
      <c r="C255" s="68" t="s">
        <v>918</v>
      </c>
      <c r="D255" s="69">
        <v>7635106457</v>
      </c>
      <c r="E255" s="9">
        <v>1241</v>
      </c>
      <c r="F255" s="25">
        <v>42992</v>
      </c>
      <c r="G255" s="70" t="s">
        <v>442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919</v>
      </c>
      <c r="B256" s="67">
        <v>32016102837</v>
      </c>
      <c r="C256" s="72" t="s">
        <v>920</v>
      </c>
      <c r="D256" s="69">
        <v>25077406553</v>
      </c>
      <c r="E256" s="9">
        <v>292</v>
      </c>
      <c r="F256" s="25">
        <v>43168</v>
      </c>
      <c r="G256" s="70" t="s">
        <v>442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921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922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923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924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442</v>
      </c>
      <c r="H260" s="70"/>
      <c r="I260" s="8"/>
      <c r="J260" s="8"/>
      <c r="K260" s="8"/>
      <c r="L260" s="9" t="s">
        <v>925</v>
      </c>
      <c r="M260" s="8"/>
    </row>
    <row r="261" spans="1:13" x14ac:dyDescent="0.25">
      <c r="A261" s="15" t="s">
        <v>926</v>
      </c>
      <c r="B261" s="67">
        <v>18856620847</v>
      </c>
      <c r="C261" s="72" t="s">
        <v>927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928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929</v>
      </c>
      <c r="B263" s="67">
        <v>2766966382</v>
      </c>
      <c r="C263" s="72" t="s">
        <v>930</v>
      </c>
      <c r="D263" s="69">
        <v>2385838303</v>
      </c>
      <c r="E263" s="9">
        <v>262</v>
      </c>
      <c r="F263" s="25">
        <v>43160</v>
      </c>
      <c r="G263" s="70" t="s">
        <v>442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931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932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442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933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442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934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442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935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442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936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442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937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938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442</v>
      </c>
      <c r="H271" s="70"/>
      <c r="I271" s="8"/>
      <c r="J271" s="8"/>
      <c r="K271" s="8"/>
      <c r="L271" s="9" t="s">
        <v>583</v>
      </c>
      <c r="M271" s="8"/>
    </row>
    <row r="272" spans="1:13" x14ac:dyDescent="0.25">
      <c r="A272" s="71" t="s">
        <v>939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940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442</v>
      </c>
      <c r="H273" s="70"/>
      <c r="I273" s="8"/>
      <c r="J273" s="8"/>
      <c r="K273" s="8"/>
      <c r="L273" s="9" t="s">
        <v>583</v>
      </c>
      <c r="M273" s="8"/>
    </row>
    <row r="274" spans="1:13" x14ac:dyDescent="0.25">
      <c r="A274" s="71" t="s">
        <v>941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442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942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943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442</v>
      </c>
      <c r="H276" s="70"/>
      <c r="I276" s="8"/>
      <c r="J276" s="8"/>
      <c r="K276" s="8"/>
      <c r="L276" s="9" t="s">
        <v>561</v>
      </c>
      <c r="M276" s="8"/>
    </row>
    <row r="277" spans="1:13" x14ac:dyDescent="0.25">
      <c r="A277" s="13" t="s">
        <v>944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945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442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946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947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442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948</v>
      </c>
      <c r="B281" s="67">
        <v>5261128838</v>
      </c>
      <c r="C281" s="72" t="s">
        <v>949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950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951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952</v>
      </c>
      <c r="B284" s="67"/>
      <c r="C284" s="29" t="s">
        <v>552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953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442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954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955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442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956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442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957</v>
      </c>
      <c r="B289" s="67">
        <v>80117694304</v>
      </c>
      <c r="C289" s="72" t="s">
        <v>958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959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960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961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962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963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442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964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442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965</v>
      </c>
      <c r="B296" s="67">
        <v>34227913888</v>
      </c>
      <c r="C296" s="72" t="s">
        <v>966</v>
      </c>
      <c r="D296" s="69">
        <v>22306586896</v>
      </c>
      <c r="E296" s="9">
        <v>1214</v>
      </c>
      <c r="F296" s="25">
        <v>42989</v>
      </c>
      <c r="G296" s="70" t="s">
        <v>442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967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442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968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448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969</v>
      </c>
      <c r="B299" s="67">
        <v>33547844827</v>
      </c>
      <c r="C299" s="72" t="s">
        <v>970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971</v>
      </c>
      <c r="B300" s="67"/>
      <c r="C300" s="18" t="s">
        <v>552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972</v>
      </c>
      <c r="B301" s="67">
        <v>5212801842</v>
      </c>
      <c r="C301" s="72" t="s">
        <v>973</v>
      </c>
      <c r="D301" s="69">
        <v>7101207880</v>
      </c>
      <c r="E301" s="9">
        <v>262</v>
      </c>
      <c r="F301" s="25">
        <v>43160</v>
      </c>
      <c r="G301" s="70" t="s">
        <v>442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974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442</v>
      </c>
      <c r="H302" s="9"/>
      <c r="I302" s="8"/>
      <c r="J302" s="8"/>
      <c r="K302" s="8"/>
      <c r="L302" s="9" t="s">
        <v>561</v>
      </c>
      <c r="M302" s="8"/>
    </row>
    <row r="303" spans="1:13" x14ac:dyDescent="0.25">
      <c r="A303" s="71" t="s">
        <v>975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442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976</v>
      </c>
      <c r="B304" s="67"/>
      <c r="C304" s="29" t="s">
        <v>977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978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442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979</v>
      </c>
      <c r="B306" s="67">
        <v>43257974833</v>
      </c>
      <c r="C306" s="18" t="s">
        <v>552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980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442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981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982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442</v>
      </c>
      <c r="H309" s="9"/>
      <c r="I309" s="8"/>
      <c r="J309" s="8"/>
      <c r="K309" s="8"/>
      <c r="L309" s="9" t="s">
        <v>561</v>
      </c>
      <c r="M309" s="8"/>
    </row>
    <row r="310" spans="1:13" x14ac:dyDescent="0.25">
      <c r="A310" s="13" t="s">
        <v>983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442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984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442</v>
      </c>
      <c r="H311" s="9"/>
      <c r="I311" s="8"/>
      <c r="J311" s="8"/>
      <c r="K311" s="8"/>
      <c r="L311" s="9" t="s">
        <v>583</v>
      </c>
      <c r="M311" s="8"/>
    </row>
    <row r="312" spans="1:13" x14ac:dyDescent="0.25">
      <c r="A312" s="18" t="s">
        <v>985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986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442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987</v>
      </c>
      <c r="B314" s="67">
        <v>56647751300</v>
      </c>
      <c r="C314" s="72" t="s">
        <v>988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989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442</v>
      </c>
      <c r="H315" s="9"/>
      <c r="I315" s="8"/>
      <c r="J315" s="8"/>
      <c r="K315" s="8"/>
      <c r="L315" s="9" t="s">
        <v>583</v>
      </c>
      <c r="M315" s="8"/>
    </row>
    <row r="316" spans="1:13" x14ac:dyDescent="0.25">
      <c r="A316" s="71" t="s">
        <v>990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991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442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992</v>
      </c>
      <c r="B318" s="67">
        <v>42049249802</v>
      </c>
      <c r="C318" s="72" t="s">
        <v>993</v>
      </c>
      <c r="D318" s="69">
        <v>22669338844</v>
      </c>
      <c r="E318" s="9">
        <v>1267</v>
      </c>
      <c r="F318" s="25">
        <v>42998</v>
      </c>
      <c r="G318" s="70" t="s">
        <v>442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994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442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995</v>
      </c>
      <c r="B320" s="67">
        <v>1863847502</v>
      </c>
      <c r="C320" s="72" t="s">
        <v>996</v>
      </c>
      <c r="D320" s="69">
        <v>1636882579</v>
      </c>
      <c r="E320" s="9">
        <v>292</v>
      </c>
      <c r="F320" s="25">
        <v>43168</v>
      </c>
      <c r="G320" s="70" t="s">
        <v>442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997</v>
      </c>
      <c r="B321" s="67">
        <v>24759459820</v>
      </c>
      <c r="C321" s="18" t="s">
        <v>998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999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442</v>
      </c>
      <c r="H322" s="9"/>
      <c r="I322" s="8"/>
      <c r="J322" s="8"/>
      <c r="K322" s="8"/>
      <c r="L322" s="9" t="s">
        <v>821</v>
      </c>
      <c r="M322" s="8"/>
    </row>
    <row r="323" spans="1:13" x14ac:dyDescent="0.25">
      <c r="A323" s="29" t="s">
        <v>1000</v>
      </c>
      <c r="B323" s="67"/>
      <c r="C323" s="18" t="s">
        <v>552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1001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442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1002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1003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442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1004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1005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1006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442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1007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442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1008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442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1009</v>
      </c>
      <c r="B332" s="67">
        <v>43830821816</v>
      </c>
      <c r="C332" s="72" t="s">
        <v>1010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1011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456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1012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1013</v>
      </c>
      <c r="B335" s="67">
        <v>26501719879</v>
      </c>
      <c r="C335" s="75" t="s">
        <v>1014</v>
      </c>
      <c r="D335" s="69">
        <v>26502973876</v>
      </c>
      <c r="E335" s="9">
        <v>1106</v>
      </c>
      <c r="F335" s="25">
        <v>42965</v>
      </c>
      <c r="G335" s="70" t="s">
        <v>442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1015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442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1016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1017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442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1018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1019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1020</v>
      </c>
      <c r="B341" s="67">
        <v>33603802829</v>
      </c>
      <c r="C341" s="72" t="s">
        <v>1021</v>
      </c>
      <c r="D341" s="69">
        <v>26302620813</v>
      </c>
      <c r="E341" s="9">
        <v>1262</v>
      </c>
      <c r="F341" s="25">
        <v>42997</v>
      </c>
      <c r="G341" s="70" t="s">
        <v>442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1022</v>
      </c>
      <c r="B342" s="67">
        <v>23802013824</v>
      </c>
      <c r="C342" s="72" t="s">
        <v>1023</v>
      </c>
      <c r="D342" s="69">
        <v>23099249890</v>
      </c>
      <c r="E342" s="9">
        <v>1489</v>
      </c>
      <c r="F342" s="25">
        <v>43038</v>
      </c>
      <c r="G342" s="70" t="s">
        <v>442</v>
      </c>
      <c r="H342" s="9"/>
      <c r="I342" s="8"/>
      <c r="J342" s="8"/>
      <c r="K342" s="8"/>
      <c r="L342" s="9" t="s">
        <v>583</v>
      </c>
      <c r="M342" s="8"/>
    </row>
    <row r="343" spans="1:13" x14ac:dyDescent="0.25">
      <c r="A343" s="71" t="s">
        <v>1024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1025</v>
      </c>
      <c r="B344" s="67">
        <v>39348497847</v>
      </c>
      <c r="C344" s="72" t="s">
        <v>1026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1027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442</v>
      </c>
      <c r="H345" s="9"/>
      <c r="I345" s="8"/>
      <c r="J345" s="8"/>
      <c r="K345" s="8"/>
      <c r="L345" s="9" t="s">
        <v>583</v>
      </c>
      <c r="M345" s="8"/>
    </row>
    <row r="346" spans="1:13" x14ac:dyDescent="0.25">
      <c r="A346" s="71" t="s">
        <v>1028</v>
      </c>
      <c r="B346" s="67">
        <v>46102945832</v>
      </c>
      <c r="C346" s="72" t="s">
        <v>1029</v>
      </c>
      <c r="D346" s="69">
        <v>48110319890</v>
      </c>
      <c r="E346" s="9">
        <v>262</v>
      </c>
      <c r="F346" s="25">
        <v>43160</v>
      </c>
      <c r="G346" s="70" t="s">
        <v>442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1030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442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1031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1032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456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1033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442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1034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1035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442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1036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442</v>
      </c>
      <c r="H353" s="9"/>
      <c r="I353" s="8"/>
      <c r="J353" s="8"/>
      <c r="K353" s="8"/>
      <c r="L353" s="9" t="s">
        <v>676</v>
      </c>
      <c r="M353" s="8"/>
    </row>
    <row r="354" spans="1:13" x14ac:dyDescent="0.25">
      <c r="A354" s="15" t="s">
        <v>1037</v>
      </c>
      <c r="B354" s="67">
        <v>37738978805</v>
      </c>
      <c r="C354" s="15" t="s">
        <v>1038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1039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1040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1041</v>
      </c>
      <c r="B357" s="67">
        <v>37439665813</v>
      </c>
      <c r="C357" s="72" t="s">
        <v>1042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722</v>
      </c>
      <c r="M357" s="8"/>
    </row>
    <row r="358" spans="1:13" x14ac:dyDescent="0.25">
      <c r="A358" s="15" t="s">
        <v>1043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1044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1045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442</v>
      </c>
      <c r="H360" s="9"/>
      <c r="I360" s="8"/>
      <c r="J360" s="8"/>
      <c r="K360" s="8"/>
      <c r="L360" s="9" t="s">
        <v>925</v>
      </c>
      <c r="M360" s="8"/>
    </row>
    <row r="361" spans="1:13" x14ac:dyDescent="0.25">
      <c r="A361" s="15" t="s">
        <v>1046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1047</v>
      </c>
      <c r="B362" s="67">
        <v>39263170860</v>
      </c>
      <c r="C362" s="72" t="s">
        <v>1048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1049</v>
      </c>
      <c r="B363" s="67">
        <v>17803665829</v>
      </c>
      <c r="C363" s="72" t="s">
        <v>1050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1051</v>
      </c>
      <c r="B364" s="67">
        <v>39996489884</v>
      </c>
      <c r="C364" s="72" t="s">
        <v>1052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1053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442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1054</v>
      </c>
      <c r="B366" s="67">
        <v>36210371876</v>
      </c>
      <c r="C366" s="72" t="s">
        <v>1055</v>
      </c>
      <c r="D366" s="69">
        <v>32340716837</v>
      </c>
      <c r="E366" s="9">
        <v>229</v>
      </c>
      <c r="F366" s="25">
        <v>43151</v>
      </c>
      <c r="G366" s="70" t="s">
        <v>442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1056</v>
      </c>
      <c r="B367" s="67">
        <v>42016007850</v>
      </c>
      <c r="C367" s="72" t="s">
        <v>1057</v>
      </c>
      <c r="D367" s="69">
        <v>35228090843</v>
      </c>
      <c r="E367" s="9">
        <v>810</v>
      </c>
      <c r="F367" s="25">
        <v>42915</v>
      </c>
      <c r="G367" s="70" t="s">
        <v>442</v>
      </c>
      <c r="H367" s="9"/>
      <c r="I367" s="8"/>
      <c r="J367" s="8"/>
      <c r="K367" s="8"/>
      <c r="L367" s="9" t="s">
        <v>561</v>
      </c>
      <c r="M367" s="8"/>
    </row>
    <row r="368" spans="1:13" x14ac:dyDescent="0.25">
      <c r="A368" s="14" t="s">
        <v>1058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442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1059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442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1060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442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1061</v>
      </c>
      <c r="B371" s="67">
        <v>34350558802</v>
      </c>
      <c r="C371" s="18" t="s">
        <v>1062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1063</v>
      </c>
      <c r="B372" s="67">
        <v>41502336839</v>
      </c>
      <c r="C372" s="77" t="s">
        <v>1064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1065</v>
      </c>
      <c r="B373" s="67">
        <v>38156943880</v>
      </c>
      <c r="C373" s="72" t="s">
        <v>1066</v>
      </c>
      <c r="D373" s="69">
        <v>35830934884</v>
      </c>
      <c r="E373" s="9">
        <v>262</v>
      </c>
      <c r="F373" s="25">
        <v>43160</v>
      </c>
      <c r="G373" s="70" t="s">
        <v>442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1067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442</v>
      </c>
      <c r="H374" s="9"/>
      <c r="I374" s="8"/>
      <c r="J374" s="8"/>
      <c r="K374" s="8"/>
      <c r="L374" s="9" t="s">
        <v>561</v>
      </c>
      <c r="M374" s="8"/>
    </row>
    <row r="375" spans="1:13" x14ac:dyDescent="0.25">
      <c r="A375" s="71" t="s">
        <v>1068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442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1069</v>
      </c>
      <c r="B376" s="67" t="s">
        <v>1070</v>
      </c>
      <c r="C376" s="73" t="s">
        <v>1071</v>
      </c>
      <c r="D376" s="69" t="s">
        <v>1072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1073</v>
      </c>
      <c r="B377" s="67">
        <v>41104888858</v>
      </c>
      <c r="C377" s="72" t="s">
        <v>1074</v>
      </c>
      <c r="D377" s="69">
        <v>35714357884</v>
      </c>
      <c r="E377" s="9">
        <v>810</v>
      </c>
      <c r="F377" s="25">
        <v>42915</v>
      </c>
      <c r="G377" s="70" t="s">
        <v>442</v>
      </c>
      <c r="H377" s="9"/>
      <c r="I377" s="8"/>
      <c r="J377" s="8"/>
      <c r="K377" s="8"/>
      <c r="L377" s="9" t="s">
        <v>561</v>
      </c>
      <c r="M377" s="8"/>
    </row>
    <row r="378" spans="1:13" x14ac:dyDescent="0.25">
      <c r="A378" s="71" t="s">
        <v>1075</v>
      </c>
      <c r="B378" s="67">
        <v>34954516846</v>
      </c>
      <c r="C378" s="72" t="s">
        <v>1076</v>
      </c>
      <c r="D378" s="69">
        <v>18356312825</v>
      </c>
      <c r="E378" s="9">
        <v>1824</v>
      </c>
      <c r="F378" s="25">
        <v>43091</v>
      </c>
      <c r="G378" s="70" t="s">
        <v>456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1077</v>
      </c>
      <c r="B379" s="67"/>
      <c r="C379" s="29" t="s">
        <v>1078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1079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442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1080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442</v>
      </c>
      <c r="H381" s="9"/>
      <c r="I381" s="8"/>
      <c r="J381" s="8"/>
      <c r="K381" s="8"/>
      <c r="L381" s="9" t="s">
        <v>583</v>
      </c>
      <c r="M381" s="8"/>
    </row>
    <row r="382" spans="1:13" x14ac:dyDescent="0.25">
      <c r="A382" s="71" t="s">
        <v>1081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1082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442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1083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442</v>
      </c>
      <c r="H384" s="9"/>
      <c r="I384" s="8"/>
      <c r="J384" s="8"/>
      <c r="K384" s="8"/>
      <c r="L384" s="9" t="s">
        <v>583</v>
      </c>
      <c r="M384" s="8"/>
    </row>
    <row r="385" spans="1:13" x14ac:dyDescent="0.25">
      <c r="A385" s="15" t="s">
        <v>1084</v>
      </c>
      <c r="B385" s="67">
        <v>33239238802</v>
      </c>
      <c r="C385" s="72" t="s">
        <v>1085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1086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1087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442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1088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448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1089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442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1090</v>
      </c>
      <c r="B390" s="67">
        <v>13486189816</v>
      </c>
      <c r="C390" s="72" t="s">
        <v>1091</v>
      </c>
      <c r="D390" s="69">
        <v>15745057858</v>
      </c>
      <c r="E390" s="9">
        <v>262</v>
      </c>
      <c r="F390" s="25">
        <v>43160</v>
      </c>
      <c r="G390" s="70" t="s">
        <v>442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1092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442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1093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442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1094</v>
      </c>
      <c r="B393" s="67">
        <v>29672702884</v>
      </c>
      <c r="C393" s="72" t="s">
        <v>1095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1096</v>
      </c>
      <c r="B394" s="67"/>
      <c r="C394" s="29" t="s">
        <v>552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1097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442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1098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442</v>
      </c>
      <c r="H396" s="9"/>
      <c r="I396" s="8"/>
      <c r="J396" s="8"/>
      <c r="K396" s="8"/>
      <c r="L396" s="9" t="s">
        <v>593</v>
      </c>
      <c r="M396" s="8"/>
    </row>
    <row r="397" spans="1:13" x14ac:dyDescent="0.25">
      <c r="A397" s="15" t="s">
        <v>1099</v>
      </c>
      <c r="B397" s="67">
        <v>7030224582</v>
      </c>
      <c r="C397" s="72" t="s">
        <v>1100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1101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442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1102</v>
      </c>
      <c r="B399" s="67">
        <v>39783437895</v>
      </c>
      <c r="C399" s="72" t="s">
        <v>1103</v>
      </c>
      <c r="D399" s="69">
        <v>12062296754</v>
      </c>
      <c r="E399" s="9">
        <v>292</v>
      </c>
      <c r="F399" s="25">
        <v>43168</v>
      </c>
      <c r="G399" s="9" t="s">
        <v>442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1104</v>
      </c>
      <c r="B400" s="67">
        <v>41759713864</v>
      </c>
      <c r="C400" s="72" t="s">
        <v>1105</v>
      </c>
      <c r="D400" s="69">
        <v>38653116877</v>
      </c>
      <c r="E400" s="9">
        <v>1824</v>
      </c>
      <c r="F400" s="25">
        <v>43091</v>
      </c>
      <c r="G400" s="70" t="s">
        <v>442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1106</v>
      </c>
      <c r="B401" s="67">
        <v>37686754839</v>
      </c>
      <c r="C401" s="72" t="s">
        <v>1107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1108</v>
      </c>
      <c r="B402" s="67"/>
      <c r="C402" s="29" t="s">
        <v>1109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1110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442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1111</v>
      </c>
      <c r="B404" s="67">
        <v>44864217874</v>
      </c>
      <c r="C404" s="72" t="s">
        <v>1112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1113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442</v>
      </c>
      <c r="H405" s="9"/>
      <c r="I405" s="8"/>
      <c r="J405" s="8"/>
      <c r="K405" s="8"/>
      <c r="L405" s="9" t="s">
        <v>676</v>
      </c>
      <c r="M405" s="8"/>
    </row>
    <row r="406" spans="1:13" x14ac:dyDescent="0.25">
      <c r="A406" s="15" t="s">
        <v>1114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442</v>
      </c>
      <c r="H406" s="9"/>
      <c r="I406" s="8"/>
      <c r="J406" s="8"/>
      <c r="K406" s="8"/>
      <c r="L406" s="9" t="s">
        <v>593</v>
      </c>
      <c r="M406" s="8"/>
    </row>
    <row r="407" spans="1:13" x14ac:dyDescent="0.25">
      <c r="A407" s="13" t="s">
        <v>1115</v>
      </c>
      <c r="B407" s="67">
        <v>1329442512</v>
      </c>
      <c r="C407" s="68" t="s">
        <v>1116</v>
      </c>
      <c r="D407" s="69">
        <v>1320825516</v>
      </c>
      <c r="E407" s="9">
        <v>1214</v>
      </c>
      <c r="F407" s="25">
        <v>42989</v>
      </c>
      <c r="G407" s="70" t="s">
        <v>442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1117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1118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1119</v>
      </c>
      <c r="B410" s="67"/>
      <c r="C410" s="29" t="s">
        <v>552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1120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442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1121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442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1122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1123</v>
      </c>
      <c r="B414" s="67">
        <v>93440340520</v>
      </c>
      <c r="C414" s="68" t="s">
        <v>1124</v>
      </c>
      <c r="D414" s="69">
        <v>8858333845</v>
      </c>
      <c r="E414" s="9">
        <v>1267</v>
      </c>
      <c r="F414" s="25">
        <v>42998</v>
      </c>
      <c r="G414" s="70" t="s">
        <v>442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1125</v>
      </c>
      <c r="B415" s="67">
        <v>21947877801</v>
      </c>
      <c r="C415" s="29" t="s">
        <v>1126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1127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442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1128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442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1129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442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1130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442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1131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442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1132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1133</v>
      </c>
      <c r="B422" s="67">
        <v>11163355810</v>
      </c>
      <c r="C422" s="72" t="s">
        <v>1134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1135</v>
      </c>
      <c r="B423" s="67">
        <v>12870537859</v>
      </c>
      <c r="C423" s="72" t="s">
        <v>1136</v>
      </c>
      <c r="D423" s="69">
        <v>59856912849</v>
      </c>
      <c r="E423" s="9">
        <v>1417</v>
      </c>
      <c r="F423" s="25">
        <v>43017</v>
      </c>
      <c r="G423" s="70" t="s">
        <v>442</v>
      </c>
      <c r="H423" s="9"/>
      <c r="I423" s="8"/>
      <c r="J423" s="8"/>
      <c r="K423" s="8"/>
      <c r="L423" s="9" t="s">
        <v>676</v>
      </c>
      <c r="M423" s="8"/>
    </row>
    <row r="424" spans="1:13" x14ac:dyDescent="0.25">
      <c r="A424" s="14" t="s">
        <v>1137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442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1138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1139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442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1140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442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1141</v>
      </c>
      <c r="B428" s="67">
        <v>34133269888</v>
      </c>
      <c r="C428" s="72" t="s">
        <v>1142</v>
      </c>
      <c r="D428" s="69">
        <v>35360635860</v>
      </c>
      <c r="E428" s="9">
        <v>1824</v>
      </c>
      <c r="F428" s="25">
        <v>43091</v>
      </c>
      <c r="G428" s="70" t="s">
        <v>442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1143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442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1144</v>
      </c>
      <c r="B430" s="67">
        <v>26370314846</v>
      </c>
      <c r="C430" s="72" t="s">
        <v>1145</v>
      </c>
      <c r="D430" s="69">
        <v>26923862809</v>
      </c>
      <c r="E430" s="9">
        <v>117</v>
      </c>
      <c r="F430" s="25">
        <v>43117</v>
      </c>
      <c r="G430" s="70" t="s">
        <v>442</v>
      </c>
      <c r="H430" s="9"/>
      <c r="I430" s="8"/>
      <c r="J430" s="8"/>
      <c r="K430" s="8"/>
      <c r="L430" s="9" t="s">
        <v>593</v>
      </c>
      <c r="M430" s="8"/>
    </row>
    <row r="431" spans="1:13" x14ac:dyDescent="0.25">
      <c r="A431" s="71" t="s">
        <v>1146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1147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442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1148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442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1149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442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1150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442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1151</v>
      </c>
      <c r="B436" s="67"/>
      <c r="C436" s="29" t="s">
        <v>552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1152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456</v>
      </c>
      <c r="H437" s="9"/>
      <c r="I437" s="8"/>
      <c r="J437" s="8"/>
      <c r="K437" s="8"/>
      <c r="L437" s="9" t="s">
        <v>593</v>
      </c>
      <c r="M437" s="8"/>
    </row>
    <row r="438" spans="1:13" x14ac:dyDescent="0.25">
      <c r="A438" s="71" t="s">
        <v>1153</v>
      </c>
      <c r="B438" s="67">
        <v>28413241847</v>
      </c>
      <c r="C438" s="72" t="s">
        <v>1154</v>
      </c>
      <c r="D438" s="69">
        <v>14661915895</v>
      </c>
      <c r="E438" s="9">
        <v>810</v>
      </c>
      <c r="F438" s="25">
        <v>42915</v>
      </c>
      <c r="G438" s="70" t="s">
        <v>442</v>
      </c>
      <c r="H438" s="9"/>
      <c r="I438" s="8"/>
      <c r="J438" s="8"/>
      <c r="K438" s="8"/>
      <c r="L438" s="9" t="s">
        <v>561</v>
      </c>
      <c r="M438" s="8"/>
    </row>
    <row r="439" spans="1:13" x14ac:dyDescent="0.25">
      <c r="A439" s="15" t="s">
        <v>1155</v>
      </c>
      <c r="B439" s="67">
        <v>12898733806</v>
      </c>
      <c r="C439" s="72" t="s">
        <v>1156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1157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442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1158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1159</v>
      </c>
      <c r="B442" s="67">
        <v>667192328</v>
      </c>
      <c r="C442" s="29" t="s">
        <v>1160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1161</v>
      </c>
      <c r="B443" s="67">
        <v>3474339443</v>
      </c>
      <c r="C443" s="72" t="s">
        <v>1162</v>
      </c>
      <c r="D443" s="69">
        <v>58073604515</v>
      </c>
      <c r="E443" s="9">
        <v>810</v>
      </c>
      <c r="F443" s="25">
        <v>42915</v>
      </c>
      <c r="G443" s="70" t="s">
        <v>442</v>
      </c>
      <c r="H443" s="9"/>
      <c r="I443" s="8"/>
      <c r="J443" s="8"/>
      <c r="K443" s="8"/>
      <c r="L443" s="9" t="s">
        <v>561</v>
      </c>
      <c r="M443" s="8"/>
    </row>
    <row r="444" spans="1:13" x14ac:dyDescent="0.25">
      <c r="A444" s="71" t="s">
        <v>1163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442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1164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1165</v>
      </c>
      <c r="B446" s="67">
        <v>70014140349</v>
      </c>
      <c r="C446" s="72" t="s">
        <v>1166</v>
      </c>
      <c r="D446" s="69">
        <v>16412436863</v>
      </c>
      <c r="E446" s="9">
        <v>1262</v>
      </c>
      <c r="F446" s="25">
        <v>42997</v>
      </c>
      <c r="G446" s="70" t="s">
        <v>442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1167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1168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442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1169</v>
      </c>
      <c r="B449" s="67">
        <v>42230945807</v>
      </c>
      <c r="C449" s="29" t="s">
        <v>1170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1171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442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1172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442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1173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442</v>
      </c>
      <c r="H452" s="9"/>
      <c r="I452" s="8"/>
      <c r="J452" s="8"/>
      <c r="K452" s="8"/>
      <c r="L452" s="9" t="s">
        <v>583</v>
      </c>
      <c r="M452" s="8"/>
    </row>
    <row r="453" spans="1:13" x14ac:dyDescent="0.25">
      <c r="A453" s="71" t="s">
        <v>1174</v>
      </c>
      <c r="B453" s="67">
        <v>7380335456</v>
      </c>
      <c r="C453" s="72" t="s">
        <v>1175</v>
      </c>
      <c r="D453" s="69">
        <v>7548744439</v>
      </c>
      <c r="E453" s="9">
        <v>810</v>
      </c>
      <c r="F453" s="25">
        <v>42915</v>
      </c>
      <c r="G453" s="70" t="s">
        <v>442</v>
      </c>
      <c r="H453" s="9"/>
      <c r="I453" s="8"/>
      <c r="J453" s="8"/>
      <c r="K453" s="8"/>
      <c r="L453" s="9" t="s">
        <v>561</v>
      </c>
      <c r="M453" s="8"/>
    </row>
    <row r="454" spans="1:13" x14ac:dyDescent="0.25">
      <c r="A454" s="18" t="s">
        <v>1176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1177</v>
      </c>
      <c r="B455" s="67">
        <v>38529900847</v>
      </c>
      <c r="C455" s="72" t="s">
        <v>1178</v>
      </c>
      <c r="D455" s="69">
        <v>36056823830</v>
      </c>
      <c r="E455" s="9">
        <v>262</v>
      </c>
      <c r="F455" s="25">
        <v>43160</v>
      </c>
      <c r="G455" s="70" t="s">
        <v>442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1179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442</v>
      </c>
      <c r="H456" s="9"/>
      <c r="I456" s="8"/>
      <c r="J456" s="8"/>
      <c r="K456" s="8"/>
      <c r="L456" s="9" t="s">
        <v>676</v>
      </c>
      <c r="M456" s="8"/>
    </row>
    <row r="457" spans="1:13" x14ac:dyDescent="0.25">
      <c r="A457" s="13" t="s">
        <v>1180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442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1181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442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1182</v>
      </c>
      <c r="B459" s="67">
        <v>11806390817</v>
      </c>
      <c r="C459" s="72" t="s">
        <v>1183</v>
      </c>
      <c r="D459" s="69">
        <v>6924399860</v>
      </c>
      <c r="E459" s="9">
        <v>85</v>
      </c>
      <c r="F459" s="25">
        <v>43109</v>
      </c>
      <c r="G459" s="70" t="s">
        <v>442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1184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1185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442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1186</v>
      </c>
      <c r="B462" s="67">
        <v>32734621835</v>
      </c>
      <c r="C462" s="77" t="s">
        <v>1187</v>
      </c>
      <c r="D462" s="69" t="s">
        <v>1188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1189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442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1190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1191</v>
      </c>
      <c r="B465" s="67">
        <v>31367730805</v>
      </c>
      <c r="C465" s="68" t="s">
        <v>1192</v>
      </c>
      <c r="D465" s="69">
        <v>39532354867</v>
      </c>
      <c r="E465" s="9">
        <v>1350</v>
      </c>
      <c r="F465" s="25">
        <v>43006</v>
      </c>
      <c r="G465" s="70" t="s">
        <v>442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1193</v>
      </c>
      <c r="B466" s="67">
        <v>5579867611</v>
      </c>
      <c r="C466" s="72" t="s">
        <v>1194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1195</v>
      </c>
      <c r="B467" s="67">
        <v>17118545813</v>
      </c>
      <c r="C467" s="72" t="s">
        <v>1196</v>
      </c>
      <c r="D467" s="69">
        <v>29932279803</v>
      </c>
      <c r="E467" s="9">
        <v>262</v>
      </c>
      <c r="F467" s="25">
        <v>43160</v>
      </c>
      <c r="G467" s="70" t="s">
        <v>442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1197</v>
      </c>
      <c r="B468" s="67">
        <v>35031003855</v>
      </c>
      <c r="C468" s="72" t="s">
        <v>1198</v>
      </c>
      <c r="D468" s="69">
        <v>41246529840</v>
      </c>
      <c r="E468" s="9">
        <v>1422</v>
      </c>
      <c r="F468" s="25">
        <v>43018</v>
      </c>
      <c r="G468" s="70" t="s">
        <v>442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1199</v>
      </c>
      <c r="B469" s="67">
        <v>17803718884</v>
      </c>
      <c r="C469" s="32" t="s">
        <v>1200</v>
      </c>
      <c r="D469" s="69">
        <v>364628880</v>
      </c>
      <c r="E469" s="9">
        <v>1570</v>
      </c>
      <c r="F469" s="25">
        <v>43077</v>
      </c>
      <c r="G469" s="70" t="s">
        <v>442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1201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442</v>
      </c>
      <c r="H470" s="9"/>
      <c r="I470" s="8"/>
      <c r="J470" s="8"/>
      <c r="K470" s="8"/>
      <c r="L470" s="9" t="s">
        <v>593</v>
      </c>
      <c r="M470" s="8"/>
    </row>
    <row r="471" spans="1:13" x14ac:dyDescent="0.25">
      <c r="A471" s="13" t="s">
        <v>1202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442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1203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442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1204</v>
      </c>
      <c r="B473" s="67">
        <v>22740303831</v>
      </c>
      <c r="C473" s="18" t="s">
        <v>552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1205</v>
      </c>
      <c r="B474" s="67">
        <v>35482535800</v>
      </c>
      <c r="C474" s="72" t="s">
        <v>1206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1207</v>
      </c>
      <c r="B475" s="67">
        <v>22213116806</v>
      </c>
      <c r="C475" s="72" t="s">
        <v>1208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1209</v>
      </c>
      <c r="B476" s="67">
        <v>22168840814</v>
      </c>
      <c r="C476" s="29" t="s">
        <v>1210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1211</v>
      </c>
      <c r="B477" s="67">
        <v>30609785818</v>
      </c>
      <c r="C477" s="18" t="s">
        <v>1212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1213</v>
      </c>
      <c r="B478" s="67">
        <v>18515704897</v>
      </c>
      <c r="C478" s="18" t="s">
        <v>552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1214</v>
      </c>
      <c r="B479" s="67">
        <v>14683022800</v>
      </c>
      <c r="C479" s="72" t="s">
        <v>1215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1216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1217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442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1218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1219</v>
      </c>
      <c r="B483" s="67"/>
      <c r="C483" s="29" t="s">
        <v>552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1220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442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1221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442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1222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442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1223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442</v>
      </c>
      <c r="H487" s="9"/>
      <c r="I487" s="8"/>
      <c r="J487" s="8"/>
      <c r="K487" s="8"/>
      <c r="L487" s="9" t="s">
        <v>583</v>
      </c>
      <c r="M487" s="8"/>
    </row>
    <row r="488" spans="1:13" x14ac:dyDescent="0.25">
      <c r="A488" s="13" t="s">
        <v>1224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442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1225</v>
      </c>
      <c r="B489" s="67">
        <v>36664921855</v>
      </c>
      <c r="C489" s="72" t="s">
        <v>1226</v>
      </c>
      <c r="D489" s="69">
        <v>28495923823</v>
      </c>
      <c r="E489" s="9">
        <v>117</v>
      </c>
      <c r="F489" s="25">
        <v>43117</v>
      </c>
      <c r="G489" s="70" t="s">
        <v>448</v>
      </c>
      <c r="H489" s="9"/>
      <c r="I489" s="8"/>
      <c r="J489" s="8"/>
      <c r="K489" s="8"/>
      <c r="L489" s="9" t="s">
        <v>593</v>
      </c>
      <c r="M489" s="8"/>
    </row>
    <row r="490" spans="1:13" x14ac:dyDescent="0.25">
      <c r="A490" s="79" t="s">
        <v>1227</v>
      </c>
      <c r="B490" s="80">
        <v>22561317854</v>
      </c>
      <c r="C490" s="81" t="s">
        <v>1228</v>
      </c>
      <c r="D490" s="82">
        <v>26718748803</v>
      </c>
      <c r="E490" s="47">
        <v>1106</v>
      </c>
      <c r="F490" s="48">
        <v>42965</v>
      </c>
      <c r="G490" s="83" t="s">
        <v>448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1229</v>
      </c>
      <c r="B491" s="67">
        <v>34870463857</v>
      </c>
      <c r="C491" s="72" t="s">
        <v>1230</v>
      </c>
      <c r="D491" s="69">
        <v>7049816531</v>
      </c>
      <c r="E491" s="9">
        <v>292</v>
      </c>
      <c r="F491" s="25">
        <v>43168</v>
      </c>
      <c r="G491" s="70" t="s">
        <v>442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1231</v>
      </c>
      <c r="B492" s="67">
        <v>35225854885</v>
      </c>
      <c r="C492" s="72" t="s">
        <v>1232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1233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442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1234</v>
      </c>
      <c r="B494" s="67">
        <v>35929092826</v>
      </c>
      <c r="C494" s="72" t="s">
        <v>1235</v>
      </c>
      <c r="D494" s="69">
        <v>29462804893</v>
      </c>
      <c r="E494" s="9">
        <v>1267</v>
      </c>
      <c r="F494" s="25">
        <v>42998</v>
      </c>
      <c r="G494" s="70" t="s">
        <v>442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1236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1237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1238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1239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442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1240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456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1241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1242</v>
      </c>
      <c r="B501" s="67">
        <v>24660726886</v>
      </c>
      <c r="C501" s="72" t="s">
        <v>1243</v>
      </c>
      <c r="D501" s="69">
        <v>96400951504</v>
      </c>
      <c r="E501" s="9">
        <v>292</v>
      </c>
      <c r="F501" s="25">
        <v>43168</v>
      </c>
      <c r="G501" s="70" t="s">
        <v>448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1244</v>
      </c>
      <c r="B502" s="69">
        <v>27863381827</v>
      </c>
      <c r="C502" s="71" t="s">
        <v>1245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1246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442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1247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1248</v>
      </c>
      <c r="B505" s="67">
        <v>25856034821</v>
      </c>
      <c r="C505" s="72" t="s">
        <v>1249</v>
      </c>
      <c r="D505" s="69">
        <v>74821083353</v>
      </c>
      <c r="E505" s="9">
        <v>810</v>
      </c>
      <c r="F505" s="25">
        <v>42915</v>
      </c>
      <c r="G505" s="70" t="s">
        <v>442</v>
      </c>
      <c r="H505" s="9"/>
      <c r="I505" s="8"/>
      <c r="J505" s="8"/>
      <c r="K505" s="8"/>
      <c r="L505" s="9" t="s">
        <v>561</v>
      </c>
      <c r="M505" s="8"/>
    </row>
    <row r="506" spans="1:13" x14ac:dyDescent="0.25">
      <c r="A506" s="71" t="s">
        <v>1250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722</v>
      </c>
      <c r="M506" s="8"/>
    </row>
    <row r="507" spans="1:13" x14ac:dyDescent="0.25">
      <c r="A507" s="71" t="s">
        <v>1251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1252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722</v>
      </c>
      <c r="M508" s="8"/>
    </row>
    <row r="509" spans="1:13" x14ac:dyDescent="0.25">
      <c r="A509" s="29" t="s">
        <v>1253</v>
      </c>
      <c r="B509" s="67">
        <v>4802267843</v>
      </c>
      <c r="C509" s="29" t="s">
        <v>1254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1255</v>
      </c>
      <c r="B510" s="67">
        <v>6672502807</v>
      </c>
      <c r="C510" s="72" t="s">
        <v>1256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722</v>
      </c>
      <c r="M510" s="8"/>
    </row>
    <row r="511" spans="1:13" x14ac:dyDescent="0.25">
      <c r="A511" s="18" t="s">
        <v>1257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1258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1259</v>
      </c>
      <c r="B513" s="67">
        <v>37233245843</v>
      </c>
      <c r="C513" s="29" t="s">
        <v>1260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1261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1262</v>
      </c>
      <c r="B515" s="67">
        <v>33456412835</v>
      </c>
      <c r="C515" s="72" t="s">
        <v>1263</v>
      </c>
      <c r="D515" s="69">
        <v>9387669882</v>
      </c>
      <c r="E515" s="9">
        <v>229</v>
      </c>
      <c r="F515" s="25">
        <v>43151</v>
      </c>
      <c r="G515" s="70" t="s">
        <v>456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1264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442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1265</v>
      </c>
      <c r="B517" s="67">
        <v>10317452894</v>
      </c>
      <c r="C517" s="72" t="s">
        <v>1266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1267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442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1268</v>
      </c>
      <c r="B519" s="67"/>
      <c r="C519" s="29" t="s">
        <v>1269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1270</v>
      </c>
      <c r="B520" s="67">
        <v>42782953591</v>
      </c>
      <c r="C520" s="72" t="s">
        <v>1271</v>
      </c>
      <c r="D520" s="69">
        <v>53921186587</v>
      </c>
      <c r="E520" s="9">
        <v>85</v>
      </c>
      <c r="F520" s="25">
        <v>43109</v>
      </c>
      <c r="G520" s="70" t="s">
        <v>442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1272</v>
      </c>
      <c r="B521" s="67">
        <v>3086762896</v>
      </c>
      <c r="C521" s="72" t="s">
        <v>1273</v>
      </c>
      <c r="D521" s="69">
        <v>89632877853</v>
      </c>
      <c r="E521" s="9">
        <v>810</v>
      </c>
      <c r="F521" s="25">
        <v>42915</v>
      </c>
      <c r="G521" s="70" t="s">
        <v>442</v>
      </c>
      <c r="H521" s="9"/>
      <c r="I521" s="8"/>
      <c r="J521" s="8"/>
      <c r="K521" s="8"/>
      <c r="L521" s="9" t="s">
        <v>561</v>
      </c>
      <c r="M521" s="8"/>
    </row>
    <row r="522" spans="1:13" x14ac:dyDescent="0.25">
      <c r="A522" s="71" t="s">
        <v>1274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442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1275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442</v>
      </c>
      <c r="H523" s="9"/>
      <c r="I523" s="8"/>
      <c r="J523" s="8"/>
      <c r="K523" s="8"/>
      <c r="L523" s="9" t="s">
        <v>676</v>
      </c>
      <c r="M523" s="8"/>
    </row>
    <row r="524" spans="1:13" x14ac:dyDescent="0.25">
      <c r="A524" s="33" t="s">
        <v>1276</v>
      </c>
      <c r="B524" s="67">
        <v>22624049843</v>
      </c>
      <c r="C524" s="32" t="s">
        <v>1277</v>
      </c>
      <c r="D524" s="69">
        <v>32978302801</v>
      </c>
      <c r="E524" s="9">
        <v>1570</v>
      </c>
      <c r="F524" s="25">
        <v>43077</v>
      </c>
      <c r="G524" s="70" t="s">
        <v>442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1278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1279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442</v>
      </c>
      <c r="H526" s="9"/>
      <c r="I526" s="8"/>
      <c r="J526" s="8"/>
      <c r="K526" s="8"/>
      <c r="L526" s="9" t="s">
        <v>583</v>
      </c>
      <c r="M526" s="8"/>
    </row>
    <row r="527" spans="1:13" x14ac:dyDescent="0.25">
      <c r="A527" s="71" t="s">
        <v>1280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442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1281</v>
      </c>
      <c r="B528" s="67">
        <v>27112847869</v>
      </c>
      <c r="C528" s="72" t="s">
        <v>1282</v>
      </c>
      <c r="D528" s="69">
        <v>37782363420</v>
      </c>
      <c r="E528" s="9">
        <v>1106</v>
      </c>
      <c r="F528" s="25">
        <v>42965</v>
      </c>
      <c r="G528" s="70" t="s">
        <v>442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1283</v>
      </c>
      <c r="B529" s="67">
        <v>32811648895</v>
      </c>
      <c r="C529" s="72" t="s">
        <v>1284</v>
      </c>
      <c r="D529" s="69">
        <v>25428395818</v>
      </c>
      <c r="E529" s="9">
        <v>85</v>
      </c>
      <c r="F529" s="25">
        <v>43109</v>
      </c>
      <c r="G529" s="70" t="s">
        <v>442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1285</v>
      </c>
      <c r="B530" s="67">
        <v>12811159835</v>
      </c>
      <c r="C530" s="72" t="s">
        <v>1286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1287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1288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1289</v>
      </c>
      <c r="B533" s="67">
        <v>83941010468</v>
      </c>
      <c r="C533" s="18" t="s">
        <v>1290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1291</v>
      </c>
      <c r="B534" s="67">
        <v>43152462808</v>
      </c>
      <c r="C534" s="29" t="s">
        <v>1292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1293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1294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442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1295</v>
      </c>
      <c r="B537" s="67"/>
      <c r="C537" s="18" t="s">
        <v>552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1296</v>
      </c>
      <c r="B538" s="67">
        <v>41249931886</v>
      </c>
      <c r="C538" s="72" t="s">
        <v>1297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1298</v>
      </c>
      <c r="B539" s="67">
        <v>34361118809</v>
      </c>
      <c r="C539" s="72" t="s">
        <v>1299</v>
      </c>
      <c r="D539" s="69">
        <v>14784595813</v>
      </c>
      <c r="E539" s="9">
        <v>85</v>
      </c>
      <c r="F539" s="25">
        <v>43109</v>
      </c>
      <c r="G539" s="70" t="s">
        <v>442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1300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442</v>
      </c>
      <c r="H540" s="9"/>
      <c r="I540" s="8"/>
      <c r="J540" s="8"/>
      <c r="K540" s="8"/>
      <c r="L540" s="9" t="s">
        <v>925</v>
      </c>
      <c r="M540" s="8"/>
    </row>
    <row r="541" spans="1:13" x14ac:dyDescent="0.25">
      <c r="A541" s="71" t="s">
        <v>1301</v>
      </c>
      <c r="B541" s="67">
        <v>45469747875</v>
      </c>
      <c r="C541" s="72" t="s">
        <v>1302</v>
      </c>
      <c r="D541" s="69">
        <v>39042679816</v>
      </c>
      <c r="E541" s="9">
        <v>117</v>
      </c>
      <c r="F541" s="25">
        <v>43117</v>
      </c>
      <c r="G541" s="70" t="s">
        <v>442</v>
      </c>
      <c r="H541" s="9"/>
      <c r="I541" s="8"/>
      <c r="J541" s="8"/>
      <c r="K541" s="8"/>
      <c r="L541" s="9" t="s">
        <v>593</v>
      </c>
      <c r="M541" s="8"/>
    </row>
    <row r="542" spans="1:13" x14ac:dyDescent="0.25">
      <c r="A542" s="71" t="s">
        <v>1303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1304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442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1305</v>
      </c>
      <c r="B544" s="67">
        <v>33199855822</v>
      </c>
      <c r="C544" s="18" t="s">
        <v>1306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1307</v>
      </c>
      <c r="B545" s="67">
        <v>32878318870</v>
      </c>
      <c r="C545" s="18" t="s">
        <v>1308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1309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442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1310</v>
      </c>
      <c r="B547" s="67">
        <v>31328839800</v>
      </c>
      <c r="C547" s="72" t="s">
        <v>1311</v>
      </c>
      <c r="D547" s="69">
        <v>13482435898</v>
      </c>
      <c r="E547" s="9">
        <v>262</v>
      </c>
      <c r="F547" s="25">
        <v>43160</v>
      </c>
      <c r="G547" s="70" t="s">
        <v>442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1312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442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1313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442</v>
      </c>
      <c r="H549" s="9"/>
      <c r="I549" s="8"/>
      <c r="J549" s="8"/>
      <c r="K549" s="8"/>
      <c r="L549" s="9" t="s">
        <v>593</v>
      </c>
      <c r="M549" s="8"/>
    </row>
    <row r="550" spans="1:13" x14ac:dyDescent="0.25">
      <c r="A550" s="73" t="s">
        <v>1314</v>
      </c>
      <c r="B550" s="67">
        <v>33311756843</v>
      </c>
      <c r="C550" s="72" t="s">
        <v>1315</v>
      </c>
      <c r="D550" s="69">
        <v>31561945811</v>
      </c>
      <c r="E550" s="9">
        <v>1106</v>
      </c>
      <c r="F550" s="25">
        <v>42965</v>
      </c>
      <c r="G550" s="70" t="s">
        <v>442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1316</v>
      </c>
      <c r="B551" s="67" t="s">
        <v>1317</v>
      </c>
      <c r="C551" s="77" t="s">
        <v>1318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1319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442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1320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442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1321</v>
      </c>
      <c r="B554" s="67"/>
      <c r="C554" s="18" t="s">
        <v>552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1322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442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1323</v>
      </c>
      <c r="B556" s="67">
        <v>37608246847</v>
      </c>
      <c r="C556" s="68" t="s">
        <v>1324</v>
      </c>
      <c r="D556" s="69">
        <v>27976942875</v>
      </c>
      <c r="E556" s="9">
        <v>608</v>
      </c>
      <c r="F556" s="25">
        <v>43012</v>
      </c>
      <c r="G556" s="70" t="s">
        <v>442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1325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1326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1327</v>
      </c>
      <c r="B559" s="67">
        <v>39990709866</v>
      </c>
      <c r="C559" s="72" t="s">
        <v>1328</v>
      </c>
      <c r="D559" s="69">
        <v>46936249850</v>
      </c>
      <c r="E559" s="9">
        <v>229</v>
      </c>
      <c r="F559" s="25">
        <v>43151</v>
      </c>
      <c r="G559" s="70" t="s">
        <v>442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1329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1330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442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1331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442</v>
      </c>
      <c r="H562" s="9"/>
      <c r="I562" s="8"/>
      <c r="J562" s="8"/>
      <c r="K562" s="8"/>
      <c r="L562" s="9" t="s">
        <v>561</v>
      </c>
      <c r="M562" s="8"/>
    </row>
    <row r="563" spans="1:13" x14ac:dyDescent="0.25">
      <c r="A563" s="71" t="s">
        <v>1332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1333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1334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442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1335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1336</v>
      </c>
      <c r="B567" s="67">
        <v>9056201867</v>
      </c>
      <c r="C567" s="72" t="s">
        <v>1337</v>
      </c>
      <c r="D567" s="69">
        <v>59754605815</v>
      </c>
      <c r="E567" s="9">
        <v>810</v>
      </c>
      <c r="F567" s="25">
        <v>42915</v>
      </c>
      <c r="G567" s="70" t="s">
        <v>442</v>
      </c>
      <c r="H567" s="9"/>
      <c r="I567" s="8"/>
      <c r="J567" s="8"/>
      <c r="K567" s="8"/>
      <c r="L567" s="9" t="s">
        <v>561</v>
      </c>
      <c r="M567" s="8"/>
    </row>
    <row r="568" spans="1:13" x14ac:dyDescent="0.25">
      <c r="A568" s="71" t="s">
        <v>1338</v>
      </c>
      <c r="B568" s="67">
        <v>4434698656</v>
      </c>
      <c r="C568" s="72" t="s">
        <v>1339</v>
      </c>
      <c r="D568" s="69">
        <v>75851300400</v>
      </c>
      <c r="E568" s="9">
        <v>810</v>
      </c>
      <c r="F568" s="25">
        <v>42915</v>
      </c>
      <c r="G568" s="70" t="s">
        <v>442</v>
      </c>
      <c r="H568" s="9"/>
      <c r="I568" s="8"/>
      <c r="J568" s="8"/>
      <c r="K568" s="8"/>
      <c r="L568" s="9" t="s">
        <v>561</v>
      </c>
      <c r="M568" s="8"/>
    </row>
    <row r="569" spans="1:13" x14ac:dyDescent="0.25">
      <c r="A569" s="71" t="s">
        <v>1340</v>
      </c>
      <c r="B569" s="67">
        <v>27030279824</v>
      </c>
      <c r="C569" s="72" t="s">
        <v>1341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1342</v>
      </c>
      <c r="B570" s="67">
        <v>30478760884</v>
      </c>
      <c r="C570" s="77" t="s">
        <v>1343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1344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442</v>
      </c>
      <c r="H571" s="76">
        <v>43213</v>
      </c>
      <c r="I571" s="8"/>
      <c r="J571" s="8"/>
      <c r="K571" s="8"/>
      <c r="L571" s="9" t="s">
        <v>561</v>
      </c>
      <c r="M571" s="8"/>
    </row>
    <row r="572" spans="1:13" x14ac:dyDescent="0.25">
      <c r="A572" s="71" t="s">
        <v>1345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442</v>
      </c>
      <c r="H572" s="76">
        <v>43213</v>
      </c>
      <c r="I572" s="8"/>
      <c r="J572" s="8"/>
      <c r="K572" s="8"/>
      <c r="L572" s="9" t="s">
        <v>676</v>
      </c>
      <c r="M572" s="8"/>
    </row>
    <row r="573" spans="1:13" x14ac:dyDescent="0.25">
      <c r="A573" s="72" t="s">
        <v>1346</v>
      </c>
      <c r="B573" s="67">
        <v>16583214806</v>
      </c>
      <c r="C573" s="72" t="s">
        <v>1347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1348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1349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442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1350</v>
      </c>
      <c r="B576" s="67">
        <v>6882969639</v>
      </c>
      <c r="C576" s="29" t="s">
        <v>1351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1352</v>
      </c>
      <c r="B577" s="67">
        <v>22449339892</v>
      </c>
      <c r="C577" s="29" t="s">
        <v>1353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1354</v>
      </c>
      <c r="B578" s="67"/>
      <c r="C578" s="18" t="s">
        <v>552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1355</v>
      </c>
      <c r="B579" s="67">
        <v>22854740831</v>
      </c>
      <c r="C579" s="72" t="s">
        <v>1356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1357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1358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442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1359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442</v>
      </c>
      <c r="H582" s="9"/>
      <c r="I582" s="8"/>
      <c r="J582" s="8"/>
      <c r="K582" s="8"/>
      <c r="L582" s="9" t="s">
        <v>561</v>
      </c>
      <c r="M582" s="8"/>
    </row>
    <row r="583" spans="1:13" x14ac:dyDescent="0.25">
      <c r="A583" s="71" t="s">
        <v>1360</v>
      </c>
      <c r="B583" s="67">
        <v>47110994848</v>
      </c>
      <c r="C583" s="71" t="s">
        <v>1361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1362</v>
      </c>
      <c r="B584" s="67">
        <v>39353276845</v>
      </c>
      <c r="C584" s="72" t="s">
        <v>1363</v>
      </c>
      <c r="D584" s="69">
        <v>33343612847</v>
      </c>
      <c r="E584" s="9">
        <v>1417</v>
      </c>
      <c r="F584" s="25">
        <v>43017</v>
      </c>
      <c r="G584" s="70" t="s">
        <v>448</v>
      </c>
      <c r="H584" s="9"/>
      <c r="I584" s="8"/>
      <c r="J584" s="8"/>
      <c r="K584" s="8"/>
      <c r="L584" s="9" t="s">
        <v>676</v>
      </c>
      <c r="M584" s="8"/>
    </row>
    <row r="585" spans="1:13" x14ac:dyDescent="0.25">
      <c r="A585" s="13" t="s">
        <v>1364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442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1365</v>
      </c>
      <c r="B586" s="67">
        <v>39937482801</v>
      </c>
      <c r="C586" s="68" t="s">
        <v>1366</v>
      </c>
      <c r="D586" s="69">
        <v>36243454860</v>
      </c>
      <c r="E586" s="9">
        <v>1128</v>
      </c>
      <c r="F586" s="25">
        <v>42972</v>
      </c>
      <c r="G586" s="70" t="s">
        <v>442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1367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442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1368</v>
      </c>
      <c r="B588" s="67">
        <v>4090078466</v>
      </c>
      <c r="C588" s="72" t="s">
        <v>1369</v>
      </c>
      <c r="D588" s="69">
        <v>31135278806</v>
      </c>
      <c r="E588" s="9">
        <v>1555</v>
      </c>
      <c r="F588" s="25">
        <v>43049</v>
      </c>
      <c r="G588" s="70" t="s">
        <v>448</v>
      </c>
      <c r="H588" s="9"/>
      <c r="I588" s="8"/>
      <c r="J588" s="8"/>
      <c r="K588" s="8"/>
      <c r="L588" s="9" t="s">
        <v>821</v>
      </c>
      <c r="M588" s="8"/>
    </row>
    <row r="589" spans="1:13" x14ac:dyDescent="0.25">
      <c r="A589" s="72" t="s">
        <v>1370</v>
      </c>
      <c r="B589" s="67">
        <v>22857706855</v>
      </c>
      <c r="C589" s="72" t="s">
        <v>1371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1372</v>
      </c>
      <c r="B590" s="67">
        <v>30278629873</v>
      </c>
      <c r="C590" s="72" t="s">
        <v>1373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1374</v>
      </c>
      <c r="B591" s="67"/>
      <c r="C591" s="29" t="s">
        <v>1375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1376</v>
      </c>
      <c r="B592" s="67">
        <v>35569130896</v>
      </c>
      <c r="C592" s="72" t="s">
        <v>1377</v>
      </c>
      <c r="D592" s="69">
        <v>34252178878</v>
      </c>
      <c r="E592" s="9">
        <v>262</v>
      </c>
      <c r="F592" s="25">
        <v>43160</v>
      </c>
      <c r="G592" s="9" t="s">
        <v>442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1378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442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1379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442</v>
      </c>
      <c r="H594" s="9"/>
      <c r="I594" s="8"/>
      <c r="J594" s="8"/>
      <c r="K594" s="8"/>
      <c r="L594" s="9" t="s">
        <v>821</v>
      </c>
      <c r="M594" s="8"/>
    </row>
    <row r="595" spans="1:13" x14ac:dyDescent="0.25">
      <c r="A595" s="72" t="s">
        <v>1380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1381</v>
      </c>
      <c r="B596" s="67">
        <v>5704186580</v>
      </c>
      <c r="C596" s="72" t="s">
        <v>1382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1383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442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1384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442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1385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1386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442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1387</v>
      </c>
      <c r="B601" s="67">
        <v>38453816808</v>
      </c>
      <c r="C601" s="72" t="s">
        <v>1388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1389</v>
      </c>
      <c r="B602" s="67">
        <v>46366084882</v>
      </c>
      <c r="C602" s="18" t="s">
        <v>552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1390</v>
      </c>
      <c r="B603" s="67"/>
      <c r="C603" s="18" t="s">
        <v>552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1391</v>
      </c>
      <c r="B604" s="67">
        <v>40415212898</v>
      </c>
      <c r="C604" s="72" t="s">
        <v>1392</v>
      </c>
      <c r="D604" s="69">
        <v>35522659882</v>
      </c>
      <c r="E604" s="9">
        <v>262</v>
      </c>
      <c r="F604" s="25">
        <v>43160</v>
      </c>
      <c r="G604" s="70" t="s">
        <v>442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1393</v>
      </c>
      <c r="B605" s="67">
        <v>41957432810</v>
      </c>
      <c r="C605" s="72" t="s">
        <v>1394</v>
      </c>
      <c r="D605" s="69">
        <v>22992085855</v>
      </c>
      <c r="E605" s="9">
        <v>1824</v>
      </c>
      <c r="F605" s="25">
        <v>43091</v>
      </c>
      <c r="G605" s="70" t="s">
        <v>442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1395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442</v>
      </c>
      <c r="H606" s="9"/>
      <c r="I606" s="8"/>
      <c r="J606" s="8"/>
      <c r="K606" s="8"/>
      <c r="L606" s="9" t="s">
        <v>593</v>
      </c>
      <c r="M606" s="8"/>
    </row>
    <row r="607" spans="1:13" x14ac:dyDescent="0.25">
      <c r="A607" s="15" t="s">
        <v>1396</v>
      </c>
      <c r="B607" s="67">
        <v>36252717886</v>
      </c>
      <c r="C607" s="72" t="s">
        <v>1397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1398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442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1399</v>
      </c>
      <c r="B609" s="67">
        <v>23436019844</v>
      </c>
      <c r="C609" s="72" t="s">
        <v>1400</v>
      </c>
      <c r="D609" s="69">
        <v>35927095852</v>
      </c>
      <c r="E609" s="9">
        <v>810</v>
      </c>
      <c r="F609" s="25">
        <v>42915</v>
      </c>
      <c r="G609" s="70" t="s">
        <v>442</v>
      </c>
      <c r="H609" s="9"/>
      <c r="I609" s="8"/>
      <c r="J609" s="8"/>
      <c r="K609" s="8"/>
      <c r="L609" s="9" t="s">
        <v>561</v>
      </c>
      <c r="M609" s="8"/>
    </row>
    <row r="610" spans="1:13" x14ac:dyDescent="0.25">
      <c r="A610" s="71" t="s">
        <v>1401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442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1402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442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1403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442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1404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1405</v>
      </c>
      <c r="B614" s="67">
        <v>32114645819</v>
      </c>
      <c r="C614" s="72" t="s">
        <v>1406</v>
      </c>
      <c r="D614" s="69">
        <v>33183764857</v>
      </c>
      <c r="E614" s="9">
        <v>810</v>
      </c>
      <c r="F614" s="25">
        <v>42915</v>
      </c>
      <c r="G614" s="70" t="s">
        <v>442</v>
      </c>
      <c r="H614" s="9"/>
      <c r="I614" s="8"/>
      <c r="J614" s="8"/>
      <c r="K614" s="8"/>
      <c r="L614" s="9" t="s">
        <v>561</v>
      </c>
      <c r="M614" s="8"/>
    </row>
    <row r="615" spans="1:13" x14ac:dyDescent="0.25">
      <c r="A615" s="29" t="s">
        <v>1407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1408</v>
      </c>
      <c r="B616" s="67">
        <v>4836720508</v>
      </c>
      <c r="C616" s="18" t="s">
        <v>1409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1410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442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1411</v>
      </c>
      <c r="B618" s="67">
        <v>42187654800</v>
      </c>
      <c r="C618" s="29" t="s">
        <v>1412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1413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442</v>
      </c>
      <c r="H619" s="9"/>
      <c r="I619" s="8"/>
      <c r="J619" s="8"/>
      <c r="K619" s="8"/>
      <c r="L619" s="9" t="s">
        <v>925</v>
      </c>
      <c r="M619" s="8"/>
    </row>
    <row r="620" spans="1:13" x14ac:dyDescent="0.25">
      <c r="A620" s="71" t="s">
        <v>1414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1415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1416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1417</v>
      </c>
      <c r="B623" s="67">
        <v>1283631504</v>
      </c>
      <c r="C623" s="72" t="s">
        <v>1418</v>
      </c>
      <c r="D623" s="69">
        <v>62180886349</v>
      </c>
      <c r="E623" s="9">
        <v>1824</v>
      </c>
      <c r="F623" s="25">
        <v>43091</v>
      </c>
      <c r="G623" s="70" t="s">
        <v>442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1419</v>
      </c>
      <c r="B624" s="67">
        <v>5389709527</v>
      </c>
      <c r="C624" s="86" t="s">
        <v>1420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1421</v>
      </c>
      <c r="B625" s="67">
        <v>1262412528</v>
      </c>
      <c r="C625" s="68" t="s">
        <v>1422</v>
      </c>
      <c r="D625" s="69">
        <v>3045815502</v>
      </c>
      <c r="E625" s="9">
        <v>1241</v>
      </c>
      <c r="F625" s="25">
        <v>42992</v>
      </c>
      <c r="G625" s="70" t="s">
        <v>442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1423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722</v>
      </c>
      <c r="M626" s="8"/>
    </row>
    <row r="627" spans="1:13" x14ac:dyDescent="0.25">
      <c r="A627" s="71" t="s">
        <v>1424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647</v>
      </c>
      <c r="B628" s="67">
        <v>9704111460</v>
      </c>
      <c r="C628" s="72" t="s">
        <v>1425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1426</v>
      </c>
      <c r="B629" s="67">
        <v>41653576855</v>
      </c>
      <c r="C629" s="72" t="s">
        <v>1427</v>
      </c>
      <c r="D629" s="69">
        <v>33219880894</v>
      </c>
      <c r="E629" s="9">
        <v>1439</v>
      </c>
      <c r="F629" s="25">
        <v>43025</v>
      </c>
      <c r="G629" s="70" t="s">
        <v>442</v>
      </c>
      <c r="H629" s="9"/>
      <c r="I629" s="8"/>
      <c r="J629" s="8"/>
      <c r="K629" s="8"/>
      <c r="L629" s="9" t="s">
        <v>925</v>
      </c>
      <c r="M629" s="8"/>
    </row>
    <row r="630" spans="1:13" x14ac:dyDescent="0.25">
      <c r="A630" s="71" t="s">
        <v>1428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442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1429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442</v>
      </c>
      <c r="H631" s="9"/>
      <c r="I631" s="8"/>
      <c r="J631" s="8"/>
      <c r="K631" s="8"/>
      <c r="L631" s="9" t="s">
        <v>561</v>
      </c>
      <c r="M631" s="8"/>
    </row>
    <row r="632" spans="1:13" x14ac:dyDescent="0.25">
      <c r="A632" s="29" t="s">
        <v>1430</v>
      </c>
      <c r="B632" s="67">
        <v>29065742875</v>
      </c>
      <c r="C632" s="29" t="s">
        <v>1431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1432</v>
      </c>
      <c r="B633" s="67">
        <v>39491305867</v>
      </c>
      <c r="C633" s="72" t="s">
        <v>1433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1434</v>
      </c>
      <c r="B634" s="67">
        <v>35049140846</v>
      </c>
      <c r="C634" s="18" t="s">
        <v>1435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1436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442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1437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722</v>
      </c>
      <c r="M636" s="8"/>
    </row>
    <row r="637" spans="1:13" x14ac:dyDescent="0.25">
      <c r="A637" s="71" t="s">
        <v>1438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442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1439</v>
      </c>
      <c r="B638" s="67"/>
      <c r="C638" s="18" t="s">
        <v>1440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1441</v>
      </c>
      <c r="B639" s="67">
        <v>198674503</v>
      </c>
      <c r="C639" s="18" t="s">
        <v>1442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1443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1444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1445</v>
      </c>
      <c r="B642" s="67">
        <v>28074733858</v>
      </c>
      <c r="C642" s="72" t="s">
        <v>1446</v>
      </c>
      <c r="D642" s="69">
        <v>18033766867</v>
      </c>
      <c r="E642" s="9">
        <v>810</v>
      </c>
      <c r="F642" s="25">
        <v>42915</v>
      </c>
      <c r="G642" s="70" t="s">
        <v>442</v>
      </c>
      <c r="H642" s="9"/>
      <c r="I642" s="8"/>
      <c r="J642" s="8"/>
      <c r="K642" s="8"/>
      <c r="L642" s="9" t="s">
        <v>561</v>
      </c>
      <c r="M642" s="8"/>
    </row>
    <row r="643" spans="1:13" x14ac:dyDescent="0.25">
      <c r="A643" s="71" t="s">
        <v>1447</v>
      </c>
      <c r="B643" s="67">
        <v>41583475800</v>
      </c>
      <c r="C643" s="72" t="s">
        <v>1448</v>
      </c>
      <c r="D643" s="69">
        <v>47688665817</v>
      </c>
      <c r="E643" s="9">
        <v>810</v>
      </c>
      <c r="F643" s="25">
        <v>42915</v>
      </c>
      <c r="G643" s="70" t="s">
        <v>442</v>
      </c>
      <c r="H643" s="9"/>
      <c r="I643" s="8"/>
      <c r="J643" s="8"/>
      <c r="K643" s="8"/>
      <c r="L643" s="9" t="s">
        <v>561</v>
      </c>
      <c r="M643" s="8"/>
    </row>
    <row r="644" spans="1:13" x14ac:dyDescent="0.25">
      <c r="A644" s="71" t="s">
        <v>1449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442</v>
      </c>
      <c r="H644" s="9"/>
      <c r="I644" s="8"/>
      <c r="J644" s="8"/>
      <c r="K644" s="8"/>
      <c r="L644" s="9" t="s">
        <v>561</v>
      </c>
      <c r="M644" s="8"/>
    </row>
    <row r="645" spans="1:13" x14ac:dyDescent="0.25">
      <c r="A645" s="13" t="s">
        <v>1450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442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1451</v>
      </c>
      <c r="B646" s="67"/>
      <c r="C646" s="18" t="s">
        <v>552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1452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442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1453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442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1454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1455</v>
      </c>
      <c r="B650" s="67">
        <v>80234836334</v>
      </c>
      <c r="C650" s="72" t="s">
        <v>1456</v>
      </c>
      <c r="D650" s="69">
        <v>22522250841</v>
      </c>
      <c r="E650" s="9">
        <v>1267</v>
      </c>
      <c r="F650" s="25">
        <v>42998</v>
      </c>
      <c r="G650" s="70" t="s">
        <v>442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1457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442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1458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442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1459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1460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442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1461</v>
      </c>
      <c r="B655" s="67">
        <v>7385460895</v>
      </c>
      <c r="C655" s="72" t="s">
        <v>1462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1463</v>
      </c>
      <c r="B656" s="67">
        <v>31828009814</v>
      </c>
      <c r="C656" s="18" t="s">
        <v>1464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1465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442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1466</v>
      </c>
      <c r="B658" s="67">
        <v>15090098840</v>
      </c>
      <c r="C658" s="72" t="s">
        <v>1467</v>
      </c>
      <c r="D658" s="69">
        <v>3376233845</v>
      </c>
      <c r="E658" s="9">
        <v>1752</v>
      </c>
      <c r="F658" s="25">
        <v>43051</v>
      </c>
      <c r="G658" s="70" t="s">
        <v>442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1468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442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1469</v>
      </c>
      <c r="B660" s="67">
        <v>30652965865</v>
      </c>
      <c r="C660" s="72" t="s">
        <v>1470</v>
      </c>
      <c r="D660" s="69">
        <v>23330127813</v>
      </c>
      <c r="E660" s="9">
        <v>1214</v>
      </c>
      <c r="F660" s="25">
        <v>42989</v>
      </c>
      <c r="G660" s="70" t="s">
        <v>442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1471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442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1472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1473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442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1474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722</v>
      </c>
      <c r="M664" s="8"/>
    </row>
    <row r="665" spans="1:13" x14ac:dyDescent="0.25">
      <c r="A665" s="71" t="s">
        <v>1475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442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1476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442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1477</v>
      </c>
      <c r="B667" s="67">
        <v>39898491825</v>
      </c>
      <c r="C667" s="72" t="s">
        <v>1478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1479</v>
      </c>
      <c r="B668" s="67">
        <v>96629428587</v>
      </c>
      <c r="C668" s="29" t="s">
        <v>1480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1481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442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1482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442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1483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1484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442</v>
      </c>
      <c r="H672" s="9"/>
      <c r="I672" s="8"/>
      <c r="J672" s="8"/>
      <c r="K672" s="8"/>
      <c r="L672" s="9" t="s">
        <v>676</v>
      </c>
      <c r="M672" s="8"/>
    </row>
    <row r="673" spans="1:13" x14ac:dyDescent="0.25">
      <c r="A673" s="71" t="s">
        <v>1485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442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1486</v>
      </c>
      <c r="B674" s="67">
        <v>11438313810</v>
      </c>
      <c r="C674" s="72" t="s">
        <v>1487</v>
      </c>
      <c r="D674" s="69">
        <v>11400812844</v>
      </c>
      <c r="E674" s="9">
        <v>292</v>
      </c>
      <c r="F674" s="25">
        <v>43168</v>
      </c>
      <c r="G674" s="70" t="s">
        <v>442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1488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1489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442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1490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442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1491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1492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1493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442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1494</v>
      </c>
      <c r="B681" s="34">
        <v>31970473894</v>
      </c>
      <c r="C681" s="17" t="s">
        <v>1495</v>
      </c>
      <c r="D681" s="35">
        <v>22945039885</v>
      </c>
      <c r="E681" s="36">
        <v>1128</v>
      </c>
      <c r="F681" s="37">
        <v>42972</v>
      </c>
      <c r="G681" s="38" t="s">
        <v>442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1496</v>
      </c>
      <c r="B682" s="67">
        <v>29486419850</v>
      </c>
      <c r="C682" s="72" t="s">
        <v>1497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1498</v>
      </c>
      <c r="B683" s="67">
        <v>73699993272</v>
      </c>
      <c r="C683" s="72" t="s">
        <v>1499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1500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442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1501</v>
      </c>
      <c r="B685" s="67">
        <v>34833459817</v>
      </c>
      <c r="C685" s="68" t="s">
        <v>1502</v>
      </c>
      <c r="D685" s="69">
        <v>32077064870</v>
      </c>
      <c r="E685" s="9">
        <v>1128</v>
      </c>
      <c r="F685" s="25">
        <v>42972</v>
      </c>
      <c r="G685" s="70" t="s">
        <v>442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1503</v>
      </c>
      <c r="B686" s="67">
        <v>15203953880</v>
      </c>
      <c r="C686" s="72" t="s">
        <v>1504</v>
      </c>
      <c r="D686" s="69">
        <v>16339364810</v>
      </c>
      <c r="E686" s="9">
        <v>229</v>
      </c>
      <c r="F686" s="25">
        <v>43151</v>
      </c>
      <c r="G686" s="70" t="s">
        <v>448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1505</v>
      </c>
      <c r="B687" s="67">
        <v>23891239882</v>
      </c>
      <c r="C687" s="72" t="s">
        <v>1506</v>
      </c>
      <c r="D687" s="69">
        <v>22474449892</v>
      </c>
      <c r="E687" s="9">
        <v>1555</v>
      </c>
      <c r="F687" s="25">
        <v>43049</v>
      </c>
      <c r="G687" s="70" t="s">
        <v>442</v>
      </c>
      <c r="H687" s="9"/>
      <c r="I687" s="8"/>
      <c r="J687" s="8"/>
      <c r="K687" s="8"/>
      <c r="L687" s="9" t="s">
        <v>821</v>
      </c>
      <c r="M687" s="8"/>
    </row>
    <row r="688" spans="1:13" x14ac:dyDescent="0.25">
      <c r="A688" s="15" t="s">
        <v>1507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442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1508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442</v>
      </c>
      <c r="H689" s="9"/>
      <c r="I689" s="8"/>
      <c r="J689" s="8"/>
      <c r="K689" s="8"/>
      <c r="L689" s="9" t="s">
        <v>561</v>
      </c>
      <c r="M689" s="8"/>
    </row>
    <row r="690" spans="1:13" x14ac:dyDescent="0.25">
      <c r="A690" s="72" t="s">
        <v>1509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722</v>
      </c>
      <c r="M690" s="8"/>
    </row>
    <row r="691" spans="1:13" x14ac:dyDescent="0.25">
      <c r="A691" s="13" t="s">
        <v>1510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442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1511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1512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442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1513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1514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442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1515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448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1516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442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1517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442</v>
      </c>
      <c r="H698" s="9"/>
      <c r="I698" s="8"/>
      <c r="J698" s="8"/>
      <c r="K698" s="8"/>
      <c r="L698" s="9" t="s">
        <v>561</v>
      </c>
      <c r="M698" s="8"/>
    </row>
    <row r="699" spans="1:13" x14ac:dyDescent="0.25">
      <c r="A699" s="71" t="s">
        <v>1518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1519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442</v>
      </c>
      <c r="H700" s="9"/>
      <c r="I700" s="8"/>
      <c r="J700" s="8"/>
      <c r="K700" s="8"/>
      <c r="L700" s="9" t="s">
        <v>583</v>
      </c>
      <c r="M700" s="8"/>
    </row>
    <row r="701" spans="1:13" x14ac:dyDescent="0.25">
      <c r="A701" s="71" t="s">
        <v>1520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1521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1522</v>
      </c>
      <c r="B703" s="67">
        <v>25698933820</v>
      </c>
      <c r="C703" s="72" t="s">
        <v>1523</v>
      </c>
      <c r="D703" s="69">
        <v>14047433837</v>
      </c>
      <c r="E703" s="9">
        <v>810</v>
      </c>
      <c r="F703" s="25">
        <v>42915</v>
      </c>
      <c r="G703" s="70" t="s">
        <v>442</v>
      </c>
      <c r="H703" s="76">
        <v>43213</v>
      </c>
      <c r="I703" s="8"/>
      <c r="J703" s="8"/>
      <c r="K703" s="8"/>
      <c r="L703" s="9" t="s">
        <v>561</v>
      </c>
      <c r="M703" s="8"/>
    </row>
    <row r="704" spans="1:13" x14ac:dyDescent="0.25">
      <c r="A704" s="71" t="s">
        <v>1524</v>
      </c>
      <c r="B704" s="67">
        <v>34806644315</v>
      </c>
      <c r="C704" s="72" t="s">
        <v>1525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1526</v>
      </c>
      <c r="B705" s="67">
        <v>33189488886</v>
      </c>
      <c r="C705" s="72" t="s">
        <v>1527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1528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442</v>
      </c>
      <c r="H706" s="76">
        <v>43213</v>
      </c>
      <c r="I706" s="8"/>
      <c r="J706" s="8"/>
      <c r="K706" s="8"/>
      <c r="L706" s="9" t="s">
        <v>561</v>
      </c>
      <c r="M706" s="8"/>
    </row>
    <row r="707" spans="1:13" x14ac:dyDescent="0.25">
      <c r="A707" s="71" t="s">
        <v>1529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442</v>
      </c>
      <c r="H707" s="76">
        <v>43213</v>
      </c>
      <c r="I707" s="8"/>
      <c r="J707" s="8"/>
      <c r="K707" s="8"/>
      <c r="L707" s="9" t="s">
        <v>821</v>
      </c>
      <c r="M707" s="8"/>
    </row>
    <row r="708" spans="1:13" x14ac:dyDescent="0.25">
      <c r="A708" s="13" t="s">
        <v>1530</v>
      </c>
      <c r="B708" s="67">
        <v>28390636549</v>
      </c>
      <c r="C708" s="72" t="s">
        <v>1531</v>
      </c>
      <c r="D708" s="69">
        <v>49042904534</v>
      </c>
      <c r="E708" s="9">
        <v>1343</v>
      </c>
      <c r="F708" s="25">
        <v>43004</v>
      </c>
      <c r="G708" s="70" t="s">
        <v>442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1532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1533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442</v>
      </c>
      <c r="H710" s="76">
        <v>43213</v>
      </c>
      <c r="I710" s="8"/>
      <c r="J710" s="8"/>
      <c r="K710" s="8"/>
      <c r="L710" s="9" t="s">
        <v>561</v>
      </c>
      <c r="M710" s="8"/>
    </row>
    <row r="711" spans="1:13" x14ac:dyDescent="0.25">
      <c r="A711" s="71" t="s">
        <v>1534</v>
      </c>
      <c r="B711" s="67">
        <v>27863123534</v>
      </c>
      <c r="C711" s="72" t="s">
        <v>1535</v>
      </c>
      <c r="D711" s="69">
        <v>33480142800</v>
      </c>
      <c r="E711" s="9">
        <v>1214</v>
      </c>
      <c r="F711" s="25">
        <v>42989</v>
      </c>
      <c r="G711" s="70" t="s">
        <v>442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1536</v>
      </c>
      <c r="B712" s="67">
        <v>39454972804</v>
      </c>
      <c r="C712" s="72" t="s">
        <v>1537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1538</v>
      </c>
      <c r="B713" s="67"/>
      <c r="C713" s="29" t="s">
        <v>1539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1540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442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1541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442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1542</v>
      </c>
      <c r="B716" s="67">
        <v>17810014803</v>
      </c>
      <c r="C716" s="72" t="s">
        <v>1543</v>
      </c>
      <c r="D716" s="69">
        <v>28934526807</v>
      </c>
      <c r="E716" s="9">
        <v>292</v>
      </c>
      <c r="F716" s="25">
        <v>43168</v>
      </c>
      <c r="G716" s="9" t="s">
        <v>442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1544</v>
      </c>
      <c r="B717" s="67">
        <v>724258574</v>
      </c>
      <c r="C717" s="72" t="s">
        <v>1545</v>
      </c>
      <c r="D717" s="69">
        <v>18303361856</v>
      </c>
      <c r="E717" s="9">
        <v>262</v>
      </c>
      <c r="F717" s="25">
        <v>43160</v>
      </c>
      <c r="G717" s="70" t="s">
        <v>442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1546</v>
      </c>
      <c r="B718" s="67">
        <v>37453999863</v>
      </c>
      <c r="C718" s="72" t="s">
        <v>1547</v>
      </c>
      <c r="D718" s="69"/>
      <c r="E718" s="9">
        <v>1241</v>
      </c>
      <c r="F718" s="25">
        <v>42992</v>
      </c>
      <c r="G718" s="70" t="s">
        <v>442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1548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1549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442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1550</v>
      </c>
      <c r="B721" s="67">
        <v>30308539850</v>
      </c>
      <c r="C721" s="72" t="s">
        <v>1551</v>
      </c>
      <c r="D721" s="69">
        <v>84739517434</v>
      </c>
      <c r="E721" s="9">
        <v>810</v>
      </c>
      <c r="F721" s="25">
        <v>42915</v>
      </c>
      <c r="G721" s="70" t="s">
        <v>442</v>
      </c>
      <c r="H721" s="9"/>
      <c r="I721" s="8"/>
      <c r="J721" s="8"/>
      <c r="K721" s="8"/>
      <c r="L721" s="9" t="s">
        <v>561</v>
      </c>
      <c r="M721" s="8"/>
    </row>
    <row r="722" spans="1:13" x14ac:dyDescent="0.25">
      <c r="A722" s="71" t="s">
        <v>1552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1553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1554</v>
      </c>
      <c r="B724" s="67">
        <v>21716687845</v>
      </c>
      <c r="C724" s="15" t="s">
        <v>1555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1556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442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1557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442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1558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442</v>
      </c>
      <c r="H727" s="9"/>
      <c r="I727" s="8"/>
      <c r="J727" s="8"/>
      <c r="K727" s="8"/>
      <c r="L727" s="9" t="s">
        <v>676</v>
      </c>
      <c r="M727" s="8"/>
    </row>
    <row r="728" spans="1:13" x14ac:dyDescent="0.25">
      <c r="A728" s="14" t="s">
        <v>1559</v>
      </c>
      <c r="B728" s="67">
        <v>99658925553</v>
      </c>
      <c r="C728" s="72" t="s">
        <v>1560</v>
      </c>
      <c r="D728" s="69">
        <v>99610108504</v>
      </c>
      <c r="E728" s="9">
        <v>262</v>
      </c>
      <c r="F728" s="25">
        <v>43160</v>
      </c>
      <c r="G728" s="70" t="s">
        <v>442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1561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442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1562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442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1563</v>
      </c>
      <c r="B731" s="67"/>
      <c r="C731" s="18" t="s">
        <v>552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1564</v>
      </c>
      <c r="B732" s="67">
        <v>25905224870</v>
      </c>
      <c r="C732" s="68" t="s">
        <v>1565</v>
      </c>
      <c r="D732" s="69">
        <v>36185256304</v>
      </c>
      <c r="E732" s="9">
        <v>1824</v>
      </c>
      <c r="F732" s="25">
        <v>43091</v>
      </c>
      <c r="G732" s="70" t="s">
        <v>442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1566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442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1567</v>
      </c>
      <c r="B734" s="67">
        <v>33160363856</v>
      </c>
      <c r="C734" s="72" t="s">
        <v>1568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1569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442</v>
      </c>
      <c r="H735" s="9"/>
      <c r="I735" s="8"/>
      <c r="J735" s="8"/>
      <c r="K735" s="8"/>
      <c r="L735" s="9" t="s">
        <v>676</v>
      </c>
      <c r="M735" s="8"/>
    </row>
    <row r="736" spans="1:13" x14ac:dyDescent="0.25">
      <c r="A736" s="15" t="s">
        <v>1570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442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1571</v>
      </c>
      <c r="B737" s="67">
        <v>71752722434</v>
      </c>
      <c r="C737" s="18" t="s">
        <v>552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1572</v>
      </c>
      <c r="B738" s="67">
        <v>8590565890</v>
      </c>
      <c r="C738" s="72" t="s">
        <v>1573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722</v>
      </c>
      <c r="M738" s="8"/>
    </row>
    <row r="739" spans="1:13" x14ac:dyDescent="0.25">
      <c r="A739" s="71" t="s">
        <v>1574</v>
      </c>
      <c r="B739" s="67">
        <v>35556660883</v>
      </c>
      <c r="C739" s="72" t="s">
        <v>1575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1576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1577</v>
      </c>
      <c r="B741" s="67">
        <v>25905305870</v>
      </c>
      <c r="C741" s="72" t="s">
        <v>1578</v>
      </c>
      <c r="D741" s="69">
        <v>11480794830</v>
      </c>
      <c r="E741" s="9">
        <v>1267</v>
      </c>
      <c r="F741" s="25">
        <v>42998</v>
      </c>
      <c r="G741" s="70" t="s">
        <v>442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1579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1580</v>
      </c>
      <c r="B743" s="67">
        <v>18360141800</v>
      </c>
      <c r="C743" s="72" t="s">
        <v>1581</v>
      </c>
      <c r="D743" s="69">
        <v>48201979591</v>
      </c>
      <c r="E743" s="9">
        <v>117</v>
      </c>
      <c r="F743" s="25">
        <v>43117</v>
      </c>
      <c r="G743" s="70" t="s">
        <v>442</v>
      </c>
      <c r="H743" s="9"/>
      <c r="I743" s="8"/>
      <c r="J743" s="8"/>
      <c r="K743" s="8"/>
      <c r="L743" s="9" t="s">
        <v>593</v>
      </c>
      <c r="M743" s="8"/>
    </row>
    <row r="744" spans="1:13" x14ac:dyDescent="0.25">
      <c r="A744" s="15" t="s">
        <v>1582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593</v>
      </c>
      <c r="M744" s="8"/>
    </row>
    <row r="745" spans="1:13" x14ac:dyDescent="0.25">
      <c r="A745" s="71" t="s">
        <v>1583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1584</v>
      </c>
      <c r="B746" s="67">
        <v>36613647829</v>
      </c>
      <c r="C746" s="72" t="s">
        <v>1585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1586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442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1587</v>
      </c>
      <c r="B748" s="67">
        <v>25332480881</v>
      </c>
      <c r="C748" s="18" t="s">
        <v>552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1588</v>
      </c>
      <c r="B749" s="67">
        <v>16365042809</v>
      </c>
      <c r="C749" s="72" t="s">
        <v>1589</v>
      </c>
      <c r="D749" s="69">
        <v>26488933850</v>
      </c>
      <c r="E749" s="9">
        <v>117</v>
      </c>
      <c r="F749" s="25">
        <v>43117</v>
      </c>
      <c r="G749" s="70" t="s">
        <v>442</v>
      </c>
      <c r="H749" s="25">
        <v>43151</v>
      </c>
      <c r="I749" s="8"/>
      <c r="J749" s="8"/>
      <c r="K749" s="8"/>
      <c r="L749" s="9" t="s">
        <v>593</v>
      </c>
      <c r="M749" s="8"/>
    </row>
    <row r="750" spans="1:13" x14ac:dyDescent="0.25">
      <c r="A750" s="15" t="s">
        <v>1590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442</v>
      </c>
      <c r="H750" s="25">
        <v>43151</v>
      </c>
      <c r="I750" s="8"/>
      <c r="J750" s="8"/>
      <c r="K750" s="8"/>
      <c r="L750" s="9" t="s">
        <v>593</v>
      </c>
      <c r="M750" s="8"/>
    </row>
    <row r="751" spans="1:13" x14ac:dyDescent="0.25">
      <c r="A751" s="71" t="s">
        <v>1591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1592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448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1593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442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1594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442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1595</v>
      </c>
      <c r="B755" s="67"/>
      <c r="C755" s="18" t="s">
        <v>552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1596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1597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442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1598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1599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561</v>
      </c>
      <c r="M759" s="8"/>
    </row>
    <row r="760" spans="1:13" x14ac:dyDescent="0.25">
      <c r="A760" s="71" t="s">
        <v>1600</v>
      </c>
      <c r="B760" s="67">
        <v>41756319847</v>
      </c>
      <c r="C760" s="72" t="s">
        <v>1601</v>
      </c>
      <c r="D760" s="69">
        <v>28780799817</v>
      </c>
      <c r="E760" s="9">
        <v>1489</v>
      </c>
      <c r="F760" s="25">
        <v>43038</v>
      </c>
      <c r="G760" s="70" t="s">
        <v>456</v>
      </c>
      <c r="H760" s="9"/>
      <c r="I760" s="8"/>
      <c r="J760" s="8"/>
      <c r="K760" s="8"/>
      <c r="L760" s="9" t="s">
        <v>583</v>
      </c>
      <c r="M760" s="8"/>
    </row>
    <row r="761" spans="1:13" x14ac:dyDescent="0.25">
      <c r="A761" s="71" t="s">
        <v>1602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442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1603</v>
      </c>
      <c r="B762" s="67"/>
      <c r="C762" s="29" t="s">
        <v>552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1604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1605</v>
      </c>
      <c r="B764" s="67">
        <v>39762019873</v>
      </c>
      <c r="C764" s="68" t="s">
        <v>1606</v>
      </c>
      <c r="D764" s="69">
        <v>28639452890</v>
      </c>
      <c r="E764" s="9">
        <v>1128</v>
      </c>
      <c r="F764" s="25">
        <v>42972</v>
      </c>
      <c r="G764" s="70" t="s">
        <v>442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1607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442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1608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1609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442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1610</v>
      </c>
      <c r="B768" s="67">
        <v>21914504828</v>
      </c>
      <c r="C768" s="72" t="s">
        <v>1611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1612</v>
      </c>
      <c r="B769" s="67">
        <v>11259745830</v>
      </c>
      <c r="C769" s="72" t="s">
        <v>1613</v>
      </c>
      <c r="D769" s="69">
        <v>49121901368</v>
      </c>
      <c r="E769" s="9">
        <v>262</v>
      </c>
      <c r="F769" s="25">
        <v>43160</v>
      </c>
      <c r="G769" s="70" t="s">
        <v>442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1614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442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1615</v>
      </c>
      <c r="B771" s="67">
        <v>22547591839</v>
      </c>
      <c r="C771" s="72" t="s">
        <v>1616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1617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1618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1619</v>
      </c>
      <c r="B774" s="67">
        <v>9881940400</v>
      </c>
      <c r="C774" s="72" t="s">
        <v>1620</v>
      </c>
      <c r="D774" s="69">
        <v>1778905501</v>
      </c>
      <c r="E774" s="9">
        <v>262</v>
      </c>
      <c r="F774" s="25">
        <v>43160</v>
      </c>
      <c r="G774" s="70" t="s">
        <v>448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1621</v>
      </c>
      <c r="B775" s="67">
        <v>18240627889</v>
      </c>
      <c r="C775" s="77" t="s">
        <v>1622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1623</v>
      </c>
      <c r="B776" s="67">
        <v>34715955890</v>
      </c>
      <c r="C776" s="72" t="s">
        <v>1624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1625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442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1626</v>
      </c>
      <c r="B778" s="67">
        <v>2413902490</v>
      </c>
      <c r="C778" s="77" t="s">
        <v>1627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1628</v>
      </c>
      <c r="B779" s="67">
        <v>30558706894</v>
      </c>
      <c r="C779" s="72" t="s">
        <v>1629</v>
      </c>
      <c r="D779" s="69">
        <v>87700352372</v>
      </c>
      <c r="E779" s="9">
        <v>810</v>
      </c>
      <c r="F779" s="25">
        <v>42915</v>
      </c>
      <c r="G779" s="70" t="s">
        <v>442</v>
      </c>
      <c r="H779" s="9"/>
      <c r="I779" s="8"/>
      <c r="J779" s="8"/>
      <c r="K779" s="8"/>
      <c r="L779" s="9" t="s">
        <v>561</v>
      </c>
      <c r="M779" s="8"/>
    </row>
    <row r="780" spans="1:13" x14ac:dyDescent="0.25">
      <c r="A780" s="71" t="s">
        <v>1630</v>
      </c>
      <c r="B780" s="67">
        <v>27926471836</v>
      </c>
      <c r="C780" s="72" t="s">
        <v>1631</v>
      </c>
      <c r="D780" s="69">
        <v>2210309484</v>
      </c>
      <c r="E780" s="9">
        <v>1439</v>
      </c>
      <c r="F780" s="25">
        <v>43025</v>
      </c>
      <c r="G780" s="70" t="s">
        <v>448</v>
      </c>
      <c r="H780" s="9"/>
      <c r="I780" s="8"/>
      <c r="J780" s="8"/>
      <c r="K780" s="8"/>
      <c r="L780" s="9" t="s">
        <v>925</v>
      </c>
      <c r="M780" s="8"/>
    </row>
    <row r="781" spans="1:13" x14ac:dyDescent="0.25">
      <c r="A781" s="15" t="s">
        <v>1632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442</v>
      </c>
      <c r="H781" s="9"/>
      <c r="I781" s="8"/>
      <c r="J781" s="8"/>
      <c r="K781" s="8"/>
      <c r="L781" s="9" t="s">
        <v>593</v>
      </c>
      <c r="M781" s="8"/>
    </row>
    <row r="782" spans="1:13" x14ac:dyDescent="0.25">
      <c r="A782" s="71" t="s">
        <v>1633</v>
      </c>
      <c r="B782" s="67">
        <v>47361352391</v>
      </c>
      <c r="C782" s="72" t="s">
        <v>1634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1635</v>
      </c>
      <c r="B783" s="67">
        <v>32763223826</v>
      </c>
      <c r="C783" s="72" t="s">
        <v>1636</v>
      </c>
      <c r="D783" s="69">
        <v>27936363807</v>
      </c>
      <c r="E783" s="9">
        <v>608</v>
      </c>
      <c r="F783" s="25">
        <v>43012</v>
      </c>
      <c r="G783" s="70" t="s">
        <v>442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1637</v>
      </c>
      <c r="B784" s="67"/>
      <c r="C784" s="18" t="s">
        <v>1638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1639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442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1640</v>
      </c>
      <c r="B786" s="67">
        <v>39068600869</v>
      </c>
      <c r="C786" s="72"/>
      <c r="D786" s="69"/>
      <c r="E786" s="9"/>
      <c r="F786" s="25"/>
      <c r="G786" s="70" t="s">
        <v>442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1641</v>
      </c>
      <c r="B787" s="67">
        <v>31875471847</v>
      </c>
      <c r="C787" s="18" t="s">
        <v>1642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1643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1644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1645</v>
      </c>
      <c r="B790" s="67">
        <v>11634805844</v>
      </c>
      <c r="C790" s="29" t="s">
        <v>552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1646</v>
      </c>
      <c r="B791" s="67">
        <v>39485124856</v>
      </c>
      <c r="C791" s="72" t="s">
        <v>1647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1648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1649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1650</v>
      </c>
      <c r="B794" s="67">
        <v>32221516877</v>
      </c>
      <c r="C794" s="72" t="s">
        <v>1651</v>
      </c>
      <c r="D794" s="69">
        <v>18338419800</v>
      </c>
      <c r="E794" s="9">
        <v>1752</v>
      </c>
      <c r="F794" s="25">
        <v>43051</v>
      </c>
      <c r="G794" s="70" t="s">
        <v>442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1652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1653</v>
      </c>
      <c r="B796" s="67">
        <v>43951626810</v>
      </c>
      <c r="C796" s="72" t="s">
        <v>1654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1655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1656</v>
      </c>
      <c r="B798" s="67">
        <v>40840895836</v>
      </c>
      <c r="C798" s="72" t="s">
        <v>1657</v>
      </c>
      <c r="D798" s="69">
        <v>39329913890</v>
      </c>
      <c r="E798" s="9">
        <v>1106</v>
      </c>
      <c r="F798" s="25">
        <v>42965</v>
      </c>
      <c r="G798" s="70" t="s">
        <v>442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1658</v>
      </c>
      <c r="B799" s="67">
        <v>30969194809</v>
      </c>
      <c r="C799" s="72" t="s">
        <v>1659</v>
      </c>
      <c r="D799" s="69">
        <v>13013456876</v>
      </c>
      <c r="E799" s="9">
        <v>810</v>
      </c>
      <c r="F799" s="25">
        <v>42915</v>
      </c>
      <c r="G799" s="70" t="s">
        <v>442</v>
      </c>
      <c r="H799" s="76">
        <v>43213</v>
      </c>
      <c r="I799" s="8"/>
      <c r="J799" s="8"/>
      <c r="K799" s="8"/>
      <c r="L799" s="9" t="s">
        <v>561</v>
      </c>
      <c r="M799" s="8"/>
    </row>
    <row r="800" spans="1:13" x14ac:dyDescent="0.25">
      <c r="A800" s="71" t="s">
        <v>1660</v>
      </c>
      <c r="B800" s="67">
        <v>33186484855</v>
      </c>
      <c r="C800" s="77" t="s">
        <v>1661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1662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442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1663</v>
      </c>
      <c r="B802" s="67">
        <v>27298776819</v>
      </c>
      <c r="C802" s="72" t="s">
        <v>1664</v>
      </c>
      <c r="D802" s="69">
        <v>31387900544</v>
      </c>
      <c r="E802" s="9">
        <v>229</v>
      </c>
      <c r="F802" s="25">
        <v>43151</v>
      </c>
      <c r="G802" s="70" t="s">
        <v>442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1665</v>
      </c>
      <c r="B803" s="67">
        <v>28802120811</v>
      </c>
      <c r="C803" s="72" t="s">
        <v>1666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1667</v>
      </c>
      <c r="B804" s="67">
        <v>34581351898</v>
      </c>
      <c r="C804" s="18" t="s">
        <v>1668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1669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1670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442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1671</v>
      </c>
      <c r="B807" s="67"/>
      <c r="C807" s="29" t="s">
        <v>552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1672</v>
      </c>
      <c r="B808" s="67">
        <v>40324052391</v>
      </c>
      <c r="C808" s="72" t="s">
        <v>1673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1674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442</v>
      </c>
      <c r="H809" s="9"/>
      <c r="I809" s="8"/>
      <c r="J809" s="8"/>
      <c r="K809" s="8"/>
      <c r="L809" s="9" t="s">
        <v>561</v>
      </c>
      <c r="M809" s="8"/>
    </row>
    <row r="810" spans="1:13" x14ac:dyDescent="0.25">
      <c r="A810" s="71" t="s">
        <v>1675</v>
      </c>
      <c r="B810" s="67">
        <v>29022777847</v>
      </c>
      <c r="C810" s="72" t="s">
        <v>1676</v>
      </c>
      <c r="D810" s="69">
        <v>33430349400</v>
      </c>
      <c r="E810" s="9">
        <v>262</v>
      </c>
      <c r="F810" s="25">
        <v>43160</v>
      </c>
      <c r="G810" s="70" t="s">
        <v>442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1677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442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1678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1679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442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1680</v>
      </c>
      <c r="B814" s="67">
        <v>43523026865</v>
      </c>
      <c r="C814" s="72" t="s">
        <v>1681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1682</v>
      </c>
      <c r="B815" s="67"/>
      <c r="C815" s="29" t="s">
        <v>552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1683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442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1684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442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1685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442</v>
      </c>
      <c r="H818" s="9"/>
      <c r="I818" s="8"/>
      <c r="J818" s="8"/>
      <c r="K818" s="8"/>
      <c r="L818" s="9" t="s">
        <v>561</v>
      </c>
      <c r="M818" s="8"/>
    </row>
    <row r="819" spans="1:13" x14ac:dyDescent="0.25">
      <c r="A819" s="71" t="s">
        <v>1686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1687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1688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442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1689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442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1690</v>
      </c>
      <c r="B823" s="67">
        <v>5102923480</v>
      </c>
      <c r="C823" s="72" t="s">
        <v>1691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1692</v>
      </c>
      <c r="B824" s="67">
        <v>7268622406</v>
      </c>
      <c r="C824" s="72" t="s">
        <v>1693</v>
      </c>
      <c r="D824" s="69">
        <v>40507630874</v>
      </c>
      <c r="E824" s="9">
        <v>1267</v>
      </c>
      <c r="F824" s="25">
        <v>42998</v>
      </c>
      <c r="G824" s="70" t="s">
        <v>442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1694</v>
      </c>
      <c r="B825" s="67" t="s">
        <v>1695</v>
      </c>
      <c r="C825" s="77" t="s">
        <v>1696</v>
      </c>
      <c r="D825" s="69" t="s">
        <v>1697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1698</v>
      </c>
      <c r="B826" s="67"/>
      <c r="C826" s="29" t="s">
        <v>552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1699</v>
      </c>
      <c r="B827" s="67">
        <v>31429224827</v>
      </c>
      <c r="C827" s="72" t="s">
        <v>1700</v>
      </c>
      <c r="D827" s="69">
        <v>27263725894</v>
      </c>
      <c r="E827" s="9">
        <v>292</v>
      </c>
      <c r="F827" s="25">
        <v>43168</v>
      </c>
      <c r="G827" s="70" t="s">
        <v>448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1701</v>
      </c>
      <c r="B828" s="67">
        <v>3753540420</v>
      </c>
      <c r="C828" s="72" t="s">
        <v>1638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1702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1703</v>
      </c>
      <c r="B830" s="67">
        <v>36723660803</v>
      </c>
      <c r="C830" s="72" t="s">
        <v>1704</v>
      </c>
      <c r="D830" s="69">
        <v>32763586899</v>
      </c>
      <c r="E830" s="9">
        <v>608</v>
      </c>
      <c r="F830" s="25">
        <v>43012</v>
      </c>
      <c r="G830" s="70" t="s">
        <v>442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1705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442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1706</v>
      </c>
      <c r="B832" s="67">
        <v>166405462</v>
      </c>
      <c r="C832" s="15" t="s">
        <v>1707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1708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442</v>
      </c>
      <c r="H833" s="9"/>
      <c r="I833" s="8"/>
      <c r="J833" s="8"/>
      <c r="K833" s="8"/>
      <c r="L833" s="9" t="s">
        <v>561</v>
      </c>
      <c r="M833" s="8"/>
    </row>
    <row r="834" spans="1:13" x14ac:dyDescent="0.25">
      <c r="A834" s="15" t="s">
        <v>1709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442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1710</v>
      </c>
      <c r="B835" s="67">
        <v>13621159835</v>
      </c>
      <c r="C835" s="72" t="s">
        <v>1711</v>
      </c>
      <c r="D835" s="69">
        <v>35124170867</v>
      </c>
      <c r="E835" s="9">
        <v>229</v>
      </c>
      <c r="F835" s="25">
        <v>43151</v>
      </c>
      <c r="G835" s="70" t="s">
        <v>442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1712</v>
      </c>
      <c r="B836" s="67">
        <v>34649647878</v>
      </c>
      <c r="C836" s="72" t="s">
        <v>1713</v>
      </c>
      <c r="D836" s="69">
        <v>17811429802</v>
      </c>
      <c r="E836" s="9">
        <v>810</v>
      </c>
      <c r="F836" s="25">
        <v>42915</v>
      </c>
      <c r="G836" s="70" t="s">
        <v>442</v>
      </c>
      <c r="H836" s="9"/>
      <c r="I836" s="8"/>
      <c r="J836" s="8"/>
      <c r="K836" s="8"/>
      <c r="L836" s="9" t="s">
        <v>561</v>
      </c>
      <c r="M836" s="8"/>
    </row>
    <row r="837" spans="1:13" x14ac:dyDescent="0.25">
      <c r="A837" s="71" t="s">
        <v>1714</v>
      </c>
      <c r="B837" s="67">
        <v>25809517846</v>
      </c>
      <c r="C837" s="73" t="s">
        <v>1715</v>
      </c>
      <c r="D837" s="69">
        <v>68856830434</v>
      </c>
      <c r="E837" s="9">
        <v>292</v>
      </c>
      <c r="F837" s="25">
        <v>43168</v>
      </c>
      <c r="G837" s="70" t="s">
        <v>448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1716</v>
      </c>
      <c r="B838" s="67">
        <v>6952730435</v>
      </c>
      <c r="C838" s="72" t="s">
        <v>1717</v>
      </c>
      <c r="D838" s="69">
        <v>8004608477</v>
      </c>
      <c r="E838" s="9">
        <v>810</v>
      </c>
      <c r="F838" s="25">
        <v>42915</v>
      </c>
      <c r="G838" s="70" t="s">
        <v>442</v>
      </c>
      <c r="H838" s="9"/>
      <c r="I838" s="8"/>
      <c r="J838" s="8"/>
      <c r="K838" s="8"/>
      <c r="L838" s="9" t="s">
        <v>561</v>
      </c>
      <c r="M838" s="8"/>
    </row>
    <row r="839" spans="1:13" x14ac:dyDescent="0.25">
      <c r="A839" s="71" t="s">
        <v>1718</v>
      </c>
      <c r="B839" s="67">
        <v>23440697800</v>
      </c>
      <c r="C839" s="72" t="s">
        <v>1719</v>
      </c>
      <c r="D839" s="69">
        <v>93690177553</v>
      </c>
      <c r="E839" s="9">
        <v>292</v>
      </c>
      <c r="F839" s="25">
        <v>43168</v>
      </c>
      <c r="G839" s="70" t="s">
        <v>442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1720</v>
      </c>
      <c r="B840" s="67">
        <v>93567421549</v>
      </c>
      <c r="C840" s="72" t="s">
        <v>1721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1722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1723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442</v>
      </c>
      <c r="H842" s="9"/>
      <c r="I842" s="8"/>
      <c r="J842" s="8"/>
      <c r="K842" s="8"/>
      <c r="L842" s="9" t="s">
        <v>593</v>
      </c>
      <c r="M842" s="8"/>
    </row>
    <row r="843" spans="1:13" x14ac:dyDescent="0.25">
      <c r="A843" s="71" t="s">
        <v>1724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442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1725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1726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442</v>
      </c>
      <c r="H845" s="9"/>
      <c r="I845" s="8"/>
      <c r="J845" s="8"/>
      <c r="K845" s="8"/>
      <c r="L845" s="9" t="s">
        <v>593</v>
      </c>
      <c r="M845" s="8"/>
    </row>
    <row r="846" spans="1:13" x14ac:dyDescent="0.25">
      <c r="A846" s="71" t="s">
        <v>1727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442</v>
      </c>
      <c r="H846" s="9"/>
      <c r="I846" s="8"/>
      <c r="J846" s="8"/>
      <c r="K846" s="8"/>
      <c r="L846" s="9" t="s">
        <v>676</v>
      </c>
      <c r="M846" s="8"/>
    </row>
    <row r="847" spans="1:13" x14ac:dyDescent="0.25">
      <c r="A847" s="71" t="s">
        <v>1728</v>
      </c>
      <c r="B847" s="67">
        <v>10762166843</v>
      </c>
      <c r="C847" s="72" t="s">
        <v>1729</v>
      </c>
      <c r="D847" s="69">
        <v>18471490811</v>
      </c>
      <c r="E847" s="9">
        <v>1752</v>
      </c>
      <c r="F847" s="25">
        <v>43051</v>
      </c>
      <c r="G847" s="83" t="s">
        <v>442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1730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1731</v>
      </c>
      <c r="B849" s="67">
        <v>38988535863</v>
      </c>
      <c r="C849" s="72" t="s">
        <v>1732</v>
      </c>
      <c r="D849" s="69">
        <v>34543536886</v>
      </c>
      <c r="E849" s="9">
        <v>1555</v>
      </c>
      <c r="F849" s="25">
        <v>43049</v>
      </c>
      <c r="G849" s="70" t="s">
        <v>442</v>
      </c>
      <c r="H849" s="9"/>
      <c r="I849" s="8"/>
      <c r="J849" s="8"/>
      <c r="K849" s="8"/>
      <c r="L849" s="9" t="s">
        <v>821</v>
      </c>
      <c r="M849" s="8"/>
    </row>
    <row r="850" spans="1:13" x14ac:dyDescent="0.25">
      <c r="A850" s="71" t="s">
        <v>1733</v>
      </c>
      <c r="B850" s="67">
        <v>81902581334</v>
      </c>
      <c r="C850" s="72" t="s">
        <v>1734</v>
      </c>
      <c r="D850" s="69">
        <v>42305020368</v>
      </c>
      <c r="E850" s="9">
        <v>1752</v>
      </c>
      <c r="F850" s="25">
        <v>43051</v>
      </c>
      <c r="G850" s="70" t="s">
        <v>442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1735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1736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442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1737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442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1738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1739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442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1740</v>
      </c>
      <c r="B856" s="67">
        <v>36135801520</v>
      </c>
      <c r="C856" s="15" t="s">
        <v>1741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1742</v>
      </c>
      <c r="B857" s="67">
        <v>43231450802</v>
      </c>
      <c r="C857" s="72" t="s">
        <v>1743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1744</v>
      </c>
      <c r="B858" s="67">
        <v>38163601817</v>
      </c>
      <c r="C858" s="72" t="s">
        <v>1745</v>
      </c>
      <c r="D858" s="69">
        <v>36840584836</v>
      </c>
      <c r="E858" s="9">
        <v>292</v>
      </c>
      <c r="F858" s="25">
        <v>43168</v>
      </c>
      <c r="G858" s="70" t="s">
        <v>442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1746</v>
      </c>
      <c r="B859" s="67">
        <v>40853154805</v>
      </c>
      <c r="C859" s="72" t="s">
        <v>1747</v>
      </c>
      <c r="D859" s="69">
        <v>23596403804</v>
      </c>
      <c r="E859" s="9">
        <v>229</v>
      </c>
      <c r="F859" s="25">
        <v>43151</v>
      </c>
      <c r="G859" s="70" t="s">
        <v>442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1748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442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1749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1750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442</v>
      </c>
      <c r="H862" s="9"/>
      <c r="I862" s="8"/>
      <c r="J862" s="8"/>
      <c r="K862" s="8"/>
      <c r="L862" s="9" t="s">
        <v>821</v>
      </c>
      <c r="M862" s="8"/>
    </row>
    <row r="863" spans="1:13" x14ac:dyDescent="0.25">
      <c r="A863" s="14" t="s">
        <v>1751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442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1752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442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1753</v>
      </c>
      <c r="B865" s="67">
        <v>30708968805</v>
      </c>
      <c r="C865" s="72" t="s">
        <v>1754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1755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1756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442</v>
      </c>
      <c r="H867" s="9"/>
      <c r="I867" s="8"/>
      <c r="J867" s="8"/>
      <c r="K867" s="8"/>
      <c r="L867" s="9" t="s">
        <v>561</v>
      </c>
      <c r="M867" s="8"/>
    </row>
    <row r="868" spans="1:13" x14ac:dyDescent="0.25">
      <c r="A868" s="71" t="s">
        <v>1757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1758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442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1759</v>
      </c>
      <c r="B870" s="67">
        <v>41379878829</v>
      </c>
      <c r="C870" s="72" t="s">
        <v>1760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1761</v>
      </c>
      <c r="B871" s="67">
        <v>31471499863</v>
      </c>
      <c r="C871" s="72" t="s">
        <v>1762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1763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442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1764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442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1765</v>
      </c>
      <c r="B874" s="67">
        <v>27878860866</v>
      </c>
      <c r="C874" s="72" t="s">
        <v>1766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1767</v>
      </c>
      <c r="B875" s="67">
        <v>25002291813</v>
      </c>
      <c r="C875" s="72" t="s">
        <v>1768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1769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1770</v>
      </c>
      <c r="B877" s="67"/>
      <c r="C877" s="29" t="s">
        <v>1771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1772</v>
      </c>
      <c r="B878" s="67">
        <v>7205116589</v>
      </c>
      <c r="C878" s="72" t="s">
        <v>1773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1774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1775</v>
      </c>
      <c r="B880" s="67">
        <v>82084602491</v>
      </c>
      <c r="C880" s="72" t="s">
        <v>1776</v>
      </c>
      <c r="D880" s="69">
        <v>74937758420</v>
      </c>
      <c r="E880" s="9">
        <v>292</v>
      </c>
      <c r="F880" s="25">
        <v>43168</v>
      </c>
      <c r="G880" s="9" t="s">
        <v>442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1777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1778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1779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442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1780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442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1781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1782</v>
      </c>
      <c r="B886" s="67">
        <v>63234904553</v>
      </c>
      <c r="C886" s="68" t="s">
        <v>1783</v>
      </c>
      <c r="D886" s="69">
        <v>1193464870</v>
      </c>
      <c r="E886" s="9">
        <v>1128</v>
      </c>
      <c r="F886" s="25">
        <v>42972</v>
      </c>
      <c r="G886" s="70" t="s">
        <v>442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1784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1785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1786</v>
      </c>
      <c r="B889" s="67">
        <v>30967680808</v>
      </c>
      <c r="C889" s="18" t="s">
        <v>1787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1788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442</v>
      </c>
      <c r="H890" s="9"/>
      <c r="I890" s="8"/>
      <c r="J890" s="8"/>
      <c r="K890" s="8"/>
      <c r="L890" s="9" t="s">
        <v>561</v>
      </c>
      <c r="M890" s="8"/>
    </row>
    <row r="891" spans="1:13" x14ac:dyDescent="0.25">
      <c r="A891" s="15" t="s">
        <v>1789</v>
      </c>
      <c r="B891" s="67">
        <v>3570397696</v>
      </c>
      <c r="C891" s="72" t="s">
        <v>1790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1791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1792</v>
      </c>
      <c r="B893" s="67">
        <v>1170658547</v>
      </c>
      <c r="C893" s="72" t="s">
        <v>1793</v>
      </c>
      <c r="D893" s="69">
        <v>2695281560</v>
      </c>
      <c r="E893" s="9">
        <v>1824</v>
      </c>
      <c r="F893" s="25">
        <v>43091</v>
      </c>
      <c r="G893" s="70" t="s">
        <v>448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1794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442</v>
      </c>
      <c r="H894" s="9"/>
      <c r="I894" s="8"/>
      <c r="J894" s="8"/>
      <c r="K894" s="8"/>
      <c r="L894" s="9" t="s">
        <v>561</v>
      </c>
      <c r="M894" s="8"/>
    </row>
    <row r="895" spans="1:13" x14ac:dyDescent="0.25">
      <c r="A895" s="71" t="s">
        <v>1795</v>
      </c>
      <c r="B895" s="67">
        <v>29927032811</v>
      </c>
      <c r="C895" s="72" t="s">
        <v>1796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1797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1798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442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1799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442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1800</v>
      </c>
      <c r="B899" s="67">
        <v>37064427877</v>
      </c>
      <c r="C899" s="68" t="s">
        <v>1801</v>
      </c>
      <c r="D899" s="69">
        <v>34881680854</v>
      </c>
      <c r="E899" s="9">
        <v>1128</v>
      </c>
      <c r="F899" s="25">
        <v>42972</v>
      </c>
      <c r="G899" s="70" t="s">
        <v>442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1802</v>
      </c>
      <c r="B900" s="67">
        <v>34712023821</v>
      </c>
      <c r="C900" s="72" t="s">
        <v>1803</v>
      </c>
      <c r="D900" s="69">
        <v>80700918868</v>
      </c>
      <c r="E900" s="9">
        <v>117</v>
      </c>
      <c r="F900" s="25">
        <v>43117</v>
      </c>
      <c r="G900" s="70" t="s">
        <v>442</v>
      </c>
      <c r="H900" s="9"/>
      <c r="I900" s="8"/>
      <c r="J900" s="8"/>
      <c r="K900" s="8"/>
      <c r="L900" s="9" t="s">
        <v>593</v>
      </c>
      <c r="M900" s="8"/>
    </row>
    <row r="901" spans="1:13" x14ac:dyDescent="0.25">
      <c r="A901" s="71" t="s">
        <v>1804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442</v>
      </c>
      <c r="H901" s="9"/>
      <c r="I901" s="8"/>
      <c r="J901" s="8"/>
      <c r="K901" s="8"/>
      <c r="L901" s="9" t="s">
        <v>561</v>
      </c>
      <c r="M901" s="8"/>
    </row>
    <row r="902" spans="1:13" x14ac:dyDescent="0.25">
      <c r="A902" s="71" t="s">
        <v>1805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1806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442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1807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442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1808</v>
      </c>
      <c r="B905" s="67">
        <v>42517278865</v>
      </c>
      <c r="C905" s="72" t="s">
        <v>1809</v>
      </c>
      <c r="D905" s="69">
        <v>45677965863</v>
      </c>
      <c r="E905" s="9">
        <v>117</v>
      </c>
      <c r="F905" s="25">
        <v>43117</v>
      </c>
      <c r="G905" s="70" t="s">
        <v>442</v>
      </c>
      <c r="H905" s="9"/>
      <c r="I905" s="8"/>
      <c r="J905" s="8"/>
      <c r="K905" s="8"/>
      <c r="L905" s="9" t="s">
        <v>593</v>
      </c>
      <c r="M905" s="8"/>
    </row>
    <row r="906" spans="1:13" x14ac:dyDescent="0.25">
      <c r="A906" s="18" t="s">
        <v>1810</v>
      </c>
      <c r="B906" s="67">
        <v>34053574897</v>
      </c>
      <c r="C906" s="8" t="s">
        <v>1811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1812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442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1813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442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1814</v>
      </c>
      <c r="B909" s="67">
        <v>32391122802</v>
      </c>
      <c r="C909" s="72" t="s">
        <v>1815</v>
      </c>
      <c r="D909" s="69">
        <v>21653624825</v>
      </c>
      <c r="E909" s="9">
        <v>262</v>
      </c>
      <c r="F909" s="25">
        <v>43160</v>
      </c>
      <c r="G909" s="9" t="s">
        <v>442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1816</v>
      </c>
      <c r="B910" s="67"/>
      <c r="C910" s="29" t="s">
        <v>1817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1818</v>
      </c>
      <c r="B911" s="67">
        <v>39641812858</v>
      </c>
      <c r="C911" s="72" t="s">
        <v>1819</v>
      </c>
      <c r="D911" s="69">
        <v>23425114859</v>
      </c>
      <c r="E911" s="9">
        <v>262</v>
      </c>
      <c r="F911" s="25">
        <v>43160</v>
      </c>
      <c r="G911" s="70" t="s">
        <v>442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1820</v>
      </c>
      <c r="B912" s="67">
        <v>7664892481</v>
      </c>
      <c r="C912" s="72" t="s">
        <v>1821</v>
      </c>
      <c r="D912" s="69">
        <v>37120937804</v>
      </c>
      <c r="E912" s="9">
        <v>1570</v>
      </c>
      <c r="F912" s="25">
        <v>43077</v>
      </c>
      <c r="G912" s="70" t="s">
        <v>442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1822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442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1823</v>
      </c>
      <c r="B914" s="67">
        <v>35535310883</v>
      </c>
      <c r="C914" s="72" t="s">
        <v>1824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1825</v>
      </c>
      <c r="B915" s="67">
        <v>40993785867</v>
      </c>
      <c r="C915" s="72" t="s">
        <v>1826</v>
      </c>
      <c r="D915" s="69">
        <v>39284894883</v>
      </c>
      <c r="E915" s="9">
        <v>262</v>
      </c>
      <c r="F915" s="25">
        <v>43160</v>
      </c>
      <c r="G915" s="70" t="s">
        <v>442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1827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442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1828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442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1829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442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1830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442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1831</v>
      </c>
      <c r="B920" s="67">
        <v>39485589816</v>
      </c>
      <c r="C920" s="72" t="s">
        <v>1832</v>
      </c>
      <c r="D920" s="69">
        <v>6884648589</v>
      </c>
      <c r="E920" s="9">
        <v>85</v>
      </c>
      <c r="F920" s="25">
        <v>43109</v>
      </c>
      <c r="G920" s="70" t="s">
        <v>442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1833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1834</v>
      </c>
      <c r="B922" s="67">
        <v>39454700804</v>
      </c>
      <c r="C922" s="72" t="s">
        <v>1835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1836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1837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1838</v>
      </c>
      <c r="B925" s="67">
        <v>19681993810</v>
      </c>
      <c r="C925" s="72" t="s">
        <v>1839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1840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442</v>
      </c>
      <c r="H926" s="9"/>
      <c r="I926" s="8"/>
      <c r="J926" s="8"/>
      <c r="K926" s="8"/>
      <c r="L926" s="9" t="s">
        <v>561</v>
      </c>
      <c r="M926" s="8"/>
    </row>
    <row r="927" spans="1:13" x14ac:dyDescent="0.25">
      <c r="A927" s="71" t="s">
        <v>1841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1842</v>
      </c>
      <c r="B928" s="67">
        <v>32424255881</v>
      </c>
      <c r="C928" s="72" t="s">
        <v>1843</v>
      </c>
      <c r="D928" s="69">
        <v>4615874596</v>
      </c>
      <c r="E928" s="9">
        <v>229</v>
      </c>
      <c r="F928" s="25">
        <v>43151</v>
      </c>
      <c r="G928" s="70" t="s">
        <v>442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1844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442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1845</v>
      </c>
      <c r="B930" s="67">
        <v>77663551591</v>
      </c>
      <c r="C930" s="72" t="s">
        <v>1846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1847</v>
      </c>
      <c r="B931" s="67">
        <v>30768670837</v>
      </c>
      <c r="C931" s="72" t="s">
        <v>1848</v>
      </c>
      <c r="D931" s="69">
        <v>17858599860</v>
      </c>
      <c r="E931" s="9">
        <v>810</v>
      </c>
      <c r="F931" s="25">
        <v>42915</v>
      </c>
      <c r="G931" s="70" t="s">
        <v>442</v>
      </c>
      <c r="H931" s="9"/>
      <c r="I931" s="8"/>
      <c r="J931" s="8"/>
      <c r="K931" s="8"/>
      <c r="L931" s="9" t="s">
        <v>561</v>
      </c>
      <c r="M931" s="8"/>
    </row>
    <row r="932" spans="1:13" x14ac:dyDescent="0.25">
      <c r="A932" s="71" t="s">
        <v>1849</v>
      </c>
      <c r="B932" s="67">
        <v>40801562864</v>
      </c>
      <c r="C932" s="72" t="s">
        <v>1850</v>
      </c>
      <c r="D932" s="69">
        <v>40630792879</v>
      </c>
      <c r="E932" s="9">
        <v>117</v>
      </c>
      <c r="F932" s="25">
        <v>43117</v>
      </c>
      <c r="G932" s="70" t="s">
        <v>448</v>
      </c>
      <c r="H932" s="9"/>
      <c r="I932" s="8"/>
      <c r="J932" s="8"/>
      <c r="K932" s="8"/>
      <c r="L932" s="9" t="s">
        <v>593</v>
      </c>
      <c r="M932" s="8"/>
    </row>
    <row r="933" spans="1:13" x14ac:dyDescent="0.25">
      <c r="A933" s="71" t="s">
        <v>1851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442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1852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442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1853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1854</v>
      </c>
      <c r="B936" s="67">
        <v>33897782847</v>
      </c>
      <c r="C936" s="72" t="s">
        <v>1855</v>
      </c>
      <c r="D936" s="69">
        <v>22207136876</v>
      </c>
      <c r="E936" s="9">
        <v>1267</v>
      </c>
      <c r="F936" s="25">
        <v>42998</v>
      </c>
      <c r="G936" s="70" t="s">
        <v>442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1856</v>
      </c>
      <c r="B937" s="67">
        <v>31219124885</v>
      </c>
      <c r="C937" s="72" t="s">
        <v>1857</v>
      </c>
      <c r="D937" s="69">
        <v>53808967315</v>
      </c>
      <c r="E937" s="9">
        <v>292</v>
      </c>
      <c r="F937" s="25">
        <v>43168</v>
      </c>
      <c r="G937" s="70" t="s">
        <v>442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1858</v>
      </c>
      <c r="B938" s="67">
        <v>32332935851</v>
      </c>
      <c r="C938" s="18" t="s">
        <v>1859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1860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1861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456</v>
      </c>
      <c r="H940" s="47"/>
      <c r="I940" s="49"/>
      <c r="J940" s="49"/>
      <c r="K940" s="49"/>
      <c r="L940" s="9" t="s">
        <v>593</v>
      </c>
      <c r="M940" s="49"/>
    </row>
    <row r="941" spans="1:13" x14ac:dyDescent="0.25">
      <c r="A941" s="71" t="s">
        <v>1862</v>
      </c>
      <c r="B941" s="67">
        <v>35124692804</v>
      </c>
      <c r="C941" s="72" t="s">
        <v>1863</v>
      </c>
      <c r="D941" s="69">
        <v>17091274814</v>
      </c>
      <c r="E941" s="9">
        <v>262</v>
      </c>
      <c r="F941" s="25">
        <v>43160</v>
      </c>
      <c r="G941" s="70" t="s">
        <v>442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1864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1865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1866</v>
      </c>
      <c r="B944" s="67">
        <v>35271393895</v>
      </c>
      <c r="C944" s="72" t="s">
        <v>1867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1868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442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1869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722</v>
      </c>
      <c r="M946" s="8"/>
    </row>
    <row r="947" spans="1:13" x14ac:dyDescent="0.25">
      <c r="A947" s="71" t="s">
        <v>1870</v>
      </c>
      <c r="B947" s="67">
        <v>899199399</v>
      </c>
      <c r="C947" s="72" t="s">
        <v>1871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1872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442</v>
      </c>
      <c r="H948" s="9"/>
      <c r="I948" s="8"/>
      <c r="J948" s="8"/>
      <c r="K948" s="8"/>
      <c r="L948" s="9" t="s">
        <v>561</v>
      </c>
      <c r="M948" s="8"/>
    </row>
    <row r="949" spans="1:13" x14ac:dyDescent="0.25">
      <c r="A949" s="15" t="s">
        <v>1873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1874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442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1875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448</v>
      </c>
      <c r="H951" s="9"/>
      <c r="I951" s="8"/>
      <c r="J951" s="8"/>
      <c r="K951" s="8"/>
      <c r="L951" s="9" t="s">
        <v>593</v>
      </c>
      <c r="M951" s="8"/>
    </row>
    <row r="952" spans="1:13" x14ac:dyDescent="0.25">
      <c r="A952" s="15" t="s">
        <v>1876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442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1877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442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1878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442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1879</v>
      </c>
      <c r="B955" s="67">
        <v>19584308890</v>
      </c>
      <c r="C955" s="72" t="s">
        <v>1880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1881</v>
      </c>
      <c r="B956" s="67">
        <v>3220872441</v>
      </c>
      <c r="C956" s="72" t="s">
        <v>1882</v>
      </c>
      <c r="D956" s="69">
        <v>11805166808</v>
      </c>
      <c r="E956" s="9">
        <v>810</v>
      </c>
      <c r="F956" s="25">
        <v>42915</v>
      </c>
      <c r="G956" s="70" t="s">
        <v>442</v>
      </c>
      <c r="H956" s="9"/>
      <c r="I956" s="8"/>
      <c r="J956" s="8"/>
      <c r="K956" s="8"/>
      <c r="L956" s="9" t="s">
        <v>561</v>
      </c>
      <c r="M956" s="8"/>
    </row>
    <row r="957" spans="1:13" x14ac:dyDescent="0.25">
      <c r="A957" s="73" t="s">
        <v>1883</v>
      </c>
      <c r="B957" s="67">
        <v>29773950832</v>
      </c>
      <c r="C957" s="72" t="s">
        <v>1884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1885</v>
      </c>
      <c r="B958" s="78" t="s">
        <v>1886</v>
      </c>
      <c r="C958" s="72" t="s">
        <v>1887</v>
      </c>
      <c r="D958" s="69">
        <v>84102780300</v>
      </c>
      <c r="E958" s="9">
        <v>292</v>
      </c>
      <c r="F958" s="25">
        <v>43168</v>
      </c>
      <c r="G958" s="9" t="s">
        <v>442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1888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442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1889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1890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442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1891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442</v>
      </c>
      <c r="H962" s="9"/>
      <c r="I962" s="8"/>
      <c r="J962" s="8"/>
      <c r="K962" s="8"/>
      <c r="L962" s="9" t="s">
        <v>821</v>
      </c>
      <c r="M962" s="8"/>
    </row>
    <row r="963" spans="1:13" x14ac:dyDescent="0.25">
      <c r="A963" s="15" t="s">
        <v>1892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442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1893</v>
      </c>
      <c r="B964" s="67">
        <v>46248420300</v>
      </c>
      <c r="C964" s="72" t="s">
        <v>1894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1895</v>
      </c>
      <c r="B965" s="67">
        <v>84090294304</v>
      </c>
      <c r="C965" s="72" t="s">
        <v>1896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1897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1898</v>
      </c>
      <c r="B967" s="67">
        <v>918071313</v>
      </c>
      <c r="C967" s="72" t="s">
        <v>1899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1900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442</v>
      </c>
      <c r="H968" s="9"/>
      <c r="I968" s="8"/>
      <c r="J968" s="8"/>
      <c r="K968" s="8"/>
      <c r="L968" s="9" t="s">
        <v>593</v>
      </c>
      <c r="M968" s="8"/>
    </row>
    <row r="969" spans="1:13" x14ac:dyDescent="0.25">
      <c r="A969" s="71" t="s">
        <v>1901</v>
      </c>
      <c r="B969" s="67">
        <v>86465651300</v>
      </c>
      <c r="C969" s="72" t="s">
        <v>1902</v>
      </c>
      <c r="D969" s="69">
        <v>7091216792</v>
      </c>
      <c r="E969" s="9">
        <v>1350</v>
      </c>
      <c r="F969" s="25">
        <v>43006</v>
      </c>
      <c r="G969" s="70" t="s">
        <v>442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1903</v>
      </c>
      <c r="B970" s="67">
        <v>22893362893</v>
      </c>
      <c r="C970" s="72" t="s">
        <v>1904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1905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442</v>
      </c>
      <c r="H971" s="9"/>
      <c r="I971" s="8"/>
      <c r="J971" s="8"/>
      <c r="K971" s="8"/>
      <c r="L971" s="9" t="s">
        <v>676</v>
      </c>
      <c r="M971" s="8"/>
    </row>
    <row r="972" spans="1:13" x14ac:dyDescent="0.25">
      <c r="A972" s="29" t="s">
        <v>1906</v>
      </c>
      <c r="B972" s="67">
        <v>9964640854</v>
      </c>
      <c r="C972" s="18" t="s">
        <v>552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1907</v>
      </c>
      <c r="B973" s="67">
        <v>46593499854</v>
      </c>
      <c r="C973" s="29" t="s">
        <v>1908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1909</v>
      </c>
      <c r="B974" s="67">
        <v>34412339807</v>
      </c>
      <c r="C974" s="72" t="s">
        <v>1910</v>
      </c>
      <c r="D974" s="69">
        <v>30849792860</v>
      </c>
      <c r="E974" s="9">
        <v>1824</v>
      </c>
      <c r="F974" s="25">
        <v>43091</v>
      </c>
      <c r="G974" s="70" t="s">
        <v>442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1911</v>
      </c>
      <c r="B975" s="67">
        <v>63905825449</v>
      </c>
      <c r="C975" s="72" t="s">
        <v>1912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1913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442</v>
      </c>
      <c r="H976" s="9"/>
      <c r="I976" s="8"/>
      <c r="J976" s="8"/>
      <c r="K976" s="8"/>
      <c r="L976" s="9" t="s">
        <v>561</v>
      </c>
      <c r="M976" s="8"/>
    </row>
    <row r="977" spans="1:13" x14ac:dyDescent="0.25">
      <c r="A977" s="71" t="s">
        <v>1914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442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1915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442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1916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442</v>
      </c>
      <c r="H979" s="9"/>
      <c r="I979" s="8"/>
      <c r="J979" s="8"/>
      <c r="K979" s="8"/>
      <c r="L979" s="9" t="s">
        <v>561</v>
      </c>
      <c r="M979" s="8"/>
    </row>
    <row r="980" spans="1:13" x14ac:dyDescent="0.25">
      <c r="A980" s="18" t="s">
        <v>1917</v>
      </c>
      <c r="B980" s="67">
        <v>18473037812</v>
      </c>
      <c r="C980" s="18" t="s">
        <v>1918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1919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1920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442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1921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1922</v>
      </c>
      <c r="B984" s="67">
        <v>30458696889</v>
      </c>
      <c r="C984" s="68" t="s">
        <v>1923</v>
      </c>
      <c r="D984" s="69">
        <v>25196748814</v>
      </c>
      <c r="E984" s="9">
        <v>1267</v>
      </c>
      <c r="F984" s="25">
        <v>42998</v>
      </c>
      <c r="G984" s="70" t="s">
        <v>448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1924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442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1925</v>
      </c>
      <c r="B986" s="67"/>
      <c r="C986" s="29" t="s">
        <v>1926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1927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1928</v>
      </c>
      <c r="B988" s="67" t="s">
        <v>1929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1930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1931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1932</v>
      </c>
      <c r="B991" s="67"/>
      <c r="C991" s="18" t="s">
        <v>552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1933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1934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1935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442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1936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1937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442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1938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1939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1940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1941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442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1942</v>
      </c>
      <c r="B1001" s="67">
        <v>39651975334</v>
      </c>
      <c r="C1001" s="72" t="s">
        <v>1943</v>
      </c>
      <c r="D1001" s="69">
        <v>35104799808</v>
      </c>
      <c r="E1001" s="9">
        <v>229</v>
      </c>
      <c r="F1001" s="25">
        <v>43151</v>
      </c>
      <c r="G1001" s="70" t="s">
        <v>442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1944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442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1945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442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1946</v>
      </c>
      <c r="B1004" s="67">
        <v>46226383801</v>
      </c>
      <c r="C1004" s="72" t="s">
        <v>1947</v>
      </c>
      <c r="D1004" s="69">
        <v>46166460821</v>
      </c>
      <c r="E1004" s="9">
        <v>292</v>
      </c>
      <c r="F1004" s="25">
        <v>43168</v>
      </c>
      <c r="G1004" s="70" t="s">
        <v>442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1948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442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1949</v>
      </c>
      <c r="B1006" s="67">
        <v>37051448803</v>
      </c>
      <c r="C1006" s="72" t="s">
        <v>1950</v>
      </c>
      <c r="D1006" s="69">
        <v>22442223813</v>
      </c>
      <c r="E1006" s="9">
        <v>1489</v>
      </c>
      <c r="F1006" s="25">
        <v>43038</v>
      </c>
      <c r="G1006" s="70" t="s">
        <v>442</v>
      </c>
      <c r="H1006" s="9"/>
      <c r="I1006" s="8"/>
      <c r="J1006" s="8"/>
      <c r="K1006" s="8"/>
      <c r="L1006" s="9" t="s">
        <v>583</v>
      </c>
      <c r="M1006" s="8"/>
    </row>
    <row r="1007" spans="1:13" x14ac:dyDescent="0.25">
      <c r="A1007" s="71" t="s">
        <v>1951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1952</v>
      </c>
      <c r="B1008" s="67">
        <v>50092450865</v>
      </c>
      <c r="C1008" s="72" t="s">
        <v>1953</v>
      </c>
      <c r="D1008" s="69">
        <v>34366320827</v>
      </c>
      <c r="E1008" s="9">
        <v>608</v>
      </c>
      <c r="F1008" s="25">
        <v>43012</v>
      </c>
      <c r="G1008" s="70" t="s">
        <v>442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1954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442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1955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442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1956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442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1957</v>
      </c>
      <c r="B1012" s="67">
        <v>36501110807</v>
      </c>
      <c r="C1012" s="72" t="s">
        <v>1958</v>
      </c>
      <c r="D1012" s="69">
        <v>36592467860</v>
      </c>
      <c r="E1012" s="9">
        <v>262</v>
      </c>
      <c r="F1012" s="25">
        <v>43160</v>
      </c>
      <c r="G1012" s="70" t="s">
        <v>442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1959</v>
      </c>
      <c r="B1013" s="67">
        <v>34470374822</v>
      </c>
      <c r="C1013" s="29" t="s">
        <v>1960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1961</v>
      </c>
      <c r="B1014" s="67">
        <v>40814125883</v>
      </c>
      <c r="C1014" s="72" t="s">
        <v>1962</v>
      </c>
      <c r="D1014" s="69">
        <v>27095684898</v>
      </c>
      <c r="E1014" s="9">
        <v>810</v>
      </c>
      <c r="F1014" s="25">
        <v>42915</v>
      </c>
      <c r="G1014" s="70" t="s">
        <v>442</v>
      </c>
      <c r="H1014" s="9"/>
      <c r="I1014" s="8"/>
      <c r="J1014" s="8"/>
      <c r="K1014" s="8"/>
      <c r="L1014" s="9" t="s">
        <v>561</v>
      </c>
      <c r="M1014" s="8"/>
    </row>
    <row r="1015" spans="1:13" x14ac:dyDescent="0.25">
      <c r="A1015" s="71" t="s">
        <v>1963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1964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442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1965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1966</v>
      </c>
      <c r="B1018" s="67"/>
      <c r="C1018" s="18" t="s">
        <v>552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1967</v>
      </c>
      <c r="B1019" s="67">
        <v>26492754808</v>
      </c>
      <c r="C1019" s="9" t="s">
        <v>552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1968</v>
      </c>
      <c r="B1020" s="67">
        <v>526417595</v>
      </c>
      <c r="C1020" s="72" t="s">
        <v>1969</v>
      </c>
      <c r="D1020" s="69">
        <v>25810630847</v>
      </c>
      <c r="E1020" s="9">
        <v>262</v>
      </c>
      <c r="F1020" s="25">
        <v>43160</v>
      </c>
      <c r="G1020" s="9" t="s">
        <v>442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1970</v>
      </c>
      <c r="B1021" s="67">
        <v>26362064852</v>
      </c>
      <c r="C1021" s="77" t="s">
        <v>1971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722</v>
      </c>
      <c r="M1021" s="8"/>
    </row>
    <row r="1022" spans="1:13" x14ac:dyDescent="0.25">
      <c r="A1022" s="71" t="s">
        <v>1972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442</v>
      </c>
      <c r="H1022" s="9"/>
      <c r="I1022" s="8"/>
      <c r="J1022" s="8"/>
      <c r="K1022" s="8"/>
      <c r="L1022" s="9" t="s">
        <v>583</v>
      </c>
      <c r="M1022" s="8"/>
    </row>
    <row r="1023" spans="1:13" x14ac:dyDescent="0.25">
      <c r="A1023" s="71" t="s">
        <v>1973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442</v>
      </c>
      <c r="H1023" s="9"/>
      <c r="I1023" s="8"/>
      <c r="J1023" s="8"/>
      <c r="K1023" s="8"/>
      <c r="L1023" s="9" t="s">
        <v>561</v>
      </c>
      <c r="M1023" s="8"/>
    </row>
    <row r="1024" spans="1:13" x14ac:dyDescent="0.25">
      <c r="A1024" s="71" t="s">
        <v>1974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1975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1976</v>
      </c>
      <c r="B1026" s="67">
        <v>41791708846</v>
      </c>
      <c r="C1026" s="72" t="s">
        <v>1977</v>
      </c>
      <c r="D1026" s="69">
        <v>41003253806</v>
      </c>
      <c r="E1026" s="9">
        <v>262</v>
      </c>
      <c r="F1026" s="25">
        <v>43160</v>
      </c>
      <c r="G1026" s="70" t="s">
        <v>442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1978</v>
      </c>
      <c r="B1027" s="67"/>
      <c r="C1027" s="29" t="s">
        <v>1979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1980</v>
      </c>
      <c r="B1028" s="67">
        <v>34575373800</v>
      </c>
      <c r="C1028" s="72" t="s">
        <v>1981</v>
      </c>
      <c r="D1028" s="69">
        <v>22427117846</v>
      </c>
      <c r="E1028" s="9">
        <v>1350</v>
      </c>
      <c r="F1028" s="25">
        <v>43006</v>
      </c>
      <c r="G1028" s="70" t="s">
        <v>442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1982</v>
      </c>
      <c r="B1029" s="67">
        <v>79215262334</v>
      </c>
      <c r="C1029" s="72" t="s">
        <v>1983</v>
      </c>
      <c r="D1029" s="69">
        <v>76370372315</v>
      </c>
      <c r="E1029" s="9">
        <v>1451</v>
      </c>
      <c r="F1029" s="25">
        <v>43027</v>
      </c>
      <c r="G1029" s="70" t="s">
        <v>448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1984</v>
      </c>
      <c r="B1030" s="67">
        <v>15208922843</v>
      </c>
      <c r="C1030" s="72" t="s">
        <v>1985</v>
      </c>
      <c r="D1030" s="69">
        <v>34068960810</v>
      </c>
      <c r="E1030" s="9">
        <v>229</v>
      </c>
      <c r="F1030" s="25">
        <v>43151</v>
      </c>
      <c r="G1030" s="70" t="s">
        <v>456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1986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1987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1988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442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1989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722</v>
      </c>
      <c r="M1034" s="8"/>
    </row>
    <row r="1035" spans="1:13" x14ac:dyDescent="0.25">
      <c r="A1035" s="71" t="s">
        <v>1990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1991</v>
      </c>
      <c r="B1036" s="67">
        <v>99570467304</v>
      </c>
      <c r="C1036" s="72" t="s">
        <v>1992</v>
      </c>
      <c r="D1036" s="69">
        <v>7702980877</v>
      </c>
      <c r="E1036" s="9">
        <v>229</v>
      </c>
      <c r="F1036" s="25">
        <v>43151</v>
      </c>
      <c r="G1036" s="70" t="s">
        <v>442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1993</v>
      </c>
      <c r="B1037" s="67">
        <v>18710956549</v>
      </c>
      <c r="C1037" s="72" t="s">
        <v>1994</v>
      </c>
      <c r="D1037" s="69">
        <v>85859141572</v>
      </c>
      <c r="E1037" s="9">
        <v>1417</v>
      </c>
      <c r="F1037" s="25">
        <v>43017</v>
      </c>
      <c r="G1037" s="70" t="s">
        <v>442</v>
      </c>
      <c r="H1037" s="76">
        <v>43213</v>
      </c>
      <c r="I1037" s="8"/>
      <c r="J1037" s="8"/>
      <c r="K1037" s="8"/>
      <c r="L1037" s="9" t="s">
        <v>676</v>
      </c>
      <c r="M1037" s="8"/>
    </row>
    <row r="1038" spans="1:13" x14ac:dyDescent="0.25">
      <c r="A1038" s="71" t="s">
        <v>1995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1996</v>
      </c>
      <c r="B1039" s="67">
        <v>42748662890</v>
      </c>
      <c r="C1039" s="18" t="s">
        <v>1997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1998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442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1999</v>
      </c>
      <c r="B1041" s="67">
        <v>23367537829</v>
      </c>
      <c r="C1041" s="72" t="s">
        <v>2000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2001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442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2002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2003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442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2004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442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2005</v>
      </c>
      <c r="B1046" s="67">
        <v>74603671415</v>
      </c>
      <c r="C1046" s="72" t="s">
        <v>2006</v>
      </c>
      <c r="D1046" s="69">
        <v>28040569885</v>
      </c>
      <c r="E1046" s="9">
        <v>1267</v>
      </c>
      <c r="F1046" s="25">
        <v>42998</v>
      </c>
      <c r="G1046" s="70" t="s">
        <v>448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2007</v>
      </c>
      <c r="B1047" s="67">
        <v>41590060865</v>
      </c>
      <c r="C1047" s="72" t="s">
        <v>2008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2009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442</v>
      </c>
      <c r="H1048" s="9"/>
      <c r="I1048" s="8"/>
      <c r="J1048" s="8"/>
      <c r="K1048" s="8"/>
      <c r="L1048" s="9" t="s">
        <v>561</v>
      </c>
      <c r="M1048" s="8"/>
    </row>
    <row r="1049" spans="1:13" x14ac:dyDescent="0.25">
      <c r="A1049" s="13" t="s">
        <v>2010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442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2011</v>
      </c>
      <c r="B1050" s="67">
        <v>35741867898</v>
      </c>
      <c r="C1050" s="72" t="s">
        <v>2012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2013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2014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2015</v>
      </c>
      <c r="B1053" s="67">
        <v>27928359820</v>
      </c>
      <c r="C1053" s="72" t="s">
        <v>2016</v>
      </c>
      <c r="D1053" s="69">
        <v>61803766468</v>
      </c>
      <c r="E1053" s="9">
        <v>810</v>
      </c>
      <c r="F1053" s="25">
        <v>42915</v>
      </c>
      <c r="G1053" s="70" t="s">
        <v>442</v>
      </c>
      <c r="H1053" s="9"/>
      <c r="I1053" s="8"/>
      <c r="J1053" s="8"/>
      <c r="K1053" s="8"/>
      <c r="L1053" s="9" t="s">
        <v>561</v>
      </c>
      <c r="M1053" s="8"/>
    </row>
    <row r="1054" spans="1:13" x14ac:dyDescent="0.25">
      <c r="A1054" s="71" t="s">
        <v>2017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442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2018</v>
      </c>
      <c r="B1055" s="67">
        <v>59431920506</v>
      </c>
      <c r="C1055" s="18" t="s">
        <v>552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2019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442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2020</v>
      </c>
      <c r="B1057" s="67" t="s">
        <v>2021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2022</v>
      </c>
      <c r="B1058" s="67">
        <v>34366747880</v>
      </c>
      <c r="C1058" s="77" t="s">
        <v>2023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722</v>
      </c>
      <c r="M1058" s="8"/>
    </row>
    <row r="1059" spans="1:13" x14ac:dyDescent="0.25">
      <c r="A1059" s="71" t="s">
        <v>2024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442</v>
      </c>
      <c r="H1059" s="9"/>
      <c r="I1059" s="8"/>
      <c r="J1059" s="8"/>
      <c r="K1059" s="8"/>
      <c r="L1059" s="9" t="s">
        <v>583</v>
      </c>
      <c r="M1059" s="8"/>
    </row>
    <row r="1060" spans="1:13" x14ac:dyDescent="0.25">
      <c r="A1060" s="14" t="s">
        <v>2025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442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2026</v>
      </c>
      <c r="B1061" s="67">
        <v>19580560811</v>
      </c>
      <c r="C1061" s="68" t="s">
        <v>2027</v>
      </c>
      <c r="D1061" s="69">
        <v>28925414848</v>
      </c>
      <c r="E1061" s="9">
        <v>1359</v>
      </c>
      <c r="F1061" s="25">
        <v>43006</v>
      </c>
      <c r="G1061" s="70" t="s">
        <v>448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2028</v>
      </c>
      <c r="B1062" s="67">
        <v>34230472838</v>
      </c>
      <c r="C1062" s="9" t="s">
        <v>552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2029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2030</v>
      </c>
      <c r="B1064" s="67">
        <v>42398811883</v>
      </c>
      <c r="C1064" s="72" t="s">
        <v>2031</v>
      </c>
      <c r="D1064" s="69">
        <v>33876650836</v>
      </c>
      <c r="E1064" s="9">
        <v>117</v>
      </c>
      <c r="F1064" s="25">
        <v>43117</v>
      </c>
      <c r="G1064" s="70" t="s">
        <v>448</v>
      </c>
      <c r="H1064" s="9"/>
      <c r="I1064" s="8"/>
      <c r="J1064" s="8"/>
      <c r="K1064" s="8"/>
      <c r="L1064" s="9" t="s">
        <v>593</v>
      </c>
      <c r="M1064" s="8"/>
    </row>
    <row r="1065" spans="1:13" x14ac:dyDescent="0.25">
      <c r="A1065" s="13" t="s">
        <v>2032</v>
      </c>
      <c r="B1065" s="67">
        <v>3876363829</v>
      </c>
      <c r="C1065" s="72" t="s">
        <v>2033</v>
      </c>
      <c r="D1065" s="69">
        <v>9491364847</v>
      </c>
      <c r="E1065" s="9">
        <v>1359</v>
      </c>
      <c r="F1065" s="25">
        <v>43006</v>
      </c>
      <c r="G1065" s="70" t="s">
        <v>442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2034</v>
      </c>
      <c r="B1066" s="67">
        <v>27340044884</v>
      </c>
      <c r="C1066" s="72" t="s">
        <v>2035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2036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2037</v>
      </c>
      <c r="B1068" s="67">
        <v>38422303892</v>
      </c>
      <c r="C1068" s="72" t="s">
        <v>2038</v>
      </c>
      <c r="D1068" s="69">
        <v>33753889857</v>
      </c>
      <c r="E1068" s="9">
        <v>608</v>
      </c>
      <c r="F1068" s="25">
        <v>43012</v>
      </c>
      <c r="G1068" s="70" t="s">
        <v>442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2039</v>
      </c>
      <c r="B1069" s="67">
        <v>36171676837</v>
      </c>
      <c r="C1069" s="68" t="s">
        <v>2040</v>
      </c>
      <c r="D1069" s="69">
        <v>1470162580</v>
      </c>
      <c r="E1069" s="9">
        <v>1128</v>
      </c>
      <c r="F1069" s="25">
        <v>42972</v>
      </c>
      <c r="G1069" s="70" t="s">
        <v>442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2041</v>
      </c>
      <c r="B1070" s="67">
        <v>42047014859</v>
      </c>
      <c r="C1070" s="72" t="s">
        <v>2042</v>
      </c>
      <c r="D1070" s="69">
        <v>9300065424</v>
      </c>
      <c r="E1070" s="9">
        <v>1417</v>
      </c>
      <c r="F1070" s="25">
        <v>43017</v>
      </c>
      <c r="G1070" s="70" t="s">
        <v>448</v>
      </c>
      <c r="H1070" s="9"/>
      <c r="I1070" s="8"/>
      <c r="J1070" s="8"/>
      <c r="K1070" s="8"/>
      <c r="L1070" s="9" t="s">
        <v>676</v>
      </c>
      <c r="M1070" s="8"/>
    </row>
    <row r="1071" spans="1:13" x14ac:dyDescent="0.25">
      <c r="A1071" s="29" t="s">
        <v>2043</v>
      </c>
      <c r="B1071" s="67">
        <v>34822545830</v>
      </c>
      <c r="C1071" s="18" t="s">
        <v>552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2044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2045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442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2046</v>
      </c>
      <c r="B1074" s="67">
        <v>1737249308</v>
      </c>
      <c r="C1074" s="72" t="s">
        <v>2047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2048</v>
      </c>
      <c r="B1075" s="67">
        <v>3844142576</v>
      </c>
      <c r="C1075" s="72" t="s">
        <v>2049</v>
      </c>
      <c r="D1075" s="69">
        <v>35502503801</v>
      </c>
      <c r="E1075" s="9">
        <v>810</v>
      </c>
      <c r="F1075" s="25">
        <v>42915</v>
      </c>
      <c r="G1075" s="70" t="s">
        <v>442</v>
      </c>
      <c r="H1075" s="9"/>
      <c r="I1075" s="8"/>
      <c r="J1075" s="8"/>
      <c r="K1075" s="8"/>
      <c r="L1075" s="9" t="s">
        <v>561</v>
      </c>
      <c r="M1075" s="8"/>
    </row>
    <row r="1076" spans="1:13" x14ac:dyDescent="0.25">
      <c r="A1076" s="71" t="s">
        <v>2050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2051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442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2052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2053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442</v>
      </c>
      <c r="H1079" s="9"/>
      <c r="I1079" s="8"/>
      <c r="J1079" s="8"/>
      <c r="K1079" s="8"/>
      <c r="L1079" s="9" t="s">
        <v>593</v>
      </c>
      <c r="M1079" s="8"/>
    </row>
    <row r="1080" spans="1:13" x14ac:dyDescent="0.25">
      <c r="A1080" s="18" t="s">
        <v>2054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2055</v>
      </c>
      <c r="B1081" s="67">
        <v>44410556843</v>
      </c>
      <c r="C1081" s="72" t="s">
        <v>2056</v>
      </c>
      <c r="D1081" s="69">
        <v>39436457898</v>
      </c>
      <c r="E1081" s="9">
        <v>262</v>
      </c>
      <c r="F1081" s="25">
        <v>43160</v>
      </c>
      <c r="G1081" s="70" t="s">
        <v>442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2057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442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2058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2059</v>
      </c>
      <c r="B1084" s="67">
        <v>7838810884</v>
      </c>
      <c r="C1084" s="72" t="s">
        <v>2060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2061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442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2062</v>
      </c>
      <c r="B1086" s="67">
        <v>18239878857</v>
      </c>
      <c r="C1086" s="72" t="s">
        <v>2063</v>
      </c>
      <c r="D1086" s="69">
        <v>18871709870</v>
      </c>
      <c r="E1086" s="9">
        <v>85</v>
      </c>
      <c r="F1086" s="25">
        <v>43109</v>
      </c>
      <c r="G1086" s="70" t="s">
        <v>442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2064</v>
      </c>
      <c r="B1087" s="67">
        <v>33213821802</v>
      </c>
      <c r="C1087" s="18" t="s">
        <v>552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2065</v>
      </c>
      <c r="B1088" s="67">
        <v>39075719833</v>
      </c>
      <c r="C1088" s="72" t="s">
        <v>2066</v>
      </c>
      <c r="D1088" s="69">
        <v>29754975809</v>
      </c>
      <c r="E1088" s="9">
        <v>810</v>
      </c>
      <c r="F1088" s="25">
        <v>42915</v>
      </c>
      <c r="G1088" s="70" t="s">
        <v>448</v>
      </c>
      <c r="H1088" s="9"/>
      <c r="I1088" s="8"/>
      <c r="J1088" s="8"/>
      <c r="K1088" s="8"/>
      <c r="L1088" s="9" t="s">
        <v>561</v>
      </c>
      <c r="M1088" s="8"/>
    </row>
    <row r="1089" spans="1:13" x14ac:dyDescent="0.25">
      <c r="A1089" s="71" t="s">
        <v>2067</v>
      </c>
      <c r="B1089" s="67">
        <v>22599824842</v>
      </c>
      <c r="C1089" s="73" t="s">
        <v>2068</v>
      </c>
      <c r="D1089" s="69" t="s">
        <v>2069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2070</v>
      </c>
      <c r="B1090" s="67">
        <v>41719739889</v>
      </c>
      <c r="C1090" s="72" t="s">
        <v>2071</v>
      </c>
      <c r="D1090" s="69">
        <v>35883252800</v>
      </c>
      <c r="E1090" s="9">
        <v>1752</v>
      </c>
      <c r="F1090" s="25">
        <v>43051</v>
      </c>
      <c r="G1090" s="70" t="s">
        <v>442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2072</v>
      </c>
      <c r="B1091" s="67">
        <v>31524778800</v>
      </c>
      <c r="C1091" s="72" t="s">
        <v>2073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2074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2075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2076</v>
      </c>
      <c r="B1094" s="67">
        <v>6614830376</v>
      </c>
      <c r="C1094" s="72" t="s">
        <v>2077</v>
      </c>
      <c r="D1094" s="69">
        <v>6372277352</v>
      </c>
      <c r="E1094" s="9">
        <v>229</v>
      </c>
      <c r="F1094" s="25">
        <v>43151</v>
      </c>
      <c r="G1094" s="70" t="s">
        <v>442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2078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2079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442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2080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2081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442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2082</v>
      </c>
      <c r="B1099" s="67">
        <v>23047254818</v>
      </c>
      <c r="C1099" s="18" t="s">
        <v>552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2083</v>
      </c>
      <c r="B1100" s="69">
        <v>15755371504</v>
      </c>
      <c r="C1100" s="71" t="s">
        <v>2084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2085</v>
      </c>
      <c r="B1101" s="67"/>
      <c r="C1101" s="29" t="s">
        <v>552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2086</v>
      </c>
      <c r="B1102" s="67">
        <v>37975016845</v>
      </c>
      <c r="C1102" s="72" t="s">
        <v>2087</v>
      </c>
      <c r="D1102" s="69">
        <v>31274964865</v>
      </c>
      <c r="E1102" s="9">
        <v>810</v>
      </c>
      <c r="F1102" s="25">
        <v>42915</v>
      </c>
      <c r="G1102" s="70" t="s">
        <v>442</v>
      </c>
      <c r="H1102" s="9"/>
      <c r="I1102" s="8"/>
      <c r="J1102" s="8"/>
      <c r="K1102" s="8"/>
      <c r="L1102" s="9" t="s">
        <v>561</v>
      </c>
      <c r="M1102" s="8"/>
    </row>
    <row r="1103" spans="1:13" x14ac:dyDescent="0.25">
      <c r="A1103" s="71" t="s">
        <v>2088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2089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2090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442</v>
      </c>
      <c r="H1105" s="9"/>
      <c r="I1105" s="8"/>
      <c r="J1105" s="8"/>
      <c r="K1105" s="8"/>
      <c r="L1105" s="9" t="s">
        <v>593</v>
      </c>
      <c r="M1105" s="8"/>
    </row>
    <row r="1106" spans="1:13" x14ac:dyDescent="0.25">
      <c r="A1106" s="14" t="s">
        <v>2091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442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2092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2093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442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2094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2095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2096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442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2097</v>
      </c>
      <c r="B1112" s="67"/>
      <c r="C1112" s="29" t="s">
        <v>2098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2099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2100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2101</v>
      </c>
      <c r="B1115" s="67">
        <v>31228148899</v>
      </c>
      <c r="C1115" s="18" t="s">
        <v>2102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2103</v>
      </c>
      <c r="B1116" s="67">
        <v>28077309810</v>
      </c>
      <c r="C1116" s="72" t="s">
        <v>2104</v>
      </c>
      <c r="D1116" s="69">
        <v>62568370530</v>
      </c>
      <c r="E1116" s="9">
        <v>229</v>
      </c>
      <c r="F1116" s="25">
        <v>43151</v>
      </c>
      <c r="G1116" s="70" t="s">
        <v>442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2105</v>
      </c>
      <c r="B1117" s="67">
        <v>43681754845</v>
      </c>
      <c r="C1117" s="72" t="s">
        <v>2106</v>
      </c>
      <c r="D1117" s="69">
        <v>51120226805</v>
      </c>
      <c r="E1117" s="9">
        <v>1555</v>
      </c>
      <c r="F1117" s="25">
        <v>43049</v>
      </c>
      <c r="G1117" s="70" t="s">
        <v>442</v>
      </c>
      <c r="H1117" s="9"/>
      <c r="I1117" s="8"/>
      <c r="J1117" s="8"/>
      <c r="K1117" s="8"/>
      <c r="L1117" s="9" t="s">
        <v>821</v>
      </c>
      <c r="M1117" s="8"/>
    </row>
    <row r="1118" spans="1:13" x14ac:dyDescent="0.25">
      <c r="A1118" s="29" t="s">
        <v>2107</v>
      </c>
      <c r="B1118" s="67"/>
      <c r="C1118" s="29" t="s">
        <v>2108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2109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2110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442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2111</v>
      </c>
      <c r="B1121" s="67">
        <v>44708151870</v>
      </c>
      <c r="C1121" s="88" t="s">
        <v>2112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2113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2114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2115</v>
      </c>
      <c r="B1124" s="67">
        <v>8368671817</v>
      </c>
      <c r="C1124" s="72" t="s">
        <v>2116</v>
      </c>
      <c r="D1124" s="69">
        <v>19184424877</v>
      </c>
      <c r="E1124" s="9">
        <v>292</v>
      </c>
      <c r="F1124" s="25">
        <v>43168</v>
      </c>
      <c r="G1124" s="70" t="s">
        <v>442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2117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442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2118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442</v>
      </c>
      <c r="H1126" s="9"/>
      <c r="I1126" s="8"/>
      <c r="J1126" s="8"/>
      <c r="K1126" s="8"/>
      <c r="L1126" s="9" t="s">
        <v>561</v>
      </c>
      <c r="M1126" s="8"/>
    </row>
    <row r="1127" spans="1:13" x14ac:dyDescent="0.25">
      <c r="A1127" s="18" t="s">
        <v>2119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2120</v>
      </c>
      <c r="B1128" s="67">
        <v>45127604825</v>
      </c>
      <c r="C1128" s="72" t="s">
        <v>2121</v>
      </c>
      <c r="D1128" s="69" t="s">
        <v>2122</v>
      </c>
      <c r="E1128" s="9">
        <v>229</v>
      </c>
      <c r="F1128" s="25">
        <v>43151</v>
      </c>
      <c r="G1128" s="70" t="s">
        <v>456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2123</v>
      </c>
      <c r="B1129" s="67">
        <v>42987674856</v>
      </c>
      <c r="C1129" s="72" t="s">
        <v>2124</v>
      </c>
      <c r="D1129" s="69">
        <v>38745840890</v>
      </c>
      <c r="E1129" s="9">
        <v>85</v>
      </c>
      <c r="F1129" s="25">
        <v>43109</v>
      </c>
      <c r="G1129" s="70" t="s">
        <v>442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2125</v>
      </c>
      <c r="B1130" s="67">
        <v>36406558855</v>
      </c>
      <c r="C1130" s="72" t="s">
        <v>2126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2127</v>
      </c>
      <c r="B1131" s="67">
        <v>22758320843</v>
      </c>
      <c r="C1131" s="72" t="s">
        <v>2128</v>
      </c>
      <c r="D1131" s="69">
        <v>14229403810</v>
      </c>
      <c r="E1131" s="9">
        <v>1752</v>
      </c>
      <c r="F1131" s="25">
        <v>43051</v>
      </c>
      <c r="G1131" s="70" t="s">
        <v>442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2129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2130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442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2131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442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2132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442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2133</v>
      </c>
      <c r="B1136" s="67">
        <v>32518683810</v>
      </c>
      <c r="C1136" s="72" t="s">
        <v>2134</v>
      </c>
      <c r="D1136" s="69">
        <v>32570919829</v>
      </c>
      <c r="E1136" s="9">
        <v>262</v>
      </c>
      <c r="F1136" s="25">
        <v>43160</v>
      </c>
      <c r="G1136" s="70" t="s">
        <v>448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2135</v>
      </c>
      <c r="B1137" s="67">
        <v>35723911805</v>
      </c>
      <c r="C1137" s="18" t="s">
        <v>552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2136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442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2137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442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2138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442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2139</v>
      </c>
      <c r="B1141" s="67">
        <v>9527670667</v>
      </c>
      <c r="C1141" s="18" t="s">
        <v>2140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2141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442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2142</v>
      </c>
      <c r="B1143" s="80">
        <v>15404916842</v>
      </c>
      <c r="C1143" s="81" t="s">
        <v>2143</v>
      </c>
      <c r="D1143" s="82">
        <v>26437120487</v>
      </c>
      <c r="E1143" s="47">
        <v>1752</v>
      </c>
      <c r="F1143" s="48">
        <v>43051</v>
      </c>
      <c r="G1143" s="83" t="s">
        <v>456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2144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442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2145</v>
      </c>
      <c r="B1145" s="67">
        <v>16618981816</v>
      </c>
      <c r="C1145" s="77" t="s">
        <v>2146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2147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442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2148</v>
      </c>
      <c r="B1147" s="67">
        <v>14396561857</v>
      </c>
      <c r="C1147" s="72" t="s">
        <v>2149</v>
      </c>
      <c r="D1147" s="69">
        <v>26877955854</v>
      </c>
      <c r="E1147" s="9">
        <v>1350</v>
      </c>
      <c r="F1147" s="25">
        <v>43006</v>
      </c>
      <c r="G1147" s="70" t="s">
        <v>442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2150</v>
      </c>
      <c r="B1148" s="67">
        <v>89014774591</v>
      </c>
      <c r="C1148" s="72" t="s">
        <v>2151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2152</v>
      </c>
      <c r="B1149" s="67">
        <v>36708561883</v>
      </c>
      <c r="C1149" s="72" t="s">
        <v>2153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2154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442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2155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442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2156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442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2157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2158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2159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442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2160</v>
      </c>
      <c r="B1156" s="67">
        <v>35706404852</v>
      </c>
      <c r="C1156" s="72"/>
      <c r="D1156" s="69"/>
      <c r="E1156" s="9">
        <v>117</v>
      </c>
      <c r="F1156" s="25"/>
      <c r="G1156" s="70" t="s">
        <v>456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2161</v>
      </c>
      <c r="B1157" s="67">
        <v>2044062348</v>
      </c>
      <c r="C1157" s="72" t="s">
        <v>2162</v>
      </c>
      <c r="D1157" s="69">
        <v>61505005353</v>
      </c>
      <c r="E1157" s="9">
        <v>1214</v>
      </c>
      <c r="F1157" s="25">
        <v>42989</v>
      </c>
      <c r="G1157" s="70" t="s">
        <v>442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2163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442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2164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2165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442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2166</v>
      </c>
      <c r="B1161" s="67">
        <v>11126789801</v>
      </c>
      <c r="C1161" s="72" t="s">
        <v>2167</v>
      </c>
      <c r="D1161" s="69">
        <v>13442330823</v>
      </c>
      <c r="E1161" s="9">
        <v>85</v>
      </c>
      <c r="F1161" s="25">
        <v>43109</v>
      </c>
      <c r="G1161" s="70" t="s">
        <v>442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2168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442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2169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442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2170</v>
      </c>
      <c r="B1164" s="67">
        <v>42134258861</v>
      </c>
      <c r="C1164" s="72" t="s">
        <v>2171</v>
      </c>
      <c r="D1164" s="69">
        <v>36485490817</v>
      </c>
      <c r="E1164" s="9">
        <v>262</v>
      </c>
      <c r="F1164" s="25">
        <v>43160</v>
      </c>
      <c r="G1164" s="9" t="s">
        <v>442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2172</v>
      </c>
      <c r="B1165" s="67">
        <v>1772681318</v>
      </c>
      <c r="C1165" s="72" t="s">
        <v>2173</v>
      </c>
      <c r="D1165" s="69">
        <v>88109810306</v>
      </c>
      <c r="E1165" s="9">
        <v>85</v>
      </c>
      <c r="F1165" s="25">
        <v>43109</v>
      </c>
      <c r="G1165" s="70" t="s">
        <v>442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2174</v>
      </c>
      <c r="B1166" s="67">
        <v>88244881291</v>
      </c>
      <c r="C1166" s="72" t="s">
        <v>2175</v>
      </c>
      <c r="D1166" s="69">
        <v>71885609272</v>
      </c>
      <c r="E1166" s="9">
        <v>292</v>
      </c>
      <c r="F1166" s="25">
        <v>43168</v>
      </c>
      <c r="G1166" s="9" t="s">
        <v>442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2176</v>
      </c>
      <c r="B1167" s="67">
        <v>33535539838</v>
      </c>
      <c r="C1167" s="72" t="s">
        <v>2177</v>
      </c>
      <c r="D1167" s="69">
        <v>19438586830</v>
      </c>
      <c r="E1167" s="9">
        <v>85</v>
      </c>
      <c r="F1167" s="25">
        <v>43109</v>
      </c>
      <c r="G1167" s="70" t="s">
        <v>442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2178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442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2179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442</v>
      </c>
      <c r="H1169" s="9"/>
      <c r="I1169" s="8"/>
      <c r="J1169" s="8"/>
      <c r="K1169" s="8"/>
      <c r="L1169" s="9" t="s">
        <v>593</v>
      </c>
      <c r="M1169" s="8"/>
    </row>
    <row r="1170" spans="1:13" x14ac:dyDescent="0.25">
      <c r="A1170" s="71" t="s">
        <v>2180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2181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442</v>
      </c>
      <c r="H1171" s="9"/>
      <c r="I1171" s="8"/>
      <c r="J1171" s="8"/>
      <c r="K1171" s="8"/>
      <c r="L1171" s="9" t="s">
        <v>561</v>
      </c>
      <c r="M1171" s="8"/>
    </row>
    <row r="1172" spans="1:13" x14ac:dyDescent="0.25">
      <c r="A1172" s="71" t="s">
        <v>2182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442</v>
      </c>
      <c r="H1172" s="9"/>
      <c r="I1172" s="8"/>
      <c r="J1172" s="8"/>
      <c r="K1172" s="8"/>
      <c r="L1172" s="9" t="s">
        <v>821</v>
      </c>
      <c r="M1172" s="8"/>
    </row>
    <row r="1173" spans="1:13" x14ac:dyDescent="0.25">
      <c r="A1173" s="72" t="s">
        <v>2183</v>
      </c>
      <c r="B1173" s="67">
        <v>42160981850</v>
      </c>
      <c r="C1173" s="72" t="s">
        <v>2184</v>
      </c>
      <c r="D1173" s="69">
        <v>40077808894</v>
      </c>
      <c r="E1173" s="9">
        <v>608</v>
      </c>
      <c r="F1173" s="25">
        <v>43012</v>
      </c>
      <c r="G1173" s="70" t="s">
        <v>442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2185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448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2186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2187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722</v>
      </c>
      <c r="M1176" s="8"/>
    </row>
    <row r="1177" spans="1:13" x14ac:dyDescent="0.25">
      <c r="A1177" s="29" t="s">
        <v>2188</v>
      </c>
      <c r="B1177" s="67"/>
      <c r="C1177" s="29" t="s">
        <v>2189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2190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2191</v>
      </c>
      <c r="B1179" s="67">
        <v>11754585469</v>
      </c>
      <c r="C1179" s="77" t="s">
        <v>2192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722</v>
      </c>
      <c r="M1179" s="8"/>
    </row>
    <row r="1180" spans="1:13" x14ac:dyDescent="0.25">
      <c r="A1180" s="29" t="s">
        <v>2193</v>
      </c>
      <c r="B1180" s="67">
        <v>7621874503</v>
      </c>
      <c r="C1180" s="29" t="s">
        <v>2194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2195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442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2196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442</v>
      </c>
      <c r="H1182" s="9"/>
      <c r="I1182" s="8"/>
      <c r="J1182" s="8"/>
      <c r="K1182" s="8"/>
      <c r="L1182" s="9" t="s">
        <v>821</v>
      </c>
      <c r="M1182" s="8"/>
    </row>
    <row r="1183" spans="1:13" x14ac:dyDescent="0.25">
      <c r="A1183" s="29" t="s">
        <v>2197</v>
      </c>
      <c r="B1183" s="67">
        <v>29913700841</v>
      </c>
      <c r="C1183" s="18" t="s">
        <v>552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2198</v>
      </c>
      <c r="B1184" s="67">
        <v>28907743843</v>
      </c>
      <c r="C1184" s="29" t="s">
        <v>2199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2200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442</v>
      </c>
      <c r="H1185" s="9"/>
      <c r="I1185" s="8"/>
      <c r="J1185" s="8"/>
      <c r="K1185" s="8"/>
      <c r="L1185" s="9" t="s">
        <v>561</v>
      </c>
      <c r="M1185" s="8"/>
    </row>
    <row r="1186" spans="1:13" x14ac:dyDescent="0.25">
      <c r="A1186" s="29" t="s">
        <v>2201</v>
      </c>
      <c r="B1186" s="67"/>
      <c r="C1186" s="18" t="s">
        <v>552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2202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442</v>
      </c>
      <c r="H1187" s="9"/>
      <c r="I1187" s="8"/>
      <c r="J1187" s="8"/>
      <c r="K1187" s="8"/>
      <c r="L1187" s="9" t="s">
        <v>561</v>
      </c>
      <c r="M1187" s="8"/>
    </row>
    <row r="1188" spans="1:13" x14ac:dyDescent="0.25">
      <c r="A1188" s="73" t="s">
        <v>2203</v>
      </c>
      <c r="B1188" s="67">
        <v>1198397500</v>
      </c>
      <c r="C1188" s="72" t="s">
        <v>2204</v>
      </c>
      <c r="D1188" s="69">
        <v>87142503572</v>
      </c>
      <c r="E1188" s="9">
        <v>810</v>
      </c>
      <c r="F1188" s="25">
        <v>42915</v>
      </c>
      <c r="G1188" s="70" t="s">
        <v>442</v>
      </c>
      <c r="H1188" s="9"/>
      <c r="I1188" s="8"/>
      <c r="J1188" s="8"/>
      <c r="K1188" s="8"/>
      <c r="L1188" s="9" t="s">
        <v>561</v>
      </c>
      <c r="M1188" s="8"/>
    </row>
    <row r="1189" spans="1:13" x14ac:dyDescent="0.25">
      <c r="A1189" s="29" t="s">
        <v>2205</v>
      </c>
      <c r="B1189" s="67">
        <v>17487364852</v>
      </c>
      <c r="C1189" s="29" t="s">
        <v>2206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2207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442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2208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2209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2210</v>
      </c>
      <c r="B1193" s="67">
        <v>32993187805</v>
      </c>
      <c r="C1193" s="72" t="s">
        <v>2211</v>
      </c>
      <c r="D1193" s="69">
        <v>2605272460</v>
      </c>
      <c r="E1193" s="9">
        <v>1439</v>
      </c>
      <c r="F1193" s="25">
        <v>43025</v>
      </c>
      <c r="G1193" s="70" t="s">
        <v>442</v>
      </c>
      <c r="H1193" s="9"/>
      <c r="I1193" s="8"/>
      <c r="J1193" s="8"/>
      <c r="K1193" s="8"/>
      <c r="L1193" s="9" t="s">
        <v>925</v>
      </c>
      <c r="M1193" s="8"/>
    </row>
    <row r="1194" spans="1:13" x14ac:dyDescent="0.25">
      <c r="A1194" s="71" t="s">
        <v>2212</v>
      </c>
      <c r="B1194" s="67">
        <v>33182368885</v>
      </c>
      <c r="C1194" s="77" t="s">
        <v>2213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2214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442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2215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442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2216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442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2217</v>
      </c>
      <c r="B1198" s="67">
        <v>32557609846</v>
      </c>
      <c r="C1198" s="72" t="s">
        <v>2218</v>
      </c>
      <c r="D1198" s="69">
        <v>19150806904</v>
      </c>
      <c r="E1198" s="9">
        <v>1241</v>
      </c>
      <c r="F1198" s="25">
        <v>42992</v>
      </c>
      <c r="G1198" s="70" t="s">
        <v>442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2219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442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2220</v>
      </c>
      <c r="B1200" s="67">
        <v>38236980871</v>
      </c>
      <c r="C1200" s="72" t="s">
        <v>2221</v>
      </c>
      <c r="D1200" s="69">
        <v>5177834360</v>
      </c>
      <c r="E1200" s="9">
        <v>262</v>
      </c>
      <c r="F1200" s="25">
        <v>43160</v>
      </c>
      <c r="G1200" s="70" t="s">
        <v>442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2222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442</v>
      </c>
      <c r="H1201" s="9"/>
      <c r="I1201" s="8"/>
      <c r="J1201" s="8"/>
      <c r="K1201" s="8"/>
      <c r="L1201" s="9" t="s">
        <v>561</v>
      </c>
      <c r="M1201" s="8"/>
    </row>
    <row r="1202" spans="1:13" x14ac:dyDescent="0.25">
      <c r="A1202" s="72" t="s">
        <v>2223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2224</v>
      </c>
      <c r="B1203" s="67">
        <v>177446102</v>
      </c>
      <c r="C1203" s="72" t="s">
        <v>2225</v>
      </c>
      <c r="D1203" s="69">
        <v>31301235806</v>
      </c>
      <c r="E1203" s="9">
        <v>229</v>
      </c>
      <c r="F1203" s="25">
        <v>43151</v>
      </c>
      <c r="G1203" s="70" t="s">
        <v>442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2226</v>
      </c>
      <c r="B1204" s="67"/>
      <c r="C1204" s="29" t="s">
        <v>552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2227</v>
      </c>
      <c r="B1205" s="67">
        <v>22394984805</v>
      </c>
      <c r="C1205" s="72" t="s">
        <v>2228</v>
      </c>
      <c r="D1205" s="69">
        <v>29161087858</v>
      </c>
      <c r="E1205" s="9">
        <v>1106</v>
      </c>
      <c r="F1205" s="25">
        <v>42965</v>
      </c>
      <c r="G1205" s="70" t="s">
        <v>442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2229</v>
      </c>
      <c r="B1206" s="67">
        <v>22495577806</v>
      </c>
      <c r="C1206" s="72" t="s">
        <v>2230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2231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2232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2233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442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2234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2235</v>
      </c>
      <c r="B1211" s="67">
        <v>37304527897</v>
      </c>
      <c r="C1211" s="72" t="s">
        <v>2236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2237</v>
      </c>
      <c r="B1212" s="67">
        <v>11328067807</v>
      </c>
      <c r="C1212" s="72" t="s">
        <v>2238</v>
      </c>
      <c r="D1212" s="69">
        <v>60769793800</v>
      </c>
      <c r="E1212" s="9">
        <v>262</v>
      </c>
      <c r="F1212" s="25">
        <v>43160</v>
      </c>
      <c r="G1212" s="70" t="s">
        <v>442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2239</v>
      </c>
      <c r="B1213" s="67">
        <v>4007781575</v>
      </c>
      <c r="C1213" s="72" t="s">
        <v>2240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2241</v>
      </c>
      <c r="B1214" s="67">
        <v>38448111842</v>
      </c>
      <c r="C1214" s="72" t="s">
        <v>2242</v>
      </c>
      <c r="D1214" s="69">
        <v>38350911824</v>
      </c>
      <c r="E1214" s="9"/>
      <c r="F1214" s="25"/>
      <c r="G1214" s="70" t="s">
        <v>442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2243</v>
      </c>
      <c r="B1215" s="67"/>
      <c r="C1215" s="18" t="s">
        <v>552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2244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442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2245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442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2246</v>
      </c>
      <c r="B1218" s="67">
        <v>29040829802</v>
      </c>
      <c r="C1218" s="68" t="s">
        <v>2247</v>
      </c>
      <c r="D1218" s="69">
        <v>17804755864</v>
      </c>
      <c r="E1218" s="9">
        <v>1128</v>
      </c>
      <c r="F1218" s="25">
        <v>42972</v>
      </c>
      <c r="G1218" s="70" t="s">
        <v>442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2248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2249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442</v>
      </c>
      <c r="H1220" s="9"/>
      <c r="I1220" s="8"/>
      <c r="J1220" s="8"/>
      <c r="K1220" s="8"/>
      <c r="L1220" s="9" t="s">
        <v>676</v>
      </c>
      <c r="M1220" s="8"/>
    </row>
    <row r="1221" spans="1:13" x14ac:dyDescent="0.25">
      <c r="A1221" s="14" t="s">
        <v>2250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2251</v>
      </c>
      <c r="B1222" s="67">
        <v>22614376841</v>
      </c>
      <c r="C1222" s="18" t="s">
        <v>552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2252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2253</v>
      </c>
      <c r="B1224" s="67">
        <v>95023003515</v>
      </c>
      <c r="C1224" s="72" t="s">
        <v>2254</v>
      </c>
      <c r="D1224" s="69">
        <v>2283584507</v>
      </c>
      <c r="E1224" s="9">
        <v>117</v>
      </c>
      <c r="F1224" s="25">
        <v>43117</v>
      </c>
      <c r="G1224" s="70" t="s">
        <v>442</v>
      </c>
      <c r="H1224" s="9"/>
      <c r="I1224" s="8"/>
      <c r="J1224" s="8"/>
      <c r="K1224" s="8"/>
      <c r="L1224" s="9" t="s">
        <v>593</v>
      </c>
      <c r="M1224" s="8"/>
    </row>
    <row r="1225" spans="1:13" x14ac:dyDescent="0.25">
      <c r="A1225" s="15" t="s">
        <v>2255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442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2256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2257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442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2258</v>
      </c>
      <c r="B1228" s="67">
        <v>40584610807</v>
      </c>
      <c r="C1228" s="72" t="s">
        <v>2259</v>
      </c>
      <c r="D1228" s="69">
        <v>29182543801</v>
      </c>
      <c r="E1228" s="9">
        <v>810</v>
      </c>
      <c r="F1228" s="25">
        <v>42915</v>
      </c>
      <c r="G1228" s="70" t="s">
        <v>442</v>
      </c>
      <c r="H1228" s="9"/>
      <c r="I1228" s="8"/>
      <c r="J1228" s="8"/>
      <c r="K1228" s="8"/>
      <c r="L1228" s="9" t="s">
        <v>561</v>
      </c>
      <c r="M1228" s="8"/>
    </row>
    <row r="1229" spans="1:13" x14ac:dyDescent="0.25">
      <c r="A1229" s="71" t="s">
        <v>2260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442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2261</v>
      </c>
      <c r="B1230" s="67">
        <v>2330650590</v>
      </c>
      <c r="C1230" s="18" t="s">
        <v>815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2262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722</v>
      </c>
      <c r="M1231" s="8"/>
    </row>
    <row r="1232" spans="1:13" x14ac:dyDescent="0.25">
      <c r="A1232" s="71" t="s">
        <v>2263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442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2264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2265</v>
      </c>
      <c r="B1234" s="67">
        <v>35116318826</v>
      </c>
      <c r="C1234" s="72" t="s">
        <v>2266</v>
      </c>
      <c r="D1234" s="69">
        <v>22432837860</v>
      </c>
      <c r="E1234" s="9">
        <v>1824</v>
      </c>
      <c r="F1234" s="25">
        <v>43091</v>
      </c>
      <c r="G1234" s="70" t="s">
        <v>442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2267</v>
      </c>
      <c r="B1235" s="67">
        <v>40048912808</v>
      </c>
      <c r="C1235" s="72" t="s">
        <v>2268</v>
      </c>
      <c r="D1235" s="69">
        <v>43519054841</v>
      </c>
      <c r="E1235" s="9">
        <v>262</v>
      </c>
      <c r="F1235" s="25">
        <v>43160</v>
      </c>
      <c r="G1235" s="70" t="s">
        <v>442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2269</v>
      </c>
      <c r="B1236" s="67">
        <v>26016197831</v>
      </c>
      <c r="C1236" s="15" t="s">
        <v>2270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2271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442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2272</v>
      </c>
      <c r="B1238" s="67">
        <v>40121535878</v>
      </c>
      <c r="C1238" s="72" t="s">
        <v>2273</v>
      </c>
      <c r="D1238" s="69">
        <v>33343601802</v>
      </c>
      <c r="E1238" s="9">
        <v>292</v>
      </c>
      <c r="F1238" s="25">
        <v>43168</v>
      </c>
      <c r="G1238" s="70" t="s">
        <v>442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2274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442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2275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442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2276</v>
      </c>
      <c r="B1241" s="67">
        <v>31029975892</v>
      </c>
      <c r="C1241" s="72" t="s">
        <v>2277</v>
      </c>
      <c r="D1241" s="69">
        <v>36873004472</v>
      </c>
      <c r="E1241" s="9">
        <v>1106</v>
      </c>
      <c r="F1241" s="25">
        <v>42965</v>
      </c>
      <c r="G1241" s="9" t="s">
        <v>442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2278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442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2279</v>
      </c>
      <c r="B1243" s="67">
        <v>36051592814</v>
      </c>
      <c r="C1243" s="72" t="s">
        <v>2280</v>
      </c>
      <c r="D1243" s="69">
        <v>13109522847</v>
      </c>
      <c r="E1243" s="9">
        <v>810</v>
      </c>
      <c r="F1243" s="25">
        <v>42915</v>
      </c>
      <c r="G1243" s="70" t="s">
        <v>442</v>
      </c>
      <c r="H1243" s="9"/>
      <c r="I1243" s="8"/>
      <c r="J1243" s="8"/>
      <c r="K1243" s="8"/>
      <c r="L1243" s="9" t="s">
        <v>561</v>
      </c>
      <c r="M1243" s="8"/>
    </row>
    <row r="1244" spans="1:13" x14ac:dyDescent="0.25">
      <c r="A1244" s="71" t="s">
        <v>2281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2282</v>
      </c>
      <c r="B1245" s="67">
        <v>28142782820</v>
      </c>
      <c r="C1245" s="18" t="s">
        <v>2283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2284</v>
      </c>
      <c r="B1246" s="67">
        <v>30088939880</v>
      </c>
      <c r="C1246" s="72" t="s">
        <v>2285</v>
      </c>
      <c r="D1246" s="69">
        <v>2051861579</v>
      </c>
      <c r="E1246" s="9">
        <v>292</v>
      </c>
      <c r="F1246" s="25">
        <v>43168</v>
      </c>
      <c r="G1246" s="9" t="s">
        <v>442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2286</v>
      </c>
      <c r="B1247" s="67">
        <v>11525085476</v>
      </c>
      <c r="C1247" s="72" t="s">
        <v>2287</v>
      </c>
      <c r="D1247" s="69">
        <v>9293576473</v>
      </c>
      <c r="E1247" s="9">
        <v>262</v>
      </c>
      <c r="F1247" s="25">
        <v>43160</v>
      </c>
      <c r="G1247" s="70" t="s">
        <v>442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2288</v>
      </c>
      <c r="B1248" s="67"/>
      <c r="C1248" s="29" t="s">
        <v>2289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2290</v>
      </c>
      <c r="B1249" s="67">
        <v>31265129843</v>
      </c>
      <c r="C1249" s="68" t="s">
        <v>2291</v>
      </c>
      <c r="D1249" s="69">
        <v>2078435546</v>
      </c>
      <c r="E1249" s="9">
        <v>1241</v>
      </c>
      <c r="F1249" s="25">
        <v>42992</v>
      </c>
      <c r="G1249" s="70" t="s">
        <v>442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2292</v>
      </c>
      <c r="B1250" s="67">
        <v>22524200817</v>
      </c>
      <c r="C1250" s="72" t="s">
        <v>2293</v>
      </c>
      <c r="D1250" s="69">
        <v>22961531861</v>
      </c>
      <c r="E1250" s="9">
        <v>229</v>
      </c>
      <c r="F1250" s="25">
        <v>43151</v>
      </c>
      <c r="G1250" s="70" t="s">
        <v>448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2294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442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2295</v>
      </c>
      <c r="B1252" s="67">
        <v>29736807860</v>
      </c>
      <c r="C1252" s="72" t="s">
        <v>2296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2297</v>
      </c>
      <c r="B1253" s="67">
        <v>4890860398</v>
      </c>
      <c r="C1253" s="72" t="s">
        <v>2298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2299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442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2300</v>
      </c>
      <c r="B1255" s="67">
        <v>35336343889</v>
      </c>
      <c r="C1255" s="18" t="s">
        <v>2301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2302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722</v>
      </c>
      <c r="M1256" s="8"/>
    </row>
    <row r="1257" spans="1:13" x14ac:dyDescent="0.25">
      <c r="A1257" s="14" t="s">
        <v>2303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2304</v>
      </c>
      <c r="B1258" s="67">
        <v>39107511809</v>
      </c>
      <c r="C1258" s="72" t="s">
        <v>2305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2306</v>
      </c>
      <c r="B1259" s="67">
        <v>6652314584</v>
      </c>
      <c r="C1259" s="72" t="s">
        <v>2307</v>
      </c>
      <c r="D1259" s="69">
        <v>4945754500</v>
      </c>
      <c r="E1259" s="9">
        <v>85</v>
      </c>
      <c r="F1259" s="25">
        <v>43109</v>
      </c>
      <c r="G1259" s="70" t="s">
        <v>448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2308</v>
      </c>
      <c r="B1260" s="67">
        <v>43135974847</v>
      </c>
      <c r="C1260" s="73" t="s">
        <v>2309</v>
      </c>
      <c r="D1260" s="69" t="s">
        <v>2310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722</v>
      </c>
      <c r="M1260" s="8"/>
    </row>
    <row r="1261" spans="1:13" x14ac:dyDescent="0.25">
      <c r="A1261" s="13" t="s">
        <v>2311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442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2312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722</v>
      </c>
      <c r="M1262" s="8"/>
    </row>
    <row r="1263" spans="1:13" x14ac:dyDescent="0.25">
      <c r="A1263" s="14" t="s">
        <v>2313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442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2314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2315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448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2316</v>
      </c>
      <c r="B1266" s="67">
        <v>1748350943</v>
      </c>
      <c r="C1266" s="72" t="s">
        <v>2317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2318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2319</v>
      </c>
      <c r="B1268" s="67">
        <v>23502610851</v>
      </c>
      <c r="C1268" s="73" t="s">
        <v>2320</v>
      </c>
      <c r="D1268" s="69" t="s">
        <v>2321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2322</v>
      </c>
      <c r="B1269" s="67">
        <v>48857598896</v>
      </c>
      <c r="C1269" s="72" t="s">
        <v>2323</v>
      </c>
      <c r="D1269" s="69">
        <v>36223394896</v>
      </c>
      <c r="E1269" s="9">
        <v>262</v>
      </c>
      <c r="F1269" s="25">
        <v>43160</v>
      </c>
      <c r="G1269" s="46" t="s">
        <v>448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2324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2325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2326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442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2327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722</v>
      </c>
      <c r="M1273" s="8"/>
    </row>
    <row r="1274" spans="1:13" x14ac:dyDescent="0.25">
      <c r="A1274" s="71" t="s">
        <v>2328</v>
      </c>
      <c r="B1274" s="78" t="s">
        <v>2329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2330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442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2331</v>
      </c>
      <c r="B1276" s="67">
        <v>16354483876</v>
      </c>
      <c r="C1276" s="68" t="s">
        <v>2332</v>
      </c>
      <c r="D1276" s="69">
        <v>2853992845</v>
      </c>
      <c r="E1276" s="9">
        <v>1267</v>
      </c>
      <c r="F1276" s="25">
        <v>42998</v>
      </c>
      <c r="G1276" s="70" t="s">
        <v>442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2333</v>
      </c>
      <c r="B1277" s="67">
        <v>40753885816</v>
      </c>
      <c r="C1277" s="72" t="s">
        <v>2334</v>
      </c>
      <c r="D1277" s="69">
        <v>35877507850</v>
      </c>
      <c r="E1277" s="9">
        <v>85</v>
      </c>
      <c r="F1277" s="25">
        <v>43109</v>
      </c>
      <c r="G1277" s="70" t="s">
        <v>442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2335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442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2336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442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2337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2338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442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2339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2340</v>
      </c>
      <c r="B1283" s="67">
        <v>44632196800</v>
      </c>
      <c r="C1283" s="72" t="s">
        <v>2341</v>
      </c>
      <c r="D1283" s="69">
        <v>38901506831</v>
      </c>
      <c r="E1283" s="9">
        <v>1359</v>
      </c>
      <c r="F1283" s="25">
        <v>43006</v>
      </c>
      <c r="G1283" s="9" t="s">
        <v>442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2342</v>
      </c>
      <c r="B1284" s="67"/>
      <c r="C1284" s="18" t="s">
        <v>2343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2344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442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2345</v>
      </c>
      <c r="B1286" s="67">
        <v>7354753505</v>
      </c>
      <c r="C1286" s="72" t="s">
        <v>2346</v>
      </c>
      <c r="D1286" s="69">
        <v>26646541876</v>
      </c>
      <c r="E1286" s="9">
        <v>117</v>
      </c>
      <c r="F1286" s="25">
        <v>43117</v>
      </c>
      <c r="G1286" s="70" t="s">
        <v>442</v>
      </c>
      <c r="H1286" s="9"/>
      <c r="I1286" s="8"/>
      <c r="J1286" s="8"/>
      <c r="K1286" s="8"/>
      <c r="L1286" s="9" t="s">
        <v>593</v>
      </c>
      <c r="M1286" s="8"/>
    </row>
    <row r="1287" spans="1:13" x14ac:dyDescent="0.25">
      <c r="A1287" s="71" t="s">
        <v>2347</v>
      </c>
      <c r="B1287" s="67">
        <v>45378515890</v>
      </c>
      <c r="C1287" s="72" t="s">
        <v>2348</v>
      </c>
      <c r="D1287" s="69">
        <v>35635754520</v>
      </c>
      <c r="E1287" s="9">
        <v>1752</v>
      </c>
      <c r="F1287" s="25">
        <v>43051</v>
      </c>
      <c r="G1287" s="70" t="s">
        <v>442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2349</v>
      </c>
      <c r="B1288" s="67">
        <v>41274505844</v>
      </c>
      <c r="C1288" s="18" t="s">
        <v>2350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2351</v>
      </c>
      <c r="B1289" s="67">
        <v>46583836831</v>
      </c>
      <c r="C1289" s="72" t="s">
        <v>2352</v>
      </c>
      <c r="D1289" s="69">
        <v>39199167867</v>
      </c>
      <c r="E1289" s="9">
        <v>292</v>
      </c>
      <c r="F1289" s="25">
        <v>43168</v>
      </c>
      <c r="G1289" s="9" t="s">
        <v>442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2353</v>
      </c>
      <c r="B1290" s="67"/>
      <c r="C1290" s="29" t="s">
        <v>2354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2355</v>
      </c>
      <c r="B1291" s="67">
        <v>37483362847</v>
      </c>
      <c r="C1291" s="29" t="s">
        <v>2356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2357</v>
      </c>
      <c r="B1292" s="67">
        <v>43663899837</v>
      </c>
      <c r="C1292" s="18" t="s">
        <v>2358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2359</v>
      </c>
      <c r="B1293" s="67">
        <v>39203446850</v>
      </c>
      <c r="C1293" s="72" t="s">
        <v>2360</v>
      </c>
      <c r="D1293" s="69">
        <v>39255518836</v>
      </c>
      <c r="E1293" s="9">
        <v>292</v>
      </c>
      <c r="F1293" s="25">
        <v>43168</v>
      </c>
      <c r="G1293" s="70" t="s">
        <v>442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2361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2362</v>
      </c>
      <c r="B1295" s="67">
        <v>45722318850</v>
      </c>
      <c r="C1295" s="72" t="s">
        <v>2363</v>
      </c>
      <c r="D1295" s="69">
        <v>61122102313</v>
      </c>
      <c r="E1295" s="9">
        <v>229</v>
      </c>
      <c r="F1295" s="25">
        <v>43151</v>
      </c>
      <c r="G1295" s="70" t="s">
        <v>442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2364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442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2365</v>
      </c>
      <c r="B1297" s="67">
        <v>47697684861</v>
      </c>
      <c r="C1297" s="72" t="s">
        <v>2366</v>
      </c>
      <c r="D1297" s="69">
        <v>42642601838</v>
      </c>
      <c r="E1297" s="9">
        <v>229</v>
      </c>
      <c r="F1297" s="25">
        <v>43151</v>
      </c>
      <c r="G1297" s="70" t="s">
        <v>442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2367</v>
      </c>
      <c r="B1298" s="67">
        <v>97503479515</v>
      </c>
      <c r="C1298" s="15" t="s">
        <v>2368</v>
      </c>
      <c r="D1298" s="69">
        <v>28269015830</v>
      </c>
      <c r="E1298" s="9">
        <v>262</v>
      </c>
      <c r="F1298" s="25">
        <v>43160</v>
      </c>
      <c r="G1298" s="70" t="s">
        <v>442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2369</v>
      </c>
      <c r="B1299" s="67">
        <v>84327510491</v>
      </c>
      <c r="C1299" s="72" t="s">
        <v>2370</v>
      </c>
      <c r="D1299" s="69">
        <v>17305875856</v>
      </c>
      <c r="E1299" s="9">
        <v>292</v>
      </c>
      <c r="F1299" s="25">
        <v>43168</v>
      </c>
      <c r="G1299" s="70" t="s">
        <v>442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2371</v>
      </c>
      <c r="B1300" s="67">
        <v>24870791854</v>
      </c>
      <c r="C1300" s="68" t="s">
        <v>2372</v>
      </c>
      <c r="D1300" s="69">
        <v>4398744835</v>
      </c>
      <c r="E1300" s="9">
        <v>1128</v>
      </c>
      <c r="F1300" s="25">
        <v>42972</v>
      </c>
      <c r="G1300" s="70" t="s">
        <v>442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2373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442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2374</v>
      </c>
      <c r="B1302" s="67"/>
      <c r="C1302" s="18" t="s">
        <v>552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2375</v>
      </c>
      <c r="B1303" s="67">
        <v>25533246851</v>
      </c>
      <c r="C1303" s="72" t="s">
        <v>2376</v>
      </c>
      <c r="D1303" s="69">
        <v>2336832836</v>
      </c>
      <c r="E1303" s="9">
        <v>810</v>
      </c>
      <c r="F1303" s="25">
        <v>42915</v>
      </c>
      <c r="G1303" s="70" t="s">
        <v>442</v>
      </c>
      <c r="H1303" s="9"/>
      <c r="I1303" s="8"/>
      <c r="J1303" s="8"/>
      <c r="K1303" s="8"/>
      <c r="L1303" s="9" t="s">
        <v>561</v>
      </c>
      <c r="M1303" s="8"/>
    </row>
    <row r="1304" spans="1:13" x14ac:dyDescent="0.25">
      <c r="A1304" s="71" t="s">
        <v>2377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442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2378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2379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2380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2381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2382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2383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2384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442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2385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442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2386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2387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2388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442</v>
      </c>
      <c r="H1315" s="9"/>
      <c r="I1315" s="8"/>
      <c r="J1315" s="8"/>
      <c r="K1315" s="8"/>
      <c r="L1315" s="9" t="s">
        <v>676</v>
      </c>
      <c r="M1315" s="8"/>
    </row>
    <row r="1316" spans="1:13" x14ac:dyDescent="0.25">
      <c r="A1316" s="71" t="s">
        <v>2389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442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2390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2391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442</v>
      </c>
      <c r="H1318" s="9"/>
      <c r="I1318" s="8"/>
      <c r="J1318" s="8"/>
      <c r="K1318" s="8"/>
      <c r="L1318" s="9" t="s">
        <v>925</v>
      </c>
      <c r="M1318" s="8"/>
    </row>
    <row r="1319" spans="1:13" x14ac:dyDescent="0.25">
      <c r="A1319" s="15" t="s">
        <v>2392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2393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2394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442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2395</v>
      </c>
      <c r="B1322" s="67">
        <v>10519320921</v>
      </c>
      <c r="C1322" s="77" t="s">
        <v>2396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2397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442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2398</v>
      </c>
      <c r="B1324" s="67"/>
      <c r="C1324" s="18" t="s">
        <v>552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2399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2400</v>
      </c>
      <c r="B1326" s="67"/>
      <c r="C1326" s="29" t="s">
        <v>552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2401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442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2402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2403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442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2404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2405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442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2406</v>
      </c>
      <c r="B1332" s="67">
        <v>27211072830</v>
      </c>
      <c r="C1332" s="72" t="s">
        <v>2407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2408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2409</v>
      </c>
      <c r="B1334" s="67">
        <v>35197770880</v>
      </c>
      <c r="C1334" s="72" t="s">
        <v>2410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2411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2412</v>
      </c>
      <c r="B1336" s="67">
        <v>35236970857</v>
      </c>
      <c r="C1336" s="68" t="s">
        <v>2413</v>
      </c>
      <c r="D1336" s="69">
        <v>41901199894</v>
      </c>
      <c r="E1336" s="9">
        <v>1417</v>
      </c>
      <c r="F1336" s="25">
        <v>43017</v>
      </c>
      <c r="G1336" s="70" t="s">
        <v>442</v>
      </c>
      <c r="H1336" s="76">
        <v>43213</v>
      </c>
      <c r="I1336" s="8"/>
      <c r="J1336" s="8"/>
      <c r="K1336" s="8"/>
      <c r="L1336" s="9" t="s">
        <v>676</v>
      </c>
      <c r="M1336" s="8"/>
    </row>
    <row r="1337" spans="1:13" x14ac:dyDescent="0.25">
      <c r="A1337" s="71" t="s">
        <v>2414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442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2415</v>
      </c>
      <c r="B1338" s="67"/>
      <c r="C1338" s="29" t="s">
        <v>552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2416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442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2417</v>
      </c>
      <c r="B1340" s="67">
        <v>5263835850</v>
      </c>
      <c r="C1340" s="72" t="s">
        <v>2418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2419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442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2420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442</v>
      </c>
      <c r="H1342" s="76">
        <v>43213</v>
      </c>
      <c r="I1342" s="8"/>
      <c r="J1342" s="8"/>
      <c r="K1342" s="8"/>
      <c r="L1342" s="9" t="s">
        <v>593</v>
      </c>
      <c r="M1342" s="8"/>
    </row>
    <row r="1343" spans="1:13" x14ac:dyDescent="0.25">
      <c r="A1343" s="29" t="s">
        <v>2421</v>
      </c>
      <c r="B1343" s="67">
        <v>31148209808</v>
      </c>
      <c r="C1343" s="18" t="s">
        <v>552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2422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2423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442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2424</v>
      </c>
      <c r="B1346" s="67">
        <v>85794398507</v>
      </c>
      <c r="C1346" s="72" t="s">
        <v>2425</v>
      </c>
      <c r="D1346" s="69">
        <v>59689188534</v>
      </c>
      <c r="E1346" s="9">
        <v>292</v>
      </c>
      <c r="F1346" s="25">
        <v>43168</v>
      </c>
      <c r="G1346" s="70" t="s">
        <v>442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2426</v>
      </c>
      <c r="B1347" s="67">
        <v>2770765442</v>
      </c>
      <c r="C1347" s="72" t="s">
        <v>2427</v>
      </c>
      <c r="D1347" s="69">
        <v>24730161866</v>
      </c>
      <c r="E1347" s="9">
        <v>229</v>
      </c>
      <c r="F1347" s="25">
        <v>43151</v>
      </c>
      <c r="G1347" s="70" t="s">
        <v>442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2428</v>
      </c>
      <c r="B1348" s="67">
        <v>1295044838</v>
      </c>
      <c r="C1348" s="72" t="s">
        <v>2429</v>
      </c>
      <c r="D1348" s="69">
        <v>29976206860</v>
      </c>
      <c r="E1348" s="9">
        <v>485</v>
      </c>
      <c r="F1348" s="25">
        <v>43196</v>
      </c>
      <c r="G1348" s="70" t="s">
        <v>448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2430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442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2431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2432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2433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442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2434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442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2435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2436</v>
      </c>
      <c r="B1355" s="67">
        <v>75678772520</v>
      </c>
      <c r="C1355" s="72" t="s">
        <v>2437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2438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2439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2440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442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2441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442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2442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442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2443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442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2444</v>
      </c>
      <c r="B1362" s="67"/>
      <c r="C1362" s="18" t="s">
        <v>552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2445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2446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2447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442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2448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442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2449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2450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442</v>
      </c>
      <c r="H1368" s="9"/>
      <c r="I1368" s="8"/>
      <c r="J1368" s="8"/>
      <c r="K1368" s="8"/>
      <c r="L1368" s="9" t="s">
        <v>593</v>
      </c>
      <c r="M1368" s="8"/>
    </row>
    <row r="1369" spans="1:13" x14ac:dyDescent="0.25">
      <c r="A1369" s="29" t="s">
        <v>2451</v>
      </c>
      <c r="B1369" s="67"/>
      <c r="C1369" s="29" t="s">
        <v>552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2452</v>
      </c>
      <c r="B1370" s="67">
        <v>87915170520</v>
      </c>
      <c r="C1370" s="72" t="s">
        <v>2453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2454</v>
      </c>
      <c r="B1371" s="67">
        <v>30693970855</v>
      </c>
      <c r="C1371" s="72" t="s">
        <v>2455</v>
      </c>
      <c r="D1371" s="69">
        <v>6402681610</v>
      </c>
      <c r="E1371" s="9">
        <v>608</v>
      </c>
      <c r="F1371" s="25">
        <v>43012</v>
      </c>
      <c r="G1371" s="70" t="s">
        <v>448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2456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2457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2458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2459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442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2460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442</v>
      </c>
      <c r="H1376" s="9"/>
      <c r="I1376" s="8"/>
      <c r="J1376" s="8"/>
      <c r="K1376" s="8"/>
      <c r="L1376" s="9" t="s">
        <v>561</v>
      </c>
      <c r="M1376" s="8"/>
    </row>
    <row r="1377" spans="1:13" x14ac:dyDescent="0.25">
      <c r="A1377" s="71" t="s">
        <v>2461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442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2462</v>
      </c>
      <c r="B1378" s="78" t="s">
        <v>2463</v>
      </c>
      <c r="C1378" s="72"/>
      <c r="D1378" s="69"/>
      <c r="E1378" s="9">
        <v>292</v>
      </c>
      <c r="F1378" s="25">
        <v>43168</v>
      </c>
      <c r="G1378" s="9" t="s">
        <v>442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2464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2465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442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2466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442</v>
      </c>
      <c r="H1381" s="9"/>
      <c r="I1381" s="8"/>
      <c r="J1381" s="8"/>
      <c r="K1381" s="8"/>
      <c r="L1381" s="9" t="s">
        <v>821</v>
      </c>
      <c r="M1381" s="8"/>
    </row>
    <row r="1382" spans="1:13" x14ac:dyDescent="0.25">
      <c r="A1382" s="71" t="s">
        <v>2467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2468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2469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442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2470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442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2471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442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2472</v>
      </c>
      <c r="B1387" s="67">
        <v>5753509894</v>
      </c>
      <c r="C1387" s="9" t="s">
        <v>552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2473</v>
      </c>
      <c r="B1388" s="67"/>
      <c r="C1388" s="18" t="s">
        <v>2474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2475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2476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442</v>
      </c>
      <c r="H1390" s="9"/>
      <c r="I1390" s="8"/>
      <c r="J1390" s="8"/>
      <c r="K1390" s="8"/>
      <c r="L1390" s="9" t="s">
        <v>561</v>
      </c>
      <c r="M1390" s="8"/>
    </row>
    <row r="1391" spans="1:13" x14ac:dyDescent="0.25">
      <c r="A1391" s="71" t="s">
        <v>2477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442</v>
      </c>
      <c r="H1391" s="9"/>
      <c r="I1391" s="8"/>
      <c r="J1391" s="8"/>
      <c r="K1391" s="8"/>
      <c r="L1391" s="9" t="s">
        <v>561</v>
      </c>
      <c r="M1391" s="8"/>
    </row>
    <row r="1392" spans="1:13" x14ac:dyDescent="0.25">
      <c r="A1392" s="13" t="s">
        <v>2478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442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2479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448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2480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2481</v>
      </c>
      <c r="B1395" s="67">
        <v>61260606449</v>
      </c>
      <c r="C1395" s="72" t="s">
        <v>2482</v>
      </c>
      <c r="D1395" s="69">
        <v>73505854468</v>
      </c>
      <c r="E1395" s="9">
        <v>608</v>
      </c>
      <c r="F1395" s="25">
        <v>43012</v>
      </c>
      <c r="G1395" s="70" t="s">
        <v>442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2483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442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2484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2485</v>
      </c>
      <c r="B1398" s="67">
        <v>68516274853</v>
      </c>
      <c r="C1398" s="18" t="s">
        <v>552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2486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442</v>
      </c>
      <c r="H1399" s="9"/>
      <c r="I1399" s="8"/>
      <c r="J1399" s="8"/>
      <c r="K1399" s="8"/>
      <c r="L1399" s="9" t="s">
        <v>583</v>
      </c>
      <c r="M1399" s="8"/>
    </row>
    <row r="1400" spans="1:13" x14ac:dyDescent="0.25">
      <c r="A1400" s="15" t="s">
        <v>2487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442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2488</v>
      </c>
      <c r="B1401" s="67">
        <v>85576492820</v>
      </c>
      <c r="C1401" s="72" t="s">
        <v>2489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2490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2491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442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2492</v>
      </c>
      <c r="B1404" s="67">
        <v>27903916882</v>
      </c>
      <c r="C1404" s="32" t="s">
        <v>2493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2494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442</v>
      </c>
      <c r="H1405" s="9"/>
      <c r="I1405" s="8"/>
      <c r="J1405" s="8"/>
      <c r="K1405" s="8"/>
      <c r="L1405" s="9" t="s">
        <v>583</v>
      </c>
      <c r="M1405" s="8"/>
    </row>
    <row r="1406" spans="1:13" x14ac:dyDescent="0.25">
      <c r="A1406" s="71" t="s">
        <v>2495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448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2496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442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2497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442</v>
      </c>
      <c r="H1408" s="9"/>
      <c r="I1408" s="8"/>
      <c r="J1408" s="8"/>
      <c r="K1408" s="8"/>
      <c r="L1408" s="9" t="s">
        <v>561</v>
      </c>
      <c r="M1408" s="8"/>
    </row>
    <row r="1409" spans="1:13" x14ac:dyDescent="0.25">
      <c r="A1409" s="15" t="s">
        <v>2498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442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2499</v>
      </c>
      <c r="B1410" s="67">
        <v>754731863</v>
      </c>
      <c r="C1410" s="72" t="s">
        <v>2500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2501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442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2502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442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2503</v>
      </c>
      <c r="B1413" s="67" t="s">
        <v>2504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2505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442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2506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442</v>
      </c>
      <c r="H1415" s="9"/>
      <c r="I1415" s="8"/>
      <c r="J1415" s="8"/>
      <c r="K1415" s="8"/>
      <c r="L1415" s="9" t="s">
        <v>561</v>
      </c>
      <c r="M1415" s="8"/>
    </row>
    <row r="1416" spans="1:13" x14ac:dyDescent="0.25">
      <c r="A1416" s="71" t="s">
        <v>2507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442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2508</v>
      </c>
      <c r="B1417" s="67">
        <v>32045988880</v>
      </c>
      <c r="C1417" s="72" t="s">
        <v>2509</v>
      </c>
      <c r="D1417" s="69">
        <v>28522432880</v>
      </c>
      <c r="E1417" s="9">
        <v>85</v>
      </c>
      <c r="F1417" s="25">
        <v>43109</v>
      </c>
      <c r="G1417" s="70" t="s">
        <v>442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2510</v>
      </c>
      <c r="B1418" s="67">
        <v>14692639806</v>
      </c>
      <c r="C1418" s="18" t="s">
        <v>552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2511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2512</v>
      </c>
      <c r="B1420" s="67">
        <v>25745713801</v>
      </c>
      <c r="C1420" s="29" t="s">
        <v>2513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2514</v>
      </c>
      <c r="B1421" s="67">
        <v>10373973802</v>
      </c>
      <c r="C1421" s="72" t="s">
        <v>2515</v>
      </c>
      <c r="D1421" s="69">
        <v>3613530813</v>
      </c>
      <c r="E1421" s="9">
        <v>1752</v>
      </c>
      <c r="F1421" s="25">
        <v>43051</v>
      </c>
      <c r="G1421" s="70" t="s">
        <v>442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2516</v>
      </c>
      <c r="B1422" s="67">
        <v>25397304859</v>
      </c>
      <c r="C1422" s="29" t="s">
        <v>2517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2518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2519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442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2520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2521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2522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442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2523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442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2524</v>
      </c>
      <c r="B1429" s="67">
        <v>31115215833</v>
      </c>
      <c r="C1429" s="72" t="s">
        <v>2525</v>
      </c>
      <c r="D1429" s="69">
        <v>54134781515</v>
      </c>
      <c r="E1429" s="9">
        <v>608</v>
      </c>
      <c r="F1429" s="25">
        <v>43012</v>
      </c>
      <c r="G1429" s="70" t="s">
        <v>442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2526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442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2527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442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2528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442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2529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442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2530</v>
      </c>
      <c r="B1434" s="67">
        <v>35198444863</v>
      </c>
      <c r="C1434" s="72" t="s">
        <v>2531</v>
      </c>
      <c r="D1434" s="69">
        <v>30956969810</v>
      </c>
      <c r="E1434" s="9">
        <v>1489</v>
      </c>
      <c r="F1434" s="25">
        <v>43038</v>
      </c>
      <c r="G1434" s="70" t="s">
        <v>442</v>
      </c>
      <c r="H1434" s="9"/>
      <c r="I1434" s="8"/>
      <c r="J1434" s="8"/>
      <c r="K1434" s="8"/>
      <c r="L1434" s="9" t="s">
        <v>583</v>
      </c>
      <c r="M1434" s="8"/>
    </row>
    <row r="1435" spans="1:13" x14ac:dyDescent="0.25">
      <c r="A1435" s="72" t="s">
        <v>2532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2533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442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2534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442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2535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442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2536</v>
      </c>
      <c r="B1439" s="67">
        <v>1930099517</v>
      </c>
      <c r="C1439" s="68" t="s">
        <v>2537</v>
      </c>
      <c r="D1439" s="69">
        <v>91788226534</v>
      </c>
      <c r="E1439" s="9">
        <v>1752</v>
      </c>
      <c r="F1439" s="25">
        <v>43051</v>
      </c>
      <c r="G1439" s="70" t="s">
        <v>442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2538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2539</v>
      </c>
      <c r="B1441" s="67">
        <v>31068143819</v>
      </c>
      <c r="C1441" s="72" t="s">
        <v>2540</v>
      </c>
      <c r="D1441" s="69">
        <v>27121002809</v>
      </c>
      <c r="E1441" s="9">
        <v>608</v>
      </c>
      <c r="F1441" s="25">
        <v>43012</v>
      </c>
      <c r="G1441" s="70" t="s">
        <v>448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2541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442</v>
      </c>
      <c r="H1442" s="9"/>
      <c r="I1442" s="8"/>
      <c r="J1442" s="8"/>
      <c r="K1442" s="8"/>
      <c r="L1442" s="9" t="s">
        <v>925</v>
      </c>
      <c r="M1442" s="8"/>
    </row>
    <row r="1443" spans="1:13" x14ac:dyDescent="0.25">
      <c r="A1443" s="15" t="s">
        <v>2542</v>
      </c>
      <c r="B1443" s="67">
        <v>33100600800</v>
      </c>
      <c r="C1443" s="72" t="s">
        <v>2543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2544</v>
      </c>
      <c r="B1444" s="67">
        <v>23284980865</v>
      </c>
      <c r="C1444" s="72" t="s">
        <v>2545</v>
      </c>
      <c r="D1444" s="69">
        <v>8170993792</v>
      </c>
      <c r="E1444" s="9">
        <v>1214</v>
      </c>
      <c r="F1444" s="25">
        <v>42989</v>
      </c>
      <c r="G1444" s="70" t="s">
        <v>442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2546</v>
      </c>
      <c r="B1445" s="67">
        <v>27235231874</v>
      </c>
      <c r="C1445" s="72" t="s">
        <v>2547</v>
      </c>
      <c r="D1445" s="69">
        <v>36182133520</v>
      </c>
      <c r="E1445" s="9">
        <v>1106</v>
      </c>
      <c r="F1445" s="25">
        <v>42965</v>
      </c>
      <c r="G1445" s="70" t="s">
        <v>442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2548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2549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442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2550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2551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2552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2553</v>
      </c>
      <c r="B1451" s="67">
        <v>774242809</v>
      </c>
      <c r="C1451" s="72" t="s">
        <v>2554</v>
      </c>
      <c r="D1451" s="69">
        <v>16619607829</v>
      </c>
      <c r="E1451" s="9">
        <v>1824</v>
      </c>
      <c r="F1451" s="25">
        <v>43091</v>
      </c>
      <c r="G1451" s="70" t="s">
        <v>442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2555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442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2556</v>
      </c>
      <c r="B1453" s="67">
        <v>34817829850</v>
      </c>
      <c r="C1453" s="72" t="s">
        <v>2557</v>
      </c>
      <c r="D1453" s="69">
        <v>8025534863</v>
      </c>
      <c r="E1453" s="9">
        <v>1241</v>
      </c>
      <c r="F1453" s="25">
        <v>42992</v>
      </c>
      <c r="G1453" s="70" t="s">
        <v>456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2558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2559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442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2560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442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2561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722</v>
      </c>
      <c r="M1457" s="8"/>
    </row>
    <row r="1458" spans="1:13" x14ac:dyDescent="0.25">
      <c r="A1458" s="14" t="s">
        <v>2562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442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2563</v>
      </c>
      <c r="B1459" s="67">
        <v>32547457873</v>
      </c>
      <c r="C1459" s="72" t="s">
        <v>2564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2565</v>
      </c>
      <c r="B1460" s="67">
        <v>16784597800</v>
      </c>
      <c r="C1460" s="72" t="s">
        <v>2566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1613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2567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442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2568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2569</v>
      </c>
      <c r="B1464" s="67">
        <v>2467378403</v>
      </c>
      <c r="C1464" s="72" t="s">
        <v>2570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2571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2572</v>
      </c>
      <c r="B1466" s="67">
        <v>34247512862</v>
      </c>
      <c r="C1466" s="77" t="s">
        <v>2573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722</v>
      </c>
      <c r="M1466" s="8"/>
    </row>
    <row r="1467" spans="1:13" x14ac:dyDescent="0.25">
      <c r="A1467" s="71" t="s">
        <v>2574</v>
      </c>
      <c r="B1467" s="67" t="s">
        <v>2575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2576</v>
      </c>
      <c r="B1468" s="67">
        <v>47168211889</v>
      </c>
      <c r="C1468" s="72" t="s">
        <v>2577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2578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442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2579</v>
      </c>
      <c r="B1470" s="67">
        <v>1532239521</v>
      </c>
      <c r="C1470" s="72" t="s">
        <v>2580</v>
      </c>
      <c r="D1470" s="69">
        <v>37104060804</v>
      </c>
      <c r="E1470" s="9">
        <v>810</v>
      </c>
      <c r="F1470" s="25">
        <v>42915</v>
      </c>
      <c r="G1470" s="70" t="s">
        <v>442</v>
      </c>
      <c r="H1470" s="9"/>
      <c r="I1470" s="8"/>
      <c r="J1470" s="8"/>
      <c r="K1470" s="8"/>
      <c r="L1470" s="9" t="s">
        <v>561</v>
      </c>
      <c r="M1470" s="8"/>
    </row>
    <row r="1471" spans="1:13" x14ac:dyDescent="0.25">
      <c r="A1471" s="15" t="s">
        <v>2581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442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2582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442</v>
      </c>
      <c r="H1472" s="9"/>
      <c r="I1472" s="8"/>
      <c r="J1472" s="8"/>
      <c r="K1472" s="8"/>
      <c r="L1472" s="9" t="s">
        <v>561</v>
      </c>
      <c r="M1472" s="8"/>
    </row>
    <row r="1473" spans="1:13" x14ac:dyDescent="0.25">
      <c r="A1473" s="71" t="s">
        <v>2583</v>
      </c>
      <c r="B1473" s="67">
        <v>37117512881</v>
      </c>
      <c r="C1473" s="75" t="s">
        <v>2584</v>
      </c>
      <c r="D1473" s="69">
        <v>39740259871</v>
      </c>
      <c r="E1473" s="9">
        <v>1106</v>
      </c>
      <c r="F1473" s="25">
        <v>42965</v>
      </c>
      <c r="G1473" s="70" t="s">
        <v>442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2585</v>
      </c>
      <c r="B1474" s="67">
        <v>39967942827</v>
      </c>
      <c r="C1474" s="72" t="s">
        <v>2586</v>
      </c>
      <c r="D1474" s="69">
        <v>32777947848</v>
      </c>
      <c r="E1474" s="9">
        <v>1267</v>
      </c>
      <c r="F1474" s="25">
        <v>42998</v>
      </c>
      <c r="G1474" s="70" t="s">
        <v>442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2587</v>
      </c>
      <c r="B1475" s="67">
        <v>18464307802</v>
      </c>
      <c r="C1475" s="72" t="s">
        <v>2588</v>
      </c>
      <c r="D1475" s="69">
        <v>13642437842</v>
      </c>
      <c r="E1475" s="9">
        <v>608</v>
      </c>
      <c r="F1475" s="25">
        <v>43012</v>
      </c>
      <c r="G1475" s="70" t="s">
        <v>448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2589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442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2590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442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2591</v>
      </c>
      <c r="B1478" s="67">
        <v>91413168515</v>
      </c>
      <c r="C1478" s="72" t="s">
        <v>2592</v>
      </c>
      <c r="D1478" s="69">
        <v>12713438861</v>
      </c>
      <c r="E1478" s="9">
        <v>810</v>
      </c>
      <c r="F1478" s="25">
        <v>42915</v>
      </c>
      <c r="G1478" s="70" t="s">
        <v>442</v>
      </c>
      <c r="H1478" s="9"/>
      <c r="I1478" s="8"/>
      <c r="J1478" s="8"/>
      <c r="K1478" s="8"/>
      <c r="L1478" s="9" t="s">
        <v>561</v>
      </c>
      <c r="M1478" s="8"/>
    </row>
    <row r="1479" spans="1:13" x14ac:dyDescent="0.25">
      <c r="A1479" s="72" t="s">
        <v>2593</v>
      </c>
      <c r="B1479" s="67">
        <v>13554461806</v>
      </c>
      <c r="C1479" s="72" t="s">
        <v>2594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2595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442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2596</v>
      </c>
      <c r="B1481" s="67">
        <v>23473313882</v>
      </c>
      <c r="C1481" s="72" t="s">
        <v>2597</v>
      </c>
      <c r="D1481" s="69">
        <v>51042797404</v>
      </c>
      <c r="E1481" s="9">
        <v>485</v>
      </c>
      <c r="F1481" s="25">
        <v>43196</v>
      </c>
      <c r="G1481" s="70" t="s">
        <v>448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2598</v>
      </c>
      <c r="B1482" s="67">
        <v>7753877895</v>
      </c>
      <c r="C1482" s="68" t="s">
        <v>2599</v>
      </c>
      <c r="D1482" s="69">
        <v>66725372872</v>
      </c>
      <c r="E1482" s="9">
        <v>1214</v>
      </c>
      <c r="F1482" s="25">
        <v>42989</v>
      </c>
      <c r="G1482" s="70" t="s">
        <v>442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2600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2601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442</v>
      </c>
      <c r="H1484" s="9"/>
      <c r="I1484" s="8"/>
      <c r="J1484" s="8"/>
      <c r="K1484" s="8"/>
      <c r="L1484" s="9" t="s">
        <v>561</v>
      </c>
      <c r="M1484" s="8"/>
    </row>
    <row r="1485" spans="1:13" x14ac:dyDescent="0.25">
      <c r="A1485" s="71" t="s">
        <v>2602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442</v>
      </c>
      <c r="H1485" s="9"/>
      <c r="I1485" s="8"/>
      <c r="J1485" s="8"/>
      <c r="K1485" s="8"/>
      <c r="L1485" s="9" t="s">
        <v>561</v>
      </c>
      <c r="M1485" s="8"/>
    </row>
    <row r="1486" spans="1:13" x14ac:dyDescent="0.25">
      <c r="A1486" s="13" t="s">
        <v>2603</v>
      </c>
      <c r="B1486" s="67">
        <v>40779583850</v>
      </c>
      <c r="C1486" s="68" t="s">
        <v>2604</v>
      </c>
      <c r="D1486" s="69">
        <v>36411481890</v>
      </c>
      <c r="E1486" s="9">
        <v>1343</v>
      </c>
      <c r="F1486" s="25">
        <v>43004</v>
      </c>
      <c r="G1486" s="70" t="s">
        <v>442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2605</v>
      </c>
      <c r="B1487" s="67"/>
      <c r="C1487" s="29" t="s">
        <v>552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2606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2607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442</v>
      </c>
      <c r="H1489" s="9"/>
      <c r="I1489" s="8"/>
      <c r="J1489" s="8"/>
      <c r="K1489" s="8"/>
      <c r="L1489" s="9" t="s">
        <v>561</v>
      </c>
      <c r="M1489" s="8"/>
    </row>
    <row r="1490" spans="1:13" x14ac:dyDescent="0.25">
      <c r="A1490" s="15" t="s">
        <v>2608</v>
      </c>
      <c r="B1490" s="67">
        <v>45854900866</v>
      </c>
      <c r="C1490" s="72" t="s">
        <v>2609</v>
      </c>
      <c r="D1490" s="69">
        <v>23474048813</v>
      </c>
      <c r="E1490" s="9">
        <v>229</v>
      </c>
      <c r="F1490" s="25">
        <v>43151</v>
      </c>
      <c r="G1490" s="70" t="s">
        <v>442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2610</v>
      </c>
      <c r="B1491" s="67">
        <v>40870285858</v>
      </c>
      <c r="C1491" s="72" t="s">
        <v>2611</v>
      </c>
      <c r="D1491" s="69">
        <v>39638342854</v>
      </c>
      <c r="E1491" s="9">
        <v>229</v>
      </c>
      <c r="F1491" s="25">
        <v>43151</v>
      </c>
      <c r="G1491" s="70" t="s">
        <v>456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2612</v>
      </c>
      <c r="B1492" s="67">
        <v>43053164809</v>
      </c>
      <c r="C1492" s="71" t="s">
        <v>2613</v>
      </c>
      <c r="D1492" s="69">
        <v>35649973857</v>
      </c>
      <c r="E1492" s="9">
        <v>292</v>
      </c>
      <c r="F1492" s="25">
        <v>43168</v>
      </c>
      <c r="G1492" s="70" t="s">
        <v>448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2614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2615</v>
      </c>
      <c r="B1494" s="67">
        <v>34727823829</v>
      </c>
      <c r="C1494" s="72" t="s">
        <v>2616</v>
      </c>
      <c r="D1494" s="69">
        <v>33790197807</v>
      </c>
      <c r="E1494" s="9">
        <v>262</v>
      </c>
      <c r="F1494" s="25">
        <v>43160</v>
      </c>
      <c r="G1494" s="70" t="s">
        <v>448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2617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2618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442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2619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2620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442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2621</v>
      </c>
      <c r="B1499" s="67">
        <v>13576812830</v>
      </c>
      <c r="C1499" s="72" t="s">
        <v>2622</v>
      </c>
      <c r="D1499" s="69">
        <v>1075554845</v>
      </c>
      <c r="E1499" s="9">
        <v>1489</v>
      </c>
      <c r="F1499" s="25">
        <v>43038</v>
      </c>
      <c r="G1499" s="70" t="s">
        <v>442</v>
      </c>
      <c r="H1499" s="9"/>
      <c r="I1499" s="8"/>
      <c r="J1499" s="8"/>
      <c r="K1499" s="8"/>
      <c r="L1499" s="9" t="s">
        <v>583</v>
      </c>
      <c r="M1499" s="8"/>
    </row>
    <row r="1500" spans="1:13" x14ac:dyDescent="0.25">
      <c r="A1500" s="71" t="s">
        <v>2623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2624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2625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442</v>
      </c>
      <c r="H1502" s="9"/>
      <c r="I1502" s="8"/>
      <c r="J1502" s="8"/>
      <c r="K1502" s="8"/>
      <c r="L1502" s="9" t="s">
        <v>561</v>
      </c>
      <c r="M1502" s="8"/>
    </row>
    <row r="1503" spans="1:13" x14ac:dyDescent="0.25">
      <c r="A1503" s="71" t="s">
        <v>2626</v>
      </c>
      <c r="B1503" s="67">
        <v>42490041800</v>
      </c>
      <c r="C1503" s="71" t="s">
        <v>2627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2628</v>
      </c>
      <c r="B1504" s="67">
        <v>37150144829</v>
      </c>
      <c r="C1504" s="72" t="s">
        <v>2629</v>
      </c>
      <c r="D1504" s="69">
        <v>33420633866</v>
      </c>
      <c r="E1504" s="9">
        <v>1417</v>
      </c>
      <c r="F1504" s="25">
        <v>43017</v>
      </c>
      <c r="G1504" s="70" t="s">
        <v>456</v>
      </c>
      <c r="H1504" s="9"/>
      <c r="I1504" s="8"/>
      <c r="J1504" s="8"/>
      <c r="K1504" s="8"/>
      <c r="L1504" s="9" t="s">
        <v>676</v>
      </c>
      <c r="M1504" s="8"/>
    </row>
    <row r="1505" spans="1:13" x14ac:dyDescent="0.25">
      <c r="A1505" s="71" t="s">
        <v>2630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2631</v>
      </c>
      <c r="B1506" s="67">
        <v>95482300544</v>
      </c>
      <c r="C1506" s="72" t="s">
        <v>2632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2633</v>
      </c>
      <c r="B1507" s="67">
        <v>3915987590</v>
      </c>
      <c r="C1507" s="72" t="s">
        <v>2634</v>
      </c>
      <c r="D1507" s="69">
        <v>1733607501</v>
      </c>
      <c r="E1507" s="9">
        <v>85</v>
      </c>
      <c r="F1507" s="25">
        <v>43109</v>
      </c>
      <c r="G1507" s="70" t="s">
        <v>442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2635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442</v>
      </c>
      <c r="H1508" s="9"/>
      <c r="I1508" s="8"/>
      <c r="J1508" s="8"/>
      <c r="K1508" s="8"/>
      <c r="L1508" s="9" t="s">
        <v>925</v>
      </c>
      <c r="M1508" s="8"/>
    </row>
    <row r="1509" spans="1:13" x14ac:dyDescent="0.25">
      <c r="A1509" s="71" t="s">
        <v>2636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442</v>
      </c>
      <c r="H1509" s="9"/>
      <c r="I1509" s="8"/>
      <c r="J1509" s="8"/>
      <c r="K1509" s="8"/>
      <c r="L1509" s="9" t="s">
        <v>593</v>
      </c>
      <c r="M1509" s="8"/>
    </row>
    <row r="1510" spans="1:13" x14ac:dyDescent="0.25">
      <c r="A1510" s="29" t="s">
        <v>2637</v>
      </c>
      <c r="B1510" s="67"/>
      <c r="C1510" s="18" t="s">
        <v>552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2638</v>
      </c>
      <c r="B1511" s="80">
        <v>39490354864</v>
      </c>
      <c r="C1511" s="81" t="s">
        <v>2639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2640</v>
      </c>
      <c r="B1512" s="67">
        <v>36190827829</v>
      </c>
      <c r="C1512" s="72" t="s">
        <v>2641</v>
      </c>
      <c r="D1512" s="69">
        <v>6501914809</v>
      </c>
      <c r="E1512" s="9">
        <v>1489</v>
      </c>
      <c r="F1512" s="25">
        <v>43038</v>
      </c>
      <c r="G1512" s="70" t="s">
        <v>442</v>
      </c>
      <c r="H1512" s="9"/>
      <c r="I1512" s="8"/>
      <c r="J1512" s="8"/>
      <c r="K1512" s="8"/>
      <c r="L1512" s="9" t="s">
        <v>583</v>
      </c>
      <c r="M1512" s="8"/>
    </row>
    <row r="1513" spans="1:13" x14ac:dyDescent="0.25">
      <c r="A1513" s="71" t="s">
        <v>2642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442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2643</v>
      </c>
      <c r="B1514" s="67">
        <v>37978221890</v>
      </c>
      <c r="C1514" s="15" t="s">
        <v>2644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2645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722</v>
      </c>
      <c r="M1515" s="8"/>
    </row>
    <row r="1516" spans="1:13" x14ac:dyDescent="0.25">
      <c r="A1516" s="71" t="s">
        <v>2646</v>
      </c>
      <c r="B1516" s="67">
        <v>23341671854</v>
      </c>
      <c r="C1516" s="72" t="s">
        <v>2647</v>
      </c>
      <c r="D1516" s="69">
        <v>34413431820</v>
      </c>
      <c r="E1516" s="9">
        <v>810</v>
      </c>
      <c r="F1516" s="25">
        <v>42915</v>
      </c>
      <c r="G1516" s="83" t="s">
        <v>442</v>
      </c>
      <c r="H1516" s="9"/>
      <c r="I1516" s="8"/>
      <c r="J1516" s="8"/>
      <c r="K1516" s="8"/>
      <c r="L1516" s="9" t="s">
        <v>561</v>
      </c>
      <c r="M1516" s="8"/>
    </row>
    <row r="1517" spans="1:13" x14ac:dyDescent="0.25">
      <c r="A1517" s="71" t="s">
        <v>2648</v>
      </c>
      <c r="B1517" s="67">
        <v>35934079816</v>
      </c>
      <c r="C1517" s="72" t="s">
        <v>2649</v>
      </c>
      <c r="D1517" s="69">
        <v>2511538512</v>
      </c>
      <c r="E1517" s="9">
        <v>262</v>
      </c>
      <c r="F1517" s="25">
        <v>43160</v>
      </c>
      <c r="G1517" s="70" t="s">
        <v>442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2650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442</v>
      </c>
      <c r="H1518" s="9"/>
      <c r="I1518" s="8"/>
      <c r="J1518" s="8"/>
      <c r="K1518" s="8"/>
      <c r="L1518" s="9" t="s">
        <v>593</v>
      </c>
      <c r="M1518" s="8"/>
    </row>
    <row r="1519" spans="1:13" x14ac:dyDescent="0.25">
      <c r="A1519" s="71" t="s">
        <v>2651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442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2652</v>
      </c>
      <c r="B1520" s="67">
        <v>37395316819</v>
      </c>
      <c r="C1520" s="72" t="s">
        <v>2653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2654</v>
      </c>
      <c r="B1521" s="80">
        <v>47168651854</v>
      </c>
      <c r="C1521" s="50" t="s">
        <v>2655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2656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2657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442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2658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442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2659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2660</v>
      </c>
      <c r="B1526" s="67">
        <v>36776791848</v>
      </c>
      <c r="C1526" s="72" t="s">
        <v>2661</v>
      </c>
      <c r="D1526" s="69">
        <v>23340578869</v>
      </c>
      <c r="E1526" s="9">
        <v>608</v>
      </c>
      <c r="F1526" s="25">
        <v>43012</v>
      </c>
      <c r="G1526" s="70" t="s">
        <v>442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2662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2663</v>
      </c>
      <c r="B1528" s="67">
        <v>32561817830</v>
      </c>
      <c r="C1528" s="72" t="s">
        <v>2664</v>
      </c>
      <c r="D1528" s="69">
        <v>30328335827</v>
      </c>
      <c r="E1528" s="9">
        <v>1824</v>
      </c>
      <c r="F1528" s="25">
        <v>43091</v>
      </c>
      <c r="G1528" s="70" t="s">
        <v>448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2665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442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2666</v>
      </c>
      <c r="B1530" s="67">
        <v>36044847829</v>
      </c>
      <c r="C1530" s="72" t="s">
        <v>2667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2668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2669</v>
      </c>
      <c r="B1532" s="67">
        <v>35070422820</v>
      </c>
      <c r="C1532" s="72" t="s">
        <v>2670</v>
      </c>
      <c r="D1532" s="69">
        <v>24871235831</v>
      </c>
      <c r="E1532" s="9">
        <v>292</v>
      </c>
      <c r="F1532" s="25">
        <v>43168</v>
      </c>
      <c r="G1532" s="70" t="s">
        <v>442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2671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722</v>
      </c>
      <c r="M1533" s="8"/>
    </row>
    <row r="1534" spans="1:13" x14ac:dyDescent="0.25">
      <c r="A1534" s="15" t="s">
        <v>2672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2673</v>
      </c>
      <c r="B1535" s="67"/>
      <c r="C1535" s="29" t="s">
        <v>2674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2675</v>
      </c>
      <c r="B1536" s="67">
        <v>47240915840</v>
      </c>
      <c r="C1536" s="72"/>
      <c r="D1536" s="69"/>
      <c r="E1536" s="9"/>
      <c r="F1536" s="25"/>
      <c r="G1536" s="70" t="s">
        <v>442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2676</v>
      </c>
      <c r="B1537" s="67"/>
      <c r="C1537" s="18" t="s">
        <v>552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2677</v>
      </c>
      <c r="B1538" s="67">
        <v>42424051895</v>
      </c>
      <c r="C1538" s="72" t="s">
        <v>2678</v>
      </c>
      <c r="D1538" s="69">
        <v>34920392869</v>
      </c>
      <c r="E1538" s="9">
        <v>1214</v>
      </c>
      <c r="F1538" s="25">
        <v>42989</v>
      </c>
      <c r="G1538" s="70" t="s">
        <v>442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2679</v>
      </c>
      <c r="B1539" s="67">
        <v>45298965873</v>
      </c>
      <c r="C1539" s="18" t="s">
        <v>552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2680</v>
      </c>
      <c r="B1540" s="67">
        <v>48176009857</v>
      </c>
      <c r="C1540" s="18" t="s">
        <v>552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2681</v>
      </c>
      <c r="B1541" s="67">
        <v>32645353860</v>
      </c>
      <c r="C1541" s="71" t="s">
        <v>2682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2683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442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2684</v>
      </c>
      <c r="B1543" s="67">
        <v>34899686897</v>
      </c>
      <c r="C1543" s="72" t="s">
        <v>2685</v>
      </c>
      <c r="D1543" s="69">
        <v>34782852835</v>
      </c>
      <c r="E1543" s="9">
        <v>810</v>
      </c>
      <c r="F1543" s="25">
        <v>42915</v>
      </c>
      <c r="G1543" s="70" t="s">
        <v>442</v>
      </c>
      <c r="H1543" s="76">
        <v>43213</v>
      </c>
      <c r="I1543" s="8"/>
      <c r="J1543" s="8"/>
      <c r="K1543" s="8"/>
      <c r="L1543" s="9" t="s">
        <v>561</v>
      </c>
      <c r="M1543" s="8"/>
    </row>
    <row r="1544" spans="1:13" x14ac:dyDescent="0.25">
      <c r="A1544" s="71" t="s">
        <v>2686</v>
      </c>
      <c r="B1544" s="67">
        <v>39778910812</v>
      </c>
      <c r="C1544" s="68" t="s">
        <v>2687</v>
      </c>
      <c r="D1544" s="69">
        <v>34703237806</v>
      </c>
      <c r="E1544" s="9">
        <v>1128</v>
      </c>
      <c r="F1544" s="25">
        <v>42972</v>
      </c>
      <c r="G1544" s="70" t="s">
        <v>442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2688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722</v>
      </c>
      <c r="M1545" s="8"/>
    </row>
    <row r="1546" spans="1:13" x14ac:dyDescent="0.25">
      <c r="A1546" s="72" t="s">
        <v>2689</v>
      </c>
      <c r="B1546" s="67">
        <v>22429349884</v>
      </c>
      <c r="C1546" s="72" t="s">
        <v>2690</v>
      </c>
      <c r="D1546" s="69">
        <v>32307277897</v>
      </c>
      <c r="E1546" s="9">
        <v>1417</v>
      </c>
      <c r="F1546" s="25">
        <v>43017</v>
      </c>
      <c r="G1546" s="70" t="s">
        <v>442</v>
      </c>
      <c r="H1546" s="9"/>
      <c r="I1546" s="8"/>
      <c r="J1546" s="8"/>
      <c r="K1546" s="8"/>
      <c r="L1546" s="9" t="s">
        <v>676</v>
      </c>
      <c r="M1546" s="8"/>
    </row>
    <row r="1547" spans="1:13" x14ac:dyDescent="0.25">
      <c r="A1547" s="13" t="s">
        <v>2691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442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2692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722</v>
      </c>
      <c r="M1548" s="8"/>
    </row>
    <row r="1549" spans="1:13" x14ac:dyDescent="0.25">
      <c r="A1549" s="15" t="s">
        <v>2693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442</v>
      </c>
      <c r="H1549" s="9"/>
      <c r="I1549" s="8"/>
      <c r="J1549" s="8"/>
      <c r="K1549" s="8"/>
      <c r="L1549" s="9" t="s">
        <v>593</v>
      </c>
      <c r="M1549" s="8"/>
    </row>
    <row r="1550" spans="1:13" x14ac:dyDescent="0.25">
      <c r="A1550" s="15" t="s">
        <v>2694</v>
      </c>
      <c r="B1550" s="67">
        <v>7081215432</v>
      </c>
      <c r="C1550" s="15" t="s">
        <v>2695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722</v>
      </c>
      <c r="M1550" s="8"/>
    </row>
    <row r="1551" spans="1:13" x14ac:dyDescent="0.25">
      <c r="A1551" s="71" t="s">
        <v>2696</v>
      </c>
      <c r="B1551" s="67">
        <v>37104895809</v>
      </c>
      <c r="C1551" s="72" t="s">
        <v>2697</v>
      </c>
      <c r="D1551" s="69">
        <v>34256763856</v>
      </c>
      <c r="E1551" s="9">
        <v>1752</v>
      </c>
      <c r="F1551" s="25">
        <v>43051</v>
      </c>
      <c r="G1551" s="70" t="s">
        <v>456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2698</v>
      </c>
      <c r="B1552" s="67"/>
      <c r="C1552" s="29" t="s">
        <v>552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2699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722</v>
      </c>
      <c r="M1553" s="8"/>
    </row>
    <row r="1554" spans="1:13" x14ac:dyDescent="0.25">
      <c r="A1554" s="14" t="s">
        <v>2700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442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2701</v>
      </c>
      <c r="B1555" s="67">
        <v>45862437835</v>
      </c>
      <c r="C1555" s="72" t="s">
        <v>2702</v>
      </c>
      <c r="D1555" s="69">
        <v>2301226280</v>
      </c>
      <c r="E1555" s="9">
        <v>1752</v>
      </c>
      <c r="F1555" s="25">
        <v>43051</v>
      </c>
      <c r="G1555" s="70" t="s">
        <v>442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2703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442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2704</v>
      </c>
      <c r="B1557" s="67"/>
      <c r="C1557" s="29" t="s">
        <v>2705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2706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2707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722</v>
      </c>
      <c r="M1559" s="8"/>
    </row>
    <row r="1560" spans="1:13" x14ac:dyDescent="0.25">
      <c r="A1560" s="71" t="s">
        <v>2708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442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2709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442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2710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442</v>
      </c>
      <c r="H1562" s="9"/>
      <c r="I1562" s="8"/>
      <c r="J1562" s="8"/>
      <c r="K1562" s="8"/>
      <c r="L1562" s="9" t="s">
        <v>561</v>
      </c>
      <c r="M1562" s="8"/>
    </row>
    <row r="1563" spans="1:13" x14ac:dyDescent="0.25">
      <c r="A1563" s="15" t="s">
        <v>2711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442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2712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442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2713</v>
      </c>
      <c r="B1565" s="67">
        <v>33390811826</v>
      </c>
      <c r="C1565" s="72" t="s">
        <v>2714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2715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442</v>
      </c>
      <c r="H1566" s="9"/>
      <c r="I1566" s="8"/>
      <c r="J1566" s="8"/>
      <c r="K1566" s="8"/>
      <c r="L1566" s="9" t="s">
        <v>676</v>
      </c>
      <c r="M1566" s="8"/>
    </row>
    <row r="1567" spans="1:13" x14ac:dyDescent="0.25">
      <c r="A1567" s="29" t="s">
        <v>2716</v>
      </c>
      <c r="B1567" s="67">
        <v>22173656813</v>
      </c>
      <c r="C1567" s="18" t="s">
        <v>552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2717</v>
      </c>
      <c r="B1568" s="67">
        <v>30690514808</v>
      </c>
      <c r="C1568" s="72" t="s">
        <v>2718</v>
      </c>
      <c r="D1568" s="69">
        <v>22622085818</v>
      </c>
      <c r="E1568" s="9">
        <v>423</v>
      </c>
      <c r="F1568" s="25">
        <v>43182</v>
      </c>
      <c r="G1568" s="9" t="s">
        <v>442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2719</v>
      </c>
      <c r="B1569" s="67">
        <v>43901748865</v>
      </c>
      <c r="C1569" s="72" t="s">
        <v>2720</v>
      </c>
      <c r="D1569" s="69">
        <v>34818027812</v>
      </c>
      <c r="E1569" s="9">
        <v>1824</v>
      </c>
      <c r="F1569" s="25">
        <v>43091</v>
      </c>
      <c r="G1569" s="70" t="s">
        <v>442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2721</v>
      </c>
      <c r="B1570" s="67"/>
      <c r="C1570" s="18" t="s">
        <v>552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2722</v>
      </c>
      <c r="B1571" s="67">
        <v>5212444390</v>
      </c>
      <c r="C1571" s="15" t="s">
        <v>2723</v>
      </c>
      <c r="D1571" s="69">
        <v>2231738350</v>
      </c>
      <c r="E1571" s="9">
        <v>292</v>
      </c>
      <c r="F1571" s="25">
        <v>43168</v>
      </c>
      <c r="G1571" s="70" t="s">
        <v>442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2724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2725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442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2726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2727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442</v>
      </c>
      <c r="H1575" s="9"/>
      <c r="I1575" s="8"/>
      <c r="J1575" s="8"/>
      <c r="K1575" s="8"/>
      <c r="L1575" s="9" t="s">
        <v>561</v>
      </c>
      <c r="M1575" s="8"/>
    </row>
    <row r="1576" spans="1:13" x14ac:dyDescent="0.25">
      <c r="A1576" s="71" t="s">
        <v>2728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442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2729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2730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2731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2732</v>
      </c>
      <c r="B1580" s="67">
        <v>88436144520</v>
      </c>
      <c r="C1580" s="29" t="s">
        <v>552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2733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2734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442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2735</v>
      </c>
      <c r="B1583" s="67">
        <v>4967493580</v>
      </c>
      <c r="C1583" s="15" t="s">
        <v>2736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2737</v>
      </c>
      <c r="B1584" s="67">
        <v>28043649847</v>
      </c>
      <c r="C1584" s="72" t="s">
        <v>2738</v>
      </c>
      <c r="D1584" s="69">
        <v>37064432870</v>
      </c>
      <c r="E1584" s="9">
        <v>117</v>
      </c>
      <c r="F1584" s="25">
        <v>43117</v>
      </c>
      <c r="G1584" s="70" t="s">
        <v>442</v>
      </c>
      <c r="H1584" s="9"/>
      <c r="I1584" s="8"/>
      <c r="J1584" s="8"/>
      <c r="K1584" s="8"/>
      <c r="L1584" s="9" t="s">
        <v>593</v>
      </c>
      <c r="M1584" s="8"/>
    </row>
    <row r="1585" spans="1:13" x14ac:dyDescent="0.25">
      <c r="A1585" s="71" t="s">
        <v>2739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442</v>
      </c>
      <c r="H1585" s="9"/>
      <c r="I1585" s="8"/>
      <c r="J1585" s="8"/>
      <c r="K1585" s="8"/>
      <c r="L1585" s="9" t="s">
        <v>561</v>
      </c>
      <c r="M1585" s="8"/>
    </row>
    <row r="1586" spans="1:13" x14ac:dyDescent="0.25">
      <c r="A1586" s="73" t="s">
        <v>2740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442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2741</v>
      </c>
      <c r="B1587" s="67">
        <v>45671290325</v>
      </c>
      <c r="C1587" s="72" t="s">
        <v>2742</v>
      </c>
      <c r="D1587" s="69">
        <v>13019071895</v>
      </c>
      <c r="E1587" s="9">
        <v>117</v>
      </c>
      <c r="F1587" s="25">
        <v>43117</v>
      </c>
      <c r="G1587" s="70" t="s">
        <v>456</v>
      </c>
      <c r="H1587" s="9"/>
      <c r="I1587" s="8"/>
      <c r="J1587" s="8"/>
      <c r="K1587" s="8"/>
      <c r="L1587" s="9" t="s">
        <v>593</v>
      </c>
      <c r="M1587" s="8"/>
    </row>
    <row r="1588" spans="1:13" x14ac:dyDescent="0.25">
      <c r="A1588" s="13" t="s">
        <v>2743</v>
      </c>
      <c r="B1588" s="67">
        <v>7677424864</v>
      </c>
      <c r="C1588" s="72" t="s">
        <v>2744</v>
      </c>
      <c r="D1588" s="69">
        <v>6128186831</v>
      </c>
      <c r="E1588" s="9">
        <v>1570</v>
      </c>
      <c r="F1588" s="25">
        <v>43077</v>
      </c>
      <c r="G1588" s="70" t="s">
        <v>442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2745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2746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442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2747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442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2748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2749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442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2750</v>
      </c>
      <c r="B1594" s="67"/>
      <c r="C1594" s="29" t="s">
        <v>552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2751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442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2752</v>
      </c>
      <c r="B1596" s="67">
        <v>47555303850</v>
      </c>
      <c r="C1596" s="18" t="s">
        <v>552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2753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442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2754</v>
      </c>
      <c r="B1598" s="67">
        <v>25966733805</v>
      </c>
      <c r="C1598" s="72" t="s">
        <v>2755</v>
      </c>
      <c r="D1598" s="69">
        <v>19681706854</v>
      </c>
      <c r="E1598" s="9">
        <v>1752</v>
      </c>
      <c r="F1598" s="25">
        <v>43051</v>
      </c>
      <c r="G1598" s="70" t="s">
        <v>448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2756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442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2757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442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2758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2759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442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2760</v>
      </c>
      <c r="B1603" s="67">
        <v>32448230846</v>
      </c>
      <c r="C1603" s="18" t="s">
        <v>2761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2762</v>
      </c>
      <c r="B1604" s="67">
        <v>56151250559</v>
      </c>
      <c r="C1604" s="18" t="s">
        <v>2763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2764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442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2765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2766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442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2767</v>
      </c>
      <c r="B1608" s="67">
        <v>36713930840</v>
      </c>
      <c r="C1608" s="68" t="s">
        <v>2768</v>
      </c>
      <c r="D1608" s="69">
        <v>30171047885</v>
      </c>
      <c r="E1608" s="9">
        <v>1128</v>
      </c>
      <c r="F1608" s="25">
        <v>42972</v>
      </c>
      <c r="G1608" s="70" t="s">
        <v>442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2769</v>
      </c>
      <c r="B1609" s="67">
        <v>37138221827</v>
      </c>
      <c r="C1609" s="29" t="s">
        <v>2770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2771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442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2772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442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2773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442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2774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2775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442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2776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442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2777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442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2778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2779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442</v>
      </c>
      <c r="H1618" s="9"/>
      <c r="I1618" s="8"/>
      <c r="J1618" s="8"/>
      <c r="K1618" s="8"/>
      <c r="L1618" s="9" t="s">
        <v>561</v>
      </c>
      <c r="M1618" s="8"/>
    </row>
    <row r="1619" spans="1:13" x14ac:dyDescent="0.25">
      <c r="A1619" s="71" t="s">
        <v>2780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442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2781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442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2782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2783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2784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442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2785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2786</v>
      </c>
      <c r="B1625" s="67">
        <v>37338189897</v>
      </c>
      <c r="C1625" s="72" t="s">
        <v>2787</v>
      </c>
      <c r="D1625" s="69">
        <v>27359655897</v>
      </c>
      <c r="E1625" s="9">
        <v>1824</v>
      </c>
      <c r="F1625" s="25">
        <v>43091</v>
      </c>
      <c r="G1625" s="70" t="s">
        <v>442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2788</v>
      </c>
      <c r="B1626" s="67">
        <v>45632601854</v>
      </c>
      <c r="C1626" s="32" t="s">
        <v>2789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722</v>
      </c>
      <c r="M1626" s="8"/>
    </row>
    <row r="1627" spans="1:13" x14ac:dyDescent="0.25">
      <c r="A1627" s="29" t="s">
        <v>2790</v>
      </c>
      <c r="B1627" s="67"/>
      <c r="C1627" s="29" t="s">
        <v>2791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2792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2793</v>
      </c>
      <c r="B1629" s="67">
        <v>38150547886</v>
      </c>
      <c r="C1629" s="72" t="s">
        <v>2794</v>
      </c>
      <c r="D1629" s="69">
        <v>36270820871</v>
      </c>
      <c r="E1629" s="9">
        <v>262</v>
      </c>
      <c r="F1629" s="25">
        <v>43160</v>
      </c>
      <c r="G1629" s="9" t="s">
        <v>442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2795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2796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2797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2798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2799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442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2800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442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2801</v>
      </c>
      <c r="B1636" s="67">
        <v>44852605858</v>
      </c>
      <c r="C1636" s="15" t="s">
        <v>2802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2803</v>
      </c>
      <c r="B1637" s="67">
        <v>42130610862</v>
      </c>
      <c r="C1637" s="29" t="s">
        <v>2804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2805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442</v>
      </c>
      <c r="H1638" s="9"/>
      <c r="I1638" s="8"/>
      <c r="J1638" s="8"/>
      <c r="K1638" s="8"/>
      <c r="L1638" s="9" t="s">
        <v>593</v>
      </c>
      <c r="M1638" s="8"/>
    </row>
    <row r="1639" spans="1:13" x14ac:dyDescent="0.25">
      <c r="A1639" s="15" t="s">
        <v>2806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2807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442</v>
      </c>
      <c r="H1640" s="9"/>
      <c r="I1640" s="8"/>
      <c r="J1640" s="8"/>
      <c r="K1640" s="8"/>
      <c r="L1640" s="9" t="s">
        <v>593</v>
      </c>
      <c r="M1640" s="8"/>
    </row>
    <row r="1641" spans="1:13" x14ac:dyDescent="0.25">
      <c r="A1641" s="71" t="s">
        <v>2808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442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2809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2810</v>
      </c>
      <c r="B1643" s="67">
        <v>25399089858</v>
      </c>
      <c r="C1643" s="18" t="s">
        <v>2811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2812</v>
      </c>
      <c r="B1644" s="67">
        <v>36758489817</v>
      </c>
      <c r="C1644" s="72" t="s">
        <v>2813</v>
      </c>
      <c r="D1644" s="69">
        <v>15602238808</v>
      </c>
      <c r="E1644" s="9">
        <v>117</v>
      </c>
      <c r="F1644" s="25">
        <v>43117</v>
      </c>
      <c r="G1644" s="70" t="s">
        <v>442</v>
      </c>
      <c r="H1644" s="9"/>
      <c r="I1644" s="8"/>
      <c r="J1644" s="8"/>
      <c r="K1644" s="8"/>
      <c r="L1644" s="9" t="s">
        <v>593</v>
      </c>
      <c r="M1644" s="8"/>
    </row>
    <row r="1645" spans="1:13" x14ac:dyDescent="0.25">
      <c r="A1645" s="71" t="s">
        <v>2814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442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2815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2816</v>
      </c>
      <c r="B1647" s="67">
        <v>3051791440</v>
      </c>
      <c r="C1647" s="72" t="s">
        <v>2817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2818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442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2819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2820</v>
      </c>
      <c r="B1650" s="67">
        <v>8774817841</v>
      </c>
      <c r="C1650" s="18" t="s">
        <v>552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2821</v>
      </c>
      <c r="B1651" s="67">
        <v>15730438850</v>
      </c>
      <c r="C1651" s="72" t="s">
        <v>2822</v>
      </c>
      <c r="D1651" s="69">
        <v>11253544883</v>
      </c>
      <c r="E1651" s="9">
        <v>1628</v>
      </c>
      <c r="F1651" s="25">
        <v>43077</v>
      </c>
      <c r="G1651" s="70" t="s">
        <v>442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2823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2824</v>
      </c>
      <c r="B1653" s="67">
        <v>16416601800</v>
      </c>
      <c r="C1653" s="72" t="s">
        <v>2825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2826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2827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442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2828</v>
      </c>
      <c r="B1656" s="67">
        <v>6595999617</v>
      </c>
      <c r="C1656" s="68" t="s">
        <v>2829</v>
      </c>
      <c r="D1656" s="69">
        <v>9929242430</v>
      </c>
      <c r="E1656" s="9">
        <v>1128</v>
      </c>
      <c r="F1656" s="25">
        <v>42972</v>
      </c>
      <c r="G1656" s="70" t="s">
        <v>442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2830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442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2831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2832</v>
      </c>
      <c r="B1659" s="67">
        <v>28785359874</v>
      </c>
      <c r="C1659" s="72" t="s">
        <v>2833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2834</v>
      </c>
      <c r="B1660" s="67">
        <v>36460261890</v>
      </c>
      <c r="C1660" s="72" t="s">
        <v>2835</v>
      </c>
      <c r="D1660" s="69">
        <v>7468402841</v>
      </c>
      <c r="E1660" s="9">
        <v>608</v>
      </c>
      <c r="F1660" s="25">
        <v>43012</v>
      </c>
      <c r="G1660" s="70" t="s">
        <v>442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2836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442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2837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442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2838</v>
      </c>
      <c r="B1663" s="67">
        <v>34385358826</v>
      </c>
      <c r="C1663" s="72" t="s">
        <v>2839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2840</v>
      </c>
      <c r="B1664" s="67">
        <v>24820428870</v>
      </c>
      <c r="C1664" s="72" t="s">
        <v>2841</v>
      </c>
      <c r="D1664" s="69">
        <v>22012255833</v>
      </c>
      <c r="E1664" s="9">
        <v>1417</v>
      </c>
      <c r="F1664" s="25">
        <v>43017</v>
      </c>
      <c r="G1664" s="70" t="s">
        <v>442</v>
      </c>
      <c r="H1664" s="9"/>
      <c r="I1664" s="8"/>
      <c r="J1664" s="8"/>
      <c r="K1664" s="8"/>
      <c r="L1664" s="9" t="s">
        <v>676</v>
      </c>
      <c r="M1664" s="8"/>
    </row>
    <row r="1665" spans="1:13" x14ac:dyDescent="0.25">
      <c r="A1665" s="29" t="s">
        <v>2842</v>
      </c>
      <c r="B1665" s="67">
        <v>31148609822</v>
      </c>
      <c r="C1665" s="29" t="s">
        <v>2843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2844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456</v>
      </c>
      <c r="H1666" s="9"/>
      <c r="I1666" s="8"/>
      <c r="J1666" s="8"/>
      <c r="K1666" s="8"/>
      <c r="L1666" s="9" t="s">
        <v>593</v>
      </c>
      <c r="M1666" s="8"/>
    </row>
    <row r="1667" spans="1:13" x14ac:dyDescent="0.25">
      <c r="A1667" s="14" t="s">
        <v>2845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2845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442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2846</v>
      </c>
      <c r="B1669" s="67">
        <v>44772896856</v>
      </c>
      <c r="C1669" s="72" t="s">
        <v>2847</v>
      </c>
      <c r="D1669" s="69">
        <v>39313729873</v>
      </c>
      <c r="E1669" s="9">
        <v>117</v>
      </c>
      <c r="F1669" s="25">
        <v>43117</v>
      </c>
      <c r="G1669" s="70" t="s">
        <v>442</v>
      </c>
      <c r="H1669" s="9"/>
      <c r="I1669" s="8"/>
      <c r="J1669" s="8"/>
      <c r="K1669" s="8"/>
      <c r="L1669" s="9" t="s">
        <v>593</v>
      </c>
      <c r="M1669" s="8"/>
    </row>
    <row r="1670" spans="1:13" x14ac:dyDescent="0.25">
      <c r="A1670" s="29" t="s">
        <v>2848</v>
      </c>
      <c r="B1670" s="67">
        <v>28501359840</v>
      </c>
      <c r="C1670" s="29" t="s">
        <v>2849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2850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2851</v>
      </c>
      <c r="B1672" s="67">
        <v>30131142828</v>
      </c>
      <c r="C1672" s="77" t="s">
        <v>2852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2853</v>
      </c>
      <c r="B1673" s="67"/>
      <c r="C1673" s="29" t="s">
        <v>552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2854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442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2855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442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2856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442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2857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442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2858</v>
      </c>
      <c r="B1678" s="67">
        <v>30319988805</v>
      </c>
      <c r="C1678" s="29" t="s">
        <v>552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2859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2860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442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2861</v>
      </c>
      <c r="B1681" s="67">
        <v>1565236122</v>
      </c>
      <c r="C1681" s="72" t="s">
        <v>2862</v>
      </c>
      <c r="D1681" s="69">
        <v>218506589</v>
      </c>
      <c r="E1681" s="9">
        <v>1241</v>
      </c>
      <c r="F1681" s="25">
        <v>42992</v>
      </c>
      <c r="G1681" s="70" t="s">
        <v>442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2863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2864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442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2865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2866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2867</v>
      </c>
      <c r="B1686" s="67">
        <v>28842233803</v>
      </c>
      <c r="C1686" s="72" t="s">
        <v>2868</v>
      </c>
      <c r="D1686" s="69">
        <v>39207708892</v>
      </c>
      <c r="E1686" s="9">
        <v>262</v>
      </c>
      <c r="F1686" s="25">
        <v>43160</v>
      </c>
      <c r="G1686" s="70" t="s">
        <v>448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2869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442</v>
      </c>
      <c r="H1687" s="9"/>
      <c r="I1687" s="8"/>
      <c r="J1687" s="8"/>
      <c r="K1687" s="8"/>
      <c r="L1687" s="9" t="s">
        <v>561</v>
      </c>
      <c r="M1687" s="8"/>
    </row>
    <row r="1688" spans="1:13" x14ac:dyDescent="0.25">
      <c r="A1688" s="71" t="s">
        <v>2870</v>
      </c>
      <c r="B1688" s="67">
        <v>39111957883</v>
      </c>
      <c r="C1688" s="72" t="s">
        <v>2871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2872</v>
      </c>
      <c r="B1689" s="67">
        <v>26763450877</v>
      </c>
      <c r="C1689" s="72" t="s">
        <v>2873</v>
      </c>
      <c r="D1689" s="69">
        <v>23405053803</v>
      </c>
      <c r="E1689" s="9">
        <v>292</v>
      </c>
      <c r="F1689" s="25">
        <v>43168</v>
      </c>
      <c r="G1689" s="70" t="s">
        <v>442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2874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442</v>
      </c>
      <c r="H1690" s="9"/>
      <c r="I1690" s="8"/>
      <c r="J1690" s="8"/>
      <c r="K1690" s="8"/>
      <c r="L1690" s="9" t="s">
        <v>593</v>
      </c>
      <c r="M1690" s="8"/>
    </row>
    <row r="1691" spans="1:13" x14ac:dyDescent="0.25">
      <c r="A1691" s="29" t="s">
        <v>2875</v>
      </c>
      <c r="B1691" s="67">
        <v>41696411831</v>
      </c>
      <c r="C1691" s="29" t="s">
        <v>2876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2877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2878</v>
      </c>
      <c r="B1693" s="67"/>
      <c r="C1693" s="18" t="s">
        <v>552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2879</v>
      </c>
      <c r="B1694" s="67">
        <v>8946062479</v>
      </c>
      <c r="C1694" s="15" t="s">
        <v>2880</v>
      </c>
      <c r="D1694" s="69">
        <v>9671165460</v>
      </c>
      <c r="E1694" s="9">
        <v>292</v>
      </c>
      <c r="F1694" s="25">
        <v>43168</v>
      </c>
      <c r="G1694" s="70" t="s">
        <v>448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2881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442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2882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442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2883</v>
      </c>
      <c r="B1697" s="67"/>
      <c r="C1697" s="18" t="s">
        <v>552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2884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442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2885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2886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2887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2888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2889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2890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2891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2892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442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2893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442</v>
      </c>
      <c r="H1707" s="9"/>
      <c r="I1707" s="8"/>
      <c r="J1707" s="8"/>
      <c r="K1707" s="8"/>
      <c r="L1707" s="9" t="s">
        <v>676</v>
      </c>
      <c r="M1707" s="8"/>
    </row>
    <row r="1708" spans="1:13" x14ac:dyDescent="0.25">
      <c r="A1708" s="13" t="s">
        <v>2894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442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2895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2896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2897</v>
      </c>
      <c r="B1711" s="67"/>
      <c r="C1711" s="18" t="s">
        <v>552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2898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442</v>
      </c>
      <c r="H1712" s="9"/>
      <c r="I1712" s="8"/>
      <c r="J1712" s="8"/>
      <c r="K1712" s="8"/>
      <c r="L1712" s="9" t="s">
        <v>593</v>
      </c>
      <c r="M1712" s="8"/>
    </row>
    <row r="1713" spans="1:13" x14ac:dyDescent="0.25">
      <c r="A1713" s="71" t="s">
        <v>2899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442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2900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442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2901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2902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442</v>
      </c>
      <c r="H1716" s="9"/>
      <c r="I1716" s="8"/>
      <c r="J1716" s="8"/>
      <c r="K1716" s="8"/>
      <c r="L1716" s="9" t="s">
        <v>561</v>
      </c>
      <c r="M1716" s="8"/>
    </row>
    <row r="1717" spans="1:13" x14ac:dyDescent="0.25">
      <c r="A1717" s="71" t="s">
        <v>2903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2904</v>
      </c>
      <c r="B1718" s="67">
        <v>26903961810</v>
      </c>
      <c r="C1718" s="72" t="s">
        <v>2905</v>
      </c>
      <c r="D1718" s="69">
        <v>40904229904</v>
      </c>
      <c r="E1718" s="9">
        <v>1555</v>
      </c>
      <c r="F1718" s="25">
        <v>43049</v>
      </c>
      <c r="G1718" s="70" t="s">
        <v>442</v>
      </c>
      <c r="H1718" s="9"/>
      <c r="I1718" s="8"/>
      <c r="J1718" s="8"/>
      <c r="K1718" s="8"/>
      <c r="L1718" s="9" t="s">
        <v>821</v>
      </c>
      <c r="M1718" s="8"/>
    </row>
    <row r="1719" spans="1:13" x14ac:dyDescent="0.25">
      <c r="A1719" s="18" t="s">
        <v>2906</v>
      </c>
      <c r="B1719" s="67">
        <v>31611651875</v>
      </c>
      <c r="C1719" s="18" t="s">
        <v>2907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2908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442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2909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2910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442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2911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2912</v>
      </c>
      <c r="B1724" s="69">
        <v>22580790802</v>
      </c>
      <c r="C1724" s="71" t="s">
        <v>2913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2914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2915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2916</v>
      </c>
      <c r="B1727" s="69">
        <v>88565386520</v>
      </c>
      <c r="C1727" s="15" t="s">
        <v>2917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2918</v>
      </c>
      <c r="B1728" s="67">
        <v>1147816565</v>
      </c>
      <c r="C1728" s="72" t="s">
        <v>2919</v>
      </c>
      <c r="D1728" s="69">
        <v>24692193883</v>
      </c>
      <c r="E1728" s="9">
        <v>262</v>
      </c>
      <c r="F1728" s="25">
        <v>43160</v>
      </c>
      <c r="G1728" s="70" t="s">
        <v>442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2920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442</v>
      </c>
      <c r="H1729" s="9"/>
      <c r="I1729" s="8"/>
      <c r="J1729" s="8"/>
      <c r="K1729" s="8"/>
      <c r="L1729" s="9" t="s">
        <v>561</v>
      </c>
      <c r="M1729" s="8"/>
    </row>
    <row r="1730" spans="1:13" x14ac:dyDescent="0.25">
      <c r="A1730" s="14" t="s">
        <v>2921</v>
      </c>
      <c r="B1730" s="67">
        <v>7039189402</v>
      </c>
      <c r="C1730" s="72" t="s">
        <v>2922</v>
      </c>
      <c r="D1730" s="69">
        <v>5531291558</v>
      </c>
      <c r="E1730" s="9">
        <v>262</v>
      </c>
      <c r="F1730" s="25">
        <v>43160</v>
      </c>
      <c r="G1730" s="70" t="s">
        <v>442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2923</v>
      </c>
      <c r="B1731" s="67">
        <v>34602647804</v>
      </c>
      <c r="C1731" s="72" t="s">
        <v>2924</v>
      </c>
      <c r="D1731" s="69">
        <v>27640163870</v>
      </c>
      <c r="E1731" s="9">
        <v>229</v>
      </c>
      <c r="F1731" s="25">
        <v>43151</v>
      </c>
      <c r="G1731" s="70" t="s">
        <v>442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2925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442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2926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442</v>
      </c>
      <c r="H1733" s="9"/>
      <c r="I1733" s="8"/>
      <c r="J1733" s="8"/>
      <c r="K1733" s="8"/>
      <c r="L1733" s="9" t="s">
        <v>925</v>
      </c>
      <c r="M1733" s="8"/>
    </row>
    <row r="1734" spans="1:13" x14ac:dyDescent="0.25">
      <c r="A1734" s="71" t="s">
        <v>2927</v>
      </c>
      <c r="B1734" s="67">
        <v>4656282570</v>
      </c>
      <c r="C1734" s="72" t="s">
        <v>2928</v>
      </c>
      <c r="D1734" s="69">
        <v>85025780578</v>
      </c>
      <c r="E1734" s="9">
        <v>85</v>
      </c>
      <c r="F1734" s="25">
        <v>43109</v>
      </c>
      <c r="G1734" s="70" t="s">
        <v>442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2929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2930</v>
      </c>
      <c r="B1736" s="67">
        <v>44808773805</v>
      </c>
      <c r="C1736" s="72" t="s">
        <v>2931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2932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442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2933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2934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442</v>
      </c>
      <c r="H1739" s="9"/>
      <c r="I1739" s="8"/>
      <c r="J1739" s="8"/>
      <c r="K1739" s="8"/>
      <c r="L1739" s="9" t="s">
        <v>561</v>
      </c>
      <c r="M1739" s="8"/>
    </row>
    <row r="1740" spans="1:13" x14ac:dyDescent="0.25">
      <c r="A1740" s="71" t="s">
        <v>2935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456</v>
      </c>
      <c r="H1740" s="9"/>
      <c r="I1740" s="8"/>
      <c r="J1740" s="8"/>
      <c r="K1740" s="8"/>
      <c r="L1740" s="9" t="s">
        <v>676</v>
      </c>
      <c r="M1740" s="8"/>
    </row>
    <row r="1741" spans="1:13" x14ac:dyDescent="0.25">
      <c r="A1741" s="15" t="s">
        <v>2936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442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2937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2938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2939</v>
      </c>
      <c r="B1744" s="67">
        <v>19129440491</v>
      </c>
      <c r="C1744" s="72" t="s">
        <v>2940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2941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442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2942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442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2943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442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2944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442</v>
      </c>
      <c r="H1748" s="9"/>
      <c r="I1748" s="8"/>
      <c r="J1748" s="8"/>
      <c r="K1748" s="8"/>
      <c r="L1748" s="9" t="s">
        <v>821</v>
      </c>
      <c r="M1748" s="8"/>
    </row>
    <row r="1749" spans="1:13" x14ac:dyDescent="0.25">
      <c r="A1749" s="13" t="s">
        <v>2945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442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2946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2947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442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2948</v>
      </c>
      <c r="B1752" s="67">
        <v>15634351871</v>
      </c>
      <c r="C1752" s="72" t="s">
        <v>2949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2950</v>
      </c>
      <c r="B1753" s="67">
        <v>35994306835</v>
      </c>
      <c r="C1753" s="72" t="s">
        <v>2951</v>
      </c>
      <c r="D1753" s="69">
        <v>25021610880</v>
      </c>
      <c r="E1753" s="9">
        <v>262</v>
      </c>
      <c r="F1753" s="25">
        <v>43160</v>
      </c>
      <c r="G1753" s="70" t="s">
        <v>442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2952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442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2953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2954</v>
      </c>
      <c r="B1756" s="67">
        <v>32525046854</v>
      </c>
      <c r="C1756" s="29" t="s">
        <v>552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2955</v>
      </c>
      <c r="B1757" s="67">
        <v>23704553816</v>
      </c>
      <c r="C1757" s="77" t="s">
        <v>2956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722</v>
      </c>
      <c r="M1757" s="8"/>
    </row>
    <row r="1758" spans="1:13" x14ac:dyDescent="0.25">
      <c r="A1758" s="71" t="s">
        <v>2957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442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2958</v>
      </c>
      <c r="B1759" s="67">
        <v>3180351543</v>
      </c>
      <c r="C1759" s="72" t="s">
        <v>2959</v>
      </c>
      <c r="D1759" s="69">
        <v>38259838893</v>
      </c>
      <c r="E1759" s="9">
        <v>1752</v>
      </c>
      <c r="F1759" s="25">
        <v>43051</v>
      </c>
      <c r="G1759" s="70" t="s">
        <v>442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2960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442</v>
      </c>
      <c r="H1760" s="9"/>
      <c r="I1760" s="8"/>
      <c r="J1760" s="8"/>
      <c r="K1760" s="8"/>
      <c r="L1760" s="9" t="s">
        <v>561</v>
      </c>
      <c r="M1760" s="8"/>
    </row>
    <row r="1761" spans="1:13" x14ac:dyDescent="0.25">
      <c r="A1761" s="71" t="s">
        <v>2961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442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2962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2963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442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2964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442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2965</v>
      </c>
      <c r="B1765" s="80">
        <v>27034088896</v>
      </c>
      <c r="C1765" s="81" t="s">
        <v>2966</v>
      </c>
      <c r="D1765" s="82">
        <v>31801530831</v>
      </c>
      <c r="E1765" s="47">
        <v>1267</v>
      </c>
      <c r="F1765" s="48">
        <v>42998</v>
      </c>
      <c r="G1765" s="83" t="s">
        <v>448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2967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2968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2969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442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2970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442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2971</v>
      </c>
      <c r="B1770" s="67">
        <v>13035980861</v>
      </c>
      <c r="C1770" s="72" t="s">
        <v>2972</v>
      </c>
      <c r="D1770" s="69">
        <v>60623608553</v>
      </c>
      <c r="E1770" s="9">
        <v>1752</v>
      </c>
      <c r="F1770" s="25">
        <v>43051</v>
      </c>
      <c r="G1770" s="70" t="s">
        <v>442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2973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2974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442</v>
      </c>
      <c r="H1772" s="9"/>
      <c r="I1772" s="8"/>
      <c r="J1772" s="8"/>
      <c r="K1772" s="8"/>
      <c r="L1772" s="9" t="s">
        <v>561</v>
      </c>
      <c r="M1772" s="8"/>
    </row>
    <row r="1773" spans="1:13" x14ac:dyDescent="0.25">
      <c r="A1773" s="29" t="s">
        <v>2975</v>
      </c>
      <c r="B1773" s="67">
        <v>7965453401</v>
      </c>
      <c r="C1773" s="29" t="s">
        <v>2976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2977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442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2978</v>
      </c>
      <c r="B1775" s="67">
        <v>29335127850</v>
      </c>
      <c r="C1775" s="68" t="s">
        <v>2979</v>
      </c>
      <c r="D1775" s="69">
        <v>18384225877</v>
      </c>
      <c r="E1775" s="9">
        <v>1214</v>
      </c>
      <c r="F1775" s="25">
        <v>42989</v>
      </c>
      <c r="G1775" s="70" t="s">
        <v>442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2980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442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2981</v>
      </c>
      <c r="B1777" s="67">
        <v>22530539880</v>
      </c>
      <c r="C1777" s="72" t="s">
        <v>2982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2983</v>
      </c>
      <c r="B1778" s="67">
        <v>22135571873</v>
      </c>
      <c r="C1778" s="72" t="s">
        <v>2984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2985</v>
      </c>
      <c r="B1779" s="67">
        <v>29928831823</v>
      </c>
      <c r="C1779" s="72" t="s">
        <v>2986</v>
      </c>
      <c r="D1779" s="69">
        <v>9500916428</v>
      </c>
      <c r="E1779" s="9">
        <v>810</v>
      </c>
      <c r="F1779" s="25">
        <v>42915</v>
      </c>
      <c r="G1779" s="70" t="s">
        <v>442</v>
      </c>
      <c r="H1779" s="9"/>
      <c r="I1779" s="8"/>
      <c r="J1779" s="8"/>
      <c r="K1779" s="8"/>
      <c r="L1779" s="9" t="s">
        <v>561</v>
      </c>
      <c r="M1779" s="8"/>
    </row>
    <row r="1780" spans="1:13" x14ac:dyDescent="0.25">
      <c r="A1780" s="72" t="s">
        <v>2987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2988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442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2989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2990</v>
      </c>
      <c r="B1783" s="67"/>
      <c r="C1783" s="29" t="s">
        <v>552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2991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442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2992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442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2993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442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2994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442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2995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442</v>
      </c>
      <c r="H1788" s="9"/>
      <c r="I1788" s="8"/>
      <c r="J1788" s="8"/>
      <c r="K1788" s="8"/>
      <c r="L1788" s="9" t="s">
        <v>561</v>
      </c>
      <c r="M1788" s="8"/>
    </row>
    <row r="1789" spans="1:13" x14ac:dyDescent="0.25">
      <c r="A1789" s="71" t="s">
        <v>2996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442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2997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442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2998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442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2999</v>
      </c>
      <c r="B1792" s="67">
        <v>29652104825</v>
      </c>
      <c r="C1792" s="68" t="s">
        <v>3000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3001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442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3002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3003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3004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442</v>
      </c>
      <c r="H1796" s="9"/>
      <c r="I1796" s="8"/>
      <c r="J1796" s="8"/>
      <c r="K1796" s="8"/>
      <c r="L1796" s="9" t="s">
        <v>925</v>
      </c>
      <c r="M1796" s="8"/>
    </row>
    <row r="1797" spans="1:13" x14ac:dyDescent="0.25">
      <c r="A1797" s="71" t="s">
        <v>3005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442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3006</v>
      </c>
      <c r="B1798" s="67">
        <v>6896659890</v>
      </c>
      <c r="C1798" s="29" t="s">
        <v>3007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3008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442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3009</v>
      </c>
      <c r="B1800" s="67">
        <v>60230380506</v>
      </c>
      <c r="C1800" s="72" t="s">
        <v>3010</v>
      </c>
      <c r="D1800" s="69">
        <v>30853536821</v>
      </c>
      <c r="E1800" s="9">
        <v>1570</v>
      </c>
      <c r="F1800" s="25">
        <v>43051</v>
      </c>
      <c r="G1800" s="70" t="s">
        <v>448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3011</v>
      </c>
      <c r="B1801" s="67">
        <v>44556393817</v>
      </c>
      <c r="C1801" s="72" t="s">
        <v>3012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3013</v>
      </c>
      <c r="B1802" s="67">
        <v>35780076847</v>
      </c>
      <c r="C1802" s="29" t="s">
        <v>3014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3015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442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3016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442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3017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3018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3019</v>
      </c>
      <c r="B1807" s="67">
        <v>8265497806</v>
      </c>
      <c r="C1807" s="18" t="s">
        <v>552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3020</v>
      </c>
      <c r="B1808" s="67">
        <v>27435732877</v>
      </c>
      <c r="C1808" s="29" t="s">
        <v>552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3021</v>
      </c>
      <c r="B1809" s="67">
        <v>17620421858</v>
      </c>
      <c r="C1809" s="72" t="s">
        <v>3022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3023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442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3024</v>
      </c>
      <c r="B1811" s="78" t="s">
        <v>3025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3026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442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3027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3028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3029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442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3030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722</v>
      </c>
      <c r="M1816" s="8"/>
    </row>
    <row r="1817" spans="1:13" x14ac:dyDescent="0.25">
      <c r="A1817" s="14" t="s">
        <v>3031</v>
      </c>
      <c r="B1817" s="67">
        <v>24655581883</v>
      </c>
      <c r="C1817" s="72" t="s">
        <v>3032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3033</v>
      </c>
      <c r="B1818" s="67">
        <v>6455171861</v>
      </c>
      <c r="C1818" s="72" t="s">
        <v>3034</v>
      </c>
      <c r="D1818" s="69">
        <v>34375910534</v>
      </c>
      <c r="E1818" s="9">
        <v>1417</v>
      </c>
      <c r="F1818" s="25">
        <v>43017</v>
      </c>
      <c r="G1818" s="70" t="s">
        <v>442</v>
      </c>
      <c r="H1818" s="9"/>
      <c r="I1818" s="8"/>
      <c r="J1818" s="8"/>
      <c r="K1818" s="8"/>
      <c r="L1818" s="9" t="s">
        <v>676</v>
      </c>
      <c r="M1818" s="8"/>
    </row>
    <row r="1819" spans="1:13" x14ac:dyDescent="0.25">
      <c r="A1819" s="71" t="s">
        <v>3035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442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3036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442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3037</v>
      </c>
      <c r="B1821" s="67">
        <v>16417318850</v>
      </c>
      <c r="C1821" s="72" t="s">
        <v>3038</v>
      </c>
      <c r="D1821" s="69">
        <v>18195940846</v>
      </c>
      <c r="E1821" s="9">
        <v>810</v>
      </c>
      <c r="F1821" s="25">
        <v>42915</v>
      </c>
      <c r="G1821" s="70" t="s">
        <v>448</v>
      </c>
      <c r="H1821" s="9"/>
      <c r="I1821" s="8"/>
      <c r="J1821" s="8"/>
      <c r="K1821" s="8"/>
      <c r="L1821" s="9" t="s">
        <v>561</v>
      </c>
      <c r="M1821" s="8"/>
    </row>
    <row r="1822" spans="1:13" x14ac:dyDescent="0.25">
      <c r="A1822" s="14" t="s">
        <v>3039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442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3040</v>
      </c>
      <c r="B1823" s="67">
        <v>14369207878</v>
      </c>
      <c r="C1823" s="72" t="s">
        <v>3041</v>
      </c>
      <c r="D1823" s="69">
        <v>7358923421</v>
      </c>
      <c r="E1823" s="9">
        <v>292</v>
      </c>
      <c r="F1823" s="25">
        <v>43168</v>
      </c>
      <c r="G1823" s="9" t="s">
        <v>442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3042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3042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3043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442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3044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3045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3046</v>
      </c>
      <c r="B1829" s="67" t="s">
        <v>3047</v>
      </c>
      <c r="C1829" s="72" t="s">
        <v>3048</v>
      </c>
      <c r="D1829" s="69">
        <v>43860821822</v>
      </c>
      <c r="E1829" s="9">
        <v>1752</v>
      </c>
      <c r="F1829" s="25">
        <v>43051</v>
      </c>
      <c r="G1829" s="70" t="s">
        <v>442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3046</v>
      </c>
      <c r="B1830" s="67"/>
      <c r="C1830" s="18" t="s">
        <v>552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3049</v>
      </c>
      <c r="B1831" s="67">
        <v>32969576856</v>
      </c>
      <c r="C1831" s="72" t="s">
        <v>3050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3051</v>
      </c>
      <c r="B1832" s="67">
        <v>23651706842</v>
      </c>
      <c r="C1832" s="18" t="s">
        <v>3052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3053</v>
      </c>
      <c r="B1833" s="67"/>
      <c r="C1833" s="29" t="s">
        <v>3054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3055</v>
      </c>
      <c r="B1834" s="67">
        <v>24891699809</v>
      </c>
      <c r="C1834" s="72" t="s">
        <v>3056</v>
      </c>
      <c r="D1834" s="69">
        <v>17610300861</v>
      </c>
      <c r="E1834" s="9">
        <v>262</v>
      </c>
      <c r="F1834" s="25">
        <v>43160</v>
      </c>
      <c r="G1834" s="70" t="s">
        <v>448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3057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442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3058</v>
      </c>
      <c r="B1836" s="67">
        <v>79465617687</v>
      </c>
      <c r="C1836" s="77" t="s">
        <v>3059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722</v>
      </c>
      <c r="M1836" s="8"/>
    </row>
    <row r="1837" spans="1:13" x14ac:dyDescent="0.25">
      <c r="A1837" s="29" t="s">
        <v>3060</v>
      </c>
      <c r="B1837" s="67"/>
      <c r="C1837" s="29" t="s">
        <v>552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3061</v>
      </c>
      <c r="B1838" s="67" t="s">
        <v>3062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3063</v>
      </c>
      <c r="B1839" s="67">
        <v>8545670893</v>
      </c>
      <c r="C1839" s="18" t="s">
        <v>3064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3063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442</v>
      </c>
      <c r="H1840" s="9"/>
      <c r="I1840" s="8"/>
      <c r="J1840" s="8"/>
      <c r="K1840" s="8"/>
      <c r="L1840" s="9" t="s">
        <v>561</v>
      </c>
      <c r="M1840" s="8"/>
    </row>
    <row r="1841" spans="1:13" x14ac:dyDescent="0.25">
      <c r="A1841" s="72" t="s">
        <v>3065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3066</v>
      </c>
      <c r="B1842" s="67"/>
      <c r="C1842" s="29" t="s">
        <v>552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3067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442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3068</v>
      </c>
      <c r="B1844" s="69">
        <v>84920157487</v>
      </c>
      <c r="C1844" s="71" t="s">
        <v>3069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3070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3071</v>
      </c>
      <c r="B1846" s="67">
        <v>35331745814</v>
      </c>
      <c r="C1846" s="75" t="s">
        <v>3072</v>
      </c>
      <c r="D1846" s="69">
        <v>33184459837</v>
      </c>
      <c r="E1846" s="9">
        <v>1106</v>
      </c>
      <c r="F1846" s="25">
        <v>42965</v>
      </c>
      <c r="G1846" s="70" t="s">
        <v>442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3073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442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3074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3075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442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3076</v>
      </c>
      <c r="B1850" s="67">
        <v>14686278805</v>
      </c>
      <c r="C1850" s="18" t="s">
        <v>552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3077</v>
      </c>
      <c r="B1851" s="67">
        <v>14857592851</v>
      </c>
      <c r="C1851" s="72" t="s">
        <v>3078</v>
      </c>
      <c r="D1851" s="69">
        <v>35142215885</v>
      </c>
      <c r="E1851" s="9">
        <v>1106</v>
      </c>
      <c r="F1851" s="25">
        <v>42965</v>
      </c>
      <c r="G1851" s="70" t="s">
        <v>442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3079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442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3080</v>
      </c>
      <c r="B1853" s="67">
        <v>35714112857</v>
      </c>
      <c r="C1853" s="72" t="s">
        <v>3081</v>
      </c>
      <c r="D1853" s="69">
        <v>32342783850</v>
      </c>
      <c r="E1853" s="9">
        <v>810</v>
      </c>
      <c r="F1853" s="25">
        <v>42915</v>
      </c>
      <c r="G1853" s="70" t="s">
        <v>442</v>
      </c>
      <c r="H1853" s="9"/>
      <c r="I1853" s="8"/>
      <c r="J1853" s="8"/>
      <c r="K1853" s="8"/>
      <c r="L1853" s="9" t="s">
        <v>561</v>
      </c>
      <c r="M1853" s="8"/>
    </row>
    <row r="1854" spans="1:13" x14ac:dyDescent="0.25">
      <c r="A1854" s="15" t="s">
        <v>3082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3083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442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3084</v>
      </c>
      <c r="B1856" s="67">
        <v>22009621859</v>
      </c>
      <c r="C1856" s="72" t="s">
        <v>3085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3086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442</v>
      </c>
      <c r="H1857" s="9"/>
      <c r="I1857" s="8"/>
      <c r="J1857" s="8"/>
      <c r="K1857" s="8"/>
      <c r="L1857" s="9" t="s">
        <v>561</v>
      </c>
      <c r="M1857" s="8"/>
    </row>
    <row r="1858" spans="1:13" x14ac:dyDescent="0.25">
      <c r="A1858" s="71" t="s">
        <v>3087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442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3088</v>
      </c>
      <c r="B1859" s="67">
        <v>32752183879</v>
      </c>
      <c r="C1859" s="72" t="s">
        <v>3089</v>
      </c>
      <c r="D1859" s="69">
        <v>15202346867</v>
      </c>
      <c r="E1859" s="9">
        <v>85</v>
      </c>
      <c r="F1859" s="25">
        <v>43109</v>
      </c>
      <c r="G1859" s="70" t="s">
        <v>442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3090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3091</v>
      </c>
      <c r="B1861" s="67">
        <v>13622732873</v>
      </c>
      <c r="C1861" s="68"/>
      <c r="D1861" s="69"/>
      <c r="E1861" s="9"/>
      <c r="F1861" s="25"/>
      <c r="G1861" s="70" t="s">
        <v>442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3092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3093</v>
      </c>
      <c r="B1863" s="67">
        <v>17094778813</v>
      </c>
      <c r="C1863" s="72" t="s">
        <v>3094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3095</v>
      </c>
      <c r="B1864" s="67"/>
      <c r="C1864" s="72" t="s">
        <v>3096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3097</v>
      </c>
      <c r="B1865" s="67">
        <v>43289674878</v>
      </c>
      <c r="C1865" s="72" t="s">
        <v>3098</v>
      </c>
      <c r="D1865" s="69">
        <v>39726735823</v>
      </c>
      <c r="E1865" s="9">
        <v>810</v>
      </c>
      <c r="F1865" s="25">
        <v>42915</v>
      </c>
      <c r="G1865" s="70" t="s">
        <v>442</v>
      </c>
      <c r="H1865" s="9"/>
      <c r="I1865" s="8"/>
      <c r="J1865" s="8"/>
      <c r="K1865" s="8"/>
      <c r="L1865" s="9" t="s">
        <v>561</v>
      </c>
      <c r="M1865" s="8"/>
    </row>
    <row r="1866" spans="1:13" x14ac:dyDescent="0.25">
      <c r="A1866" s="29" t="s">
        <v>3099</v>
      </c>
      <c r="B1866" s="67">
        <v>3778856812</v>
      </c>
      <c r="C1866" s="18" t="s">
        <v>552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3100</v>
      </c>
      <c r="B1867" s="67">
        <v>36074731888</v>
      </c>
      <c r="C1867" s="29" t="s">
        <v>552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3101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3102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442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3103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722</v>
      </c>
      <c r="M1870" s="8"/>
    </row>
    <row r="1871" spans="1:13" x14ac:dyDescent="0.25">
      <c r="A1871" s="71" t="s">
        <v>3104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3105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442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3106</v>
      </c>
      <c r="B1873" s="67">
        <v>35885861803</v>
      </c>
      <c r="C1873" s="72" t="s">
        <v>3107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3108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3109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442</v>
      </c>
      <c r="H1875" s="9"/>
      <c r="I1875" s="8"/>
      <c r="J1875" s="8"/>
      <c r="K1875" s="8"/>
      <c r="L1875" s="9" t="s">
        <v>561</v>
      </c>
      <c r="M1875" s="8"/>
    </row>
    <row r="1876" spans="1:13" x14ac:dyDescent="0.25">
      <c r="A1876" s="13" t="s">
        <v>3110</v>
      </c>
      <c r="B1876" s="67">
        <v>14888258821</v>
      </c>
      <c r="C1876" s="72" t="s">
        <v>3111</v>
      </c>
      <c r="D1876" s="69">
        <v>9173891827</v>
      </c>
      <c r="E1876" s="9">
        <v>229</v>
      </c>
      <c r="F1876" s="25">
        <v>43151</v>
      </c>
      <c r="G1876" s="70" t="s">
        <v>442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3112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442</v>
      </c>
      <c r="H1877" s="9"/>
      <c r="I1877" s="8"/>
      <c r="J1877" s="8"/>
      <c r="K1877" s="8"/>
      <c r="L1877" s="9" t="s">
        <v>925</v>
      </c>
      <c r="M1877" s="8"/>
    </row>
    <row r="1878" spans="1:13" x14ac:dyDescent="0.25">
      <c r="A1878" s="73" t="s">
        <v>3113</v>
      </c>
      <c r="B1878" s="67">
        <v>36238125870</v>
      </c>
      <c r="C1878" s="72" t="s">
        <v>3114</v>
      </c>
      <c r="D1878" s="69">
        <v>44321368391</v>
      </c>
      <c r="E1878" s="9">
        <v>1106</v>
      </c>
      <c r="F1878" s="25">
        <v>42965</v>
      </c>
      <c r="G1878" s="70" t="s">
        <v>442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3115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442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3116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3117</v>
      </c>
      <c r="B1881" s="67">
        <v>25970465836</v>
      </c>
      <c r="C1881" s="29" t="s">
        <v>3118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3119</v>
      </c>
      <c r="B1882" s="67">
        <v>26569869825</v>
      </c>
      <c r="C1882" s="15" t="s">
        <v>3120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3121</v>
      </c>
      <c r="B1883" s="67">
        <v>87835053349</v>
      </c>
      <c r="C1883" s="72" t="s">
        <v>3122</v>
      </c>
      <c r="D1883" s="69">
        <v>18172850840</v>
      </c>
      <c r="E1883" s="9">
        <v>1106</v>
      </c>
      <c r="F1883" s="25">
        <v>42965</v>
      </c>
      <c r="G1883" s="70" t="s">
        <v>442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3123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722</v>
      </c>
      <c r="M1884" s="8"/>
    </row>
    <row r="1885" spans="1:13" x14ac:dyDescent="0.25">
      <c r="A1885" s="72" t="s">
        <v>3124</v>
      </c>
      <c r="B1885" s="67">
        <v>32747471810</v>
      </c>
      <c r="C1885" s="72" t="s">
        <v>3125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3126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3127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442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3128</v>
      </c>
      <c r="B1888" s="67">
        <v>31413965822</v>
      </c>
      <c r="C1888" s="72" t="s">
        <v>3129</v>
      </c>
      <c r="D1888" s="69">
        <v>17486425882</v>
      </c>
      <c r="E1888" s="9">
        <v>1106</v>
      </c>
      <c r="F1888" s="25">
        <v>42965</v>
      </c>
      <c r="G1888" s="70" t="s">
        <v>442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3130</v>
      </c>
      <c r="B1889" s="67">
        <v>35736302861</v>
      </c>
      <c r="C1889" s="72" t="s">
        <v>3131</v>
      </c>
      <c r="D1889" s="69">
        <v>39355200854</v>
      </c>
      <c r="E1889" s="9">
        <v>229</v>
      </c>
      <c r="F1889" s="25">
        <v>43151</v>
      </c>
      <c r="G1889" s="70" t="s">
        <v>442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3132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442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3133</v>
      </c>
      <c r="B1891" s="67">
        <v>16364261825</v>
      </c>
      <c r="C1891" s="72" t="s">
        <v>3134</v>
      </c>
      <c r="D1891" s="69">
        <v>3293003427</v>
      </c>
      <c r="E1891" s="9">
        <v>117</v>
      </c>
      <c r="F1891" s="25">
        <v>43117</v>
      </c>
      <c r="G1891" s="70" t="s">
        <v>442</v>
      </c>
      <c r="H1891" s="9"/>
      <c r="I1891" s="8"/>
      <c r="J1891" s="8"/>
      <c r="K1891" s="8"/>
      <c r="L1891" s="9" t="s">
        <v>593</v>
      </c>
      <c r="M1891" s="8"/>
    </row>
    <row r="1892" spans="1:13" x14ac:dyDescent="0.25">
      <c r="A1892" s="84" t="s">
        <v>3135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3136</v>
      </c>
      <c r="B1893" s="67">
        <v>33729129856</v>
      </c>
      <c r="C1893" s="72" t="s">
        <v>3137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3138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442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3139</v>
      </c>
      <c r="B1895" s="67">
        <v>6579182458</v>
      </c>
      <c r="C1895" s="72" t="s">
        <v>3140</v>
      </c>
      <c r="D1895" s="69">
        <v>7424068490</v>
      </c>
      <c r="E1895" s="9">
        <v>810</v>
      </c>
      <c r="F1895" s="25">
        <v>42915</v>
      </c>
      <c r="G1895" s="70" t="s">
        <v>442</v>
      </c>
      <c r="H1895" s="9"/>
      <c r="I1895" s="8"/>
      <c r="J1895" s="8"/>
      <c r="K1895" s="8"/>
      <c r="L1895" s="9" t="s">
        <v>561</v>
      </c>
      <c r="M1895" s="8"/>
    </row>
    <row r="1896" spans="1:13" x14ac:dyDescent="0.25">
      <c r="A1896" s="71" t="s">
        <v>3141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3142</v>
      </c>
      <c r="B1897" s="67">
        <v>65195140553</v>
      </c>
      <c r="C1897" s="29" t="s">
        <v>552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3143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3143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442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3144</v>
      </c>
      <c r="B1900" s="67">
        <v>17146759806</v>
      </c>
      <c r="C1900" s="72" t="s">
        <v>3145</v>
      </c>
      <c r="D1900" s="69">
        <v>39095494896</v>
      </c>
      <c r="E1900" s="9">
        <v>1262</v>
      </c>
      <c r="F1900" s="25">
        <v>42997</v>
      </c>
      <c r="G1900" s="70" t="s">
        <v>448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3146</v>
      </c>
      <c r="B1901" s="67">
        <v>3893020403</v>
      </c>
      <c r="C1901" s="68" t="s">
        <v>3147</v>
      </c>
      <c r="D1901" s="69">
        <v>31615704809</v>
      </c>
      <c r="E1901" s="9">
        <v>1128</v>
      </c>
      <c r="F1901" s="25">
        <v>42972</v>
      </c>
      <c r="G1901" s="70" t="s">
        <v>442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3148</v>
      </c>
      <c r="B1902" s="67">
        <v>70116695404</v>
      </c>
      <c r="C1902" s="72" t="s">
        <v>3149</v>
      </c>
      <c r="D1902" s="69">
        <v>66319943491</v>
      </c>
      <c r="E1902" s="9">
        <v>1106</v>
      </c>
      <c r="F1902" s="25">
        <v>42965</v>
      </c>
      <c r="G1902" s="70" t="s">
        <v>442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3150</v>
      </c>
      <c r="B1903" s="67"/>
      <c r="C1903" s="29" t="s">
        <v>3151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3152</v>
      </c>
      <c r="B1904" s="67"/>
      <c r="C1904" s="29" t="s">
        <v>552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3153</v>
      </c>
      <c r="B1905" s="67"/>
      <c r="C1905" s="29" t="s">
        <v>3154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3155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442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3156</v>
      </c>
      <c r="B1907" s="67">
        <v>6936214436</v>
      </c>
      <c r="C1907" s="72" t="s">
        <v>3157</v>
      </c>
      <c r="D1907" s="69">
        <v>8583452423</v>
      </c>
      <c r="E1907" s="9">
        <v>85</v>
      </c>
      <c r="F1907" s="25">
        <v>43109</v>
      </c>
      <c r="G1907" s="70" t="s">
        <v>442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3158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442</v>
      </c>
      <c r="H1908" s="9"/>
      <c r="I1908" s="8"/>
      <c r="J1908" s="8"/>
      <c r="K1908" s="8"/>
      <c r="L1908" s="9" t="s">
        <v>561</v>
      </c>
      <c r="M1908" s="8"/>
    </row>
    <row r="1909" spans="1:13" x14ac:dyDescent="0.25">
      <c r="A1909" s="15" t="s">
        <v>3159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442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3160</v>
      </c>
      <c r="B1910" s="67">
        <v>35264817847</v>
      </c>
      <c r="C1910" s="29" t="s">
        <v>552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3161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3162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442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3163</v>
      </c>
      <c r="B1913" s="67">
        <v>90046226591</v>
      </c>
      <c r="C1913" s="72" t="s">
        <v>3164</v>
      </c>
      <c r="D1913" s="69">
        <v>74829505591</v>
      </c>
      <c r="E1913" s="9">
        <v>262</v>
      </c>
      <c r="F1913" s="25">
        <v>43160</v>
      </c>
      <c r="G1913" s="9" t="s">
        <v>442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3165</v>
      </c>
      <c r="B1914" s="67">
        <v>29871369867</v>
      </c>
      <c r="C1914" s="72" t="s">
        <v>3166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3167</v>
      </c>
      <c r="B1915" s="67">
        <v>26681571883</v>
      </c>
      <c r="C1915" s="71" t="s">
        <v>3168</v>
      </c>
      <c r="D1915" s="69">
        <v>18465693897</v>
      </c>
      <c r="E1915" s="9">
        <v>292</v>
      </c>
      <c r="F1915" s="25">
        <v>43168</v>
      </c>
      <c r="G1915" s="70" t="s">
        <v>442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3169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3170</v>
      </c>
      <c r="B1917" s="67">
        <v>26526680801</v>
      </c>
      <c r="C1917" s="68" t="s">
        <v>3171</v>
      </c>
      <c r="D1917" s="69">
        <v>7117205631</v>
      </c>
      <c r="E1917" s="9">
        <v>1128</v>
      </c>
      <c r="F1917" s="25">
        <v>42972</v>
      </c>
      <c r="G1917" s="70" t="s">
        <v>442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3172</v>
      </c>
      <c r="B1918" s="67">
        <v>67285902420</v>
      </c>
      <c r="C1918" s="72" t="s">
        <v>1940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722</v>
      </c>
      <c r="M1918" s="8"/>
    </row>
    <row r="1919" spans="1:13" x14ac:dyDescent="0.25">
      <c r="A1919" s="29" t="s">
        <v>3173</v>
      </c>
      <c r="B1919" s="67"/>
      <c r="C1919" s="18" t="s">
        <v>552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3174</v>
      </c>
      <c r="B1920" s="67">
        <v>1097111490</v>
      </c>
      <c r="C1920" s="77" t="s">
        <v>3175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722</v>
      </c>
      <c r="M1920" s="8"/>
    </row>
    <row r="1921" spans="1:13" x14ac:dyDescent="0.25">
      <c r="A1921" s="71" t="s">
        <v>3176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442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3177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442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3178</v>
      </c>
      <c r="B1923" s="67">
        <v>16756911856</v>
      </c>
      <c r="C1923" s="72" t="s">
        <v>3179</v>
      </c>
      <c r="D1923" s="69">
        <v>10411415808</v>
      </c>
      <c r="E1923" s="9">
        <v>1752</v>
      </c>
      <c r="F1923" s="25">
        <v>43051</v>
      </c>
      <c r="G1923" s="70" t="s">
        <v>442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3180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3181</v>
      </c>
      <c r="B1925" s="67"/>
      <c r="C1925" s="72" t="s">
        <v>3182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3183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448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3184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3185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442</v>
      </c>
      <c r="H1928" s="9"/>
      <c r="I1928" s="8"/>
      <c r="J1928" s="8"/>
      <c r="K1928" s="8"/>
      <c r="L1928" s="9" t="s">
        <v>925</v>
      </c>
      <c r="M1928" s="8"/>
    </row>
    <row r="1929" spans="1:13" x14ac:dyDescent="0.25">
      <c r="A1929" s="29" t="s">
        <v>3186</v>
      </c>
      <c r="B1929" s="67"/>
      <c r="C1929" s="29" t="s">
        <v>552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3187</v>
      </c>
      <c r="B1930" s="67"/>
      <c r="C1930" s="29" t="s">
        <v>3188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3189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442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3190</v>
      </c>
      <c r="B1932" s="67">
        <v>30900118830</v>
      </c>
      <c r="C1932" s="72" t="s">
        <v>3191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3192</v>
      </c>
      <c r="B1933" s="67">
        <v>64217299400</v>
      </c>
      <c r="C1933" s="18" t="s">
        <v>3193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3194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3195</v>
      </c>
      <c r="B1935" s="67">
        <v>95875409487</v>
      </c>
      <c r="C1935" s="72" t="s">
        <v>3196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3197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3198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442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3199</v>
      </c>
      <c r="B1938" s="67">
        <v>26655730325</v>
      </c>
      <c r="C1938" s="72" t="s">
        <v>3200</v>
      </c>
      <c r="D1938" s="69">
        <v>59222891520</v>
      </c>
      <c r="E1938" s="9">
        <v>262</v>
      </c>
      <c r="F1938" s="25">
        <v>43160</v>
      </c>
      <c r="G1938" s="70" t="s">
        <v>442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3201</v>
      </c>
      <c r="B1939" s="67">
        <v>15696788807</v>
      </c>
      <c r="C1939" s="72" t="s">
        <v>3202</v>
      </c>
      <c r="D1939" s="69">
        <v>4231184801</v>
      </c>
      <c r="E1939" s="9">
        <v>1555</v>
      </c>
      <c r="F1939" s="25">
        <v>43049</v>
      </c>
      <c r="G1939" s="70" t="s">
        <v>442</v>
      </c>
      <c r="H1939" s="9"/>
      <c r="I1939" s="8"/>
      <c r="J1939" s="8"/>
      <c r="K1939" s="8"/>
      <c r="L1939" s="9" t="s">
        <v>821</v>
      </c>
      <c r="M1939" s="8"/>
    </row>
    <row r="1940" spans="1:13" x14ac:dyDescent="0.25">
      <c r="A1940" s="71" t="s">
        <v>3203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448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3204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442</v>
      </c>
      <c r="H1941" s="9"/>
      <c r="I1941" s="8"/>
      <c r="J1941" s="8"/>
      <c r="K1941" s="8"/>
      <c r="L1941" s="9" t="s">
        <v>593</v>
      </c>
      <c r="M1941" s="8"/>
    </row>
    <row r="1942" spans="1:13" x14ac:dyDescent="0.25">
      <c r="A1942" s="71" t="s">
        <v>3205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442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3206</v>
      </c>
      <c r="B1943" s="67">
        <v>1280254688</v>
      </c>
      <c r="C1943" s="72" t="s">
        <v>3207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3208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442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3209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3210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3211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442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3212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3212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442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3212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442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3213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3214</v>
      </c>
      <c r="B1952" s="67">
        <v>33635659843</v>
      </c>
      <c r="C1952" s="29" t="s">
        <v>3215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3216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442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3216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722</v>
      </c>
      <c r="M1954" s="8"/>
    </row>
    <row r="1955" spans="1:13" x14ac:dyDescent="0.25">
      <c r="A1955" s="71" t="s">
        <v>3217</v>
      </c>
      <c r="B1955" s="67">
        <v>36841231880</v>
      </c>
      <c r="C1955" s="77" t="s">
        <v>3218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3219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442</v>
      </c>
      <c r="H1956" s="9"/>
      <c r="I1956" s="8"/>
      <c r="J1956" s="8"/>
      <c r="K1956" s="8"/>
      <c r="L1956" s="9" t="s">
        <v>583</v>
      </c>
      <c r="M1956" s="8"/>
    </row>
    <row r="1957" spans="1:13" x14ac:dyDescent="0.25">
      <c r="A1957" s="29" t="s">
        <v>3220</v>
      </c>
      <c r="B1957" s="67"/>
      <c r="C1957" s="29" t="s">
        <v>552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3221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442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3222</v>
      </c>
      <c r="B1959" s="67"/>
      <c r="C1959" s="29" t="s">
        <v>3223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3224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3225</v>
      </c>
      <c r="B1961" s="67">
        <v>64404714734</v>
      </c>
      <c r="C1961" s="29" t="s">
        <v>3226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3227</v>
      </c>
      <c r="B1962" s="67">
        <v>29783527878</v>
      </c>
      <c r="C1962" s="29" t="s">
        <v>3228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3229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442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3230</v>
      </c>
      <c r="B1964" s="67">
        <v>70155356372</v>
      </c>
      <c r="C1964" s="18" t="s">
        <v>3231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3232</v>
      </c>
      <c r="B1965" s="67">
        <v>4350125337</v>
      </c>
      <c r="C1965" s="72" t="s">
        <v>3233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3234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456</v>
      </c>
      <c r="H1966" s="9"/>
      <c r="I1966" s="8"/>
      <c r="J1966" s="8"/>
      <c r="K1966" s="8"/>
      <c r="L1966" s="9" t="s">
        <v>676</v>
      </c>
      <c r="M1966" s="8"/>
    </row>
    <row r="1967" spans="1:13" x14ac:dyDescent="0.25">
      <c r="A1967" s="72" t="s">
        <v>3235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442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3236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3237</v>
      </c>
      <c r="B1969" s="67"/>
      <c r="C1969" s="29" t="s">
        <v>552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3238</v>
      </c>
      <c r="B1970" s="67">
        <v>49628474812</v>
      </c>
      <c r="C1970" s="72" t="s">
        <v>3239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3240</v>
      </c>
      <c r="B1971" s="67">
        <v>37473032852</v>
      </c>
      <c r="C1971" s="72" t="s">
        <v>3241</v>
      </c>
      <c r="D1971" s="69">
        <v>21894541820</v>
      </c>
      <c r="E1971" s="9">
        <v>1824</v>
      </c>
      <c r="F1971" s="25">
        <v>43091</v>
      </c>
      <c r="G1971" s="70" t="s">
        <v>456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3242</v>
      </c>
      <c r="B1972" s="67">
        <v>36383878875</v>
      </c>
      <c r="C1972" s="72" t="s">
        <v>3243</v>
      </c>
      <c r="D1972" s="69">
        <v>39907872849</v>
      </c>
      <c r="E1972" s="9">
        <v>117</v>
      </c>
      <c r="F1972" s="25">
        <v>43117</v>
      </c>
      <c r="G1972" s="70" t="s">
        <v>448</v>
      </c>
      <c r="H1972" s="9"/>
      <c r="I1972" s="8"/>
      <c r="J1972" s="8"/>
      <c r="K1972" s="8"/>
      <c r="L1972" s="9" t="s">
        <v>593</v>
      </c>
      <c r="M1972" s="8"/>
    </row>
    <row r="1973" spans="1:13" x14ac:dyDescent="0.25">
      <c r="A1973" s="71" t="s">
        <v>3244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442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3245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442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3245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442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3245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442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3246</v>
      </c>
      <c r="B1977" s="80">
        <v>87102331487</v>
      </c>
      <c r="C1977" s="81" t="s">
        <v>3247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561</v>
      </c>
      <c r="M1977" s="49"/>
    </row>
    <row r="1978" spans="1:13" x14ac:dyDescent="0.25">
      <c r="A1978" s="15" t="s">
        <v>3248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442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3249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442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3250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442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3251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442</v>
      </c>
      <c r="H1981" s="9"/>
      <c r="I1981" s="8"/>
      <c r="J1981" s="8"/>
      <c r="K1981" s="8"/>
      <c r="L1981" s="9" t="s">
        <v>593</v>
      </c>
      <c r="M1981" s="8"/>
    </row>
    <row r="1982" spans="1:13" x14ac:dyDescent="0.25">
      <c r="A1982" s="71" t="s">
        <v>3252</v>
      </c>
      <c r="B1982" s="67">
        <v>18360384886</v>
      </c>
      <c r="C1982" s="72" t="s">
        <v>3253</v>
      </c>
      <c r="D1982" s="69">
        <v>28828648848</v>
      </c>
      <c r="E1982" s="9">
        <v>1214</v>
      </c>
      <c r="F1982" s="25">
        <v>42989</v>
      </c>
      <c r="G1982" s="70" t="s">
        <v>442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3254</v>
      </c>
      <c r="B1983" s="67">
        <v>8224204812</v>
      </c>
      <c r="C1983" s="72" t="s">
        <v>3255</v>
      </c>
      <c r="D1983" s="69">
        <v>5373139823</v>
      </c>
      <c r="E1983" s="9">
        <v>1752</v>
      </c>
      <c r="F1983" s="25">
        <v>43051</v>
      </c>
      <c r="G1983" s="70" t="s">
        <v>442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3256</v>
      </c>
      <c r="B1984" s="67">
        <v>61232386200</v>
      </c>
      <c r="C1984" s="72" t="s">
        <v>3257</v>
      </c>
      <c r="D1984" s="69">
        <v>30971900310</v>
      </c>
      <c r="E1984" s="9">
        <v>1267</v>
      </c>
      <c r="F1984" s="25">
        <v>42998</v>
      </c>
      <c r="G1984" s="70" t="s">
        <v>442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3258</v>
      </c>
      <c r="B1985" s="67">
        <v>68688210420</v>
      </c>
      <c r="C1985" s="32" t="s">
        <v>3259</v>
      </c>
      <c r="D1985" s="69">
        <v>3241531805</v>
      </c>
      <c r="E1985" s="9">
        <v>1570</v>
      </c>
      <c r="F1985" s="25">
        <v>43077</v>
      </c>
      <c r="G1985" s="70" t="s">
        <v>442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3260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442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3261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442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3262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3263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442</v>
      </c>
      <c r="H1989" s="9"/>
      <c r="I1989" s="8"/>
      <c r="J1989" s="8"/>
      <c r="K1989" s="8"/>
      <c r="L1989" s="9" t="s">
        <v>561</v>
      </c>
      <c r="M1989" s="8"/>
    </row>
    <row r="1990" spans="1:13" x14ac:dyDescent="0.25">
      <c r="A1990" s="71" t="s">
        <v>3264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442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3265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3266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3267</v>
      </c>
      <c r="B1993" s="67">
        <v>22566146896</v>
      </c>
      <c r="C1993" s="72" t="s">
        <v>3268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3269</v>
      </c>
      <c r="B1994" s="67">
        <v>27957199836</v>
      </c>
      <c r="C1994" s="72" t="s">
        <v>3270</v>
      </c>
      <c r="D1994" s="69">
        <v>14369564808</v>
      </c>
      <c r="E1994" s="9">
        <v>292</v>
      </c>
      <c r="F1994" s="25">
        <v>43168</v>
      </c>
      <c r="G1994" s="70" t="s">
        <v>442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3271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442</v>
      </c>
      <c r="H1995" s="9"/>
      <c r="I1995" s="8"/>
      <c r="J1995" s="8"/>
      <c r="K1995" s="8"/>
      <c r="L1995" s="9" t="s">
        <v>821</v>
      </c>
      <c r="M1995" s="8"/>
    </row>
    <row r="1996" spans="1:13" x14ac:dyDescent="0.25">
      <c r="A1996" s="18" t="s">
        <v>3272</v>
      </c>
      <c r="B1996" s="67"/>
      <c r="C1996" s="18" t="s">
        <v>3273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3274</v>
      </c>
      <c r="B1997" s="67">
        <v>12723195805</v>
      </c>
      <c r="C1997" s="72" t="s">
        <v>3275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3276</v>
      </c>
      <c r="B1998" s="67">
        <v>15731373833</v>
      </c>
      <c r="C1998" s="75" t="s">
        <v>3277</v>
      </c>
      <c r="D1998" s="69">
        <v>12858074801</v>
      </c>
      <c r="E1998" s="9">
        <v>1106</v>
      </c>
      <c r="F1998" s="25">
        <v>42965</v>
      </c>
      <c r="G1998" s="70" t="s">
        <v>448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3278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442</v>
      </c>
      <c r="H1999" s="9"/>
      <c r="I1999" s="8"/>
      <c r="J1999" s="8"/>
      <c r="K1999" s="8"/>
      <c r="L1999" s="9" t="s">
        <v>561</v>
      </c>
      <c r="M1999" s="8"/>
    </row>
    <row r="2000" spans="1:13" x14ac:dyDescent="0.25">
      <c r="A2000" s="71" t="s">
        <v>3279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3280</v>
      </c>
      <c r="B2001" s="67">
        <v>38402878806</v>
      </c>
      <c r="C2001" s="72" t="s">
        <v>3281</v>
      </c>
      <c r="D2001" s="69">
        <v>23700547862</v>
      </c>
      <c r="E2001" s="9">
        <v>262</v>
      </c>
      <c r="F2001" s="25">
        <v>43160</v>
      </c>
      <c r="G2001" s="9" t="s">
        <v>442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3282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3283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3284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3285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3286</v>
      </c>
      <c r="B2006" s="67">
        <v>27023833862</v>
      </c>
      <c r="C2006" s="29" t="s">
        <v>3287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3288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3289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442</v>
      </c>
      <c r="H2008" s="9"/>
      <c r="I2008" s="8"/>
      <c r="J2008" s="8"/>
      <c r="K2008" s="8"/>
      <c r="L2008" s="9" t="s">
        <v>593</v>
      </c>
      <c r="M2008" s="8"/>
    </row>
    <row r="2009" spans="1:13" x14ac:dyDescent="0.25">
      <c r="A2009" s="71" t="s">
        <v>3290</v>
      </c>
      <c r="B2009" s="67">
        <v>38815800344</v>
      </c>
      <c r="C2009" s="72" t="s">
        <v>3291</v>
      </c>
      <c r="D2009" s="69">
        <v>39085252334</v>
      </c>
      <c r="E2009" s="9">
        <v>85</v>
      </c>
      <c r="F2009" s="25">
        <v>43109</v>
      </c>
      <c r="G2009" s="70" t="s">
        <v>442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3292</v>
      </c>
      <c r="B2010" s="67">
        <v>36154299826</v>
      </c>
      <c r="C2010" s="72" t="s">
        <v>3293</v>
      </c>
      <c r="D2010" s="69">
        <v>34489273843</v>
      </c>
      <c r="E2010" s="9">
        <v>1267</v>
      </c>
      <c r="F2010" s="25">
        <v>42998</v>
      </c>
      <c r="G2010" s="70" t="s">
        <v>448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3294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442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3295</v>
      </c>
      <c r="B2012" s="67"/>
      <c r="C2012" s="18" t="s">
        <v>552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3296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3297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442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3298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442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3299</v>
      </c>
      <c r="B2016" s="67">
        <v>64174182434</v>
      </c>
      <c r="C2016" s="72" t="s">
        <v>3300</v>
      </c>
      <c r="D2016" s="69">
        <v>98105183587</v>
      </c>
      <c r="E2016" s="9">
        <v>262</v>
      </c>
      <c r="F2016" s="25">
        <v>43160</v>
      </c>
      <c r="G2016" s="70" t="s">
        <v>442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3301</v>
      </c>
      <c r="B2017" s="67">
        <v>4148505485</v>
      </c>
      <c r="C2017" s="29" t="s">
        <v>3302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3303</v>
      </c>
      <c r="B2018" s="67">
        <v>39364828372</v>
      </c>
      <c r="C2018" s="72" t="s">
        <v>3304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3305</v>
      </c>
      <c r="B2019" s="67">
        <v>82046042468</v>
      </c>
      <c r="C2019" s="72" t="s">
        <v>3306</v>
      </c>
      <c r="D2019" s="69">
        <v>88251098491</v>
      </c>
      <c r="E2019" s="9">
        <v>85</v>
      </c>
      <c r="F2019" s="25">
        <v>43109</v>
      </c>
      <c r="G2019" s="70" t="s">
        <v>442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3307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442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3308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442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3309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442</v>
      </c>
      <c r="H2022" s="9"/>
      <c r="I2022" s="8"/>
      <c r="J2022" s="8"/>
      <c r="K2022" s="8"/>
      <c r="L2022" s="9" t="s">
        <v>676</v>
      </c>
      <c r="M2022" s="8"/>
    </row>
    <row r="2023" spans="1:13" x14ac:dyDescent="0.25">
      <c r="A2023" s="72" t="s">
        <v>3310</v>
      </c>
      <c r="B2023" s="67">
        <v>37806851836</v>
      </c>
      <c r="C2023" s="72" t="s">
        <v>3311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3312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3313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3314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3315</v>
      </c>
      <c r="B2027" s="67">
        <v>27506021811</v>
      </c>
      <c r="C2027" s="72" t="s">
        <v>3316</v>
      </c>
      <c r="D2027" s="69">
        <v>13130281851</v>
      </c>
      <c r="E2027" s="9">
        <v>810</v>
      </c>
      <c r="F2027" s="25">
        <v>42915</v>
      </c>
      <c r="G2027" s="70" t="s">
        <v>442</v>
      </c>
      <c r="H2027" s="9"/>
      <c r="I2027" s="8"/>
      <c r="J2027" s="8"/>
      <c r="K2027" s="8"/>
      <c r="L2027" s="9" t="s">
        <v>561</v>
      </c>
      <c r="M2027" s="8"/>
    </row>
    <row r="2028" spans="1:13" x14ac:dyDescent="0.25">
      <c r="A2028" s="15" t="s">
        <v>3317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442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3318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442</v>
      </c>
      <c r="H2029" s="9"/>
      <c r="I2029" s="8"/>
      <c r="J2029" s="8"/>
      <c r="K2029" s="8"/>
      <c r="L2029" s="9" t="s">
        <v>676</v>
      </c>
      <c r="M2029" s="8"/>
    </row>
    <row r="2030" spans="1:13" x14ac:dyDescent="0.25">
      <c r="A2030" s="15" t="s">
        <v>3319</v>
      </c>
      <c r="B2030" s="67">
        <v>660919346</v>
      </c>
      <c r="C2030" s="72" t="s">
        <v>3320</v>
      </c>
      <c r="D2030" s="69">
        <v>296516384</v>
      </c>
      <c r="E2030" s="9">
        <v>262</v>
      </c>
      <c r="F2030" s="25">
        <v>43160</v>
      </c>
      <c r="G2030" s="70" t="s">
        <v>448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3321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442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3322</v>
      </c>
      <c r="B2032" s="67">
        <v>55075746500</v>
      </c>
      <c r="C2032" s="72" t="s">
        <v>3323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3324</v>
      </c>
      <c r="B2033" s="67">
        <v>34549590807</v>
      </c>
      <c r="C2033" s="72" t="s">
        <v>3325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3326</v>
      </c>
      <c r="B2034" s="67"/>
      <c r="C2034" s="18" t="s">
        <v>552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3327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3328</v>
      </c>
      <c r="B2036" s="67">
        <v>41292199873</v>
      </c>
      <c r="C2036" s="72" t="s">
        <v>3329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3330</v>
      </c>
      <c r="B2037" s="67"/>
      <c r="C2037" s="29" t="s">
        <v>552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3331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3332</v>
      </c>
      <c r="B2039" s="67">
        <v>42318039860</v>
      </c>
      <c r="C2039" s="72" t="s">
        <v>3333</v>
      </c>
      <c r="D2039" s="69">
        <v>23059375801</v>
      </c>
      <c r="E2039" s="9">
        <v>85</v>
      </c>
      <c r="F2039" s="25">
        <v>43109</v>
      </c>
      <c r="G2039" s="70" t="s">
        <v>442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3334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442</v>
      </c>
      <c r="H2040" s="9"/>
      <c r="I2040" s="8"/>
      <c r="J2040" s="8"/>
      <c r="K2040" s="8"/>
      <c r="L2040" s="9" t="s">
        <v>561</v>
      </c>
      <c r="M2040" s="8"/>
    </row>
    <row r="2041" spans="1:13" x14ac:dyDescent="0.25">
      <c r="A2041" s="71" t="s">
        <v>3335</v>
      </c>
      <c r="B2041" s="67">
        <v>2693234573</v>
      </c>
      <c r="C2041" s="71" t="s">
        <v>3336</v>
      </c>
      <c r="D2041" s="69">
        <v>36131987890</v>
      </c>
      <c r="E2041" s="9">
        <v>292</v>
      </c>
      <c r="F2041" s="25">
        <v>43168</v>
      </c>
      <c r="G2041" s="9" t="s">
        <v>442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3337</v>
      </c>
      <c r="B2042" s="67">
        <v>19677621807</v>
      </c>
      <c r="C2042" s="72" t="s">
        <v>3338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3339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442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3340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3341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442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3342</v>
      </c>
      <c r="B2046" s="67">
        <v>22583603825</v>
      </c>
      <c r="C2046" s="72" t="s">
        <v>3343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3344</v>
      </c>
      <c r="B2047" s="67">
        <v>14858077861</v>
      </c>
      <c r="C2047" s="15" t="s">
        <v>3345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3346</v>
      </c>
      <c r="B2048" s="67">
        <v>32291860879</v>
      </c>
      <c r="C2048" s="29" t="s">
        <v>3347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3348</v>
      </c>
      <c r="B2049" s="67">
        <v>76396126320</v>
      </c>
      <c r="C2049" s="72" t="s">
        <v>3349</v>
      </c>
      <c r="D2049" s="69">
        <v>62133390510</v>
      </c>
      <c r="E2049" s="9">
        <v>1262</v>
      </c>
      <c r="F2049" s="25">
        <v>42997</v>
      </c>
      <c r="G2049" s="70" t="s">
        <v>442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3350</v>
      </c>
      <c r="B2050" s="67">
        <v>34303186880</v>
      </c>
      <c r="C2050" s="72" t="s">
        <v>3351</v>
      </c>
      <c r="D2050" s="69">
        <v>39695431852</v>
      </c>
      <c r="E2050" s="9">
        <v>1570</v>
      </c>
      <c r="F2050" s="25">
        <v>43077</v>
      </c>
      <c r="G2050" s="70" t="s">
        <v>442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3352</v>
      </c>
      <c r="B2051" s="67">
        <v>14331980880</v>
      </c>
      <c r="C2051" s="8" t="s">
        <v>3353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3352</v>
      </c>
      <c r="B2052" s="67">
        <v>14331980880</v>
      </c>
      <c r="C2052" s="77" t="s">
        <v>3353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3354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3355</v>
      </c>
      <c r="B2054" s="67"/>
      <c r="C2054" s="29" t="s">
        <v>3356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3357</v>
      </c>
      <c r="B2055" s="67">
        <v>31662836848</v>
      </c>
      <c r="C2055" s="72" t="s">
        <v>3358</v>
      </c>
      <c r="D2055" s="69">
        <v>12871784809</v>
      </c>
      <c r="E2055" s="9">
        <v>1570</v>
      </c>
      <c r="F2055" s="25">
        <v>43077</v>
      </c>
      <c r="G2055" s="70" t="s">
        <v>442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3359</v>
      </c>
      <c r="B2056" s="67">
        <v>39000389372</v>
      </c>
      <c r="C2056" s="72" t="s">
        <v>3360</v>
      </c>
      <c r="D2056" s="69">
        <v>14683732858</v>
      </c>
      <c r="E2056" s="9">
        <v>1417</v>
      </c>
      <c r="F2056" s="25">
        <v>43017</v>
      </c>
      <c r="G2056" s="70" t="s">
        <v>442</v>
      </c>
      <c r="H2056" s="9"/>
      <c r="I2056" s="8"/>
      <c r="J2056" s="8"/>
      <c r="K2056" s="8"/>
      <c r="L2056" s="9" t="s">
        <v>676</v>
      </c>
      <c r="M2056" s="8"/>
    </row>
    <row r="2057" spans="1:13" x14ac:dyDescent="0.25">
      <c r="A2057" s="18" t="s">
        <v>3361</v>
      </c>
      <c r="B2057" s="67">
        <v>10349044856</v>
      </c>
      <c r="C2057" s="18" t="s">
        <v>2632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3362</v>
      </c>
      <c r="B2058" s="67">
        <v>25058845873</v>
      </c>
      <c r="C2058" s="71" t="s">
        <v>3363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3364</v>
      </c>
      <c r="B2059" s="67"/>
      <c r="C2059" s="29" t="s">
        <v>3365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3366</v>
      </c>
      <c r="B2060" s="67">
        <v>5088717431</v>
      </c>
      <c r="C2060" s="72" t="s">
        <v>3367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722</v>
      </c>
      <c r="M2060" s="8"/>
    </row>
    <row r="2061" spans="1:13" x14ac:dyDescent="0.25">
      <c r="A2061" s="13" t="s">
        <v>3368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442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3369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3370</v>
      </c>
      <c r="B2063" s="67">
        <v>33517044881</v>
      </c>
      <c r="C2063" s="72" t="s">
        <v>3371</v>
      </c>
      <c r="D2063" s="69">
        <v>28076571847</v>
      </c>
      <c r="E2063" s="9">
        <v>85</v>
      </c>
      <c r="F2063" s="25">
        <v>43109</v>
      </c>
      <c r="G2063" s="93" t="s">
        <v>448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3372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442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3373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3374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442</v>
      </c>
      <c r="H2066" s="9"/>
      <c r="I2066" s="8"/>
      <c r="J2066" s="8"/>
      <c r="K2066" s="8"/>
      <c r="L2066" s="9" t="s">
        <v>821</v>
      </c>
      <c r="M2066" s="8"/>
    </row>
    <row r="2067" spans="1:13" x14ac:dyDescent="0.25">
      <c r="A2067" s="71" t="s">
        <v>3375</v>
      </c>
      <c r="B2067" s="67">
        <v>16488724843</v>
      </c>
      <c r="C2067" s="73" t="s">
        <v>3376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3377</v>
      </c>
      <c r="B2068" s="67">
        <v>22230898876</v>
      </c>
      <c r="C2068" s="18" t="s">
        <v>552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3378</v>
      </c>
      <c r="B2069" s="67">
        <v>1218219866</v>
      </c>
      <c r="C2069" s="18" t="s">
        <v>552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3379</v>
      </c>
      <c r="B2070" s="67">
        <v>75696312772</v>
      </c>
      <c r="C2070" s="77" t="s">
        <v>3380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3381</v>
      </c>
      <c r="B2071" s="67">
        <v>12772099873</v>
      </c>
      <c r="C2071" s="29" t="s">
        <v>3382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3383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722</v>
      </c>
      <c r="M2072" s="8"/>
    </row>
    <row r="2073" spans="1:13" x14ac:dyDescent="0.25">
      <c r="A2073" s="18" t="s">
        <v>840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840</v>
      </c>
      <c r="B2074" s="67">
        <v>40312801491</v>
      </c>
      <c r="C2074" s="72" t="s">
        <v>3384</v>
      </c>
      <c r="D2074" s="69">
        <v>36270235823</v>
      </c>
      <c r="E2074" s="9">
        <v>810</v>
      </c>
      <c r="F2074" s="25">
        <v>42915</v>
      </c>
      <c r="G2074" s="70" t="s">
        <v>442</v>
      </c>
      <c r="H2074" s="9"/>
      <c r="I2074" s="8"/>
      <c r="J2074" s="8"/>
      <c r="K2074" s="8"/>
      <c r="L2074" s="9" t="s">
        <v>561</v>
      </c>
      <c r="M2074" s="8"/>
    </row>
    <row r="2075" spans="1:13" x14ac:dyDescent="0.25">
      <c r="A2075" s="71" t="s">
        <v>840</v>
      </c>
      <c r="B2075" s="67">
        <v>13016641895</v>
      </c>
      <c r="C2075" s="72" t="s">
        <v>3385</v>
      </c>
      <c r="D2075" s="69">
        <v>2681565731</v>
      </c>
      <c r="E2075" s="9">
        <v>810</v>
      </c>
      <c r="F2075" s="25">
        <v>42915</v>
      </c>
      <c r="G2075" s="70" t="s">
        <v>442</v>
      </c>
      <c r="H2075" s="9"/>
      <c r="I2075" s="8"/>
      <c r="J2075" s="8"/>
      <c r="K2075" s="8"/>
      <c r="L2075" s="9" t="s">
        <v>561</v>
      </c>
      <c r="M2075" s="8"/>
    </row>
    <row r="2076" spans="1:13" x14ac:dyDescent="0.25">
      <c r="A2076" s="71" t="s">
        <v>3386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3387</v>
      </c>
      <c r="B2077" s="67">
        <v>18472653838</v>
      </c>
      <c r="C2077" s="72" t="s">
        <v>3388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3389</v>
      </c>
      <c r="B2078" s="67"/>
      <c r="C2078" s="18" t="s">
        <v>552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3390</v>
      </c>
      <c r="B2079" s="67">
        <v>21531362885</v>
      </c>
      <c r="C2079" s="72" t="s">
        <v>3391</v>
      </c>
      <c r="D2079" s="69">
        <v>27454333850</v>
      </c>
      <c r="E2079" s="9">
        <v>117</v>
      </c>
      <c r="F2079" s="25">
        <v>43117</v>
      </c>
      <c r="G2079" s="70" t="s">
        <v>442</v>
      </c>
      <c r="H2079" s="9"/>
      <c r="I2079" s="8"/>
      <c r="J2079" s="8"/>
      <c r="K2079" s="8"/>
      <c r="L2079" s="9" t="s">
        <v>593</v>
      </c>
      <c r="M2079" s="8"/>
    </row>
    <row r="2080" spans="1:13" x14ac:dyDescent="0.25">
      <c r="A2080" s="13" t="s">
        <v>3390</v>
      </c>
      <c r="B2080" s="67">
        <v>35537854899</v>
      </c>
      <c r="C2080" s="72" t="s">
        <v>3392</v>
      </c>
      <c r="D2080" s="69">
        <v>35365081897</v>
      </c>
      <c r="E2080" s="9">
        <v>1128</v>
      </c>
      <c r="F2080" s="25">
        <v>42972</v>
      </c>
      <c r="G2080" s="70" t="s">
        <v>442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3393</v>
      </c>
      <c r="B2081" s="67"/>
      <c r="C2081" s="29" t="s">
        <v>3394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3395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442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3396</v>
      </c>
      <c r="B2083" s="67">
        <v>35483702840</v>
      </c>
      <c r="C2083" s="72" t="s">
        <v>3397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3398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442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3399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722</v>
      </c>
      <c r="M2085" s="8"/>
    </row>
    <row r="2086" spans="1:13" x14ac:dyDescent="0.25">
      <c r="A2086" s="72" t="s">
        <v>3400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3401</v>
      </c>
      <c r="B2087" s="67">
        <v>3322258440</v>
      </c>
      <c r="C2087" s="18" t="s">
        <v>3402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3403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3404</v>
      </c>
      <c r="B2089" s="67"/>
      <c r="C2089" s="18" t="s">
        <v>552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3405</v>
      </c>
      <c r="B2090" s="67">
        <v>25564758897</v>
      </c>
      <c r="C2090" s="72" t="s">
        <v>3406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3407</v>
      </c>
      <c r="B2091" s="67">
        <v>9722276875</v>
      </c>
      <c r="C2091" s="72" t="s">
        <v>3408</v>
      </c>
      <c r="D2091" s="69">
        <v>7777516825</v>
      </c>
      <c r="E2091" s="9">
        <v>810</v>
      </c>
      <c r="F2091" s="25">
        <v>42915</v>
      </c>
      <c r="G2091" s="70" t="s">
        <v>442</v>
      </c>
      <c r="H2091" s="9"/>
      <c r="I2091" s="8"/>
      <c r="J2091" s="8"/>
      <c r="K2091" s="8"/>
      <c r="L2091" s="9" t="s">
        <v>561</v>
      </c>
      <c r="M2091" s="8"/>
    </row>
    <row r="2092" spans="1:13" x14ac:dyDescent="0.25">
      <c r="A2092" s="71" t="s">
        <v>3409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3410</v>
      </c>
      <c r="B2093" s="67">
        <v>27192176893</v>
      </c>
      <c r="C2093" s="68" t="s">
        <v>3411</v>
      </c>
      <c r="D2093" s="69">
        <v>8367664825</v>
      </c>
      <c r="E2093" s="9">
        <v>608</v>
      </c>
      <c r="F2093" s="25">
        <v>43012</v>
      </c>
      <c r="G2093" s="70" t="s">
        <v>442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3412</v>
      </c>
      <c r="B2094" s="67">
        <v>16514255825</v>
      </c>
      <c r="C2094" s="18" t="s">
        <v>3413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3414</v>
      </c>
      <c r="B2095" s="67">
        <v>4809644324</v>
      </c>
      <c r="C2095" s="72" t="s">
        <v>3415</v>
      </c>
      <c r="D2095" s="69">
        <v>31827963808</v>
      </c>
      <c r="E2095" s="9">
        <v>1214</v>
      </c>
      <c r="F2095" s="25">
        <v>42989</v>
      </c>
      <c r="G2095" s="70" t="s">
        <v>442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3416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442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3417</v>
      </c>
      <c r="B2097" s="67">
        <v>11894918428</v>
      </c>
      <c r="C2097" s="72" t="s">
        <v>3418</v>
      </c>
      <c r="D2097" s="69">
        <v>37623185810</v>
      </c>
      <c r="E2097" s="9">
        <v>810</v>
      </c>
      <c r="F2097" s="25">
        <v>42915</v>
      </c>
      <c r="G2097" s="70" t="s">
        <v>442</v>
      </c>
      <c r="H2097" s="9"/>
      <c r="I2097" s="8"/>
      <c r="J2097" s="8"/>
      <c r="K2097" s="8"/>
      <c r="L2097" s="9" t="s">
        <v>561</v>
      </c>
      <c r="M2097" s="8"/>
    </row>
    <row r="2098" spans="1:13" x14ac:dyDescent="0.25">
      <c r="A2098" s="15" t="s">
        <v>3419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442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3420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3421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722</v>
      </c>
      <c r="M2100" s="8"/>
    </row>
    <row r="2101" spans="1:13" x14ac:dyDescent="0.25">
      <c r="A2101" s="15" t="s">
        <v>3422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3423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442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3424</v>
      </c>
      <c r="B2103" s="67"/>
      <c r="C2103" s="29" t="s">
        <v>552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3425</v>
      </c>
      <c r="B2104" s="67">
        <v>4241745377</v>
      </c>
      <c r="C2104" s="72" t="s">
        <v>3426</v>
      </c>
      <c r="D2104" s="69">
        <v>4417028303</v>
      </c>
      <c r="E2104" s="9">
        <v>85</v>
      </c>
      <c r="F2104" s="25">
        <v>43109</v>
      </c>
      <c r="G2104" s="70" t="s">
        <v>442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3427</v>
      </c>
      <c r="B2105" s="67"/>
      <c r="C2105" s="29" t="s">
        <v>3428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3429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442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3430</v>
      </c>
      <c r="B2107" s="67">
        <v>2182682708</v>
      </c>
      <c r="C2107" s="72" t="s">
        <v>3431</v>
      </c>
      <c r="D2107" s="69">
        <v>1409950727</v>
      </c>
      <c r="E2107" s="9">
        <v>810</v>
      </c>
      <c r="F2107" s="25">
        <v>42915</v>
      </c>
      <c r="G2107" s="70" t="s">
        <v>456</v>
      </c>
      <c r="H2107" s="9"/>
      <c r="I2107" s="8"/>
      <c r="J2107" s="8"/>
      <c r="K2107" s="8"/>
      <c r="L2107" s="9" t="s">
        <v>561</v>
      </c>
      <c r="M2107" s="8"/>
    </row>
    <row r="2108" spans="1:13" x14ac:dyDescent="0.25">
      <c r="A2108" s="71" t="s">
        <v>3432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3433</v>
      </c>
      <c r="B2109" s="67">
        <v>11694151808</v>
      </c>
      <c r="C2109" s="72" t="s">
        <v>3434</v>
      </c>
      <c r="D2109" s="69">
        <v>29721167800</v>
      </c>
      <c r="E2109" s="9">
        <v>485</v>
      </c>
      <c r="F2109" s="25">
        <v>43196</v>
      </c>
      <c r="G2109" s="70" t="s">
        <v>448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3435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442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3436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3437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442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3438</v>
      </c>
      <c r="B2113" s="67">
        <v>24613427843</v>
      </c>
      <c r="C2113" s="72" t="s">
        <v>3439</v>
      </c>
      <c r="D2113" s="69">
        <v>6003706821</v>
      </c>
      <c r="E2113" s="9">
        <v>810</v>
      </c>
      <c r="F2113" s="25">
        <v>42915</v>
      </c>
      <c r="G2113" s="70" t="s">
        <v>442</v>
      </c>
      <c r="H2113" s="76">
        <v>43213</v>
      </c>
      <c r="I2113" s="8"/>
      <c r="J2113" s="8"/>
      <c r="K2113" s="8"/>
      <c r="L2113" s="9" t="s">
        <v>561</v>
      </c>
      <c r="M2113" s="8"/>
    </row>
    <row r="2114" spans="1:13" x14ac:dyDescent="0.25">
      <c r="A2114" s="72" t="s">
        <v>3440</v>
      </c>
      <c r="B2114" s="67">
        <v>61234508400</v>
      </c>
      <c r="C2114" s="72" t="s">
        <v>3441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3442</v>
      </c>
      <c r="B2115" s="67"/>
      <c r="C2115" s="18" t="s">
        <v>552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3443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442</v>
      </c>
      <c r="H2116" s="76">
        <v>43213</v>
      </c>
      <c r="I2116" s="8"/>
      <c r="J2116" s="8"/>
      <c r="K2116" s="8"/>
      <c r="L2116" s="9" t="s">
        <v>561</v>
      </c>
      <c r="M2116" s="8"/>
    </row>
    <row r="2117" spans="1:13" x14ac:dyDescent="0.25">
      <c r="A2117" s="71" t="s">
        <v>3444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456</v>
      </c>
      <c r="H2117" s="76">
        <v>43213</v>
      </c>
      <c r="I2117" s="8"/>
      <c r="J2117" s="8"/>
      <c r="K2117" s="8"/>
      <c r="L2117" s="9" t="s">
        <v>821</v>
      </c>
      <c r="M2117" s="8"/>
    </row>
    <row r="2118" spans="1:13" x14ac:dyDescent="0.25">
      <c r="A2118" s="71" t="s">
        <v>3445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3446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3447</v>
      </c>
      <c r="B2120" s="67">
        <v>3493507364</v>
      </c>
      <c r="C2120" s="72" t="s">
        <v>3448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3449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442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3450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442</v>
      </c>
      <c r="H2122" s="9"/>
      <c r="I2122" s="8"/>
      <c r="J2122" s="8"/>
      <c r="K2122" s="8"/>
      <c r="L2122" s="9" t="s">
        <v>561</v>
      </c>
      <c r="M2122" s="8"/>
    </row>
    <row r="2123" spans="1:13" x14ac:dyDescent="0.25">
      <c r="A2123" s="71" t="s">
        <v>3451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3452</v>
      </c>
      <c r="B2124" s="67">
        <v>31365484858</v>
      </c>
      <c r="C2124" s="71" t="s">
        <v>3453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3454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442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3455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442</v>
      </c>
      <c r="H2126" s="9"/>
      <c r="I2126" s="8"/>
      <c r="J2126" s="8"/>
      <c r="K2126" s="8"/>
      <c r="L2126" s="9" t="s">
        <v>561</v>
      </c>
      <c r="M2126" s="8"/>
    </row>
    <row r="2127" spans="1:13" x14ac:dyDescent="0.25">
      <c r="A2127" s="14" t="s">
        <v>3456</v>
      </c>
      <c r="B2127" s="67">
        <v>69813043504</v>
      </c>
      <c r="C2127" s="72" t="s">
        <v>3457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3458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3459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442</v>
      </c>
      <c r="H2129" s="9"/>
      <c r="I2129" s="8"/>
      <c r="J2129" s="8"/>
      <c r="K2129" s="8"/>
      <c r="L2129" s="9" t="s">
        <v>593</v>
      </c>
      <c r="M2129" s="8"/>
    </row>
    <row r="2130" spans="1:13" x14ac:dyDescent="0.25">
      <c r="A2130" s="18" t="s">
        <v>3460</v>
      </c>
      <c r="B2130" s="67">
        <v>15800175845</v>
      </c>
      <c r="C2130" s="18" t="s">
        <v>3461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3462</v>
      </c>
      <c r="B2131" s="67">
        <v>13018290801</v>
      </c>
      <c r="C2131" s="72" t="s">
        <v>3463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3464</v>
      </c>
      <c r="B2132" s="67">
        <v>61505078318</v>
      </c>
      <c r="C2132" s="18" t="s">
        <v>3465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3466</v>
      </c>
      <c r="B2133" s="67">
        <v>6097323824</v>
      </c>
      <c r="C2133" s="72" t="s">
        <v>3467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3468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442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3469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442</v>
      </c>
      <c r="H2135" s="76">
        <v>43213</v>
      </c>
      <c r="I2135" s="8"/>
      <c r="J2135" s="8"/>
      <c r="K2135" s="8"/>
      <c r="L2135" s="9" t="s">
        <v>561</v>
      </c>
      <c r="M2135" s="8"/>
    </row>
    <row r="2136" spans="1:13" x14ac:dyDescent="0.25">
      <c r="A2136" s="71" t="s">
        <v>3470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442</v>
      </c>
      <c r="H2136" s="76">
        <v>43213</v>
      </c>
      <c r="I2136" s="8"/>
      <c r="J2136" s="8"/>
      <c r="K2136" s="8"/>
      <c r="L2136" s="9" t="s">
        <v>561</v>
      </c>
      <c r="M2136" s="8"/>
    </row>
    <row r="2137" spans="1:13" x14ac:dyDescent="0.25">
      <c r="A2137" s="71" t="s">
        <v>3471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442</v>
      </c>
      <c r="H2137" s="76">
        <v>43213</v>
      </c>
      <c r="I2137" s="8"/>
      <c r="J2137" s="8"/>
      <c r="K2137" s="8"/>
      <c r="L2137" s="9" t="s">
        <v>561</v>
      </c>
      <c r="M2137" s="8"/>
    </row>
    <row r="2138" spans="1:13" x14ac:dyDescent="0.25">
      <c r="A2138" s="71" t="s">
        <v>3472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3473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442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3474</v>
      </c>
      <c r="B2140" s="67">
        <v>33005130819</v>
      </c>
      <c r="C2140" s="72" t="s">
        <v>3475</v>
      </c>
      <c r="D2140" s="69">
        <v>29843431820</v>
      </c>
      <c r="E2140" s="9">
        <v>117</v>
      </c>
      <c r="F2140" s="25">
        <v>43117</v>
      </c>
      <c r="G2140" s="70" t="s">
        <v>442</v>
      </c>
      <c r="H2140" s="76">
        <v>43213</v>
      </c>
      <c r="I2140" s="8"/>
      <c r="J2140" s="8"/>
      <c r="K2140" s="8"/>
      <c r="L2140" s="9" t="s">
        <v>593</v>
      </c>
      <c r="M2140" s="8"/>
    </row>
    <row r="2141" spans="1:13" x14ac:dyDescent="0.25">
      <c r="A2141" s="71" t="s">
        <v>3476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442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3477</v>
      </c>
      <c r="B2142" s="67">
        <v>42840674866</v>
      </c>
      <c r="C2142" s="72" t="s">
        <v>3478</v>
      </c>
      <c r="D2142" s="69">
        <v>33066015866</v>
      </c>
      <c r="E2142" s="9">
        <v>117</v>
      </c>
      <c r="F2142" s="25">
        <v>43117</v>
      </c>
      <c r="G2142" s="70" t="s">
        <v>442</v>
      </c>
      <c r="H2142" s="9"/>
      <c r="I2142" s="8"/>
      <c r="J2142" s="8"/>
      <c r="K2142" s="8"/>
      <c r="L2142" s="9" t="s">
        <v>593</v>
      </c>
      <c r="M2142" s="8"/>
    </row>
    <row r="2143" spans="1:13" x14ac:dyDescent="0.25">
      <c r="A2143" s="71" t="s">
        <v>3479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3480</v>
      </c>
      <c r="B2144" s="67">
        <v>2312065851</v>
      </c>
      <c r="C2144" s="73" t="s">
        <v>3481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3482</v>
      </c>
      <c r="B2145" s="67">
        <v>48549010472</v>
      </c>
      <c r="C2145" s="72" t="s">
        <v>3483</v>
      </c>
      <c r="D2145" s="69">
        <v>7796014830</v>
      </c>
      <c r="E2145" s="9">
        <v>1267</v>
      </c>
      <c r="F2145" s="25">
        <v>42998</v>
      </c>
      <c r="G2145" s="70" t="s">
        <v>442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3484</v>
      </c>
      <c r="B2146" s="67"/>
      <c r="C2146" s="18" t="s">
        <v>552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3484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3485</v>
      </c>
      <c r="B2148" s="67">
        <v>38348922890</v>
      </c>
      <c r="C2148" s="72" t="s">
        <v>3486</v>
      </c>
      <c r="D2148" s="69">
        <v>22580367802</v>
      </c>
      <c r="E2148" s="9">
        <v>810</v>
      </c>
      <c r="F2148" s="25">
        <v>42915</v>
      </c>
      <c r="G2148" s="70" t="s">
        <v>442</v>
      </c>
      <c r="H2148" s="9"/>
      <c r="I2148" s="8"/>
      <c r="J2148" s="8"/>
      <c r="K2148" s="8"/>
      <c r="L2148" s="9" t="s">
        <v>561</v>
      </c>
      <c r="M2148" s="8"/>
    </row>
    <row r="2149" spans="1:13" x14ac:dyDescent="0.25">
      <c r="A2149" s="72" t="s">
        <v>3487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442</v>
      </c>
      <c r="H2149" s="9"/>
      <c r="I2149" s="8"/>
      <c r="J2149" s="8"/>
      <c r="K2149" s="8"/>
      <c r="L2149" s="9" t="s">
        <v>593</v>
      </c>
      <c r="M2149" s="8"/>
    </row>
    <row r="2150" spans="1:13" x14ac:dyDescent="0.25">
      <c r="A2150" s="71" t="s">
        <v>3488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3489</v>
      </c>
      <c r="B2151" s="67">
        <v>36691354800</v>
      </c>
      <c r="C2151" s="72" t="s">
        <v>3490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3491</v>
      </c>
      <c r="B2152" s="67">
        <v>2599679559</v>
      </c>
      <c r="C2152" s="72" t="s">
        <v>3492</v>
      </c>
      <c r="D2152" s="69">
        <v>99002051549</v>
      </c>
      <c r="E2152" s="9">
        <v>1824</v>
      </c>
      <c r="F2152" s="25">
        <v>43091</v>
      </c>
      <c r="G2152" s="70" t="s">
        <v>456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3493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3494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442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3495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442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3496</v>
      </c>
      <c r="B2156" s="67">
        <v>94813078591</v>
      </c>
      <c r="C2156" s="18" t="s">
        <v>3497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3498</v>
      </c>
      <c r="B2157" s="67">
        <v>6522038846</v>
      </c>
      <c r="C2157" s="72" t="s">
        <v>3499</v>
      </c>
      <c r="D2157" s="69">
        <v>390582808</v>
      </c>
      <c r="E2157" s="9">
        <v>292</v>
      </c>
      <c r="F2157" s="25">
        <v>43168</v>
      </c>
      <c r="G2157" s="70" t="s">
        <v>442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3500</v>
      </c>
      <c r="B2158" s="67">
        <v>70986847402</v>
      </c>
      <c r="C2158" s="72" t="s">
        <v>3501</v>
      </c>
      <c r="D2158" s="69">
        <v>39640099899</v>
      </c>
      <c r="E2158" s="9">
        <v>229</v>
      </c>
      <c r="F2158" s="25">
        <v>43151</v>
      </c>
      <c r="G2158" s="70" t="s">
        <v>442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3502</v>
      </c>
      <c r="B2159" s="67">
        <v>37737032878</v>
      </c>
      <c r="C2159" s="72" t="s">
        <v>3503</v>
      </c>
      <c r="D2159" s="69">
        <v>24659778819</v>
      </c>
      <c r="E2159" s="9">
        <v>1417</v>
      </c>
      <c r="F2159" s="25">
        <v>43017</v>
      </c>
      <c r="G2159" s="70" t="s">
        <v>448</v>
      </c>
      <c r="H2159" s="9"/>
      <c r="I2159" s="8"/>
      <c r="J2159" s="8"/>
      <c r="K2159" s="8"/>
      <c r="L2159" s="9" t="s">
        <v>676</v>
      </c>
      <c r="M2159" s="8"/>
    </row>
    <row r="2160" spans="1:13" x14ac:dyDescent="0.25">
      <c r="A2160" s="71" t="s">
        <v>3504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3505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442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3506</v>
      </c>
      <c r="B2162" s="67">
        <v>15716959822</v>
      </c>
      <c r="C2162" s="72" t="s">
        <v>3507</v>
      </c>
      <c r="D2162" s="69">
        <v>10451985877</v>
      </c>
      <c r="E2162" s="9">
        <v>262</v>
      </c>
      <c r="F2162" s="25">
        <v>43160</v>
      </c>
      <c r="G2162" s="70" t="s">
        <v>442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3508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3509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442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3510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442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3511</v>
      </c>
      <c r="B2166" s="67">
        <v>32241408875</v>
      </c>
      <c r="C2166" s="72" t="s">
        <v>3512</v>
      </c>
      <c r="D2166" s="69">
        <v>7164250413</v>
      </c>
      <c r="E2166" s="9">
        <v>1824</v>
      </c>
      <c r="F2166" s="25">
        <v>43091</v>
      </c>
      <c r="G2166" s="70" t="s">
        <v>442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3513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442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3514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442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3515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3516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3517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442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3518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442</v>
      </c>
      <c r="H2172" s="9"/>
      <c r="I2172" s="8"/>
      <c r="J2172" s="8"/>
      <c r="K2172" s="8"/>
      <c r="L2172" s="9" t="s">
        <v>676</v>
      </c>
      <c r="M2172" s="8"/>
    </row>
    <row r="2173" spans="1:13" x14ac:dyDescent="0.25">
      <c r="A2173" s="71" t="s">
        <v>3519</v>
      </c>
      <c r="B2173" s="67">
        <v>8983229870</v>
      </c>
      <c r="C2173" s="72" t="s">
        <v>3520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3521</v>
      </c>
      <c r="B2174" s="67">
        <v>9269199894</v>
      </c>
      <c r="C2174" s="72" t="s">
        <v>3522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3523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442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3524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442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3525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442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3526</v>
      </c>
      <c r="B2178" s="67">
        <v>34641758808</v>
      </c>
      <c r="C2178" s="72" t="s">
        <v>3527</v>
      </c>
      <c r="D2178" s="69">
        <v>30083315802</v>
      </c>
      <c r="E2178" s="9">
        <v>810</v>
      </c>
      <c r="F2178" s="25">
        <v>42915</v>
      </c>
      <c r="G2178" s="70" t="s">
        <v>442</v>
      </c>
      <c r="H2178" s="9"/>
      <c r="I2178" s="8"/>
      <c r="J2178" s="8"/>
      <c r="K2178" s="8"/>
      <c r="L2178" s="9" t="s">
        <v>561</v>
      </c>
      <c r="M2178" s="8"/>
    </row>
    <row r="2179" spans="1:13" x14ac:dyDescent="0.25">
      <c r="A2179" s="71" t="s">
        <v>3528</v>
      </c>
      <c r="B2179" s="67">
        <v>1335459383</v>
      </c>
      <c r="C2179" s="71" t="s">
        <v>3529</v>
      </c>
      <c r="D2179" s="69">
        <v>2369426381</v>
      </c>
      <c r="E2179" s="9">
        <v>292</v>
      </c>
      <c r="F2179" s="25">
        <v>43168</v>
      </c>
      <c r="G2179" s="70" t="s">
        <v>442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3530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442</v>
      </c>
      <c r="H2180" s="9"/>
      <c r="I2180" s="8"/>
      <c r="J2180" s="8"/>
      <c r="K2180" s="8"/>
      <c r="L2180" s="9" t="s">
        <v>593</v>
      </c>
      <c r="M2180" s="8"/>
    </row>
    <row r="2181" spans="1:13" x14ac:dyDescent="0.25">
      <c r="A2181" s="71" t="s">
        <v>3531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442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3532</v>
      </c>
      <c r="B2182" s="67">
        <v>38248770826</v>
      </c>
      <c r="C2182" s="29" t="s">
        <v>3533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3534</v>
      </c>
      <c r="B2183" s="67">
        <v>32857847840</v>
      </c>
      <c r="C2183" s="72" t="s">
        <v>3535</v>
      </c>
      <c r="D2183" s="69">
        <v>33885204886</v>
      </c>
      <c r="E2183" s="9">
        <v>810</v>
      </c>
      <c r="F2183" s="25">
        <v>42915</v>
      </c>
      <c r="G2183" s="70" t="s">
        <v>442</v>
      </c>
      <c r="H2183" s="9"/>
      <c r="I2183" s="8"/>
      <c r="J2183" s="8"/>
      <c r="K2183" s="8"/>
      <c r="L2183" s="9" t="s">
        <v>561</v>
      </c>
      <c r="M2183" s="8"/>
    </row>
    <row r="2184" spans="1:13" x14ac:dyDescent="0.25">
      <c r="A2184" s="14" t="s">
        <v>3536</v>
      </c>
      <c r="B2184" s="67">
        <v>25367069827</v>
      </c>
      <c r="C2184" s="72" t="s">
        <v>3537</v>
      </c>
      <c r="D2184" s="69">
        <v>28922275855</v>
      </c>
      <c r="E2184" s="9">
        <v>262</v>
      </c>
      <c r="F2184" s="25">
        <v>43160</v>
      </c>
      <c r="G2184" s="70" t="s">
        <v>448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3538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442</v>
      </c>
      <c r="H2185" s="9"/>
      <c r="I2185" s="8"/>
      <c r="J2185" s="8"/>
      <c r="K2185" s="8"/>
      <c r="L2185" s="9" t="s">
        <v>593</v>
      </c>
      <c r="M2185" s="8"/>
    </row>
    <row r="2186" spans="1:13" x14ac:dyDescent="0.25">
      <c r="A2186" s="71" t="s">
        <v>3539</v>
      </c>
      <c r="B2186" s="67">
        <v>29652533866</v>
      </c>
      <c r="C2186" s="72" t="s">
        <v>3540</v>
      </c>
      <c r="D2186" s="69">
        <v>21898199892</v>
      </c>
      <c r="E2186" s="9">
        <v>1752</v>
      </c>
      <c r="F2186" s="25">
        <v>43051</v>
      </c>
      <c r="G2186" s="70" t="s">
        <v>442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3541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442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3542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442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3543</v>
      </c>
      <c r="B2189" s="67">
        <v>34777966836</v>
      </c>
      <c r="C2189" s="72" t="s">
        <v>3544</v>
      </c>
      <c r="D2189" s="69">
        <v>33600648870</v>
      </c>
      <c r="E2189" s="9">
        <v>117</v>
      </c>
      <c r="F2189" s="25">
        <v>43117</v>
      </c>
      <c r="G2189" s="70" t="s">
        <v>442</v>
      </c>
      <c r="H2189" s="9"/>
      <c r="I2189" s="8"/>
      <c r="J2189" s="8"/>
      <c r="K2189" s="8"/>
      <c r="L2189" s="9" t="s">
        <v>593</v>
      </c>
      <c r="M2189" s="8"/>
    </row>
    <row r="2190" spans="1:13" x14ac:dyDescent="0.25">
      <c r="A2190" s="29" t="s">
        <v>3545</v>
      </c>
      <c r="B2190" s="67"/>
      <c r="C2190" s="29" t="s">
        <v>3546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3547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442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3548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3549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442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3550</v>
      </c>
      <c r="B2194" s="67">
        <v>27082581840</v>
      </c>
      <c r="C2194" s="77" t="s">
        <v>3551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3552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3553</v>
      </c>
      <c r="B2196" s="67">
        <v>40878539859</v>
      </c>
      <c r="C2196" s="72" t="s">
        <v>3554</v>
      </c>
      <c r="D2196" s="69"/>
      <c r="E2196" s="9">
        <v>1489</v>
      </c>
      <c r="F2196" s="25">
        <v>43038</v>
      </c>
      <c r="G2196" s="70" t="s">
        <v>442</v>
      </c>
      <c r="H2196" s="9"/>
      <c r="I2196" s="8"/>
      <c r="J2196" s="8"/>
      <c r="K2196" s="8"/>
      <c r="L2196" s="9" t="s">
        <v>583</v>
      </c>
      <c r="M2196" s="8"/>
    </row>
    <row r="2197" spans="1:13" x14ac:dyDescent="0.25">
      <c r="A2197" s="71" t="s">
        <v>3555</v>
      </c>
      <c r="B2197" s="67">
        <v>35643661802</v>
      </c>
      <c r="C2197" s="68" t="s">
        <v>3556</v>
      </c>
      <c r="D2197" s="69">
        <v>34613571898</v>
      </c>
      <c r="E2197" s="9">
        <v>1128</v>
      </c>
      <c r="F2197" s="25">
        <v>42972</v>
      </c>
      <c r="G2197" s="70" t="s">
        <v>442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3557</v>
      </c>
      <c r="B2198" s="67">
        <v>89251660549</v>
      </c>
      <c r="C2198" s="18" t="s">
        <v>552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3558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442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3559</v>
      </c>
      <c r="B2200" s="67">
        <v>28280731814</v>
      </c>
      <c r="C2200" s="68" t="s">
        <v>3560</v>
      </c>
      <c r="D2200" s="69">
        <v>36523032884</v>
      </c>
      <c r="E2200" s="9">
        <v>1128</v>
      </c>
      <c r="F2200" s="25">
        <v>42972</v>
      </c>
      <c r="G2200" s="70" t="s">
        <v>442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3561</v>
      </c>
      <c r="B2201" s="67">
        <v>12525223802</v>
      </c>
      <c r="C2201" s="68" t="s">
        <v>3562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3563</v>
      </c>
      <c r="B2202" s="67">
        <v>37014825860</v>
      </c>
      <c r="C2202" s="72" t="s">
        <v>3564</v>
      </c>
      <c r="D2202" s="69">
        <v>38869051870</v>
      </c>
      <c r="E2202" s="9">
        <v>1752</v>
      </c>
      <c r="F2202" s="25">
        <v>43051</v>
      </c>
      <c r="G2202" s="70" t="s">
        <v>442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3565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442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3566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442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3567</v>
      </c>
      <c r="B2205" s="67">
        <v>15095801825</v>
      </c>
      <c r="C2205" s="72" t="s">
        <v>3568</v>
      </c>
      <c r="D2205" s="69">
        <v>16417229831</v>
      </c>
      <c r="E2205" s="9">
        <v>85</v>
      </c>
      <c r="F2205" s="25">
        <v>43109</v>
      </c>
      <c r="G2205" s="70" t="s">
        <v>442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3569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3570</v>
      </c>
      <c r="B2207" s="67">
        <v>58037845249</v>
      </c>
      <c r="C2207" s="72" t="s">
        <v>3571</v>
      </c>
      <c r="D2207" s="69">
        <v>496500333</v>
      </c>
      <c r="E2207" s="9">
        <v>117</v>
      </c>
      <c r="F2207" s="25">
        <v>43117</v>
      </c>
      <c r="G2207" s="70" t="s">
        <v>442</v>
      </c>
      <c r="H2207" s="9"/>
      <c r="I2207" s="8"/>
      <c r="J2207" s="8"/>
      <c r="K2207" s="8"/>
      <c r="L2207" s="9" t="s">
        <v>593</v>
      </c>
      <c r="M2207" s="8"/>
    </row>
    <row r="2208" spans="1:13" x14ac:dyDescent="0.25">
      <c r="A2208" s="84" t="s">
        <v>3572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3573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3574</v>
      </c>
      <c r="B2210" s="67">
        <v>4416847858</v>
      </c>
      <c r="C2210" s="72" t="s">
        <v>3575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3576</v>
      </c>
      <c r="B2211" s="67"/>
      <c r="C2211" s="18" t="s">
        <v>552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3577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442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3578</v>
      </c>
      <c r="B2213" s="67">
        <v>35325197800</v>
      </c>
      <c r="C2213" s="72" t="s">
        <v>3579</v>
      </c>
      <c r="D2213" s="69">
        <v>38159378840</v>
      </c>
      <c r="E2213" s="9">
        <v>810</v>
      </c>
      <c r="F2213" s="25">
        <v>42915</v>
      </c>
      <c r="G2213" s="70" t="s">
        <v>442</v>
      </c>
      <c r="H2213" s="9"/>
      <c r="I2213" s="8"/>
      <c r="J2213" s="8"/>
      <c r="K2213" s="8"/>
      <c r="L2213" s="9" t="s">
        <v>561</v>
      </c>
      <c r="M2213" s="8"/>
    </row>
    <row r="2214" spans="1:13" x14ac:dyDescent="0.25">
      <c r="A2214" s="71" t="s">
        <v>3580</v>
      </c>
      <c r="B2214" s="67">
        <v>37527821884</v>
      </c>
      <c r="C2214" s="72" t="s">
        <v>3581</v>
      </c>
      <c r="D2214" s="69">
        <v>69447810420</v>
      </c>
      <c r="E2214" s="9">
        <v>262</v>
      </c>
      <c r="F2214" s="25">
        <v>43160</v>
      </c>
      <c r="G2214" s="70" t="s">
        <v>442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3582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442</v>
      </c>
      <c r="H2215" s="9"/>
      <c r="I2215" s="8"/>
      <c r="J2215" s="8"/>
      <c r="K2215" s="8"/>
      <c r="L2215" s="9" t="s">
        <v>593</v>
      </c>
      <c r="M2215" s="8"/>
    </row>
    <row r="2216" spans="1:13" x14ac:dyDescent="0.25">
      <c r="A2216" s="15" t="s">
        <v>3583</v>
      </c>
      <c r="B2216" s="67">
        <v>85281050672</v>
      </c>
      <c r="C2216" s="72" t="s">
        <v>3584</v>
      </c>
      <c r="D2216" s="69">
        <v>5490696664</v>
      </c>
      <c r="E2216" s="9">
        <v>229</v>
      </c>
      <c r="F2216" s="25">
        <v>43151</v>
      </c>
      <c r="G2216" s="70" t="s">
        <v>442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3585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442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3586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448</v>
      </c>
      <c r="H2218" s="9"/>
      <c r="I2218" s="8"/>
      <c r="J2218" s="8"/>
      <c r="K2218" s="8"/>
      <c r="L2218" s="9" t="s">
        <v>593</v>
      </c>
      <c r="M2218" s="8"/>
    </row>
    <row r="2219" spans="1:13" x14ac:dyDescent="0.25">
      <c r="A2219" s="71" t="s">
        <v>3587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3588</v>
      </c>
      <c r="B2220" s="67">
        <v>27851461820</v>
      </c>
      <c r="C2220" s="72" t="s">
        <v>3589</v>
      </c>
      <c r="D2220" s="69">
        <v>27264565882</v>
      </c>
      <c r="E2220" s="9">
        <v>117</v>
      </c>
      <c r="F2220" s="25">
        <v>43117</v>
      </c>
      <c r="G2220" s="70" t="s">
        <v>442</v>
      </c>
      <c r="H2220" s="9"/>
      <c r="I2220" s="8"/>
      <c r="J2220" s="8"/>
      <c r="K2220" s="8"/>
      <c r="L2220" s="9" t="s">
        <v>593</v>
      </c>
      <c r="M2220" s="8"/>
    </row>
    <row r="2221" spans="1:13" x14ac:dyDescent="0.25">
      <c r="A2221" s="71" t="s">
        <v>3590</v>
      </c>
      <c r="B2221" s="67">
        <v>32960731832</v>
      </c>
      <c r="C2221" s="77" t="s">
        <v>3591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3592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3593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442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3594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442</v>
      </c>
      <c r="H2224" s="9"/>
      <c r="I2224" s="8"/>
      <c r="J2224" s="8"/>
      <c r="K2224" s="8"/>
      <c r="L2224" s="9" t="s">
        <v>583</v>
      </c>
      <c r="M2224" s="8"/>
    </row>
    <row r="2225" spans="1:13" x14ac:dyDescent="0.25">
      <c r="A2225" s="71" t="s">
        <v>3595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442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3596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442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3597</v>
      </c>
      <c r="B2227" s="67"/>
      <c r="C2227" s="18" t="s">
        <v>552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3598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442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3599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442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3600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3601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442</v>
      </c>
      <c r="H2231" s="9"/>
      <c r="I2231" s="8"/>
      <c r="J2231" s="8"/>
      <c r="K2231" s="8"/>
      <c r="L2231" s="9" t="s">
        <v>593</v>
      </c>
      <c r="M2231" s="8"/>
    </row>
    <row r="2232" spans="1:13" x14ac:dyDescent="0.25">
      <c r="A2232" s="14" t="s">
        <v>3602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3603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442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3604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3605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3606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3607</v>
      </c>
      <c r="B2237" s="67">
        <v>22548549844</v>
      </c>
      <c r="C2237" s="77" t="s">
        <v>3608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3609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442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3610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442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3611</v>
      </c>
      <c r="B2240" s="67">
        <v>27757716888</v>
      </c>
      <c r="C2240" s="77" t="s">
        <v>3612</v>
      </c>
      <c r="D2240" s="69" t="s">
        <v>3613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3614</v>
      </c>
      <c r="B2241" s="67">
        <v>30926413880</v>
      </c>
      <c r="C2241" s="72" t="s">
        <v>3615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722</v>
      </c>
      <c r="M2241" s="8"/>
    </row>
    <row r="2242" spans="1:13" x14ac:dyDescent="0.25">
      <c r="A2242" s="71" t="s">
        <v>3616</v>
      </c>
      <c r="B2242" s="67">
        <v>32954076810</v>
      </c>
      <c r="C2242" s="72" t="s">
        <v>3617</v>
      </c>
      <c r="D2242" s="69">
        <v>82353131468</v>
      </c>
      <c r="E2242" s="9">
        <v>292</v>
      </c>
      <c r="F2242" s="25">
        <v>43168</v>
      </c>
      <c r="G2242" s="70" t="s">
        <v>442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3618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448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3619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442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3620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442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3621</v>
      </c>
      <c r="B2246" s="67">
        <v>23171032805</v>
      </c>
      <c r="C2246" s="72" t="s">
        <v>3622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3623</v>
      </c>
      <c r="B2247" s="67">
        <v>33375182813</v>
      </c>
      <c r="C2247" s="75" t="s">
        <v>3624</v>
      </c>
      <c r="D2247" s="69">
        <v>30178836800</v>
      </c>
      <c r="E2247" s="9">
        <v>1106</v>
      </c>
      <c r="F2247" s="25">
        <v>42965</v>
      </c>
      <c r="G2247" s="70" t="s">
        <v>442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3625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442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3626</v>
      </c>
      <c r="B2249" s="67">
        <v>15712243865</v>
      </c>
      <c r="C2249" s="72" t="s">
        <v>3627</v>
      </c>
      <c r="D2249" s="69">
        <v>501095705</v>
      </c>
      <c r="E2249" s="9">
        <v>1752</v>
      </c>
      <c r="F2249" s="25">
        <v>43051</v>
      </c>
      <c r="G2249" s="70" t="s">
        <v>442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3628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442</v>
      </c>
      <c r="H2250" s="9"/>
      <c r="I2250" s="8"/>
      <c r="J2250" s="8"/>
      <c r="K2250" s="8"/>
      <c r="L2250" s="9" t="s">
        <v>561</v>
      </c>
      <c r="M2250" s="8"/>
    </row>
    <row r="2251" spans="1:13" x14ac:dyDescent="0.25">
      <c r="A2251" s="15" t="s">
        <v>3629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442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3630</v>
      </c>
      <c r="B2252" s="67">
        <v>22403927899</v>
      </c>
      <c r="C2252" s="72" t="s">
        <v>3631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3632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442</v>
      </c>
      <c r="H2253" s="9"/>
      <c r="I2253" s="8"/>
      <c r="J2253" s="8"/>
      <c r="K2253" s="8"/>
      <c r="L2253" s="9" t="s">
        <v>593</v>
      </c>
      <c r="M2253" s="8"/>
    </row>
    <row r="2254" spans="1:13" x14ac:dyDescent="0.25">
      <c r="A2254" s="14" t="s">
        <v>3633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3634</v>
      </c>
      <c r="B2255" s="67">
        <v>32624504800</v>
      </c>
      <c r="C2255" s="72" t="s">
        <v>3635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3636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442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3637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448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3638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3639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442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3640</v>
      </c>
      <c r="B2260" s="67">
        <v>14688456832</v>
      </c>
      <c r="C2260" s="72" t="s">
        <v>3641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3642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442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3643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442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3644</v>
      </c>
      <c r="B2263" s="67">
        <v>38726646897</v>
      </c>
      <c r="C2263" s="18" t="s">
        <v>3645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3646</v>
      </c>
      <c r="B2264" s="67">
        <v>45171952876</v>
      </c>
      <c r="C2264" s="29" t="s">
        <v>3647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3648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442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3649</v>
      </c>
      <c r="B2266" s="67">
        <v>36695082871</v>
      </c>
      <c r="C2266" s="72" t="s">
        <v>3650</v>
      </c>
      <c r="D2266" s="69">
        <v>36736721857</v>
      </c>
      <c r="E2266" s="9">
        <v>1241</v>
      </c>
      <c r="F2266" s="25">
        <v>42992</v>
      </c>
      <c r="G2266" s="70" t="s">
        <v>442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3651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3652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3653</v>
      </c>
      <c r="B2269" s="67">
        <v>42141950864</v>
      </c>
      <c r="C2269" s="72" t="s">
        <v>3654</v>
      </c>
      <c r="D2269" s="69"/>
      <c r="E2269" s="9">
        <v>1214</v>
      </c>
      <c r="F2269" s="25">
        <v>42989</v>
      </c>
      <c r="G2269" s="70" t="s">
        <v>442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3655</v>
      </c>
      <c r="B2270" s="67">
        <v>47270275858</v>
      </c>
      <c r="C2270" s="72" t="s">
        <v>3656</v>
      </c>
      <c r="D2270" s="69">
        <v>34861975840</v>
      </c>
      <c r="E2270" s="9">
        <v>1824</v>
      </c>
      <c r="F2270" s="25">
        <v>43091</v>
      </c>
      <c r="G2270" s="70" t="s">
        <v>442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3657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442</v>
      </c>
      <c r="H2271" s="9"/>
      <c r="I2271" s="8"/>
      <c r="J2271" s="8"/>
      <c r="K2271" s="8"/>
      <c r="L2271" s="9" t="s">
        <v>593</v>
      </c>
      <c r="M2271" s="8"/>
    </row>
    <row r="2272" spans="1:13" x14ac:dyDescent="0.25">
      <c r="A2272" s="29" t="s">
        <v>3658</v>
      </c>
      <c r="B2272" s="67">
        <v>22899917838</v>
      </c>
      <c r="C2272" s="18" t="s">
        <v>552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3659</v>
      </c>
      <c r="B2273" s="67"/>
      <c r="C2273" s="29" t="s">
        <v>552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3660</v>
      </c>
      <c r="B2274" s="67">
        <v>45477385804</v>
      </c>
      <c r="C2274" s="72" t="s">
        <v>3661</v>
      </c>
      <c r="D2274" s="69">
        <v>40972166866</v>
      </c>
      <c r="E2274" s="9">
        <v>1417</v>
      </c>
      <c r="F2274" s="25">
        <v>43017</v>
      </c>
      <c r="G2274" s="70" t="s">
        <v>442</v>
      </c>
      <c r="H2274" s="9"/>
      <c r="I2274" s="8"/>
      <c r="J2274" s="8"/>
      <c r="K2274" s="8"/>
      <c r="L2274" s="9" t="s">
        <v>676</v>
      </c>
      <c r="M2274" s="8"/>
    </row>
    <row r="2275" spans="1:13" x14ac:dyDescent="0.25">
      <c r="A2275" s="71" t="s">
        <v>3662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442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3663</v>
      </c>
      <c r="B2276" s="67"/>
      <c r="C2276" s="29" t="s">
        <v>3664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3665</v>
      </c>
      <c r="B2277" s="67">
        <v>8990461855</v>
      </c>
      <c r="C2277" s="15" t="s">
        <v>3504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3666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3667</v>
      </c>
      <c r="B2279" s="67"/>
      <c r="C2279" s="29" t="s">
        <v>3668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3669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442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3670</v>
      </c>
      <c r="B2281" s="67">
        <v>38917984827</v>
      </c>
      <c r="C2281" s="72" t="s">
        <v>3671</v>
      </c>
      <c r="D2281" s="69">
        <v>42231603896</v>
      </c>
      <c r="E2281" s="9">
        <v>229</v>
      </c>
      <c r="F2281" s="25">
        <v>43151</v>
      </c>
      <c r="G2281" s="70" t="s">
        <v>442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3672</v>
      </c>
      <c r="B2282" s="67">
        <v>37870673889</v>
      </c>
      <c r="C2282" s="72" t="s">
        <v>3673</v>
      </c>
      <c r="D2282" s="69">
        <v>2786569516</v>
      </c>
      <c r="E2282" s="9">
        <v>262</v>
      </c>
      <c r="F2282" s="25">
        <v>43160</v>
      </c>
      <c r="G2282" s="70" t="s">
        <v>442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3674</v>
      </c>
      <c r="B2283" s="67">
        <v>10441616801</v>
      </c>
      <c r="C2283" s="72" t="s">
        <v>3675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3676</v>
      </c>
      <c r="B2284" s="67">
        <v>11702039811</v>
      </c>
      <c r="C2284" s="32" t="s">
        <v>3677</v>
      </c>
      <c r="D2284" s="69">
        <v>14689396884</v>
      </c>
      <c r="E2284" s="9">
        <v>1350</v>
      </c>
      <c r="F2284" s="25">
        <v>43006</v>
      </c>
      <c r="G2284" s="70" t="s">
        <v>442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3678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442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3679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3680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3681</v>
      </c>
      <c r="B2288" s="67">
        <v>46959766842</v>
      </c>
      <c r="C2288" s="72" t="s">
        <v>3682</v>
      </c>
      <c r="D2288" s="69">
        <v>40096022876</v>
      </c>
      <c r="E2288" s="9">
        <v>1350</v>
      </c>
      <c r="F2288" s="25">
        <v>43006</v>
      </c>
      <c r="G2288" s="70" t="s">
        <v>442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3683</v>
      </c>
      <c r="B2289" s="67">
        <v>15147799869</v>
      </c>
      <c r="C2289" s="72" t="s">
        <v>3684</v>
      </c>
      <c r="D2289" s="69">
        <v>18304595893</v>
      </c>
      <c r="E2289" s="9">
        <v>1824</v>
      </c>
      <c r="F2289" s="25">
        <v>43091</v>
      </c>
      <c r="G2289" s="70" t="s">
        <v>442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3685</v>
      </c>
      <c r="B2290" s="67">
        <v>29012884802</v>
      </c>
      <c r="C2290" s="72" t="s">
        <v>3686</v>
      </c>
      <c r="D2290" s="69">
        <v>16761377854</v>
      </c>
      <c r="E2290" s="9">
        <v>85</v>
      </c>
      <c r="F2290" s="25">
        <v>43109</v>
      </c>
      <c r="G2290" s="70" t="s">
        <v>442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3687</v>
      </c>
      <c r="B2291" s="67">
        <v>13009518854</v>
      </c>
      <c r="C2291" s="72" t="s">
        <v>3688</v>
      </c>
      <c r="D2291" s="69">
        <v>59636467749</v>
      </c>
      <c r="E2291" s="9">
        <v>1267</v>
      </c>
      <c r="F2291" s="25">
        <v>42998</v>
      </c>
      <c r="G2291" s="70" t="s">
        <v>456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3689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3690</v>
      </c>
      <c r="B2293" s="67">
        <v>38605259809</v>
      </c>
      <c r="C2293" s="72" t="s">
        <v>3691</v>
      </c>
      <c r="D2293" s="69">
        <v>1090388519</v>
      </c>
      <c r="E2293" s="9">
        <v>117</v>
      </c>
      <c r="F2293" s="25">
        <v>43117</v>
      </c>
      <c r="G2293" s="70" t="s">
        <v>442</v>
      </c>
      <c r="H2293" s="9"/>
      <c r="I2293" s="8"/>
      <c r="J2293" s="8"/>
      <c r="K2293" s="8"/>
      <c r="L2293" s="9" t="s">
        <v>593</v>
      </c>
      <c r="M2293" s="8"/>
    </row>
    <row r="2294" spans="1:13" x14ac:dyDescent="0.25">
      <c r="A2294" s="15" t="s">
        <v>3692</v>
      </c>
      <c r="B2294" s="67">
        <v>9333321810</v>
      </c>
      <c r="C2294" s="72" t="s">
        <v>3693</v>
      </c>
      <c r="D2294" s="69">
        <v>16122645818</v>
      </c>
      <c r="E2294" s="9">
        <v>117</v>
      </c>
      <c r="F2294" s="25">
        <v>43117</v>
      </c>
      <c r="G2294" s="70" t="s">
        <v>442</v>
      </c>
      <c r="H2294" s="9"/>
      <c r="I2294" s="8"/>
      <c r="J2294" s="8"/>
      <c r="K2294" s="8"/>
      <c r="L2294" s="9" t="s">
        <v>593</v>
      </c>
      <c r="M2294" s="8"/>
    </row>
    <row r="2295" spans="1:13" x14ac:dyDescent="0.25">
      <c r="A2295" s="71" t="s">
        <v>3694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442</v>
      </c>
      <c r="H2295" s="9"/>
      <c r="I2295" s="8"/>
      <c r="J2295" s="8"/>
      <c r="K2295" s="8"/>
      <c r="L2295" s="9" t="s">
        <v>561</v>
      </c>
      <c r="M2295" s="8"/>
    </row>
    <row r="2296" spans="1:13" x14ac:dyDescent="0.25">
      <c r="A2296" s="71" t="s">
        <v>3695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3696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3697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3698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3699</v>
      </c>
      <c r="B2300" s="67">
        <v>35810601839</v>
      </c>
      <c r="C2300" s="18" t="s">
        <v>3700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3701</v>
      </c>
      <c r="B2301" s="67">
        <v>32203433841</v>
      </c>
      <c r="C2301" s="72" t="s">
        <v>3702</v>
      </c>
      <c r="D2301" s="69">
        <v>36256617890</v>
      </c>
      <c r="E2301" s="9">
        <v>810</v>
      </c>
      <c r="F2301" s="25">
        <v>42915</v>
      </c>
      <c r="G2301" s="70" t="s">
        <v>442</v>
      </c>
      <c r="H2301" s="9"/>
      <c r="I2301" s="8"/>
      <c r="J2301" s="8"/>
      <c r="K2301" s="8"/>
      <c r="L2301" s="9" t="s">
        <v>561</v>
      </c>
      <c r="M2301" s="8"/>
    </row>
    <row r="2302" spans="1:13" x14ac:dyDescent="0.25">
      <c r="A2302" s="72" t="s">
        <v>3703</v>
      </c>
      <c r="B2302" s="67">
        <v>29816586894</v>
      </c>
      <c r="C2302" s="72" t="s">
        <v>3704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3705</v>
      </c>
      <c r="B2303" s="67">
        <v>3087797545</v>
      </c>
      <c r="C2303" s="71" t="s">
        <v>3706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3707</v>
      </c>
      <c r="B2304" s="67">
        <v>44135110851</v>
      </c>
      <c r="C2304" s="18" t="s">
        <v>3708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3709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442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3710</v>
      </c>
      <c r="B2306" s="67">
        <v>5416929847</v>
      </c>
      <c r="C2306" s="72" t="s">
        <v>3711</v>
      </c>
      <c r="D2306" s="69">
        <v>69220670887</v>
      </c>
      <c r="E2306" s="9">
        <v>292</v>
      </c>
      <c r="F2306" s="25">
        <v>43168</v>
      </c>
      <c r="G2306" s="70" t="s">
        <v>448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3712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442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3713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3714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442</v>
      </c>
      <c r="H2309" s="70"/>
      <c r="I2309" s="8"/>
      <c r="J2309" s="8"/>
      <c r="K2309" s="8"/>
      <c r="L2309" s="9" t="s">
        <v>676</v>
      </c>
      <c r="M2309" s="8"/>
    </row>
    <row r="2310" spans="1:13" x14ac:dyDescent="0.25">
      <c r="A2310" s="71" t="s">
        <v>3715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442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3716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3717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442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3718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442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3719</v>
      </c>
      <c r="B2314" s="67">
        <v>60363616373</v>
      </c>
      <c r="C2314" s="72" t="s">
        <v>3720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3721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442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3722</v>
      </c>
      <c r="B2316" s="67">
        <v>6780677833</v>
      </c>
      <c r="C2316" s="29" t="s">
        <v>3723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3724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3725</v>
      </c>
      <c r="B2318" s="67"/>
      <c r="C2318" s="29" t="s">
        <v>552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3726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3727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3728</v>
      </c>
      <c r="B2321" s="67"/>
      <c r="C2321" s="18" t="s">
        <v>3729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3730</v>
      </c>
      <c r="B2322" s="67">
        <v>47104776800</v>
      </c>
      <c r="C2322" s="72" t="s">
        <v>3731</v>
      </c>
      <c r="D2322" s="69">
        <v>29524413833</v>
      </c>
      <c r="E2322" s="9">
        <v>117</v>
      </c>
      <c r="F2322" s="25">
        <v>43117</v>
      </c>
      <c r="G2322" s="70" t="s">
        <v>442</v>
      </c>
      <c r="H2322" s="70"/>
      <c r="I2322" s="8"/>
      <c r="J2322" s="8"/>
      <c r="K2322" s="8"/>
      <c r="L2322" s="9" t="s">
        <v>593</v>
      </c>
      <c r="M2322" s="8"/>
    </row>
    <row r="2323" spans="1:13" x14ac:dyDescent="0.25">
      <c r="A2323" s="71" t="s">
        <v>3732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442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3733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442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3734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3735</v>
      </c>
      <c r="B2326" s="67"/>
      <c r="C2326" s="29" t="s">
        <v>3736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3737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442</v>
      </c>
      <c r="H2327" s="9"/>
      <c r="I2327" s="8"/>
      <c r="J2327" s="8"/>
      <c r="K2327" s="8"/>
      <c r="L2327" s="9" t="s">
        <v>593</v>
      </c>
      <c r="M2327" s="8"/>
    </row>
    <row r="2328" spans="1:13" x14ac:dyDescent="0.25">
      <c r="A2328" s="71" t="s">
        <v>3738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3739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3740</v>
      </c>
      <c r="B2330" s="67">
        <v>44920823878</v>
      </c>
      <c r="C2330" s="72" t="s">
        <v>3741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3742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3743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3744</v>
      </c>
      <c r="B2333" s="67">
        <v>8665698809</v>
      </c>
      <c r="C2333" s="72" t="s">
        <v>3745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3746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442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3747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3748</v>
      </c>
      <c r="B2336" s="67">
        <v>37383675860</v>
      </c>
      <c r="C2336" s="72" t="s">
        <v>3749</v>
      </c>
      <c r="D2336" s="69">
        <v>37457320814</v>
      </c>
      <c r="E2336" s="9">
        <v>1824</v>
      </c>
      <c r="F2336" s="25">
        <v>43091</v>
      </c>
      <c r="G2336" s="70" t="s">
        <v>442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3750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442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3751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442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3752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3753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3754</v>
      </c>
      <c r="B2341" s="67">
        <v>36394093882</v>
      </c>
      <c r="C2341" s="72" t="s">
        <v>3755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3756</v>
      </c>
      <c r="B2342" s="80">
        <v>38327155687</v>
      </c>
      <c r="C2342" s="81" t="s">
        <v>3757</v>
      </c>
      <c r="D2342" s="82">
        <v>20534089879</v>
      </c>
      <c r="E2342" s="47">
        <v>1824</v>
      </c>
      <c r="F2342" s="48">
        <v>43091</v>
      </c>
      <c r="G2342" s="83" t="s">
        <v>456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3758</v>
      </c>
      <c r="B2343" s="67">
        <v>36553625875</v>
      </c>
      <c r="C2343" s="72" t="s">
        <v>3759</v>
      </c>
      <c r="D2343" s="69">
        <v>34615418850</v>
      </c>
      <c r="E2343" s="9">
        <v>608</v>
      </c>
      <c r="F2343" s="25">
        <v>43012</v>
      </c>
      <c r="G2343" s="70" t="s">
        <v>442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3760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442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3761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442</v>
      </c>
      <c r="H2345" s="9"/>
      <c r="I2345" s="8"/>
      <c r="J2345" s="8"/>
      <c r="K2345" s="8"/>
      <c r="L2345" s="9" t="s">
        <v>561</v>
      </c>
      <c r="M2345" s="8"/>
    </row>
    <row r="2346" spans="1:13" x14ac:dyDescent="0.25">
      <c r="A2346" s="13" t="s">
        <v>3762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442</v>
      </c>
      <c r="H2346" s="9"/>
      <c r="I2346" s="8"/>
      <c r="J2346" s="8"/>
      <c r="K2346" s="8"/>
      <c r="L2346" s="9" t="s">
        <v>583</v>
      </c>
      <c r="M2346" s="8"/>
    </row>
    <row r="2347" spans="1:13" x14ac:dyDescent="0.25">
      <c r="A2347" s="71" t="s">
        <v>3763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3764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442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3765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442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3766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442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3767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442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3768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3769</v>
      </c>
      <c r="B2353" s="67">
        <v>2267811863</v>
      </c>
      <c r="C2353" s="68" t="s">
        <v>3770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3771</v>
      </c>
      <c r="B2354" s="67">
        <v>4640546726</v>
      </c>
      <c r="C2354" s="72" t="s">
        <v>3772</v>
      </c>
      <c r="D2354" s="69">
        <v>72849215791</v>
      </c>
      <c r="E2354" s="9">
        <v>262</v>
      </c>
      <c r="F2354" s="25">
        <v>43160</v>
      </c>
      <c r="G2354" s="70" t="s">
        <v>442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3773</v>
      </c>
      <c r="B2355" s="67">
        <v>11862093806</v>
      </c>
      <c r="C2355" s="18" t="s">
        <v>552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3774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442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3775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442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3776</v>
      </c>
      <c r="B2358" s="67">
        <v>12983214842</v>
      </c>
      <c r="C2358" s="72" t="s">
        <v>3777</v>
      </c>
      <c r="D2358" s="69">
        <v>33776403802</v>
      </c>
      <c r="E2358" s="9">
        <v>85</v>
      </c>
      <c r="F2358" s="25">
        <v>43109</v>
      </c>
      <c r="G2358" s="70" t="s">
        <v>442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3778</v>
      </c>
      <c r="B2359" s="67">
        <v>3343521507</v>
      </c>
      <c r="C2359" s="15" t="s">
        <v>3779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3780</v>
      </c>
      <c r="B2360" s="67">
        <v>41812689500</v>
      </c>
      <c r="C2360" s="72" t="s">
        <v>3781</v>
      </c>
      <c r="D2360" s="69">
        <v>14037047837</v>
      </c>
      <c r="E2360" s="9">
        <v>1106</v>
      </c>
      <c r="F2360" s="25">
        <v>42965</v>
      </c>
      <c r="G2360" s="70" t="s">
        <v>442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3782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3783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442</v>
      </c>
      <c r="H2362" s="9"/>
      <c r="I2362" s="8"/>
      <c r="J2362" s="8"/>
      <c r="K2362" s="8"/>
      <c r="L2362" s="9" t="s">
        <v>561</v>
      </c>
      <c r="M2362" s="8"/>
    </row>
    <row r="2363" spans="1:13" x14ac:dyDescent="0.25">
      <c r="A2363" s="71" t="s">
        <v>3784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3785</v>
      </c>
      <c r="B2364" s="67">
        <v>45479391879</v>
      </c>
      <c r="C2364" s="30" t="s">
        <v>3786</v>
      </c>
      <c r="D2364" s="67">
        <v>35624185820</v>
      </c>
      <c r="E2364" s="9">
        <v>1350</v>
      </c>
      <c r="F2364" s="25">
        <v>43006</v>
      </c>
      <c r="G2364" s="70" t="s">
        <v>442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3787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456</v>
      </c>
      <c r="H2365" s="9"/>
      <c r="I2365" s="8"/>
      <c r="J2365" s="8"/>
      <c r="K2365" s="8"/>
      <c r="L2365" s="9" t="s">
        <v>925</v>
      </c>
      <c r="M2365" s="8"/>
    </row>
    <row r="2366" spans="1:13" x14ac:dyDescent="0.25">
      <c r="A2366" s="15" t="s">
        <v>3788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442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3789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3790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3791</v>
      </c>
      <c r="B2369" s="67">
        <v>36159577840</v>
      </c>
      <c r="C2369" s="72" t="s">
        <v>3792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3793</v>
      </c>
      <c r="B2370" s="67">
        <v>39308828842</v>
      </c>
      <c r="C2370" s="72" t="s">
        <v>3794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3795</v>
      </c>
      <c r="B2371" s="67">
        <v>6619801897</v>
      </c>
      <c r="C2371" s="29" t="s">
        <v>3796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3797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3798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442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3799</v>
      </c>
      <c r="B2374" s="67">
        <v>36138056850</v>
      </c>
      <c r="C2374" s="72" t="s">
        <v>3800</v>
      </c>
      <c r="D2374" s="69">
        <v>56721897504</v>
      </c>
      <c r="E2374" s="9">
        <v>262</v>
      </c>
      <c r="F2374" s="25">
        <v>43160</v>
      </c>
      <c r="G2374" s="70" t="s">
        <v>442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3801</v>
      </c>
      <c r="B2375" s="67">
        <v>22365509878</v>
      </c>
      <c r="C2375" s="72" t="s">
        <v>3802</v>
      </c>
      <c r="D2375" s="69">
        <v>9353681839</v>
      </c>
      <c r="E2375" s="9">
        <v>810</v>
      </c>
      <c r="F2375" s="25">
        <v>42915</v>
      </c>
      <c r="G2375" s="70" t="s">
        <v>442</v>
      </c>
      <c r="H2375" s="9"/>
      <c r="I2375" s="8"/>
      <c r="J2375" s="8"/>
      <c r="K2375" s="8"/>
      <c r="L2375" s="9" t="s">
        <v>561</v>
      </c>
      <c r="M2375" s="8"/>
    </row>
    <row r="2376" spans="1:13" x14ac:dyDescent="0.25">
      <c r="A2376" s="72" t="s">
        <v>3803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3804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442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3805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3806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442</v>
      </c>
      <c r="H2379" s="9"/>
      <c r="I2379" s="8"/>
      <c r="J2379" s="8"/>
      <c r="K2379" s="8"/>
      <c r="L2379" s="9" t="s">
        <v>821</v>
      </c>
      <c r="M2379" s="8"/>
    </row>
    <row r="2380" spans="1:13" x14ac:dyDescent="0.25">
      <c r="A2380" s="71" t="s">
        <v>3807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442</v>
      </c>
      <c r="H2380" s="9"/>
      <c r="I2380" s="8"/>
      <c r="J2380" s="8"/>
      <c r="K2380" s="8"/>
      <c r="L2380" s="9" t="s">
        <v>593</v>
      </c>
      <c r="M2380" s="8"/>
    </row>
    <row r="2381" spans="1:13" x14ac:dyDescent="0.25">
      <c r="A2381" s="71" t="s">
        <v>3808</v>
      </c>
      <c r="B2381" s="67">
        <v>40878398856</v>
      </c>
      <c r="C2381" s="72" t="s">
        <v>3809</v>
      </c>
      <c r="D2381" s="69">
        <v>73226718568</v>
      </c>
      <c r="E2381" s="9">
        <v>262</v>
      </c>
      <c r="F2381" s="25">
        <v>43160</v>
      </c>
      <c r="G2381" s="70" t="s">
        <v>442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3810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442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3811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442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3812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442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3813</v>
      </c>
      <c r="B2385" s="67">
        <v>33475393387</v>
      </c>
      <c r="C2385" s="72" t="s">
        <v>3814</v>
      </c>
      <c r="D2385" s="69">
        <v>21580260306</v>
      </c>
      <c r="E2385" s="9">
        <v>292</v>
      </c>
      <c r="F2385" s="25">
        <v>43168</v>
      </c>
      <c r="G2385" s="70" t="s">
        <v>442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3815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3816</v>
      </c>
      <c r="B2387" s="67">
        <v>15114386816</v>
      </c>
      <c r="C2387" s="29" t="s">
        <v>3817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3818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442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3819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442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3820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3821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3822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3823</v>
      </c>
      <c r="B2393" s="67">
        <v>38754982839</v>
      </c>
      <c r="C2393" s="72" t="s">
        <v>3824</v>
      </c>
      <c r="D2393" s="69">
        <v>34941494881</v>
      </c>
      <c r="E2393" s="9">
        <v>85</v>
      </c>
      <c r="F2393" s="25">
        <v>43109</v>
      </c>
      <c r="G2393" s="70" t="s">
        <v>456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3825</v>
      </c>
      <c r="B2394" s="67">
        <v>33401168819</v>
      </c>
      <c r="C2394" s="72" t="s">
        <v>3826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3827</v>
      </c>
      <c r="B2395" s="67">
        <v>42116294843</v>
      </c>
      <c r="C2395" s="72" t="s">
        <v>3828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3829</v>
      </c>
      <c r="B2396" s="67">
        <v>12648968679</v>
      </c>
      <c r="C2396" s="72" t="s">
        <v>3830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3831</v>
      </c>
      <c r="B2397" s="67">
        <v>34361698899</v>
      </c>
      <c r="C2397" s="72" t="s">
        <v>3832</v>
      </c>
      <c r="D2397" s="69">
        <v>21266025839</v>
      </c>
      <c r="E2397" s="9">
        <v>1489</v>
      </c>
      <c r="F2397" s="25">
        <v>43038</v>
      </c>
      <c r="G2397" s="70" t="s">
        <v>442</v>
      </c>
      <c r="H2397" s="9"/>
      <c r="I2397" s="8"/>
      <c r="J2397" s="8"/>
      <c r="K2397" s="8"/>
      <c r="L2397" s="9" t="s">
        <v>583</v>
      </c>
      <c r="M2397" s="8"/>
    </row>
    <row r="2398" spans="1:13" x14ac:dyDescent="0.25">
      <c r="A2398" s="71" t="s">
        <v>3833</v>
      </c>
      <c r="B2398" s="67">
        <v>12835905812</v>
      </c>
      <c r="C2398" s="72" t="s">
        <v>3834</v>
      </c>
      <c r="D2398" s="69">
        <v>26821342890</v>
      </c>
      <c r="E2398" s="9">
        <v>262</v>
      </c>
      <c r="F2398" s="25">
        <v>43160</v>
      </c>
      <c r="G2398" s="70" t="s">
        <v>448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3835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442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3836</v>
      </c>
      <c r="B2400" s="67">
        <v>22713517826</v>
      </c>
      <c r="C2400" s="72" t="s">
        <v>3837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3838</v>
      </c>
      <c r="B2401" s="67">
        <v>28467390808</v>
      </c>
      <c r="C2401" s="72" t="s">
        <v>3839</v>
      </c>
      <c r="D2401" s="69">
        <v>90847547</v>
      </c>
      <c r="E2401" s="9">
        <v>810</v>
      </c>
      <c r="F2401" s="25">
        <v>42915</v>
      </c>
      <c r="G2401" s="70" t="s">
        <v>442</v>
      </c>
      <c r="H2401" s="9"/>
      <c r="I2401" s="8"/>
      <c r="J2401" s="8"/>
      <c r="K2401" s="8"/>
      <c r="L2401" s="9" t="s">
        <v>561</v>
      </c>
      <c r="M2401" s="8"/>
    </row>
    <row r="2402" spans="1:13" x14ac:dyDescent="0.25">
      <c r="A2402" s="71" t="s">
        <v>3840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442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3841</v>
      </c>
      <c r="B2403" s="67">
        <v>32033541878</v>
      </c>
      <c r="C2403" s="72" t="s">
        <v>3842</v>
      </c>
      <c r="D2403" s="69">
        <v>19674006877</v>
      </c>
      <c r="E2403" s="9">
        <v>1752</v>
      </c>
      <c r="F2403" s="25">
        <v>43051</v>
      </c>
      <c r="G2403" s="70" t="s">
        <v>442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3843</v>
      </c>
      <c r="B2404" s="67">
        <v>23241720896</v>
      </c>
      <c r="C2404" s="18" t="s">
        <v>3844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3845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3846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442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3847</v>
      </c>
      <c r="B2407" s="67">
        <v>1889333360</v>
      </c>
      <c r="C2407" s="72" t="s">
        <v>3848</v>
      </c>
      <c r="D2407" s="69">
        <v>580003302</v>
      </c>
      <c r="E2407" s="9">
        <v>1241</v>
      </c>
      <c r="F2407" s="25">
        <v>42992</v>
      </c>
      <c r="G2407" s="70" t="s">
        <v>442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3849</v>
      </c>
      <c r="B2408" s="67">
        <v>40321655800</v>
      </c>
      <c r="C2408" s="72" t="s">
        <v>3850</v>
      </c>
      <c r="D2408" s="69">
        <v>37378835803</v>
      </c>
      <c r="E2408" s="9">
        <v>810</v>
      </c>
      <c r="F2408" s="25">
        <v>42915</v>
      </c>
      <c r="G2408" s="70" t="s">
        <v>442</v>
      </c>
      <c r="H2408" s="9"/>
      <c r="I2408" s="8"/>
      <c r="J2408" s="8"/>
      <c r="K2408" s="8"/>
      <c r="L2408" s="9" t="s">
        <v>561</v>
      </c>
      <c r="M2408" s="8"/>
    </row>
    <row r="2409" spans="1:13" x14ac:dyDescent="0.25">
      <c r="A2409" s="14" t="s">
        <v>3851</v>
      </c>
      <c r="B2409" s="67">
        <v>5117256557</v>
      </c>
      <c r="C2409" s="72" t="s">
        <v>3852</v>
      </c>
      <c r="D2409" s="69">
        <v>5063737544</v>
      </c>
      <c r="E2409" s="9">
        <v>262</v>
      </c>
      <c r="F2409" s="25">
        <v>43160</v>
      </c>
      <c r="G2409" s="70" t="s">
        <v>448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3853</v>
      </c>
      <c r="B2410" s="67">
        <v>21863985832</v>
      </c>
      <c r="C2410" s="72" t="s">
        <v>3854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3855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442</v>
      </c>
      <c r="H2411" s="9"/>
      <c r="I2411" s="8"/>
      <c r="J2411" s="8"/>
      <c r="K2411" s="8"/>
      <c r="L2411" s="9" t="s">
        <v>676</v>
      </c>
      <c r="M2411" s="8"/>
    </row>
    <row r="2412" spans="1:13" x14ac:dyDescent="0.25">
      <c r="A2412" s="18" t="s">
        <v>3856</v>
      </c>
      <c r="B2412" s="67">
        <v>31694477851</v>
      </c>
      <c r="C2412" s="18" t="s">
        <v>3857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3858</v>
      </c>
      <c r="B2413" s="67">
        <v>14690610827</v>
      </c>
      <c r="C2413" s="72" t="s">
        <v>3859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3860</v>
      </c>
      <c r="B2414" s="67">
        <v>1740803523</v>
      </c>
      <c r="C2414" s="72" t="s">
        <v>3861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3862</v>
      </c>
      <c r="B2415" s="67">
        <v>23328195840</v>
      </c>
      <c r="C2415" s="72" t="s">
        <v>3863</v>
      </c>
      <c r="D2415" s="69">
        <v>770249310</v>
      </c>
      <c r="E2415" s="9">
        <v>810</v>
      </c>
      <c r="F2415" s="25">
        <v>42915</v>
      </c>
      <c r="G2415" s="70" t="s">
        <v>442</v>
      </c>
      <c r="H2415" s="9"/>
      <c r="I2415" s="8"/>
      <c r="J2415" s="8"/>
      <c r="K2415" s="8"/>
      <c r="L2415" s="9" t="s">
        <v>561</v>
      </c>
      <c r="M2415" s="8"/>
    </row>
    <row r="2416" spans="1:13" x14ac:dyDescent="0.25">
      <c r="A2416" s="71" t="s">
        <v>3864</v>
      </c>
      <c r="B2416" s="67">
        <v>28082388862</v>
      </c>
      <c r="C2416" s="72" t="s">
        <v>3865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3866</v>
      </c>
      <c r="B2417" s="67">
        <v>43054747867</v>
      </c>
      <c r="C2417" s="29" t="s">
        <v>3867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3868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3869</v>
      </c>
      <c r="B2419" s="67">
        <v>89863704504</v>
      </c>
      <c r="C2419" s="72" t="s">
        <v>3870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3871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3872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442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3873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3874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442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3875</v>
      </c>
      <c r="B2424" s="67">
        <v>33538686823</v>
      </c>
      <c r="C2424" s="72" t="s">
        <v>3876</v>
      </c>
      <c r="D2424" s="69">
        <v>37104062858</v>
      </c>
      <c r="E2424" s="9">
        <v>810</v>
      </c>
      <c r="F2424" s="25">
        <v>42915</v>
      </c>
      <c r="G2424" s="9" t="s">
        <v>442</v>
      </c>
      <c r="H2424" s="9"/>
      <c r="I2424" s="8"/>
      <c r="J2424" s="8"/>
      <c r="K2424" s="8"/>
      <c r="L2424" s="9" t="s">
        <v>561</v>
      </c>
      <c r="M2424" s="8"/>
    </row>
    <row r="2425" spans="1:13" x14ac:dyDescent="0.25">
      <c r="A2425" s="18" t="s">
        <v>3877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3878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442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3879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3880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442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3881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442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3882</v>
      </c>
      <c r="B2430" s="67"/>
      <c r="C2430" s="29" t="s">
        <v>552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3883</v>
      </c>
      <c r="B2431" s="67">
        <v>39308964860</v>
      </c>
      <c r="C2431" s="72" t="s">
        <v>3884</v>
      </c>
      <c r="D2431" s="69">
        <v>39308963898</v>
      </c>
      <c r="E2431" s="9">
        <v>229</v>
      </c>
      <c r="F2431" s="25">
        <v>43151</v>
      </c>
      <c r="G2431" s="70" t="s">
        <v>442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3885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442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3886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442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3887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3888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442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3889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3890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3891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3892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442</v>
      </c>
      <c r="H2439" s="9"/>
      <c r="I2439" s="8"/>
      <c r="J2439" s="8"/>
      <c r="K2439" s="8"/>
      <c r="L2439" s="9" t="s">
        <v>593</v>
      </c>
      <c r="M2439" s="8"/>
    </row>
    <row r="2440" spans="1:13" x14ac:dyDescent="0.25">
      <c r="A2440" s="71" t="s">
        <v>3893</v>
      </c>
      <c r="B2440" s="67">
        <v>36344864818</v>
      </c>
      <c r="C2440" s="72" t="s">
        <v>3894</v>
      </c>
      <c r="D2440" s="69">
        <v>35601867810</v>
      </c>
      <c r="E2440" s="9">
        <v>810</v>
      </c>
      <c r="F2440" s="25">
        <v>42915</v>
      </c>
      <c r="G2440" s="70" t="s">
        <v>442</v>
      </c>
      <c r="H2440" s="9"/>
      <c r="I2440" s="8"/>
      <c r="J2440" s="8"/>
      <c r="K2440" s="8"/>
      <c r="L2440" s="9" t="s">
        <v>561</v>
      </c>
      <c r="M2440" s="8"/>
    </row>
    <row r="2441" spans="1:13" x14ac:dyDescent="0.25">
      <c r="A2441" s="29" t="s">
        <v>3895</v>
      </c>
      <c r="B2441" s="67"/>
      <c r="C2441" s="29" t="s">
        <v>552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3896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442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3897</v>
      </c>
      <c r="B2443" s="67">
        <v>23969560861</v>
      </c>
      <c r="C2443" s="72" t="s">
        <v>3898</v>
      </c>
      <c r="D2443" s="69">
        <v>16141701850</v>
      </c>
      <c r="E2443" s="9">
        <v>1267</v>
      </c>
      <c r="F2443" s="25">
        <v>42998</v>
      </c>
      <c r="G2443" s="70" t="s">
        <v>442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3899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3900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442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3901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442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3902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3903</v>
      </c>
      <c r="B2448" s="67">
        <v>35193151817</v>
      </c>
      <c r="C2448" s="72" t="s">
        <v>3904</v>
      </c>
      <c r="D2448" s="69">
        <v>26084005829</v>
      </c>
      <c r="E2448" s="9">
        <v>229</v>
      </c>
      <c r="F2448" s="25">
        <v>43151</v>
      </c>
      <c r="G2448" s="70" t="s">
        <v>442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3905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3906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3907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442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3908</v>
      </c>
      <c r="B2452" s="67">
        <v>34674605857</v>
      </c>
      <c r="C2452" s="72" t="s">
        <v>3909</v>
      </c>
      <c r="D2452" s="69">
        <v>36771603830</v>
      </c>
      <c r="E2452" s="9">
        <v>810</v>
      </c>
      <c r="F2452" s="25">
        <v>42915</v>
      </c>
      <c r="G2452" s="70" t="s">
        <v>442</v>
      </c>
      <c r="H2452" s="9"/>
      <c r="I2452" s="8"/>
      <c r="J2452" s="8"/>
      <c r="K2452" s="8"/>
      <c r="L2452" s="9" t="s">
        <v>561</v>
      </c>
      <c r="M2452" s="8"/>
    </row>
    <row r="2453" spans="1:13" x14ac:dyDescent="0.25">
      <c r="A2453" s="71" t="s">
        <v>3910</v>
      </c>
      <c r="B2453" s="67">
        <v>33248807857</v>
      </c>
      <c r="C2453" s="72" t="s">
        <v>3911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3912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442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3913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442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3914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3915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442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3916</v>
      </c>
      <c r="B2458" s="67">
        <v>7143855901</v>
      </c>
      <c r="C2458" s="18" t="s">
        <v>552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3917</v>
      </c>
      <c r="B2459" s="67"/>
      <c r="C2459" s="29" t="s">
        <v>552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3918</v>
      </c>
      <c r="B2460" s="67">
        <v>5365375505</v>
      </c>
      <c r="C2460" s="68" t="s">
        <v>3919</v>
      </c>
      <c r="D2460" s="69">
        <v>34658162857</v>
      </c>
      <c r="E2460" s="9">
        <v>1128</v>
      </c>
      <c r="F2460" s="25">
        <v>42972</v>
      </c>
      <c r="G2460" s="70" t="s">
        <v>442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3920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3921</v>
      </c>
      <c r="B2462" s="67">
        <v>66691990404</v>
      </c>
      <c r="C2462" s="29" t="s">
        <v>3922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3923</v>
      </c>
      <c r="B2463" s="67">
        <v>60347000355</v>
      </c>
      <c r="C2463" s="72" t="s">
        <v>3924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3925</v>
      </c>
      <c r="B2464" s="67">
        <v>37467543808</v>
      </c>
      <c r="C2464" s="72" t="s">
        <v>3926</v>
      </c>
      <c r="D2464" s="69">
        <v>40552745804</v>
      </c>
      <c r="E2464" s="9">
        <v>229</v>
      </c>
      <c r="F2464" s="25">
        <v>43151</v>
      </c>
      <c r="G2464" s="70" t="s">
        <v>442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3927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3928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3929</v>
      </c>
      <c r="B2467" s="67"/>
      <c r="C2467" s="18" t="s">
        <v>552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3930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442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3931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3932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3933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3934</v>
      </c>
      <c r="B2472" s="67"/>
      <c r="C2472" s="18" t="s">
        <v>552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3935</v>
      </c>
      <c r="B2473" s="67">
        <v>34907942818</v>
      </c>
      <c r="C2473" s="72" t="s">
        <v>3936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3937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3938</v>
      </c>
      <c r="B2475" s="67">
        <v>40642684820</v>
      </c>
      <c r="C2475" s="72" t="s">
        <v>3939</v>
      </c>
      <c r="D2475" s="69">
        <v>43189527890</v>
      </c>
      <c r="E2475" s="9">
        <v>292</v>
      </c>
      <c r="F2475" s="25">
        <v>43168</v>
      </c>
      <c r="G2475" s="70" t="s">
        <v>442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3940</v>
      </c>
      <c r="B2476" s="67">
        <v>36401343893</v>
      </c>
      <c r="C2476" s="72" t="s">
        <v>3941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722</v>
      </c>
      <c r="M2476" s="8"/>
    </row>
    <row r="2477" spans="1:13" x14ac:dyDescent="0.25">
      <c r="A2477" s="15" t="s">
        <v>3942</v>
      </c>
      <c r="B2477" s="67">
        <v>10413301460</v>
      </c>
      <c r="C2477" s="72" t="s">
        <v>3943</v>
      </c>
      <c r="D2477" s="69">
        <v>10931047404</v>
      </c>
      <c r="E2477" s="9">
        <v>117</v>
      </c>
      <c r="F2477" s="25">
        <v>43117</v>
      </c>
      <c r="G2477" s="70" t="s">
        <v>442</v>
      </c>
      <c r="H2477" s="9"/>
      <c r="I2477" s="8"/>
      <c r="J2477" s="8"/>
      <c r="K2477" s="8"/>
      <c r="L2477" s="9" t="s">
        <v>593</v>
      </c>
      <c r="M2477" s="8"/>
    </row>
    <row r="2478" spans="1:13" x14ac:dyDescent="0.25">
      <c r="A2478" s="15" t="s">
        <v>3944</v>
      </c>
      <c r="B2478" s="67">
        <v>42030087866</v>
      </c>
      <c r="C2478" s="72" t="s">
        <v>3945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3946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3947</v>
      </c>
      <c r="B2480" s="67">
        <v>38302413801</v>
      </c>
      <c r="C2480" s="77" t="s">
        <v>3948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3949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442</v>
      </c>
      <c r="H2481" s="9"/>
      <c r="I2481" s="8"/>
      <c r="J2481" s="8"/>
      <c r="K2481" s="8"/>
      <c r="L2481" s="9" t="s">
        <v>561</v>
      </c>
      <c r="M2481" s="8"/>
    </row>
    <row r="2482" spans="1:13" x14ac:dyDescent="0.25">
      <c r="A2482" s="71" t="s">
        <v>3950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3951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448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3952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442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3953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442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3954</v>
      </c>
      <c r="B2486" s="67">
        <v>34034498315</v>
      </c>
      <c r="C2486" s="72" t="s">
        <v>3955</v>
      </c>
      <c r="D2486" s="69">
        <v>30620015349</v>
      </c>
      <c r="E2486" s="9">
        <v>1470</v>
      </c>
      <c r="F2486" s="25">
        <v>43031</v>
      </c>
      <c r="G2486" s="70" t="s">
        <v>442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3956</v>
      </c>
      <c r="B2487" s="67">
        <v>38027861810</v>
      </c>
      <c r="C2487" s="72" t="s">
        <v>3957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3958</v>
      </c>
      <c r="B2488" s="67">
        <v>34557275818</v>
      </c>
      <c r="C2488" s="72" t="s">
        <v>3959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3960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442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3961</v>
      </c>
      <c r="B2490" s="67"/>
      <c r="C2490" s="29" t="s">
        <v>3962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3963</v>
      </c>
      <c r="B2491" s="67">
        <v>40298877830</v>
      </c>
      <c r="C2491" s="72" t="s">
        <v>3964</v>
      </c>
      <c r="D2491" s="69">
        <v>5551703576</v>
      </c>
      <c r="E2491" s="9">
        <v>262</v>
      </c>
      <c r="F2491" s="25">
        <v>43160</v>
      </c>
      <c r="G2491" s="70" t="s">
        <v>442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3965</v>
      </c>
      <c r="B2492" s="67">
        <v>36295512895</v>
      </c>
      <c r="C2492" s="72" t="s">
        <v>3966</v>
      </c>
      <c r="D2492" s="69">
        <v>29129585805</v>
      </c>
      <c r="E2492" s="9">
        <v>292</v>
      </c>
      <c r="F2492" s="25">
        <v>43168</v>
      </c>
      <c r="G2492" s="70" t="s">
        <v>442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3967</v>
      </c>
      <c r="B2493" s="67">
        <v>13188101830</v>
      </c>
      <c r="C2493" s="72" t="s">
        <v>3968</v>
      </c>
      <c r="D2493" s="69">
        <v>55072399320</v>
      </c>
      <c r="E2493" s="9">
        <v>1752</v>
      </c>
      <c r="F2493" s="25">
        <v>43051</v>
      </c>
      <c r="G2493" s="70" t="s">
        <v>448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3969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3970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442</v>
      </c>
      <c r="H2495" s="9"/>
      <c r="I2495" s="8"/>
      <c r="J2495" s="8"/>
      <c r="K2495" s="8"/>
      <c r="L2495" s="9" t="s">
        <v>583</v>
      </c>
      <c r="M2495" s="8"/>
    </row>
    <row r="2496" spans="1:13" x14ac:dyDescent="0.25">
      <c r="A2496" s="71" t="s">
        <v>3971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3972</v>
      </c>
      <c r="B2497" s="67">
        <v>18468597864</v>
      </c>
      <c r="C2497" s="72" t="s">
        <v>3973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3974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442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3975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442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3976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442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3977</v>
      </c>
      <c r="B2501" s="67">
        <v>23134916843</v>
      </c>
      <c r="C2501" s="72" t="s">
        <v>3978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3979</v>
      </c>
      <c r="B2502" s="67">
        <v>60939966468</v>
      </c>
      <c r="C2502" s="72" t="s">
        <v>3980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3981</v>
      </c>
      <c r="B2503" s="67"/>
      <c r="C2503" s="29" t="s">
        <v>3982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3983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442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3984</v>
      </c>
      <c r="B2505" s="67">
        <v>33594407810</v>
      </c>
      <c r="C2505" s="68" t="s">
        <v>3985</v>
      </c>
      <c r="D2505" s="69">
        <v>5613611777</v>
      </c>
      <c r="E2505" s="9">
        <v>1128</v>
      </c>
      <c r="F2505" s="25">
        <v>42972</v>
      </c>
      <c r="G2505" s="70" t="s">
        <v>442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3986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442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3987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3988</v>
      </c>
      <c r="B2508" s="67">
        <v>38404903832</v>
      </c>
      <c r="C2508" s="72" t="s">
        <v>3989</v>
      </c>
      <c r="D2508" s="69">
        <v>35612360819</v>
      </c>
      <c r="E2508" s="9">
        <v>810</v>
      </c>
      <c r="F2508" s="25">
        <v>42915</v>
      </c>
      <c r="G2508" s="70" t="s">
        <v>442</v>
      </c>
      <c r="H2508" s="9"/>
      <c r="I2508" s="8"/>
      <c r="J2508" s="8"/>
      <c r="K2508" s="8"/>
      <c r="L2508" s="9" t="s">
        <v>561</v>
      </c>
      <c r="M2508" s="8"/>
    </row>
    <row r="2509" spans="1:13" x14ac:dyDescent="0.25">
      <c r="A2509" s="71" t="s">
        <v>3990</v>
      </c>
      <c r="B2509" s="67">
        <v>33198410843</v>
      </c>
      <c r="C2509" s="72" t="s">
        <v>3991</v>
      </c>
      <c r="D2509" s="69">
        <v>32853865843</v>
      </c>
      <c r="E2509" s="9">
        <v>810</v>
      </c>
      <c r="F2509" s="25">
        <v>42915</v>
      </c>
      <c r="G2509" s="70" t="s">
        <v>442</v>
      </c>
      <c r="H2509" s="9"/>
      <c r="I2509" s="8"/>
      <c r="J2509" s="8"/>
      <c r="K2509" s="8"/>
      <c r="L2509" s="9" t="s">
        <v>561</v>
      </c>
      <c r="M2509" s="8"/>
    </row>
    <row r="2510" spans="1:13" x14ac:dyDescent="0.25">
      <c r="A2510" s="71" t="s">
        <v>3992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442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3993</v>
      </c>
      <c r="B2511" s="67">
        <v>46962268831</v>
      </c>
      <c r="C2511" s="72" t="s">
        <v>3994</v>
      </c>
      <c r="D2511" s="69">
        <v>40564058831</v>
      </c>
      <c r="E2511" s="9">
        <v>1752</v>
      </c>
      <c r="F2511" s="25">
        <v>43051</v>
      </c>
      <c r="G2511" s="70" t="s">
        <v>456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3995</v>
      </c>
      <c r="B2512" s="67">
        <v>33337344860</v>
      </c>
      <c r="C2512" s="72" t="s">
        <v>3996</v>
      </c>
      <c r="D2512" s="69">
        <v>33436663867</v>
      </c>
      <c r="E2512" s="9">
        <v>810</v>
      </c>
      <c r="F2512" s="25">
        <v>42915</v>
      </c>
      <c r="G2512" s="70" t="s">
        <v>442</v>
      </c>
      <c r="H2512" s="9"/>
      <c r="I2512" s="8"/>
      <c r="J2512" s="8"/>
      <c r="K2512" s="8"/>
      <c r="L2512" s="9" t="s">
        <v>561</v>
      </c>
      <c r="M2512" s="8"/>
    </row>
    <row r="2513" spans="1:13" x14ac:dyDescent="0.25">
      <c r="A2513" s="14" t="s">
        <v>3997</v>
      </c>
      <c r="B2513" s="67">
        <v>11587518694</v>
      </c>
      <c r="C2513" s="72" t="s">
        <v>3998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3999</v>
      </c>
      <c r="B2514" s="67">
        <v>37957151809</v>
      </c>
      <c r="C2514" s="72" t="s">
        <v>4000</v>
      </c>
      <c r="D2514" s="69">
        <v>28342788814</v>
      </c>
      <c r="E2514" s="9">
        <v>1570</v>
      </c>
      <c r="F2514" s="25">
        <v>43077</v>
      </c>
      <c r="G2514" s="70" t="s">
        <v>442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4001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722</v>
      </c>
      <c r="M2515" s="8"/>
    </row>
    <row r="2516" spans="1:13" x14ac:dyDescent="0.25">
      <c r="A2516" s="29" t="s">
        <v>4002</v>
      </c>
      <c r="B2516" s="67">
        <v>35434226852</v>
      </c>
      <c r="C2516" s="29" t="s">
        <v>4003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4004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442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4005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442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4006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442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4007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4008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4009</v>
      </c>
      <c r="B2522" s="67">
        <v>31989585809</v>
      </c>
      <c r="C2522" s="72" t="s">
        <v>4010</v>
      </c>
      <c r="D2522" s="69">
        <v>4312861919</v>
      </c>
      <c r="E2522" s="9">
        <v>1824</v>
      </c>
      <c r="F2522" s="25">
        <v>43091</v>
      </c>
      <c r="G2522" s="70" t="s">
        <v>456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4011</v>
      </c>
      <c r="B2523" s="67">
        <v>30264611802</v>
      </c>
      <c r="C2523" s="29" t="s">
        <v>4012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4013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442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4014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442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4015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442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4016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442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4017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4018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4019</v>
      </c>
      <c r="B2530" s="67">
        <v>31117169880</v>
      </c>
      <c r="C2530" s="72" t="s">
        <v>4020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4021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442</v>
      </c>
      <c r="H2531" s="9"/>
      <c r="I2531" s="8"/>
      <c r="J2531" s="8"/>
      <c r="K2531" s="8"/>
      <c r="L2531" s="9" t="s">
        <v>593</v>
      </c>
      <c r="M2531" s="8"/>
    </row>
    <row r="2532" spans="1:13" x14ac:dyDescent="0.25">
      <c r="A2532" s="29" t="s">
        <v>4022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4023</v>
      </c>
      <c r="B2533" s="67">
        <v>34800386896</v>
      </c>
      <c r="C2533" s="72" t="s">
        <v>4024</v>
      </c>
      <c r="D2533" s="69">
        <v>33748068808</v>
      </c>
      <c r="E2533" s="9">
        <v>810</v>
      </c>
      <c r="F2533" s="25">
        <v>42915</v>
      </c>
      <c r="G2533" s="70" t="s">
        <v>442</v>
      </c>
      <c r="H2533" s="9"/>
      <c r="I2533" s="8"/>
      <c r="J2533" s="8"/>
      <c r="K2533" s="8"/>
      <c r="L2533" s="9" t="s">
        <v>561</v>
      </c>
      <c r="M2533" s="8"/>
    </row>
    <row r="2534" spans="1:13" x14ac:dyDescent="0.25">
      <c r="A2534" s="72" t="s">
        <v>4025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4026</v>
      </c>
      <c r="B2535" s="67">
        <v>38858760867</v>
      </c>
      <c r="C2535" s="68" t="s">
        <v>4027</v>
      </c>
      <c r="D2535" s="69">
        <v>37279553842</v>
      </c>
      <c r="E2535" s="9">
        <v>1128</v>
      </c>
      <c r="F2535" s="25">
        <v>42972</v>
      </c>
      <c r="G2535" s="70" t="s">
        <v>442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4028</v>
      </c>
      <c r="B2536" s="67">
        <v>43621579800</v>
      </c>
      <c r="C2536" s="29" t="s">
        <v>552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4029</v>
      </c>
      <c r="B2537" s="67">
        <v>37412192825</v>
      </c>
      <c r="C2537" s="72" t="s">
        <v>4030</v>
      </c>
      <c r="D2537" s="69">
        <v>27576214830</v>
      </c>
      <c r="E2537" s="9">
        <v>1489</v>
      </c>
      <c r="F2537" s="25">
        <v>43038</v>
      </c>
      <c r="G2537" s="70" t="s">
        <v>442</v>
      </c>
      <c r="H2537" s="9"/>
      <c r="I2537" s="8"/>
      <c r="J2537" s="8"/>
      <c r="K2537" s="8"/>
      <c r="L2537" s="9" t="s">
        <v>583</v>
      </c>
      <c r="M2537" s="8"/>
    </row>
    <row r="2538" spans="1:13" x14ac:dyDescent="0.25">
      <c r="A2538" s="71" t="s">
        <v>4031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442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4032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442</v>
      </c>
      <c r="H2539" s="9"/>
      <c r="I2539" s="8"/>
      <c r="J2539" s="8"/>
      <c r="K2539" s="8"/>
      <c r="L2539" s="9" t="s">
        <v>561</v>
      </c>
      <c r="M2539" s="8"/>
    </row>
    <row r="2540" spans="1:13" x14ac:dyDescent="0.25">
      <c r="A2540" s="71" t="s">
        <v>4033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4034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4035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4036</v>
      </c>
      <c r="B2543" s="67">
        <v>36613563803</v>
      </c>
      <c r="C2543" s="72" t="s">
        <v>4037</v>
      </c>
      <c r="D2543" s="69">
        <v>27798369899</v>
      </c>
      <c r="E2543" s="9">
        <v>292</v>
      </c>
      <c r="F2543" s="25">
        <v>43168</v>
      </c>
      <c r="G2543" s="70" t="s">
        <v>442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4038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4039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442</v>
      </c>
      <c r="H2545" s="9"/>
      <c r="I2545" s="8"/>
      <c r="J2545" s="8"/>
      <c r="K2545" s="8"/>
      <c r="L2545" s="9" t="s">
        <v>561</v>
      </c>
      <c r="M2545" s="8"/>
    </row>
    <row r="2546" spans="1:13" ht="30" x14ac:dyDescent="0.25">
      <c r="A2546" s="91" t="s">
        <v>4040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442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4041</v>
      </c>
      <c r="B2547" s="67">
        <v>2950068545</v>
      </c>
      <c r="C2547" s="15" t="s">
        <v>4042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4043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442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4044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448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4045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4046</v>
      </c>
      <c r="B2551" s="67">
        <v>44618522453</v>
      </c>
      <c r="C2551" s="68" t="s">
        <v>4047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4048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442</v>
      </c>
      <c r="H2552" s="9"/>
      <c r="I2552" s="8"/>
      <c r="J2552" s="8"/>
      <c r="K2552" s="8"/>
      <c r="L2552" s="9" t="s">
        <v>593</v>
      </c>
      <c r="M2552" s="8"/>
    </row>
    <row r="2553" spans="1:13" x14ac:dyDescent="0.25">
      <c r="A2553" s="71" t="s">
        <v>4049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442</v>
      </c>
      <c r="H2553" s="9"/>
      <c r="I2553" s="8"/>
      <c r="J2553" s="8"/>
      <c r="K2553" s="8"/>
      <c r="L2553" s="9" t="s">
        <v>676</v>
      </c>
      <c r="M2553" s="8"/>
    </row>
    <row r="2554" spans="1:13" x14ac:dyDescent="0.25">
      <c r="A2554" s="71" t="s">
        <v>4050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4051</v>
      </c>
      <c r="B2555" s="67">
        <v>26333731862</v>
      </c>
      <c r="C2555" s="72" t="s">
        <v>4052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4053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722</v>
      </c>
      <c r="M2556" s="8"/>
    </row>
    <row r="2557" spans="1:13" x14ac:dyDescent="0.25">
      <c r="A2557" s="71" t="s">
        <v>4054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442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4055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442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4056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442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4057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442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4058</v>
      </c>
      <c r="B2561" s="67">
        <v>2035513545</v>
      </c>
      <c r="C2561" s="77" t="s">
        <v>4059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4060</v>
      </c>
      <c r="B2562" s="67">
        <v>32375610881</v>
      </c>
      <c r="C2562" s="72" t="s">
        <v>4061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4062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442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4063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442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4064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4065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442</v>
      </c>
      <c r="H2566" s="9"/>
      <c r="I2566" s="8"/>
      <c r="J2566" s="8"/>
      <c r="K2566" s="8"/>
      <c r="L2566" s="9" t="s">
        <v>583</v>
      </c>
      <c r="M2566" s="8"/>
    </row>
    <row r="2567" spans="1:13" x14ac:dyDescent="0.25">
      <c r="A2567" s="71" t="s">
        <v>4066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442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4067</v>
      </c>
      <c r="B2568" s="67">
        <v>28040254892</v>
      </c>
      <c r="C2568" s="72" t="s">
        <v>4068</v>
      </c>
      <c r="D2568" s="69">
        <v>27414145808</v>
      </c>
      <c r="E2568" s="9">
        <v>810</v>
      </c>
      <c r="F2568" s="25">
        <v>42915</v>
      </c>
      <c r="G2568" s="70" t="s">
        <v>442</v>
      </c>
      <c r="H2568" s="25">
        <v>42921</v>
      </c>
      <c r="I2568" s="8"/>
      <c r="J2568" s="8"/>
      <c r="K2568" s="8"/>
      <c r="L2568" s="9" t="s">
        <v>561</v>
      </c>
      <c r="M2568" s="8"/>
    </row>
    <row r="2569" spans="1:13" x14ac:dyDescent="0.25">
      <c r="A2569" s="71" t="s">
        <v>4069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442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4070</v>
      </c>
      <c r="B2570" s="67">
        <v>19585439859</v>
      </c>
      <c r="C2570" s="72" t="s">
        <v>4071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4072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442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4073</v>
      </c>
      <c r="B2572" s="67">
        <v>33167057831</v>
      </c>
      <c r="C2572" s="18" t="s">
        <v>552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4074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442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4075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442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4076</v>
      </c>
      <c r="B2575" s="67">
        <v>41360953841</v>
      </c>
      <c r="C2575" s="72" t="s">
        <v>4077</v>
      </c>
      <c r="D2575" s="69">
        <v>39212484859</v>
      </c>
      <c r="E2575" s="9">
        <v>117</v>
      </c>
      <c r="F2575" s="25">
        <v>43117</v>
      </c>
      <c r="G2575" s="70" t="s">
        <v>442</v>
      </c>
      <c r="H2575" s="25">
        <v>43151</v>
      </c>
      <c r="I2575" s="8"/>
      <c r="J2575" s="8"/>
      <c r="K2575" s="8"/>
      <c r="L2575" s="9" t="s">
        <v>593</v>
      </c>
      <c r="M2575" s="8"/>
    </row>
    <row r="2576" spans="1:13" x14ac:dyDescent="0.25">
      <c r="A2576" s="15" t="s">
        <v>4078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442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4079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442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4080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442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4081</v>
      </c>
      <c r="B2579" s="67"/>
      <c r="C2579" s="29" t="s">
        <v>552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4082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4083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442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4084</v>
      </c>
      <c r="B2582" s="67">
        <v>39407601889</v>
      </c>
      <c r="C2582" s="72" t="s">
        <v>4085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4086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442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4087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4088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442</v>
      </c>
      <c r="H2585" s="25">
        <v>42921</v>
      </c>
      <c r="I2585" s="8"/>
      <c r="J2585" s="8"/>
      <c r="K2585" s="8"/>
      <c r="L2585" s="9" t="s">
        <v>561</v>
      </c>
      <c r="M2585" s="8"/>
    </row>
    <row r="2586" spans="1:13" x14ac:dyDescent="0.25">
      <c r="A2586" s="71" t="s">
        <v>4089</v>
      </c>
      <c r="B2586" s="67">
        <v>40831453826</v>
      </c>
      <c r="C2586" s="72" t="s">
        <v>4090</v>
      </c>
      <c r="D2586" s="69">
        <v>41787837858</v>
      </c>
      <c r="E2586" s="9">
        <v>1214</v>
      </c>
      <c r="F2586" s="25">
        <v>42989</v>
      </c>
      <c r="G2586" s="70" t="s">
        <v>442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4091</v>
      </c>
      <c r="B2587" s="67">
        <v>23043868811</v>
      </c>
      <c r="C2587" s="18" t="s">
        <v>4092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4093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442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4094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442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4095</v>
      </c>
      <c r="B2590" s="67">
        <v>11739082850</v>
      </c>
      <c r="C2590" s="72" t="s">
        <v>4096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4097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442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4098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442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4099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442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4100</v>
      </c>
      <c r="B2594" s="67">
        <v>36782552809</v>
      </c>
      <c r="C2594" s="72" t="s">
        <v>4101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4102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4103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442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4104</v>
      </c>
      <c r="B2597" s="67">
        <v>28249902874</v>
      </c>
      <c r="C2597" s="29" t="s">
        <v>4105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4106</v>
      </c>
      <c r="B2598" s="67">
        <v>36169238836</v>
      </c>
      <c r="C2598" s="77" t="s">
        <v>4107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4108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442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4109</v>
      </c>
      <c r="B2600" s="67">
        <v>30886267870</v>
      </c>
      <c r="C2600" s="29" t="s">
        <v>4110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4111</v>
      </c>
      <c r="B2601" s="67"/>
      <c r="C2601" s="29" t="s">
        <v>4112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4113</v>
      </c>
      <c r="B2602" s="67">
        <v>26107569847</v>
      </c>
      <c r="C2602" s="77" t="s">
        <v>4114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4115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442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4116</v>
      </c>
      <c r="B2604" s="67">
        <v>13516251875</v>
      </c>
      <c r="C2604" s="68" t="s">
        <v>4117</v>
      </c>
      <c r="D2604" s="69">
        <v>10146756851</v>
      </c>
      <c r="E2604" s="9">
        <v>1214</v>
      </c>
      <c r="F2604" s="25">
        <v>42989</v>
      </c>
      <c r="G2604" s="70" t="s">
        <v>442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4118</v>
      </c>
      <c r="B2605" s="67">
        <v>3597715486</v>
      </c>
      <c r="C2605" s="72" t="s">
        <v>4119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4120</v>
      </c>
      <c r="B2606" s="67">
        <v>1563161532</v>
      </c>
      <c r="C2606" s="68" t="s">
        <v>4121</v>
      </c>
      <c r="D2606" s="69">
        <v>92557732591</v>
      </c>
      <c r="E2606" s="9">
        <v>1128</v>
      </c>
      <c r="F2606" s="25">
        <v>42972</v>
      </c>
      <c r="G2606" s="70" t="s">
        <v>442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4122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4123</v>
      </c>
      <c r="B2608" s="67">
        <v>31914362861</v>
      </c>
      <c r="C2608" s="72" t="s">
        <v>4124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722</v>
      </c>
      <c r="M2608" s="8"/>
    </row>
    <row r="2609" spans="1:13" x14ac:dyDescent="0.25">
      <c r="A2609" s="18" t="s">
        <v>4125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4126</v>
      </c>
      <c r="B2610" s="67">
        <v>35218693855</v>
      </c>
      <c r="C2610" s="72" t="s">
        <v>4127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4128</v>
      </c>
      <c r="B2611" s="67">
        <v>30947166874</v>
      </c>
      <c r="C2611" s="72" t="s">
        <v>4129</v>
      </c>
      <c r="D2611" s="69">
        <v>1304805506</v>
      </c>
      <c r="E2611" s="9">
        <v>1241</v>
      </c>
      <c r="F2611" s="25">
        <v>42992</v>
      </c>
      <c r="G2611" s="70" t="s">
        <v>442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4130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4131</v>
      </c>
      <c r="B2613" s="67">
        <v>3632265593</v>
      </c>
      <c r="C2613" s="72" t="s">
        <v>4132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4133</v>
      </c>
      <c r="B2614" s="67">
        <v>9500687801</v>
      </c>
      <c r="C2614" s="77" t="s">
        <v>4134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722</v>
      </c>
      <c r="M2614" s="8"/>
    </row>
    <row r="2615" spans="1:13" x14ac:dyDescent="0.25">
      <c r="A2615" s="71" t="s">
        <v>4135</v>
      </c>
      <c r="B2615" s="67">
        <v>78808405400</v>
      </c>
      <c r="C2615" s="72" t="s">
        <v>4136</v>
      </c>
      <c r="D2615" s="69">
        <v>6840084400</v>
      </c>
      <c r="E2615" s="9">
        <v>1824</v>
      </c>
      <c r="F2615" s="25">
        <v>43091</v>
      </c>
      <c r="G2615" s="70" t="s">
        <v>442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4137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442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4138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4139</v>
      </c>
      <c r="B2618" s="67">
        <v>37500289820</v>
      </c>
      <c r="C2618" s="68" t="s">
        <v>4140</v>
      </c>
      <c r="D2618" s="69">
        <v>26607571867</v>
      </c>
      <c r="E2618" s="9">
        <v>1350</v>
      </c>
      <c r="F2618" s="25">
        <v>43006</v>
      </c>
      <c r="G2618" s="70" t="s">
        <v>442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4141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4142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442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4143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4144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442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4145</v>
      </c>
      <c r="B2623" s="67">
        <v>8192130800</v>
      </c>
      <c r="C2623" s="72" t="s">
        <v>4146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4147</v>
      </c>
      <c r="B2624" s="67">
        <v>26853070879</v>
      </c>
      <c r="C2624" s="18" t="s">
        <v>4148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4149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442</v>
      </c>
      <c r="H2625" s="25">
        <v>43027</v>
      </c>
      <c r="I2625" s="8"/>
      <c r="J2625" s="8"/>
      <c r="K2625" s="8"/>
      <c r="L2625" s="9" t="s">
        <v>676</v>
      </c>
      <c r="M2625" s="8"/>
    </row>
    <row r="2626" spans="1:13" x14ac:dyDescent="0.25">
      <c r="A2626" s="13" t="s">
        <v>4150</v>
      </c>
      <c r="B2626" s="67">
        <v>27440063864</v>
      </c>
      <c r="C2626" s="68" t="s">
        <v>4151</v>
      </c>
      <c r="D2626" s="69">
        <v>66533287400</v>
      </c>
      <c r="E2626" s="9">
        <v>1241</v>
      </c>
      <c r="F2626" s="25">
        <v>42992</v>
      </c>
      <c r="G2626" s="70" t="s">
        <v>442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4152</v>
      </c>
      <c r="B2627" s="67">
        <v>32362879852</v>
      </c>
      <c r="C2627" s="72" t="s">
        <v>4153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722</v>
      </c>
      <c r="M2627" s="8"/>
    </row>
    <row r="2628" spans="1:13" x14ac:dyDescent="0.25">
      <c r="A2628" s="15" t="s">
        <v>4154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442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4155</v>
      </c>
      <c r="B2629" s="67">
        <v>37904123843</v>
      </c>
      <c r="C2629" s="72" t="s">
        <v>4156</v>
      </c>
      <c r="D2629" s="69">
        <v>16565739897</v>
      </c>
      <c r="E2629" s="9">
        <v>292</v>
      </c>
      <c r="F2629" s="25">
        <v>43168</v>
      </c>
      <c r="G2629" s="70" t="s">
        <v>442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4157</v>
      </c>
      <c r="B2630" s="67">
        <v>30775860883</v>
      </c>
      <c r="C2630" s="72" t="s">
        <v>4158</v>
      </c>
      <c r="D2630" s="69">
        <v>34227894808</v>
      </c>
      <c r="E2630" s="9">
        <v>1359</v>
      </c>
      <c r="F2630" s="25">
        <v>43006</v>
      </c>
      <c r="G2630" s="70" t="s">
        <v>442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4159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442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4160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442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4161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442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4162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442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4163</v>
      </c>
      <c r="B2635" s="67">
        <v>29287401802</v>
      </c>
      <c r="C2635" s="72" t="s">
        <v>4164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4042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442</v>
      </c>
      <c r="H2636" s="25">
        <v>43151</v>
      </c>
      <c r="I2636" s="8"/>
      <c r="J2636" s="8"/>
      <c r="K2636" s="8"/>
      <c r="L2636" s="9" t="s">
        <v>593</v>
      </c>
      <c r="M2636" s="8"/>
    </row>
    <row r="2637" spans="1:13" x14ac:dyDescent="0.25">
      <c r="A2637" s="71" t="s">
        <v>4165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4166</v>
      </c>
      <c r="B2638" s="67">
        <v>36051425837</v>
      </c>
      <c r="C2638" s="77" t="s">
        <v>4167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4168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442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4169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722</v>
      </c>
      <c r="M2640" s="8"/>
    </row>
    <row r="2641" spans="1:13" x14ac:dyDescent="0.25">
      <c r="A2641" s="72" t="s">
        <v>4170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4171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442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4172</v>
      </c>
      <c r="B2643" s="67">
        <v>3212055375</v>
      </c>
      <c r="C2643" s="77" t="s">
        <v>4173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4174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442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4175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442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4176</v>
      </c>
      <c r="B2646" s="67">
        <v>11452168890</v>
      </c>
      <c r="C2646" s="72" t="s">
        <v>4177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4178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4179</v>
      </c>
      <c r="B2648" s="67">
        <v>31856157865</v>
      </c>
      <c r="C2648" s="72" t="s">
        <v>4180</v>
      </c>
      <c r="D2648" s="69">
        <v>94552967568</v>
      </c>
      <c r="E2648" s="9">
        <v>810</v>
      </c>
      <c r="F2648" s="25">
        <v>42915</v>
      </c>
      <c r="G2648" s="70" t="s">
        <v>442</v>
      </c>
      <c r="H2648" s="25">
        <v>42921</v>
      </c>
      <c r="I2648" s="8"/>
      <c r="J2648" s="8"/>
      <c r="K2648" s="8"/>
      <c r="L2648" s="9" t="s">
        <v>561</v>
      </c>
      <c r="M2648" s="8"/>
    </row>
    <row r="2649" spans="1:13" x14ac:dyDescent="0.25">
      <c r="A2649" s="71" t="s">
        <v>4181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442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4182</v>
      </c>
      <c r="B2650" s="67">
        <v>37478827810</v>
      </c>
      <c r="C2650" s="72" t="s">
        <v>4183</v>
      </c>
      <c r="D2650" s="69">
        <v>37591131842</v>
      </c>
      <c r="E2650" s="9">
        <v>292</v>
      </c>
      <c r="F2650" s="25">
        <v>43168</v>
      </c>
      <c r="G2650" s="70" t="s">
        <v>442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4184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442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4185</v>
      </c>
      <c r="B2652" s="67">
        <v>23465596870</v>
      </c>
      <c r="C2652" s="72" t="s">
        <v>4186</v>
      </c>
      <c r="D2652" s="69">
        <v>23522451848</v>
      </c>
      <c r="E2652" s="9">
        <v>292</v>
      </c>
      <c r="F2652" s="25">
        <v>43168</v>
      </c>
      <c r="G2652" s="70" t="s">
        <v>442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4187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722</v>
      </c>
      <c r="M2653" s="8"/>
    </row>
    <row r="2654" spans="1:13" x14ac:dyDescent="0.25">
      <c r="A2654" s="73" t="s">
        <v>4188</v>
      </c>
      <c r="B2654" s="67">
        <v>34274784835</v>
      </c>
      <c r="C2654" s="72" t="s">
        <v>4189</v>
      </c>
      <c r="D2654" s="69">
        <v>19379885890</v>
      </c>
      <c r="E2654" s="9">
        <v>810</v>
      </c>
      <c r="F2654" s="25">
        <v>42915</v>
      </c>
      <c r="G2654" s="70" t="s">
        <v>442</v>
      </c>
      <c r="H2654" s="25">
        <v>42921</v>
      </c>
      <c r="I2654" s="8"/>
      <c r="J2654" s="8"/>
      <c r="K2654" s="8"/>
      <c r="L2654" s="9" t="s">
        <v>561</v>
      </c>
      <c r="M2654" s="8"/>
    </row>
    <row r="2655" spans="1:13" x14ac:dyDescent="0.25">
      <c r="A2655" s="71" t="s">
        <v>4190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442</v>
      </c>
      <c r="H2655" s="25">
        <v>42921</v>
      </c>
      <c r="I2655" s="8"/>
      <c r="J2655" s="8"/>
      <c r="K2655" s="8"/>
      <c r="L2655" s="9" t="s">
        <v>561</v>
      </c>
      <c r="M2655" s="8"/>
    </row>
    <row r="2656" spans="1:13" x14ac:dyDescent="0.25">
      <c r="A2656" s="71" t="s">
        <v>4191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442</v>
      </c>
      <c r="H2656" s="25">
        <v>42921</v>
      </c>
      <c r="I2656" s="8"/>
      <c r="J2656" s="8"/>
      <c r="K2656" s="8"/>
      <c r="L2656" s="9" t="s">
        <v>561</v>
      </c>
      <c r="M2656" s="8"/>
    </row>
    <row r="2657" spans="1:13" x14ac:dyDescent="0.25">
      <c r="A2657" s="71" t="s">
        <v>4192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442</v>
      </c>
      <c r="H2657" s="25">
        <v>43151</v>
      </c>
      <c r="I2657" s="8"/>
      <c r="J2657" s="8"/>
      <c r="K2657" s="8"/>
      <c r="L2657" s="9" t="s">
        <v>593</v>
      </c>
      <c r="M2657" s="8"/>
    </row>
    <row r="2658" spans="1:13" x14ac:dyDescent="0.25">
      <c r="A2658" s="71" t="s">
        <v>4193</v>
      </c>
      <c r="B2658" s="67">
        <v>41491764856</v>
      </c>
      <c r="C2658" s="72" t="s">
        <v>4194</v>
      </c>
      <c r="D2658" s="69">
        <v>91076447520</v>
      </c>
      <c r="E2658" s="9">
        <v>292</v>
      </c>
      <c r="F2658" s="25">
        <v>43168</v>
      </c>
      <c r="G2658" s="70" t="s">
        <v>442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4195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442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4196</v>
      </c>
      <c r="B2660" s="67">
        <v>32962624820</v>
      </c>
      <c r="C2660" s="72" t="s">
        <v>4197</v>
      </c>
      <c r="D2660" s="69">
        <v>3430918871</v>
      </c>
      <c r="E2660" s="9"/>
      <c r="F2660" s="25"/>
      <c r="G2660" s="70" t="s">
        <v>442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4198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448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4199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4200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4201</v>
      </c>
      <c r="B2664" s="67" t="s">
        <v>4202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4203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442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4204</v>
      </c>
      <c r="B2666" s="67">
        <v>99048957753</v>
      </c>
      <c r="C2666" s="29" t="s">
        <v>4205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4206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4207</v>
      </c>
      <c r="B2668" s="67">
        <v>11234152851</v>
      </c>
      <c r="C2668" s="72" t="s">
        <v>4208</v>
      </c>
      <c r="D2668" s="69">
        <v>11353668886</v>
      </c>
      <c r="E2668" s="9">
        <v>117</v>
      </c>
      <c r="F2668" s="25">
        <v>43117</v>
      </c>
      <c r="G2668" s="70" t="s">
        <v>442</v>
      </c>
      <c r="H2668" s="25">
        <v>43151</v>
      </c>
      <c r="I2668" s="8"/>
      <c r="J2668" s="8"/>
      <c r="K2668" s="8"/>
      <c r="L2668" s="9" t="s">
        <v>593</v>
      </c>
      <c r="M2668" s="8"/>
    </row>
    <row r="2669" spans="1:13" x14ac:dyDescent="0.25">
      <c r="A2669" s="14" t="s">
        <v>4209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4210</v>
      </c>
      <c r="B2670" s="67">
        <v>39109326812</v>
      </c>
      <c r="C2670" s="29" t="s">
        <v>4211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4212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442</v>
      </c>
      <c r="H2671" s="25">
        <v>42921</v>
      </c>
      <c r="I2671" s="8"/>
      <c r="J2671" s="8"/>
      <c r="K2671" s="8"/>
      <c r="L2671" s="9" t="s">
        <v>561</v>
      </c>
      <c r="M2671" s="8"/>
    </row>
    <row r="2672" spans="1:13" x14ac:dyDescent="0.25">
      <c r="A2672" s="71" t="s">
        <v>4213</v>
      </c>
      <c r="B2672" s="67">
        <v>33211970819</v>
      </c>
      <c r="C2672" s="72" t="s">
        <v>4214</v>
      </c>
      <c r="D2672" s="69">
        <v>22546816802</v>
      </c>
      <c r="E2672" s="9">
        <v>810</v>
      </c>
      <c r="F2672" s="25">
        <v>42915</v>
      </c>
      <c r="G2672" s="70" t="s">
        <v>442</v>
      </c>
      <c r="H2672" s="25">
        <v>42921</v>
      </c>
      <c r="I2672" s="8"/>
      <c r="J2672" s="8"/>
      <c r="K2672" s="8"/>
      <c r="L2672" s="9" t="s">
        <v>561</v>
      </c>
      <c r="M2672" s="8"/>
    </row>
    <row r="2673" spans="1:13" x14ac:dyDescent="0.25">
      <c r="A2673" s="71" t="s">
        <v>4215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442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4216</v>
      </c>
      <c r="B2674" s="67">
        <v>45170442890</v>
      </c>
      <c r="C2674" s="18" t="s">
        <v>552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4217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442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4218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442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4219</v>
      </c>
      <c r="B2677" s="67"/>
      <c r="C2677" s="71" t="s">
        <v>4220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4221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4222</v>
      </c>
      <c r="B2679" s="67"/>
      <c r="C2679" s="29" t="s">
        <v>552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4223</v>
      </c>
      <c r="B2680" s="67">
        <v>1846996490</v>
      </c>
      <c r="C2680" s="72" t="s">
        <v>4224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4225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442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4226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442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4227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442</v>
      </c>
      <c r="H2683" s="25">
        <v>43027</v>
      </c>
      <c r="I2683" s="8"/>
      <c r="J2683" s="8"/>
      <c r="K2683" s="8"/>
      <c r="L2683" s="9" t="s">
        <v>676</v>
      </c>
      <c r="M2683" s="8"/>
    </row>
    <row r="2684" spans="1:13" x14ac:dyDescent="0.25">
      <c r="A2684" s="13" t="s">
        <v>4228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442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4229</v>
      </c>
      <c r="B2685" s="67"/>
      <c r="C2685" s="29" t="s">
        <v>552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4230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442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4231</v>
      </c>
      <c r="B2687" s="67">
        <v>18033634871</v>
      </c>
      <c r="C2687" s="72" t="s">
        <v>4232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4233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4234</v>
      </c>
      <c r="B2689" s="67">
        <v>16155105839</v>
      </c>
      <c r="C2689" s="72" t="s">
        <v>4235</v>
      </c>
      <c r="D2689" s="69">
        <v>53581717468</v>
      </c>
      <c r="E2689" s="9">
        <v>1359</v>
      </c>
      <c r="F2689" s="25">
        <v>43006</v>
      </c>
      <c r="G2689" s="70" t="s">
        <v>442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4236</v>
      </c>
      <c r="B2690" s="67">
        <v>33244692877</v>
      </c>
      <c r="C2690" s="72" t="s">
        <v>4237</v>
      </c>
      <c r="D2690" s="69">
        <v>7582246802</v>
      </c>
      <c r="E2690" s="9">
        <v>1417</v>
      </c>
      <c r="F2690" s="25">
        <v>43017</v>
      </c>
      <c r="G2690" s="70" t="s">
        <v>442</v>
      </c>
      <c r="H2690" s="25">
        <v>43027</v>
      </c>
      <c r="I2690" s="8"/>
      <c r="J2690" s="8"/>
      <c r="K2690" s="8"/>
      <c r="L2690" s="9" t="s">
        <v>676</v>
      </c>
      <c r="M2690" s="8"/>
    </row>
    <row r="2691" spans="1:13" x14ac:dyDescent="0.25">
      <c r="A2691" s="71" t="s">
        <v>4238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4239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4240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4241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4242</v>
      </c>
      <c r="B2695" s="67">
        <v>8715634795</v>
      </c>
      <c r="C2695" s="72" t="s">
        <v>4243</v>
      </c>
      <c r="D2695" s="69">
        <v>30386378827</v>
      </c>
      <c r="E2695" s="9">
        <v>1106</v>
      </c>
      <c r="F2695" s="25">
        <v>42965</v>
      </c>
      <c r="G2695" s="70" t="s">
        <v>442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4244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442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4245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442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4246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4247</v>
      </c>
      <c r="B2699" s="67">
        <v>85941933517</v>
      </c>
      <c r="C2699" s="72" t="s">
        <v>4248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4249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4250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4251</v>
      </c>
      <c r="B2702" s="67"/>
      <c r="C2702" s="18" t="s">
        <v>552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4252</v>
      </c>
      <c r="B2703" s="67">
        <v>39766945845</v>
      </c>
      <c r="C2703" s="72" t="s">
        <v>4253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4254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442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4255</v>
      </c>
      <c r="B2705" s="67">
        <v>16374846826</v>
      </c>
      <c r="C2705" s="72" t="s">
        <v>4256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4257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4258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442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4259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442</v>
      </c>
      <c r="H2708" s="9"/>
      <c r="I2708" s="8"/>
      <c r="J2708" s="8"/>
      <c r="K2708" s="8"/>
      <c r="L2708" s="9" t="s">
        <v>821</v>
      </c>
      <c r="M2708" s="8"/>
    </row>
    <row r="2709" spans="1:13" x14ac:dyDescent="0.25">
      <c r="A2709" s="71" t="s">
        <v>4260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442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4261</v>
      </c>
      <c r="B2710" s="67">
        <v>14337129898</v>
      </c>
      <c r="C2710" s="77" t="s">
        <v>4262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4263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442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4264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442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4265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4266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4267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442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4268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4269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4270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456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4271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442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4272</v>
      </c>
      <c r="B2720" s="67">
        <v>38482003844</v>
      </c>
      <c r="C2720" s="72" t="s">
        <v>4273</v>
      </c>
      <c r="D2720" s="69">
        <v>34337869840</v>
      </c>
      <c r="E2720" s="9">
        <v>117</v>
      </c>
      <c r="F2720" s="25">
        <v>43117</v>
      </c>
      <c r="G2720" s="70" t="s">
        <v>442</v>
      </c>
      <c r="H2720" s="25">
        <v>43151</v>
      </c>
      <c r="I2720" s="8"/>
      <c r="J2720" s="8"/>
      <c r="K2720" s="8"/>
      <c r="L2720" s="9" t="s">
        <v>593</v>
      </c>
      <c r="M2720" s="8"/>
    </row>
    <row r="2721" spans="1:13" x14ac:dyDescent="0.25">
      <c r="A2721" s="71" t="s">
        <v>4274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4275</v>
      </c>
      <c r="B2722" s="67">
        <v>33079736818</v>
      </c>
      <c r="C2722" s="72" t="s">
        <v>4276</v>
      </c>
      <c r="D2722" s="69">
        <v>35642667807</v>
      </c>
      <c r="E2722" s="9">
        <v>262</v>
      </c>
      <c r="F2722" s="25">
        <v>43160</v>
      </c>
      <c r="G2722" s="70" t="s">
        <v>442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4277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4278</v>
      </c>
      <c r="B2724" s="67">
        <v>31620090813</v>
      </c>
      <c r="C2724" s="72" t="s">
        <v>4279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4280</v>
      </c>
      <c r="B2725" s="67">
        <v>39621579805</v>
      </c>
      <c r="C2725" s="77" t="s">
        <v>4281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4282</v>
      </c>
      <c r="B2726" s="67">
        <v>221267328</v>
      </c>
      <c r="C2726" s="72" t="s">
        <v>4283</v>
      </c>
      <c r="D2726" s="69">
        <v>98610830306</v>
      </c>
      <c r="E2726" s="9">
        <v>85</v>
      </c>
      <c r="F2726" s="25">
        <v>43109</v>
      </c>
      <c r="G2726" s="70" t="s">
        <v>442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4284</v>
      </c>
      <c r="B2727" s="67">
        <v>35706262888</v>
      </c>
      <c r="C2727" s="71" t="s">
        <v>4285</v>
      </c>
      <c r="D2727" s="69">
        <v>28992397836</v>
      </c>
      <c r="E2727" s="9">
        <v>292</v>
      </c>
      <c r="F2727" s="25">
        <v>43168</v>
      </c>
      <c r="G2727" s="9" t="s">
        <v>442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4286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442</v>
      </c>
      <c r="H2728" s="25">
        <v>42921</v>
      </c>
      <c r="I2728" s="8"/>
      <c r="J2728" s="8"/>
      <c r="K2728" s="8"/>
      <c r="L2728" s="9" t="s">
        <v>561</v>
      </c>
      <c r="M2728" s="8"/>
    </row>
    <row r="2729" spans="1:13" x14ac:dyDescent="0.25">
      <c r="A2729" s="71" t="s">
        <v>4287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442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4288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4289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442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4290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4291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4292</v>
      </c>
      <c r="B2734" s="67">
        <v>34393827880</v>
      </c>
      <c r="C2734" s="72" t="s">
        <v>4293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4294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4295</v>
      </c>
      <c r="B2736" s="67">
        <v>35679630826</v>
      </c>
      <c r="C2736" s="72" t="s">
        <v>4296</v>
      </c>
      <c r="D2736" s="69">
        <v>34083542861</v>
      </c>
      <c r="E2736" s="9">
        <v>1752</v>
      </c>
      <c r="F2736" s="25">
        <v>43051</v>
      </c>
      <c r="G2736" s="70" t="s">
        <v>442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4297</v>
      </c>
      <c r="B2737" s="67">
        <v>34949006800</v>
      </c>
      <c r="C2737" s="18" t="s">
        <v>4298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4299</v>
      </c>
      <c r="B2738" s="67">
        <v>1157524559</v>
      </c>
      <c r="C2738" s="72" t="s">
        <v>4300</v>
      </c>
      <c r="D2738" s="69">
        <v>1436524512</v>
      </c>
      <c r="E2738" s="9">
        <v>117</v>
      </c>
      <c r="F2738" s="25">
        <v>43117</v>
      </c>
      <c r="G2738" s="70" t="s">
        <v>448</v>
      </c>
      <c r="H2738" s="25">
        <v>43151</v>
      </c>
      <c r="I2738" s="8"/>
      <c r="J2738" s="8"/>
      <c r="K2738" s="8"/>
      <c r="L2738" s="9" t="s">
        <v>593</v>
      </c>
      <c r="M2738" s="8"/>
    </row>
    <row r="2739" spans="1:13" x14ac:dyDescent="0.25">
      <c r="A2739" s="71" t="s">
        <v>4301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442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4302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442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4303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442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4304</v>
      </c>
      <c r="B2742" s="67">
        <v>21686263830</v>
      </c>
      <c r="C2742" s="29" t="s">
        <v>4305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4306</v>
      </c>
      <c r="B2743" s="67">
        <v>22497995800</v>
      </c>
      <c r="C2743" s="18" t="s">
        <v>4307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4308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442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4309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4310</v>
      </c>
      <c r="B2746" s="67">
        <v>40291692877</v>
      </c>
      <c r="C2746" s="72" t="s">
        <v>4311</v>
      </c>
      <c r="D2746" s="69">
        <v>1566073367</v>
      </c>
      <c r="E2746" s="9">
        <v>810</v>
      </c>
      <c r="F2746" s="25">
        <v>42915</v>
      </c>
      <c r="G2746" s="70" t="s">
        <v>442</v>
      </c>
      <c r="H2746" s="25">
        <v>42921</v>
      </c>
      <c r="I2746" s="8"/>
      <c r="J2746" s="8"/>
      <c r="K2746" s="8"/>
      <c r="L2746" s="9" t="s">
        <v>561</v>
      </c>
      <c r="M2746" s="8"/>
    </row>
    <row r="2747" spans="1:13" x14ac:dyDescent="0.25">
      <c r="A2747" s="72" t="s">
        <v>4312</v>
      </c>
      <c r="B2747" s="67">
        <v>11767064896</v>
      </c>
      <c r="C2747" s="72" t="s">
        <v>4313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4314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442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4315</v>
      </c>
      <c r="B2749" s="67">
        <v>49009893391</v>
      </c>
      <c r="C2749" s="72" t="s">
        <v>4316</v>
      </c>
      <c r="D2749" s="69">
        <v>37349813368</v>
      </c>
      <c r="E2749" s="9">
        <v>292</v>
      </c>
      <c r="F2749" s="25">
        <v>43168</v>
      </c>
      <c r="G2749" s="70" t="s">
        <v>442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4317</v>
      </c>
      <c r="B2750" s="67">
        <v>92361587572</v>
      </c>
      <c r="C2750" s="72" t="s">
        <v>4318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4319</v>
      </c>
      <c r="B2751" s="67">
        <v>17487435890</v>
      </c>
      <c r="C2751" s="72" t="s">
        <v>4320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4321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442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4322</v>
      </c>
      <c r="B2753" s="67">
        <v>86815121615</v>
      </c>
      <c r="C2753" s="72" t="s">
        <v>4323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4324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4325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4326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442</v>
      </c>
      <c r="H2756" s="25">
        <v>42921</v>
      </c>
      <c r="I2756" s="8"/>
      <c r="J2756" s="8"/>
      <c r="K2756" s="8"/>
      <c r="L2756" s="9" t="s">
        <v>561</v>
      </c>
      <c r="M2756" s="8"/>
    </row>
    <row r="2757" spans="1:13" x14ac:dyDescent="0.25">
      <c r="A2757" s="72" t="s">
        <v>4327</v>
      </c>
      <c r="B2757" s="67">
        <v>25261161800</v>
      </c>
      <c r="C2757" s="72" t="s">
        <v>4328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4329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442</v>
      </c>
      <c r="H2758" s="25">
        <v>43151</v>
      </c>
      <c r="I2758" s="8"/>
      <c r="J2758" s="8"/>
      <c r="K2758" s="8"/>
      <c r="L2758" s="9" t="s">
        <v>593</v>
      </c>
      <c r="M2758" s="8"/>
    </row>
    <row r="2759" spans="1:13" x14ac:dyDescent="0.25">
      <c r="A2759" s="71" t="s">
        <v>4330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442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4331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4332</v>
      </c>
      <c r="B2761" s="67">
        <v>22638604879</v>
      </c>
      <c r="C2761" s="72" t="s">
        <v>4333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4334</v>
      </c>
      <c r="B2762" s="67" t="s">
        <v>4335</v>
      </c>
      <c r="C2762" s="18" t="s">
        <v>4336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4337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4338</v>
      </c>
      <c r="B2764" s="67">
        <v>32880462886</v>
      </c>
      <c r="C2764" s="72" t="s">
        <v>4339</v>
      </c>
      <c r="D2764" s="69">
        <v>30845711806</v>
      </c>
      <c r="E2764" s="9">
        <v>810</v>
      </c>
      <c r="F2764" s="25">
        <v>42915</v>
      </c>
      <c r="G2764" s="70" t="s">
        <v>442</v>
      </c>
      <c r="H2764" s="25">
        <v>42921</v>
      </c>
      <c r="I2764" s="8"/>
      <c r="J2764" s="8"/>
      <c r="K2764" s="8"/>
      <c r="L2764" s="9" t="s">
        <v>561</v>
      </c>
      <c r="M2764" s="8"/>
    </row>
    <row r="2765" spans="1:13" x14ac:dyDescent="0.25">
      <c r="A2765" s="29" t="s">
        <v>4340</v>
      </c>
      <c r="B2765" s="67">
        <v>31228758883</v>
      </c>
      <c r="C2765" s="29" t="s">
        <v>4341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4342</v>
      </c>
      <c r="B2766" s="67">
        <v>40443218846</v>
      </c>
      <c r="C2766" s="88" t="s">
        <v>4343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4344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442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4345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448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4346</v>
      </c>
      <c r="B2769" s="67"/>
      <c r="C2769" s="29" t="s">
        <v>4347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4348</v>
      </c>
      <c r="B2770" s="67">
        <v>34462426860</v>
      </c>
      <c r="C2770" s="72" t="s">
        <v>4349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722</v>
      </c>
      <c r="M2770" s="8"/>
    </row>
    <row r="2771" spans="1:13" x14ac:dyDescent="0.25">
      <c r="A2771" s="15" t="s">
        <v>4350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442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4351</v>
      </c>
      <c r="B2772" s="67">
        <v>39600488827</v>
      </c>
      <c r="C2772" s="72" t="s">
        <v>4352</v>
      </c>
      <c r="D2772" s="69">
        <v>34795746885</v>
      </c>
      <c r="E2772" s="9">
        <v>292</v>
      </c>
      <c r="F2772" s="25">
        <v>43168</v>
      </c>
      <c r="G2772" s="70" t="s">
        <v>442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4353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4354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456</v>
      </c>
      <c r="H2774" s="25">
        <v>42921</v>
      </c>
      <c r="I2774" s="8"/>
      <c r="J2774" s="8"/>
      <c r="K2774" s="8"/>
      <c r="L2774" s="9" t="s">
        <v>561</v>
      </c>
      <c r="M2774" s="8"/>
    </row>
    <row r="2775" spans="1:13" x14ac:dyDescent="0.25">
      <c r="A2775" s="71" t="s">
        <v>4355</v>
      </c>
      <c r="B2775" s="67">
        <v>32768872822</v>
      </c>
      <c r="C2775" s="72" t="s">
        <v>4356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4357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442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4358</v>
      </c>
      <c r="B2777" s="67">
        <v>85942588104</v>
      </c>
      <c r="C2777" s="88" t="s">
        <v>4359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4360</v>
      </c>
      <c r="B2778" s="67"/>
      <c r="C2778" s="29" t="s">
        <v>552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4361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442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4362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442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4363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4364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4365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442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4366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442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4367</v>
      </c>
      <c r="B2785" s="67">
        <v>30834349876</v>
      </c>
      <c r="C2785" s="72" t="s">
        <v>4368</v>
      </c>
      <c r="D2785" s="69">
        <v>58355561520</v>
      </c>
      <c r="E2785" s="9">
        <v>262</v>
      </c>
      <c r="F2785" s="25">
        <v>43160</v>
      </c>
      <c r="G2785" s="70" t="s">
        <v>442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4369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442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4370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448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4371</v>
      </c>
      <c r="B2788" s="67">
        <v>22682142818</v>
      </c>
      <c r="C2788" s="72" t="s">
        <v>3171</v>
      </c>
      <c r="D2788" s="69">
        <v>22853401847</v>
      </c>
      <c r="E2788" s="9">
        <v>117</v>
      </c>
      <c r="F2788" s="25">
        <v>43117</v>
      </c>
      <c r="G2788" s="70" t="s">
        <v>442</v>
      </c>
      <c r="H2788" s="25">
        <v>43151</v>
      </c>
      <c r="I2788" s="8"/>
      <c r="J2788" s="8"/>
      <c r="K2788" s="8"/>
      <c r="L2788" s="9" t="s">
        <v>593</v>
      </c>
      <c r="M2788" s="8"/>
    </row>
    <row r="2789" spans="1:13" x14ac:dyDescent="0.25">
      <c r="A2789" s="71" t="s">
        <v>4372</v>
      </c>
      <c r="B2789" s="67">
        <v>32700235886</v>
      </c>
      <c r="C2789" s="72" t="s">
        <v>4373</v>
      </c>
      <c r="D2789" s="69">
        <v>30542314886</v>
      </c>
      <c r="E2789" s="9">
        <v>292</v>
      </c>
      <c r="F2789" s="25">
        <v>43168</v>
      </c>
      <c r="G2789" s="70" t="s">
        <v>442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4374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4375</v>
      </c>
      <c r="B2791" s="67">
        <v>12487731877</v>
      </c>
      <c r="C2791" s="72" t="s">
        <v>4376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4377</v>
      </c>
      <c r="B2792" s="67" t="s">
        <v>4378</v>
      </c>
      <c r="C2792" s="88" t="s">
        <v>4379</v>
      </c>
      <c r="D2792" s="69" t="s">
        <v>4380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4381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442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4382</v>
      </c>
      <c r="B2794" s="67">
        <v>35705436840</v>
      </c>
      <c r="C2794" s="88" t="s">
        <v>4383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4384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456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4385</v>
      </c>
      <c r="B2796" s="67">
        <v>34086913801</v>
      </c>
      <c r="C2796" s="72" t="s">
        <v>4386</v>
      </c>
      <c r="D2796" s="69">
        <v>31013050800</v>
      </c>
      <c r="E2796" s="9">
        <v>229</v>
      </c>
      <c r="F2796" s="25">
        <v>43151</v>
      </c>
      <c r="G2796" s="70" t="s">
        <v>442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4387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442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4388</v>
      </c>
      <c r="B2798" s="67">
        <v>24648996828</v>
      </c>
      <c r="C2798" s="72" t="s">
        <v>4389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4390</v>
      </c>
      <c r="B2799" s="67">
        <v>87445824472</v>
      </c>
      <c r="C2799" s="72" t="s">
        <v>4391</v>
      </c>
      <c r="D2799" s="69">
        <v>30439764874</v>
      </c>
      <c r="E2799" s="9">
        <v>1417</v>
      </c>
      <c r="F2799" s="25">
        <v>43017</v>
      </c>
      <c r="G2799" s="70" t="s">
        <v>442</v>
      </c>
      <c r="H2799" s="25">
        <v>43027</v>
      </c>
      <c r="I2799" s="8"/>
      <c r="J2799" s="8"/>
      <c r="K2799" s="8"/>
      <c r="L2799" s="9" t="s">
        <v>676</v>
      </c>
      <c r="M2799" s="8"/>
    </row>
    <row r="2800" spans="1:13" x14ac:dyDescent="0.25">
      <c r="A2800" s="71" t="s">
        <v>4392</v>
      </c>
      <c r="B2800" s="67">
        <v>25630230840</v>
      </c>
      <c r="C2800" s="77" t="s">
        <v>4393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722</v>
      </c>
      <c r="M2800" s="8"/>
    </row>
    <row r="2801" spans="1:13" x14ac:dyDescent="0.25">
      <c r="A2801" s="71" t="s">
        <v>4394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442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4395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442</v>
      </c>
      <c r="H2802" s="25">
        <v>43027</v>
      </c>
      <c r="I2802" s="8"/>
      <c r="J2802" s="8"/>
      <c r="K2802" s="8"/>
      <c r="L2802" s="9" t="s">
        <v>676</v>
      </c>
      <c r="M2802" s="8"/>
    </row>
    <row r="2803" spans="1:13" x14ac:dyDescent="0.25">
      <c r="A2803" s="71" t="s">
        <v>4396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4397</v>
      </c>
      <c r="B2804" s="67">
        <v>17128618830</v>
      </c>
      <c r="C2804" s="72" t="s">
        <v>4398</v>
      </c>
      <c r="D2804" s="69">
        <v>69305315534</v>
      </c>
      <c r="E2804" s="9">
        <v>810</v>
      </c>
      <c r="F2804" s="25">
        <v>42915</v>
      </c>
      <c r="G2804" s="70" t="s">
        <v>448</v>
      </c>
      <c r="H2804" s="25">
        <v>42921</v>
      </c>
      <c r="I2804" s="8"/>
      <c r="J2804" s="8"/>
      <c r="K2804" s="8"/>
      <c r="L2804" s="9" t="s">
        <v>561</v>
      </c>
      <c r="M2804" s="8"/>
    </row>
    <row r="2805" spans="1:13" x14ac:dyDescent="0.25">
      <c r="A2805" s="71" t="s">
        <v>4399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4400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4401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4402</v>
      </c>
      <c r="B2808" s="67">
        <v>79572421468</v>
      </c>
      <c r="C2808" s="29" t="s">
        <v>4403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4404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442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4405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4406</v>
      </c>
      <c r="B2811" s="67">
        <v>44518427866</v>
      </c>
      <c r="C2811" s="72" t="s">
        <v>4407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4408</v>
      </c>
      <c r="B2812" s="67">
        <v>35625515840</v>
      </c>
      <c r="C2812" s="72" t="s">
        <v>4409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4410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4411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722</v>
      </c>
      <c r="M2814" s="8"/>
    </row>
    <row r="2815" spans="1:13" x14ac:dyDescent="0.25">
      <c r="A2815" s="18" t="s">
        <v>4412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4413</v>
      </c>
      <c r="B2816" s="67">
        <v>40663707803</v>
      </c>
      <c r="C2816" s="72" t="s">
        <v>4414</v>
      </c>
      <c r="D2816" s="69">
        <v>35138540807</v>
      </c>
      <c r="E2816" s="9">
        <v>262</v>
      </c>
      <c r="F2816" s="25">
        <v>43160</v>
      </c>
      <c r="G2816" s="70" t="s">
        <v>442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4415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4416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4417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442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4418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442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4419</v>
      </c>
      <c r="B2821" s="67"/>
      <c r="C2821" s="29" t="s">
        <v>4420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4421</v>
      </c>
      <c r="B2822" s="67">
        <v>40874659850</v>
      </c>
      <c r="C2822" s="77" t="s">
        <v>4422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722</v>
      </c>
      <c r="M2822" s="8"/>
    </row>
    <row r="2823" spans="1:13" x14ac:dyDescent="0.25">
      <c r="A2823" s="29" t="s">
        <v>4423</v>
      </c>
      <c r="B2823" s="67"/>
      <c r="C2823" s="29" t="s">
        <v>4424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4425</v>
      </c>
      <c r="B2824" s="67">
        <v>37028047814</v>
      </c>
      <c r="C2824" s="72" t="s">
        <v>4426</v>
      </c>
      <c r="D2824" s="69">
        <v>34812554896</v>
      </c>
      <c r="E2824" s="9">
        <v>1824</v>
      </c>
      <c r="F2824" s="25">
        <v>43091</v>
      </c>
      <c r="G2824" s="70" t="s">
        <v>442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4427</v>
      </c>
      <c r="B2825" s="67">
        <v>10774591650</v>
      </c>
      <c r="C2825" s="72" t="s">
        <v>4428</v>
      </c>
      <c r="D2825" s="69">
        <v>33230795822</v>
      </c>
      <c r="E2825" s="9">
        <v>292</v>
      </c>
      <c r="F2825" s="25">
        <v>43168</v>
      </c>
      <c r="G2825" s="70" t="s">
        <v>442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4429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442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4430</v>
      </c>
      <c r="B2827" s="67">
        <v>42779099810</v>
      </c>
      <c r="C2827" s="18" t="s">
        <v>4431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4432</v>
      </c>
      <c r="B2828" s="67">
        <v>50748310835</v>
      </c>
      <c r="C2828" s="18" t="s">
        <v>4433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4434</v>
      </c>
      <c r="B2829" s="67">
        <v>42651266850</v>
      </c>
      <c r="C2829" s="72" t="s">
        <v>4435</v>
      </c>
      <c r="D2829" s="69">
        <v>3580715429</v>
      </c>
      <c r="E2829" s="9">
        <v>1350</v>
      </c>
      <c r="F2829" s="25">
        <v>43006</v>
      </c>
      <c r="G2829" s="70" t="s">
        <v>442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4436</v>
      </c>
      <c r="B2830" s="67">
        <v>36474824808</v>
      </c>
      <c r="C2830" s="72" t="s">
        <v>4437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4438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4439</v>
      </c>
      <c r="B2832" s="67">
        <v>22034628845</v>
      </c>
      <c r="C2832" s="72" t="s">
        <v>4440</v>
      </c>
      <c r="D2832" s="69">
        <v>26990288515</v>
      </c>
      <c r="E2832" s="9">
        <v>1555</v>
      </c>
      <c r="F2832" s="25">
        <v>43049</v>
      </c>
      <c r="G2832" s="70" t="s">
        <v>442</v>
      </c>
      <c r="H2832" s="9"/>
      <c r="I2832" s="8"/>
      <c r="J2832" s="8"/>
      <c r="K2832" s="8"/>
      <c r="L2832" s="9" t="s">
        <v>821</v>
      </c>
      <c r="M2832" s="8"/>
    </row>
    <row r="2833" spans="1:13" x14ac:dyDescent="0.25">
      <c r="A2833" s="71" t="s">
        <v>4441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4442</v>
      </c>
      <c r="B2834" s="67">
        <v>10782475876</v>
      </c>
      <c r="C2834" s="72" t="s">
        <v>4443</v>
      </c>
      <c r="D2834" s="69">
        <v>616947895</v>
      </c>
      <c r="E2834" s="9">
        <v>1214</v>
      </c>
      <c r="F2834" s="25">
        <v>42989</v>
      </c>
      <c r="G2834" s="70" t="s">
        <v>442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4444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442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4445</v>
      </c>
      <c r="B2836" s="67"/>
      <c r="C2836" s="18" t="s">
        <v>552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4446</v>
      </c>
      <c r="B2837" s="67">
        <v>42151049809</v>
      </c>
      <c r="C2837" s="68" t="s">
        <v>4447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4448</v>
      </c>
      <c r="B2838" s="67">
        <v>38785656828</v>
      </c>
      <c r="C2838" s="18" t="s">
        <v>4449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4450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4451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442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4452</v>
      </c>
      <c r="B2841" s="67">
        <v>22815009854</v>
      </c>
      <c r="C2841" s="77" t="s">
        <v>4453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4454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448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4455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4456</v>
      </c>
      <c r="B2844" s="67">
        <v>40506629813</v>
      </c>
      <c r="C2844" s="72" t="s">
        <v>4457</v>
      </c>
      <c r="D2844" s="69">
        <v>32485329800</v>
      </c>
      <c r="E2844" s="9">
        <v>262</v>
      </c>
      <c r="F2844" s="25">
        <v>43160</v>
      </c>
      <c r="G2844" s="70" t="s">
        <v>442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4458</v>
      </c>
      <c r="B2845" s="67">
        <v>31504729897</v>
      </c>
      <c r="C2845" s="68" t="s">
        <v>4459</v>
      </c>
      <c r="D2845" s="69">
        <v>24816878840</v>
      </c>
      <c r="E2845" s="9">
        <v>1214</v>
      </c>
      <c r="F2845" s="25">
        <v>42989</v>
      </c>
      <c r="G2845" s="70" t="s">
        <v>442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4460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442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4461</v>
      </c>
      <c r="B2847" s="67">
        <v>12925287700</v>
      </c>
      <c r="C2847" s="72" t="s">
        <v>4462</v>
      </c>
      <c r="D2847" s="69">
        <v>37253983807</v>
      </c>
      <c r="E2847" s="9">
        <v>1752</v>
      </c>
      <c r="F2847" s="25">
        <v>43051</v>
      </c>
      <c r="G2847" s="70" t="s">
        <v>442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4463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722</v>
      </c>
      <c r="M2848" s="8"/>
    </row>
    <row r="2849" spans="1:13" x14ac:dyDescent="0.25">
      <c r="A2849" s="71" t="s">
        <v>4464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442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4465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442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4466</v>
      </c>
      <c r="B2851" s="67">
        <v>26735743873</v>
      </c>
      <c r="C2851" s="72" t="s">
        <v>4467</v>
      </c>
      <c r="D2851" s="69">
        <v>14913845810</v>
      </c>
      <c r="E2851" s="9">
        <v>1214</v>
      </c>
      <c r="F2851" s="25">
        <v>42989</v>
      </c>
      <c r="G2851" s="70" t="s">
        <v>448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4468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442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4469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442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4470</v>
      </c>
      <c r="B2854" s="67">
        <v>26193222863</v>
      </c>
      <c r="C2854" s="18" t="s">
        <v>4471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4472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4473</v>
      </c>
      <c r="B2856" s="67">
        <v>3381508890</v>
      </c>
      <c r="C2856" s="72" t="s">
        <v>4474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722</v>
      </c>
      <c r="M2856" s="8"/>
    </row>
    <row r="2857" spans="1:13" x14ac:dyDescent="0.25">
      <c r="A2857" s="15" t="s">
        <v>4475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442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4476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4477</v>
      </c>
      <c r="B2859" s="67">
        <v>11507771843</v>
      </c>
      <c r="C2859" s="72" t="s">
        <v>4478</v>
      </c>
      <c r="D2859" s="69">
        <v>6898979876</v>
      </c>
      <c r="E2859" s="9">
        <v>292</v>
      </c>
      <c r="F2859" s="25">
        <v>43168</v>
      </c>
      <c r="G2859" s="70" t="s">
        <v>442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4479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442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4480</v>
      </c>
      <c r="B2861" s="67">
        <v>42597970850</v>
      </c>
      <c r="C2861" s="72" t="s">
        <v>4481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4482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4483</v>
      </c>
      <c r="B2863" s="67"/>
      <c r="C2863" s="29" t="s">
        <v>4484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4485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442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4486</v>
      </c>
      <c r="B2865" s="67">
        <v>48081983805</v>
      </c>
      <c r="C2865" s="77" t="s">
        <v>4487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4488</v>
      </c>
      <c r="B2866" s="67">
        <v>43249836826</v>
      </c>
      <c r="C2866" s="72" t="s">
        <v>4489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4490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442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4491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4492</v>
      </c>
      <c r="B2869" s="67">
        <v>11894872681</v>
      </c>
      <c r="C2869" s="72" t="s">
        <v>4493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4494</v>
      </c>
      <c r="B2870" s="67">
        <v>40155044885</v>
      </c>
      <c r="C2870" s="72" t="s">
        <v>4495</v>
      </c>
      <c r="D2870" s="69">
        <v>34935837888</v>
      </c>
      <c r="E2870" s="9">
        <v>292</v>
      </c>
      <c r="F2870" s="25">
        <v>43168</v>
      </c>
      <c r="G2870" s="9" t="s">
        <v>442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4496</v>
      </c>
      <c r="B2871" s="67">
        <v>35165262898</v>
      </c>
      <c r="C2871" s="68" t="s">
        <v>4497</v>
      </c>
      <c r="D2871" s="69">
        <v>34112749805</v>
      </c>
      <c r="E2871" s="9">
        <v>1241</v>
      </c>
      <c r="F2871" s="25">
        <v>42992</v>
      </c>
      <c r="G2871" s="70" t="s">
        <v>442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4498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442</v>
      </c>
      <c r="H2872" s="25">
        <v>43151</v>
      </c>
      <c r="I2872" s="8"/>
      <c r="J2872" s="8"/>
      <c r="K2872" s="8"/>
      <c r="L2872" s="9" t="s">
        <v>593</v>
      </c>
      <c r="M2872" s="8"/>
    </row>
    <row r="2873" spans="1:13" x14ac:dyDescent="0.25">
      <c r="A2873" s="72" t="s">
        <v>4499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4500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442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4501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442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4502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442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4503</v>
      </c>
      <c r="B2877" s="67">
        <v>40770970885</v>
      </c>
      <c r="C2877" s="72" t="s">
        <v>4504</v>
      </c>
      <c r="D2877" s="69">
        <v>43652847890</v>
      </c>
      <c r="E2877" s="9">
        <v>117</v>
      </c>
      <c r="F2877" s="25">
        <v>43117</v>
      </c>
      <c r="G2877" s="70" t="s">
        <v>442</v>
      </c>
      <c r="H2877" s="25">
        <v>43151</v>
      </c>
      <c r="I2877" s="8"/>
      <c r="J2877" s="8"/>
      <c r="K2877" s="8"/>
      <c r="L2877" s="9" t="s">
        <v>593</v>
      </c>
      <c r="M2877" s="8"/>
    </row>
    <row r="2878" spans="1:13" x14ac:dyDescent="0.25">
      <c r="A2878" s="29" t="s">
        <v>4505</v>
      </c>
      <c r="B2878" s="67"/>
      <c r="C2878" s="18" t="s">
        <v>552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4506</v>
      </c>
      <c r="B2879" s="67">
        <v>38462624800</v>
      </c>
      <c r="C2879" s="18" t="s">
        <v>552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4507</v>
      </c>
      <c r="B2880" s="67">
        <v>30942876890</v>
      </c>
      <c r="C2880" s="72" t="s">
        <v>4508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4509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442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4510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442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4511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442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4512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4513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442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4514</v>
      </c>
      <c r="B2886" s="67">
        <v>28965520819</v>
      </c>
      <c r="C2886" s="72" t="s">
        <v>4515</v>
      </c>
      <c r="D2886" s="69">
        <v>8432372447</v>
      </c>
      <c r="E2886" s="9">
        <v>1824</v>
      </c>
      <c r="F2886" s="25">
        <v>43091</v>
      </c>
      <c r="G2886" s="70" t="s">
        <v>448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4516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4517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722</v>
      </c>
      <c r="M2888" s="8"/>
    </row>
    <row r="2889" spans="1:13" x14ac:dyDescent="0.25">
      <c r="A2889" s="71" t="s">
        <v>4518</v>
      </c>
      <c r="B2889" s="67">
        <v>31336065818</v>
      </c>
      <c r="C2889" s="72" t="s">
        <v>4519</v>
      </c>
      <c r="D2889" s="69">
        <v>43264481804</v>
      </c>
      <c r="E2889" s="9">
        <v>1214</v>
      </c>
      <c r="F2889" s="25">
        <v>42989</v>
      </c>
      <c r="G2889" s="70" t="s">
        <v>442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4520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4521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442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4522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442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4523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442</v>
      </c>
      <c r="H2893" s="25">
        <v>43027</v>
      </c>
      <c r="I2893" s="8"/>
      <c r="J2893" s="8"/>
      <c r="K2893" s="8"/>
      <c r="L2893" s="9" t="s">
        <v>925</v>
      </c>
      <c r="M2893" s="8"/>
    </row>
    <row r="2894" spans="1:13" x14ac:dyDescent="0.25">
      <c r="A2894" s="15" t="s">
        <v>4524</v>
      </c>
      <c r="B2894" s="67">
        <v>2655794494</v>
      </c>
      <c r="C2894" s="72" t="s">
        <v>4525</v>
      </c>
      <c r="D2894" s="69">
        <v>96385081591</v>
      </c>
      <c r="E2894" s="9">
        <v>117</v>
      </c>
      <c r="F2894" s="25">
        <v>43117</v>
      </c>
      <c r="G2894" s="70" t="s">
        <v>442</v>
      </c>
      <c r="H2894" s="25">
        <v>43151</v>
      </c>
      <c r="I2894" s="8"/>
      <c r="J2894" s="8"/>
      <c r="K2894" s="8"/>
      <c r="L2894" s="9" t="s">
        <v>593</v>
      </c>
      <c r="M2894" s="8"/>
    </row>
    <row r="2895" spans="1:13" x14ac:dyDescent="0.25">
      <c r="A2895" s="71" t="s">
        <v>4526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442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4527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442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4528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442</v>
      </c>
      <c r="H2897" s="9"/>
      <c r="I2897" s="9">
        <v>229</v>
      </c>
      <c r="J2897" s="25">
        <v>43151</v>
      </c>
      <c r="K2897" s="25">
        <v>43158</v>
      </c>
      <c r="L2897" s="9" t="s">
        <v>583</v>
      </c>
      <c r="M2897" s="25"/>
    </row>
    <row r="2898" spans="1:13" x14ac:dyDescent="0.25">
      <c r="A2898" s="71" t="s">
        <v>4529</v>
      </c>
      <c r="B2898" s="67">
        <v>38085002809</v>
      </c>
      <c r="C2898" s="72" t="s">
        <v>4530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4531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442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4532</v>
      </c>
      <c r="B2900" s="67">
        <v>23357346877</v>
      </c>
      <c r="C2900" s="72" t="s">
        <v>4533</v>
      </c>
      <c r="D2900" s="69">
        <v>39917830880</v>
      </c>
      <c r="E2900" s="9">
        <v>1555</v>
      </c>
      <c r="F2900" s="25">
        <v>43049</v>
      </c>
      <c r="G2900" s="70" t="s">
        <v>442</v>
      </c>
      <c r="H2900" s="9"/>
      <c r="I2900" s="8"/>
      <c r="J2900" s="8"/>
      <c r="K2900" s="8"/>
      <c r="L2900" s="9" t="s">
        <v>821</v>
      </c>
      <c r="M2900" s="8"/>
    </row>
    <row r="2901" spans="1:13" x14ac:dyDescent="0.25">
      <c r="A2901" s="71" t="s">
        <v>4534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4535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442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4536</v>
      </c>
      <c r="B2903" s="67">
        <v>33733642805</v>
      </c>
      <c r="C2903" s="72" t="s">
        <v>4537</v>
      </c>
      <c r="D2903" s="69">
        <v>1860087590</v>
      </c>
      <c r="E2903" s="9">
        <v>85</v>
      </c>
      <c r="F2903" s="25">
        <v>43109</v>
      </c>
      <c r="G2903" s="70" t="s">
        <v>442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4538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442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4539</v>
      </c>
      <c r="B2905" s="67">
        <v>5387678802</v>
      </c>
      <c r="C2905" s="72" t="s">
        <v>4540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4541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442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4542</v>
      </c>
      <c r="B2907" s="67">
        <v>41173451846</v>
      </c>
      <c r="C2907" s="72" t="s">
        <v>4543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4544</v>
      </c>
      <c r="B2908" s="67">
        <v>36432395801</v>
      </c>
      <c r="C2908" s="77" t="s">
        <v>4545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4546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4547</v>
      </c>
      <c r="B2910" s="67">
        <v>28196011890</v>
      </c>
      <c r="C2910" s="72" t="s">
        <v>4548</v>
      </c>
      <c r="D2910" s="69">
        <v>73582980553</v>
      </c>
      <c r="E2910" s="9">
        <v>1262</v>
      </c>
      <c r="F2910" s="25">
        <v>42997</v>
      </c>
      <c r="G2910" s="70" t="s">
        <v>442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4549</v>
      </c>
      <c r="B2911" s="67">
        <v>8710545409</v>
      </c>
      <c r="C2911" s="72" t="s">
        <v>4550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4551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4552</v>
      </c>
      <c r="B2913" s="67">
        <v>27279265880</v>
      </c>
      <c r="C2913" s="77" t="s">
        <v>4553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4554</v>
      </c>
      <c r="B2914" s="67">
        <v>2973007844</v>
      </c>
      <c r="C2914" s="18" t="s">
        <v>552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4555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4556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442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4557</v>
      </c>
      <c r="B2917" s="67">
        <v>97080756391</v>
      </c>
      <c r="C2917" s="68" t="s">
        <v>4558</v>
      </c>
      <c r="D2917" s="69">
        <v>78464463391</v>
      </c>
      <c r="E2917" s="9">
        <v>1343</v>
      </c>
      <c r="F2917" s="25">
        <v>43004</v>
      </c>
      <c r="G2917" s="70" t="s">
        <v>442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4559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4560</v>
      </c>
      <c r="B2919" s="67">
        <v>542688778</v>
      </c>
      <c r="C2919" s="18" t="s">
        <v>552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4561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4562</v>
      </c>
      <c r="B2921" s="67">
        <v>19521938854</v>
      </c>
      <c r="C2921" s="72" t="s">
        <v>4563</v>
      </c>
      <c r="D2921" s="69">
        <v>16398980506</v>
      </c>
      <c r="E2921" s="9">
        <v>1214</v>
      </c>
      <c r="F2921" s="25">
        <v>42989</v>
      </c>
      <c r="G2921" s="70" t="s">
        <v>442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4564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4565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442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4566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442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4567</v>
      </c>
      <c r="B2925" s="67">
        <v>81710763272</v>
      </c>
      <c r="C2925" s="77" t="s">
        <v>4568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4569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442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4570</v>
      </c>
      <c r="B2927" s="67">
        <v>35453812850</v>
      </c>
      <c r="C2927" s="18" t="s">
        <v>4571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4572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4573</v>
      </c>
      <c r="B2929" s="67">
        <v>22665008807</v>
      </c>
      <c r="C2929" s="72" t="s">
        <v>4574</v>
      </c>
      <c r="D2929" s="69">
        <v>35575903800</v>
      </c>
      <c r="E2929" s="9">
        <v>262</v>
      </c>
      <c r="F2929" s="25">
        <v>43160</v>
      </c>
      <c r="G2929" s="9" t="s">
        <v>442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4575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442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4576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4577</v>
      </c>
      <c r="B2932" s="67">
        <v>60615920357</v>
      </c>
      <c r="C2932" s="72" t="s">
        <v>4578</v>
      </c>
      <c r="D2932" s="69">
        <v>4818511358</v>
      </c>
      <c r="E2932" s="9">
        <v>292</v>
      </c>
      <c r="F2932" s="25">
        <v>43168</v>
      </c>
      <c r="G2932" s="9" t="s">
        <v>442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4579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442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4580</v>
      </c>
      <c r="B2934" s="67">
        <v>31633338851</v>
      </c>
      <c r="C2934" s="72" t="s">
        <v>4581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722</v>
      </c>
      <c r="M2934" s="8"/>
    </row>
    <row r="2935" spans="1:13" x14ac:dyDescent="0.25">
      <c r="A2935" s="71" t="s">
        <v>4582</v>
      </c>
      <c r="B2935" s="67">
        <v>42518509801</v>
      </c>
      <c r="C2935" s="72" t="s">
        <v>4583</v>
      </c>
      <c r="D2935" s="69">
        <v>36320707844</v>
      </c>
      <c r="E2935" s="9">
        <v>1752</v>
      </c>
      <c r="F2935" s="25">
        <v>43051</v>
      </c>
      <c r="G2935" s="70" t="s">
        <v>456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4584</v>
      </c>
      <c r="B2936" s="67">
        <v>22958464806</v>
      </c>
      <c r="C2936" s="72" t="s">
        <v>4585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4586</v>
      </c>
      <c r="B2937" s="67">
        <v>31152044850</v>
      </c>
      <c r="C2937" s="72" t="s">
        <v>4587</v>
      </c>
      <c r="D2937" s="69">
        <v>31152043889</v>
      </c>
      <c r="E2937" s="9">
        <v>1128</v>
      </c>
      <c r="F2937" s="25">
        <v>42972</v>
      </c>
      <c r="G2937" s="70" t="s">
        <v>442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4588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442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4589</v>
      </c>
      <c r="B2939" s="80">
        <v>35805723859</v>
      </c>
      <c r="C2939" s="81" t="s">
        <v>4590</v>
      </c>
      <c r="D2939" s="82">
        <v>12726161855</v>
      </c>
      <c r="E2939" s="47">
        <v>1824</v>
      </c>
      <c r="F2939" s="48">
        <v>43091</v>
      </c>
      <c r="G2939" s="83" t="s">
        <v>448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4591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442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4592</v>
      </c>
      <c r="B2941" s="67">
        <v>7358002431</v>
      </c>
      <c r="C2941" s="72" t="s">
        <v>4593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4594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442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4595</v>
      </c>
      <c r="B2943" s="67">
        <v>43354497807</v>
      </c>
      <c r="C2943" s="72" t="s">
        <v>4596</v>
      </c>
      <c r="D2943" s="69">
        <v>40802896855</v>
      </c>
      <c r="E2943" s="9">
        <v>1214</v>
      </c>
      <c r="F2943" s="25">
        <v>42989</v>
      </c>
      <c r="G2943" s="70" t="s">
        <v>442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4597</v>
      </c>
      <c r="B2944" s="67">
        <v>43586522800</v>
      </c>
      <c r="C2944" s="68" t="s">
        <v>4598</v>
      </c>
      <c r="D2944" s="69">
        <v>43586522800</v>
      </c>
      <c r="E2944" s="9">
        <v>1128</v>
      </c>
      <c r="F2944" s="25">
        <v>42972</v>
      </c>
      <c r="G2944" s="70" t="s">
        <v>442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4599</v>
      </c>
      <c r="B2945" s="67">
        <v>17447067865</v>
      </c>
      <c r="C2945" s="72" t="s">
        <v>4600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4601</v>
      </c>
      <c r="B2946" s="67">
        <v>3568560542</v>
      </c>
      <c r="C2946" s="72" t="s">
        <v>4602</v>
      </c>
      <c r="D2946" s="69">
        <v>4078587500</v>
      </c>
      <c r="E2946" s="9">
        <v>1106</v>
      </c>
      <c r="F2946" s="25">
        <v>42965</v>
      </c>
      <c r="G2946" s="70" t="s">
        <v>442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4603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4604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4605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593</v>
      </c>
      <c r="M2949" s="8"/>
    </row>
    <row r="2950" spans="1:13" x14ac:dyDescent="0.25">
      <c r="A2950" s="71" t="s">
        <v>4606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442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4607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442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4608</v>
      </c>
      <c r="B2952" s="67"/>
      <c r="C2952" s="29" t="s">
        <v>4609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4610</v>
      </c>
      <c r="B2953" s="67">
        <v>1326462857</v>
      </c>
      <c r="C2953" s="72" t="s">
        <v>4611</v>
      </c>
      <c r="D2953" s="69">
        <v>4906141838</v>
      </c>
      <c r="E2953" s="9">
        <v>229</v>
      </c>
      <c r="F2953" s="25">
        <v>43151</v>
      </c>
      <c r="G2953" s="70" t="s">
        <v>442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4612</v>
      </c>
      <c r="B2954" s="67">
        <v>7722903428</v>
      </c>
      <c r="C2954" s="29" t="s">
        <v>4613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4614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4615</v>
      </c>
      <c r="B2956" s="67">
        <v>37794411874</v>
      </c>
      <c r="C2956" s="72" t="s">
        <v>4616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4617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4618</v>
      </c>
      <c r="B2958" s="67">
        <v>34093287856</v>
      </c>
      <c r="C2958" s="68" t="s">
        <v>4619</v>
      </c>
      <c r="D2958" s="69">
        <v>1517221536</v>
      </c>
      <c r="E2958" s="9">
        <v>1489</v>
      </c>
      <c r="F2958" s="25"/>
      <c r="G2958" s="70" t="s">
        <v>442</v>
      </c>
      <c r="H2958" s="9"/>
      <c r="I2958" s="8"/>
      <c r="J2958" s="8"/>
      <c r="K2958" s="8"/>
      <c r="L2958" s="9" t="s">
        <v>583</v>
      </c>
      <c r="M2958" s="8"/>
    </row>
    <row r="2959" spans="1:13" x14ac:dyDescent="0.25">
      <c r="A2959" s="71" t="s">
        <v>4620</v>
      </c>
      <c r="B2959" s="67">
        <v>29289559845</v>
      </c>
      <c r="C2959" s="72" t="s">
        <v>4621</v>
      </c>
      <c r="D2959" s="69">
        <v>25585724827</v>
      </c>
      <c r="E2959" s="9">
        <v>1752</v>
      </c>
      <c r="F2959" s="25">
        <v>43051</v>
      </c>
      <c r="G2959" s="70" t="s">
        <v>442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4622</v>
      </c>
      <c r="B2960" s="67"/>
      <c r="C2960" s="29" t="s">
        <v>4623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4624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4625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4626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4627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4628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442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4629</v>
      </c>
      <c r="B2966" s="67">
        <v>32368859802</v>
      </c>
      <c r="C2966" s="68" t="s">
        <v>4630</v>
      </c>
      <c r="D2966" s="69">
        <v>28517056876</v>
      </c>
      <c r="E2966" s="9">
        <v>1343</v>
      </c>
      <c r="F2966" s="25">
        <v>43004</v>
      </c>
      <c r="G2966" s="70" t="s">
        <v>442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4631</v>
      </c>
      <c r="B2967" s="67">
        <v>35104711803</v>
      </c>
      <c r="C2967" s="72" t="s">
        <v>4632</v>
      </c>
      <c r="D2967" s="69">
        <v>34881906844</v>
      </c>
      <c r="E2967" s="9">
        <v>292</v>
      </c>
      <c r="F2967" s="25">
        <v>43168</v>
      </c>
      <c r="G2967" s="9" t="s">
        <v>442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4633</v>
      </c>
      <c r="B2968" s="67">
        <v>23093033802</v>
      </c>
      <c r="C2968" s="29" t="s">
        <v>4634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4635</v>
      </c>
      <c r="B2969" s="67">
        <v>92605494420</v>
      </c>
      <c r="C2969" s="72" t="s">
        <v>4636</v>
      </c>
      <c r="D2969" s="69">
        <v>37622834866</v>
      </c>
      <c r="E2969" s="9">
        <v>608</v>
      </c>
      <c r="F2969" s="25">
        <v>43012</v>
      </c>
      <c r="G2969" s="70" t="s">
        <v>442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4637</v>
      </c>
      <c r="B2970" s="67">
        <v>27646989843</v>
      </c>
      <c r="C2970" s="72" t="s">
        <v>4638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4639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442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4640</v>
      </c>
      <c r="B2972" s="67">
        <v>29312608860</v>
      </c>
      <c r="C2972" s="29" t="s">
        <v>4641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4642</v>
      </c>
      <c r="B2973" s="67"/>
      <c r="C2973" s="29" t="s">
        <v>4643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4644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442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4645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4646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4647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4648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4649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4650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442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4651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442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4652</v>
      </c>
      <c r="B2982" s="67">
        <v>13562151810</v>
      </c>
      <c r="C2982" s="72" t="s">
        <v>4653</v>
      </c>
      <c r="D2982" s="69">
        <v>47393076772</v>
      </c>
      <c r="E2982" s="9">
        <v>292</v>
      </c>
      <c r="F2982" s="25">
        <v>43168</v>
      </c>
      <c r="G2982" s="70" t="s">
        <v>448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4654</v>
      </c>
      <c r="B2983" s="67">
        <v>10488541832</v>
      </c>
      <c r="C2983" s="72" t="s">
        <v>4655</v>
      </c>
      <c r="D2983" s="69">
        <v>8437233860</v>
      </c>
      <c r="E2983" s="9">
        <v>229</v>
      </c>
      <c r="F2983" s="25">
        <v>43151</v>
      </c>
      <c r="G2983" s="70" t="s">
        <v>442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4656</v>
      </c>
      <c r="B2984" s="67">
        <v>52291168894</v>
      </c>
      <c r="C2984" s="29" t="s">
        <v>552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4657</v>
      </c>
      <c r="B2985" s="67">
        <v>32455945855</v>
      </c>
      <c r="C2985" s="77" t="s">
        <v>4658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4659</v>
      </c>
      <c r="B2986" s="67">
        <v>7127228663</v>
      </c>
      <c r="C2986" s="72" t="s">
        <v>4660</v>
      </c>
      <c r="D2986" s="69">
        <v>18053058833</v>
      </c>
      <c r="E2986" s="9">
        <v>1628</v>
      </c>
      <c r="F2986" s="25">
        <v>43077</v>
      </c>
      <c r="G2986" s="70" t="s">
        <v>442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4661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442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4662</v>
      </c>
      <c r="B2988" s="67">
        <v>32318059888</v>
      </c>
      <c r="C2988" s="68" t="s">
        <v>4663</v>
      </c>
      <c r="D2988" s="69">
        <v>38564888807</v>
      </c>
      <c r="E2988" s="9">
        <v>1128</v>
      </c>
      <c r="F2988" s="25">
        <v>42972</v>
      </c>
      <c r="G2988" s="70" t="s">
        <v>442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4664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4665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442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4666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442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4667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442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4668</v>
      </c>
      <c r="B2993" s="67">
        <v>45255799866</v>
      </c>
      <c r="C2993" s="72" t="s">
        <v>4669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4670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442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4671</v>
      </c>
      <c r="B2995" s="67">
        <v>37570860829</v>
      </c>
      <c r="C2995" s="72" t="s">
        <v>4672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4673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442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4674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4675</v>
      </c>
      <c r="B2998" s="67">
        <v>25712620847</v>
      </c>
      <c r="C2998" s="18" t="s">
        <v>4676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4677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722</v>
      </c>
      <c r="M2999" s="8"/>
    </row>
    <row r="3000" spans="1:13" x14ac:dyDescent="0.25">
      <c r="A3000" s="72" t="s">
        <v>4678</v>
      </c>
      <c r="B3000" s="67">
        <v>40000949809</v>
      </c>
      <c r="C3000" s="72" t="s">
        <v>4679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722</v>
      </c>
      <c r="M3000" s="8"/>
    </row>
    <row r="3001" spans="1:13" x14ac:dyDescent="0.25">
      <c r="A3001" s="71" t="s">
        <v>4680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4681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4682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4683</v>
      </c>
      <c r="B3004" s="67"/>
      <c r="C3004" s="29" t="s">
        <v>552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4684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442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4685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4686</v>
      </c>
      <c r="B3007" s="67">
        <v>13517396893</v>
      </c>
      <c r="C3007" s="72" t="s">
        <v>4687</v>
      </c>
      <c r="D3007" s="69">
        <v>61574252453</v>
      </c>
      <c r="E3007" s="9">
        <v>262</v>
      </c>
      <c r="F3007" s="25">
        <v>43160</v>
      </c>
      <c r="G3007" s="70" t="s">
        <v>448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4688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442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4689</v>
      </c>
      <c r="B3009" s="67"/>
      <c r="C3009" s="29" t="s">
        <v>4690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4691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442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4692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442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4693</v>
      </c>
      <c r="B3012" s="67">
        <v>4609966654</v>
      </c>
      <c r="C3012" s="72" t="s">
        <v>4694</v>
      </c>
      <c r="D3012" s="69">
        <v>28402756867</v>
      </c>
      <c r="E3012" s="9">
        <v>292</v>
      </c>
      <c r="F3012" s="25">
        <v>43168</v>
      </c>
      <c r="G3012" s="70" t="s">
        <v>442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4695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442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4696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442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4697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4698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442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4699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4699</v>
      </c>
      <c r="B3018" s="67"/>
      <c r="C3018" s="18" t="s">
        <v>552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4700</v>
      </c>
      <c r="B3019" s="67"/>
      <c r="C3019" s="29" t="s">
        <v>552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4701</v>
      </c>
      <c r="B3020" s="67">
        <v>40882575880</v>
      </c>
      <c r="C3020" s="72" t="s">
        <v>4702</v>
      </c>
      <c r="D3020" s="69">
        <v>39163987848</v>
      </c>
      <c r="E3020" s="9">
        <v>292</v>
      </c>
      <c r="F3020" s="25">
        <v>43168</v>
      </c>
      <c r="G3020" s="70" t="s">
        <v>442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4703</v>
      </c>
      <c r="B3021" s="67"/>
      <c r="C3021" s="29" t="s">
        <v>552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4704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4705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442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4706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4707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4708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4709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442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4710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4711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4712</v>
      </c>
      <c r="B3030" s="67"/>
      <c r="C3030" s="29" t="s">
        <v>552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4713</v>
      </c>
      <c r="B3031" s="67">
        <v>44374068856</v>
      </c>
      <c r="C3031" s="72" t="s">
        <v>4714</v>
      </c>
      <c r="D3031" s="69">
        <v>34698741823</v>
      </c>
      <c r="E3031" s="9">
        <v>1489</v>
      </c>
      <c r="F3031" s="25">
        <v>43038</v>
      </c>
      <c r="G3031" s="70" t="s">
        <v>442</v>
      </c>
      <c r="H3031" s="9"/>
      <c r="I3031" s="8"/>
      <c r="J3031" s="8"/>
      <c r="K3031" s="8"/>
      <c r="L3031" s="9" t="s">
        <v>583</v>
      </c>
      <c r="M3031" s="8"/>
    </row>
    <row r="3032" spans="1:13" x14ac:dyDescent="0.25">
      <c r="A3032" s="71" t="s">
        <v>4715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4716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722</v>
      </c>
      <c r="M3033" s="8"/>
    </row>
    <row r="3034" spans="1:13" x14ac:dyDescent="0.25">
      <c r="A3034" s="71" t="s">
        <v>4717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4718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442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4719</v>
      </c>
      <c r="B3036" s="67">
        <v>46812344869</v>
      </c>
      <c r="C3036" s="72" t="s">
        <v>4720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4721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442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4722</v>
      </c>
      <c r="B3038" s="67">
        <v>70659834634</v>
      </c>
      <c r="C3038" s="68" t="s">
        <v>4723</v>
      </c>
      <c r="D3038" s="69">
        <v>70558795404</v>
      </c>
      <c r="E3038" s="9">
        <v>1267</v>
      </c>
      <c r="F3038" s="25">
        <v>42998</v>
      </c>
      <c r="G3038" s="70" t="s">
        <v>442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4724</v>
      </c>
      <c r="B3039" s="67"/>
      <c r="C3039" s="72" t="s">
        <v>4725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4726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442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4727</v>
      </c>
      <c r="B3041" s="67">
        <v>3867219630</v>
      </c>
      <c r="C3041" s="72" t="s">
        <v>4728</v>
      </c>
      <c r="D3041" s="69">
        <v>4268294503</v>
      </c>
      <c r="E3041" s="9">
        <v>1824</v>
      </c>
      <c r="F3041" s="25">
        <v>43091</v>
      </c>
      <c r="G3041" s="70" t="s">
        <v>442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4729</v>
      </c>
      <c r="B3042" s="67">
        <v>27084341870</v>
      </c>
      <c r="C3042" s="72" t="s">
        <v>746</v>
      </c>
      <c r="D3042" s="69">
        <v>70639957315</v>
      </c>
      <c r="E3042" s="9">
        <v>1214</v>
      </c>
      <c r="F3042" s="25">
        <v>42989</v>
      </c>
      <c r="G3042" s="70" t="s">
        <v>448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4730</v>
      </c>
      <c r="B3043" s="67">
        <v>29697189870</v>
      </c>
      <c r="C3043" s="72" t="s">
        <v>4731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4732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442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4733</v>
      </c>
      <c r="B3045" s="67">
        <v>4055380810</v>
      </c>
      <c r="C3045" s="29" t="s">
        <v>552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4734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442</v>
      </c>
      <c r="H3046" s="25">
        <v>43027</v>
      </c>
      <c r="I3046" s="8"/>
      <c r="J3046" s="8"/>
      <c r="K3046" s="8"/>
      <c r="L3046" s="9" t="s">
        <v>676</v>
      </c>
      <c r="M3046" s="8"/>
    </row>
    <row r="3047" spans="1:13" x14ac:dyDescent="0.25">
      <c r="A3047" s="16" t="s">
        <v>4735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4736</v>
      </c>
      <c r="B3048" s="67">
        <v>99038862504</v>
      </c>
      <c r="C3048" s="72" t="s">
        <v>4737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4738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442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4739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442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4740</v>
      </c>
      <c r="B3051" s="67">
        <v>22505123888</v>
      </c>
      <c r="C3051" s="72" t="s">
        <v>4741</v>
      </c>
      <c r="D3051" s="69">
        <v>39819234808</v>
      </c>
      <c r="E3051" s="9">
        <v>1752</v>
      </c>
      <c r="F3051" s="25">
        <v>43051</v>
      </c>
      <c r="G3051" s="70" t="s">
        <v>442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4742</v>
      </c>
      <c r="B3052" s="67"/>
      <c r="C3052" s="29" t="s">
        <v>552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4743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4744</v>
      </c>
      <c r="B3054" s="67">
        <v>34850143890</v>
      </c>
      <c r="C3054" s="72" t="s">
        <v>4745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4746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442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4747</v>
      </c>
      <c r="B3056" s="67">
        <v>17852199879</v>
      </c>
      <c r="C3056" s="72" t="s">
        <v>4748</v>
      </c>
      <c r="D3056" s="69">
        <v>15255063827</v>
      </c>
      <c r="E3056" s="9">
        <v>1128</v>
      </c>
      <c r="F3056" s="25">
        <v>42972</v>
      </c>
      <c r="G3056" s="70" t="s">
        <v>442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4749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442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4750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4751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442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67" priority="5" stopIfTrue="1"/>
  </conditionalFormatting>
  <conditionalFormatting sqref="A3:A128">
    <cfRule type="duplicateValues" dxfId="66" priority="4" stopIfTrue="1"/>
  </conditionalFormatting>
  <conditionalFormatting sqref="A3:A626">
    <cfRule type="duplicateValues" dxfId="65" priority="1" stopIfTrue="1"/>
  </conditionalFormatting>
  <conditionalFormatting sqref="B2684">
    <cfRule type="duplicateValues" dxfId="64" priority="3" stopIfTrue="1"/>
  </conditionalFormatting>
  <conditionalFormatting sqref="C689">
    <cfRule type="duplicateValues" dxfId="63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2:H1013"/>
  <sheetViews>
    <sheetView workbookViewId="0">
      <selection activeCell="A4" sqref="A4:D5"/>
    </sheetView>
  </sheetViews>
  <sheetFormatPr defaultColWidth="9.140625" defaultRowHeight="20.25" customHeight="1" x14ac:dyDescent="0.25"/>
  <cols>
    <col min="1" max="1" width="25.42578125" style="104" bestFit="1" customWidth="1"/>
    <col min="2" max="2" width="13.7109375" style="104" bestFit="1" customWidth="1"/>
    <col min="3" max="3" width="59.85546875" style="104" bestFit="1" customWidth="1"/>
    <col min="4" max="4" width="27.42578125" style="104" customWidth="1"/>
    <col min="5" max="5" width="30.7109375" style="104" bestFit="1" customWidth="1"/>
    <col min="6" max="6" width="12.28515625" style="104" bestFit="1" customWidth="1"/>
    <col min="7" max="7" width="25.85546875" style="104" customWidth="1"/>
    <col min="8" max="8" width="11.85546875" style="104" bestFit="1" customWidth="1"/>
    <col min="9" max="9" width="22.5703125" style="104" customWidth="1"/>
    <col min="10" max="10" width="26" style="104" bestFit="1" customWidth="1"/>
    <col min="11" max="14" width="9.140625" style="104"/>
    <col min="15" max="15" width="3.140625" style="104" bestFit="1" customWidth="1"/>
    <col min="16" max="16" width="118.85546875" style="104" bestFit="1" customWidth="1"/>
    <col min="17" max="16384" width="9.140625" style="104"/>
  </cols>
  <sheetData>
    <row r="2" spans="1:8" ht="20.25" customHeight="1" x14ac:dyDescent="0.25">
      <c r="E2" s="179" t="s">
        <v>96</v>
      </c>
    </row>
    <row r="3" spans="1:8" ht="20.25" customHeight="1" x14ac:dyDescent="0.25">
      <c r="E3" s="179" t="s">
        <v>61</v>
      </c>
      <c r="F3" s="99" t="s">
        <v>4752</v>
      </c>
      <c r="H3" s="15" t="s">
        <v>4753</v>
      </c>
    </row>
    <row r="4" spans="1:8" ht="20.25" customHeight="1" x14ac:dyDescent="0.25">
      <c r="A4" s="177" t="s">
        <v>39</v>
      </c>
      <c r="B4" s="177" t="s">
        <v>43</v>
      </c>
      <c r="C4" s="178" t="s">
        <v>47</v>
      </c>
      <c r="D4" s="179" t="s">
        <v>4754</v>
      </c>
      <c r="E4" s="179" t="s">
        <v>4754</v>
      </c>
      <c r="F4" s="100" t="s">
        <v>4755</v>
      </c>
      <c r="H4" s="15" t="s">
        <v>4756</v>
      </c>
    </row>
    <row r="5" spans="1:8" ht="20.25" customHeight="1" x14ac:dyDescent="0.25">
      <c r="A5" s="252" t="s">
        <v>99</v>
      </c>
      <c r="B5" s="253" t="s">
        <v>155</v>
      </c>
      <c r="C5" s="253" t="s">
        <v>160</v>
      </c>
      <c r="D5" s="254">
        <v>46260</v>
      </c>
      <c r="F5" s="99" t="s">
        <v>4757</v>
      </c>
      <c r="H5" s="15" t="s">
        <v>4758</v>
      </c>
    </row>
    <row r="6" spans="1:8" ht="20.25" customHeight="1" x14ac:dyDescent="0.25">
      <c r="A6" s="243"/>
      <c r="B6" s="244"/>
      <c r="C6" s="244"/>
      <c r="D6" s="245"/>
      <c r="F6" s="99" t="s">
        <v>4759</v>
      </c>
      <c r="H6" s="15" t="s">
        <v>4760</v>
      </c>
    </row>
    <row r="7" spans="1:8" ht="20.25" customHeight="1" x14ac:dyDescent="0.25">
      <c r="A7" s="243"/>
      <c r="B7" s="244"/>
      <c r="C7" s="244"/>
      <c r="D7" s="245"/>
      <c r="F7" s="99" t="s">
        <v>4761</v>
      </c>
      <c r="H7" s="15" t="s">
        <v>4762</v>
      </c>
    </row>
    <row r="8" spans="1:8" ht="20.25" customHeight="1" x14ac:dyDescent="0.25">
      <c r="A8" s="114"/>
      <c r="B8" s="210"/>
      <c r="C8" s="184"/>
      <c r="D8" s="173"/>
      <c r="F8" s="99" t="s">
        <v>4763</v>
      </c>
      <c r="H8" s="15" t="s">
        <v>4764</v>
      </c>
    </row>
    <row r="9" spans="1:8" ht="20.25" customHeight="1" x14ac:dyDescent="0.25">
      <c r="A9" s="114"/>
      <c r="B9" s="201"/>
      <c r="C9" s="151"/>
      <c r="D9" s="202"/>
      <c r="F9" s="99" t="s">
        <v>4765</v>
      </c>
      <c r="H9" s="15" t="s">
        <v>4766</v>
      </c>
    </row>
    <row r="10" spans="1:8" ht="20.25" customHeight="1" x14ac:dyDescent="0.25">
      <c r="A10" s="113"/>
      <c r="B10" s="199"/>
      <c r="C10" s="132"/>
      <c r="D10" s="200"/>
      <c r="F10" s="99" t="s">
        <v>4756</v>
      </c>
      <c r="H10" s="15" t="s">
        <v>4767</v>
      </c>
    </row>
    <row r="11" spans="1:8" ht="20.25" customHeight="1" x14ac:dyDescent="0.25">
      <c r="A11" s="198"/>
      <c r="B11" s="199"/>
      <c r="C11" s="138"/>
      <c r="D11" s="200"/>
      <c r="F11" s="99" t="s">
        <v>4753</v>
      </c>
      <c r="H11" s="15" t="s">
        <v>4768</v>
      </c>
    </row>
    <row r="12" spans="1:8" ht="20.25" customHeight="1" x14ac:dyDescent="0.25">
      <c r="A12" s="198"/>
      <c r="B12" s="198"/>
      <c r="C12" s="132"/>
      <c r="D12" s="200"/>
      <c r="F12" s="99" t="s">
        <v>4768</v>
      </c>
      <c r="H12" s="15" t="s">
        <v>4769</v>
      </c>
    </row>
    <row r="13" spans="1:8" ht="20.25" customHeight="1" x14ac:dyDescent="0.25">
      <c r="A13" s="114"/>
      <c r="B13" s="114"/>
      <c r="C13" s="114"/>
      <c r="D13" s="188"/>
      <c r="F13" s="99" t="s">
        <v>4767</v>
      </c>
      <c r="H13" s="15" t="s">
        <v>4770</v>
      </c>
    </row>
    <row r="14" spans="1:8" ht="20.25" customHeight="1" x14ac:dyDescent="0.25">
      <c r="A14" s="113"/>
      <c r="B14" s="113"/>
      <c r="C14" s="113"/>
      <c r="D14" s="183"/>
      <c r="F14" s="99" t="s">
        <v>4771</v>
      </c>
      <c r="H14" s="15" t="s">
        <v>4772</v>
      </c>
    </row>
    <row r="15" spans="1:8" ht="20.25" customHeight="1" x14ac:dyDescent="0.25">
      <c r="A15" s="113"/>
      <c r="B15" s="114"/>
      <c r="C15" s="246"/>
      <c r="D15" s="185"/>
      <c r="F15" s="99" t="s">
        <v>4773</v>
      </c>
      <c r="H15" s="15" t="s">
        <v>4774</v>
      </c>
    </row>
    <row r="16" spans="1:8" ht="20.25" customHeight="1" x14ac:dyDescent="0.25">
      <c r="A16" s="113"/>
      <c r="B16" s="113"/>
      <c r="C16" s="247"/>
      <c r="D16" s="175"/>
      <c r="F16" s="99" t="s">
        <v>4775</v>
      </c>
      <c r="H16" s="15" t="s">
        <v>4776</v>
      </c>
    </row>
    <row r="17" spans="1:8" ht="20.25" customHeight="1" x14ac:dyDescent="0.25">
      <c r="A17" s="113"/>
      <c r="B17" s="113"/>
      <c r="C17" s="247"/>
      <c r="D17" s="175"/>
      <c r="F17" s="99" t="s">
        <v>4777</v>
      </c>
      <c r="H17" s="15" t="s">
        <v>4778</v>
      </c>
    </row>
    <row r="18" spans="1:8" ht="20.25" customHeight="1" x14ac:dyDescent="0.25">
      <c r="A18" s="113"/>
      <c r="B18" s="113"/>
      <c r="C18" s="247"/>
      <c r="D18" s="175"/>
      <c r="F18" s="99" t="s">
        <v>4769</v>
      </c>
      <c r="H18" s="15" t="s">
        <v>4765</v>
      </c>
    </row>
    <row r="19" spans="1:8" ht="20.25" customHeight="1" x14ac:dyDescent="0.25">
      <c r="A19" s="113" t="s">
        <v>4779</v>
      </c>
      <c r="B19" s="113" t="s">
        <v>4780</v>
      </c>
      <c r="C19" s="247" t="s">
        <v>4781</v>
      </c>
      <c r="D19" s="175">
        <v>45384</v>
      </c>
      <c r="F19" s="99" t="s">
        <v>4782</v>
      </c>
      <c r="H19" s="15" t="s">
        <v>4783</v>
      </c>
    </row>
    <row r="20" spans="1:8" ht="20.25" customHeight="1" x14ac:dyDescent="0.25">
      <c r="A20" s="113" t="s">
        <v>4779</v>
      </c>
      <c r="B20" s="113" t="s">
        <v>4784</v>
      </c>
      <c r="C20" s="247" t="s">
        <v>4785</v>
      </c>
      <c r="D20" s="175">
        <v>45384</v>
      </c>
      <c r="F20" s="99" t="s">
        <v>4786</v>
      </c>
      <c r="H20" s="15" t="s">
        <v>4775</v>
      </c>
    </row>
    <row r="21" spans="1:8" ht="20.25" customHeight="1" x14ac:dyDescent="0.25">
      <c r="A21" s="113" t="s">
        <v>4779</v>
      </c>
      <c r="B21" s="113" t="s">
        <v>4787</v>
      </c>
      <c r="C21" s="247" t="s">
        <v>4788</v>
      </c>
      <c r="D21" s="175">
        <v>45384</v>
      </c>
      <c r="F21" s="99" t="s">
        <v>4789</v>
      </c>
      <c r="H21" s="15" t="s">
        <v>4790</v>
      </c>
    </row>
    <row r="22" spans="1:8" ht="20.25" customHeight="1" x14ac:dyDescent="0.25">
      <c r="A22" s="151"/>
      <c r="B22" s="114"/>
      <c r="C22" s="248"/>
      <c r="D22" s="188"/>
      <c r="F22" s="99" t="s">
        <v>4791</v>
      </c>
      <c r="H22" s="15" t="s">
        <v>4755</v>
      </c>
    </row>
    <row r="23" spans="1:8" ht="20.25" customHeight="1" x14ac:dyDescent="0.25">
      <c r="A23" s="132"/>
      <c r="B23" s="113"/>
      <c r="C23" s="249"/>
      <c r="D23" s="183"/>
      <c r="F23" s="99" t="s">
        <v>4774</v>
      </c>
      <c r="H23" s="15" t="s">
        <v>4792</v>
      </c>
    </row>
    <row r="24" spans="1:8" ht="20.25" customHeight="1" x14ac:dyDescent="0.25">
      <c r="A24" s="132"/>
      <c r="B24" s="113"/>
      <c r="C24" s="249"/>
      <c r="D24" s="183"/>
      <c r="F24" s="99" t="s">
        <v>4793</v>
      </c>
      <c r="H24" s="15" t="s">
        <v>4794</v>
      </c>
    </row>
    <row r="25" spans="1:8" ht="20.25" customHeight="1" x14ac:dyDescent="0.25">
      <c r="A25" s="113"/>
      <c r="B25" s="113"/>
      <c r="C25" s="247"/>
      <c r="D25" s="183"/>
      <c r="F25" s="99" t="s">
        <v>4770</v>
      </c>
      <c r="H25" s="15" t="s">
        <v>4795</v>
      </c>
    </row>
    <row r="26" spans="1:8" ht="20.25" customHeight="1" x14ac:dyDescent="0.25">
      <c r="A26" s="113"/>
      <c r="B26" s="113"/>
      <c r="C26" s="247"/>
      <c r="D26" s="183"/>
      <c r="F26" s="99" t="s">
        <v>4796</v>
      </c>
      <c r="H26" s="15" t="s">
        <v>4797</v>
      </c>
    </row>
    <row r="27" spans="1:8" ht="20.25" customHeight="1" x14ac:dyDescent="0.25">
      <c r="A27" s="114" t="s">
        <v>4798</v>
      </c>
      <c r="B27" s="114" t="s">
        <v>4799</v>
      </c>
      <c r="C27" s="184" t="s">
        <v>4800</v>
      </c>
      <c r="D27" s="185">
        <v>45247</v>
      </c>
      <c r="F27" s="99" t="s">
        <v>4762</v>
      </c>
      <c r="H27" s="15" t="s">
        <v>4796</v>
      </c>
    </row>
    <row r="28" spans="1:8" ht="20.25" customHeight="1" x14ac:dyDescent="0.25">
      <c r="A28" s="113" t="s">
        <v>4798</v>
      </c>
      <c r="B28" s="113" t="s">
        <v>4760</v>
      </c>
      <c r="C28" s="115" t="s">
        <v>4801</v>
      </c>
      <c r="D28" s="175">
        <v>45247</v>
      </c>
      <c r="F28" s="99" t="s">
        <v>4783</v>
      </c>
      <c r="H28" s="15" t="s">
        <v>4777</v>
      </c>
    </row>
    <row r="29" spans="1:8" ht="20.25" customHeight="1" x14ac:dyDescent="0.25">
      <c r="A29" s="171" t="s">
        <v>4798</v>
      </c>
      <c r="B29" s="172" t="s">
        <v>4802</v>
      </c>
      <c r="C29" s="113" t="s">
        <v>4803</v>
      </c>
      <c r="D29" s="175">
        <v>45247</v>
      </c>
      <c r="F29" s="99" t="s">
        <v>4778</v>
      </c>
      <c r="H29" s="15" t="s">
        <v>4789</v>
      </c>
    </row>
    <row r="30" spans="1:8" ht="20.25" customHeight="1" x14ac:dyDescent="0.25">
      <c r="A30" s="113" t="s">
        <v>4798</v>
      </c>
      <c r="B30" s="113" t="s">
        <v>4804</v>
      </c>
      <c r="C30" s="115" t="s">
        <v>4805</v>
      </c>
      <c r="D30" s="175">
        <v>45247</v>
      </c>
      <c r="F30" s="99" t="s">
        <v>4806</v>
      </c>
      <c r="H30" s="15" t="s">
        <v>4807</v>
      </c>
    </row>
    <row r="31" spans="1:8" ht="20.25" customHeight="1" x14ac:dyDescent="0.25">
      <c r="A31" s="113" t="s">
        <v>4798</v>
      </c>
      <c r="B31" s="113" t="s">
        <v>4808</v>
      </c>
      <c r="C31" s="115" t="s">
        <v>4809</v>
      </c>
      <c r="D31" s="174">
        <v>45244</v>
      </c>
      <c r="F31" s="99" t="s">
        <v>4807</v>
      </c>
      <c r="H31" s="105" t="s">
        <v>4810</v>
      </c>
    </row>
    <row r="32" spans="1:8" ht="20.25" customHeight="1" x14ac:dyDescent="0.25">
      <c r="A32" s="113" t="s">
        <v>4798</v>
      </c>
      <c r="B32" s="113" t="s">
        <v>4811</v>
      </c>
      <c r="C32" s="115" t="s">
        <v>4812</v>
      </c>
      <c r="D32" s="174">
        <v>45243</v>
      </c>
      <c r="F32" s="99" t="s">
        <v>4813</v>
      </c>
      <c r="H32" s="105" t="s">
        <v>4771</v>
      </c>
    </row>
    <row r="33" spans="1:8" ht="20.25" customHeight="1" x14ac:dyDescent="0.25">
      <c r="A33" s="113" t="s">
        <v>4798</v>
      </c>
      <c r="B33" s="113" t="s">
        <v>4814</v>
      </c>
      <c r="C33" s="115" t="s">
        <v>4815</v>
      </c>
      <c r="D33" s="174">
        <v>45243</v>
      </c>
      <c r="F33" s="99" t="s">
        <v>4816</v>
      </c>
      <c r="H33" s="105" t="s">
        <v>4817</v>
      </c>
    </row>
    <row r="34" spans="1:8" ht="20.25" customHeight="1" x14ac:dyDescent="0.25">
      <c r="A34" s="113" t="s">
        <v>4798</v>
      </c>
      <c r="B34" s="113" t="s">
        <v>4818</v>
      </c>
      <c r="C34" s="115" t="s">
        <v>4819</v>
      </c>
      <c r="D34" s="174">
        <v>45243</v>
      </c>
      <c r="F34" s="99" t="s">
        <v>4820</v>
      </c>
      <c r="H34" s="105" t="s">
        <v>4821</v>
      </c>
    </row>
    <row r="35" spans="1:8" ht="20.25" customHeight="1" x14ac:dyDescent="0.25">
      <c r="A35" s="113" t="s">
        <v>4798</v>
      </c>
      <c r="B35" s="113" t="s">
        <v>4822</v>
      </c>
      <c r="C35" s="115" t="s">
        <v>4823</v>
      </c>
      <c r="D35" s="174">
        <v>45243</v>
      </c>
      <c r="F35" s="99" t="s">
        <v>4824</v>
      </c>
      <c r="H35" s="105" t="s">
        <v>4825</v>
      </c>
    </row>
    <row r="36" spans="1:8" ht="20.25" customHeight="1" x14ac:dyDescent="0.25">
      <c r="A36" s="157"/>
      <c r="B36" s="114"/>
      <c r="C36" s="176"/>
      <c r="D36" s="173"/>
      <c r="F36" s="99" t="s">
        <v>4826</v>
      </c>
      <c r="H36" s="105" t="s">
        <v>4782</v>
      </c>
    </row>
    <row r="37" spans="1:8" ht="20.25" customHeight="1" x14ac:dyDescent="0.25">
      <c r="A37" s="131"/>
      <c r="B37" s="113"/>
      <c r="C37" s="138"/>
      <c r="D37" s="170"/>
      <c r="F37" s="99" t="s">
        <v>4827</v>
      </c>
      <c r="H37" s="105" t="s">
        <v>4828</v>
      </c>
    </row>
    <row r="38" spans="1:8" ht="20.25" customHeight="1" x14ac:dyDescent="0.25">
      <c r="A38" s="113"/>
      <c r="B38" s="113"/>
      <c r="C38" s="163"/>
      <c r="D38" s="170"/>
      <c r="F38" s="99" t="s">
        <v>4829</v>
      </c>
      <c r="H38" s="105" t="s">
        <v>4757</v>
      </c>
    </row>
    <row r="39" spans="1:8" ht="20.25" customHeight="1" x14ac:dyDescent="0.25">
      <c r="A39" s="113"/>
      <c r="B39" s="113"/>
      <c r="C39" s="167"/>
      <c r="D39" s="170"/>
      <c r="F39" s="99" t="s">
        <v>4830</v>
      </c>
      <c r="H39" s="105" t="s">
        <v>4752</v>
      </c>
    </row>
    <row r="40" spans="1:8" ht="20.25" customHeight="1" x14ac:dyDescent="0.25">
      <c r="A40" s="113"/>
      <c r="B40" s="113"/>
      <c r="C40" s="167"/>
      <c r="D40" s="170"/>
      <c r="F40" s="99" t="s">
        <v>4831</v>
      </c>
      <c r="H40" s="105" t="s">
        <v>4824</v>
      </c>
    </row>
    <row r="41" spans="1:8" ht="20.25" customHeight="1" x14ac:dyDescent="0.25">
      <c r="A41" s="113"/>
      <c r="B41" s="172"/>
      <c r="C41" s="132"/>
      <c r="D41" s="170"/>
      <c r="F41" s="99" t="s">
        <v>4832</v>
      </c>
      <c r="H41" s="105" t="s">
        <v>4829</v>
      </c>
    </row>
    <row r="42" spans="1:8" ht="20.25" customHeight="1" x14ac:dyDescent="0.25">
      <c r="A42" s="113"/>
      <c r="B42" s="113"/>
      <c r="C42" s="115"/>
      <c r="D42" s="170"/>
      <c r="F42" s="250" t="s">
        <v>4760</v>
      </c>
      <c r="H42" s="15" t="s">
        <v>4830</v>
      </c>
    </row>
    <row r="43" spans="1:8" ht="20.25" customHeight="1" x14ac:dyDescent="0.25">
      <c r="A43" s="113" t="s">
        <v>4798</v>
      </c>
      <c r="B43" s="113" t="s">
        <v>4808</v>
      </c>
      <c r="C43" s="115" t="s">
        <v>4809</v>
      </c>
      <c r="D43" s="170">
        <v>45224</v>
      </c>
      <c r="F43" s="99" t="s">
        <v>4833</v>
      </c>
      <c r="H43" s="15" t="s">
        <v>4834</v>
      </c>
    </row>
    <row r="44" spans="1:8" ht="20.25" customHeight="1" x14ac:dyDescent="0.25">
      <c r="A44" s="113" t="s">
        <v>4798</v>
      </c>
      <c r="B44" s="113" t="s">
        <v>4811</v>
      </c>
      <c r="C44" s="115" t="s">
        <v>4812</v>
      </c>
      <c r="D44" s="170">
        <v>45224</v>
      </c>
      <c r="F44" s="99" t="s">
        <v>4835</v>
      </c>
      <c r="H44" s="15" t="s">
        <v>4813</v>
      </c>
    </row>
    <row r="45" spans="1:8" ht="20.25" customHeight="1" x14ac:dyDescent="0.25">
      <c r="A45" s="113" t="s">
        <v>4798</v>
      </c>
      <c r="B45" s="113" t="s">
        <v>4814</v>
      </c>
      <c r="C45" s="115" t="s">
        <v>4815</v>
      </c>
      <c r="D45" s="170">
        <v>45224</v>
      </c>
      <c r="F45" s="250" t="s">
        <v>4828</v>
      </c>
      <c r="H45" s="15" t="s">
        <v>4836</v>
      </c>
    </row>
    <row r="46" spans="1:8" ht="20.25" customHeight="1" x14ac:dyDescent="0.25">
      <c r="A46" s="113" t="s">
        <v>4798</v>
      </c>
      <c r="B46" s="113" t="s">
        <v>4818</v>
      </c>
      <c r="C46" s="115" t="s">
        <v>4819</v>
      </c>
      <c r="D46" s="170">
        <v>45224</v>
      </c>
      <c r="F46" s="99" t="s">
        <v>4772</v>
      </c>
      <c r="H46" s="15" t="s">
        <v>4837</v>
      </c>
    </row>
    <row r="47" spans="1:8" ht="20.25" customHeight="1" x14ac:dyDescent="0.25">
      <c r="A47" s="113" t="s">
        <v>4798</v>
      </c>
      <c r="B47" s="113" t="s">
        <v>4822</v>
      </c>
      <c r="C47" s="115" t="s">
        <v>4823</v>
      </c>
      <c r="D47" s="170">
        <v>45224</v>
      </c>
      <c r="F47" s="99" t="s">
        <v>4821</v>
      </c>
      <c r="H47" s="15" t="s">
        <v>4759</v>
      </c>
    </row>
    <row r="48" spans="1:8" ht="20.25" customHeight="1" x14ac:dyDescent="0.25">
      <c r="A48" s="155"/>
      <c r="B48" s="155"/>
      <c r="C48" s="151"/>
      <c r="D48" s="159"/>
      <c r="F48" s="250" t="s">
        <v>4838</v>
      </c>
      <c r="H48" s="15" t="s">
        <v>4831</v>
      </c>
    </row>
    <row r="49" spans="1:8" ht="20.25" customHeight="1" x14ac:dyDescent="0.25">
      <c r="A49" s="153"/>
      <c r="B49" s="153"/>
      <c r="C49" s="132"/>
      <c r="D49" s="136"/>
      <c r="F49" s="99" t="s">
        <v>4836</v>
      </c>
      <c r="H49" s="15" t="s">
        <v>4839</v>
      </c>
    </row>
    <row r="50" spans="1:8" ht="20.25" customHeight="1" x14ac:dyDescent="0.25">
      <c r="A50" s="153"/>
      <c r="B50" s="153"/>
      <c r="C50" s="132"/>
      <c r="D50" s="136"/>
      <c r="F50" s="99" t="s">
        <v>4764</v>
      </c>
      <c r="H50" s="15" t="s">
        <v>4840</v>
      </c>
    </row>
    <row r="51" spans="1:8" ht="20.25" customHeight="1" x14ac:dyDescent="0.25">
      <c r="A51" s="153"/>
      <c r="B51" s="153"/>
      <c r="C51" s="138"/>
      <c r="D51" s="136"/>
      <c r="F51" s="102" t="s">
        <v>4802</v>
      </c>
      <c r="H51" s="15" t="s">
        <v>4832</v>
      </c>
    </row>
    <row r="52" spans="1:8" ht="20.25" customHeight="1" x14ac:dyDescent="0.25">
      <c r="A52" s="153"/>
      <c r="B52" s="153"/>
      <c r="C52" s="138"/>
      <c r="D52" s="136"/>
      <c r="F52" s="99" t="s">
        <v>4792</v>
      </c>
      <c r="H52" s="15" t="s">
        <v>4841</v>
      </c>
    </row>
    <row r="53" spans="1:8" ht="20.25" customHeight="1" x14ac:dyDescent="0.25">
      <c r="A53" s="153"/>
      <c r="B53" s="153"/>
      <c r="C53" s="138"/>
      <c r="D53" s="136"/>
      <c r="F53" s="99" t="s">
        <v>4841</v>
      </c>
      <c r="H53" s="15" t="s">
        <v>4826</v>
      </c>
    </row>
    <row r="54" spans="1:8" ht="20.25" customHeight="1" x14ac:dyDescent="0.25">
      <c r="A54" s="153"/>
      <c r="B54" s="153"/>
      <c r="C54" s="138"/>
      <c r="D54" s="136"/>
      <c r="F54" s="99" t="s">
        <v>4766</v>
      </c>
      <c r="H54" s="15" t="s">
        <v>4833</v>
      </c>
    </row>
    <row r="55" spans="1:8" ht="20.25" customHeight="1" x14ac:dyDescent="0.25">
      <c r="A55" s="153"/>
      <c r="B55" s="153"/>
      <c r="C55" s="138"/>
      <c r="D55" s="136"/>
      <c r="F55" s="101" t="s">
        <v>4810</v>
      </c>
      <c r="H55" s="15" t="s">
        <v>4793</v>
      </c>
    </row>
    <row r="56" spans="1:8" ht="20.25" customHeight="1" x14ac:dyDescent="0.25">
      <c r="A56" s="153"/>
      <c r="B56" s="153"/>
      <c r="C56" s="138"/>
      <c r="D56" s="136"/>
      <c r="F56" s="99" t="s">
        <v>4817</v>
      </c>
      <c r="H56" s="15" t="s">
        <v>4761</v>
      </c>
    </row>
    <row r="57" spans="1:8" ht="20.25" customHeight="1" x14ac:dyDescent="0.25">
      <c r="A57" s="153"/>
      <c r="B57" s="153"/>
      <c r="C57" s="138"/>
      <c r="D57" s="136"/>
      <c r="F57" s="99" t="s">
        <v>4794</v>
      </c>
      <c r="H57" s="15" t="s">
        <v>4773</v>
      </c>
    </row>
    <row r="58" spans="1:8" ht="20.25" customHeight="1" x14ac:dyDescent="0.25">
      <c r="A58" s="153"/>
      <c r="B58" s="153"/>
      <c r="C58" s="138"/>
      <c r="D58" s="136"/>
      <c r="F58" s="99" t="s">
        <v>4797</v>
      </c>
    </row>
    <row r="59" spans="1:8" ht="20.25" customHeight="1" x14ac:dyDescent="0.25">
      <c r="A59" s="153"/>
      <c r="B59" s="153"/>
      <c r="C59" s="138"/>
      <c r="D59" s="136"/>
      <c r="F59" s="103" t="s">
        <v>4834</v>
      </c>
    </row>
    <row r="60" spans="1:8" ht="20.25" customHeight="1" x14ac:dyDescent="0.25">
      <c r="A60" s="153"/>
      <c r="B60" s="153"/>
      <c r="C60" s="132"/>
      <c r="D60" s="136"/>
      <c r="F60" s="103" t="s">
        <v>4839</v>
      </c>
    </row>
    <row r="61" spans="1:8" ht="20.25" customHeight="1" x14ac:dyDescent="0.25">
      <c r="A61" s="153"/>
      <c r="B61" s="153"/>
      <c r="C61" s="138"/>
      <c r="D61" s="136"/>
    </row>
    <row r="62" spans="1:8" ht="20.25" customHeight="1" x14ac:dyDescent="0.25">
      <c r="A62" s="153"/>
      <c r="B62" s="153"/>
      <c r="C62" s="138"/>
      <c r="D62" s="136"/>
    </row>
    <row r="63" spans="1:8" ht="20.25" customHeight="1" x14ac:dyDescent="0.25">
      <c r="A63" s="153" t="s">
        <v>4798</v>
      </c>
      <c r="B63" s="153" t="s">
        <v>4842</v>
      </c>
      <c r="C63" s="138" t="s">
        <v>4843</v>
      </c>
      <c r="D63" s="136">
        <v>45224</v>
      </c>
    </row>
    <row r="64" spans="1:8" ht="20.25" customHeight="1" x14ac:dyDescent="0.25">
      <c r="A64" s="153" t="s">
        <v>4798</v>
      </c>
      <c r="B64" s="153" t="s">
        <v>4844</v>
      </c>
      <c r="C64" s="138" t="s">
        <v>4845</v>
      </c>
      <c r="D64" s="136">
        <v>45224</v>
      </c>
    </row>
    <row r="65" spans="1:4" ht="20.25" customHeight="1" x14ac:dyDescent="0.25">
      <c r="A65" s="153" t="s">
        <v>4798</v>
      </c>
      <c r="B65" s="153" t="s">
        <v>4846</v>
      </c>
      <c r="C65" s="138" t="s">
        <v>4847</v>
      </c>
      <c r="D65" s="136">
        <v>45224</v>
      </c>
    </row>
    <row r="66" spans="1:4" ht="20.25" customHeight="1" x14ac:dyDescent="0.25">
      <c r="A66" s="153" t="s">
        <v>4798</v>
      </c>
      <c r="B66" s="153" t="s">
        <v>4848</v>
      </c>
      <c r="C66" s="138" t="s">
        <v>4849</v>
      </c>
      <c r="D66" s="136">
        <v>45224</v>
      </c>
    </row>
    <row r="67" spans="1:4" ht="20.25" customHeight="1" x14ac:dyDescent="0.25">
      <c r="A67" s="153" t="s">
        <v>4798</v>
      </c>
      <c r="B67" s="153" t="s">
        <v>4850</v>
      </c>
      <c r="C67" s="138" t="s">
        <v>4851</v>
      </c>
      <c r="D67" s="136">
        <v>45224</v>
      </c>
    </row>
    <row r="68" spans="1:4" ht="20.25" customHeight="1" x14ac:dyDescent="0.25">
      <c r="A68" s="153" t="s">
        <v>4798</v>
      </c>
      <c r="B68" s="153" t="s">
        <v>4852</v>
      </c>
      <c r="C68" s="138" t="s">
        <v>4853</v>
      </c>
      <c r="D68" s="136">
        <v>45224</v>
      </c>
    </row>
    <row r="69" spans="1:4" ht="20.25" customHeight="1" x14ac:dyDescent="0.25">
      <c r="A69" s="153" t="s">
        <v>4798</v>
      </c>
      <c r="B69" s="153" t="s">
        <v>4854</v>
      </c>
      <c r="C69" s="138" t="s">
        <v>4855</v>
      </c>
      <c r="D69" s="136">
        <v>45224</v>
      </c>
    </row>
    <row r="70" spans="1:4" ht="20.25" customHeight="1" x14ac:dyDescent="0.25">
      <c r="A70" s="153" t="s">
        <v>4798</v>
      </c>
      <c r="B70" s="153" t="s">
        <v>4856</v>
      </c>
      <c r="C70" s="138" t="s">
        <v>4857</v>
      </c>
      <c r="D70" s="136">
        <v>45224</v>
      </c>
    </row>
    <row r="71" spans="1:4" ht="20.25" customHeight="1" x14ac:dyDescent="0.25">
      <c r="A71" s="153" t="s">
        <v>4798</v>
      </c>
      <c r="B71" s="153" t="s">
        <v>4858</v>
      </c>
      <c r="C71" s="138" t="s">
        <v>4859</v>
      </c>
      <c r="D71" s="136">
        <v>45224</v>
      </c>
    </row>
    <row r="72" spans="1:4" ht="20.25" customHeight="1" x14ac:dyDescent="0.25">
      <c r="A72" s="153" t="s">
        <v>4798</v>
      </c>
      <c r="B72" s="153" t="s">
        <v>4860</v>
      </c>
      <c r="C72" s="138" t="s">
        <v>4861</v>
      </c>
      <c r="D72" s="136">
        <v>45224</v>
      </c>
    </row>
    <row r="73" spans="1:4" ht="20.25" customHeight="1" x14ac:dyDescent="0.25">
      <c r="A73" s="153" t="s">
        <v>4798</v>
      </c>
      <c r="B73" s="153" t="s">
        <v>4862</v>
      </c>
      <c r="C73" s="138" t="s">
        <v>4863</v>
      </c>
      <c r="D73" s="136">
        <v>45224</v>
      </c>
    </row>
    <row r="74" spans="1:4" ht="20.25" customHeight="1" x14ac:dyDescent="0.25">
      <c r="A74" s="153" t="s">
        <v>4798</v>
      </c>
      <c r="B74" s="153" t="s">
        <v>4864</v>
      </c>
      <c r="C74" s="132" t="s">
        <v>4865</v>
      </c>
      <c r="D74" s="136">
        <v>45224</v>
      </c>
    </row>
    <row r="75" spans="1:4" ht="20.25" customHeight="1" x14ac:dyDescent="0.25">
      <c r="A75" s="153" t="s">
        <v>4798</v>
      </c>
      <c r="B75" s="153" t="s">
        <v>4866</v>
      </c>
      <c r="C75" s="132" t="s">
        <v>4867</v>
      </c>
      <c r="D75" s="136">
        <v>45224</v>
      </c>
    </row>
    <row r="76" spans="1:4" ht="20.25" customHeight="1" x14ac:dyDescent="0.25">
      <c r="A76" s="153" t="s">
        <v>4798</v>
      </c>
      <c r="B76" s="153" t="s">
        <v>4868</v>
      </c>
      <c r="C76" s="138" t="s">
        <v>4869</v>
      </c>
      <c r="D76" s="136">
        <v>45224</v>
      </c>
    </row>
    <row r="77" spans="1:4" ht="20.25" customHeight="1" x14ac:dyDescent="0.25">
      <c r="A77" s="153" t="s">
        <v>4798</v>
      </c>
      <c r="B77" s="153" t="s">
        <v>4870</v>
      </c>
      <c r="C77" s="132" t="s">
        <v>4871</v>
      </c>
      <c r="D77" s="136">
        <v>45224</v>
      </c>
    </row>
    <row r="78" spans="1:4" ht="20.25" customHeight="1" x14ac:dyDescent="0.25">
      <c r="A78" s="153" t="s">
        <v>4798</v>
      </c>
      <c r="B78" s="153" t="s">
        <v>4872</v>
      </c>
      <c r="C78" s="132" t="s">
        <v>4873</v>
      </c>
      <c r="D78" s="136">
        <v>45224</v>
      </c>
    </row>
    <row r="79" spans="1:4" ht="20.25" customHeight="1" x14ac:dyDescent="0.25">
      <c r="A79" s="153" t="s">
        <v>4798</v>
      </c>
      <c r="B79" s="153" t="s">
        <v>4874</v>
      </c>
      <c r="C79" s="138" t="s">
        <v>4875</v>
      </c>
      <c r="D79" s="136">
        <v>45224</v>
      </c>
    </row>
    <row r="80" spans="1:4" ht="20.25" customHeight="1" x14ac:dyDescent="0.25">
      <c r="A80" s="153" t="s">
        <v>4798</v>
      </c>
      <c r="B80" s="153" t="s">
        <v>4876</v>
      </c>
      <c r="C80" s="132" t="s">
        <v>4877</v>
      </c>
      <c r="D80" s="136">
        <v>45224</v>
      </c>
    </row>
    <row r="81" spans="1:4" ht="20.25" customHeight="1" x14ac:dyDescent="0.25">
      <c r="A81" s="153" t="s">
        <v>4798</v>
      </c>
      <c r="B81" s="153" t="s">
        <v>4878</v>
      </c>
      <c r="C81" s="132" t="s">
        <v>4877</v>
      </c>
      <c r="D81" s="136">
        <v>45224</v>
      </c>
    </row>
    <row r="82" spans="1:4" ht="20.25" customHeight="1" x14ac:dyDescent="0.25">
      <c r="A82" s="153" t="s">
        <v>4798</v>
      </c>
      <c r="B82" s="153" t="s">
        <v>4879</v>
      </c>
      <c r="C82" s="132" t="s">
        <v>4880</v>
      </c>
      <c r="D82" s="136">
        <v>45224</v>
      </c>
    </row>
    <row r="83" spans="1:4" ht="20.25" customHeight="1" x14ac:dyDescent="0.25">
      <c r="A83" s="153" t="s">
        <v>4798</v>
      </c>
      <c r="B83" s="153" t="s">
        <v>4881</v>
      </c>
      <c r="C83" s="132" t="s">
        <v>4882</v>
      </c>
      <c r="D83" s="136">
        <v>45224</v>
      </c>
    </row>
    <row r="84" spans="1:4" ht="20.25" customHeight="1" x14ac:dyDescent="0.25">
      <c r="A84" s="153" t="s">
        <v>4798</v>
      </c>
      <c r="B84" s="153" t="s">
        <v>4883</v>
      </c>
      <c r="C84" s="132" t="s">
        <v>4884</v>
      </c>
      <c r="D84" s="136">
        <v>45224</v>
      </c>
    </row>
    <row r="85" spans="1:4" ht="20.25" customHeight="1" x14ac:dyDescent="0.25">
      <c r="A85" s="153" t="s">
        <v>4798</v>
      </c>
      <c r="B85" s="153" t="s">
        <v>4885</v>
      </c>
      <c r="C85" s="132" t="s">
        <v>4886</v>
      </c>
      <c r="D85" s="136">
        <v>45224</v>
      </c>
    </row>
    <row r="86" spans="1:4" ht="20.25" customHeight="1" x14ac:dyDescent="0.25">
      <c r="A86" s="153" t="s">
        <v>4798</v>
      </c>
      <c r="B86" s="153" t="s">
        <v>4887</v>
      </c>
      <c r="C86" s="132" t="s">
        <v>4888</v>
      </c>
      <c r="D86" s="136">
        <v>45224</v>
      </c>
    </row>
    <row r="87" spans="1:4" ht="20.25" customHeight="1" x14ac:dyDescent="0.25">
      <c r="A87" s="153" t="s">
        <v>4798</v>
      </c>
      <c r="B87" s="153" t="s">
        <v>4889</v>
      </c>
      <c r="C87" s="132" t="s">
        <v>4890</v>
      </c>
      <c r="D87" s="136">
        <v>45224</v>
      </c>
    </row>
    <row r="88" spans="1:4" ht="20.25" customHeight="1" x14ac:dyDescent="0.25">
      <c r="A88" s="153" t="s">
        <v>4798</v>
      </c>
      <c r="B88" s="153" t="s">
        <v>4891</v>
      </c>
      <c r="C88" s="132" t="s">
        <v>4892</v>
      </c>
      <c r="D88" s="136">
        <v>45224</v>
      </c>
    </row>
    <row r="89" spans="1:4" ht="20.25" customHeight="1" x14ac:dyDescent="0.25">
      <c r="A89" s="153" t="s">
        <v>4798</v>
      </c>
      <c r="B89" s="153" t="s">
        <v>4893</v>
      </c>
      <c r="C89" s="132" t="s">
        <v>4894</v>
      </c>
      <c r="D89" s="136">
        <v>45224</v>
      </c>
    </row>
    <row r="90" spans="1:4" ht="20.25" customHeight="1" x14ac:dyDescent="0.25">
      <c r="A90" s="153" t="s">
        <v>4798</v>
      </c>
      <c r="B90" s="153" t="s">
        <v>4895</v>
      </c>
      <c r="C90" s="132" t="s">
        <v>4896</v>
      </c>
      <c r="D90" s="136">
        <v>45224</v>
      </c>
    </row>
    <row r="91" spans="1:4" ht="20.25" customHeight="1" x14ac:dyDescent="0.25">
      <c r="A91" s="153" t="s">
        <v>4798</v>
      </c>
      <c r="B91" s="153" t="s">
        <v>4804</v>
      </c>
      <c r="C91" s="132" t="s">
        <v>4897</v>
      </c>
      <c r="D91" s="136">
        <v>45224</v>
      </c>
    </row>
    <row r="92" spans="1:4" ht="20.25" customHeight="1" x14ac:dyDescent="0.25">
      <c r="A92" s="153" t="s">
        <v>4798</v>
      </c>
      <c r="B92" s="153" t="s">
        <v>4898</v>
      </c>
      <c r="C92" s="132" t="s">
        <v>103</v>
      </c>
      <c r="D92" s="136">
        <v>45224</v>
      </c>
    </row>
    <row r="93" spans="1:4" ht="20.25" customHeight="1" x14ac:dyDescent="0.25">
      <c r="A93" s="153" t="s">
        <v>4798</v>
      </c>
      <c r="B93" s="153" t="s">
        <v>4899</v>
      </c>
      <c r="C93" s="132" t="s">
        <v>4900</v>
      </c>
      <c r="D93" s="136">
        <v>45224</v>
      </c>
    </row>
    <row r="94" spans="1:4" ht="20.25" customHeight="1" x14ac:dyDescent="0.25">
      <c r="A94" s="153" t="s">
        <v>4798</v>
      </c>
      <c r="B94" s="153" t="s">
        <v>4901</v>
      </c>
      <c r="C94" s="138" t="s">
        <v>4902</v>
      </c>
      <c r="D94" s="136">
        <v>45224</v>
      </c>
    </row>
    <row r="95" spans="1:4" ht="20.25" customHeight="1" x14ac:dyDescent="0.25">
      <c r="A95" s="153" t="s">
        <v>4798</v>
      </c>
      <c r="B95" s="153" t="s">
        <v>4903</v>
      </c>
      <c r="C95" s="138" t="s">
        <v>4904</v>
      </c>
      <c r="D95" s="136">
        <v>45224</v>
      </c>
    </row>
    <row r="96" spans="1:4" ht="20.25" customHeight="1" x14ac:dyDescent="0.25">
      <c r="A96" s="153" t="s">
        <v>4798</v>
      </c>
      <c r="B96" s="153" t="s">
        <v>4905</v>
      </c>
      <c r="C96" s="132" t="s">
        <v>4906</v>
      </c>
      <c r="D96" s="136">
        <v>45224</v>
      </c>
    </row>
    <row r="97" spans="1:4" ht="20.25" customHeight="1" x14ac:dyDescent="0.25">
      <c r="A97" s="153" t="s">
        <v>4798</v>
      </c>
      <c r="B97" s="153" t="s">
        <v>4907</v>
      </c>
      <c r="C97" s="132" t="s">
        <v>4908</v>
      </c>
      <c r="D97" s="136">
        <v>45224</v>
      </c>
    </row>
    <row r="98" spans="1:4" ht="20.25" customHeight="1" x14ac:dyDescent="0.25">
      <c r="A98" s="153" t="s">
        <v>4798</v>
      </c>
      <c r="B98" s="153" t="s">
        <v>4909</v>
      </c>
      <c r="C98" s="132" t="s">
        <v>4910</v>
      </c>
      <c r="D98" s="131" t="s">
        <v>24</v>
      </c>
    </row>
    <row r="99" spans="1:4" ht="20.25" customHeight="1" x14ac:dyDescent="0.25">
      <c r="A99" s="153" t="s">
        <v>4798</v>
      </c>
      <c r="B99" s="153" t="s">
        <v>4911</v>
      </c>
      <c r="C99" s="132" t="s">
        <v>4912</v>
      </c>
      <c r="D99" s="136">
        <v>45049</v>
      </c>
    </row>
    <row r="100" spans="1:4" ht="20.25" customHeight="1" x14ac:dyDescent="0.25">
      <c r="A100" s="153" t="s">
        <v>4798</v>
      </c>
      <c r="B100" s="251" t="s">
        <v>4913</v>
      </c>
      <c r="C100" s="132" t="s">
        <v>4914</v>
      </c>
      <c r="D100" s="131" t="s">
        <v>24</v>
      </c>
    </row>
    <row r="101" spans="1:4" ht="20.25" customHeight="1" x14ac:dyDescent="0.25">
      <c r="A101" s="153" t="s">
        <v>4798</v>
      </c>
      <c r="B101" s="251" t="s">
        <v>4915</v>
      </c>
      <c r="C101" s="132" t="s">
        <v>4916</v>
      </c>
      <c r="D101" s="131" t="s">
        <v>24</v>
      </c>
    </row>
    <row r="102" spans="1:4" ht="20.25" customHeight="1" x14ac:dyDescent="0.25">
      <c r="B102" s="154"/>
      <c r="C102" s="132" t="s">
        <v>4917</v>
      </c>
      <c r="D102" s="131" t="s">
        <v>24</v>
      </c>
    </row>
    <row r="103" spans="1:4" ht="20.25" customHeight="1" x14ac:dyDescent="0.25">
      <c r="B103" s="108"/>
      <c r="C103" s="132" t="s">
        <v>4918</v>
      </c>
      <c r="D103" s="133">
        <v>44910</v>
      </c>
    </row>
    <row r="104" spans="1:4" ht="20.25" customHeight="1" x14ac:dyDescent="0.25">
      <c r="B104" s="108"/>
      <c r="C104" s="132" t="s">
        <v>4919</v>
      </c>
      <c r="D104" s="133">
        <v>44840</v>
      </c>
    </row>
    <row r="105" spans="1:4" ht="20.25" customHeight="1" x14ac:dyDescent="0.25">
      <c r="B105" s="108"/>
      <c r="C105" s="132" t="s">
        <v>4920</v>
      </c>
      <c r="D105" s="131" t="s">
        <v>24</v>
      </c>
    </row>
    <row r="106" spans="1:4" ht="20.25" customHeight="1" x14ac:dyDescent="0.25">
      <c r="B106" s="108"/>
      <c r="C106" s="132" t="s">
        <v>4921</v>
      </c>
      <c r="D106" s="131" t="s">
        <v>24</v>
      </c>
    </row>
    <row r="107" spans="1:4" ht="20.25" customHeight="1" x14ac:dyDescent="0.25">
      <c r="B107" s="108"/>
      <c r="C107" s="132" t="s">
        <v>4922</v>
      </c>
      <c r="D107" s="133">
        <v>44877</v>
      </c>
    </row>
    <row r="108" spans="1:4" ht="20.25" customHeight="1" x14ac:dyDescent="0.25">
      <c r="B108" s="108"/>
      <c r="C108" s="132" t="s">
        <v>4923</v>
      </c>
      <c r="D108" s="131" t="s">
        <v>24</v>
      </c>
    </row>
    <row r="109" spans="1:4" ht="20.25" customHeight="1" x14ac:dyDescent="0.25">
      <c r="B109" s="108"/>
      <c r="C109" s="138" t="s">
        <v>4924</v>
      </c>
      <c r="D109" s="131" t="s">
        <v>24</v>
      </c>
    </row>
    <row r="110" spans="1:4" ht="20.25" customHeight="1" x14ac:dyDescent="0.25">
      <c r="B110" s="108"/>
      <c r="C110" s="138" t="s">
        <v>4925</v>
      </c>
      <c r="D110" s="133">
        <v>44840</v>
      </c>
    </row>
    <row r="111" spans="1:4" ht="20.25" customHeight="1" x14ac:dyDescent="0.25">
      <c r="B111" s="108"/>
      <c r="C111" s="132" t="s">
        <v>4926</v>
      </c>
      <c r="D111" s="131" t="s">
        <v>24</v>
      </c>
    </row>
    <row r="112" spans="1:4" ht="20.25" customHeight="1" x14ac:dyDescent="0.25">
      <c r="B112" s="108"/>
      <c r="C112" s="138" t="s">
        <v>4927</v>
      </c>
      <c r="D112" s="131" t="s">
        <v>24</v>
      </c>
    </row>
    <row r="113" spans="2:4" ht="20.25" customHeight="1" x14ac:dyDescent="0.25">
      <c r="B113" s="108"/>
      <c r="C113" s="132" t="s">
        <v>4928</v>
      </c>
      <c r="D113" s="131" t="s">
        <v>24</v>
      </c>
    </row>
    <row r="114" spans="2:4" ht="20.25" customHeight="1" x14ac:dyDescent="0.25">
      <c r="B114" s="108"/>
      <c r="C114" s="132" t="s">
        <v>4929</v>
      </c>
      <c r="D114" s="131" t="s">
        <v>24</v>
      </c>
    </row>
    <row r="115" spans="2:4" ht="20.25" customHeight="1" x14ac:dyDescent="0.25">
      <c r="B115" s="116" t="s">
        <v>4930</v>
      </c>
      <c r="C115" s="138" t="s">
        <v>4931</v>
      </c>
      <c r="D115" s="131" t="s">
        <v>24</v>
      </c>
    </row>
    <row r="116" spans="2:4" ht="20.25" customHeight="1" x14ac:dyDescent="0.25">
      <c r="B116" s="116" t="s">
        <v>4932</v>
      </c>
      <c r="C116" s="132" t="s">
        <v>4933</v>
      </c>
      <c r="D116" s="131" t="s">
        <v>24</v>
      </c>
    </row>
    <row r="117" spans="2:4" ht="20.25" customHeight="1" x14ac:dyDescent="0.25">
      <c r="B117" s="108" t="s">
        <v>4934</v>
      </c>
      <c r="C117" s="132" t="s">
        <v>4935</v>
      </c>
      <c r="D117" s="131" t="s">
        <v>24</v>
      </c>
    </row>
    <row r="118" spans="2:4" ht="20.25" customHeight="1" x14ac:dyDescent="0.25">
      <c r="B118" s="108" t="s">
        <v>4936</v>
      </c>
      <c r="C118" s="138" t="s">
        <v>4937</v>
      </c>
      <c r="D118" s="131" t="s">
        <v>24</v>
      </c>
    </row>
    <row r="119" spans="2:4" ht="20.25" customHeight="1" x14ac:dyDescent="0.25">
      <c r="B119" s="108" t="s">
        <v>4938</v>
      </c>
      <c r="C119" s="138" t="s">
        <v>4882</v>
      </c>
      <c r="D119" s="131" t="s">
        <v>24</v>
      </c>
    </row>
    <row r="120" spans="2:4" ht="20.25" customHeight="1" x14ac:dyDescent="0.25">
      <c r="B120" s="108" t="s">
        <v>4939</v>
      </c>
      <c r="C120" s="132" t="s">
        <v>4940</v>
      </c>
      <c r="D120" s="131"/>
    </row>
    <row r="121" spans="2:4" ht="20.25" customHeight="1" x14ac:dyDescent="0.25">
      <c r="B121" s="108" t="s">
        <v>4941</v>
      </c>
      <c r="C121" s="132" t="s">
        <v>4942</v>
      </c>
      <c r="D121" s="131"/>
    </row>
    <row r="122" spans="2:4" ht="20.25" customHeight="1" x14ac:dyDescent="0.25">
      <c r="B122" s="108" t="s">
        <v>4943</v>
      </c>
      <c r="C122" s="132" t="s">
        <v>4944</v>
      </c>
      <c r="D122" s="152">
        <v>45013</v>
      </c>
    </row>
    <row r="123" spans="2:4" ht="20.25" customHeight="1" x14ac:dyDescent="0.25">
      <c r="B123" s="108" t="s">
        <v>4945</v>
      </c>
      <c r="C123" s="132" t="s">
        <v>4946</v>
      </c>
      <c r="D123" s="152">
        <v>45013</v>
      </c>
    </row>
    <row r="124" spans="2:4" ht="20.25" customHeight="1" x14ac:dyDescent="0.25">
      <c r="B124" s="108" t="s">
        <v>4947</v>
      </c>
      <c r="C124" s="138" t="s">
        <v>4948</v>
      </c>
      <c r="D124" s="131" t="s">
        <v>24</v>
      </c>
    </row>
    <row r="125" spans="2:4" ht="20.25" customHeight="1" x14ac:dyDescent="0.25">
      <c r="B125" s="116" t="s">
        <v>4949</v>
      </c>
      <c r="C125" s="138"/>
      <c r="D125" s="131" t="s">
        <v>24</v>
      </c>
    </row>
    <row r="126" spans="2:4" ht="20.25" customHeight="1" x14ac:dyDescent="0.25">
      <c r="B126" s="108" t="s">
        <v>4950</v>
      </c>
      <c r="C126" s="138" t="s">
        <v>4951</v>
      </c>
      <c r="D126" s="133">
        <v>44853</v>
      </c>
    </row>
    <row r="127" spans="2:4" ht="20.25" customHeight="1" x14ac:dyDescent="0.25">
      <c r="B127" s="108" t="s">
        <v>4952</v>
      </c>
      <c r="C127" s="132" t="s">
        <v>4953</v>
      </c>
      <c r="D127" s="133">
        <v>44840</v>
      </c>
    </row>
    <row r="128" spans="2:4" ht="20.25" customHeight="1" x14ac:dyDescent="0.25">
      <c r="B128" s="108" t="s">
        <v>4954</v>
      </c>
      <c r="C128" s="132" t="s">
        <v>4955</v>
      </c>
      <c r="D128" s="133">
        <v>44840</v>
      </c>
    </row>
    <row r="129" spans="2:4" ht="20.25" customHeight="1" x14ac:dyDescent="0.25">
      <c r="B129" s="108" t="s">
        <v>4956</v>
      </c>
      <c r="C129" s="132" t="s">
        <v>4957</v>
      </c>
      <c r="D129" s="134"/>
    </row>
    <row r="130" spans="2:4" ht="20.25" customHeight="1" x14ac:dyDescent="0.25">
      <c r="B130" s="116" t="s">
        <v>4958</v>
      </c>
      <c r="C130" s="138" t="s">
        <v>4959</v>
      </c>
      <c r="D130" s="133">
        <v>44910</v>
      </c>
    </row>
    <row r="131" spans="2:4" ht="20.25" customHeight="1" x14ac:dyDescent="0.25">
      <c r="B131" s="108" t="s">
        <v>4960</v>
      </c>
      <c r="C131" s="138" t="s">
        <v>4961</v>
      </c>
      <c r="D131" s="133">
        <v>44961</v>
      </c>
    </row>
    <row r="132" spans="2:4" ht="20.25" customHeight="1" x14ac:dyDescent="0.25">
      <c r="B132" s="108" t="s">
        <v>4962</v>
      </c>
      <c r="C132" s="138" t="s">
        <v>4963</v>
      </c>
      <c r="D132" s="131" t="s">
        <v>24</v>
      </c>
    </row>
    <row r="133" spans="2:4" ht="20.25" customHeight="1" x14ac:dyDescent="0.25">
      <c r="B133" s="108" t="s">
        <v>4964</v>
      </c>
      <c r="C133" s="138" t="s">
        <v>4965</v>
      </c>
      <c r="D133" s="131" t="s">
        <v>24</v>
      </c>
    </row>
    <row r="134" spans="2:4" ht="20.25" customHeight="1" x14ac:dyDescent="0.25">
      <c r="B134" s="116" t="s">
        <v>4966</v>
      </c>
      <c r="C134" s="138" t="s">
        <v>4967</v>
      </c>
      <c r="D134" s="133">
        <v>44862</v>
      </c>
    </row>
    <row r="135" spans="2:4" ht="20.25" customHeight="1" x14ac:dyDescent="0.25">
      <c r="B135" s="108" t="s">
        <v>4968</v>
      </c>
      <c r="C135" s="138" t="s">
        <v>4969</v>
      </c>
      <c r="D135" s="133">
        <v>44877</v>
      </c>
    </row>
    <row r="136" spans="2:4" ht="20.25" customHeight="1" x14ac:dyDescent="0.25">
      <c r="B136" s="108" t="s">
        <v>4970</v>
      </c>
      <c r="C136" s="138" t="s">
        <v>4971</v>
      </c>
      <c r="D136" s="133">
        <v>44840</v>
      </c>
    </row>
    <row r="137" spans="2:4" ht="20.25" customHeight="1" x14ac:dyDescent="0.25">
      <c r="B137" s="116" t="s">
        <v>4972</v>
      </c>
      <c r="C137" s="138" t="s">
        <v>4973</v>
      </c>
      <c r="D137" s="131" t="s">
        <v>24</v>
      </c>
    </row>
    <row r="138" spans="2:4" ht="20.25" customHeight="1" x14ac:dyDescent="0.25">
      <c r="B138" s="108" t="s">
        <v>4974</v>
      </c>
      <c r="C138" s="132" t="s">
        <v>4975</v>
      </c>
      <c r="D138" s="133">
        <v>44840</v>
      </c>
    </row>
    <row r="139" spans="2:4" ht="20.25" customHeight="1" x14ac:dyDescent="0.25">
      <c r="B139" s="108" t="s">
        <v>4976</v>
      </c>
      <c r="C139" s="138" t="s">
        <v>4977</v>
      </c>
      <c r="D139" s="131" t="s">
        <v>24</v>
      </c>
    </row>
    <row r="140" spans="2:4" ht="20.25" customHeight="1" x14ac:dyDescent="0.25">
      <c r="B140" s="108" t="s">
        <v>4978</v>
      </c>
      <c r="C140" s="138" t="s">
        <v>4979</v>
      </c>
      <c r="D140" s="131" t="s">
        <v>24</v>
      </c>
    </row>
    <row r="141" spans="2:4" ht="20.25" customHeight="1" x14ac:dyDescent="0.25">
      <c r="B141" s="108" t="s">
        <v>4980</v>
      </c>
      <c r="C141" s="138" t="s">
        <v>4981</v>
      </c>
      <c r="D141" s="133">
        <v>44840</v>
      </c>
    </row>
    <row r="142" spans="2:4" ht="20.25" customHeight="1" x14ac:dyDescent="0.25">
      <c r="B142" s="108" t="s">
        <v>4982</v>
      </c>
      <c r="C142" s="132" t="s">
        <v>4983</v>
      </c>
      <c r="D142" s="133">
        <v>44877</v>
      </c>
    </row>
    <row r="143" spans="2:4" ht="20.25" customHeight="1" x14ac:dyDescent="0.25">
      <c r="B143" s="108" t="s">
        <v>4984</v>
      </c>
      <c r="C143" s="138" t="s">
        <v>4985</v>
      </c>
      <c r="D143" s="133">
        <v>44890</v>
      </c>
    </row>
    <row r="144" spans="2:4" ht="20.25" customHeight="1" x14ac:dyDescent="0.25">
      <c r="B144" s="108" t="s">
        <v>4986</v>
      </c>
      <c r="C144" s="132" t="s">
        <v>4987</v>
      </c>
      <c r="D144" s="133">
        <v>45013</v>
      </c>
    </row>
    <row r="145" spans="2:4" ht="20.25" customHeight="1" x14ac:dyDescent="0.25">
      <c r="B145" s="108" t="s">
        <v>4988</v>
      </c>
      <c r="C145" s="132" t="s">
        <v>4989</v>
      </c>
      <c r="D145" s="133">
        <v>45013</v>
      </c>
    </row>
    <row r="146" spans="2:4" ht="20.25" customHeight="1" x14ac:dyDescent="0.25">
      <c r="B146" s="108" t="s">
        <v>4990</v>
      </c>
      <c r="C146" s="138" t="s">
        <v>4991</v>
      </c>
      <c r="D146" s="133"/>
    </row>
    <row r="147" spans="2:4" ht="20.25" customHeight="1" x14ac:dyDescent="0.25">
      <c r="B147" s="108" t="s">
        <v>4992</v>
      </c>
      <c r="C147" s="138" t="s">
        <v>4993</v>
      </c>
      <c r="D147" s="133"/>
    </row>
    <row r="148" spans="2:4" ht="20.25" customHeight="1" x14ac:dyDescent="0.25">
      <c r="B148" s="108" t="s">
        <v>4994</v>
      </c>
      <c r="C148" s="138" t="s">
        <v>4995</v>
      </c>
      <c r="D148" s="141"/>
    </row>
    <row r="149" spans="2:4" ht="20.25" customHeight="1" x14ac:dyDescent="0.25">
      <c r="B149" s="108" t="s">
        <v>4996</v>
      </c>
      <c r="C149" s="138" t="s">
        <v>4997</v>
      </c>
      <c r="D149" s="141"/>
    </row>
    <row r="150" spans="2:4" ht="20.25" customHeight="1" x14ac:dyDescent="0.25">
      <c r="B150" s="108" t="s">
        <v>4998</v>
      </c>
      <c r="C150" s="138" t="s">
        <v>4999</v>
      </c>
      <c r="D150" s="141"/>
    </row>
    <row r="151" spans="2:4" ht="20.25" customHeight="1" x14ac:dyDescent="0.25">
      <c r="B151" s="116" t="s">
        <v>5000</v>
      </c>
      <c r="C151" s="138" t="s">
        <v>5001</v>
      </c>
      <c r="D151" s="141"/>
    </row>
    <row r="152" spans="2:4" ht="20.25" customHeight="1" x14ac:dyDescent="0.25">
      <c r="B152" s="108" t="s">
        <v>5002</v>
      </c>
      <c r="C152" s="138" t="s">
        <v>5003</v>
      </c>
      <c r="D152" s="141"/>
    </row>
    <row r="153" spans="2:4" ht="20.25" customHeight="1" x14ac:dyDescent="0.25">
      <c r="B153" s="116" t="s">
        <v>5004</v>
      </c>
      <c r="C153" s="132" t="s">
        <v>103</v>
      </c>
      <c r="D153" s="141"/>
    </row>
    <row r="154" spans="2:4" ht="20.25" customHeight="1" x14ac:dyDescent="0.25">
      <c r="B154" s="108" t="s">
        <v>5005</v>
      </c>
      <c r="C154" s="132" t="s">
        <v>103</v>
      </c>
      <c r="D154" s="136">
        <v>45105</v>
      </c>
    </row>
    <row r="155" spans="2:4" ht="20.25" customHeight="1" x14ac:dyDescent="0.25">
      <c r="B155" s="108" t="s">
        <v>5006</v>
      </c>
      <c r="C155" s="132" t="s">
        <v>5007</v>
      </c>
      <c r="D155" s="137"/>
    </row>
    <row r="156" spans="2:4" ht="20.25" customHeight="1" x14ac:dyDescent="0.25">
      <c r="B156" s="108" t="s">
        <v>5008</v>
      </c>
      <c r="C156" s="132" t="s">
        <v>5009</v>
      </c>
      <c r="D156" s="141"/>
    </row>
    <row r="157" spans="2:4" ht="20.25" customHeight="1" x14ac:dyDescent="0.25">
      <c r="B157" s="108" t="s">
        <v>5010</v>
      </c>
      <c r="C157" s="132" t="s">
        <v>5011</v>
      </c>
      <c r="D157" s="141"/>
    </row>
    <row r="158" spans="2:4" ht="20.25" customHeight="1" x14ac:dyDescent="0.25">
      <c r="B158" s="108" t="s">
        <v>5012</v>
      </c>
      <c r="C158" s="132" t="s">
        <v>5013</v>
      </c>
      <c r="D158" s="141"/>
    </row>
    <row r="159" spans="2:4" ht="20.25" customHeight="1" x14ac:dyDescent="0.25">
      <c r="B159" s="108" t="s">
        <v>5014</v>
      </c>
      <c r="C159" s="138" t="s">
        <v>5015</v>
      </c>
      <c r="D159" s="136">
        <v>45105</v>
      </c>
    </row>
    <row r="160" spans="2:4" ht="20.25" customHeight="1" x14ac:dyDescent="0.25">
      <c r="B160" s="108" t="s">
        <v>5016</v>
      </c>
      <c r="C160" s="132" t="s">
        <v>5017</v>
      </c>
      <c r="D160" s="141"/>
    </row>
    <row r="161" spans="2:4" ht="20.25" customHeight="1" x14ac:dyDescent="0.25">
      <c r="B161" s="108" t="s">
        <v>5018</v>
      </c>
      <c r="C161" s="132" t="s">
        <v>103</v>
      </c>
      <c r="D161" s="141"/>
    </row>
    <row r="162" spans="2:4" ht="20.25" customHeight="1" x14ac:dyDescent="0.25">
      <c r="B162" s="108" t="s">
        <v>5019</v>
      </c>
      <c r="C162" s="132" t="s">
        <v>5020</v>
      </c>
      <c r="D162" s="136">
        <v>45049</v>
      </c>
    </row>
    <row r="163" spans="2:4" ht="20.25" customHeight="1" x14ac:dyDescent="0.25">
      <c r="B163" s="108" t="s">
        <v>5021</v>
      </c>
      <c r="C163" s="132" t="s">
        <v>5022</v>
      </c>
      <c r="D163" s="141"/>
    </row>
    <row r="164" spans="2:4" ht="20.25" customHeight="1" x14ac:dyDescent="0.25">
      <c r="B164" s="108" t="s">
        <v>5023</v>
      </c>
      <c r="C164" s="132" t="s">
        <v>5024</v>
      </c>
      <c r="D164" s="141"/>
    </row>
    <row r="165" spans="2:4" ht="20.25" customHeight="1" x14ac:dyDescent="0.25">
      <c r="B165" s="108" t="s">
        <v>5025</v>
      </c>
      <c r="C165" s="138" t="s">
        <v>5026</v>
      </c>
      <c r="D165" s="141"/>
    </row>
    <row r="166" spans="2:4" ht="20.25" customHeight="1" x14ac:dyDescent="0.25">
      <c r="B166" s="108" t="s">
        <v>5027</v>
      </c>
      <c r="C166" s="132" t="s">
        <v>5028</v>
      </c>
      <c r="D166" s="141"/>
    </row>
    <row r="167" spans="2:4" ht="20.25" customHeight="1" x14ac:dyDescent="0.25">
      <c r="B167" s="108" t="s">
        <v>5029</v>
      </c>
      <c r="C167" s="132" t="s">
        <v>5030</v>
      </c>
      <c r="D167" s="141"/>
    </row>
    <row r="168" spans="2:4" ht="20.25" customHeight="1" x14ac:dyDescent="0.25">
      <c r="B168" s="108" t="s">
        <v>5031</v>
      </c>
      <c r="C168" s="132" t="s">
        <v>103</v>
      </c>
      <c r="D168" s="133">
        <v>45056</v>
      </c>
    </row>
    <row r="169" spans="2:4" ht="20.25" customHeight="1" x14ac:dyDescent="0.25">
      <c r="B169" s="108" t="s">
        <v>5032</v>
      </c>
      <c r="C169" s="138" t="s">
        <v>5033</v>
      </c>
      <c r="D169" s="133">
        <v>45056</v>
      </c>
    </row>
    <row r="170" spans="2:4" ht="20.25" customHeight="1" x14ac:dyDescent="0.25">
      <c r="B170" s="107" t="s">
        <v>5034</v>
      </c>
      <c r="C170" s="132" t="s">
        <v>5035</v>
      </c>
      <c r="D170" s="133">
        <v>45056</v>
      </c>
    </row>
    <row r="171" spans="2:4" ht="20.25" customHeight="1" x14ac:dyDescent="0.25">
      <c r="B171" s="108" t="s">
        <v>5036</v>
      </c>
      <c r="C171" s="132" t="s">
        <v>103</v>
      </c>
      <c r="D171" s="141"/>
    </row>
    <row r="172" spans="2:4" ht="20.25" customHeight="1" x14ac:dyDescent="0.25">
      <c r="B172" s="108" t="s">
        <v>5037</v>
      </c>
      <c r="C172" s="132" t="s">
        <v>5038</v>
      </c>
      <c r="D172" s="141"/>
    </row>
    <row r="173" spans="2:4" ht="20.25" customHeight="1" x14ac:dyDescent="0.25">
      <c r="B173" s="108" t="s">
        <v>5039</v>
      </c>
      <c r="C173" s="132" t="s">
        <v>5040</v>
      </c>
      <c r="D173" s="141"/>
    </row>
    <row r="174" spans="2:4" ht="20.25" customHeight="1" x14ac:dyDescent="0.25">
      <c r="B174" s="108" t="s">
        <v>5041</v>
      </c>
      <c r="C174" s="138" t="s">
        <v>5042</v>
      </c>
      <c r="D174" s="141"/>
    </row>
    <row r="175" spans="2:4" ht="20.25" customHeight="1" x14ac:dyDescent="0.25">
      <c r="B175" s="108" t="s">
        <v>5043</v>
      </c>
      <c r="C175" s="132" t="s">
        <v>5044</v>
      </c>
      <c r="D175" s="141"/>
    </row>
    <row r="176" spans="2:4" ht="20.25" customHeight="1" x14ac:dyDescent="0.25">
      <c r="B176" s="108" t="s">
        <v>5045</v>
      </c>
      <c r="C176" s="132" t="s">
        <v>4882</v>
      </c>
      <c r="D176" s="141"/>
    </row>
    <row r="177" spans="2:4" ht="20.25" customHeight="1" x14ac:dyDescent="0.25">
      <c r="B177" s="116" t="s">
        <v>5046</v>
      </c>
      <c r="C177" s="132" t="s">
        <v>103</v>
      </c>
      <c r="D177" s="141"/>
    </row>
    <row r="178" spans="2:4" ht="20.25" customHeight="1" x14ac:dyDescent="0.25">
      <c r="B178" s="108" t="s">
        <v>5047</v>
      </c>
      <c r="C178" s="132" t="s">
        <v>103</v>
      </c>
      <c r="D178" s="141"/>
    </row>
    <row r="179" spans="2:4" ht="20.25" customHeight="1" x14ac:dyDescent="0.25">
      <c r="B179" s="108" t="s">
        <v>5048</v>
      </c>
      <c r="C179" s="132" t="s">
        <v>103</v>
      </c>
      <c r="D179" s="141"/>
    </row>
    <row r="180" spans="2:4" ht="20.25" customHeight="1" x14ac:dyDescent="0.25">
      <c r="B180" s="108" t="s">
        <v>5049</v>
      </c>
      <c r="C180" s="132" t="s">
        <v>5050</v>
      </c>
      <c r="D180" s="137"/>
    </row>
    <row r="181" spans="2:4" ht="20.25" customHeight="1" x14ac:dyDescent="0.25">
      <c r="B181" s="108" t="s">
        <v>5051</v>
      </c>
      <c r="C181" s="132" t="s">
        <v>103</v>
      </c>
      <c r="D181" s="133">
        <v>45056</v>
      </c>
    </row>
    <row r="182" spans="2:4" ht="20.25" customHeight="1" x14ac:dyDescent="0.25">
      <c r="B182" s="108" t="s">
        <v>5052</v>
      </c>
      <c r="C182" s="132" t="s">
        <v>103</v>
      </c>
      <c r="D182" s="136">
        <v>45148</v>
      </c>
    </row>
    <row r="183" spans="2:4" ht="20.25" customHeight="1" x14ac:dyDescent="0.25">
      <c r="B183" s="108" t="s">
        <v>5053</v>
      </c>
      <c r="C183" s="132" t="s">
        <v>103</v>
      </c>
      <c r="D183" s="135"/>
    </row>
    <row r="184" spans="2:4" ht="20.25" customHeight="1" x14ac:dyDescent="0.25">
      <c r="B184" s="108" t="s">
        <v>5054</v>
      </c>
      <c r="C184" s="138" t="s">
        <v>5055</v>
      </c>
      <c r="D184" s="135"/>
    </row>
    <row r="185" spans="2:4" ht="20.25" customHeight="1" x14ac:dyDescent="0.25">
      <c r="B185" s="108" t="s">
        <v>5056</v>
      </c>
      <c r="C185" s="132" t="s">
        <v>5057</v>
      </c>
      <c r="D185" s="135"/>
    </row>
    <row r="186" spans="2:4" ht="20.25" customHeight="1" x14ac:dyDescent="0.25">
      <c r="B186" s="108" t="s">
        <v>5058</v>
      </c>
      <c r="C186" s="138" t="s">
        <v>5059</v>
      </c>
      <c r="D186" s="135"/>
    </row>
    <row r="187" spans="2:4" ht="20.25" customHeight="1" x14ac:dyDescent="0.25">
      <c r="B187" s="108" t="s">
        <v>5060</v>
      </c>
      <c r="C187" s="132" t="s">
        <v>5061</v>
      </c>
      <c r="D187" s="135"/>
    </row>
    <row r="188" spans="2:4" ht="20.25" customHeight="1" x14ac:dyDescent="0.25">
      <c r="B188" s="108" t="s">
        <v>5062</v>
      </c>
      <c r="C188" s="138" t="s">
        <v>5063</v>
      </c>
      <c r="D188" s="135"/>
    </row>
    <row r="189" spans="2:4" ht="20.25" customHeight="1" x14ac:dyDescent="0.25">
      <c r="B189" s="108" t="s">
        <v>5064</v>
      </c>
      <c r="C189" s="132" t="s">
        <v>5065</v>
      </c>
      <c r="D189" s="135"/>
    </row>
    <row r="190" spans="2:4" ht="20.25" customHeight="1" x14ac:dyDescent="0.25">
      <c r="B190" s="108" t="s">
        <v>5066</v>
      </c>
      <c r="C190" s="138" t="s">
        <v>5067</v>
      </c>
      <c r="D190" s="135"/>
    </row>
    <row r="191" spans="2:4" ht="20.25" customHeight="1" x14ac:dyDescent="0.25">
      <c r="B191" s="108" t="s">
        <v>5068</v>
      </c>
      <c r="C191" s="138" t="s">
        <v>5069</v>
      </c>
      <c r="D191" s="135"/>
    </row>
    <row r="192" spans="2:4" ht="20.25" customHeight="1" x14ac:dyDescent="0.25">
      <c r="B192" s="108" t="s">
        <v>5070</v>
      </c>
      <c r="C192" s="138" t="s">
        <v>5071</v>
      </c>
      <c r="D192" s="135"/>
    </row>
    <row r="193" spans="2:4" ht="20.25" customHeight="1" x14ac:dyDescent="0.25">
      <c r="B193" s="108" t="s">
        <v>5072</v>
      </c>
      <c r="C193" s="132" t="s">
        <v>5073</v>
      </c>
      <c r="D193" s="135"/>
    </row>
    <row r="194" spans="2:4" ht="20.25" customHeight="1" x14ac:dyDescent="0.25">
      <c r="B194" s="108" t="s">
        <v>5074</v>
      </c>
      <c r="C194" s="132" t="s">
        <v>5075</v>
      </c>
      <c r="D194" s="135"/>
    </row>
    <row r="195" spans="2:4" ht="20.25" customHeight="1" x14ac:dyDescent="0.25">
      <c r="B195" s="108" t="s">
        <v>5076</v>
      </c>
      <c r="C195" s="138" t="s">
        <v>5077</v>
      </c>
      <c r="D195" s="135"/>
    </row>
    <row r="196" spans="2:4" ht="20.25" customHeight="1" x14ac:dyDescent="0.25">
      <c r="B196" s="116" t="s">
        <v>5078</v>
      </c>
      <c r="C196" s="132" t="s">
        <v>5079</v>
      </c>
      <c r="D196" s="135"/>
    </row>
    <row r="197" spans="2:4" ht="20.25" customHeight="1" x14ac:dyDescent="0.25">
      <c r="B197" s="108" t="s">
        <v>5080</v>
      </c>
      <c r="C197" s="138" t="s">
        <v>5081</v>
      </c>
      <c r="D197" s="135"/>
    </row>
    <row r="198" spans="2:4" ht="20.25" customHeight="1" x14ac:dyDescent="0.25">
      <c r="B198" s="108" t="s">
        <v>5082</v>
      </c>
      <c r="C198" s="138" t="s">
        <v>5083</v>
      </c>
      <c r="D198" s="135"/>
    </row>
    <row r="199" spans="2:4" ht="20.25" customHeight="1" x14ac:dyDescent="0.25">
      <c r="B199" s="108" t="s">
        <v>5084</v>
      </c>
      <c r="C199" s="132" t="s">
        <v>5085</v>
      </c>
      <c r="D199" s="135"/>
    </row>
    <row r="200" spans="2:4" ht="20.25" customHeight="1" x14ac:dyDescent="0.25">
      <c r="B200" s="108" t="s">
        <v>5086</v>
      </c>
      <c r="C200" s="138" t="s">
        <v>5087</v>
      </c>
      <c r="D200" s="135"/>
    </row>
    <row r="201" spans="2:4" ht="20.25" customHeight="1" x14ac:dyDescent="0.25">
      <c r="B201" s="108" t="s">
        <v>5088</v>
      </c>
      <c r="C201" s="138" t="s">
        <v>5089</v>
      </c>
      <c r="D201" s="135"/>
    </row>
    <row r="202" spans="2:4" ht="20.25" customHeight="1" x14ac:dyDescent="0.25">
      <c r="B202" s="108" t="s">
        <v>5090</v>
      </c>
      <c r="C202" s="132" t="s">
        <v>5091</v>
      </c>
      <c r="D202" s="136">
        <v>45105</v>
      </c>
    </row>
    <row r="203" spans="2:4" ht="20.25" customHeight="1" x14ac:dyDescent="0.25">
      <c r="B203" s="108" t="s">
        <v>5092</v>
      </c>
      <c r="C203" s="132"/>
      <c r="D203" s="133">
        <v>44992</v>
      </c>
    </row>
    <row r="204" spans="2:4" ht="20.25" customHeight="1" x14ac:dyDescent="0.25">
      <c r="B204" s="116" t="s">
        <v>5093</v>
      </c>
      <c r="C204" s="143" t="s">
        <v>5094</v>
      </c>
      <c r="D204" s="133">
        <v>45056</v>
      </c>
    </row>
    <row r="205" spans="2:4" ht="20.25" customHeight="1" x14ac:dyDescent="0.25">
      <c r="B205" s="108" t="s">
        <v>5095</v>
      </c>
      <c r="C205" s="132" t="s">
        <v>5096</v>
      </c>
      <c r="D205" s="133">
        <v>44992</v>
      </c>
    </row>
    <row r="206" spans="2:4" ht="20.25" customHeight="1" x14ac:dyDescent="0.25">
      <c r="B206" s="108" t="s">
        <v>5097</v>
      </c>
      <c r="C206" s="138" t="s">
        <v>5098</v>
      </c>
      <c r="D206" s="133">
        <v>45056</v>
      </c>
    </row>
    <row r="207" spans="2:4" ht="20.25" customHeight="1" x14ac:dyDescent="0.25">
      <c r="B207" s="108" t="s">
        <v>5099</v>
      </c>
      <c r="C207" s="132" t="s">
        <v>5100</v>
      </c>
      <c r="D207" s="140">
        <v>45111</v>
      </c>
    </row>
    <row r="208" spans="2:4" ht="20.25" customHeight="1" x14ac:dyDescent="0.25">
      <c r="B208" s="108" t="s">
        <v>5101</v>
      </c>
      <c r="C208" s="132" t="s">
        <v>5102</v>
      </c>
      <c r="D208" s="133">
        <v>45056</v>
      </c>
    </row>
    <row r="209" spans="2:4" ht="20.25" customHeight="1" x14ac:dyDescent="0.25">
      <c r="B209" s="116" t="s">
        <v>5103</v>
      </c>
      <c r="C209" s="132" t="s">
        <v>5104</v>
      </c>
      <c r="D209" s="135"/>
    </row>
    <row r="210" spans="2:4" ht="20.25" customHeight="1" x14ac:dyDescent="0.25">
      <c r="B210" s="108" t="s">
        <v>5105</v>
      </c>
      <c r="C210" s="132" t="s">
        <v>5106</v>
      </c>
      <c r="D210" s="135"/>
    </row>
    <row r="211" spans="2:4" ht="20.25" customHeight="1" x14ac:dyDescent="0.25">
      <c r="B211" s="108" t="s">
        <v>5107</v>
      </c>
      <c r="C211" s="132" t="s">
        <v>5108</v>
      </c>
      <c r="D211" s="133">
        <v>45056</v>
      </c>
    </row>
    <row r="212" spans="2:4" ht="20.25" customHeight="1" x14ac:dyDescent="0.25">
      <c r="B212" s="108" t="s">
        <v>5109</v>
      </c>
      <c r="C212" s="132" t="s">
        <v>5110</v>
      </c>
      <c r="D212" s="133">
        <v>45056</v>
      </c>
    </row>
    <row r="213" spans="2:4" ht="20.25" customHeight="1" x14ac:dyDescent="0.25">
      <c r="B213" s="108" t="s">
        <v>5111</v>
      </c>
      <c r="C213" s="132" t="s">
        <v>5112</v>
      </c>
      <c r="D213" s="133">
        <v>45056</v>
      </c>
    </row>
    <row r="214" spans="2:4" ht="20.25" customHeight="1" x14ac:dyDescent="0.25">
      <c r="B214" s="108" t="s">
        <v>5113</v>
      </c>
      <c r="C214" s="138" t="s">
        <v>5114</v>
      </c>
      <c r="D214" s="133">
        <v>45097</v>
      </c>
    </row>
    <row r="215" spans="2:4" ht="20.25" customHeight="1" x14ac:dyDescent="0.25">
      <c r="B215" s="108" t="s">
        <v>5115</v>
      </c>
      <c r="C215" s="138" t="s">
        <v>5116</v>
      </c>
      <c r="D215" s="140">
        <v>45111</v>
      </c>
    </row>
    <row r="216" spans="2:4" ht="20.25" customHeight="1" x14ac:dyDescent="0.25">
      <c r="B216" s="108" t="s">
        <v>5117</v>
      </c>
      <c r="C216" s="138" t="s">
        <v>5118</v>
      </c>
      <c r="D216" s="140">
        <v>45111</v>
      </c>
    </row>
    <row r="217" spans="2:4" ht="20.25" customHeight="1" x14ac:dyDescent="0.25">
      <c r="B217" s="108" t="s">
        <v>5119</v>
      </c>
      <c r="C217" s="132" t="s">
        <v>5120</v>
      </c>
      <c r="D217" s="140">
        <v>45111</v>
      </c>
    </row>
    <row r="218" spans="2:4" ht="20.25" customHeight="1" x14ac:dyDescent="0.25">
      <c r="B218" s="108" t="s">
        <v>5121</v>
      </c>
      <c r="C218" s="132" t="s">
        <v>5122</v>
      </c>
      <c r="D218" s="133">
        <v>45097</v>
      </c>
    </row>
    <row r="219" spans="2:4" ht="20.25" customHeight="1" x14ac:dyDescent="0.25">
      <c r="B219" s="108" t="s">
        <v>5123</v>
      </c>
      <c r="C219" s="132" t="s">
        <v>5124</v>
      </c>
      <c r="D219" s="140">
        <v>45111</v>
      </c>
    </row>
    <row r="220" spans="2:4" ht="20.25" customHeight="1" x14ac:dyDescent="0.25">
      <c r="B220" s="108" t="s">
        <v>5125</v>
      </c>
      <c r="C220" s="132" t="s">
        <v>5126</v>
      </c>
      <c r="D220" s="140">
        <v>45111</v>
      </c>
    </row>
    <row r="221" spans="2:4" ht="20.25" customHeight="1" x14ac:dyDescent="0.25">
      <c r="B221" s="108" t="s">
        <v>5127</v>
      </c>
      <c r="C221" s="132" t="s">
        <v>5128</v>
      </c>
      <c r="D221" s="133">
        <v>45097</v>
      </c>
    </row>
    <row r="222" spans="2:4" ht="20.25" customHeight="1" x14ac:dyDescent="0.25">
      <c r="B222" s="108" t="s">
        <v>5129</v>
      </c>
      <c r="C222" s="132" t="s">
        <v>5130</v>
      </c>
      <c r="D222" s="133">
        <v>45097</v>
      </c>
    </row>
    <row r="223" spans="2:4" ht="20.25" customHeight="1" x14ac:dyDescent="0.25">
      <c r="B223" s="108" t="s">
        <v>5131</v>
      </c>
      <c r="C223" s="138" t="s">
        <v>5132</v>
      </c>
      <c r="D223" s="133">
        <v>45097</v>
      </c>
    </row>
    <row r="224" spans="2:4" ht="20.25" customHeight="1" x14ac:dyDescent="0.25">
      <c r="B224" s="108" t="s">
        <v>5133</v>
      </c>
      <c r="C224" s="132" t="s">
        <v>5134</v>
      </c>
      <c r="D224" s="137"/>
    </row>
    <row r="225" spans="2:4" ht="20.25" customHeight="1" x14ac:dyDescent="0.25">
      <c r="B225" s="108" t="s">
        <v>5135</v>
      </c>
      <c r="C225" s="132" t="s">
        <v>5136</v>
      </c>
      <c r="D225" s="140">
        <v>45111</v>
      </c>
    </row>
    <row r="226" spans="2:4" ht="20.25" customHeight="1" x14ac:dyDescent="0.25">
      <c r="B226" s="108" t="s">
        <v>5137</v>
      </c>
      <c r="C226" s="132" t="s">
        <v>5138</v>
      </c>
      <c r="D226" s="133">
        <v>45097</v>
      </c>
    </row>
    <row r="227" spans="2:4" ht="20.25" customHeight="1" x14ac:dyDescent="0.25">
      <c r="B227" s="108" t="s">
        <v>5139</v>
      </c>
      <c r="C227" s="132" t="s">
        <v>5140</v>
      </c>
      <c r="D227" s="136">
        <v>45148</v>
      </c>
    </row>
    <row r="228" spans="2:4" ht="20.25" customHeight="1" x14ac:dyDescent="0.25">
      <c r="B228" s="108" t="s">
        <v>5141</v>
      </c>
      <c r="C228" s="132" t="s">
        <v>5142</v>
      </c>
      <c r="D228" s="140">
        <v>45111</v>
      </c>
    </row>
    <row r="229" spans="2:4" ht="20.25" customHeight="1" x14ac:dyDescent="0.25">
      <c r="B229" s="108" t="s">
        <v>5143</v>
      </c>
      <c r="C229" s="138" t="s">
        <v>5144</v>
      </c>
      <c r="D229" s="141"/>
    </row>
    <row r="230" spans="2:4" ht="20.25" customHeight="1" x14ac:dyDescent="0.25">
      <c r="B230" s="108" t="s">
        <v>5145</v>
      </c>
      <c r="C230" s="138" t="s">
        <v>5146</v>
      </c>
      <c r="D230" s="133">
        <v>44992</v>
      </c>
    </row>
    <row r="231" spans="2:4" ht="20.25" customHeight="1" x14ac:dyDescent="0.25">
      <c r="B231" s="108" t="s">
        <v>5147</v>
      </c>
      <c r="C231" s="132" t="s">
        <v>5148</v>
      </c>
      <c r="D231" s="133">
        <v>45097</v>
      </c>
    </row>
    <row r="232" spans="2:4" ht="20.25" customHeight="1" x14ac:dyDescent="0.25">
      <c r="B232" s="108" t="s">
        <v>5149</v>
      </c>
      <c r="C232" s="132" t="s">
        <v>5150</v>
      </c>
      <c r="D232" s="133">
        <v>45097</v>
      </c>
    </row>
    <row r="233" spans="2:4" ht="20.25" customHeight="1" x14ac:dyDescent="0.25">
      <c r="B233" s="108" t="s">
        <v>5151</v>
      </c>
      <c r="C233" s="138" t="s">
        <v>5152</v>
      </c>
      <c r="D233" s="133">
        <v>45097</v>
      </c>
    </row>
    <row r="234" spans="2:4" ht="20.25" customHeight="1" x14ac:dyDescent="0.25">
      <c r="B234" s="108" t="s">
        <v>5153</v>
      </c>
      <c r="C234" s="132" t="s">
        <v>5154</v>
      </c>
      <c r="D234" s="141"/>
    </row>
    <row r="235" spans="2:4" ht="20.25" customHeight="1" x14ac:dyDescent="0.25">
      <c r="B235" s="108" t="s">
        <v>5155</v>
      </c>
      <c r="C235" s="132" t="s">
        <v>5156</v>
      </c>
      <c r="D235" s="141"/>
    </row>
    <row r="236" spans="2:4" ht="20.25" customHeight="1" x14ac:dyDescent="0.25">
      <c r="B236" s="108" t="s">
        <v>5157</v>
      </c>
      <c r="C236" s="132" t="s">
        <v>5158</v>
      </c>
      <c r="D236" s="133">
        <v>45097</v>
      </c>
    </row>
    <row r="237" spans="2:4" ht="20.25" customHeight="1" x14ac:dyDescent="0.25">
      <c r="B237" s="108" t="s">
        <v>5159</v>
      </c>
      <c r="C237" s="132" t="s">
        <v>5160</v>
      </c>
      <c r="D237" s="133">
        <v>45097</v>
      </c>
    </row>
    <row r="238" spans="2:4" ht="20.25" customHeight="1" x14ac:dyDescent="0.25">
      <c r="B238" s="108" t="s">
        <v>5161</v>
      </c>
      <c r="C238" s="132" t="s">
        <v>5162</v>
      </c>
      <c r="D238" s="140">
        <v>45111</v>
      </c>
    </row>
    <row r="239" spans="2:4" ht="20.25" customHeight="1" x14ac:dyDescent="0.25">
      <c r="B239" s="108" t="s">
        <v>5163</v>
      </c>
      <c r="C239" s="132" t="s">
        <v>5164</v>
      </c>
      <c r="D239" s="133">
        <v>44961</v>
      </c>
    </row>
    <row r="240" spans="2:4" ht="20.25" customHeight="1" x14ac:dyDescent="0.25">
      <c r="B240" s="108" t="s">
        <v>5165</v>
      </c>
      <c r="C240" s="138" t="s">
        <v>5166</v>
      </c>
      <c r="D240" s="133">
        <v>45097</v>
      </c>
    </row>
    <row r="241" spans="2:4" ht="20.25" customHeight="1" x14ac:dyDescent="0.25">
      <c r="B241" s="108" t="s">
        <v>5167</v>
      </c>
      <c r="C241" s="132" t="s">
        <v>5168</v>
      </c>
      <c r="D241" s="136">
        <v>45148</v>
      </c>
    </row>
    <row r="242" spans="2:4" ht="20.25" customHeight="1" x14ac:dyDescent="0.25">
      <c r="B242" s="108" t="s">
        <v>5169</v>
      </c>
      <c r="C242" s="132" t="s">
        <v>5170</v>
      </c>
      <c r="D242" s="140">
        <v>45111</v>
      </c>
    </row>
    <row r="243" spans="2:4" ht="20.25" customHeight="1" x14ac:dyDescent="0.25">
      <c r="B243" s="108" t="s">
        <v>5171</v>
      </c>
      <c r="C243" s="138" t="s">
        <v>5172</v>
      </c>
      <c r="D243" s="141"/>
    </row>
    <row r="244" spans="2:4" ht="20.25" customHeight="1" x14ac:dyDescent="0.25">
      <c r="B244" s="108" t="s">
        <v>5173</v>
      </c>
      <c r="C244" s="132" t="s">
        <v>5174</v>
      </c>
      <c r="D244" s="141"/>
    </row>
    <row r="245" spans="2:4" ht="20.25" customHeight="1" x14ac:dyDescent="0.25">
      <c r="B245" s="108" t="s">
        <v>5175</v>
      </c>
      <c r="C245" s="138" t="s">
        <v>5176</v>
      </c>
      <c r="D245" s="141"/>
    </row>
    <row r="246" spans="2:4" ht="20.25" customHeight="1" x14ac:dyDescent="0.25">
      <c r="B246" s="108" t="s">
        <v>5177</v>
      </c>
      <c r="C246" s="132" t="s">
        <v>5178</v>
      </c>
      <c r="D246" s="133">
        <v>45097</v>
      </c>
    </row>
    <row r="247" spans="2:4" ht="20.25" customHeight="1" x14ac:dyDescent="0.25">
      <c r="B247" s="108" t="s">
        <v>5179</v>
      </c>
      <c r="C247" s="132" t="s">
        <v>5180</v>
      </c>
      <c r="D247" s="136">
        <v>45148</v>
      </c>
    </row>
    <row r="248" spans="2:4" ht="20.25" customHeight="1" x14ac:dyDescent="0.25">
      <c r="B248" s="108" t="s">
        <v>5181</v>
      </c>
      <c r="C248" s="132" t="s">
        <v>5182</v>
      </c>
      <c r="D248" s="140">
        <v>45111</v>
      </c>
    </row>
    <row r="249" spans="2:4" ht="20.25" customHeight="1" x14ac:dyDescent="0.25">
      <c r="B249" s="108" t="s">
        <v>5183</v>
      </c>
      <c r="C249" s="132" t="s">
        <v>5184</v>
      </c>
      <c r="D249" s="136">
        <v>45148</v>
      </c>
    </row>
    <row r="250" spans="2:4" ht="20.25" customHeight="1" x14ac:dyDescent="0.25">
      <c r="B250" s="108" t="s">
        <v>5185</v>
      </c>
      <c r="C250" s="132" t="s">
        <v>5186</v>
      </c>
      <c r="D250" s="136">
        <v>45148</v>
      </c>
    </row>
    <row r="251" spans="2:4" ht="20.25" customHeight="1" x14ac:dyDescent="0.25">
      <c r="B251" s="108" t="s">
        <v>5187</v>
      </c>
      <c r="C251" s="138" t="s">
        <v>5188</v>
      </c>
      <c r="D251" s="133">
        <v>45097</v>
      </c>
    </row>
    <row r="252" spans="2:4" ht="20.25" customHeight="1" x14ac:dyDescent="0.25">
      <c r="B252" s="108" t="s">
        <v>5189</v>
      </c>
      <c r="C252" s="138" t="s">
        <v>5190</v>
      </c>
      <c r="D252" s="141"/>
    </row>
    <row r="253" spans="2:4" ht="20.25" customHeight="1" x14ac:dyDescent="0.25">
      <c r="B253" s="108" t="s">
        <v>5191</v>
      </c>
      <c r="C253" s="132" t="s">
        <v>5192</v>
      </c>
      <c r="D253" s="140">
        <v>45111</v>
      </c>
    </row>
    <row r="254" spans="2:4" ht="20.25" customHeight="1" x14ac:dyDescent="0.25">
      <c r="B254" s="108" t="s">
        <v>5193</v>
      </c>
      <c r="C254" s="132" t="s">
        <v>5194</v>
      </c>
      <c r="D254" s="140">
        <v>45111</v>
      </c>
    </row>
    <row r="255" spans="2:4" ht="20.25" customHeight="1" x14ac:dyDescent="0.25">
      <c r="B255" s="108" t="s">
        <v>5195</v>
      </c>
      <c r="C255" s="138" t="s">
        <v>5196</v>
      </c>
      <c r="D255" s="133">
        <v>45097</v>
      </c>
    </row>
    <row r="256" spans="2:4" ht="20.25" customHeight="1" x14ac:dyDescent="0.25">
      <c r="B256" s="108" t="s">
        <v>5197</v>
      </c>
      <c r="C256" s="132" t="s">
        <v>5198</v>
      </c>
      <c r="D256" s="140">
        <v>45111</v>
      </c>
    </row>
    <row r="257" spans="2:4" ht="20.25" customHeight="1" x14ac:dyDescent="0.25">
      <c r="B257" s="108" t="s">
        <v>5199</v>
      </c>
      <c r="C257" s="132" t="s">
        <v>5200</v>
      </c>
      <c r="D257" s="140">
        <v>45111</v>
      </c>
    </row>
    <row r="258" spans="2:4" ht="20.25" customHeight="1" x14ac:dyDescent="0.25">
      <c r="B258" s="108" t="s">
        <v>5201</v>
      </c>
      <c r="C258" s="132" t="s">
        <v>5202</v>
      </c>
      <c r="D258" s="133">
        <v>45097</v>
      </c>
    </row>
    <row r="259" spans="2:4" ht="20.25" customHeight="1" x14ac:dyDescent="0.25">
      <c r="B259" s="108" t="s">
        <v>5203</v>
      </c>
      <c r="C259" s="132" t="s">
        <v>5204</v>
      </c>
      <c r="D259" s="133">
        <v>44992</v>
      </c>
    </row>
    <row r="260" spans="2:4" ht="20.25" customHeight="1" x14ac:dyDescent="0.25">
      <c r="B260" s="108" t="s">
        <v>5205</v>
      </c>
      <c r="C260" s="138" t="s">
        <v>5206</v>
      </c>
      <c r="D260" s="156"/>
    </row>
    <row r="261" spans="2:4" ht="20.25" customHeight="1" x14ac:dyDescent="0.25">
      <c r="B261" s="108" t="s">
        <v>5207</v>
      </c>
      <c r="C261" s="132" t="s">
        <v>5208</v>
      </c>
      <c r="D261" s="141"/>
    </row>
    <row r="262" spans="2:4" ht="20.25" customHeight="1" x14ac:dyDescent="0.25">
      <c r="B262" s="108" t="s">
        <v>5209</v>
      </c>
      <c r="C262" s="132" t="s">
        <v>5210</v>
      </c>
      <c r="D262" s="140">
        <v>45111</v>
      </c>
    </row>
    <row r="263" spans="2:4" ht="20.25" customHeight="1" x14ac:dyDescent="0.25">
      <c r="B263" s="108" t="s">
        <v>5211</v>
      </c>
      <c r="C263" s="138" t="s">
        <v>5212</v>
      </c>
      <c r="D263" s="141"/>
    </row>
    <row r="264" spans="2:4" ht="20.25" customHeight="1" x14ac:dyDescent="0.25">
      <c r="B264" s="108" t="s">
        <v>5213</v>
      </c>
      <c r="C264" s="132" t="s">
        <v>5214</v>
      </c>
      <c r="D264" s="137"/>
    </row>
    <row r="265" spans="2:4" ht="20.25" customHeight="1" x14ac:dyDescent="0.25">
      <c r="B265" s="108" t="s">
        <v>5215</v>
      </c>
      <c r="C265" s="132" t="s">
        <v>5216</v>
      </c>
      <c r="D265" s="141"/>
    </row>
    <row r="266" spans="2:4" ht="20.25" customHeight="1" x14ac:dyDescent="0.25">
      <c r="B266" s="108" t="s">
        <v>5217</v>
      </c>
      <c r="C266" s="132" t="s">
        <v>103</v>
      </c>
      <c r="D266" s="141"/>
    </row>
    <row r="267" spans="2:4" ht="20.25" customHeight="1" x14ac:dyDescent="0.25">
      <c r="B267" s="108" t="s">
        <v>5218</v>
      </c>
      <c r="C267" s="132" t="s">
        <v>5219</v>
      </c>
      <c r="D267" s="136">
        <v>45105</v>
      </c>
    </row>
    <row r="268" spans="2:4" ht="20.25" customHeight="1" x14ac:dyDescent="0.25">
      <c r="B268" s="108" t="s">
        <v>5220</v>
      </c>
      <c r="C268" s="132" t="s">
        <v>103</v>
      </c>
      <c r="D268" s="133">
        <v>44992</v>
      </c>
    </row>
    <row r="269" spans="2:4" ht="20.25" customHeight="1" x14ac:dyDescent="0.25">
      <c r="B269" s="108" t="s">
        <v>5221</v>
      </c>
      <c r="C269" s="132" t="s">
        <v>5222</v>
      </c>
      <c r="D269" s="136">
        <v>45148</v>
      </c>
    </row>
    <row r="270" spans="2:4" ht="20.25" customHeight="1" x14ac:dyDescent="0.25">
      <c r="B270" s="108" t="s">
        <v>5223</v>
      </c>
      <c r="C270" s="132" t="s">
        <v>103</v>
      </c>
      <c r="D270" s="131"/>
    </row>
    <row r="271" spans="2:4" ht="20.25" customHeight="1" x14ac:dyDescent="0.25">
      <c r="B271" s="108" t="s">
        <v>5224</v>
      </c>
      <c r="C271" s="132" t="s">
        <v>103</v>
      </c>
      <c r="D271" s="156"/>
    </row>
    <row r="272" spans="2:4" ht="20.25" customHeight="1" x14ac:dyDescent="0.25">
      <c r="B272" s="108" t="s">
        <v>5225</v>
      </c>
      <c r="C272" s="138" t="s">
        <v>5226</v>
      </c>
      <c r="D272" s="156"/>
    </row>
    <row r="273" spans="2:4" ht="20.25" customHeight="1" x14ac:dyDescent="0.25">
      <c r="B273" s="108" t="s">
        <v>5227</v>
      </c>
      <c r="C273" s="132" t="s">
        <v>5228</v>
      </c>
      <c r="D273" s="133">
        <v>45097</v>
      </c>
    </row>
    <row r="274" spans="2:4" ht="20.25" customHeight="1" x14ac:dyDescent="0.25">
      <c r="B274" s="108" t="s">
        <v>5229</v>
      </c>
      <c r="C274" s="132" t="s">
        <v>5230</v>
      </c>
      <c r="D274" s="136">
        <v>45105</v>
      </c>
    </row>
    <row r="275" spans="2:4" ht="20.25" customHeight="1" x14ac:dyDescent="0.25">
      <c r="B275" s="108" t="s">
        <v>5231</v>
      </c>
      <c r="C275" s="132" t="s">
        <v>5232</v>
      </c>
      <c r="D275" s="133">
        <v>45097</v>
      </c>
    </row>
    <row r="276" spans="2:4" ht="20.25" customHeight="1" x14ac:dyDescent="0.25">
      <c r="B276" s="108" t="s">
        <v>5233</v>
      </c>
      <c r="C276" s="132" t="s">
        <v>5234</v>
      </c>
      <c r="D276" s="133">
        <v>44992</v>
      </c>
    </row>
    <row r="277" spans="2:4" ht="20.25" customHeight="1" x14ac:dyDescent="0.25">
      <c r="B277" s="108" t="s">
        <v>5235</v>
      </c>
      <c r="C277" s="132" t="s">
        <v>5236</v>
      </c>
      <c r="D277" s="141"/>
    </row>
    <row r="278" spans="2:4" ht="20.25" customHeight="1" x14ac:dyDescent="0.25">
      <c r="B278" s="108" t="s">
        <v>5237</v>
      </c>
      <c r="C278" s="138" t="s">
        <v>5238</v>
      </c>
      <c r="D278" s="141"/>
    </row>
    <row r="279" spans="2:4" ht="20.25" customHeight="1" x14ac:dyDescent="0.25">
      <c r="B279" s="108" t="s">
        <v>5239</v>
      </c>
      <c r="C279" s="132" t="s">
        <v>5240</v>
      </c>
      <c r="D279" s="141"/>
    </row>
    <row r="280" spans="2:4" ht="20.25" customHeight="1" x14ac:dyDescent="0.25">
      <c r="B280" s="108" t="s">
        <v>5241</v>
      </c>
      <c r="C280" s="132" t="s">
        <v>5242</v>
      </c>
      <c r="D280" s="136">
        <v>45105</v>
      </c>
    </row>
    <row r="281" spans="2:4" ht="20.25" customHeight="1" x14ac:dyDescent="0.25">
      <c r="B281" s="108" t="s">
        <v>5243</v>
      </c>
      <c r="C281" s="132" t="s">
        <v>5244</v>
      </c>
      <c r="D281" s="136">
        <v>45105</v>
      </c>
    </row>
    <row r="282" spans="2:4" ht="20.25" customHeight="1" x14ac:dyDescent="0.25">
      <c r="B282" s="108" t="s">
        <v>5245</v>
      </c>
      <c r="C282" s="132" t="s">
        <v>5246</v>
      </c>
      <c r="D282" s="136">
        <v>45148</v>
      </c>
    </row>
    <row r="283" spans="2:4" ht="20.25" customHeight="1" x14ac:dyDescent="0.25">
      <c r="B283" s="108" t="s">
        <v>5247</v>
      </c>
      <c r="C283" s="132" t="s">
        <v>103</v>
      </c>
      <c r="D283" s="136">
        <v>45148</v>
      </c>
    </row>
    <row r="284" spans="2:4" ht="20.25" customHeight="1" x14ac:dyDescent="0.25">
      <c r="B284" s="108" t="s">
        <v>5248</v>
      </c>
      <c r="C284" s="132" t="s">
        <v>5249</v>
      </c>
      <c r="D284" s="136">
        <v>45148</v>
      </c>
    </row>
    <row r="285" spans="2:4" ht="20.25" customHeight="1" x14ac:dyDescent="0.25">
      <c r="B285" s="108" t="s">
        <v>5250</v>
      </c>
      <c r="C285" s="132" t="s">
        <v>5251</v>
      </c>
      <c r="D285" s="156"/>
    </row>
    <row r="286" spans="2:4" ht="20.25" customHeight="1" x14ac:dyDescent="0.25">
      <c r="B286" s="108" t="s">
        <v>5252</v>
      </c>
      <c r="C286" s="132" t="s">
        <v>5253</v>
      </c>
      <c r="D286" s="141"/>
    </row>
    <row r="287" spans="2:4" ht="20.25" customHeight="1" x14ac:dyDescent="0.25">
      <c r="B287" s="108" t="s">
        <v>4842</v>
      </c>
      <c r="C287" s="132" t="s">
        <v>5254</v>
      </c>
      <c r="D287" s="141"/>
    </row>
    <row r="288" spans="2:4" ht="20.25" customHeight="1" x14ac:dyDescent="0.25">
      <c r="B288" s="108" t="s">
        <v>5255</v>
      </c>
      <c r="C288" s="132" t="s">
        <v>5256</v>
      </c>
      <c r="D288" s="141"/>
    </row>
    <row r="289" spans="2:4" ht="20.25" customHeight="1" x14ac:dyDescent="0.25">
      <c r="B289" s="108" t="s">
        <v>5257</v>
      </c>
      <c r="C289" s="132" t="s">
        <v>5258</v>
      </c>
      <c r="D289" s="141"/>
    </row>
    <row r="290" spans="2:4" ht="20.25" customHeight="1" x14ac:dyDescent="0.25">
      <c r="B290" s="108" t="s">
        <v>4844</v>
      </c>
      <c r="C290" s="132" t="s">
        <v>5259</v>
      </c>
      <c r="D290" s="141"/>
    </row>
    <row r="291" spans="2:4" ht="20.25" customHeight="1" x14ac:dyDescent="0.25">
      <c r="B291" s="108" t="s">
        <v>4846</v>
      </c>
      <c r="C291" s="138" t="s">
        <v>5260</v>
      </c>
      <c r="D291" s="141"/>
    </row>
    <row r="292" spans="2:4" ht="20.25" customHeight="1" x14ac:dyDescent="0.25">
      <c r="B292" s="108" t="s">
        <v>5261</v>
      </c>
      <c r="C292" s="132" t="s">
        <v>5262</v>
      </c>
      <c r="D292" s="141"/>
    </row>
    <row r="293" spans="2:4" ht="20.25" customHeight="1" x14ac:dyDescent="0.25">
      <c r="B293" s="108" t="s">
        <v>5263</v>
      </c>
      <c r="C293" s="132" t="s">
        <v>5264</v>
      </c>
      <c r="D293" s="131" t="s">
        <v>24</v>
      </c>
    </row>
    <row r="294" spans="2:4" ht="20.25" customHeight="1" x14ac:dyDescent="0.25">
      <c r="B294" s="108" t="s">
        <v>5265</v>
      </c>
      <c r="C294" s="132" t="s">
        <v>5266</v>
      </c>
      <c r="D294" s="141"/>
    </row>
    <row r="295" spans="2:4" ht="20.25" customHeight="1" x14ac:dyDescent="0.25">
      <c r="B295" s="107" t="s">
        <v>5267</v>
      </c>
      <c r="C295" s="165" t="s">
        <v>5268</v>
      </c>
      <c r="D295" s="140">
        <v>45111</v>
      </c>
    </row>
    <row r="296" spans="2:4" ht="20.25" customHeight="1" x14ac:dyDescent="0.25">
      <c r="B296" s="108" t="s">
        <v>5269</v>
      </c>
      <c r="C296" s="132" t="s">
        <v>103</v>
      </c>
      <c r="D296" s="140">
        <v>45111</v>
      </c>
    </row>
    <row r="297" spans="2:4" ht="20.25" customHeight="1" x14ac:dyDescent="0.25">
      <c r="B297" s="108" t="s">
        <v>5270</v>
      </c>
      <c r="C297" s="132" t="s">
        <v>5271</v>
      </c>
      <c r="D297" s="140">
        <v>45111</v>
      </c>
    </row>
    <row r="298" spans="2:4" ht="20.25" customHeight="1" x14ac:dyDescent="0.25">
      <c r="B298" s="108" t="s">
        <v>5272</v>
      </c>
      <c r="C298" s="132" t="s">
        <v>5273</v>
      </c>
      <c r="D298" s="141"/>
    </row>
    <row r="299" spans="2:4" ht="20.25" customHeight="1" x14ac:dyDescent="0.25">
      <c r="B299" s="108" t="s">
        <v>5274</v>
      </c>
      <c r="C299" s="132" t="s">
        <v>5275</v>
      </c>
      <c r="D299" s="133">
        <v>45097</v>
      </c>
    </row>
    <row r="300" spans="2:4" ht="20.25" customHeight="1" x14ac:dyDescent="0.25">
      <c r="B300" s="108" t="s">
        <v>5276</v>
      </c>
      <c r="C300" s="132" t="s">
        <v>5277</v>
      </c>
      <c r="D300" s="141"/>
    </row>
    <row r="301" spans="2:4" ht="20.25" customHeight="1" x14ac:dyDescent="0.25">
      <c r="B301" s="108" t="s">
        <v>5278</v>
      </c>
      <c r="C301" s="132" t="s">
        <v>5279</v>
      </c>
      <c r="D301" s="141"/>
    </row>
    <row r="302" spans="2:4" ht="20.25" customHeight="1" x14ac:dyDescent="0.25">
      <c r="B302" s="108" t="s">
        <v>5280</v>
      </c>
      <c r="C302" s="138" t="s">
        <v>5281</v>
      </c>
      <c r="D302" s="141"/>
    </row>
    <row r="303" spans="2:4" ht="20.25" customHeight="1" x14ac:dyDescent="0.25">
      <c r="B303" s="108" t="s">
        <v>5282</v>
      </c>
      <c r="C303" s="132" t="s">
        <v>103</v>
      </c>
      <c r="D303" s="140">
        <v>45111</v>
      </c>
    </row>
    <row r="304" spans="2:4" ht="20.25" customHeight="1" x14ac:dyDescent="0.25">
      <c r="B304" s="108" t="s">
        <v>5283</v>
      </c>
      <c r="C304" s="132" t="s">
        <v>5284</v>
      </c>
      <c r="D304" s="140">
        <v>45111</v>
      </c>
    </row>
    <row r="305" spans="2:4" ht="20.25" customHeight="1" x14ac:dyDescent="0.25">
      <c r="B305" s="108" t="s">
        <v>5285</v>
      </c>
      <c r="C305" s="132" t="s">
        <v>5286</v>
      </c>
      <c r="D305" s="137"/>
    </row>
    <row r="306" spans="2:4" ht="20.25" customHeight="1" x14ac:dyDescent="0.25">
      <c r="B306" s="108" t="s">
        <v>5287</v>
      </c>
      <c r="C306" s="132" t="s">
        <v>5288</v>
      </c>
      <c r="D306" s="136" t="s">
        <v>24</v>
      </c>
    </row>
    <row r="307" spans="2:4" ht="20.25" customHeight="1" x14ac:dyDescent="0.25">
      <c r="B307" s="108" t="s">
        <v>5289</v>
      </c>
      <c r="C307" s="132" t="s">
        <v>5290</v>
      </c>
      <c r="D307" s="141"/>
    </row>
    <row r="308" spans="2:4" ht="20.25" customHeight="1" x14ac:dyDescent="0.25">
      <c r="B308" s="108" t="s">
        <v>5291</v>
      </c>
      <c r="C308" s="132" t="s">
        <v>5292</v>
      </c>
      <c r="D308" s="140">
        <v>45111</v>
      </c>
    </row>
    <row r="309" spans="2:4" ht="20.25" customHeight="1" x14ac:dyDescent="0.25">
      <c r="B309" s="108" t="s">
        <v>4776</v>
      </c>
      <c r="C309" s="132" t="s">
        <v>5293</v>
      </c>
      <c r="D309" s="141"/>
    </row>
    <row r="310" spans="2:4" ht="20.25" customHeight="1" x14ac:dyDescent="0.25">
      <c r="B310" s="108" t="s">
        <v>4765</v>
      </c>
      <c r="C310" s="132" t="s">
        <v>5294</v>
      </c>
      <c r="D310" s="140">
        <v>45111</v>
      </c>
    </row>
    <row r="311" spans="2:4" ht="20.25" customHeight="1" x14ac:dyDescent="0.25">
      <c r="B311" s="108" t="s">
        <v>5295</v>
      </c>
      <c r="C311" s="132" t="s">
        <v>5296</v>
      </c>
      <c r="D311" s="141"/>
    </row>
    <row r="312" spans="2:4" ht="20.25" customHeight="1" x14ac:dyDescent="0.25">
      <c r="B312" s="108" t="s">
        <v>5297</v>
      </c>
      <c r="C312" s="132" t="s">
        <v>103</v>
      </c>
      <c r="D312" s="141"/>
    </row>
    <row r="313" spans="2:4" ht="20.25" customHeight="1" x14ac:dyDescent="0.25">
      <c r="B313" s="108" t="s">
        <v>5298</v>
      </c>
      <c r="C313" s="132" t="s">
        <v>5299</v>
      </c>
      <c r="D313" s="136" t="s">
        <v>24</v>
      </c>
    </row>
    <row r="314" spans="2:4" ht="20.25" customHeight="1" x14ac:dyDescent="0.25">
      <c r="B314" s="108" t="s">
        <v>5300</v>
      </c>
      <c r="C314" s="165" t="s">
        <v>5301</v>
      </c>
      <c r="D314" s="136" t="s">
        <v>24</v>
      </c>
    </row>
    <row r="315" spans="2:4" ht="20.25" customHeight="1" x14ac:dyDescent="0.25">
      <c r="B315" s="108" t="s">
        <v>5302</v>
      </c>
      <c r="C315" s="132" t="s">
        <v>5303</v>
      </c>
      <c r="D315" s="136">
        <v>45105</v>
      </c>
    </row>
    <row r="316" spans="2:4" ht="20.25" customHeight="1" x14ac:dyDescent="0.25">
      <c r="B316" s="108" t="s">
        <v>5304</v>
      </c>
      <c r="C316" s="132" t="s">
        <v>103</v>
      </c>
      <c r="D316" s="141"/>
    </row>
    <row r="317" spans="2:4" ht="20.25" customHeight="1" x14ac:dyDescent="0.25">
      <c r="B317" s="108" t="s">
        <v>5305</v>
      </c>
      <c r="C317" s="132" t="s">
        <v>5306</v>
      </c>
      <c r="D317" s="141"/>
    </row>
    <row r="318" spans="2:4" ht="20.25" customHeight="1" x14ac:dyDescent="0.25">
      <c r="B318" s="108" t="s">
        <v>5307</v>
      </c>
      <c r="C318" s="132" t="s">
        <v>5308</v>
      </c>
      <c r="D318" s="137"/>
    </row>
    <row r="319" spans="2:4" ht="20.25" customHeight="1" x14ac:dyDescent="0.25">
      <c r="B319" s="108" t="s">
        <v>5309</v>
      </c>
      <c r="C319" s="132" t="s">
        <v>5310</v>
      </c>
      <c r="D319" s="141"/>
    </row>
    <row r="320" spans="2:4" ht="20.25" customHeight="1" x14ac:dyDescent="0.25">
      <c r="B320" s="108" t="s">
        <v>5311</v>
      </c>
      <c r="C320" s="132" t="s">
        <v>5312</v>
      </c>
      <c r="D320" s="133">
        <v>44961</v>
      </c>
    </row>
    <row r="321" spans="2:4" ht="20.25" customHeight="1" x14ac:dyDescent="0.25">
      <c r="B321" s="108" t="s">
        <v>5313</v>
      </c>
      <c r="C321" s="132" t="s">
        <v>5314</v>
      </c>
      <c r="D321" s="141"/>
    </row>
    <row r="322" spans="2:4" ht="20.25" customHeight="1" x14ac:dyDescent="0.25">
      <c r="B322" s="108" t="s">
        <v>5315</v>
      </c>
      <c r="C322" s="132" t="s">
        <v>5316</v>
      </c>
      <c r="D322" s="141"/>
    </row>
    <row r="323" spans="2:4" ht="20.25" customHeight="1" x14ac:dyDescent="0.25">
      <c r="B323" s="108" t="s">
        <v>5317</v>
      </c>
      <c r="C323" s="138" t="s">
        <v>5318</v>
      </c>
      <c r="D323" s="141"/>
    </row>
    <row r="324" spans="2:4" ht="20.25" customHeight="1" x14ac:dyDescent="0.25">
      <c r="B324" s="108" t="s">
        <v>5319</v>
      </c>
      <c r="C324" s="132" t="s">
        <v>103</v>
      </c>
      <c r="D324" s="136">
        <v>45148</v>
      </c>
    </row>
    <row r="325" spans="2:4" ht="20.25" customHeight="1" x14ac:dyDescent="0.25">
      <c r="B325" s="116" t="s">
        <v>5320</v>
      </c>
      <c r="C325" s="132" t="s">
        <v>5321</v>
      </c>
      <c r="D325" s="141"/>
    </row>
    <row r="326" spans="2:4" ht="20.25" customHeight="1" x14ac:dyDescent="0.25">
      <c r="B326" s="116" t="s">
        <v>4848</v>
      </c>
      <c r="C326" s="132" t="s">
        <v>5322</v>
      </c>
      <c r="D326" s="133">
        <v>45097</v>
      </c>
    </row>
    <row r="327" spans="2:4" ht="20.25" customHeight="1" x14ac:dyDescent="0.25">
      <c r="B327" s="108" t="s">
        <v>5323</v>
      </c>
      <c r="C327" s="138" t="s">
        <v>5324</v>
      </c>
      <c r="D327" s="136">
        <v>45105</v>
      </c>
    </row>
    <row r="328" spans="2:4" ht="20.25" customHeight="1" x14ac:dyDescent="0.25">
      <c r="B328" s="108" t="s">
        <v>5325</v>
      </c>
      <c r="C328" s="132" t="s">
        <v>103</v>
      </c>
      <c r="D328" s="141"/>
    </row>
    <row r="329" spans="2:4" ht="20.25" customHeight="1" x14ac:dyDescent="0.25">
      <c r="B329" s="108" t="s">
        <v>5326</v>
      </c>
      <c r="C329" s="165" t="s">
        <v>5327</v>
      </c>
      <c r="D329" s="141"/>
    </row>
    <row r="330" spans="2:4" ht="20.25" customHeight="1" x14ac:dyDescent="0.25">
      <c r="B330" s="108" t="s">
        <v>5328</v>
      </c>
      <c r="C330" s="138" t="s">
        <v>5329</v>
      </c>
      <c r="D330" s="141"/>
    </row>
    <row r="331" spans="2:4" ht="20.25" customHeight="1" x14ac:dyDescent="0.25">
      <c r="B331" s="108" t="s">
        <v>5330</v>
      </c>
      <c r="C331" s="132" t="s">
        <v>5331</v>
      </c>
      <c r="D331" s="133">
        <v>45097</v>
      </c>
    </row>
    <row r="332" spans="2:4" ht="20.25" customHeight="1" x14ac:dyDescent="0.25">
      <c r="B332" s="108" t="s">
        <v>5332</v>
      </c>
      <c r="C332" s="132" t="s">
        <v>5333</v>
      </c>
      <c r="D332" s="141"/>
    </row>
    <row r="333" spans="2:4" ht="20.25" customHeight="1" x14ac:dyDescent="0.25">
      <c r="B333" s="108" t="s">
        <v>5334</v>
      </c>
      <c r="C333" s="166" t="s">
        <v>5335</v>
      </c>
      <c r="D333" s="141"/>
    </row>
    <row r="334" spans="2:4" ht="20.25" customHeight="1" x14ac:dyDescent="0.25">
      <c r="B334" s="108" t="s">
        <v>5336</v>
      </c>
      <c r="C334" s="132" t="s">
        <v>5337</v>
      </c>
      <c r="D334" s="141"/>
    </row>
    <row r="335" spans="2:4" ht="20.25" customHeight="1" x14ac:dyDescent="0.25">
      <c r="B335" s="108" t="s">
        <v>5338</v>
      </c>
      <c r="C335" s="132" t="s">
        <v>5339</v>
      </c>
      <c r="D335" s="141"/>
    </row>
    <row r="336" spans="2:4" ht="20.25" customHeight="1" x14ac:dyDescent="0.25">
      <c r="B336" s="116" t="s">
        <v>5340</v>
      </c>
      <c r="C336" s="132" t="s">
        <v>5341</v>
      </c>
      <c r="D336" s="141"/>
    </row>
    <row r="337" spans="2:4" ht="20.25" customHeight="1" x14ac:dyDescent="0.25">
      <c r="B337" s="108" t="s">
        <v>5342</v>
      </c>
      <c r="C337" s="132" t="s">
        <v>5343</v>
      </c>
      <c r="D337" s="141"/>
    </row>
    <row r="338" spans="2:4" ht="20.25" customHeight="1" x14ac:dyDescent="0.25">
      <c r="B338" s="108" t="s">
        <v>5344</v>
      </c>
      <c r="C338" s="132" t="s">
        <v>5345</v>
      </c>
      <c r="D338" s="141"/>
    </row>
    <row r="339" spans="2:4" ht="20.25" customHeight="1" x14ac:dyDescent="0.25">
      <c r="B339" s="116" t="s">
        <v>5346</v>
      </c>
      <c r="C339" s="132" t="s">
        <v>103</v>
      </c>
      <c r="D339" s="141"/>
    </row>
    <row r="340" spans="2:4" ht="20.25" customHeight="1" x14ac:dyDescent="0.25">
      <c r="B340" s="108" t="s">
        <v>5347</v>
      </c>
      <c r="C340" s="132" t="s">
        <v>103</v>
      </c>
      <c r="D340" s="141"/>
    </row>
    <row r="341" spans="2:4" ht="20.25" customHeight="1" x14ac:dyDescent="0.25">
      <c r="B341" s="108" t="s">
        <v>5348</v>
      </c>
      <c r="C341" s="132" t="s">
        <v>103</v>
      </c>
      <c r="D341" s="141"/>
    </row>
    <row r="342" spans="2:4" ht="20.25" customHeight="1" x14ac:dyDescent="0.25">
      <c r="B342" s="108" t="s">
        <v>5349</v>
      </c>
      <c r="C342" s="132" t="s">
        <v>5350</v>
      </c>
      <c r="D342" s="140">
        <v>45111</v>
      </c>
    </row>
    <row r="343" spans="2:4" ht="20.25" customHeight="1" x14ac:dyDescent="0.25">
      <c r="B343" s="108" t="s">
        <v>5351</v>
      </c>
      <c r="C343" s="132" t="s">
        <v>5352</v>
      </c>
      <c r="D343" s="141"/>
    </row>
    <row r="344" spans="2:4" ht="20.25" customHeight="1" x14ac:dyDescent="0.25">
      <c r="B344" s="108" t="s">
        <v>5353</v>
      </c>
      <c r="C344" s="132" t="s">
        <v>103</v>
      </c>
      <c r="D344" s="131" t="s">
        <v>24</v>
      </c>
    </row>
    <row r="345" spans="2:4" ht="20.25" customHeight="1" x14ac:dyDescent="0.25">
      <c r="B345" s="108" t="s">
        <v>5354</v>
      </c>
      <c r="C345" s="132" t="s">
        <v>5355</v>
      </c>
      <c r="D345" s="141"/>
    </row>
    <row r="346" spans="2:4" ht="20.25" customHeight="1" x14ac:dyDescent="0.25">
      <c r="B346" s="108" t="s">
        <v>4756</v>
      </c>
      <c r="C346" s="132" t="s">
        <v>5356</v>
      </c>
      <c r="D346" s="141"/>
    </row>
    <row r="347" spans="2:4" ht="20.25" customHeight="1" x14ac:dyDescent="0.25">
      <c r="B347" s="108" t="s">
        <v>5357</v>
      </c>
      <c r="C347" s="138" t="s">
        <v>5358</v>
      </c>
      <c r="D347" s="141"/>
    </row>
    <row r="348" spans="2:4" ht="20.25" customHeight="1" x14ac:dyDescent="0.25">
      <c r="B348" s="108" t="s">
        <v>5359</v>
      </c>
      <c r="C348" s="132" t="s">
        <v>5360</v>
      </c>
      <c r="D348" s="141"/>
    </row>
    <row r="349" spans="2:4" ht="20.25" customHeight="1" x14ac:dyDescent="0.25">
      <c r="B349" s="108" t="s">
        <v>5361</v>
      </c>
      <c r="C349" s="132" t="s">
        <v>5362</v>
      </c>
      <c r="D349" s="141"/>
    </row>
    <row r="350" spans="2:4" ht="20.25" customHeight="1" x14ac:dyDescent="0.25">
      <c r="B350" s="108" t="s">
        <v>5363</v>
      </c>
      <c r="C350" s="132" t="s">
        <v>5364</v>
      </c>
      <c r="D350" s="141"/>
    </row>
    <row r="351" spans="2:4" ht="20.25" customHeight="1" x14ac:dyDescent="0.25">
      <c r="B351" s="108" t="s">
        <v>4753</v>
      </c>
      <c r="C351" s="132" t="s">
        <v>5365</v>
      </c>
      <c r="D351" s="141"/>
    </row>
    <row r="352" spans="2:4" ht="20.25" customHeight="1" x14ac:dyDescent="0.25">
      <c r="B352" s="116" t="s">
        <v>4850</v>
      </c>
      <c r="C352" s="132" t="s">
        <v>5366</v>
      </c>
      <c r="D352" s="141"/>
    </row>
    <row r="353" spans="2:4" ht="20.25" customHeight="1" x14ac:dyDescent="0.25">
      <c r="B353" s="108" t="s">
        <v>5367</v>
      </c>
      <c r="C353" s="132" t="s">
        <v>5368</v>
      </c>
      <c r="D353" s="141"/>
    </row>
    <row r="354" spans="2:4" ht="20.25" customHeight="1" x14ac:dyDescent="0.25">
      <c r="B354" s="108" t="s">
        <v>5369</v>
      </c>
      <c r="C354" s="132" t="s">
        <v>103</v>
      </c>
      <c r="D354" s="141"/>
    </row>
    <row r="355" spans="2:4" ht="20.25" customHeight="1" x14ac:dyDescent="0.25">
      <c r="B355" s="108" t="s">
        <v>5370</v>
      </c>
      <c r="C355" s="132" t="s">
        <v>103</v>
      </c>
      <c r="D355" s="141"/>
    </row>
    <row r="356" spans="2:4" ht="20.25" customHeight="1" x14ac:dyDescent="0.25">
      <c r="B356" s="108" t="s">
        <v>5371</v>
      </c>
      <c r="C356" s="132" t="s">
        <v>5372</v>
      </c>
      <c r="D356" s="141"/>
    </row>
    <row r="357" spans="2:4" ht="20.25" customHeight="1" x14ac:dyDescent="0.25">
      <c r="B357" s="108" t="s">
        <v>5373</v>
      </c>
      <c r="C357" s="132" t="s">
        <v>103</v>
      </c>
      <c r="D357" s="141"/>
    </row>
    <row r="358" spans="2:4" ht="20.25" customHeight="1" x14ac:dyDescent="0.25">
      <c r="B358" s="108" t="s">
        <v>5374</v>
      </c>
      <c r="C358" s="132" t="s">
        <v>5375</v>
      </c>
      <c r="D358" s="141"/>
    </row>
    <row r="359" spans="2:4" ht="20.25" customHeight="1" x14ac:dyDescent="0.25">
      <c r="B359" s="116" t="s">
        <v>4852</v>
      </c>
      <c r="C359" s="132" t="s">
        <v>103</v>
      </c>
      <c r="D359" s="141"/>
    </row>
    <row r="360" spans="2:4" ht="20.25" customHeight="1" x14ac:dyDescent="0.25">
      <c r="B360" s="116" t="s">
        <v>5376</v>
      </c>
      <c r="C360" s="132" t="s">
        <v>5377</v>
      </c>
      <c r="D360" s="141"/>
    </row>
    <row r="361" spans="2:4" ht="20.25" customHeight="1" x14ac:dyDescent="0.25">
      <c r="B361" s="108" t="s">
        <v>5378</v>
      </c>
      <c r="C361" s="132" t="s">
        <v>103</v>
      </c>
      <c r="D361" s="141"/>
    </row>
    <row r="362" spans="2:4" ht="20.25" customHeight="1" x14ac:dyDescent="0.25">
      <c r="B362" s="108" t="s">
        <v>5379</v>
      </c>
      <c r="C362" s="132" t="s">
        <v>103</v>
      </c>
      <c r="D362" s="141"/>
    </row>
    <row r="363" spans="2:4" ht="20.25" customHeight="1" x14ac:dyDescent="0.25">
      <c r="B363" s="108" t="s">
        <v>4768</v>
      </c>
      <c r="C363" s="132" t="s">
        <v>103</v>
      </c>
      <c r="D363" s="141"/>
    </row>
    <row r="364" spans="2:4" ht="20.25" customHeight="1" x14ac:dyDescent="0.25">
      <c r="B364" s="108" t="s">
        <v>5380</v>
      </c>
      <c r="C364" s="132" t="s">
        <v>5381</v>
      </c>
      <c r="D364" s="141"/>
    </row>
    <row r="365" spans="2:4" ht="20.25" customHeight="1" x14ac:dyDescent="0.25">
      <c r="B365" s="108" t="s">
        <v>5382</v>
      </c>
      <c r="C365" s="138" t="s">
        <v>5383</v>
      </c>
      <c r="D365" s="141"/>
    </row>
    <row r="366" spans="2:4" ht="20.25" customHeight="1" x14ac:dyDescent="0.25">
      <c r="B366" s="108" t="s">
        <v>5384</v>
      </c>
      <c r="C366" s="132" t="s">
        <v>5385</v>
      </c>
      <c r="D366" s="141"/>
    </row>
    <row r="367" spans="2:4" ht="20.25" customHeight="1" x14ac:dyDescent="0.25">
      <c r="B367" s="108" t="s">
        <v>5386</v>
      </c>
      <c r="C367" s="132" t="s">
        <v>103</v>
      </c>
      <c r="D367" s="141"/>
    </row>
    <row r="368" spans="2:4" ht="20.25" customHeight="1" x14ac:dyDescent="0.25">
      <c r="B368" s="108" t="s">
        <v>5387</v>
      </c>
      <c r="C368" s="167" t="s">
        <v>103</v>
      </c>
      <c r="D368" s="141"/>
    </row>
    <row r="369" spans="2:4" ht="20.25" customHeight="1" x14ac:dyDescent="0.25">
      <c r="B369" s="116" t="s">
        <v>5388</v>
      </c>
      <c r="C369" s="138" t="s">
        <v>5389</v>
      </c>
      <c r="D369" s="141"/>
    </row>
    <row r="370" spans="2:4" ht="20.25" customHeight="1" x14ac:dyDescent="0.25">
      <c r="B370" s="116" t="s">
        <v>5390</v>
      </c>
      <c r="C370" s="132" t="s">
        <v>5391</v>
      </c>
      <c r="D370" s="141"/>
    </row>
    <row r="371" spans="2:4" ht="20.25" customHeight="1" x14ac:dyDescent="0.25">
      <c r="B371" s="108" t="s">
        <v>5392</v>
      </c>
      <c r="C371" s="132" t="s">
        <v>103</v>
      </c>
      <c r="D371" s="141"/>
    </row>
    <row r="372" spans="2:4" ht="20.25" customHeight="1" x14ac:dyDescent="0.25">
      <c r="B372" s="108" t="s">
        <v>4767</v>
      </c>
      <c r="C372" s="132" t="s">
        <v>5393</v>
      </c>
      <c r="D372" s="136">
        <v>45148</v>
      </c>
    </row>
    <row r="373" spans="2:4" ht="20.25" customHeight="1" x14ac:dyDescent="0.25">
      <c r="B373" s="116" t="s">
        <v>4799</v>
      </c>
      <c r="C373" s="132" t="s">
        <v>5394</v>
      </c>
      <c r="D373" s="142"/>
    </row>
    <row r="374" spans="2:4" ht="20.25" customHeight="1" x14ac:dyDescent="0.25">
      <c r="B374" s="108" t="s">
        <v>5395</v>
      </c>
      <c r="C374" s="132" t="s">
        <v>5396</v>
      </c>
      <c r="D374" s="135"/>
    </row>
    <row r="375" spans="2:4" ht="20.25" customHeight="1" x14ac:dyDescent="0.25">
      <c r="B375" s="108" t="s">
        <v>5397</v>
      </c>
      <c r="C375" s="132" t="s">
        <v>5396</v>
      </c>
      <c r="D375" s="156"/>
    </row>
    <row r="376" spans="2:4" ht="20.25" customHeight="1" x14ac:dyDescent="0.25">
      <c r="B376" s="108" t="s">
        <v>5398</v>
      </c>
      <c r="C376" s="132" t="s">
        <v>5399</v>
      </c>
      <c r="D376" s="133">
        <v>44961</v>
      </c>
    </row>
    <row r="377" spans="2:4" ht="20.25" customHeight="1" x14ac:dyDescent="0.25">
      <c r="B377" s="108" t="s">
        <v>5400</v>
      </c>
      <c r="C377" s="132" t="s">
        <v>5401</v>
      </c>
      <c r="D377" s="133">
        <v>44992</v>
      </c>
    </row>
    <row r="378" spans="2:4" ht="20.25" customHeight="1" x14ac:dyDescent="0.25">
      <c r="B378" s="108" t="s">
        <v>5402</v>
      </c>
      <c r="C378" s="132" t="s">
        <v>5403</v>
      </c>
      <c r="D378" s="136">
        <v>45105</v>
      </c>
    </row>
    <row r="379" spans="2:4" ht="20.25" customHeight="1" x14ac:dyDescent="0.25">
      <c r="B379" s="108" t="s">
        <v>4771</v>
      </c>
      <c r="C379" s="132" t="s">
        <v>5404</v>
      </c>
      <c r="D379" s="133">
        <v>44961</v>
      </c>
    </row>
    <row r="380" spans="2:4" ht="20.25" customHeight="1" x14ac:dyDescent="0.25">
      <c r="B380" s="108" t="s">
        <v>5405</v>
      </c>
      <c r="C380" s="132" t="s">
        <v>5406</v>
      </c>
      <c r="D380" s="133">
        <v>44961</v>
      </c>
    </row>
    <row r="381" spans="2:4" ht="20.25" customHeight="1" x14ac:dyDescent="0.25">
      <c r="B381" s="108" t="s">
        <v>5407</v>
      </c>
      <c r="C381" s="132" t="s">
        <v>5408</v>
      </c>
      <c r="D381" s="141"/>
    </row>
    <row r="382" spans="2:4" ht="20.25" customHeight="1" x14ac:dyDescent="0.25">
      <c r="B382" s="108" t="s">
        <v>5409</v>
      </c>
      <c r="C382" s="138" t="s">
        <v>5410</v>
      </c>
      <c r="D382" s="133">
        <v>44992</v>
      </c>
    </row>
    <row r="383" spans="2:4" ht="20.25" customHeight="1" x14ac:dyDescent="0.25">
      <c r="B383" s="108" t="s">
        <v>5411</v>
      </c>
      <c r="C383" s="132" t="s">
        <v>5412</v>
      </c>
      <c r="D383" s="133">
        <v>44961</v>
      </c>
    </row>
    <row r="384" spans="2:4" ht="20.25" customHeight="1" x14ac:dyDescent="0.25">
      <c r="B384" s="108" t="s">
        <v>5413</v>
      </c>
      <c r="C384" s="132" t="s">
        <v>5414</v>
      </c>
      <c r="D384" s="133">
        <v>44961</v>
      </c>
    </row>
    <row r="385" spans="2:4" ht="20.25" customHeight="1" x14ac:dyDescent="0.25">
      <c r="B385" s="108" t="s">
        <v>4854</v>
      </c>
      <c r="C385" s="132" t="s">
        <v>5415</v>
      </c>
      <c r="D385" s="133">
        <v>44961</v>
      </c>
    </row>
    <row r="386" spans="2:4" ht="20.25" customHeight="1" x14ac:dyDescent="0.25">
      <c r="B386" s="108" t="s">
        <v>4856</v>
      </c>
      <c r="C386" s="132" t="s">
        <v>5416</v>
      </c>
      <c r="D386" s="133">
        <v>44961</v>
      </c>
    </row>
    <row r="387" spans="2:4" ht="20.25" customHeight="1" x14ac:dyDescent="0.25">
      <c r="B387" s="108" t="s">
        <v>4858</v>
      </c>
      <c r="C387" s="132" t="s">
        <v>5417</v>
      </c>
      <c r="D387" s="141"/>
    </row>
    <row r="388" spans="2:4" ht="20.25" customHeight="1" x14ac:dyDescent="0.25">
      <c r="B388" s="108" t="s">
        <v>4860</v>
      </c>
      <c r="C388" s="132" t="s">
        <v>5418</v>
      </c>
      <c r="D388" s="133">
        <v>44961</v>
      </c>
    </row>
    <row r="389" spans="2:4" ht="20.25" customHeight="1" x14ac:dyDescent="0.25">
      <c r="B389" s="108" t="s">
        <v>5419</v>
      </c>
      <c r="C389" s="132" t="s">
        <v>5420</v>
      </c>
      <c r="D389" s="141"/>
    </row>
    <row r="390" spans="2:4" ht="20.25" customHeight="1" x14ac:dyDescent="0.25">
      <c r="B390" s="108" t="s">
        <v>5421</v>
      </c>
      <c r="C390" s="132" t="s">
        <v>5422</v>
      </c>
      <c r="D390" s="141"/>
    </row>
    <row r="391" spans="2:4" ht="20.25" customHeight="1" x14ac:dyDescent="0.25">
      <c r="B391" s="108" t="s">
        <v>5423</v>
      </c>
      <c r="C391" s="132" t="s">
        <v>5424</v>
      </c>
      <c r="D391" s="136">
        <v>45106</v>
      </c>
    </row>
    <row r="392" spans="2:4" ht="20.25" customHeight="1" x14ac:dyDescent="0.25">
      <c r="B392" s="108" t="s">
        <v>5425</v>
      </c>
      <c r="C392" s="132" t="s">
        <v>5426</v>
      </c>
      <c r="D392" s="141"/>
    </row>
    <row r="393" spans="2:4" ht="20.25" customHeight="1" x14ac:dyDescent="0.25">
      <c r="B393" s="108" t="s">
        <v>5427</v>
      </c>
      <c r="C393" s="132" t="s">
        <v>103</v>
      </c>
      <c r="D393" s="136">
        <v>45105</v>
      </c>
    </row>
    <row r="394" spans="2:4" ht="20.25" customHeight="1" x14ac:dyDescent="0.25">
      <c r="B394" s="108" t="s">
        <v>5428</v>
      </c>
      <c r="C394" s="132" t="s">
        <v>103</v>
      </c>
      <c r="D394" s="136">
        <v>45148</v>
      </c>
    </row>
    <row r="395" spans="2:4" ht="20.25" customHeight="1" x14ac:dyDescent="0.25">
      <c r="B395" s="108" t="s">
        <v>4773</v>
      </c>
      <c r="C395" s="132" t="s">
        <v>5429</v>
      </c>
      <c r="D395" s="141"/>
    </row>
    <row r="396" spans="2:4" ht="20.25" customHeight="1" x14ac:dyDescent="0.25">
      <c r="B396" s="108" t="s">
        <v>5430</v>
      </c>
      <c r="C396" s="132" t="s">
        <v>5431</v>
      </c>
      <c r="D396" s="141"/>
    </row>
    <row r="397" spans="2:4" ht="20.25" customHeight="1" x14ac:dyDescent="0.25">
      <c r="B397" s="108" t="s">
        <v>5432</v>
      </c>
      <c r="C397" s="132" t="s">
        <v>5433</v>
      </c>
      <c r="D397" s="136">
        <v>45105</v>
      </c>
    </row>
    <row r="398" spans="2:4" ht="20.25" customHeight="1" x14ac:dyDescent="0.25">
      <c r="B398" s="108" t="s">
        <v>5434</v>
      </c>
      <c r="C398" s="132" t="s">
        <v>5435</v>
      </c>
      <c r="D398" s="131" t="s">
        <v>24</v>
      </c>
    </row>
    <row r="399" spans="2:4" ht="20.25" customHeight="1" x14ac:dyDescent="0.25">
      <c r="B399" s="108" t="s">
        <v>5436</v>
      </c>
      <c r="C399" s="132" t="s">
        <v>103</v>
      </c>
      <c r="D399" s="136">
        <v>45148</v>
      </c>
    </row>
    <row r="400" spans="2:4" ht="20.25" customHeight="1" x14ac:dyDescent="0.25">
      <c r="B400" s="108" t="s">
        <v>5437</v>
      </c>
      <c r="C400" s="132" t="s">
        <v>103</v>
      </c>
      <c r="D400" s="141"/>
    </row>
    <row r="401" spans="2:4" ht="20.25" customHeight="1" x14ac:dyDescent="0.25">
      <c r="B401" s="116" t="s">
        <v>4862</v>
      </c>
      <c r="C401" s="132" t="s">
        <v>5438</v>
      </c>
      <c r="D401" s="156"/>
    </row>
    <row r="402" spans="2:4" ht="20.25" customHeight="1" x14ac:dyDescent="0.25">
      <c r="B402" s="108" t="s">
        <v>4864</v>
      </c>
      <c r="C402" s="132" t="s">
        <v>5439</v>
      </c>
      <c r="D402" s="136">
        <v>45148</v>
      </c>
    </row>
    <row r="403" spans="2:4" ht="20.25" customHeight="1" x14ac:dyDescent="0.25">
      <c r="B403" s="108" t="s">
        <v>5440</v>
      </c>
      <c r="C403" s="132" t="s">
        <v>5441</v>
      </c>
      <c r="D403" s="136">
        <v>45148</v>
      </c>
    </row>
    <row r="404" spans="2:4" ht="20.25" customHeight="1" x14ac:dyDescent="0.25">
      <c r="B404" s="108" t="s">
        <v>5442</v>
      </c>
      <c r="C404" s="132" t="s">
        <v>103</v>
      </c>
      <c r="D404" s="136">
        <v>45148</v>
      </c>
    </row>
    <row r="405" spans="2:4" ht="20.25" customHeight="1" x14ac:dyDescent="0.25">
      <c r="B405" s="108" t="s">
        <v>5443</v>
      </c>
      <c r="C405" s="138" t="s">
        <v>5444</v>
      </c>
      <c r="D405" s="137"/>
    </row>
    <row r="406" spans="2:4" ht="20.25" customHeight="1" x14ac:dyDescent="0.25">
      <c r="B406" s="108" t="s">
        <v>5445</v>
      </c>
      <c r="C406" s="132" t="s">
        <v>5446</v>
      </c>
      <c r="D406" s="136">
        <v>45148</v>
      </c>
    </row>
    <row r="407" spans="2:4" ht="20.25" customHeight="1" x14ac:dyDescent="0.25">
      <c r="B407" s="108" t="s">
        <v>5447</v>
      </c>
      <c r="C407" s="132" t="s">
        <v>5448</v>
      </c>
      <c r="D407" s="136">
        <v>45148</v>
      </c>
    </row>
    <row r="408" spans="2:4" ht="20.25" customHeight="1" x14ac:dyDescent="0.25">
      <c r="B408" s="108" t="s">
        <v>4775</v>
      </c>
      <c r="C408" s="132" t="s">
        <v>5449</v>
      </c>
      <c r="D408" s="136">
        <v>45148</v>
      </c>
    </row>
    <row r="409" spans="2:4" ht="20.25" customHeight="1" x14ac:dyDescent="0.25">
      <c r="B409" s="108" t="s">
        <v>5450</v>
      </c>
      <c r="C409" s="132" t="s">
        <v>5451</v>
      </c>
      <c r="D409" s="136">
        <v>45105</v>
      </c>
    </row>
    <row r="410" spans="2:4" ht="20.25" customHeight="1" x14ac:dyDescent="0.25">
      <c r="B410" s="108" t="s">
        <v>5452</v>
      </c>
      <c r="C410" s="132" t="s">
        <v>5453</v>
      </c>
      <c r="D410" s="133">
        <v>44961</v>
      </c>
    </row>
    <row r="411" spans="2:4" ht="20.25" customHeight="1" x14ac:dyDescent="0.25">
      <c r="B411" s="108" t="s">
        <v>5454</v>
      </c>
      <c r="C411" s="132" t="s">
        <v>5455</v>
      </c>
      <c r="D411" s="133">
        <v>44961</v>
      </c>
    </row>
    <row r="412" spans="2:4" ht="20.25" customHeight="1" x14ac:dyDescent="0.25">
      <c r="B412" s="108" t="s">
        <v>5456</v>
      </c>
      <c r="C412" s="132" t="s">
        <v>5457</v>
      </c>
      <c r="D412" s="133">
        <v>44992</v>
      </c>
    </row>
    <row r="413" spans="2:4" ht="20.25" customHeight="1" x14ac:dyDescent="0.25">
      <c r="B413" s="108" t="s">
        <v>5458</v>
      </c>
      <c r="C413" s="138" t="s">
        <v>5459</v>
      </c>
      <c r="D413" s="133">
        <v>44992</v>
      </c>
    </row>
    <row r="414" spans="2:4" ht="20.25" customHeight="1" x14ac:dyDescent="0.25">
      <c r="B414" s="108" t="s">
        <v>5460</v>
      </c>
      <c r="C414" s="132" t="s">
        <v>5461</v>
      </c>
      <c r="D414" s="141"/>
    </row>
    <row r="415" spans="2:4" ht="20.25" customHeight="1" x14ac:dyDescent="0.25">
      <c r="B415" s="108" t="s">
        <v>5462</v>
      </c>
      <c r="C415" s="132" t="s">
        <v>5463</v>
      </c>
      <c r="D415" s="141"/>
    </row>
    <row r="416" spans="2:4" ht="20.25" customHeight="1" x14ac:dyDescent="0.25">
      <c r="B416" s="116" t="s">
        <v>5464</v>
      </c>
      <c r="C416" s="132" t="s">
        <v>5465</v>
      </c>
      <c r="D416" s="141"/>
    </row>
    <row r="417" spans="2:4" ht="20.25" customHeight="1" x14ac:dyDescent="0.25">
      <c r="B417" s="116" t="s">
        <v>5466</v>
      </c>
      <c r="C417" s="132" t="s">
        <v>5467</v>
      </c>
      <c r="D417" s="136">
        <v>45105</v>
      </c>
    </row>
    <row r="418" spans="2:4" ht="20.25" customHeight="1" x14ac:dyDescent="0.25">
      <c r="B418" s="108" t="s">
        <v>5468</v>
      </c>
      <c r="C418" s="132" t="s">
        <v>4087</v>
      </c>
      <c r="D418" s="133">
        <v>44961</v>
      </c>
    </row>
    <row r="419" spans="2:4" ht="20.25" customHeight="1" x14ac:dyDescent="0.25">
      <c r="B419" s="108" t="s">
        <v>5469</v>
      </c>
      <c r="C419" s="132" t="s">
        <v>103</v>
      </c>
      <c r="D419" s="133">
        <v>44961</v>
      </c>
    </row>
    <row r="420" spans="2:4" ht="20.25" customHeight="1" x14ac:dyDescent="0.25">
      <c r="B420" s="108" t="s">
        <v>5470</v>
      </c>
      <c r="C420" s="132" t="s">
        <v>5471</v>
      </c>
      <c r="D420" s="136">
        <v>45105</v>
      </c>
    </row>
    <row r="421" spans="2:4" ht="20.25" customHeight="1" x14ac:dyDescent="0.25">
      <c r="B421" s="108" t="s">
        <v>5472</v>
      </c>
      <c r="C421" s="132" t="s">
        <v>5473</v>
      </c>
      <c r="D421" s="133">
        <v>44961</v>
      </c>
    </row>
    <row r="422" spans="2:4" ht="20.25" customHeight="1" x14ac:dyDescent="0.25">
      <c r="B422" s="108" t="s">
        <v>5474</v>
      </c>
      <c r="C422" s="132" t="s">
        <v>5475</v>
      </c>
      <c r="D422" s="136">
        <v>45105</v>
      </c>
    </row>
    <row r="423" spans="2:4" ht="20.25" customHeight="1" x14ac:dyDescent="0.25">
      <c r="B423" s="108" t="s">
        <v>5476</v>
      </c>
      <c r="C423" s="132" t="s">
        <v>5477</v>
      </c>
      <c r="D423" s="133">
        <v>44961</v>
      </c>
    </row>
    <row r="424" spans="2:4" ht="20.25" customHeight="1" x14ac:dyDescent="0.25">
      <c r="B424" s="108" t="s">
        <v>5478</v>
      </c>
      <c r="C424" s="132" t="s">
        <v>5479</v>
      </c>
      <c r="D424" s="141"/>
    </row>
    <row r="425" spans="2:4" ht="20.25" customHeight="1" x14ac:dyDescent="0.25">
      <c r="B425" s="108" t="s">
        <v>5480</v>
      </c>
      <c r="C425" s="132" t="s">
        <v>5481</v>
      </c>
      <c r="D425" s="141"/>
    </row>
    <row r="426" spans="2:4" ht="20.25" customHeight="1" x14ac:dyDescent="0.25">
      <c r="B426" s="108" t="s">
        <v>4866</v>
      </c>
      <c r="C426" s="132" t="s">
        <v>5482</v>
      </c>
      <c r="D426" s="133">
        <v>44992</v>
      </c>
    </row>
    <row r="427" spans="2:4" ht="20.25" customHeight="1" x14ac:dyDescent="0.25">
      <c r="B427" s="108" t="s">
        <v>5483</v>
      </c>
      <c r="C427" s="132" t="s">
        <v>5484</v>
      </c>
      <c r="D427" s="141"/>
    </row>
    <row r="428" spans="2:4" ht="20.25" customHeight="1" x14ac:dyDescent="0.25">
      <c r="B428" s="108" t="s">
        <v>5485</v>
      </c>
      <c r="C428" s="132" t="s">
        <v>5486</v>
      </c>
      <c r="D428" s="141"/>
    </row>
    <row r="429" spans="2:4" ht="20.25" customHeight="1" x14ac:dyDescent="0.25">
      <c r="B429" s="108" t="s">
        <v>5487</v>
      </c>
      <c r="C429" s="132" t="s">
        <v>103</v>
      </c>
      <c r="D429" s="136">
        <v>45148</v>
      </c>
    </row>
    <row r="430" spans="2:4" ht="20.25" customHeight="1" x14ac:dyDescent="0.25">
      <c r="B430" s="108" t="s">
        <v>5488</v>
      </c>
      <c r="C430" s="132" t="s">
        <v>5489</v>
      </c>
      <c r="D430" s="133">
        <v>44889</v>
      </c>
    </row>
    <row r="431" spans="2:4" ht="20.25" customHeight="1" x14ac:dyDescent="0.25">
      <c r="B431" s="108" t="s">
        <v>5490</v>
      </c>
      <c r="C431" s="138" t="s">
        <v>5491</v>
      </c>
      <c r="D431" s="133">
        <v>44889</v>
      </c>
    </row>
    <row r="432" spans="2:4" ht="20.25" customHeight="1" x14ac:dyDescent="0.25">
      <c r="B432" s="108" t="s">
        <v>5492</v>
      </c>
      <c r="C432" s="132" t="s">
        <v>5493</v>
      </c>
      <c r="D432" s="133">
        <v>44992</v>
      </c>
    </row>
    <row r="433" spans="2:4" ht="20.25" customHeight="1" x14ac:dyDescent="0.25">
      <c r="B433" s="108" t="s">
        <v>5494</v>
      </c>
      <c r="C433" s="132" t="s">
        <v>5495</v>
      </c>
      <c r="D433" s="140">
        <v>45111</v>
      </c>
    </row>
    <row r="434" spans="2:4" ht="20.25" customHeight="1" x14ac:dyDescent="0.25">
      <c r="B434" s="108" t="s">
        <v>5496</v>
      </c>
      <c r="C434" s="138" t="s">
        <v>5497</v>
      </c>
      <c r="D434" s="131" t="s">
        <v>24</v>
      </c>
    </row>
    <row r="435" spans="2:4" ht="20.25" customHeight="1" x14ac:dyDescent="0.25">
      <c r="B435" s="108" t="s">
        <v>4777</v>
      </c>
      <c r="C435" s="132" t="s">
        <v>5498</v>
      </c>
      <c r="D435" s="131" t="s">
        <v>24</v>
      </c>
    </row>
    <row r="436" spans="2:4" ht="20.25" customHeight="1" x14ac:dyDescent="0.25">
      <c r="B436" s="108" t="s">
        <v>5499</v>
      </c>
      <c r="C436" s="138" t="s">
        <v>5500</v>
      </c>
      <c r="D436" s="131" t="s">
        <v>24</v>
      </c>
    </row>
    <row r="437" spans="2:4" ht="20.25" customHeight="1" x14ac:dyDescent="0.25">
      <c r="B437" s="108" t="s">
        <v>5501</v>
      </c>
      <c r="C437" s="132" t="s">
        <v>5502</v>
      </c>
      <c r="D437" s="141"/>
    </row>
    <row r="438" spans="2:4" ht="20.25" customHeight="1" x14ac:dyDescent="0.25">
      <c r="B438" s="108" t="s">
        <v>5503</v>
      </c>
      <c r="C438" s="138" t="s">
        <v>5504</v>
      </c>
      <c r="D438" s="141"/>
    </row>
    <row r="439" spans="2:4" ht="20.25" customHeight="1" x14ac:dyDescent="0.25">
      <c r="B439" s="108" t="s">
        <v>5505</v>
      </c>
      <c r="C439" s="138" t="s">
        <v>5506</v>
      </c>
      <c r="D439" s="141"/>
    </row>
    <row r="440" spans="2:4" ht="20.25" customHeight="1" x14ac:dyDescent="0.25">
      <c r="B440" s="108" t="s">
        <v>5507</v>
      </c>
      <c r="C440" s="132" t="s">
        <v>5508</v>
      </c>
      <c r="D440" s="141"/>
    </row>
    <row r="441" spans="2:4" ht="20.25" customHeight="1" x14ac:dyDescent="0.25">
      <c r="B441" s="108" t="s">
        <v>4769</v>
      </c>
      <c r="C441" s="132" t="s">
        <v>5509</v>
      </c>
      <c r="D441" s="133">
        <v>44816</v>
      </c>
    </row>
    <row r="442" spans="2:4" ht="20.25" customHeight="1" x14ac:dyDescent="0.25">
      <c r="B442" s="108" t="s">
        <v>5510</v>
      </c>
      <c r="C442" s="138" t="s">
        <v>5511</v>
      </c>
      <c r="D442" s="133">
        <v>44910</v>
      </c>
    </row>
    <row r="443" spans="2:4" ht="20.25" customHeight="1" x14ac:dyDescent="0.25">
      <c r="B443" s="108" t="s">
        <v>5512</v>
      </c>
      <c r="C443" s="138" t="s">
        <v>5511</v>
      </c>
      <c r="D443" s="133">
        <v>44816</v>
      </c>
    </row>
    <row r="444" spans="2:4" ht="20.25" customHeight="1" x14ac:dyDescent="0.25">
      <c r="B444" s="108" t="s">
        <v>5513</v>
      </c>
      <c r="C444" s="132" t="s">
        <v>5514</v>
      </c>
      <c r="D444" s="131" t="s">
        <v>24</v>
      </c>
    </row>
    <row r="445" spans="2:4" ht="20.25" customHeight="1" x14ac:dyDescent="0.25">
      <c r="B445" s="108" t="s">
        <v>5515</v>
      </c>
      <c r="C445" s="132" t="s">
        <v>5516</v>
      </c>
      <c r="D445" s="133">
        <v>44923</v>
      </c>
    </row>
    <row r="446" spans="2:4" ht="20.25" customHeight="1" x14ac:dyDescent="0.25">
      <c r="B446" s="108" t="s">
        <v>4782</v>
      </c>
      <c r="C446" s="138" t="s">
        <v>5517</v>
      </c>
      <c r="D446" s="131"/>
    </row>
    <row r="447" spans="2:4" ht="20.25" customHeight="1" x14ac:dyDescent="0.25">
      <c r="B447" s="108" t="s">
        <v>5518</v>
      </c>
      <c r="C447" s="138" t="s">
        <v>5519</v>
      </c>
      <c r="D447" s="133">
        <v>45013</v>
      </c>
    </row>
    <row r="448" spans="2:4" ht="20.25" customHeight="1" x14ac:dyDescent="0.25">
      <c r="B448" s="108" t="s">
        <v>5520</v>
      </c>
      <c r="C448" s="138" t="s">
        <v>5521</v>
      </c>
      <c r="D448" s="133">
        <v>44923</v>
      </c>
    </row>
    <row r="449" spans="2:4" ht="20.25" customHeight="1" x14ac:dyDescent="0.25">
      <c r="B449" s="108" t="s">
        <v>4786</v>
      </c>
      <c r="C449" s="138" t="s">
        <v>5522</v>
      </c>
      <c r="D449" s="133">
        <v>44923</v>
      </c>
    </row>
    <row r="450" spans="2:4" ht="20.25" customHeight="1" x14ac:dyDescent="0.25">
      <c r="B450" s="108" t="s">
        <v>4789</v>
      </c>
      <c r="C450" s="138" t="s">
        <v>5523</v>
      </c>
      <c r="D450" s="133">
        <v>44816</v>
      </c>
    </row>
    <row r="451" spans="2:4" ht="20.25" customHeight="1" x14ac:dyDescent="0.25">
      <c r="B451" s="108" t="s">
        <v>4868</v>
      </c>
      <c r="C451" s="138" t="s">
        <v>5524</v>
      </c>
      <c r="D451" s="131" t="s">
        <v>24</v>
      </c>
    </row>
    <row r="452" spans="2:4" ht="20.25" customHeight="1" x14ac:dyDescent="0.25">
      <c r="B452" s="108" t="s">
        <v>5525</v>
      </c>
      <c r="C452" s="132" t="s">
        <v>5526</v>
      </c>
      <c r="D452" s="131" t="s">
        <v>24</v>
      </c>
    </row>
    <row r="453" spans="2:4" ht="20.25" customHeight="1" x14ac:dyDescent="0.25">
      <c r="B453" s="108" t="s">
        <v>4791</v>
      </c>
      <c r="C453" s="132" t="s">
        <v>5527</v>
      </c>
      <c r="D453" s="133">
        <v>44816</v>
      </c>
    </row>
    <row r="454" spans="2:4" ht="20.25" customHeight="1" x14ac:dyDescent="0.25">
      <c r="B454" s="108" t="s">
        <v>5528</v>
      </c>
      <c r="C454" s="138" t="s">
        <v>5529</v>
      </c>
      <c r="D454" s="133">
        <v>44816</v>
      </c>
    </row>
    <row r="455" spans="2:4" ht="20.25" customHeight="1" x14ac:dyDescent="0.25">
      <c r="B455" s="108" t="s">
        <v>4774</v>
      </c>
      <c r="C455" s="132" t="s">
        <v>5530</v>
      </c>
      <c r="D455" s="133">
        <v>44816</v>
      </c>
    </row>
    <row r="456" spans="2:4" ht="20.25" customHeight="1" x14ac:dyDescent="0.25">
      <c r="B456" s="108" t="s">
        <v>5531</v>
      </c>
      <c r="C456" s="132" t="s">
        <v>5532</v>
      </c>
      <c r="D456" s="131" t="s">
        <v>24</v>
      </c>
    </row>
    <row r="457" spans="2:4" ht="20.25" customHeight="1" x14ac:dyDescent="0.25">
      <c r="B457" s="108" t="s">
        <v>5533</v>
      </c>
      <c r="C457" s="138" t="s">
        <v>5534</v>
      </c>
      <c r="D457" s="152">
        <v>45034</v>
      </c>
    </row>
    <row r="458" spans="2:4" ht="20.25" customHeight="1" x14ac:dyDescent="0.25">
      <c r="B458" s="108" t="s">
        <v>5535</v>
      </c>
      <c r="C458" s="138" t="s">
        <v>5536</v>
      </c>
      <c r="D458" s="133">
        <v>44992</v>
      </c>
    </row>
    <row r="459" spans="2:4" ht="20.25" customHeight="1" x14ac:dyDescent="0.25">
      <c r="B459" s="108" t="s">
        <v>5537</v>
      </c>
      <c r="C459" s="138" t="s">
        <v>5538</v>
      </c>
      <c r="D459" s="133">
        <v>44992</v>
      </c>
    </row>
    <row r="460" spans="2:4" ht="20.25" customHeight="1" x14ac:dyDescent="0.25">
      <c r="B460" s="108" t="s">
        <v>4793</v>
      </c>
      <c r="C460" s="132" t="s">
        <v>5539</v>
      </c>
      <c r="D460" s="152">
        <v>45034</v>
      </c>
    </row>
    <row r="461" spans="2:4" ht="20.25" customHeight="1" x14ac:dyDescent="0.25">
      <c r="B461" s="108" t="s">
        <v>5540</v>
      </c>
      <c r="C461" s="132" t="s">
        <v>5541</v>
      </c>
      <c r="D461" s="131" t="s">
        <v>24</v>
      </c>
    </row>
    <row r="462" spans="2:4" ht="20.25" customHeight="1" x14ac:dyDescent="0.25">
      <c r="B462" s="108" t="s">
        <v>5542</v>
      </c>
      <c r="C462" s="132" t="s">
        <v>5543</v>
      </c>
      <c r="D462" s="131" t="s">
        <v>24</v>
      </c>
    </row>
    <row r="463" spans="2:4" ht="20.25" customHeight="1" x14ac:dyDescent="0.25">
      <c r="B463" s="108" t="s">
        <v>4770</v>
      </c>
      <c r="C463" s="132" t="s">
        <v>5544</v>
      </c>
      <c r="D463" s="131" t="s">
        <v>24</v>
      </c>
    </row>
    <row r="464" spans="2:4" ht="20.25" customHeight="1" x14ac:dyDescent="0.25">
      <c r="B464" s="108" t="s">
        <v>4796</v>
      </c>
      <c r="C464" s="132" t="s">
        <v>5545</v>
      </c>
      <c r="D464" s="133">
        <v>44862</v>
      </c>
    </row>
    <row r="465" spans="2:4" ht="20.25" customHeight="1" x14ac:dyDescent="0.25">
      <c r="B465" s="116" t="s">
        <v>4762</v>
      </c>
      <c r="C465" s="132" t="s">
        <v>5546</v>
      </c>
      <c r="D465" s="131" t="s">
        <v>24</v>
      </c>
    </row>
    <row r="466" spans="2:4" ht="20.25" customHeight="1" x14ac:dyDescent="0.25">
      <c r="B466" s="108" t="s">
        <v>5547</v>
      </c>
      <c r="C466" s="132" t="s">
        <v>5548</v>
      </c>
      <c r="D466" s="133">
        <v>44862</v>
      </c>
    </row>
    <row r="467" spans="2:4" ht="20.25" customHeight="1" x14ac:dyDescent="0.25">
      <c r="B467" s="108" t="s">
        <v>4783</v>
      </c>
      <c r="C467" s="132" t="s">
        <v>5549</v>
      </c>
      <c r="D467" s="152">
        <v>45040</v>
      </c>
    </row>
    <row r="468" spans="2:4" ht="20.25" customHeight="1" x14ac:dyDescent="0.25">
      <c r="B468" s="108" t="s">
        <v>4778</v>
      </c>
      <c r="C468" s="138" t="s">
        <v>5550</v>
      </c>
      <c r="D468" s="131" t="s">
        <v>24</v>
      </c>
    </row>
    <row r="469" spans="2:4" ht="20.25" customHeight="1" x14ac:dyDescent="0.25">
      <c r="B469" s="108" t="s">
        <v>5551</v>
      </c>
      <c r="C469" s="132" t="s">
        <v>5552</v>
      </c>
      <c r="D469" s="131" t="s">
        <v>24</v>
      </c>
    </row>
    <row r="470" spans="2:4" ht="20.25" customHeight="1" x14ac:dyDescent="0.25">
      <c r="B470" s="108" t="s">
        <v>5553</v>
      </c>
      <c r="C470" s="138" t="s">
        <v>5554</v>
      </c>
      <c r="D470" s="131" t="s">
        <v>24</v>
      </c>
    </row>
    <row r="471" spans="2:4" ht="20.25" customHeight="1" x14ac:dyDescent="0.25">
      <c r="B471" s="108" t="s">
        <v>5555</v>
      </c>
      <c r="C471" s="132" t="s">
        <v>5556</v>
      </c>
      <c r="D471" s="131" t="s">
        <v>24</v>
      </c>
    </row>
    <row r="472" spans="2:4" ht="20.25" customHeight="1" x14ac:dyDescent="0.25">
      <c r="B472" s="108" t="s">
        <v>5557</v>
      </c>
      <c r="C472" s="132" t="s">
        <v>5558</v>
      </c>
      <c r="D472" s="133">
        <v>44910</v>
      </c>
    </row>
    <row r="473" spans="2:4" ht="20.25" customHeight="1" x14ac:dyDescent="0.25">
      <c r="B473" s="108" t="s">
        <v>4806</v>
      </c>
      <c r="C473" s="132" t="s">
        <v>5559</v>
      </c>
      <c r="D473" s="152">
        <v>45034</v>
      </c>
    </row>
    <row r="474" spans="2:4" ht="20.25" customHeight="1" x14ac:dyDescent="0.25">
      <c r="B474" s="108" t="s">
        <v>5560</v>
      </c>
      <c r="C474" s="132" t="s">
        <v>5561</v>
      </c>
      <c r="D474" s="133">
        <v>44923</v>
      </c>
    </row>
    <row r="475" spans="2:4" ht="20.25" customHeight="1" x14ac:dyDescent="0.25">
      <c r="B475" s="108" t="s">
        <v>4807</v>
      </c>
      <c r="C475" s="138" t="s">
        <v>5562</v>
      </c>
      <c r="D475" s="133">
        <v>44816</v>
      </c>
    </row>
    <row r="476" spans="2:4" ht="20.25" customHeight="1" x14ac:dyDescent="0.25">
      <c r="B476" s="108" t="s">
        <v>4813</v>
      </c>
      <c r="C476" s="132" t="s">
        <v>5563</v>
      </c>
      <c r="D476" s="133">
        <v>44925</v>
      </c>
    </row>
    <row r="477" spans="2:4" ht="20.25" customHeight="1" x14ac:dyDescent="0.25">
      <c r="B477" s="108" t="s">
        <v>5564</v>
      </c>
      <c r="C477" s="132" t="s">
        <v>5565</v>
      </c>
      <c r="D477" s="133">
        <v>44816</v>
      </c>
    </row>
    <row r="478" spans="2:4" ht="20.25" customHeight="1" x14ac:dyDescent="0.25">
      <c r="B478" s="108" t="s">
        <v>5566</v>
      </c>
      <c r="C478" s="132" t="s">
        <v>5567</v>
      </c>
      <c r="D478" s="133">
        <v>44816</v>
      </c>
    </row>
    <row r="479" spans="2:4" ht="20.25" customHeight="1" x14ac:dyDescent="0.25">
      <c r="B479" s="108" t="s">
        <v>5568</v>
      </c>
      <c r="C479" s="132" t="s">
        <v>5569</v>
      </c>
      <c r="D479" s="133">
        <v>44816</v>
      </c>
    </row>
    <row r="480" spans="2:4" ht="20.25" customHeight="1" x14ac:dyDescent="0.25">
      <c r="B480" s="108" t="s">
        <v>5570</v>
      </c>
      <c r="C480" s="132" t="s">
        <v>5571</v>
      </c>
      <c r="D480" s="136">
        <v>45065</v>
      </c>
    </row>
    <row r="481" spans="2:4" ht="20.25" customHeight="1" x14ac:dyDescent="0.25">
      <c r="B481" s="108" t="s">
        <v>5572</v>
      </c>
      <c r="C481" s="132" t="s">
        <v>5573</v>
      </c>
      <c r="D481" s="136">
        <v>45148</v>
      </c>
    </row>
    <row r="482" spans="2:4" ht="20.25" customHeight="1" x14ac:dyDescent="0.25">
      <c r="B482" s="108" t="s">
        <v>5574</v>
      </c>
      <c r="C482" s="132" t="s">
        <v>5575</v>
      </c>
      <c r="D482" s="133">
        <v>44922</v>
      </c>
    </row>
    <row r="483" spans="2:4" ht="20.25" customHeight="1" x14ac:dyDescent="0.25">
      <c r="B483" s="108" t="s">
        <v>5576</v>
      </c>
      <c r="C483" s="132" t="s">
        <v>5577</v>
      </c>
      <c r="D483" s="133">
        <v>44910</v>
      </c>
    </row>
    <row r="484" spans="2:4" ht="20.25" customHeight="1" x14ac:dyDescent="0.25">
      <c r="B484" s="108" t="s">
        <v>5578</v>
      </c>
      <c r="C484" s="132" t="s">
        <v>5579</v>
      </c>
      <c r="D484" s="133">
        <v>44816</v>
      </c>
    </row>
    <row r="485" spans="2:4" ht="20.25" customHeight="1" x14ac:dyDescent="0.25">
      <c r="B485" s="108" t="s">
        <v>5580</v>
      </c>
      <c r="C485" s="132" t="s">
        <v>5581</v>
      </c>
      <c r="D485" s="133">
        <v>44816</v>
      </c>
    </row>
    <row r="486" spans="2:4" ht="20.25" customHeight="1" x14ac:dyDescent="0.25">
      <c r="B486" s="108" t="s">
        <v>5582</v>
      </c>
      <c r="C486" s="132" t="s">
        <v>5583</v>
      </c>
      <c r="D486" s="133">
        <v>44816</v>
      </c>
    </row>
    <row r="487" spans="2:4" ht="20.25" customHeight="1" x14ac:dyDescent="0.25">
      <c r="B487" s="108" t="s">
        <v>5584</v>
      </c>
      <c r="C487" s="132" t="s">
        <v>5585</v>
      </c>
      <c r="D487" s="133">
        <v>44816</v>
      </c>
    </row>
    <row r="488" spans="2:4" ht="20.25" customHeight="1" x14ac:dyDescent="0.25">
      <c r="B488" s="108" t="s">
        <v>5586</v>
      </c>
      <c r="C488" s="132" t="s">
        <v>5587</v>
      </c>
      <c r="D488" s="133">
        <v>44923</v>
      </c>
    </row>
    <row r="489" spans="2:4" ht="20.25" customHeight="1" x14ac:dyDescent="0.25">
      <c r="B489" s="108" t="s">
        <v>5588</v>
      </c>
      <c r="C489" s="132" t="s">
        <v>5589</v>
      </c>
      <c r="D489" s="141"/>
    </row>
    <row r="490" spans="2:4" ht="20.25" customHeight="1" x14ac:dyDescent="0.25">
      <c r="B490" s="108" t="s">
        <v>5590</v>
      </c>
      <c r="C490" s="132" t="s">
        <v>5591</v>
      </c>
      <c r="D490" s="164" t="s">
        <v>24</v>
      </c>
    </row>
    <row r="491" spans="2:4" ht="20.25" customHeight="1" x14ac:dyDescent="0.25">
      <c r="B491" s="108" t="s">
        <v>5592</v>
      </c>
      <c r="C491" s="132" t="s">
        <v>5593</v>
      </c>
      <c r="D491" s="164" t="s">
        <v>24</v>
      </c>
    </row>
    <row r="492" spans="2:4" ht="20.25" customHeight="1" x14ac:dyDescent="0.25">
      <c r="B492" s="108" t="s">
        <v>5594</v>
      </c>
      <c r="C492" s="132" t="s">
        <v>5595</v>
      </c>
      <c r="D492" s="152">
        <v>45013</v>
      </c>
    </row>
    <row r="493" spans="2:4" ht="20.25" customHeight="1" x14ac:dyDescent="0.25">
      <c r="B493" s="108" t="s">
        <v>5596</v>
      </c>
      <c r="C493" s="132" t="s">
        <v>5597</v>
      </c>
      <c r="D493" s="133">
        <v>44889</v>
      </c>
    </row>
    <row r="494" spans="2:4" ht="20.25" customHeight="1" x14ac:dyDescent="0.25">
      <c r="B494" s="108" t="s">
        <v>5598</v>
      </c>
      <c r="C494" s="132" t="s">
        <v>5599</v>
      </c>
      <c r="D494" s="134"/>
    </row>
    <row r="495" spans="2:4" ht="20.25" customHeight="1" x14ac:dyDescent="0.25">
      <c r="B495" s="108" t="s">
        <v>5600</v>
      </c>
      <c r="C495" s="132" t="s">
        <v>5601</v>
      </c>
      <c r="D495" s="133">
        <v>44877</v>
      </c>
    </row>
    <row r="496" spans="2:4" ht="20.25" customHeight="1" x14ac:dyDescent="0.25">
      <c r="B496" s="108" t="s">
        <v>5602</v>
      </c>
      <c r="C496" s="132" t="s">
        <v>5603</v>
      </c>
      <c r="D496" s="131" t="s">
        <v>24</v>
      </c>
    </row>
    <row r="497" spans="2:4" ht="20.25" customHeight="1" x14ac:dyDescent="0.25">
      <c r="B497" s="108" t="s">
        <v>5604</v>
      </c>
      <c r="C497" s="138" t="s">
        <v>5605</v>
      </c>
      <c r="D497" s="131" t="s">
        <v>24</v>
      </c>
    </row>
    <row r="498" spans="2:4" ht="20.25" customHeight="1" x14ac:dyDescent="0.25">
      <c r="B498" s="108" t="s">
        <v>5606</v>
      </c>
      <c r="C498" s="138" t="s">
        <v>4800</v>
      </c>
      <c r="D498" s="131" t="s">
        <v>24</v>
      </c>
    </row>
    <row r="499" spans="2:4" ht="20.25" customHeight="1" x14ac:dyDescent="0.25">
      <c r="B499" s="108" t="s">
        <v>5607</v>
      </c>
      <c r="C499" s="138" t="s">
        <v>5608</v>
      </c>
      <c r="D499" s="131" t="s">
        <v>24</v>
      </c>
    </row>
    <row r="500" spans="2:4" ht="20.25" customHeight="1" x14ac:dyDescent="0.25">
      <c r="B500" s="108" t="s">
        <v>5609</v>
      </c>
      <c r="C500" s="132" t="s">
        <v>5610</v>
      </c>
      <c r="D500" s="133">
        <v>44889</v>
      </c>
    </row>
    <row r="501" spans="2:4" ht="20.25" customHeight="1" x14ac:dyDescent="0.25">
      <c r="B501" s="108" t="s">
        <v>5611</v>
      </c>
      <c r="C501" s="132" t="s">
        <v>5612</v>
      </c>
      <c r="D501" s="133">
        <v>44862</v>
      </c>
    </row>
    <row r="502" spans="2:4" ht="20.25" customHeight="1" x14ac:dyDescent="0.25">
      <c r="B502" s="108" t="s">
        <v>5613</v>
      </c>
      <c r="C502" s="132" t="s">
        <v>5614</v>
      </c>
      <c r="D502" s="133">
        <v>44869</v>
      </c>
    </row>
    <row r="503" spans="2:4" ht="20.25" customHeight="1" x14ac:dyDescent="0.25">
      <c r="B503" s="108" t="s">
        <v>5615</v>
      </c>
      <c r="C503" s="132" t="s">
        <v>5616</v>
      </c>
      <c r="D503" s="131" t="s">
        <v>24</v>
      </c>
    </row>
    <row r="504" spans="2:4" ht="20.25" customHeight="1" x14ac:dyDescent="0.25">
      <c r="B504" s="108" t="s">
        <v>5617</v>
      </c>
      <c r="C504" s="138" t="s">
        <v>5618</v>
      </c>
      <c r="D504" s="131" t="s">
        <v>24</v>
      </c>
    </row>
    <row r="505" spans="2:4" ht="20.25" customHeight="1" x14ac:dyDescent="0.25">
      <c r="B505" s="108" t="s">
        <v>5619</v>
      </c>
      <c r="C505" s="138" t="s">
        <v>5620</v>
      </c>
      <c r="D505" s="131" t="s">
        <v>24</v>
      </c>
    </row>
    <row r="506" spans="2:4" ht="20.25" customHeight="1" x14ac:dyDescent="0.25">
      <c r="B506" s="108" t="s">
        <v>4816</v>
      </c>
      <c r="C506" s="138" t="s">
        <v>5621</v>
      </c>
      <c r="D506" s="152">
        <v>45014</v>
      </c>
    </row>
    <row r="507" spans="2:4" ht="20.25" customHeight="1" x14ac:dyDescent="0.25">
      <c r="B507" s="108" t="s">
        <v>4820</v>
      </c>
      <c r="C507" s="132" t="s">
        <v>5622</v>
      </c>
      <c r="D507" s="136">
        <v>45065</v>
      </c>
    </row>
    <row r="508" spans="2:4" ht="20.25" customHeight="1" x14ac:dyDescent="0.25">
      <c r="B508" s="108" t="s">
        <v>5623</v>
      </c>
      <c r="C508" s="132" t="s">
        <v>5624</v>
      </c>
      <c r="D508" s="133">
        <v>45056</v>
      </c>
    </row>
    <row r="509" spans="2:4" ht="20.25" customHeight="1" x14ac:dyDescent="0.25">
      <c r="B509" s="108" t="s">
        <v>5625</v>
      </c>
      <c r="C509" s="132" t="s">
        <v>5626</v>
      </c>
      <c r="D509" s="136">
        <v>45049</v>
      </c>
    </row>
    <row r="510" spans="2:4" ht="20.25" customHeight="1" x14ac:dyDescent="0.25">
      <c r="B510" s="108" t="s">
        <v>5627</v>
      </c>
      <c r="C510" s="132" t="s">
        <v>5628</v>
      </c>
      <c r="D510" s="133">
        <v>45056</v>
      </c>
    </row>
    <row r="511" spans="2:4" ht="20.25" customHeight="1" x14ac:dyDescent="0.25">
      <c r="B511" s="108" t="s">
        <v>4824</v>
      </c>
      <c r="C511" s="138" t="s">
        <v>5629</v>
      </c>
      <c r="D511" s="131" t="s">
        <v>24</v>
      </c>
    </row>
    <row r="512" spans="2:4" ht="20.25" customHeight="1" x14ac:dyDescent="0.25">
      <c r="B512" s="108" t="s">
        <v>5630</v>
      </c>
      <c r="C512" s="132" t="s">
        <v>5631</v>
      </c>
      <c r="D512" s="133">
        <v>44862</v>
      </c>
    </row>
    <row r="513" spans="2:4" ht="20.25" customHeight="1" x14ac:dyDescent="0.25">
      <c r="B513" s="108" t="s">
        <v>5632</v>
      </c>
      <c r="C513" s="132" t="s">
        <v>5633</v>
      </c>
      <c r="D513" s="133">
        <v>44910</v>
      </c>
    </row>
    <row r="514" spans="2:4" ht="20.25" customHeight="1" x14ac:dyDescent="0.25">
      <c r="B514" s="108" t="s">
        <v>5634</v>
      </c>
      <c r="C514" s="138" t="s">
        <v>5635</v>
      </c>
      <c r="D514" s="131" t="s">
        <v>24</v>
      </c>
    </row>
    <row r="515" spans="2:4" ht="20.25" customHeight="1" x14ac:dyDescent="0.25">
      <c r="B515" s="108" t="s">
        <v>5636</v>
      </c>
      <c r="C515" s="132" t="s">
        <v>5637</v>
      </c>
      <c r="D515" s="131" t="s">
        <v>24</v>
      </c>
    </row>
    <row r="516" spans="2:4" ht="20.25" customHeight="1" x14ac:dyDescent="0.25">
      <c r="B516" s="108" t="s">
        <v>5638</v>
      </c>
      <c r="C516" s="138" t="s">
        <v>5639</v>
      </c>
      <c r="D516" s="133">
        <v>44890</v>
      </c>
    </row>
    <row r="517" spans="2:4" ht="20.25" customHeight="1" x14ac:dyDescent="0.25">
      <c r="B517" s="108" t="s">
        <v>4870</v>
      </c>
      <c r="C517" s="138" t="s">
        <v>5640</v>
      </c>
      <c r="D517" s="133">
        <v>44869</v>
      </c>
    </row>
    <row r="518" spans="2:4" ht="20.25" customHeight="1" x14ac:dyDescent="0.25">
      <c r="B518" s="108" t="s">
        <v>5641</v>
      </c>
      <c r="C518" s="132" t="s">
        <v>5642</v>
      </c>
      <c r="D518" s="133">
        <v>44867</v>
      </c>
    </row>
    <row r="519" spans="2:4" ht="20.25" customHeight="1" x14ac:dyDescent="0.25">
      <c r="B519" s="108" t="s">
        <v>5643</v>
      </c>
      <c r="C519" s="132" t="s">
        <v>5644</v>
      </c>
      <c r="D519" s="131" t="s">
        <v>24</v>
      </c>
    </row>
    <row r="520" spans="2:4" ht="20.25" customHeight="1" x14ac:dyDescent="0.25">
      <c r="B520" s="108" t="s">
        <v>4826</v>
      </c>
      <c r="C520" s="138" t="s">
        <v>5645</v>
      </c>
      <c r="D520" s="131" t="s">
        <v>24</v>
      </c>
    </row>
    <row r="521" spans="2:4" ht="20.25" customHeight="1" x14ac:dyDescent="0.25">
      <c r="B521" s="116" t="s">
        <v>5646</v>
      </c>
      <c r="C521" s="138" t="s">
        <v>5647</v>
      </c>
      <c r="D521" s="131" t="s">
        <v>24</v>
      </c>
    </row>
    <row r="522" spans="2:4" ht="20.25" customHeight="1" x14ac:dyDescent="0.25">
      <c r="B522" s="108" t="s">
        <v>5648</v>
      </c>
      <c r="C522" s="138" t="s">
        <v>5649</v>
      </c>
      <c r="D522" s="136">
        <v>45049</v>
      </c>
    </row>
    <row r="523" spans="2:4" ht="20.25" customHeight="1" x14ac:dyDescent="0.25">
      <c r="B523" s="108" t="s">
        <v>5650</v>
      </c>
      <c r="C523" s="132" t="s">
        <v>5651</v>
      </c>
      <c r="D523" s="133">
        <v>44923</v>
      </c>
    </row>
    <row r="524" spans="2:4" ht="20.25" customHeight="1" x14ac:dyDescent="0.25">
      <c r="B524" s="108" t="s">
        <v>5652</v>
      </c>
      <c r="C524" s="132" t="s">
        <v>5653</v>
      </c>
      <c r="D524" s="131" t="s">
        <v>24</v>
      </c>
    </row>
    <row r="525" spans="2:4" ht="20.25" customHeight="1" x14ac:dyDescent="0.25">
      <c r="B525" s="108" t="s">
        <v>4827</v>
      </c>
      <c r="C525" s="138" t="s">
        <v>5654</v>
      </c>
      <c r="D525" s="133">
        <v>44877</v>
      </c>
    </row>
    <row r="526" spans="2:4" ht="20.25" customHeight="1" x14ac:dyDescent="0.25">
      <c r="B526" s="108" t="s">
        <v>5655</v>
      </c>
      <c r="C526" s="138" t="s">
        <v>5656</v>
      </c>
      <c r="D526" s="133">
        <v>44862</v>
      </c>
    </row>
    <row r="527" spans="2:4" ht="20.25" customHeight="1" x14ac:dyDescent="0.25">
      <c r="B527" s="116" t="s">
        <v>5657</v>
      </c>
      <c r="C527" s="138" t="s">
        <v>5658</v>
      </c>
      <c r="D527" s="133">
        <v>44862</v>
      </c>
    </row>
    <row r="528" spans="2:4" ht="20.25" customHeight="1" x14ac:dyDescent="0.25">
      <c r="B528" s="108" t="s">
        <v>5659</v>
      </c>
      <c r="C528" s="132" t="s">
        <v>5660</v>
      </c>
      <c r="D528" s="131" t="s">
        <v>24</v>
      </c>
    </row>
    <row r="529" spans="2:4" ht="20.25" customHeight="1" x14ac:dyDescent="0.25">
      <c r="B529" s="108" t="s">
        <v>5661</v>
      </c>
      <c r="C529" s="138" t="s">
        <v>5662</v>
      </c>
      <c r="D529" s="133">
        <v>44889</v>
      </c>
    </row>
    <row r="530" spans="2:4" ht="20.25" customHeight="1" x14ac:dyDescent="0.25">
      <c r="B530" s="108" t="s">
        <v>4829</v>
      </c>
      <c r="C530" s="138" t="s">
        <v>5663</v>
      </c>
      <c r="D530" s="131" t="s">
        <v>24</v>
      </c>
    </row>
    <row r="531" spans="2:4" ht="20.25" customHeight="1" x14ac:dyDescent="0.25">
      <c r="B531" s="108" t="s">
        <v>5664</v>
      </c>
      <c r="C531" s="138" t="s">
        <v>5665</v>
      </c>
      <c r="D531" s="131" t="s">
        <v>24</v>
      </c>
    </row>
    <row r="532" spans="2:4" ht="20.25" customHeight="1" x14ac:dyDescent="0.25">
      <c r="B532" s="108" t="s">
        <v>5666</v>
      </c>
      <c r="C532" s="132" t="s">
        <v>5667</v>
      </c>
      <c r="D532" s="131" t="s">
        <v>24</v>
      </c>
    </row>
    <row r="533" spans="2:4" ht="20.25" customHeight="1" x14ac:dyDescent="0.25">
      <c r="B533" s="108" t="s">
        <v>5668</v>
      </c>
      <c r="C533" s="138" t="s">
        <v>5669</v>
      </c>
      <c r="D533" s="133">
        <v>44862</v>
      </c>
    </row>
    <row r="534" spans="2:4" ht="20.25" customHeight="1" x14ac:dyDescent="0.25">
      <c r="B534" s="108" t="s">
        <v>5670</v>
      </c>
      <c r="C534" s="132" t="s">
        <v>5671</v>
      </c>
      <c r="D534" s="133">
        <v>44862</v>
      </c>
    </row>
    <row r="535" spans="2:4" ht="20.25" customHeight="1" x14ac:dyDescent="0.25">
      <c r="B535" s="108" t="s">
        <v>5672</v>
      </c>
      <c r="C535" s="138" t="s">
        <v>5673</v>
      </c>
      <c r="D535" s="133">
        <v>44889</v>
      </c>
    </row>
    <row r="536" spans="2:4" ht="20.25" customHeight="1" x14ac:dyDescent="0.25">
      <c r="B536" s="108" t="s">
        <v>4872</v>
      </c>
      <c r="C536" s="132" t="s">
        <v>5674</v>
      </c>
      <c r="D536" s="133">
        <v>44869</v>
      </c>
    </row>
    <row r="537" spans="2:4" ht="20.25" customHeight="1" x14ac:dyDescent="0.25">
      <c r="B537" s="108" t="s">
        <v>5675</v>
      </c>
      <c r="C537" s="138" t="s">
        <v>5676</v>
      </c>
      <c r="D537" s="139">
        <v>45013</v>
      </c>
    </row>
    <row r="538" spans="2:4" ht="20.25" customHeight="1" x14ac:dyDescent="0.25">
      <c r="B538" s="108" t="s">
        <v>5677</v>
      </c>
      <c r="C538" s="138" t="s">
        <v>5678</v>
      </c>
      <c r="D538" s="139">
        <v>45013</v>
      </c>
    </row>
    <row r="539" spans="2:4" ht="20.25" customHeight="1" x14ac:dyDescent="0.25">
      <c r="B539" s="108" t="s">
        <v>5679</v>
      </c>
      <c r="C539" s="138" t="s">
        <v>5680</v>
      </c>
      <c r="D539" s="133">
        <v>44816</v>
      </c>
    </row>
    <row r="540" spans="2:4" ht="20.25" customHeight="1" x14ac:dyDescent="0.25">
      <c r="B540" s="108" t="s">
        <v>5681</v>
      </c>
      <c r="C540" s="138" t="s">
        <v>5682</v>
      </c>
      <c r="D540" s="131" t="s">
        <v>24</v>
      </c>
    </row>
    <row r="541" spans="2:4" ht="20.25" customHeight="1" x14ac:dyDescent="0.25">
      <c r="B541" s="108" t="s">
        <v>5683</v>
      </c>
      <c r="C541" s="138" t="s">
        <v>5684</v>
      </c>
      <c r="D541" s="131" t="s">
        <v>24</v>
      </c>
    </row>
    <row r="542" spans="2:4" ht="20.25" customHeight="1" x14ac:dyDescent="0.25">
      <c r="B542" s="108" t="s">
        <v>5685</v>
      </c>
      <c r="C542" s="132" t="s">
        <v>5686</v>
      </c>
      <c r="D542" s="131" t="s">
        <v>24</v>
      </c>
    </row>
    <row r="543" spans="2:4" ht="20.25" customHeight="1" x14ac:dyDescent="0.25">
      <c r="B543" s="108" t="s">
        <v>5687</v>
      </c>
      <c r="C543" s="132" t="s">
        <v>5688</v>
      </c>
      <c r="D543" s="131" t="s">
        <v>24</v>
      </c>
    </row>
    <row r="544" spans="2:4" ht="20.25" customHeight="1" x14ac:dyDescent="0.25">
      <c r="B544" s="108" t="s">
        <v>4874</v>
      </c>
      <c r="C544" s="132" t="s">
        <v>5689</v>
      </c>
      <c r="D544" s="131" t="s">
        <v>24</v>
      </c>
    </row>
    <row r="545" spans="2:4" ht="20.25" customHeight="1" x14ac:dyDescent="0.25">
      <c r="B545" s="108" t="s">
        <v>4876</v>
      </c>
      <c r="C545" s="132" t="s">
        <v>5690</v>
      </c>
      <c r="D545" s="131" t="s">
        <v>24</v>
      </c>
    </row>
    <row r="546" spans="2:4" ht="20.25" customHeight="1" x14ac:dyDescent="0.25">
      <c r="B546" s="108" t="s">
        <v>5691</v>
      </c>
      <c r="C546" s="132" t="s">
        <v>5692</v>
      </c>
      <c r="D546" s="131" t="s">
        <v>24</v>
      </c>
    </row>
    <row r="547" spans="2:4" ht="20.25" customHeight="1" x14ac:dyDescent="0.25">
      <c r="B547" s="108" t="s">
        <v>5693</v>
      </c>
      <c r="C547" s="132" t="s">
        <v>5694</v>
      </c>
      <c r="D547" s="131" t="s">
        <v>24</v>
      </c>
    </row>
    <row r="548" spans="2:4" ht="20.25" customHeight="1" x14ac:dyDescent="0.25">
      <c r="B548" s="108" t="s">
        <v>5695</v>
      </c>
      <c r="C548" s="132" t="s">
        <v>5696</v>
      </c>
      <c r="D548" s="133">
        <v>44869</v>
      </c>
    </row>
    <row r="549" spans="2:4" ht="20.25" customHeight="1" x14ac:dyDescent="0.25">
      <c r="B549" s="108" t="s">
        <v>5697</v>
      </c>
      <c r="C549" s="132" t="s">
        <v>5698</v>
      </c>
      <c r="D549" s="133">
        <v>44862</v>
      </c>
    </row>
    <row r="550" spans="2:4" ht="20.25" customHeight="1" x14ac:dyDescent="0.25">
      <c r="B550" s="108" t="s">
        <v>4878</v>
      </c>
      <c r="C550" s="132" t="s">
        <v>5699</v>
      </c>
      <c r="D550" s="133">
        <v>44869</v>
      </c>
    </row>
    <row r="551" spans="2:4" ht="20.25" customHeight="1" x14ac:dyDescent="0.25">
      <c r="B551" s="108" t="s">
        <v>5700</v>
      </c>
      <c r="C551" s="132" t="s">
        <v>5701</v>
      </c>
      <c r="D551" s="131" t="s">
        <v>24</v>
      </c>
    </row>
    <row r="552" spans="2:4" ht="20.25" customHeight="1" x14ac:dyDescent="0.25">
      <c r="B552" s="108" t="s">
        <v>5702</v>
      </c>
      <c r="C552" s="138" t="s">
        <v>5703</v>
      </c>
      <c r="D552" s="131" t="s">
        <v>24</v>
      </c>
    </row>
    <row r="553" spans="2:4" ht="20.25" customHeight="1" x14ac:dyDescent="0.25">
      <c r="B553" s="108" t="s">
        <v>5704</v>
      </c>
      <c r="C553" s="132" t="s">
        <v>5705</v>
      </c>
      <c r="D553" s="131" t="s">
        <v>24</v>
      </c>
    </row>
    <row r="554" spans="2:4" ht="20.25" customHeight="1" x14ac:dyDescent="0.25">
      <c r="B554" s="108" t="s">
        <v>5706</v>
      </c>
      <c r="C554" s="132" t="s">
        <v>5707</v>
      </c>
      <c r="D554" s="133">
        <v>44889</v>
      </c>
    </row>
    <row r="555" spans="2:4" ht="20.25" customHeight="1" x14ac:dyDescent="0.25">
      <c r="B555" s="108" t="s">
        <v>5708</v>
      </c>
      <c r="C555" s="132" t="s">
        <v>5709</v>
      </c>
      <c r="D555" s="133">
        <v>44910</v>
      </c>
    </row>
    <row r="556" spans="2:4" ht="20.25" customHeight="1" x14ac:dyDescent="0.25">
      <c r="B556" s="108" t="s">
        <v>5710</v>
      </c>
      <c r="C556" s="132" t="s">
        <v>5711</v>
      </c>
      <c r="D556" s="133">
        <v>44869</v>
      </c>
    </row>
    <row r="557" spans="2:4" ht="20.25" customHeight="1" x14ac:dyDescent="0.25">
      <c r="B557" s="108" t="s">
        <v>5712</v>
      </c>
      <c r="C557" s="132" t="s">
        <v>5713</v>
      </c>
      <c r="D557" s="133">
        <v>44889</v>
      </c>
    </row>
    <row r="558" spans="2:4" ht="20.25" customHeight="1" x14ac:dyDescent="0.25">
      <c r="B558" s="108" t="s">
        <v>5714</v>
      </c>
      <c r="C558" s="138" t="s">
        <v>5715</v>
      </c>
      <c r="D558" s="133">
        <v>44910</v>
      </c>
    </row>
    <row r="559" spans="2:4" ht="20.25" customHeight="1" x14ac:dyDescent="0.25">
      <c r="B559" s="108" t="s">
        <v>5716</v>
      </c>
      <c r="C559" s="138" t="s">
        <v>5717</v>
      </c>
      <c r="D559" s="133">
        <v>44889</v>
      </c>
    </row>
    <row r="560" spans="2:4" ht="20.25" customHeight="1" x14ac:dyDescent="0.25">
      <c r="B560" s="108" t="s">
        <v>5718</v>
      </c>
      <c r="C560" s="138" t="s">
        <v>5719</v>
      </c>
      <c r="D560" s="133">
        <v>44910</v>
      </c>
    </row>
    <row r="561" spans="2:4" ht="20.25" customHeight="1" x14ac:dyDescent="0.25">
      <c r="B561" s="108" t="s">
        <v>5720</v>
      </c>
      <c r="C561" s="138" t="s">
        <v>5721</v>
      </c>
      <c r="D561" s="133">
        <v>44877</v>
      </c>
    </row>
    <row r="562" spans="2:4" ht="20.25" customHeight="1" x14ac:dyDescent="0.25">
      <c r="B562" s="108" t="s">
        <v>4830</v>
      </c>
      <c r="C562" s="138" t="s">
        <v>5722</v>
      </c>
      <c r="D562" s="133">
        <v>44862</v>
      </c>
    </row>
    <row r="563" spans="2:4" ht="20.25" customHeight="1" x14ac:dyDescent="0.25">
      <c r="B563" s="108" t="s">
        <v>5723</v>
      </c>
      <c r="C563" s="138" t="s">
        <v>5724</v>
      </c>
      <c r="D563" s="131" t="s">
        <v>24</v>
      </c>
    </row>
    <row r="564" spans="2:4" ht="20.25" customHeight="1" x14ac:dyDescent="0.25">
      <c r="B564" s="108" t="s">
        <v>5725</v>
      </c>
      <c r="C564" s="138" t="s">
        <v>5726</v>
      </c>
      <c r="D564" s="131" t="s">
        <v>24</v>
      </c>
    </row>
    <row r="565" spans="2:4" ht="20.25" customHeight="1" x14ac:dyDescent="0.25">
      <c r="B565" s="108" t="s">
        <v>5727</v>
      </c>
      <c r="C565" s="138" t="s">
        <v>5728</v>
      </c>
      <c r="D565" s="131" t="s">
        <v>24</v>
      </c>
    </row>
    <row r="566" spans="2:4" ht="20.25" customHeight="1" x14ac:dyDescent="0.25">
      <c r="B566" s="108" t="s">
        <v>5729</v>
      </c>
      <c r="C566" s="132" t="s">
        <v>5730</v>
      </c>
      <c r="D566" s="131" t="s">
        <v>24</v>
      </c>
    </row>
    <row r="567" spans="2:4" ht="20.25" customHeight="1" x14ac:dyDescent="0.25">
      <c r="B567" s="108" t="s">
        <v>5731</v>
      </c>
      <c r="C567" s="132" t="s">
        <v>5732</v>
      </c>
      <c r="D567" s="133">
        <v>44816</v>
      </c>
    </row>
    <row r="568" spans="2:4" ht="20.25" customHeight="1" x14ac:dyDescent="0.25">
      <c r="B568" s="108" t="s">
        <v>5733</v>
      </c>
      <c r="C568" s="132" t="s">
        <v>5734</v>
      </c>
      <c r="D568" s="133">
        <v>44961</v>
      </c>
    </row>
    <row r="569" spans="2:4" ht="20.25" customHeight="1" x14ac:dyDescent="0.25">
      <c r="B569" s="108" t="s">
        <v>5735</v>
      </c>
      <c r="C569" s="132" t="s">
        <v>5736</v>
      </c>
      <c r="D569" s="131" t="s">
        <v>24</v>
      </c>
    </row>
    <row r="570" spans="2:4" ht="20.25" customHeight="1" x14ac:dyDescent="0.25">
      <c r="B570" s="108" t="s">
        <v>5737</v>
      </c>
      <c r="C570" s="132" t="s">
        <v>5738</v>
      </c>
      <c r="D570" s="133">
        <v>44889</v>
      </c>
    </row>
    <row r="571" spans="2:4" ht="20.25" customHeight="1" x14ac:dyDescent="0.25">
      <c r="B571" s="108" t="s">
        <v>4831</v>
      </c>
      <c r="C571" s="138" t="s">
        <v>5739</v>
      </c>
      <c r="D571" s="133">
        <v>44816</v>
      </c>
    </row>
    <row r="572" spans="2:4" ht="20.25" customHeight="1" x14ac:dyDescent="0.25">
      <c r="B572" s="108" t="s">
        <v>5740</v>
      </c>
      <c r="C572" s="138" t="s">
        <v>5741</v>
      </c>
      <c r="D572" s="133">
        <v>44961</v>
      </c>
    </row>
    <row r="573" spans="2:4" ht="20.25" customHeight="1" x14ac:dyDescent="0.25">
      <c r="B573" s="108" t="s">
        <v>5742</v>
      </c>
      <c r="C573" s="132" t="s">
        <v>100</v>
      </c>
      <c r="D573" s="133">
        <v>44910</v>
      </c>
    </row>
    <row r="574" spans="2:4" ht="20.25" customHeight="1" x14ac:dyDescent="0.25">
      <c r="B574" s="108" t="s">
        <v>5743</v>
      </c>
      <c r="C574" s="138" t="s">
        <v>5744</v>
      </c>
      <c r="D574" s="133">
        <v>44889</v>
      </c>
    </row>
    <row r="575" spans="2:4" ht="20.25" customHeight="1" x14ac:dyDescent="0.25">
      <c r="B575" s="112" t="s">
        <v>5745</v>
      </c>
      <c r="C575" s="138" t="s">
        <v>5746</v>
      </c>
      <c r="D575" s="133">
        <v>44816</v>
      </c>
    </row>
    <row r="576" spans="2:4" ht="20.25" customHeight="1" x14ac:dyDescent="0.25">
      <c r="B576" s="108" t="s">
        <v>5747</v>
      </c>
      <c r="C576" s="132" t="s">
        <v>5748</v>
      </c>
      <c r="D576" s="133">
        <v>44889</v>
      </c>
    </row>
    <row r="577" spans="2:4" ht="20.25" customHeight="1" x14ac:dyDescent="0.25">
      <c r="B577" s="108" t="s">
        <v>5749</v>
      </c>
      <c r="C577" s="132" t="s">
        <v>5750</v>
      </c>
      <c r="D577" s="133">
        <v>44816</v>
      </c>
    </row>
    <row r="578" spans="2:4" ht="20.25" customHeight="1" x14ac:dyDescent="0.25">
      <c r="B578" s="108" t="s">
        <v>5751</v>
      </c>
      <c r="C578" s="138" t="s">
        <v>5752</v>
      </c>
      <c r="D578" s="131" t="s">
        <v>24</v>
      </c>
    </row>
    <row r="579" spans="2:4" ht="20.25" customHeight="1" x14ac:dyDescent="0.25">
      <c r="B579" s="108" t="s">
        <v>5753</v>
      </c>
      <c r="C579" s="138" t="s">
        <v>5754</v>
      </c>
      <c r="D579" s="131" t="s">
        <v>24</v>
      </c>
    </row>
    <row r="580" spans="2:4" ht="20.25" customHeight="1" x14ac:dyDescent="0.25">
      <c r="B580" s="108" t="s">
        <v>4879</v>
      </c>
      <c r="C580" s="138" t="s">
        <v>5755</v>
      </c>
      <c r="D580" s="131" t="s">
        <v>24</v>
      </c>
    </row>
    <row r="581" spans="2:4" ht="20.25" customHeight="1" x14ac:dyDescent="0.25">
      <c r="B581" s="108" t="s">
        <v>4881</v>
      </c>
      <c r="C581" s="138" t="s">
        <v>5756</v>
      </c>
      <c r="D581" s="133">
        <v>44889</v>
      </c>
    </row>
    <row r="582" spans="2:4" ht="20.25" customHeight="1" x14ac:dyDescent="0.25">
      <c r="B582" s="108" t="s">
        <v>5757</v>
      </c>
      <c r="C582" s="132" t="s">
        <v>5758</v>
      </c>
      <c r="D582" s="131" t="s">
        <v>24</v>
      </c>
    </row>
    <row r="583" spans="2:4" ht="20.25" customHeight="1" x14ac:dyDescent="0.25">
      <c r="B583" s="108" t="s">
        <v>4883</v>
      </c>
      <c r="C583" s="132" t="s">
        <v>5759</v>
      </c>
      <c r="D583" s="131" t="s">
        <v>24</v>
      </c>
    </row>
    <row r="584" spans="2:4" ht="20.25" customHeight="1" x14ac:dyDescent="0.25">
      <c r="B584" s="108" t="s">
        <v>5760</v>
      </c>
      <c r="C584" s="132" t="s">
        <v>5761</v>
      </c>
      <c r="D584" s="133">
        <v>44889</v>
      </c>
    </row>
    <row r="585" spans="2:4" ht="20.25" customHeight="1" x14ac:dyDescent="0.25">
      <c r="B585" s="108" t="s">
        <v>5762</v>
      </c>
      <c r="C585" s="138" t="s">
        <v>5763</v>
      </c>
      <c r="D585" s="133">
        <v>44889</v>
      </c>
    </row>
    <row r="586" spans="2:4" ht="20.25" customHeight="1" x14ac:dyDescent="0.25">
      <c r="B586" s="108" t="s">
        <v>5764</v>
      </c>
      <c r="C586" s="132" t="s">
        <v>5765</v>
      </c>
      <c r="D586" s="133"/>
    </row>
    <row r="587" spans="2:4" ht="20.25" customHeight="1" x14ac:dyDescent="0.25">
      <c r="B587" s="108" t="s">
        <v>5766</v>
      </c>
      <c r="C587" s="132" t="s">
        <v>5767</v>
      </c>
      <c r="D587" s="133">
        <v>45097</v>
      </c>
    </row>
    <row r="588" spans="2:4" ht="20.25" customHeight="1" x14ac:dyDescent="0.25">
      <c r="B588" s="108" t="s">
        <v>4832</v>
      </c>
      <c r="C588" s="138" t="s">
        <v>5768</v>
      </c>
      <c r="D588" s="133">
        <v>44910</v>
      </c>
    </row>
    <row r="589" spans="2:4" ht="20.25" customHeight="1" x14ac:dyDescent="0.25">
      <c r="B589" s="107" t="s">
        <v>4760</v>
      </c>
      <c r="C589" s="138" t="s">
        <v>5769</v>
      </c>
      <c r="D589" s="133">
        <v>44923</v>
      </c>
    </row>
    <row r="590" spans="2:4" ht="20.25" customHeight="1" x14ac:dyDescent="0.25">
      <c r="B590" s="108" t="s">
        <v>5770</v>
      </c>
      <c r="C590" s="138"/>
      <c r="D590" s="133">
        <v>44923</v>
      </c>
    </row>
    <row r="591" spans="2:4" ht="20.25" customHeight="1" x14ac:dyDescent="0.25">
      <c r="B591" s="108" t="s">
        <v>5771</v>
      </c>
      <c r="C591" s="138" t="s">
        <v>5772</v>
      </c>
      <c r="D591" s="133">
        <v>44910</v>
      </c>
    </row>
    <row r="592" spans="2:4" ht="20.25" customHeight="1" x14ac:dyDescent="0.25">
      <c r="B592" s="108" t="s">
        <v>5773</v>
      </c>
      <c r="C592" s="138" t="s">
        <v>5774</v>
      </c>
      <c r="D592" s="133">
        <v>44910</v>
      </c>
    </row>
    <row r="593" spans="2:4" ht="20.25" customHeight="1" x14ac:dyDescent="0.25">
      <c r="B593" s="108" t="s">
        <v>4833</v>
      </c>
      <c r="C593" s="132" t="s">
        <v>5775</v>
      </c>
      <c r="D593" s="131" t="s">
        <v>24</v>
      </c>
    </row>
    <row r="594" spans="2:4" ht="20.25" customHeight="1" x14ac:dyDescent="0.25">
      <c r="B594" s="108" t="s">
        <v>5776</v>
      </c>
      <c r="C594" s="138" t="s">
        <v>5777</v>
      </c>
      <c r="D594" s="133">
        <v>44923</v>
      </c>
    </row>
    <row r="595" spans="2:4" ht="20.25" customHeight="1" x14ac:dyDescent="0.25">
      <c r="B595" s="108" t="s">
        <v>5778</v>
      </c>
      <c r="C595" s="132" t="s">
        <v>5779</v>
      </c>
      <c r="D595" s="133">
        <v>44910</v>
      </c>
    </row>
    <row r="596" spans="2:4" ht="20.25" customHeight="1" x14ac:dyDescent="0.25">
      <c r="B596" s="108" t="s">
        <v>4835</v>
      </c>
      <c r="C596" s="132" t="s">
        <v>5780</v>
      </c>
      <c r="D596" s="133">
        <v>44923</v>
      </c>
    </row>
    <row r="597" spans="2:4" ht="20.25" customHeight="1" x14ac:dyDescent="0.25">
      <c r="B597" s="108" t="s">
        <v>5781</v>
      </c>
      <c r="C597" s="132" t="s">
        <v>5782</v>
      </c>
      <c r="D597" s="133">
        <v>44910</v>
      </c>
    </row>
    <row r="598" spans="2:4" ht="20.25" customHeight="1" x14ac:dyDescent="0.25">
      <c r="B598" s="108" t="s">
        <v>4885</v>
      </c>
      <c r="C598" s="132" t="s">
        <v>5783</v>
      </c>
      <c r="D598" s="133">
        <v>44910</v>
      </c>
    </row>
    <row r="599" spans="2:4" ht="20.25" customHeight="1" x14ac:dyDescent="0.25">
      <c r="B599" s="108" t="s">
        <v>4887</v>
      </c>
      <c r="C599" s="132" t="s">
        <v>5784</v>
      </c>
      <c r="D599" s="133">
        <v>44869</v>
      </c>
    </row>
    <row r="600" spans="2:4" ht="20.25" customHeight="1" x14ac:dyDescent="0.25">
      <c r="B600" s="108" t="s">
        <v>5785</v>
      </c>
      <c r="C600" s="132" t="s">
        <v>5786</v>
      </c>
      <c r="D600" s="133">
        <v>44869</v>
      </c>
    </row>
    <row r="601" spans="2:4" ht="20.25" customHeight="1" x14ac:dyDescent="0.25">
      <c r="B601" s="108" t="s">
        <v>5787</v>
      </c>
      <c r="C601" s="138" t="s">
        <v>5788</v>
      </c>
      <c r="D601" s="133">
        <v>44876</v>
      </c>
    </row>
    <row r="602" spans="2:4" ht="20.25" customHeight="1" x14ac:dyDescent="0.25">
      <c r="B602" s="107" t="s">
        <v>4828</v>
      </c>
      <c r="C602" s="138" t="s">
        <v>5789</v>
      </c>
      <c r="D602" s="131" t="s">
        <v>24</v>
      </c>
    </row>
    <row r="603" spans="2:4" ht="20.25" customHeight="1" x14ac:dyDescent="0.25">
      <c r="B603" s="108" t="s">
        <v>5790</v>
      </c>
      <c r="C603" s="138" t="s">
        <v>5791</v>
      </c>
      <c r="D603" s="133">
        <v>44869</v>
      </c>
    </row>
    <row r="604" spans="2:4" ht="20.25" customHeight="1" x14ac:dyDescent="0.25">
      <c r="B604" s="108" t="s">
        <v>5792</v>
      </c>
      <c r="C604" s="138" t="s">
        <v>5793</v>
      </c>
      <c r="D604" s="131" t="s">
        <v>24</v>
      </c>
    </row>
    <row r="605" spans="2:4" ht="20.25" customHeight="1" x14ac:dyDescent="0.25">
      <c r="B605" s="108" t="s">
        <v>5794</v>
      </c>
      <c r="C605" s="132" t="s">
        <v>5795</v>
      </c>
      <c r="D605" s="131" t="s">
        <v>24</v>
      </c>
    </row>
    <row r="606" spans="2:4" ht="20.25" customHeight="1" x14ac:dyDescent="0.25">
      <c r="B606" s="108" t="s">
        <v>5796</v>
      </c>
      <c r="C606" s="132" t="s">
        <v>5797</v>
      </c>
      <c r="D606" s="131" t="s">
        <v>24</v>
      </c>
    </row>
    <row r="607" spans="2:4" ht="20.25" customHeight="1" x14ac:dyDescent="0.25">
      <c r="B607" s="108" t="s">
        <v>4889</v>
      </c>
      <c r="C607" s="138" t="s">
        <v>5798</v>
      </c>
      <c r="D607" s="131" t="s">
        <v>24</v>
      </c>
    </row>
    <row r="608" spans="2:4" ht="20.25" customHeight="1" x14ac:dyDescent="0.25">
      <c r="B608" s="108" t="s">
        <v>5799</v>
      </c>
      <c r="C608" s="132" t="s">
        <v>5800</v>
      </c>
      <c r="D608" s="131" t="s">
        <v>24</v>
      </c>
    </row>
    <row r="609" spans="2:4" ht="20.25" customHeight="1" x14ac:dyDescent="0.25">
      <c r="B609" s="108" t="s">
        <v>5801</v>
      </c>
      <c r="C609" s="138" t="s">
        <v>5802</v>
      </c>
      <c r="D609" s="131" t="s">
        <v>24</v>
      </c>
    </row>
    <row r="610" spans="2:4" ht="20.25" customHeight="1" x14ac:dyDescent="0.25">
      <c r="B610" s="108" t="s">
        <v>5803</v>
      </c>
      <c r="C610" s="132" t="s">
        <v>5804</v>
      </c>
      <c r="D610" s="131" t="s">
        <v>24</v>
      </c>
    </row>
    <row r="611" spans="2:4" ht="20.25" customHeight="1" x14ac:dyDescent="0.25">
      <c r="B611" s="108" t="s">
        <v>5805</v>
      </c>
      <c r="C611" s="132" t="s">
        <v>5806</v>
      </c>
      <c r="D611" s="131" t="s">
        <v>24</v>
      </c>
    </row>
    <row r="612" spans="2:4" ht="20.25" customHeight="1" x14ac:dyDescent="0.25">
      <c r="B612" s="108" t="s">
        <v>5807</v>
      </c>
      <c r="C612" s="132" t="s">
        <v>5808</v>
      </c>
      <c r="D612" s="131" t="s">
        <v>24</v>
      </c>
    </row>
    <row r="613" spans="2:4" ht="20.25" customHeight="1" x14ac:dyDescent="0.25">
      <c r="B613" s="108" t="s">
        <v>5809</v>
      </c>
      <c r="C613" s="132" t="s">
        <v>100</v>
      </c>
      <c r="D613" s="131" t="s">
        <v>24</v>
      </c>
    </row>
    <row r="614" spans="2:4" ht="20.25" customHeight="1" x14ac:dyDescent="0.25">
      <c r="B614" s="108" t="s">
        <v>5810</v>
      </c>
      <c r="C614" s="132" t="s">
        <v>100</v>
      </c>
      <c r="D614" s="131" t="s">
        <v>24</v>
      </c>
    </row>
    <row r="615" spans="2:4" ht="20.25" customHeight="1" x14ac:dyDescent="0.25">
      <c r="B615" s="108" t="s">
        <v>5811</v>
      </c>
      <c r="C615" s="132" t="s">
        <v>5812</v>
      </c>
      <c r="D615" s="131" t="s">
        <v>24</v>
      </c>
    </row>
    <row r="616" spans="2:4" ht="20.25" customHeight="1" x14ac:dyDescent="0.25">
      <c r="B616" s="108" t="s">
        <v>5813</v>
      </c>
      <c r="C616" s="132" t="s">
        <v>5814</v>
      </c>
      <c r="D616" s="131" t="s">
        <v>24</v>
      </c>
    </row>
    <row r="617" spans="2:4" ht="20.25" customHeight="1" x14ac:dyDescent="0.25">
      <c r="B617" s="108" t="s">
        <v>5815</v>
      </c>
      <c r="C617" s="132" t="s">
        <v>5806</v>
      </c>
      <c r="D617" s="133">
        <v>44910</v>
      </c>
    </row>
    <row r="618" spans="2:4" ht="20.25" customHeight="1" x14ac:dyDescent="0.25">
      <c r="B618" s="108" t="s">
        <v>4772</v>
      </c>
      <c r="C618" s="132" t="s">
        <v>5816</v>
      </c>
      <c r="D618" s="131" t="s">
        <v>24</v>
      </c>
    </row>
    <row r="619" spans="2:4" ht="20.25" customHeight="1" x14ac:dyDescent="0.25">
      <c r="B619" s="108" t="s">
        <v>5817</v>
      </c>
      <c r="C619" s="132" t="s">
        <v>5818</v>
      </c>
      <c r="D619" s="133">
        <v>44910</v>
      </c>
    </row>
    <row r="620" spans="2:4" ht="20.25" customHeight="1" x14ac:dyDescent="0.25">
      <c r="B620" s="108" t="s">
        <v>5819</v>
      </c>
      <c r="C620" s="132" t="s">
        <v>5820</v>
      </c>
      <c r="D620" s="131" t="s">
        <v>24</v>
      </c>
    </row>
    <row r="621" spans="2:4" ht="20.25" customHeight="1" x14ac:dyDescent="0.25">
      <c r="B621" s="108" t="s">
        <v>5821</v>
      </c>
      <c r="C621" s="132" t="s">
        <v>5822</v>
      </c>
      <c r="D621" s="133">
        <v>44910</v>
      </c>
    </row>
    <row r="622" spans="2:4" ht="20.25" customHeight="1" x14ac:dyDescent="0.25">
      <c r="B622" s="108" t="s">
        <v>5823</v>
      </c>
      <c r="C622" s="132" t="s">
        <v>5824</v>
      </c>
      <c r="D622" s="131" t="s">
        <v>24</v>
      </c>
    </row>
    <row r="623" spans="2:4" ht="20.25" customHeight="1" x14ac:dyDescent="0.25">
      <c r="B623" s="112" t="s">
        <v>5825</v>
      </c>
      <c r="C623" s="132" t="s">
        <v>5826</v>
      </c>
      <c r="D623" s="131" t="s">
        <v>24</v>
      </c>
    </row>
    <row r="624" spans="2:4" ht="20.25" customHeight="1" x14ac:dyDescent="0.25">
      <c r="B624" s="108" t="s">
        <v>5827</v>
      </c>
      <c r="C624" s="132" t="s">
        <v>5828</v>
      </c>
      <c r="D624" s="131" t="s">
        <v>24</v>
      </c>
    </row>
    <row r="625" spans="2:4" ht="20.25" customHeight="1" x14ac:dyDescent="0.25">
      <c r="B625" s="108" t="s">
        <v>5829</v>
      </c>
      <c r="C625" s="132" t="s">
        <v>5830</v>
      </c>
      <c r="D625" s="131" t="s">
        <v>24</v>
      </c>
    </row>
    <row r="626" spans="2:4" ht="20.25" customHeight="1" x14ac:dyDescent="0.25">
      <c r="B626" s="108" t="s">
        <v>4821</v>
      </c>
      <c r="C626" s="132" t="s">
        <v>5831</v>
      </c>
      <c r="D626" s="136">
        <v>45065</v>
      </c>
    </row>
    <row r="627" spans="2:4" ht="20.25" customHeight="1" x14ac:dyDescent="0.25">
      <c r="B627" s="108" t="s">
        <v>5832</v>
      </c>
      <c r="C627" s="132" t="s">
        <v>5833</v>
      </c>
      <c r="D627" s="136">
        <v>45148</v>
      </c>
    </row>
    <row r="628" spans="2:4" ht="20.25" customHeight="1" x14ac:dyDescent="0.25">
      <c r="B628" s="108" t="s">
        <v>5834</v>
      </c>
      <c r="C628" s="132" t="s">
        <v>5835</v>
      </c>
      <c r="D628" s="133">
        <v>44910</v>
      </c>
    </row>
    <row r="629" spans="2:4" ht="20.25" customHeight="1" x14ac:dyDescent="0.25">
      <c r="B629" s="108" t="s">
        <v>5836</v>
      </c>
      <c r="C629" s="132" t="s">
        <v>5837</v>
      </c>
      <c r="D629" s="152">
        <v>45040</v>
      </c>
    </row>
    <row r="630" spans="2:4" ht="20.25" customHeight="1" x14ac:dyDescent="0.25">
      <c r="B630" s="108" t="s">
        <v>5838</v>
      </c>
      <c r="C630" s="132" t="s">
        <v>5839</v>
      </c>
      <c r="D630" s="131" t="s">
        <v>24</v>
      </c>
    </row>
    <row r="631" spans="2:4" ht="20.25" customHeight="1" x14ac:dyDescent="0.25">
      <c r="B631" s="108" t="s">
        <v>5840</v>
      </c>
      <c r="C631" s="132" t="s">
        <v>5841</v>
      </c>
      <c r="D631" s="136">
        <v>45065</v>
      </c>
    </row>
    <row r="632" spans="2:4" ht="20.25" customHeight="1" x14ac:dyDescent="0.25">
      <c r="B632" s="108" t="s">
        <v>5842</v>
      </c>
      <c r="C632" s="138" t="s">
        <v>5843</v>
      </c>
      <c r="D632" s="131" t="s">
        <v>24</v>
      </c>
    </row>
    <row r="633" spans="2:4" ht="20.25" customHeight="1" x14ac:dyDescent="0.25">
      <c r="B633" s="108" t="s">
        <v>5844</v>
      </c>
      <c r="C633" s="132" t="s">
        <v>5845</v>
      </c>
      <c r="D633" s="152">
        <v>45040</v>
      </c>
    </row>
    <row r="634" spans="2:4" ht="20.25" customHeight="1" x14ac:dyDescent="0.25">
      <c r="B634" s="108" t="s">
        <v>5846</v>
      </c>
      <c r="C634" s="132" t="s">
        <v>5847</v>
      </c>
      <c r="D634" s="133">
        <v>44923</v>
      </c>
    </row>
    <row r="635" spans="2:4" ht="20.25" customHeight="1" x14ac:dyDescent="0.25">
      <c r="B635" s="108" t="s">
        <v>5848</v>
      </c>
      <c r="C635" s="132" t="s">
        <v>5849</v>
      </c>
      <c r="D635" s="136">
        <v>45065</v>
      </c>
    </row>
    <row r="636" spans="2:4" ht="20.25" customHeight="1" x14ac:dyDescent="0.25">
      <c r="B636" s="108" t="s">
        <v>5850</v>
      </c>
      <c r="C636" s="132" t="s">
        <v>5851</v>
      </c>
      <c r="D636" s="131" t="s">
        <v>24</v>
      </c>
    </row>
    <row r="637" spans="2:4" ht="20.25" customHeight="1" x14ac:dyDescent="0.25">
      <c r="B637" s="108" t="s">
        <v>5852</v>
      </c>
      <c r="C637" s="132" t="s">
        <v>5853</v>
      </c>
      <c r="D637" s="131" t="s">
        <v>24</v>
      </c>
    </row>
    <row r="638" spans="2:4" ht="20.25" customHeight="1" x14ac:dyDescent="0.25">
      <c r="B638" s="108" t="s">
        <v>5854</v>
      </c>
      <c r="C638" s="138" t="s">
        <v>5855</v>
      </c>
      <c r="D638" s="133">
        <v>44910</v>
      </c>
    </row>
    <row r="639" spans="2:4" ht="20.25" customHeight="1" x14ac:dyDescent="0.25">
      <c r="B639" s="108" t="s">
        <v>5856</v>
      </c>
      <c r="C639" s="132" t="s">
        <v>5857</v>
      </c>
      <c r="D639" s="133">
        <v>44923</v>
      </c>
    </row>
    <row r="640" spans="2:4" ht="20.25" customHeight="1" x14ac:dyDescent="0.25">
      <c r="B640" s="108" t="s">
        <v>5858</v>
      </c>
      <c r="C640" s="132" t="s">
        <v>5859</v>
      </c>
      <c r="D640" s="133">
        <v>44910</v>
      </c>
    </row>
    <row r="641" spans="2:4" ht="20.25" customHeight="1" x14ac:dyDescent="0.25">
      <c r="B641" s="107" t="s">
        <v>4838</v>
      </c>
      <c r="C641" s="132" t="s">
        <v>5860</v>
      </c>
      <c r="D641" s="133">
        <v>44869</v>
      </c>
    </row>
    <row r="642" spans="2:4" ht="20.25" customHeight="1" x14ac:dyDescent="0.25">
      <c r="B642" s="108" t="s">
        <v>5861</v>
      </c>
      <c r="C642" s="132" t="s">
        <v>5862</v>
      </c>
      <c r="D642" s="133">
        <v>44910</v>
      </c>
    </row>
    <row r="643" spans="2:4" ht="20.25" customHeight="1" x14ac:dyDescent="0.25">
      <c r="B643" s="108" t="s">
        <v>5863</v>
      </c>
      <c r="C643" s="132" t="s">
        <v>5864</v>
      </c>
      <c r="D643" s="131"/>
    </row>
    <row r="644" spans="2:4" ht="20.25" customHeight="1" x14ac:dyDescent="0.25">
      <c r="B644" s="108" t="s">
        <v>5865</v>
      </c>
      <c r="C644" s="132" t="s">
        <v>5866</v>
      </c>
      <c r="D644" s="133">
        <v>44910</v>
      </c>
    </row>
    <row r="645" spans="2:4" ht="20.25" customHeight="1" x14ac:dyDescent="0.25">
      <c r="B645" s="108" t="s">
        <v>4891</v>
      </c>
      <c r="C645" s="132" t="s">
        <v>5867</v>
      </c>
      <c r="D645" s="131" t="s">
        <v>24</v>
      </c>
    </row>
    <row r="646" spans="2:4" ht="20.25" customHeight="1" x14ac:dyDescent="0.25">
      <c r="B646" s="108" t="s">
        <v>5868</v>
      </c>
      <c r="C646" s="132" t="s">
        <v>5869</v>
      </c>
      <c r="D646" s="133">
        <v>44923</v>
      </c>
    </row>
    <row r="647" spans="2:4" ht="20.25" customHeight="1" x14ac:dyDescent="0.25">
      <c r="B647" s="108" t="s">
        <v>5870</v>
      </c>
      <c r="C647" s="132" t="s">
        <v>5871</v>
      </c>
      <c r="D647" s="133">
        <v>44910</v>
      </c>
    </row>
    <row r="648" spans="2:4" ht="20.25" customHeight="1" x14ac:dyDescent="0.25">
      <c r="B648" s="108" t="s">
        <v>5872</v>
      </c>
      <c r="C648" s="132" t="s">
        <v>5873</v>
      </c>
      <c r="D648" s="133">
        <v>44910</v>
      </c>
    </row>
    <row r="649" spans="2:4" ht="20.25" customHeight="1" x14ac:dyDescent="0.25">
      <c r="B649" s="108" t="s">
        <v>5874</v>
      </c>
      <c r="C649" s="132" t="s">
        <v>5875</v>
      </c>
      <c r="D649" s="131"/>
    </row>
    <row r="650" spans="2:4" ht="20.25" customHeight="1" x14ac:dyDescent="0.25">
      <c r="B650" s="108" t="s">
        <v>5876</v>
      </c>
      <c r="C650" s="132" t="s">
        <v>5877</v>
      </c>
      <c r="D650" s="141"/>
    </row>
    <row r="651" spans="2:4" ht="20.25" customHeight="1" x14ac:dyDescent="0.25">
      <c r="B651" s="108" t="s">
        <v>4836</v>
      </c>
      <c r="C651" s="132" t="s">
        <v>5878</v>
      </c>
      <c r="D651" s="141"/>
    </row>
    <row r="652" spans="2:4" ht="20.25" customHeight="1" x14ac:dyDescent="0.25">
      <c r="B652" s="108" t="s">
        <v>5879</v>
      </c>
      <c r="C652" s="132" t="s">
        <v>5880</v>
      </c>
      <c r="D652" s="141"/>
    </row>
    <row r="653" spans="2:4" ht="20.25" customHeight="1" x14ac:dyDescent="0.25">
      <c r="B653" s="108" t="s">
        <v>5881</v>
      </c>
      <c r="C653" s="132" t="s">
        <v>5882</v>
      </c>
      <c r="D653" s="141"/>
    </row>
    <row r="654" spans="2:4" ht="20.25" customHeight="1" x14ac:dyDescent="0.25">
      <c r="B654" s="108" t="s">
        <v>5883</v>
      </c>
      <c r="C654" s="132" t="s">
        <v>5884</v>
      </c>
      <c r="D654" s="141"/>
    </row>
    <row r="655" spans="2:4" ht="20.25" customHeight="1" x14ac:dyDescent="0.25">
      <c r="B655" s="108" t="s">
        <v>5885</v>
      </c>
      <c r="C655" s="132" t="s">
        <v>5886</v>
      </c>
      <c r="D655" s="141"/>
    </row>
    <row r="656" spans="2:4" ht="20.25" customHeight="1" x14ac:dyDescent="0.25">
      <c r="B656" s="108" t="s">
        <v>5887</v>
      </c>
      <c r="C656" s="138" t="s">
        <v>5888</v>
      </c>
      <c r="D656" s="141"/>
    </row>
    <row r="657" spans="2:4" ht="20.25" customHeight="1" x14ac:dyDescent="0.25">
      <c r="B657" s="108" t="s">
        <v>4764</v>
      </c>
      <c r="C657" s="138" t="s">
        <v>5889</v>
      </c>
      <c r="D657" s="141"/>
    </row>
    <row r="658" spans="2:4" ht="20.25" customHeight="1" x14ac:dyDescent="0.25">
      <c r="B658" s="108" t="s">
        <v>5890</v>
      </c>
      <c r="C658" s="132" t="s">
        <v>5886</v>
      </c>
      <c r="D658" s="141"/>
    </row>
    <row r="659" spans="2:4" ht="20.25" customHeight="1" x14ac:dyDescent="0.25">
      <c r="B659" s="108" t="s">
        <v>5891</v>
      </c>
      <c r="C659" s="138" t="s">
        <v>5892</v>
      </c>
      <c r="D659" s="141"/>
    </row>
    <row r="660" spans="2:4" ht="20.25" customHeight="1" x14ac:dyDescent="0.25">
      <c r="B660" s="112" t="s">
        <v>5893</v>
      </c>
      <c r="C660" s="138" t="s">
        <v>5889</v>
      </c>
      <c r="D660" s="141"/>
    </row>
    <row r="661" spans="2:4" ht="20.25" customHeight="1" x14ac:dyDescent="0.25">
      <c r="B661" s="108" t="s">
        <v>5894</v>
      </c>
      <c r="C661" s="138" t="s">
        <v>5889</v>
      </c>
      <c r="D661" s="141"/>
    </row>
    <row r="662" spans="2:4" ht="20.25" customHeight="1" x14ac:dyDescent="0.25">
      <c r="B662" s="108" t="s">
        <v>5895</v>
      </c>
      <c r="C662" s="138" t="s">
        <v>5892</v>
      </c>
      <c r="D662" s="141"/>
    </row>
    <row r="663" spans="2:4" ht="20.25" customHeight="1" x14ac:dyDescent="0.25">
      <c r="B663" s="112" t="s">
        <v>4802</v>
      </c>
      <c r="C663" s="138" t="s">
        <v>5896</v>
      </c>
      <c r="D663" s="141"/>
    </row>
    <row r="664" spans="2:4" ht="20.25" customHeight="1" x14ac:dyDescent="0.25">
      <c r="B664" s="108" t="s">
        <v>5897</v>
      </c>
      <c r="C664" s="138" t="s">
        <v>5898</v>
      </c>
      <c r="D664" s="141"/>
    </row>
    <row r="665" spans="2:4" ht="20.25" customHeight="1" x14ac:dyDescent="0.25">
      <c r="B665" s="108" t="s">
        <v>5899</v>
      </c>
      <c r="C665" s="138" t="s">
        <v>5900</v>
      </c>
      <c r="D665" s="141"/>
    </row>
    <row r="666" spans="2:4" ht="20.25" customHeight="1" x14ac:dyDescent="0.25">
      <c r="B666" s="108" t="s">
        <v>5901</v>
      </c>
      <c r="C666" s="138" t="s">
        <v>5511</v>
      </c>
      <c r="D666" s="141"/>
    </row>
    <row r="667" spans="2:4" ht="20.25" customHeight="1" x14ac:dyDescent="0.25">
      <c r="B667" s="108" t="s">
        <v>5902</v>
      </c>
      <c r="C667" s="138" t="s">
        <v>5511</v>
      </c>
      <c r="D667" s="141"/>
    </row>
    <row r="668" spans="2:4" ht="20.25" customHeight="1" x14ac:dyDescent="0.25">
      <c r="B668" s="112" t="s">
        <v>5903</v>
      </c>
      <c r="C668" s="132" t="s">
        <v>5904</v>
      </c>
      <c r="D668" s="141"/>
    </row>
    <row r="669" spans="2:4" ht="20.25" customHeight="1" x14ac:dyDescent="0.25">
      <c r="B669" s="108" t="s">
        <v>5905</v>
      </c>
      <c r="C669" s="138" t="s">
        <v>5906</v>
      </c>
      <c r="D669" s="141"/>
    </row>
    <row r="670" spans="2:4" ht="20.25" customHeight="1" x14ac:dyDescent="0.25">
      <c r="B670" s="108" t="s">
        <v>5907</v>
      </c>
      <c r="C670" s="138" t="s">
        <v>5908</v>
      </c>
      <c r="D670" s="141"/>
    </row>
    <row r="671" spans="2:4" ht="20.25" customHeight="1" x14ac:dyDescent="0.25">
      <c r="B671" s="116" t="s">
        <v>4893</v>
      </c>
      <c r="C671" s="138" t="s">
        <v>5909</v>
      </c>
      <c r="D671" s="141"/>
    </row>
    <row r="672" spans="2:4" ht="20.25" customHeight="1" x14ac:dyDescent="0.25">
      <c r="B672" s="112" t="s">
        <v>5910</v>
      </c>
      <c r="C672" s="132" t="s">
        <v>5911</v>
      </c>
      <c r="D672" s="131" t="s">
        <v>24</v>
      </c>
    </row>
    <row r="673" spans="2:4" ht="20.25" customHeight="1" x14ac:dyDescent="0.25">
      <c r="B673" s="108" t="s">
        <v>5912</v>
      </c>
      <c r="C673" s="138" t="s">
        <v>5511</v>
      </c>
      <c r="D673" s="131" t="s">
        <v>24</v>
      </c>
    </row>
    <row r="674" spans="2:4" ht="20.25" customHeight="1" x14ac:dyDescent="0.25">
      <c r="B674" s="108" t="s">
        <v>4895</v>
      </c>
      <c r="C674" s="138" t="s">
        <v>5511</v>
      </c>
      <c r="D674" s="131" t="s">
        <v>24</v>
      </c>
    </row>
    <row r="675" spans="2:4" ht="20.25" customHeight="1" x14ac:dyDescent="0.25">
      <c r="B675" s="108" t="s">
        <v>4804</v>
      </c>
      <c r="C675" s="138" t="s">
        <v>5511</v>
      </c>
      <c r="D675" s="141" t="s">
        <v>24</v>
      </c>
    </row>
    <row r="676" spans="2:4" ht="20.25" customHeight="1" x14ac:dyDescent="0.25">
      <c r="B676" s="108" t="s">
        <v>4808</v>
      </c>
      <c r="C676" s="132" t="s">
        <v>5913</v>
      </c>
      <c r="D676" s="141"/>
    </row>
    <row r="677" spans="2:4" ht="20.25" customHeight="1" x14ac:dyDescent="0.25">
      <c r="B677" s="108" t="s">
        <v>4898</v>
      </c>
      <c r="C677" s="132" t="s">
        <v>5914</v>
      </c>
      <c r="D677" s="141"/>
    </row>
    <row r="678" spans="2:4" ht="20.25" customHeight="1" x14ac:dyDescent="0.25">
      <c r="B678" s="108" t="s">
        <v>5915</v>
      </c>
      <c r="C678" s="132" t="s">
        <v>5916</v>
      </c>
      <c r="D678" s="141"/>
    </row>
    <row r="679" spans="2:4" ht="20.25" customHeight="1" x14ac:dyDescent="0.25">
      <c r="B679" s="108" t="s">
        <v>5917</v>
      </c>
      <c r="C679" s="138" t="s">
        <v>5918</v>
      </c>
      <c r="D679" s="141"/>
    </row>
    <row r="680" spans="2:4" ht="20.25" customHeight="1" x14ac:dyDescent="0.25">
      <c r="B680" s="108" t="s">
        <v>4792</v>
      </c>
      <c r="C680" s="132" t="s">
        <v>5919</v>
      </c>
      <c r="D680" s="141"/>
    </row>
    <row r="681" spans="2:4" ht="20.25" customHeight="1" x14ac:dyDescent="0.25">
      <c r="B681" s="108" t="s">
        <v>4841</v>
      </c>
      <c r="C681" s="132" t="s">
        <v>5920</v>
      </c>
      <c r="D681" s="141"/>
    </row>
    <row r="682" spans="2:4" ht="20.25" customHeight="1" x14ac:dyDescent="0.25">
      <c r="B682" s="108" t="s">
        <v>5921</v>
      </c>
      <c r="C682" s="138" t="s">
        <v>5922</v>
      </c>
      <c r="D682" s="141"/>
    </row>
    <row r="683" spans="2:4" ht="20.25" customHeight="1" x14ac:dyDescent="0.25">
      <c r="B683" s="108" t="s">
        <v>5923</v>
      </c>
      <c r="C683" s="138" t="s">
        <v>5924</v>
      </c>
      <c r="D683" s="141"/>
    </row>
    <row r="684" spans="2:4" ht="20.25" customHeight="1" x14ac:dyDescent="0.25">
      <c r="B684" s="108" t="s">
        <v>5925</v>
      </c>
      <c r="C684" s="132" t="s">
        <v>5926</v>
      </c>
      <c r="D684" s="141"/>
    </row>
    <row r="685" spans="2:4" ht="20.25" customHeight="1" x14ac:dyDescent="0.25">
      <c r="B685" s="108" t="s">
        <v>5927</v>
      </c>
      <c r="C685" s="138" t="s">
        <v>5511</v>
      </c>
      <c r="D685" s="141"/>
    </row>
    <row r="686" spans="2:4" ht="20.25" customHeight="1" x14ac:dyDescent="0.25">
      <c r="B686" s="108" t="s">
        <v>5928</v>
      </c>
      <c r="C686" s="138" t="s">
        <v>5929</v>
      </c>
      <c r="D686" s="141"/>
    </row>
    <row r="687" spans="2:4" ht="20.25" customHeight="1" x14ac:dyDescent="0.25">
      <c r="B687" s="108" t="s">
        <v>5930</v>
      </c>
      <c r="C687" s="132" t="s">
        <v>5931</v>
      </c>
      <c r="D687" s="141"/>
    </row>
    <row r="688" spans="2:4" ht="20.25" customHeight="1" x14ac:dyDescent="0.25">
      <c r="B688" s="108" t="s">
        <v>5932</v>
      </c>
      <c r="C688" s="138" t="s">
        <v>5933</v>
      </c>
      <c r="D688" s="141"/>
    </row>
    <row r="689" spans="2:4" ht="20.25" customHeight="1" x14ac:dyDescent="0.25">
      <c r="B689" s="108" t="s">
        <v>4899</v>
      </c>
      <c r="C689" s="138" t="s">
        <v>103</v>
      </c>
      <c r="D689" s="141"/>
    </row>
    <row r="690" spans="2:4" ht="20.25" customHeight="1" x14ac:dyDescent="0.25">
      <c r="B690" s="108" t="s">
        <v>5934</v>
      </c>
      <c r="C690" s="132" t="s">
        <v>5935</v>
      </c>
      <c r="D690" s="141"/>
    </row>
    <row r="691" spans="2:4" ht="20.25" customHeight="1" x14ac:dyDescent="0.25">
      <c r="B691" s="108" t="s">
        <v>5936</v>
      </c>
      <c r="C691" s="132" t="s">
        <v>5937</v>
      </c>
      <c r="D691" s="152">
        <v>45040</v>
      </c>
    </row>
    <row r="692" spans="2:4" ht="20.25" customHeight="1" x14ac:dyDescent="0.25">
      <c r="B692" s="108" t="s">
        <v>5938</v>
      </c>
      <c r="C692" s="138" t="s">
        <v>5511</v>
      </c>
      <c r="D692" s="141"/>
    </row>
    <row r="693" spans="2:4" ht="20.25" customHeight="1" x14ac:dyDescent="0.25">
      <c r="B693" s="108" t="s">
        <v>5939</v>
      </c>
      <c r="C693" s="138" t="s">
        <v>5511</v>
      </c>
      <c r="D693" s="141"/>
    </row>
    <row r="694" spans="2:4" ht="20.25" customHeight="1" x14ac:dyDescent="0.25">
      <c r="B694" s="108" t="s">
        <v>5940</v>
      </c>
      <c r="C694" s="138" t="s">
        <v>5941</v>
      </c>
      <c r="D694" s="131"/>
    </row>
    <row r="695" spans="2:4" ht="20.25" customHeight="1" x14ac:dyDescent="0.25">
      <c r="B695" s="108" t="s">
        <v>5942</v>
      </c>
      <c r="C695" s="132" t="s">
        <v>5943</v>
      </c>
      <c r="D695" s="141"/>
    </row>
    <row r="696" spans="2:4" ht="20.25" customHeight="1" x14ac:dyDescent="0.25">
      <c r="B696" s="108" t="s">
        <v>5944</v>
      </c>
      <c r="C696" s="132" t="s">
        <v>5945</v>
      </c>
      <c r="D696" s="141"/>
    </row>
    <row r="697" spans="2:4" ht="20.25" customHeight="1" x14ac:dyDescent="0.25">
      <c r="B697" s="108" t="s">
        <v>5946</v>
      </c>
      <c r="C697" s="138" t="s">
        <v>5947</v>
      </c>
      <c r="D697" s="133">
        <v>44922</v>
      </c>
    </row>
    <row r="698" spans="2:4" ht="20.25" customHeight="1" x14ac:dyDescent="0.25">
      <c r="B698" s="108" t="s">
        <v>5948</v>
      </c>
      <c r="C698" s="132" t="s">
        <v>5949</v>
      </c>
      <c r="D698" s="141"/>
    </row>
    <row r="699" spans="2:4" ht="20.25" customHeight="1" x14ac:dyDescent="0.25">
      <c r="B699" s="108" t="s">
        <v>5950</v>
      </c>
      <c r="C699" s="132" t="s">
        <v>103</v>
      </c>
      <c r="D699" s="141"/>
    </row>
    <row r="700" spans="2:4" ht="20.25" customHeight="1" x14ac:dyDescent="0.25">
      <c r="B700" s="108" t="s">
        <v>5951</v>
      </c>
      <c r="C700" s="138" t="s">
        <v>5952</v>
      </c>
      <c r="D700" s="141"/>
    </row>
    <row r="701" spans="2:4" ht="20.25" customHeight="1" x14ac:dyDescent="0.25">
      <c r="B701" s="108" t="s">
        <v>5953</v>
      </c>
      <c r="C701" s="132" t="s">
        <v>5954</v>
      </c>
      <c r="D701" s="141"/>
    </row>
    <row r="702" spans="2:4" ht="20.25" customHeight="1" x14ac:dyDescent="0.25">
      <c r="B702" s="108" t="s">
        <v>4766</v>
      </c>
      <c r="C702" s="138" t="s">
        <v>5955</v>
      </c>
      <c r="D702" s="141" t="s">
        <v>24</v>
      </c>
    </row>
    <row r="703" spans="2:4" ht="20.25" customHeight="1" x14ac:dyDescent="0.25">
      <c r="B703" s="108" t="s">
        <v>5956</v>
      </c>
      <c r="C703" s="165" t="s">
        <v>5957</v>
      </c>
      <c r="D703" s="141" t="s">
        <v>24</v>
      </c>
    </row>
    <row r="704" spans="2:4" ht="20.25" customHeight="1" x14ac:dyDescent="0.25">
      <c r="B704" s="108" t="s">
        <v>5958</v>
      </c>
      <c r="C704" s="138" t="s">
        <v>5511</v>
      </c>
      <c r="D704" s="141"/>
    </row>
    <row r="705" spans="2:4" ht="20.25" customHeight="1" x14ac:dyDescent="0.25">
      <c r="B705" s="108" t="s">
        <v>5959</v>
      </c>
      <c r="C705" s="138" t="s">
        <v>5960</v>
      </c>
      <c r="D705" s="141" t="s">
        <v>24</v>
      </c>
    </row>
    <row r="706" spans="2:4" ht="20.25" customHeight="1" x14ac:dyDescent="0.25">
      <c r="B706" s="108" t="s">
        <v>4811</v>
      </c>
      <c r="C706" s="132" t="s">
        <v>5961</v>
      </c>
      <c r="D706" s="141"/>
    </row>
    <row r="707" spans="2:4" ht="20.25" customHeight="1" x14ac:dyDescent="0.25">
      <c r="B707" s="108" t="s">
        <v>5962</v>
      </c>
      <c r="C707" s="132" t="s">
        <v>5963</v>
      </c>
      <c r="D707" s="141"/>
    </row>
    <row r="708" spans="2:4" ht="20.25" customHeight="1" x14ac:dyDescent="0.25">
      <c r="B708" s="108" t="s">
        <v>5964</v>
      </c>
      <c r="C708" s="165" t="s">
        <v>5965</v>
      </c>
      <c r="D708" s="141"/>
    </row>
    <row r="709" spans="2:4" ht="20.25" customHeight="1" x14ac:dyDescent="0.25">
      <c r="B709" s="108" t="s">
        <v>5966</v>
      </c>
      <c r="C709" s="132" t="s">
        <v>5967</v>
      </c>
      <c r="D709" s="131" t="s">
        <v>24</v>
      </c>
    </row>
    <row r="710" spans="2:4" ht="20.25" customHeight="1" x14ac:dyDescent="0.25">
      <c r="B710" s="108" t="s">
        <v>5968</v>
      </c>
      <c r="C710" s="138" t="s">
        <v>5969</v>
      </c>
      <c r="D710" s="152">
        <v>45040</v>
      </c>
    </row>
    <row r="711" spans="2:4" ht="20.25" customHeight="1" x14ac:dyDescent="0.25">
      <c r="B711" s="108" t="s">
        <v>5970</v>
      </c>
      <c r="C711" s="138" t="s">
        <v>5971</v>
      </c>
      <c r="D711" s="141"/>
    </row>
    <row r="712" spans="2:4" ht="20.25" customHeight="1" x14ac:dyDescent="0.25">
      <c r="B712" s="108" t="s">
        <v>5972</v>
      </c>
      <c r="C712" s="132" t="s">
        <v>5971</v>
      </c>
      <c r="D712" s="131" t="s">
        <v>24</v>
      </c>
    </row>
    <row r="713" spans="2:4" ht="20.25" customHeight="1" x14ac:dyDescent="0.25">
      <c r="B713" s="108" t="s">
        <v>5973</v>
      </c>
      <c r="C713" s="132" t="s">
        <v>5974</v>
      </c>
      <c r="D713" s="136">
        <v>45148</v>
      </c>
    </row>
    <row r="714" spans="2:4" ht="20.25" customHeight="1" x14ac:dyDescent="0.25">
      <c r="B714" s="108" t="s">
        <v>5975</v>
      </c>
      <c r="C714" s="138" t="s">
        <v>5976</v>
      </c>
      <c r="D714" s="141"/>
    </row>
    <row r="715" spans="2:4" ht="20.25" customHeight="1" x14ac:dyDescent="0.25">
      <c r="B715" s="108" t="s">
        <v>5977</v>
      </c>
      <c r="C715" s="138" t="s">
        <v>4801</v>
      </c>
      <c r="D715" s="136">
        <v>45049</v>
      </c>
    </row>
    <row r="716" spans="2:4" ht="20.25" customHeight="1" x14ac:dyDescent="0.25">
      <c r="B716" s="108" t="s">
        <v>5978</v>
      </c>
      <c r="C716" s="132" t="s">
        <v>5979</v>
      </c>
      <c r="D716" s="131" t="s">
        <v>24</v>
      </c>
    </row>
    <row r="717" spans="2:4" ht="20.25" customHeight="1" x14ac:dyDescent="0.25">
      <c r="B717" s="108" t="s">
        <v>5980</v>
      </c>
      <c r="C717" s="138" t="s">
        <v>5981</v>
      </c>
      <c r="D717" s="141" t="s">
        <v>24</v>
      </c>
    </row>
    <row r="718" spans="2:4" ht="20.25" customHeight="1" x14ac:dyDescent="0.25">
      <c r="B718" s="108" t="s">
        <v>5982</v>
      </c>
      <c r="C718" s="132" t="s">
        <v>5983</v>
      </c>
      <c r="D718" s="141"/>
    </row>
    <row r="719" spans="2:4" ht="20.25" customHeight="1" x14ac:dyDescent="0.25">
      <c r="B719" s="108" t="s">
        <v>5984</v>
      </c>
      <c r="C719" s="138" t="s">
        <v>5985</v>
      </c>
      <c r="D719" s="141"/>
    </row>
    <row r="720" spans="2:4" ht="20.25" customHeight="1" x14ac:dyDescent="0.25">
      <c r="B720" s="108" t="s">
        <v>5986</v>
      </c>
      <c r="C720" s="132" t="s">
        <v>5987</v>
      </c>
      <c r="D720" s="136">
        <v>45049</v>
      </c>
    </row>
    <row r="721" spans="2:4" ht="20.25" customHeight="1" x14ac:dyDescent="0.25">
      <c r="B721" s="108" t="s">
        <v>5988</v>
      </c>
      <c r="C721" s="132" t="s">
        <v>5989</v>
      </c>
      <c r="D721" s="133">
        <v>45058</v>
      </c>
    </row>
    <row r="722" spans="2:4" ht="20.25" customHeight="1" x14ac:dyDescent="0.25">
      <c r="B722" s="108" t="s">
        <v>5990</v>
      </c>
      <c r="C722" s="138" t="s">
        <v>5991</v>
      </c>
      <c r="D722" s="141"/>
    </row>
    <row r="723" spans="2:4" ht="20.25" customHeight="1" x14ac:dyDescent="0.25">
      <c r="B723" s="108" t="s">
        <v>5992</v>
      </c>
      <c r="C723" s="138" t="s">
        <v>5511</v>
      </c>
      <c r="D723" s="152">
        <v>45040</v>
      </c>
    </row>
    <row r="724" spans="2:4" ht="20.25" customHeight="1" x14ac:dyDescent="0.25">
      <c r="B724" s="108" t="s">
        <v>5993</v>
      </c>
      <c r="C724" s="138" t="s">
        <v>5994</v>
      </c>
      <c r="D724" s="141"/>
    </row>
    <row r="725" spans="2:4" ht="20.25" customHeight="1" x14ac:dyDescent="0.25">
      <c r="B725" s="108" t="s">
        <v>5995</v>
      </c>
      <c r="C725" s="138" t="s">
        <v>5996</v>
      </c>
      <c r="D725" s="131" t="s">
        <v>24</v>
      </c>
    </row>
    <row r="726" spans="2:4" ht="20.25" customHeight="1" x14ac:dyDescent="0.25">
      <c r="B726" s="108" t="s">
        <v>5997</v>
      </c>
      <c r="C726" s="138" t="s">
        <v>5998</v>
      </c>
      <c r="D726" s="141"/>
    </row>
    <row r="727" spans="2:4" ht="20.25" customHeight="1" x14ac:dyDescent="0.25">
      <c r="B727" s="108" t="s">
        <v>5999</v>
      </c>
      <c r="C727" s="132" t="s">
        <v>6000</v>
      </c>
      <c r="D727" s="141"/>
    </row>
    <row r="728" spans="2:4" ht="20.25" customHeight="1" x14ac:dyDescent="0.25">
      <c r="B728" s="108" t="s">
        <v>6001</v>
      </c>
      <c r="C728" s="138" t="s">
        <v>6002</v>
      </c>
      <c r="D728" s="141"/>
    </row>
    <row r="729" spans="2:4" ht="20.25" customHeight="1" x14ac:dyDescent="0.25">
      <c r="B729" s="108" t="s">
        <v>6003</v>
      </c>
      <c r="C729" s="132" t="s">
        <v>6004</v>
      </c>
      <c r="D729" s="131" t="s">
        <v>24</v>
      </c>
    </row>
    <row r="730" spans="2:4" ht="20.25" customHeight="1" x14ac:dyDescent="0.25">
      <c r="B730" s="108" t="s">
        <v>6005</v>
      </c>
      <c r="C730" s="132" t="s">
        <v>6006</v>
      </c>
      <c r="D730" s="141"/>
    </row>
    <row r="731" spans="2:4" ht="20.25" customHeight="1" x14ac:dyDescent="0.25">
      <c r="B731" s="108" t="s">
        <v>6007</v>
      </c>
      <c r="C731" s="138" t="s">
        <v>103</v>
      </c>
      <c r="D731" s="141"/>
    </row>
    <row r="732" spans="2:4" ht="20.25" customHeight="1" x14ac:dyDescent="0.25">
      <c r="B732" s="108" t="s">
        <v>6008</v>
      </c>
      <c r="C732" s="138" t="s">
        <v>5511</v>
      </c>
      <c r="D732" s="141"/>
    </row>
    <row r="733" spans="2:4" ht="20.25" customHeight="1" x14ac:dyDescent="0.25">
      <c r="B733" s="108" t="s">
        <v>6009</v>
      </c>
      <c r="C733" s="132" t="s">
        <v>6010</v>
      </c>
      <c r="D733" s="131" t="s">
        <v>24</v>
      </c>
    </row>
    <row r="734" spans="2:4" ht="20.25" customHeight="1" x14ac:dyDescent="0.25">
      <c r="B734" s="108" t="s">
        <v>6011</v>
      </c>
      <c r="C734" s="132" t="s">
        <v>6012</v>
      </c>
      <c r="D734" s="131" t="s">
        <v>24</v>
      </c>
    </row>
    <row r="735" spans="2:4" ht="20.25" customHeight="1" x14ac:dyDescent="0.25">
      <c r="B735" s="108" t="s">
        <v>6013</v>
      </c>
      <c r="C735" s="138" t="s">
        <v>6014</v>
      </c>
      <c r="D735" s="141"/>
    </row>
    <row r="736" spans="2:4" ht="20.25" customHeight="1" x14ac:dyDescent="0.25">
      <c r="B736" s="108" t="s">
        <v>6015</v>
      </c>
      <c r="C736" s="138" t="s">
        <v>6016</v>
      </c>
      <c r="D736" s="131" t="s">
        <v>24</v>
      </c>
    </row>
    <row r="737" spans="2:4" ht="20.25" customHeight="1" x14ac:dyDescent="0.25">
      <c r="B737" s="108" t="s">
        <v>6017</v>
      </c>
      <c r="C737" s="132" t="s">
        <v>6018</v>
      </c>
      <c r="D737" s="141"/>
    </row>
    <row r="738" spans="2:4" ht="20.25" customHeight="1" x14ac:dyDescent="0.25">
      <c r="B738" s="108" t="s">
        <v>6019</v>
      </c>
      <c r="C738" s="132" t="s">
        <v>6020</v>
      </c>
      <c r="D738" s="141"/>
    </row>
    <row r="739" spans="2:4" ht="20.25" customHeight="1" x14ac:dyDescent="0.25">
      <c r="B739" s="108" t="s">
        <v>6021</v>
      </c>
      <c r="C739" s="138" t="s">
        <v>6022</v>
      </c>
      <c r="D739" s="131" t="s">
        <v>24</v>
      </c>
    </row>
    <row r="740" spans="2:4" ht="20.25" customHeight="1" x14ac:dyDescent="0.25">
      <c r="B740" s="108" t="s">
        <v>6023</v>
      </c>
      <c r="C740" s="132" t="s">
        <v>6024</v>
      </c>
      <c r="D740" s="152">
        <v>45040</v>
      </c>
    </row>
    <row r="741" spans="2:4" ht="20.25" customHeight="1" x14ac:dyDescent="0.25">
      <c r="B741" s="108" t="s">
        <v>6025</v>
      </c>
      <c r="C741" s="132" t="s">
        <v>6026</v>
      </c>
      <c r="D741" s="141"/>
    </row>
    <row r="742" spans="2:4" ht="20.25" customHeight="1" x14ac:dyDescent="0.25">
      <c r="B742" s="108" t="s">
        <v>4901</v>
      </c>
      <c r="C742" s="132" t="s">
        <v>6027</v>
      </c>
      <c r="D742" s="131" t="s">
        <v>24</v>
      </c>
    </row>
    <row r="743" spans="2:4" ht="20.25" customHeight="1" x14ac:dyDescent="0.25">
      <c r="B743" s="108" t="s">
        <v>6028</v>
      </c>
      <c r="C743" s="132" t="s">
        <v>6029</v>
      </c>
      <c r="D743" s="133">
        <v>44923</v>
      </c>
    </row>
    <row r="744" spans="2:4" ht="20.25" customHeight="1" x14ac:dyDescent="0.25">
      <c r="B744" s="108" t="s">
        <v>6030</v>
      </c>
      <c r="C744" s="138" t="s">
        <v>6031</v>
      </c>
      <c r="D744" s="141"/>
    </row>
    <row r="745" spans="2:4" ht="20.25" customHeight="1" x14ac:dyDescent="0.25">
      <c r="B745" s="108" t="s">
        <v>6032</v>
      </c>
      <c r="C745" s="132" t="s">
        <v>5511</v>
      </c>
      <c r="D745" s="133">
        <v>44877</v>
      </c>
    </row>
    <row r="746" spans="2:4" ht="20.25" customHeight="1" x14ac:dyDescent="0.25">
      <c r="B746" s="108" t="s">
        <v>6033</v>
      </c>
      <c r="C746" s="132" t="s">
        <v>6034</v>
      </c>
      <c r="D746" s="141"/>
    </row>
    <row r="747" spans="2:4" ht="20.25" customHeight="1" x14ac:dyDescent="0.25">
      <c r="B747" s="108" t="s">
        <v>6035</v>
      </c>
      <c r="C747" s="138" t="s">
        <v>6036</v>
      </c>
      <c r="D747" s="141"/>
    </row>
    <row r="748" spans="2:4" ht="20.25" customHeight="1" x14ac:dyDescent="0.25">
      <c r="B748" s="108" t="s">
        <v>6037</v>
      </c>
      <c r="C748" s="132" t="s">
        <v>5511</v>
      </c>
      <c r="D748" s="152">
        <v>45040</v>
      </c>
    </row>
    <row r="749" spans="2:4" ht="20.25" customHeight="1" x14ac:dyDescent="0.25">
      <c r="B749" s="108" t="s">
        <v>6038</v>
      </c>
      <c r="C749" s="132" t="s">
        <v>6039</v>
      </c>
      <c r="D749" s="131" t="s">
        <v>24</v>
      </c>
    </row>
    <row r="750" spans="2:4" ht="20.25" customHeight="1" x14ac:dyDescent="0.25">
      <c r="B750" s="110" t="s">
        <v>4810</v>
      </c>
      <c r="C750" s="138" t="s">
        <v>5511</v>
      </c>
      <c r="D750" s="141"/>
    </row>
    <row r="751" spans="2:4" ht="20.25" customHeight="1" x14ac:dyDescent="0.25">
      <c r="B751" s="108" t="s">
        <v>4903</v>
      </c>
      <c r="C751" s="138" t="s">
        <v>103</v>
      </c>
      <c r="D751" s="141"/>
    </row>
    <row r="752" spans="2:4" ht="20.25" customHeight="1" x14ac:dyDescent="0.25">
      <c r="B752" s="108" t="s">
        <v>6040</v>
      </c>
      <c r="C752" s="138" t="s">
        <v>6041</v>
      </c>
      <c r="D752" s="141"/>
    </row>
    <row r="753" spans="2:4" ht="20.25" customHeight="1" x14ac:dyDescent="0.25">
      <c r="B753" s="108" t="s">
        <v>6042</v>
      </c>
      <c r="C753" s="132" t="s">
        <v>6043</v>
      </c>
      <c r="D753" s="141"/>
    </row>
    <row r="754" spans="2:4" ht="20.25" customHeight="1" x14ac:dyDescent="0.25">
      <c r="B754" s="108" t="s">
        <v>4905</v>
      </c>
      <c r="C754" s="138" t="s">
        <v>6044</v>
      </c>
      <c r="D754" s="141"/>
    </row>
    <row r="755" spans="2:4" ht="20.25" customHeight="1" x14ac:dyDescent="0.25">
      <c r="B755" s="108" t="s">
        <v>6045</v>
      </c>
      <c r="C755" s="138" t="s">
        <v>6046</v>
      </c>
      <c r="D755" s="141"/>
    </row>
    <row r="756" spans="2:4" ht="20.25" customHeight="1" x14ac:dyDescent="0.25">
      <c r="B756" s="108" t="s">
        <v>6047</v>
      </c>
      <c r="C756" s="138" t="s">
        <v>103</v>
      </c>
      <c r="D756" s="141"/>
    </row>
    <row r="757" spans="2:4" ht="20.25" customHeight="1" x14ac:dyDescent="0.25">
      <c r="B757" s="116" t="s">
        <v>4907</v>
      </c>
      <c r="C757" s="138" t="s">
        <v>103</v>
      </c>
      <c r="D757" s="141"/>
    </row>
    <row r="758" spans="2:4" ht="20.25" customHeight="1" x14ac:dyDescent="0.25">
      <c r="B758" s="108" t="s">
        <v>6048</v>
      </c>
      <c r="C758" s="138" t="s">
        <v>103</v>
      </c>
      <c r="D758" s="141"/>
    </row>
    <row r="759" spans="2:4" ht="20.25" customHeight="1" x14ac:dyDescent="0.25">
      <c r="B759" s="108" t="s">
        <v>6049</v>
      </c>
      <c r="C759" s="138" t="s">
        <v>103</v>
      </c>
      <c r="D759" s="141"/>
    </row>
    <row r="760" spans="2:4" ht="20.25" customHeight="1" x14ac:dyDescent="0.25">
      <c r="B760" s="108" t="s">
        <v>6050</v>
      </c>
      <c r="C760" s="138" t="s">
        <v>103</v>
      </c>
      <c r="D760" s="136">
        <v>45049</v>
      </c>
    </row>
    <row r="761" spans="2:4" ht="20.25" customHeight="1" x14ac:dyDescent="0.25">
      <c r="B761" s="108" t="s">
        <v>6051</v>
      </c>
      <c r="C761" s="138" t="s">
        <v>103</v>
      </c>
      <c r="D761" s="152">
        <v>45040</v>
      </c>
    </row>
    <row r="762" spans="2:4" ht="20.25" customHeight="1" x14ac:dyDescent="0.25">
      <c r="B762" s="108" t="s">
        <v>6052</v>
      </c>
      <c r="C762" s="138" t="s">
        <v>103</v>
      </c>
      <c r="D762" s="141"/>
    </row>
    <row r="763" spans="2:4" ht="20.25" customHeight="1" x14ac:dyDescent="0.25">
      <c r="B763" s="108" t="s">
        <v>6053</v>
      </c>
      <c r="C763" s="132" t="s">
        <v>5775</v>
      </c>
      <c r="D763" s="141"/>
    </row>
    <row r="764" spans="2:4" ht="20.25" customHeight="1" x14ac:dyDescent="0.25">
      <c r="B764" s="111" t="s">
        <v>6054</v>
      </c>
      <c r="C764" s="138" t="s">
        <v>6055</v>
      </c>
      <c r="D764" s="131" t="s">
        <v>24</v>
      </c>
    </row>
    <row r="765" spans="2:4" ht="20.25" customHeight="1" x14ac:dyDescent="0.25">
      <c r="B765" s="108" t="s">
        <v>6056</v>
      </c>
      <c r="C765" s="132" t="s">
        <v>6057</v>
      </c>
      <c r="D765" s="141"/>
    </row>
    <row r="766" spans="2:4" ht="20.25" customHeight="1" x14ac:dyDescent="0.25">
      <c r="B766" s="108" t="s">
        <v>6058</v>
      </c>
      <c r="C766" s="138" t="s">
        <v>103</v>
      </c>
      <c r="D766" s="141"/>
    </row>
    <row r="767" spans="2:4" ht="20.25" customHeight="1" x14ac:dyDescent="0.25">
      <c r="B767" s="108" t="s">
        <v>6059</v>
      </c>
      <c r="C767" s="138" t="s">
        <v>6060</v>
      </c>
      <c r="D767" s="141"/>
    </row>
    <row r="768" spans="2:4" ht="20.25" customHeight="1" x14ac:dyDescent="0.25">
      <c r="B768" s="108" t="s">
        <v>6061</v>
      </c>
      <c r="C768" s="132" t="s">
        <v>6062</v>
      </c>
      <c r="D768" s="141"/>
    </row>
    <row r="769" spans="2:4" ht="20.25" customHeight="1" x14ac:dyDescent="0.25">
      <c r="B769" s="108" t="s">
        <v>6063</v>
      </c>
      <c r="C769" s="138" t="s">
        <v>103</v>
      </c>
      <c r="D769" s="141"/>
    </row>
    <row r="770" spans="2:4" ht="20.25" customHeight="1" x14ac:dyDescent="0.25">
      <c r="B770" s="108" t="s">
        <v>6064</v>
      </c>
      <c r="C770" s="138" t="s">
        <v>103</v>
      </c>
      <c r="D770" s="141"/>
    </row>
    <row r="771" spans="2:4" ht="20.25" customHeight="1" x14ac:dyDescent="0.25">
      <c r="B771" s="108" t="s">
        <v>6065</v>
      </c>
      <c r="C771" s="138" t="s">
        <v>6066</v>
      </c>
      <c r="D771" s="131" t="s">
        <v>24</v>
      </c>
    </row>
    <row r="772" spans="2:4" ht="20.25" customHeight="1" x14ac:dyDescent="0.25">
      <c r="B772" s="108" t="s">
        <v>6067</v>
      </c>
      <c r="C772" s="138" t="s">
        <v>103</v>
      </c>
      <c r="D772" s="136">
        <v>45105</v>
      </c>
    </row>
    <row r="773" spans="2:4" ht="20.25" customHeight="1" x14ac:dyDescent="0.25">
      <c r="B773" s="108" t="s">
        <v>6068</v>
      </c>
      <c r="C773" s="138" t="s">
        <v>103</v>
      </c>
      <c r="D773" s="152">
        <v>45040</v>
      </c>
    </row>
    <row r="774" spans="2:4" ht="20.25" customHeight="1" x14ac:dyDescent="0.25">
      <c r="B774" s="108" t="s">
        <v>6069</v>
      </c>
      <c r="C774" s="138" t="s">
        <v>5511</v>
      </c>
      <c r="D774" s="141"/>
    </row>
    <row r="775" spans="2:4" ht="20.25" customHeight="1" x14ac:dyDescent="0.25">
      <c r="B775" s="108" t="s">
        <v>6070</v>
      </c>
      <c r="C775" s="132" t="s">
        <v>6071</v>
      </c>
      <c r="D775" s="131" t="s">
        <v>24</v>
      </c>
    </row>
    <row r="776" spans="2:4" ht="20.25" customHeight="1" x14ac:dyDescent="0.25">
      <c r="B776" s="108" t="s">
        <v>6072</v>
      </c>
      <c r="C776" s="132" t="s">
        <v>6073</v>
      </c>
      <c r="D776" s="131" t="s">
        <v>24</v>
      </c>
    </row>
    <row r="777" spans="2:4" ht="20.25" customHeight="1" x14ac:dyDescent="0.25">
      <c r="B777" s="108" t="s">
        <v>6074</v>
      </c>
      <c r="C777" s="138" t="s">
        <v>6075</v>
      </c>
      <c r="D777" s="141"/>
    </row>
    <row r="778" spans="2:4" ht="20.25" customHeight="1" x14ac:dyDescent="0.25">
      <c r="B778" s="108" t="s">
        <v>6076</v>
      </c>
      <c r="C778" s="132" t="s">
        <v>5511</v>
      </c>
      <c r="D778" s="141"/>
    </row>
    <row r="779" spans="2:4" ht="20.25" customHeight="1" x14ac:dyDescent="0.25">
      <c r="B779" s="108" t="s">
        <v>6077</v>
      </c>
      <c r="C779" s="132" t="s">
        <v>6078</v>
      </c>
      <c r="D779" s="141"/>
    </row>
    <row r="780" spans="2:4" ht="20.25" customHeight="1" x14ac:dyDescent="0.25">
      <c r="B780" s="108" t="s">
        <v>4817</v>
      </c>
      <c r="C780" s="132" t="s">
        <v>6079</v>
      </c>
      <c r="D780" s="131" t="s">
        <v>24</v>
      </c>
    </row>
    <row r="781" spans="2:4" ht="20.25" customHeight="1" x14ac:dyDescent="0.25">
      <c r="B781" s="108" t="s">
        <v>4794</v>
      </c>
      <c r="C781" s="132" t="s">
        <v>5511</v>
      </c>
      <c r="D781" s="141"/>
    </row>
    <row r="782" spans="2:4" ht="20.25" customHeight="1" x14ac:dyDescent="0.25">
      <c r="B782" s="108" t="s">
        <v>6080</v>
      </c>
      <c r="C782" s="138" t="s">
        <v>103</v>
      </c>
      <c r="D782" s="133">
        <v>44910</v>
      </c>
    </row>
    <row r="783" spans="2:4" ht="20.25" customHeight="1" x14ac:dyDescent="0.25">
      <c r="B783" s="108" t="s">
        <v>6081</v>
      </c>
      <c r="C783" s="138" t="s">
        <v>6082</v>
      </c>
      <c r="D783" s="141"/>
    </row>
    <row r="784" spans="2:4" ht="20.25" customHeight="1" x14ac:dyDescent="0.25">
      <c r="B784" s="108" t="s">
        <v>6083</v>
      </c>
      <c r="C784" s="132" t="s">
        <v>6084</v>
      </c>
      <c r="D784" s="131" t="s">
        <v>24</v>
      </c>
    </row>
    <row r="785" spans="2:4" ht="20.25" customHeight="1" x14ac:dyDescent="0.25">
      <c r="B785" s="108" t="s">
        <v>6085</v>
      </c>
      <c r="C785" s="132" t="s">
        <v>6086</v>
      </c>
      <c r="D785" s="141"/>
    </row>
    <row r="786" spans="2:4" ht="20.25" customHeight="1" x14ac:dyDescent="0.25">
      <c r="B786" s="108" t="s">
        <v>6087</v>
      </c>
      <c r="C786" s="132" t="s">
        <v>6088</v>
      </c>
      <c r="D786" s="141"/>
    </row>
    <row r="787" spans="2:4" ht="20.25" customHeight="1" x14ac:dyDescent="0.25">
      <c r="B787" s="108" t="s">
        <v>6089</v>
      </c>
      <c r="C787" s="138" t="s">
        <v>6090</v>
      </c>
      <c r="D787" s="141"/>
    </row>
    <row r="788" spans="2:4" ht="20.25" customHeight="1" x14ac:dyDescent="0.25">
      <c r="B788" s="108" t="s">
        <v>6091</v>
      </c>
      <c r="C788" s="132" t="s">
        <v>6092</v>
      </c>
      <c r="D788" s="141"/>
    </row>
    <row r="789" spans="2:4" ht="20.25" customHeight="1" x14ac:dyDescent="0.25">
      <c r="B789" s="108" t="s">
        <v>6093</v>
      </c>
      <c r="C789" s="132" t="s">
        <v>4803</v>
      </c>
      <c r="D789" s="152">
        <v>45040</v>
      </c>
    </row>
    <row r="790" spans="2:4" ht="20.25" customHeight="1" x14ac:dyDescent="0.25">
      <c r="B790" s="108" t="s">
        <v>6094</v>
      </c>
      <c r="C790" s="132" t="s">
        <v>6095</v>
      </c>
      <c r="D790" s="152">
        <v>45040</v>
      </c>
    </row>
    <row r="791" spans="2:4" ht="20.25" customHeight="1" x14ac:dyDescent="0.25">
      <c r="B791" s="108" t="s">
        <v>6096</v>
      </c>
      <c r="C791" s="138" t="s">
        <v>6097</v>
      </c>
      <c r="D791" s="141"/>
    </row>
    <row r="792" spans="2:4" ht="20.25" customHeight="1" x14ac:dyDescent="0.25">
      <c r="B792" s="108" t="s">
        <v>6098</v>
      </c>
      <c r="C792" s="138" t="s">
        <v>6097</v>
      </c>
      <c r="D792" s="141"/>
    </row>
    <row r="793" spans="2:4" ht="20.25" customHeight="1" x14ac:dyDescent="0.25">
      <c r="B793" s="108" t="s">
        <v>6099</v>
      </c>
      <c r="C793" s="132" t="s">
        <v>6100</v>
      </c>
      <c r="D793" s="152">
        <v>45040</v>
      </c>
    </row>
    <row r="794" spans="2:4" ht="20.25" customHeight="1" x14ac:dyDescent="0.25">
      <c r="B794" s="108" t="s">
        <v>6101</v>
      </c>
      <c r="C794" s="132" t="s">
        <v>6102</v>
      </c>
      <c r="D794" s="133">
        <v>44890</v>
      </c>
    </row>
    <row r="795" spans="2:4" ht="20.25" customHeight="1" x14ac:dyDescent="0.25">
      <c r="B795" s="108" t="s">
        <v>6103</v>
      </c>
      <c r="C795" s="132" t="s">
        <v>103</v>
      </c>
      <c r="D795" s="141"/>
    </row>
    <row r="796" spans="2:4" ht="20.25" customHeight="1" x14ac:dyDescent="0.25">
      <c r="B796" s="108" t="s">
        <v>6104</v>
      </c>
      <c r="C796" s="132" t="s">
        <v>103</v>
      </c>
      <c r="D796" s="152">
        <v>45040</v>
      </c>
    </row>
    <row r="797" spans="2:4" ht="20.25" customHeight="1" x14ac:dyDescent="0.25">
      <c r="B797" s="108" t="s">
        <v>6105</v>
      </c>
      <c r="C797" s="138" t="s">
        <v>6106</v>
      </c>
      <c r="D797" s="137"/>
    </row>
    <row r="798" spans="2:4" ht="20.25" customHeight="1" x14ac:dyDescent="0.25">
      <c r="B798" s="108" t="s">
        <v>6107</v>
      </c>
      <c r="C798" s="132" t="s">
        <v>6108</v>
      </c>
      <c r="D798" s="141"/>
    </row>
    <row r="799" spans="2:4" ht="20.25" customHeight="1" x14ac:dyDescent="0.25">
      <c r="B799" s="108" t="s">
        <v>6109</v>
      </c>
      <c r="C799" s="132" t="s">
        <v>6110</v>
      </c>
      <c r="D799" s="152">
        <v>45040</v>
      </c>
    </row>
    <row r="800" spans="2:4" ht="20.25" customHeight="1" x14ac:dyDescent="0.25">
      <c r="B800" s="108" t="s">
        <v>6111</v>
      </c>
      <c r="C800" s="138" t="s">
        <v>6112</v>
      </c>
      <c r="D800" s="141"/>
    </row>
    <row r="801" spans="2:4" ht="20.25" customHeight="1" x14ac:dyDescent="0.25">
      <c r="B801" s="108" t="s">
        <v>6113</v>
      </c>
      <c r="C801" s="138" t="s">
        <v>4805</v>
      </c>
      <c r="D801" s="141"/>
    </row>
    <row r="802" spans="2:4" ht="20.25" customHeight="1" x14ac:dyDescent="0.25">
      <c r="B802" s="108" t="s">
        <v>6114</v>
      </c>
      <c r="C802" s="138" t="s">
        <v>4809</v>
      </c>
      <c r="D802" s="152">
        <v>45040</v>
      </c>
    </row>
    <row r="803" spans="2:4" ht="20.25" customHeight="1" x14ac:dyDescent="0.25">
      <c r="B803" s="108" t="s">
        <v>4814</v>
      </c>
      <c r="C803" s="138" t="s">
        <v>6115</v>
      </c>
      <c r="D803" s="133">
        <v>44922</v>
      </c>
    </row>
    <row r="804" spans="2:4" ht="20.25" customHeight="1" x14ac:dyDescent="0.25">
      <c r="B804" s="108" t="s">
        <v>4818</v>
      </c>
      <c r="C804" s="138" t="s">
        <v>6116</v>
      </c>
      <c r="D804" s="141"/>
    </row>
    <row r="805" spans="2:4" ht="20.25" customHeight="1" x14ac:dyDescent="0.25">
      <c r="B805" s="108" t="s">
        <v>4822</v>
      </c>
      <c r="C805" s="138" t="s">
        <v>6117</v>
      </c>
      <c r="D805" s="141"/>
    </row>
    <row r="806" spans="2:4" ht="20.25" customHeight="1" x14ac:dyDescent="0.25">
      <c r="B806" s="108" t="s">
        <v>6118</v>
      </c>
      <c r="C806" s="138" t="s">
        <v>6119</v>
      </c>
      <c r="D806" s="131" t="s">
        <v>24</v>
      </c>
    </row>
    <row r="807" spans="2:4" ht="20.25" customHeight="1" x14ac:dyDescent="0.25">
      <c r="B807" s="108" t="s">
        <v>6120</v>
      </c>
      <c r="C807" s="138" t="s">
        <v>6121</v>
      </c>
      <c r="D807" s="133">
        <v>45056</v>
      </c>
    </row>
    <row r="808" spans="2:4" ht="20.25" customHeight="1" x14ac:dyDescent="0.25">
      <c r="B808" s="108" t="s">
        <v>4909</v>
      </c>
      <c r="C808" s="132" t="s">
        <v>3046</v>
      </c>
      <c r="D808" s="141"/>
    </row>
    <row r="809" spans="2:4" ht="20.25" customHeight="1" x14ac:dyDescent="0.25">
      <c r="B809" s="108" t="s">
        <v>4911</v>
      </c>
      <c r="C809" s="132" t="s">
        <v>6122</v>
      </c>
      <c r="D809" s="131" t="s">
        <v>24</v>
      </c>
    </row>
    <row r="810" spans="2:4" ht="20.25" customHeight="1" x14ac:dyDescent="0.25">
      <c r="B810" s="108" t="s">
        <v>6123</v>
      </c>
      <c r="C810" s="132" t="s">
        <v>6124</v>
      </c>
      <c r="D810" s="141" t="s">
        <v>24</v>
      </c>
    </row>
    <row r="811" spans="2:4" ht="20.25" customHeight="1" x14ac:dyDescent="0.25">
      <c r="B811" s="108" t="s">
        <v>6125</v>
      </c>
      <c r="C811" s="132" t="s">
        <v>6126</v>
      </c>
      <c r="D811" s="131" t="s">
        <v>24</v>
      </c>
    </row>
    <row r="812" spans="2:4" ht="20.25" customHeight="1" x14ac:dyDescent="0.25">
      <c r="B812" s="108" t="s">
        <v>6127</v>
      </c>
      <c r="C812" s="132" t="s">
        <v>6128</v>
      </c>
      <c r="D812" s="141"/>
    </row>
    <row r="813" spans="2:4" ht="20.25" customHeight="1" x14ac:dyDescent="0.25">
      <c r="B813" s="108" t="s">
        <v>6129</v>
      </c>
      <c r="C813" s="132" t="s">
        <v>6130</v>
      </c>
      <c r="D813" s="141"/>
    </row>
    <row r="814" spans="2:4" ht="20.25" customHeight="1" x14ac:dyDescent="0.25">
      <c r="B814" s="108" t="s">
        <v>6131</v>
      </c>
      <c r="C814" s="132" t="s">
        <v>6132</v>
      </c>
      <c r="D814" s="141"/>
    </row>
    <row r="815" spans="2:4" ht="20.25" customHeight="1" x14ac:dyDescent="0.25">
      <c r="B815" s="108" t="s">
        <v>6133</v>
      </c>
      <c r="C815" s="132" t="s">
        <v>6134</v>
      </c>
      <c r="D815" s="141"/>
    </row>
    <row r="816" spans="2:4" ht="20.25" customHeight="1" x14ac:dyDescent="0.25">
      <c r="B816" s="108" t="s">
        <v>6135</v>
      </c>
      <c r="C816" s="132" t="s">
        <v>6136</v>
      </c>
      <c r="D816" s="141"/>
    </row>
    <row r="817" spans="2:4" ht="20.25" customHeight="1" x14ac:dyDescent="0.25">
      <c r="B817" s="108" t="s">
        <v>6137</v>
      </c>
      <c r="C817" s="138" t="s">
        <v>6138</v>
      </c>
      <c r="D817" s="141"/>
    </row>
    <row r="818" spans="2:4" ht="20.25" customHeight="1" x14ac:dyDescent="0.25">
      <c r="B818" s="108" t="s">
        <v>6139</v>
      </c>
      <c r="C818" s="138" t="s">
        <v>6140</v>
      </c>
      <c r="D818" s="141"/>
    </row>
    <row r="819" spans="2:4" ht="20.25" customHeight="1" x14ac:dyDescent="0.25">
      <c r="B819" s="108" t="s">
        <v>6141</v>
      </c>
      <c r="C819" s="132" t="s">
        <v>6142</v>
      </c>
      <c r="D819" s="141"/>
    </row>
    <row r="820" spans="2:4" ht="20.25" customHeight="1" x14ac:dyDescent="0.25">
      <c r="B820" s="108" t="s">
        <v>6143</v>
      </c>
      <c r="C820" s="132" t="s">
        <v>6144</v>
      </c>
      <c r="D820" s="141"/>
    </row>
    <row r="821" spans="2:4" ht="20.25" customHeight="1" x14ac:dyDescent="0.25">
      <c r="B821" s="108" t="s">
        <v>6145</v>
      </c>
      <c r="C821" s="132" t="s">
        <v>6146</v>
      </c>
      <c r="D821" s="141"/>
    </row>
    <row r="822" spans="2:4" ht="20.25" customHeight="1" x14ac:dyDescent="0.25">
      <c r="B822" s="108" t="s">
        <v>6147</v>
      </c>
      <c r="C822" s="138" t="s">
        <v>103</v>
      </c>
      <c r="D822" s="131" t="s">
        <v>24</v>
      </c>
    </row>
    <row r="823" spans="2:4" ht="20.25" customHeight="1" x14ac:dyDescent="0.25">
      <c r="B823" s="108" t="s">
        <v>6148</v>
      </c>
      <c r="C823" s="138" t="s">
        <v>6149</v>
      </c>
      <c r="D823" s="131" t="s">
        <v>24</v>
      </c>
    </row>
    <row r="824" spans="2:4" ht="20.25" customHeight="1" x14ac:dyDescent="0.25">
      <c r="B824" s="108" t="s">
        <v>6150</v>
      </c>
      <c r="C824" s="132" t="s">
        <v>5511</v>
      </c>
      <c r="D824" s="131" t="s">
        <v>24</v>
      </c>
    </row>
    <row r="825" spans="2:4" ht="20.25" customHeight="1" x14ac:dyDescent="0.25">
      <c r="B825" s="108" t="s">
        <v>6151</v>
      </c>
      <c r="C825" s="132" t="s">
        <v>6152</v>
      </c>
      <c r="D825" s="142"/>
    </row>
    <row r="826" spans="2:4" ht="20.25" customHeight="1" x14ac:dyDescent="0.25">
      <c r="B826" s="108" t="s">
        <v>6153</v>
      </c>
      <c r="C826" s="132" t="s">
        <v>6154</v>
      </c>
      <c r="D826" s="141"/>
    </row>
    <row r="827" spans="2:4" ht="20.25" customHeight="1" x14ac:dyDescent="0.25">
      <c r="B827" s="108" t="s">
        <v>6155</v>
      </c>
      <c r="C827" s="132" t="s">
        <v>6156</v>
      </c>
      <c r="D827" s="141"/>
    </row>
    <row r="828" spans="2:4" ht="20.25" customHeight="1" x14ac:dyDescent="0.25">
      <c r="B828" s="108" t="s">
        <v>6157</v>
      </c>
      <c r="C828" s="138" t="s">
        <v>6158</v>
      </c>
      <c r="D828" s="141"/>
    </row>
    <row r="829" spans="2:4" ht="20.25" customHeight="1" x14ac:dyDescent="0.25">
      <c r="B829" s="108" t="s">
        <v>6159</v>
      </c>
      <c r="C829" s="132" t="s">
        <v>6160</v>
      </c>
      <c r="D829" s="141"/>
    </row>
    <row r="830" spans="2:4" ht="20.25" customHeight="1" x14ac:dyDescent="0.25">
      <c r="B830" s="109" t="s">
        <v>6161</v>
      </c>
      <c r="C830" s="132" t="s">
        <v>6162</v>
      </c>
      <c r="D830" s="141"/>
    </row>
    <row r="831" spans="2:4" ht="20.25" customHeight="1" x14ac:dyDescent="0.25">
      <c r="B831" s="109" t="s">
        <v>6163</v>
      </c>
      <c r="C831" s="132" t="s">
        <v>6164</v>
      </c>
      <c r="D831" s="141"/>
    </row>
    <row r="832" spans="2:4" ht="20.25" customHeight="1" x14ac:dyDescent="0.25">
      <c r="B832" s="108" t="s">
        <v>4797</v>
      </c>
      <c r="C832" s="166" t="s">
        <v>4812</v>
      </c>
      <c r="D832" s="141"/>
    </row>
    <row r="833" spans="2:4" ht="20.25" customHeight="1" x14ac:dyDescent="0.25">
      <c r="B833" s="109" t="s">
        <v>6165</v>
      </c>
      <c r="C833" s="138" t="s">
        <v>5511</v>
      </c>
      <c r="D833" s="141"/>
    </row>
    <row r="834" spans="2:4" ht="20.25" customHeight="1" x14ac:dyDescent="0.25">
      <c r="B834" s="109" t="s">
        <v>6166</v>
      </c>
      <c r="C834" s="132" t="s">
        <v>103</v>
      </c>
      <c r="D834" s="141"/>
    </row>
    <row r="835" spans="2:4" ht="20.25" customHeight="1" x14ac:dyDescent="0.25">
      <c r="B835" s="109" t="s">
        <v>6167</v>
      </c>
      <c r="C835" s="138" t="s">
        <v>103</v>
      </c>
      <c r="D835" s="141"/>
    </row>
    <row r="836" spans="2:4" ht="20.25" customHeight="1" x14ac:dyDescent="0.25">
      <c r="B836" s="109" t="s">
        <v>6168</v>
      </c>
      <c r="C836" s="132" t="s">
        <v>6169</v>
      </c>
      <c r="D836" s="141"/>
    </row>
    <row r="837" spans="2:4" ht="20.25" customHeight="1" x14ac:dyDescent="0.25">
      <c r="B837" s="109" t="s">
        <v>6170</v>
      </c>
      <c r="C837" s="138" t="s">
        <v>103</v>
      </c>
      <c r="D837" s="141"/>
    </row>
    <row r="838" spans="2:4" ht="20.25" customHeight="1" x14ac:dyDescent="0.25">
      <c r="B838" s="109" t="s">
        <v>6171</v>
      </c>
      <c r="C838" s="138" t="s">
        <v>103</v>
      </c>
      <c r="D838" s="141"/>
    </row>
    <row r="839" spans="2:4" ht="20.25" customHeight="1" x14ac:dyDescent="0.25">
      <c r="B839" s="109" t="s">
        <v>6172</v>
      </c>
      <c r="C839" s="132" t="s">
        <v>6173</v>
      </c>
      <c r="D839" s="141"/>
    </row>
    <row r="840" spans="2:4" ht="20.25" customHeight="1" x14ac:dyDescent="0.25">
      <c r="B840" s="109" t="s">
        <v>6174</v>
      </c>
      <c r="C840" s="132" t="s">
        <v>6175</v>
      </c>
      <c r="D840" s="141"/>
    </row>
    <row r="841" spans="2:4" ht="20.25" customHeight="1" x14ac:dyDescent="0.25">
      <c r="B841" s="109" t="s">
        <v>6176</v>
      </c>
      <c r="C841" s="132" t="s">
        <v>6177</v>
      </c>
      <c r="D841" s="141"/>
    </row>
    <row r="842" spans="2:4" ht="20.25" customHeight="1" x14ac:dyDescent="0.25">
      <c r="B842" s="109" t="s">
        <v>6178</v>
      </c>
      <c r="C842" s="138" t="s">
        <v>5511</v>
      </c>
      <c r="D842" s="141"/>
    </row>
    <row r="843" spans="2:4" ht="20.25" customHeight="1" x14ac:dyDescent="0.25">
      <c r="B843" s="109" t="s">
        <v>6179</v>
      </c>
      <c r="C843" s="132" t="s">
        <v>6180</v>
      </c>
      <c r="D843" s="141"/>
    </row>
    <row r="844" spans="2:4" ht="20.25" customHeight="1" x14ac:dyDescent="0.25">
      <c r="B844" s="109" t="s">
        <v>6181</v>
      </c>
      <c r="C844" s="132" t="s">
        <v>6182</v>
      </c>
      <c r="D844" s="141"/>
    </row>
    <row r="845" spans="2:4" ht="20.25" customHeight="1" x14ac:dyDescent="0.25">
      <c r="B845" s="109" t="s">
        <v>6183</v>
      </c>
      <c r="C845" s="138" t="s">
        <v>103</v>
      </c>
      <c r="D845" s="141"/>
    </row>
    <row r="846" spans="2:4" ht="20.25" customHeight="1" x14ac:dyDescent="0.25">
      <c r="B846" s="109" t="s">
        <v>6184</v>
      </c>
      <c r="C846" s="132" t="s">
        <v>6185</v>
      </c>
      <c r="D846" s="141"/>
    </row>
    <row r="847" spans="2:4" ht="20.25" customHeight="1" x14ac:dyDescent="0.25">
      <c r="B847" s="109" t="s">
        <v>6186</v>
      </c>
      <c r="C847" s="138" t="s">
        <v>5511</v>
      </c>
      <c r="D847" s="141"/>
    </row>
    <row r="848" spans="2:4" ht="20.25" customHeight="1" x14ac:dyDescent="0.25">
      <c r="B848" s="109" t="s">
        <v>6187</v>
      </c>
      <c r="C848" s="138" t="s">
        <v>103</v>
      </c>
      <c r="D848" s="141"/>
    </row>
    <row r="849" spans="2:4" ht="20.25" customHeight="1" x14ac:dyDescent="0.25">
      <c r="B849" s="109" t="s">
        <v>6188</v>
      </c>
      <c r="C849" s="132" t="s">
        <v>6189</v>
      </c>
      <c r="D849" s="141"/>
    </row>
    <row r="850" spans="2:4" ht="20.25" customHeight="1" x14ac:dyDescent="0.25">
      <c r="B850" s="109" t="s">
        <v>6190</v>
      </c>
      <c r="C850" s="132" t="s">
        <v>6191</v>
      </c>
      <c r="D850" s="141"/>
    </row>
    <row r="851" spans="2:4" ht="20.25" customHeight="1" x14ac:dyDescent="0.25">
      <c r="B851" s="109" t="s">
        <v>6192</v>
      </c>
      <c r="C851" s="138" t="s">
        <v>103</v>
      </c>
      <c r="D851" s="141"/>
    </row>
    <row r="852" spans="2:4" ht="20.25" customHeight="1" x14ac:dyDescent="0.25">
      <c r="B852" s="109" t="s">
        <v>6193</v>
      </c>
      <c r="C852" s="132" t="s">
        <v>6194</v>
      </c>
      <c r="D852" s="141"/>
    </row>
    <row r="853" spans="2:4" ht="20.25" customHeight="1" x14ac:dyDescent="0.25">
      <c r="B853" s="109" t="s">
        <v>6195</v>
      </c>
      <c r="C853" s="132" t="s">
        <v>6196</v>
      </c>
      <c r="D853" s="141"/>
    </row>
    <row r="854" spans="2:4" ht="20.25" customHeight="1" x14ac:dyDescent="0.25">
      <c r="B854" s="109" t="s">
        <v>6197</v>
      </c>
      <c r="C854" s="132" t="s">
        <v>6198</v>
      </c>
      <c r="D854" s="141"/>
    </row>
    <row r="855" spans="2:4" ht="20.25" customHeight="1" x14ac:dyDescent="0.25">
      <c r="B855" s="109" t="s">
        <v>6199</v>
      </c>
      <c r="C855" s="132" t="s">
        <v>6200</v>
      </c>
      <c r="D855" s="141"/>
    </row>
    <row r="856" spans="2:4" ht="20.25" customHeight="1" x14ac:dyDescent="0.25">
      <c r="B856" s="109" t="s">
        <v>6201</v>
      </c>
      <c r="C856" s="132" t="s">
        <v>6202</v>
      </c>
      <c r="D856" s="141"/>
    </row>
    <row r="857" spans="2:4" ht="20.25" customHeight="1" x14ac:dyDescent="0.25">
      <c r="B857" s="109" t="s">
        <v>6203</v>
      </c>
      <c r="C857" s="132" t="s">
        <v>6204</v>
      </c>
      <c r="D857" s="141"/>
    </row>
    <row r="858" spans="2:4" ht="20.25" customHeight="1" x14ac:dyDescent="0.25">
      <c r="B858" s="109" t="s">
        <v>6205</v>
      </c>
      <c r="C858" s="132" t="s">
        <v>6206</v>
      </c>
      <c r="D858" s="141"/>
    </row>
    <row r="859" spans="2:4" ht="20.25" customHeight="1" x14ac:dyDescent="0.25">
      <c r="B859" s="109" t="s">
        <v>6207</v>
      </c>
      <c r="C859" s="132" t="s">
        <v>6208</v>
      </c>
      <c r="D859" s="131" t="s">
        <v>24</v>
      </c>
    </row>
    <row r="860" spans="2:4" ht="20.25" customHeight="1" x14ac:dyDescent="0.25">
      <c r="B860" s="109" t="s">
        <v>6209</v>
      </c>
      <c r="C860" s="132" t="s">
        <v>5511</v>
      </c>
      <c r="D860" s="141"/>
    </row>
    <row r="861" spans="2:4" ht="20.25" customHeight="1" x14ac:dyDescent="0.25">
      <c r="B861" s="109" t="s">
        <v>4834</v>
      </c>
      <c r="C861" s="132" t="s">
        <v>6210</v>
      </c>
      <c r="D861" s="141"/>
    </row>
    <row r="862" spans="2:4" ht="20.25" customHeight="1" x14ac:dyDescent="0.25">
      <c r="B862" s="109" t="s">
        <v>4913</v>
      </c>
      <c r="C862" s="138" t="s">
        <v>6211</v>
      </c>
      <c r="D862" s="141"/>
    </row>
    <row r="863" spans="2:4" ht="20.25" customHeight="1" x14ac:dyDescent="0.25">
      <c r="B863" s="109" t="s">
        <v>6212</v>
      </c>
      <c r="C863" s="132" t="s">
        <v>6213</v>
      </c>
      <c r="D863" s="141"/>
    </row>
    <row r="864" spans="2:4" ht="20.25" customHeight="1" x14ac:dyDescent="0.25">
      <c r="B864" s="109" t="s">
        <v>6214</v>
      </c>
      <c r="C864" s="132" t="s">
        <v>6215</v>
      </c>
      <c r="D864" s="136">
        <v>45065</v>
      </c>
    </row>
    <row r="865" spans="2:4" ht="20.25" customHeight="1" x14ac:dyDescent="0.25">
      <c r="B865" s="109" t="s">
        <v>4839</v>
      </c>
      <c r="C865" s="132" t="s">
        <v>6215</v>
      </c>
      <c r="D865" s="131" t="s">
        <v>24</v>
      </c>
    </row>
    <row r="866" spans="2:4" ht="20.25" customHeight="1" x14ac:dyDescent="0.25">
      <c r="B866" s="109" t="s">
        <v>6216</v>
      </c>
      <c r="C866" s="138" t="s">
        <v>5511</v>
      </c>
      <c r="D866" s="136">
        <v>45148</v>
      </c>
    </row>
    <row r="867" spans="2:4" ht="20.25" customHeight="1" x14ac:dyDescent="0.25">
      <c r="B867" s="109" t="s">
        <v>6217</v>
      </c>
      <c r="C867" s="138" t="s">
        <v>5511</v>
      </c>
      <c r="D867" s="131" t="s">
        <v>24</v>
      </c>
    </row>
    <row r="868" spans="2:4" ht="20.25" customHeight="1" x14ac:dyDescent="0.25">
      <c r="B868" s="109" t="s">
        <v>4915</v>
      </c>
      <c r="C868" s="138" t="s">
        <v>6218</v>
      </c>
      <c r="D868" s="131" t="s">
        <v>24</v>
      </c>
    </row>
    <row r="869" spans="2:4" ht="20.25" customHeight="1" x14ac:dyDescent="0.25">
      <c r="B869" s="110"/>
      <c r="C869" s="132" t="s">
        <v>6219</v>
      </c>
      <c r="D869" s="141"/>
    </row>
    <row r="870" spans="2:4" ht="20.25" customHeight="1" x14ac:dyDescent="0.25">
      <c r="B870" s="110"/>
      <c r="C870" s="138" t="s">
        <v>6220</v>
      </c>
      <c r="D870" s="141"/>
    </row>
    <row r="871" spans="2:4" ht="20.25" customHeight="1" x14ac:dyDescent="0.25">
      <c r="B871" s="110"/>
      <c r="C871" s="132" t="s">
        <v>6221</v>
      </c>
      <c r="D871" s="141"/>
    </row>
    <row r="872" spans="2:4" ht="20.25" customHeight="1" x14ac:dyDescent="0.25">
      <c r="B872" s="110"/>
      <c r="C872" s="132" t="s">
        <v>6222</v>
      </c>
      <c r="D872" s="133">
        <v>44910</v>
      </c>
    </row>
    <row r="873" spans="2:4" ht="20.25" customHeight="1" x14ac:dyDescent="0.25">
      <c r="B873" s="110"/>
      <c r="C873" s="132" t="s">
        <v>6223</v>
      </c>
      <c r="D873" s="136">
        <v>45065</v>
      </c>
    </row>
    <row r="874" spans="2:4" ht="20.25" customHeight="1" x14ac:dyDescent="0.25">
      <c r="B874" s="110"/>
      <c r="C874" s="138" t="s">
        <v>6224</v>
      </c>
      <c r="D874" s="131" t="s">
        <v>24</v>
      </c>
    </row>
    <row r="875" spans="2:4" ht="20.25" customHeight="1" x14ac:dyDescent="0.25">
      <c r="B875" s="110"/>
      <c r="C875" s="138" t="s">
        <v>6224</v>
      </c>
      <c r="D875" s="131" t="s">
        <v>24</v>
      </c>
    </row>
    <row r="876" spans="2:4" ht="20.25" customHeight="1" x14ac:dyDescent="0.25">
      <c r="B876" s="110"/>
      <c r="C876" s="132" t="s">
        <v>6225</v>
      </c>
      <c r="D876" s="136">
        <v>45049</v>
      </c>
    </row>
    <row r="877" spans="2:4" ht="20.25" customHeight="1" x14ac:dyDescent="0.25">
      <c r="B877" s="110"/>
      <c r="C877" s="138" t="s">
        <v>6226</v>
      </c>
      <c r="D877" s="141"/>
    </row>
    <row r="878" spans="2:4" ht="20.25" customHeight="1" x14ac:dyDescent="0.25">
      <c r="B878" s="110"/>
      <c r="C878" s="132" t="s">
        <v>6227</v>
      </c>
      <c r="D878" s="131" t="s">
        <v>24</v>
      </c>
    </row>
    <row r="879" spans="2:4" ht="20.25" customHeight="1" x14ac:dyDescent="0.25">
      <c r="B879" s="110"/>
      <c r="C879" s="132" t="s">
        <v>6228</v>
      </c>
      <c r="D879" s="152">
        <v>45040</v>
      </c>
    </row>
    <row r="880" spans="2:4" ht="20.25" customHeight="1" x14ac:dyDescent="0.25">
      <c r="B880" s="110"/>
      <c r="C880" s="138" t="s">
        <v>6229</v>
      </c>
      <c r="D880" s="141"/>
    </row>
    <row r="881" spans="2:4" ht="20.25" customHeight="1" x14ac:dyDescent="0.25">
      <c r="B881" s="110"/>
      <c r="C881" s="138" t="s">
        <v>6230</v>
      </c>
      <c r="D881" s="141"/>
    </row>
    <row r="882" spans="2:4" ht="20.25" customHeight="1" x14ac:dyDescent="0.25">
      <c r="B882" s="110"/>
      <c r="C882" s="132" t="s">
        <v>6231</v>
      </c>
      <c r="D882" s="141"/>
    </row>
    <row r="883" spans="2:4" ht="20.25" customHeight="1" x14ac:dyDescent="0.25">
      <c r="B883" s="110"/>
      <c r="C883" s="132" t="s">
        <v>6232</v>
      </c>
      <c r="D883" s="141"/>
    </row>
    <row r="884" spans="2:4" ht="20.25" customHeight="1" x14ac:dyDescent="0.25">
      <c r="B884" s="110"/>
      <c r="C884" s="138" t="s">
        <v>6233</v>
      </c>
      <c r="D884" s="141"/>
    </row>
    <row r="885" spans="2:4" ht="20.25" customHeight="1" x14ac:dyDescent="0.25">
      <c r="B885" s="110"/>
      <c r="C885" s="132" t="s">
        <v>103</v>
      </c>
      <c r="D885" s="141"/>
    </row>
    <row r="886" spans="2:4" ht="20.25" customHeight="1" x14ac:dyDescent="0.25">
      <c r="B886" s="110"/>
      <c r="C886" s="138" t="s">
        <v>5511</v>
      </c>
      <c r="D886" s="141"/>
    </row>
    <row r="887" spans="2:4" ht="20.25" customHeight="1" x14ac:dyDescent="0.25">
      <c r="B887" s="110"/>
      <c r="C887" s="138" t="s">
        <v>5511</v>
      </c>
      <c r="D887" s="141"/>
    </row>
    <row r="888" spans="2:4" ht="20.25" customHeight="1" x14ac:dyDescent="0.25">
      <c r="B888" s="110"/>
      <c r="C888" s="138" t="s">
        <v>5511</v>
      </c>
      <c r="D888" s="141"/>
    </row>
    <row r="889" spans="2:4" ht="20.25" customHeight="1" x14ac:dyDescent="0.25">
      <c r="B889" s="110"/>
      <c r="C889" s="138" t="s">
        <v>6234</v>
      </c>
      <c r="D889" s="141"/>
    </row>
    <row r="890" spans="2:4" ht="20.25" customHeight="1" x14ac:dyDescent="0.25">
      <c r="B890" s="110"/>
      <c r="C890" s="144"/>
      <c r="D890" s="141"/>
    </row>
    <row r="891" spans="2:4" ht="20.25" customHeight="1" x14ac:dyDescent="0.25">
      <c r="B891" s="110"/>
      <c r="C891" s="138" t="s">
        <v>6235</v>
      </c>
      <c r="D891" s="141"/>
    </row>
    <row r="892" spans="2:4" ht="20.25" customHeight="1" x14ac:dyDescent="0.25">
      <c r="B892" s="110"/>
      <c r="C892" s="132" t="s">
        <v>5511</v>
      </c>
      <c r="D892" s="131" t="s">
        <v>24</v>
      </c>
    </row>
    <row r="893" spans="2:4" ht="20.25" customHeight="1" x14ac:dyDescent="0.25">
      <c r="B893" s="110"/>
      <c r="C893" s="132"/>
      <c r="D893" s="141"/>
    </row>
    <row r="894" spans="2:4" ht="20.25" customHeight="1" x14ac:dyDescent="0.25">
      <c r="B894" s="110"/>
      <c r="C894" s="132"/>
      <c r="D894" s="141"/>
    </row>
    <row r="895" spans="2:4" ht="20.25" customHeight="1" x14ac:dyDescent="0.25">
      <c r="B895" s="110"/>
      <c r="C895" s="132"/>
      <c r="D895" s="141"/>
    </row>
    <row r="896" spans="2:4" ht="20.25" customHeight="1" x14ac:dyDescent="0.25">
      <c r="B896" s="110"/>
      <c r="C896" s="132" t="s">
        <v>6236</v>
      </c>
      <c r="D896" s="141"/>
    </row>
    <row r="897" spans="2:4" ht="20.25" customHeight="1" x14ac:dyDescent="0.25">
      <c r="B897" s="110"/>
      <c r="C897" s="138" t="s">
        <v>103</v>
      </c>
      <c r="D897" s="141"/>
    </row>
    <row r="898" spans="2:4" ht="20.25" customHeight="1" x14ac:dyDescent="0.25">
      <c r="B898" s="110"/>
      <c r="C898" s="138" t="s">
        <v>103</v>
      </c>
      <c r="D898" s="141"/>
    </row>
    <row r="899" spans="2:4" ht="20.25" customHeight="1" x14ac:dyDescent="0.25">
      <c r="B899" s="110"/>
      <c r="C899" s="138" t="s">
        <v>6237</v>
      </c>
      <c r="D899" s="141"/>
    </row>
    <row r="900" spans="2:4" ht="20.25" customHeight="1" x14ac:dyDescent="0.25">
      <c r="B900" s="110"/>
      <c r="C900" s="138" t="s">
        <v>6238</v>
      </c>
      <c r="D900" s="141"/>
    </row>
    <row r="901" spans="2:4" ht="20.25" customHeight="1" x14ac:dyDescent="0.25">
      <c r="B901" s="110"/>
      <c r="C901" s="138" t="s">
        <v>6239</v>
      </c>
      <c r="D901" s="141"/>
    </row>
    <row r="902" spans="2:4" ht="20.25" customHeight="1" x14ac:dyDescent="0.25">
      <c r="B902" s="110"/>
      <c r="C902" s="132" t="s">
        <v>103</v>
      </c>
      <c r="D902" s="141"/>
    </row>
    <row r="903" spans="2:4" ht="20.25" customHeight="1" x14ac:dyDescent="0.25">
      <c r="B903" s="110"/>
      <c r="C903" s="138" t="s">
        <v>6240</v>
      </c>
      <c r="D903" s="141"/>
    </row>
    <row r="904" spans="2:4" ht="20.25" customHeight="1" x14ac:dyDescent="0.25">
      <c r="B904" s="110"/>
      <c r="C904" s="132" t="s">
        <v>6241</v>
      </c>
      <c r="D904" s="141"/>
    </row>
    <row r="905" spans="2:4" ht="20.25" customHeight="1" x14ac:dyDescent="0.25">
      <c r="B905" s="110"/>
      <c r="C905" s="138" t="s">
        <v>103</v>
      </c>
      <c r="D905" s="141"/>
    </row>
    <row r="906" spans="2:4" ht="20.25" customHeight="1" x14ac:dyDescent="0.25">
      <c r="B906" s="110"/>
      <c r="C906" s="138" t="s">
        <v>103</v>
      </c>
      <c r="D906" s="141"/>
    </row>
    <row r="907" spans="2:4" ht="20.25" customHeight="1" x14ac:dyDescent="0.25">
      <c r="B907" s="110"/>
      <c r="C907" s="132" t="s">
        <v>6242</v>
      </c>
      <c r="D907" s="141"/>
    </row>
    <row r="908" spans="2:4" ht="20.25" customHeight="1" x14ac:dyDescent="0.25">
      <c r="B908" s="110"/>
      <c r="C908" s="132" t="s">
        <v>5511</v>
      </c>
      <c r="D908" s="141"/>
    </row>
    <row r="909" spans="2:4" ht="20.25" customHeight="1" x14ac:dyDescent="0.25">
      <c r="B909" s="110"/>
      <c r="C909" s="132"/>
      <c r="D909" s="141"/>
    </row>
    <row r="910" spans="2:4" ht="20.25" customHeight="1" x14ac:dyDescent="0.25">
      <c r="B910" s="110"/>
      <c r="C910" s="132"/>
      <c r="D910" s="141"/>
    </row>
    <row r="911" spans="2:4" ht="20.25" customHeight="1" x14ac:dyDescent="0.25">
      <c r="B911" s="110"/>
      <c r="C911" s="132"/>
      <c r="D911" s="141"/>
    </row>
    <row r="912" spans="2:4" ht="20.25" customHeight="1" x14ac:dyDescent="0.25">
      <c r="B912" s="110"/>
      <c r="C912" s="132"/>
      <c r="D912" s="141"/>
    </row>
    <row r="913" spans="2:4" ht="20.25" customHeight="1" x14ac:dyDescent="0.25">
      <c r="B913" s="110"/>
      <c r="C913" s="132"/>
      <c r="D913" s="141"/>
    </row>
    <row r="914" spans="2:4" ht="20.25" customHeight="1" x14ac:dyDescent="0.25">
      <c r="B914" s="110"/>
      <c r="C914" s="132"/>
      <c r="D914" s="141"/>
    </row>
    <row r="915" spans="2:4" ht="20.25" customHeight="1" x14ac:dyDescent="0.25">
      <c r="B915" s="110"/>
      <c r="C915" s="132"/>
      <c r="D915" s="141"/>
    </row>
    <row r="916" spans="2:4" ht="20.25" customHeight="1" x14ac:dyDescent="0.25">
      <c r="B916" s="110"/>
      <c r="C916" s="132"/>
      <c r="D916" s="141"/>
    </row>
    <row r="917" spans="2:4" ht="20.25" customHeight="1" x14ac:dyDescent="0.25">
      <c r="B917" s="110"/>
      <c r="C917" s="138" t="s">
        <v>6243</v>
      </c>
      <c r="D917" s="141"/>
    </row>
    <row r="918" spans="2:4" ht="20.25" customHeight="1" x14ac:dyDescent="0.25">
      <c r="B918" s="110"/>
      <c r="C918" s="138" t="s">
        <v>6244</v>
      </c>
      <c r="D918" s="141"/>
    </row>
    <row r="919" spans="2:4" ht="20.25" customHeight="1" x14ac:dyDescent="0.25">
      <c r="B919" s="110"/>
      <c r="C919" s="138" t="s">
        <v>6245</v>
      </c>
      <c r="D919" s="141"/>
    </row>
    <row r="920" spans="2:4" ht="20.25" customHeight="1" x14ac:dyDescent="0.25">
      <c r="B920" s="110"/>
      <c r="C920" s="132" t="s">
        <v>5511</v>
      </c>
      <c r="D920" s="141"/>
    </row>
    <row r="921" spans="2:4" ht="20.25" customHeight="1" x14ac:dyDescent="0.25">
      <c r="B921" s="110"/>
      <c r="C921" s="138" t="s">
        <v>103</v>
      </c>
      <c r="D921" s="141"/>
    </row>
    <row r="922" spans="2:4" ht="20.25" customHeight="1" x14ac:dyDescent="0.25">
      <c r="B922" s="110"/>
      <c r="C922" s="138" t="s">
        <v>103</v>
      </c>
      <c r="D922" s="141"/>
    </row>
    <row r="923" spans="2:4" ht="20.25" customHeight="1" x14ac:dyDescent="0.25">
      <c r="B923" s="110"/>
      <c r="C923" s="138" t="s">
        <v>103</v>
      </c>
      <c r="D923" s="141"/>
    </row>
    <row r="924" spans="2:4" ht="20.25" customHeight="1" x14ac:dyDescent="0.25">
      <c r="B924" s="110"/>
      <c r="C924" s="132" t="s">
        <v>6246</v>
      </c>
      <c r="D924" s="141"/>
    </row>
    <row r="925" spans="2:4" ht="20.25" customHeight="1" x14ac:dyDescent="0.25">
      <c r="B925" s="110"/>
      <c r="C925" s="132" t="s">
        <v>6247</v>
      </c>
      <c r="D925" s="141"/>
    </row>
    <row r="926" spans="2:4" ht="20.25" customHeight="1" x14ac:dyDescent="0.25">
      <c r="B926" s="106"/>
      <c r="C926" s="132" t="s">
        <v>6248</v>
      </c>
      <c r="D926" s="141"/>
    </row>
    <row r="927" spans="2:4" ht="20.25" customHeight="1" x14ac:dyDescent="0.25">
      <c r="B927" s="106"/>
      <c r="C927" s="132" t="s">
        <v>6249</v>
      </c>
      <c r="D927" s="141"/>
    </row>
    <row r="928" spans="2:4" ht="20.25" customHeight="1" x14ac:dyDescent="0.25">
      <c r="B928" s="106"/>
      <c r="C928" s="132" t="s">
        <v>6250</v>
      </c>
      <c r="D928" s="141"/>
    </row>
    <row r="929" spans="2:4" ht="20.25" customHeight="1" x14ac:dyDescent="0.25">
      <c r="B929" s="106"/>
      <c r="C929" s="132" t="s">
        <v>6251</v>
      </c>
      <c r="D929" s="131" t="s">
        <v>24</v>
      </c>
    </row>
    <row r="930" spans="2:4" ht="20.25" customHeight="1" x14ac:dyDescent="0.25">
      <c r="B930" s="106"/>
      <c r="C930" s="138" t="s">
        <v>5511</v>
      </c>
      <c r="D930" s="131" t="s">
        <v>24</v>
      </c>
    </row>
    <row r="931" spans="2:4" ht="20.25" customHeight="1" x14ac:dyDescent="0.25">
      <c r="B931" s="106"/>
      <c r="C931" s="138" t="s">
        <v>5511</v>
      </c>
      <c r="D931" s="141"/>
    </row>
    <row r="932" spans="2:4" ht="20.25" customHeight="1" x14ac:dyDescent="0.25">
      <c r="B932" s="106"/>
      <c r="C932" s="138" t="s">
        <v>5511</v>
      </c>
      <c r="D932" s="141"/>
    </row>
    <row r="933" spans="2:4" ht="20.25" customHeight="1" x14ac:dyDescent="0.25">
      <c r="B933" s="106"/>
      <c r="C933" s="132" t="s">
        <v>6252</v>
      </c>
      <c r="D933" s="141"/>
    </row>
    <row r="934" spans="2:4" ht="20.25" customHeight="1" x14ac:dyDescent="0.25">
      <c r="B934" s="106"/>
      <c r="C934" s="132" t="s">
        <v>6253</v>
      </c>
      <c r="D934" s="141"/>
    </row>
    <row r="935" spans="2:4" ht="20.25" customHeight="1" x14ac:dyDescent="0.25">
      <c r="B935" s="106"/>
      <c r="C935" s="138" t="s">
        <v>5511</v>
      </c>
      <c r="D935" s="141"/>
    </row>
    <row r="936" spans="2:4" ht="20.25" customHeight="1" x14ac:dyDescent="0.25">
      <c r="B936" s="106"/>
      <c r="C936" s="138" t="s">
        <v>103</v>
      </c>
      <c r="D936" s="141"/>
    </row>
    <row r="937" spans="2:4" ht="20.25" customHeight="1" x14ac:dyDescent="0.25">
      <c r="B937" s="106"/>
      <c r="C937" s="138" t="s">
        <v>5511</v>
      </c>
      <c r="D937" s="141"/>
    </row>
    <row r="938" spans="2:4" ht="20.25" customHeight="1" x14ac:dyDescent="0.25">
      <c r="B938" s="106"/>
      <c r="C938" s="132" t="s">
        <v>103</v>
      </c>
      <c r="D938" s="141"/>
    </row>
    <row r="939" spans="2:4" ht="20.25" customHeight="1" x14ac:dyDescent="0.25">
      <c r="B939" s="106"/>
      <c r="C939" s="138" t="s">
        <v>6254</v>
      </c>
      <c r="D939" s="141"/>
    </row>
    <row r="940" spans="2:4" ht="20.25" customHeight="1" x14ac:dyDescent="0.25">
      <c r="B940" s="106"/>
      <c r="C940" s="165" t="s">
        <v>4815</v>
      </c>
      <c r="D940" s="141"/>
    </row>
    <row r="941" spans="2:4" ht="20.25" customHeight="1" x14ac:dyDescent="0.25">
      <c r="B941" s="106"/>
      <c r="C941" s="165" t="s">
        <v>4819</v>
      </c>
      <c r="D941" s="131" t="s">
        <v>24</v>
      </c>
    </row>
    <row r="942" spans="2:4" ht="20.25" customHeight="1" x14ac:dyDescent="0.25">
      <c r="B942" s="106"/>
      <c r="C942" s="138" t="s">
        <v>4823</v>
      </c>
      <c r="D942" s="131" t="s">
        <v>24</v>
      </c>
    </row>
    <row r="943" spans="2:4" ht="20.25" customHeight="1" x14ac:dyDescent="0.25">
      <c r="B943" s="106"/>
      <c r="C943" s="138" t="s">
        <v>6255</v>
      </c>
      <c r="D943" s="141"/>
    </row>
    <row r="944" spans="2:4" ht="20.25" customHeight="1" x14ac:dyDescent="0.25">
      <c r="B944" s="106"/>
      <c r="C944" s="138" t="s">
        <v>5511</v>
      </c>
      <c r="D944" s="141"/>
    </row>
    <row r="945" spans="2:4" ht="20.25" customHeight="1" x14ac:dyDescent="0.25">
      <c r="B945" s="106"/>
      <c r="C945" s="132" t="s">
        <v>6256</v>
      </c>
      <c r="D945" s="141"/>
    </row>
    <row r="946" spans="2:4" ht="20.25" customHeight="1" x14ac:dyDescent="0.25">
      <c r="B946" s="106"/>
      <c r="C946" s="132" t="s">
        <v>6257</v>
      </c>
      <c r="D946" s="141"/>
    </row>
    <row r="947" spans="2:4" ht="20.25" customHeight="1" x14ac:dyDescent="0.25">
      <c r="B947" s="106"/>
      <c r="C947" s="138" t="s">
        <v>6258</v>
      </c>
      <c r="D947" s="136">
        <v>45049</v>
      </c>
    </row>
    <row r="948" spans="2:4" ht="20.25" customHeight="1" x14ac:dyDescent="0.25">
      <c r="B948" s="106"/>
      <c r="C948" s="132" t="s">
        <v>6259</v>
      </c>
      <c r="D948" s="141"/>
    </row>
    <row r="949" spans="2:4" ht="20.25" customHeight="1" x14ac:dyDescent="0.25">
      <c r="B949" s="106"/>
      <c r="C949" s="132" t="s">
        <v>6260</v>
      </c>
      <c r="D949" s="141"/>
    </row>
    <row r="950" spans="2:4" ht="20.25" customHeight="1" x14ac:dyDescent="0.25">
      <c r="B950" s="106"/>
      <c r="C950" s="138" t="s">
        <v>5511</v>
      </c>
      <c r="D950" s="141"/>
    </row>
    <row r="951" spans="2:4" ht="20.25" customHeight="1" x14ac:dyDescent="0.25">
      <c r="B951" s="106"/>
      <c r="C951" s="132" t="s">
        <v>6261</v>
      </c>
      <c r="D951" s="141"/>
    </row>
    <row r="952" spans="2:4" ht="20.25" customHeight="1" x14ac:dyDescent="0.25">
      <c r="B952" s="106"/>
      <c r="C952" s="138" t="s">
        <v>103</v>
      </c>
      <c r="D952" s="141"/>
    </row>
    <row r="953" spans="2:4" ht="20.25" customHeight="1" x14ac:dyDescent="0.25">
      <c r="B953" s="106"/>
      <c r="C953" s="132" t="s">
        <v>6262</v>
      </c>
      <c r="D953" s="141"/>
    </row>
    <row r="954" spans="2:4" ht="20.25" customHeight="1" x14ac:dyDescent="0.25">
      <c r="B954" s="106"/>
      <c r="C954" s="132" t="s">
        <v>6263</v>
      </c>
      <c r="D954" s="141"/>
    </row>
    <row r="955" spans="2:4" ht="20.25" customHeight="1" x14ac:dyDescent="0.25">
      <c r="B955" s="106"/>
      <c r="C955" s="132" t="s">
        <v>6264</v>
      </c>
      <c r="D955" s="141"/>
    </row>
    <row r="956" spans="2:4" ht="20.25" customHeight="1" x14ac:dyDescent="0.25">
      <c r="B956" s="106"/>
      <c r="C956" s="138" t="s">
        <v>5511</v>
      </c>
      <c r="D956" s="141"/>
    </row>
    <row r="957" spans="2:4" ht="20.25" customHeight="1" x14ac:dyDescent="0.25">
      <c r="B957" s="106"/>
      <c r="C957" s="132" t="s">
        <v>5511</v>
      </c>
      <c r="D957" s="141"/>
    </row>
    <row r="958" spans="2:4" ht="20.25" customHeight="1" x14ac:dyDescent="0.25">
      <c r="B958" s="106"/>
      <c r="C958" s="132" t="s">
        <v>6265</v>
      </c>
      <c r="D958" s="141"/>
    </row>
    <row r="959" spans="2:4" ht="20.25" customHeight="1" x14ac:dyDescent="0.25">
      <c r="B959" s="106"/>
      <c r="C959" s="132" t="s">
        <v>5511</v>
      </c>
      <c r="D959" s="141"/>
    </row>
    <row r="960" spans="2:4" ht="20.25" customHeight="1" x14ac:dyDescent="0.25">
      <c r="B960" s="106"/>
      <c r="C960" s="132" t="s">
        <v>5511</v>
      </c>
      <c r="D960" s="141"/>
    </row>
    <row r="961" spans="2:4" ht="20.25" customHeight="1" x14ac:dyDescent="0.25">
      <c r="B961" s="106"/>
      <c r="C961" s="132" t="s">
        <v>5511</v>
      </c>
      <c r="D961" s="141"/>
    </row>
    <row r="962" spans="2:4" ht="20.25" customHeight="1" x14ac:dyDescent="0.25">
      <c r="B962" s="106"/>
      <c r="C962" s="132" t="s">
        <v>5511</v>
      </c>
      <c r="D962" s="141"/>
    </row>
    <row r="963" spans="2:4" ht="20.25" customHeight="1" x14ac:dyDescent="0.25">
      <c r="B963" s="106"/>
      <c r="C963" s="132" t="s">
        <v>5511</v>
      </c>
      <c r="D963" s="141"/>
    </row>
    <row r="964" spans="2:4" ht="20.25" customHeight="1" x14ac:dyDescent="0.25">
      <c r="B964" s="106"/>
      <c r="C964" s="132" t="s">
        <v>5511</v>
      </c>
      <c r="D964" s="141"/>
    </row>
    <row r="965" spans="2:4" ht="20.25" customHeight="1" x14ac:dyDescent="0.25">
      <c r="B965" s="106"/>
      <c r="C965" s="138" t="s">
        <v>6266</v>
      </c>
      <c r="D965" s="133">
        <v>44961</v>
      </c>
    </row>
    <row r="966" spans="2:4" ht="20.25" customHeight="1" x14ac:dyDescent="0.25">
      <c r="B966" s="106"/>
      <c r="C966" s="138" t="s">
        <v>6266</v>
      </c>
      <c r="D966" s="141"/>
    </row>
    <row r="967" spans="2:4" ht="20.25" customHeight="1" x14ac:dyDescent="0.25">
      <c r="C967" s="146" t="s">
        <v>6267</v>
      </c>
      <c r="D967" s="141"/>
    </row>
    <row r="968" spans="2:4" ht="20.25" customHeight="1" x14ac:dyDescent="0.25">
      <c r="C968" s="146" t="s">
        <v>6268</v>
      </c>
      <c r="D968" s="141"/>
    </row>
    <row r="969" spans="2:4" ht="20.25" customHeight="1" x14ac:dyDescent="0.25">
      <c r="C969" s="144" t="s">
        <v>6269</v>
      </c>
      <c r="D969" s="141"/>
    </row>
    <row r="970" spans="2:4" ht="20.25" customHeight="1" x14ac:dyDescent="0.25">
      <c r="C970" s="146" t="s">
        <v>6270</v>
      </c>
      <c r="D970" s="141"/>
    </row>
    <row r="971" spans="2:4" ht="20.25" customHeight="1" x14ac:dyDescent="0.25">
      <c r="C971" s="146" t="s">
        <v>6271</v>
      </c>
      <c r="D971" s="141"/>
    </row>
    <row r="972" spans="2:4" ht="20.25" customHeight="1" x14ac:dyDescent="0.25">
      <c r="C972" s="146" t="s">
        <v>6272</v>
      </c>
      <c r="D972" s="141"/>
    </row>
    <row r="973" spans="2:4" ht="20.25" customHeight="1" x14ac:dyDescent="0.25">
      <c r="C973" s="146" t="s">
        <v>6273</v>
      </c>
      <c r="D973" s="141"/>
    </row>
    <row r="974" spans="2:4" ht="20.25" customHeight="1" x14ac:dyDescent="0.25">
      <c r="C974" s="146" t="s">
        <v>6274</v>
      </c>
      <c r="D974" s="141"/>
    </row>
    <row r="975" spans="2:4" ht="20.25" customHeight="1" x14ac:dyDescent="0.25">
      <c r="C975" s="146" t="s">
        <v>6275</v>
      </c>
      <c r="D975" s="141"/>
    </row>
    <row r="976" spans="2:4" ht="20.25" customHeight="1" x14ac:dyDescent="0.25">
      <c r="C976" s="146" t="s">
        <v>6276</v>
      </c>
      <c r="D976" s="141"/>
    </row>
    <row r="977" spans="3:4" ht="20.25" customHeight="1" x14ac:dyDescent="0.25">
      <c r="C977" s="146" t="s">
        <v>103</v>
      </c>
      <c r="D977" s="141"/>
    </row>
    <row r="978" spans="3:4" ht="20.25" customHeight="1" x14ac:dyDescent="0.25">
      <c r="C978" s="146" t="s">
        <v>6277</v>
      </c>
      <c r="D978" s="141"/>
    </row>
    <row r="979" spans="3:4" ht="20.25" customHeight="1" x14ac:dyDescent="0.25">
      <c r="C979" s="146" t="s">
        <v>6278</v>
      </c>
      <c r="D979" s="141"/>
    </row>
    <row r="980" spans="3:4" ht="20.25" customHeight="1" x14ac:dyDescent="0.25">
      <c r="C980" s="146" t="s">
        <v>6279</v>
      </c>
      <c r="D980" s="141"/>
    </row>
    <row r="981" spans="3:4" ht="20.25" customHeight="1" x14ac:dyDescent="0.25">
      <c r="C981" s="146" t="s">
        <v>6280</v>
      </c>
      <c r="D981" s="141"/>
    </row>
    <row r="982" spans="3:4" ht="20.25" customHeight="1" x14ac:dyDescent="0.25">
      <c r="C982" s="146" t="s">
        <v>6281</v>
      </c>
      <c r="D982" s="141"/>
    </row>
    <row r="983" spans="3:4" ht="20.25" customHeight="1" x14ac:dyDescent="0.25">
      <c r="C983" s="146" t="s">
        <v>6282</v>
      </c>
      <c r="D983" s="141"/>
    </row>
    <row r="984" spans="3:4" ht="20.25" customHeight="1" x14ac:dyDescent="0.25">
      <c r="C984" s="146" t="s">
        <v>6283</v>
      </c>
      <c r="D984" s="141"/>
    </row>
    <row r="985" spans="3:4" ht="20.25" customHeight="1" x14ac:dyDescent="0.25">
      <c r="C985" s="146" t="s">
        <v>6284</v>
      </c>
      <c r="D985" s="141"/>
    </row>
    <row r="986" spans="3:4" ht="20.25" customHeight="1" x14ac:dyDescent="0.25">
      <c r="C986" s="146" t="s">
        <v>6285</v>
      </c>
      <c r="D986" s="141"/>
    </row>
    <row r="987" spans="3:4" ht="20.25" customHeight="1" x14ac:dyDescent="0.25">
      <c r="C987" s="146" t="s">
        <v>6286</v>
      </c>
      <c r="D987" s="141"/>
    </row>
    <row r="988" spans="3:4" ht="20.25" customHeight="1" x14ac:dyDescent="0.25">
      <c r="C988" s="146" t="s">
        <v>6263</v>
      </c>
      <c r="D988" s="141"/>
    </row>
    <row r="989" spans="3:4" ht="20.25" customHeight="1" x14ac:dyDescent="0.25">
      <c r="C989" s="146" t="s">
        <v>6266</v>
      </c>
      <c r="D989" s="141"/>
    </row>
    <row r="990" spans="3:4" ht="20.25" customHeight="1" x14ac:dyDescent="0.25">
      <c r="C990" s="146" t="s">
        <v>6266</v>
      </c>
      <c r="D990" s="141"/>
    </row>
    <row r="991" spans="3:4" ht="20.25" customHeight="1" x14ac:dyDescent="0.25">
      <c r="C991" s="146" t="s">
        <v>6287</v>
      </c>
      <c r="D991" s="141"/>
    </row>
    <row r="992" spans="3:4" ht="20.25" customHeight="1" x14ac:dyDescent="0.25">
      <c r="C992" s="146" t="s">
        <v>6287</v>
      </c>
      <c r="D992" s="141"/>
    </row>
    <row r="993" spans="3:4" ht="20.25" customHeight="1" x14ac:dyDescent="0.25">
      <c r="C993" s="146" t="s">
        <v>6288</v>
      </c>
      <c r="D993" s="133">
        <v>44961</v>
      </c>
    </row>
    <row r="994" spans="3:4" ht="20.25" customHeight="1" x14ac:dyDescent="0.25">
      <c r="C994" s="146" t="s">
        <v>6289</v>
      </c>
      <c r="D994" s="136">
        <v>45105</v>
      </c>
    </row>
    <row r="995" spans="3:4" ht="20.25" customHeight="1" x14ac:dyDescent="0.25">
      <c r="C995" s="146" t="s">
        <v>6290</v>
      </c>
      <c r="D995" s="136">
        <v>45105</v>
      </c>
    </row>
    <row r="996" spans="3:4" ht="20.25" customHeight="1" x14ac:dyDescent="0.25">
      <c r="C996" s="146" t="s">
        <v>6291</v>
      </c>
      <c r="D996" s="141"/>
    </row>
    <row r="997" spans="3:4" ht="20.25" customHeight="1" x14ac:dyDescent="0.25">
      <c r="C997" s="145" t="s">
        <v>6292</v>
      </c>
      <c r="D997" s="131" t="s">
        <v>24</v>
      </c>
    </row>
    <row r="998" spans="3:4" ht="20.25" customHeight="1" x14ac:dyDescent="0.25">
      <c r="C998" s="146" t="s">
        <v>6293</v>
      </c>
      <c r="D998" s="133">
        <v>44961</v>
      </c>
    </row>
    <row r="999" spans="3:4" ht="20.25" customHeight="1" x14ac:dyDescent="0.25">
      <c r="C999" s="146" t="s">
        <v>6294</v>
      </c>
      <c r="D999" s="141"/>
    </row>
    <row r="1000" spans="3:4" ht="20.25" customHeight="1" x14ac:dyDescent="0.25">
      <c r="C1000" s="145" t="s">
        <v>6295</v>
      </c>
      <c r="D1000" s="131" t="s">
        <v>24</v>
      </c>
    </row>
    <row r="1001" spans="3:4" ht="20.25" customHeight="1" x14ac:dyDescent="0.25">
      <c r="C1001" s="145" t="s">
        <v>6296</v>
      </c>
      <c r="D1001" s="141"/>
    </row>
    <row r="1002" spans="3:4" ht="20.25" customHeight="1" x14ac:dyDescent="0.25">
      <c r="C1002" s="146" t="s">
        <v>6297</v>
      </c>
      <c r="D1002" s="158"/>
    </row>
    <row r="1003" spans="3:4" ht="20.25" customHeight="1" x14ac:dyDescent="0.25">
      <c r="C1003" s="146" t="s">
        <v>6298</v>
      </c>
      <c r="D1003" s="141"/>
    </row>
    <row r="1004" spans="3:4" ht="20.25" customHeight="1" x14ac:dyDescent="0.25">
      <c r="C1004" s="146" t="s">
        <v>6299</v>
      </c>
      <c r="D1004" s="141"/>
    </row>
    <row r="1005" spans="3:4" ht="20.25" customHeight="1" x14ac:dyDescent="0.25">
      <c r="C1005" s="144"/>
    </row>
    <row r="1006" spans="3:4" ht="20.25" customHeight="1" x14ac:dyDescent="0.25">
      <c r="C1006" s="151"/>
    </row>
    <row r="1007" spans="3:4" ht="20.25" customHeight="1" x14ac:dyDescent="0.25">
      <c r="C1007" s="144"/>
    </row>
    <row r="1008" spans="3:4" ht="20.25" customHeight="1" x14ac:dyDescent="0.25">
      <c r="C1008" s="144"/>
    </row>
    <row r="1009" spans="3:3" ht="20.25" customHeight="1" x14ac:dyDescent="0.25">
      <c r="C1009" s="144"/>
    </row>
    <row r="1010" spans="3:3" ht="20.25" customHeight="1" x14ac:dyDescent="0.25">
      <c r="C1010" s="144"/>
    </row>
    <row r="1011" spans="3:3" ht="20.25" customHeight="1" x14ac:dyDescent="0.25">
      <c r="C1011" s="144"/>
    </row>
    <row r="1012" spans="3:3" ht="20.25" customHeight="1" x14ac:dyDescent="0.25">
      <c r="C1012" s="144"/>
    </row>
    <row r="1013" spans="3:3" ht="20.25" customHeight="1" x14ac:dyDescent="0.25">
      <c r="C1013" s="144"/>
    </row>
  </sheetData>
  <conditionalFormatting sqref="B5">
    <cfRule type="duplicateValues" dxfId="62" priority="1"/>
  </conditionalFormatting>
  <conditionalFormatting sqref="B6">
    <cfRule type="duplicateValues" dxfId="61" priority="3"/>
  </conditionalFormatting>
  <conditionalFormatting sqref="B7">
    <cfRule type="duplicateValues" dxfId="60" priority="5"/>
  </conditionalFormatting>
  <conditionalFormatting sqref="B8">
    <cfRule type="duplicateValues" dxfId="59" priority="23"/>
  </conditionalFormatting>
  <conditionalFormatting sqref="B9:B12">
    <cfRule type="duplicateValues" dxfId="58" priority="70"/>
  </conditionalFormatting>
  <conditionalFormatting sqref="B13:B14">
    <cfRule type="duplicateValues" dxfId="57" priority="94"/>
    <cfRule type="duplicateValues" dxfId="56" priority="95"/>
  </conditionalFormatting>
  <conditionalFormatting sqref="B27:B35">
    <cfRule type="duplicateValues" dxfId="55" priority="222"/>
  </conditionalFormatting>
  <conditionalFormatting sqref="B36:B47">
    <cfRule type="duplicateValues" dxfId="54" priority="230"/>
  </conditionalFormatting>
  <conditionalFormatting sqref="C8">
    <cfRule type="duplicateValues" dxfId="53" priority="18"/>
  </conditionalFormatting>
  <conditionalFormatting sqref="C9">
    <cfRule type="duplicateValues" dxfId="52" priority="31"/>
  </conditionalFormatting>
  <conditionalFormatting sqref="C10">
    <cfRule type="duplicateValues" dxfId="51" priority="30"/>
  </conditionalFormatting>
  <conditionalFormatting sqref="C11:C12">
    <cfRule type="duplicateValues" dxfId="50" priority="28"/>
    <cfRule type="duplicateValues" dxfId="49" priority="29"/>
  </conditionalFormatting>
  <conditionalFormatting sqref="C13">
    <cfRule type="duplicateValues" dxfId="48" priority="88"/>
  </conditionalFormatting>
  <conditionalFormatting sqref="C13:C14">
    <cfRule type="duplicateValues" dxfId="47" priority="92"/>
  </conditionalFormatting>
  <conditionalFormatting sqref="C14">
    <cfRule type="duplicateValues" dxfId="46" priority="87"/>
  </conditionalFormatting>
  <conditionalFormatting sqref="D9:D12">
    <cfRule type="cellIs" dxfId="45" priority="62" operator="between">
      <formula>36526</formula>
      <formula>402133</formula>
    </cfRule>
    <cfRule type="cellIs" dxfId="44" priority="69" operator="between">
      <formula>36526</formula>
      <formula>"31/12/3000"</formula>
    </cfRule>
  </conditionalFormatting>
  <conditionalFormatting sqref="D15:D21">
    <cfRule type="cellIs" dxfId="43" priority="216" operator="between">
      <formula>36526</formula>
      <formula>402133</formula>
    </cfRule>
    <cfRule type="cellIs" dxfId="42" priority="215" operator="between">
      <formula>36526</formula>
      <formula>"31/12/3000"</formula>
    </cfRule>
  </conditionalFormatting>
  <conditionalFormatting sqref="D27:D35">
    <cfRule type="cellIs" dxfId="41" priority="217" operator="between">
      <formula>36526</formula>
      <formula>47848</formula>
    </cfRule>
    <cfRule type="cellIs" dxfId="40" priority="218" operator="between">
      <formula>36526</formula>
      <formula>402133</formula>
    </cfRule>
    <cfRule type="cellIs" dxfId="39" priority="221" operator="between">
      <formula>36526</formula>
      <formula>"31/12/3000"</formula>
    </cfRule>
  </conditionalFormatting>
  <conditionalFormatting sqref="F3:F8">
    <cfRule type="duplicateValues" dxfId="38" priority="864"/>
  </conditionalFormatting>
  <conditionalFormatting sqref="F3:F60 H3:H57">
    <cfRule type="duplicateValues" dxfId="37" priority="866"/>
  </conditionalFormatting>
  <conditionalFormatting sqref="F5">
    <cfRule type="duplicateValues" dxfId="36" priority="256"/>
    <cfRule type="duplicateValues" dxfId="35" priority="257"/>
    <cfRule type="duplicateValues" dxfId="34" priority="258"/>
    <cfRule type="duplicateValues" dxfId="33" priority="259"/>
    <cfRule type="duplicateValues" dxfId="32" priority="260"/>
    <cfRule type="duplicateValues" dxfId="31" priority="261"/>
    <cfRule type="duplicateValues" dxfId="30" priority="262"/>
    <cfRule type="duplicateValues" dxfId="29" priority="263"/>
  </conditionalFormatting>
  <conditionalFormatting sqref="F6 F3:F4">
    <cfRule type="duplicateValues" dxfId="28" priority="849"/>
  </conditionalFormatting>
  <conditionalFormatting sqref="F6">
    <cfRule type="duplicateValues" dxfId="27" priority="851"/>
  </conditionalFormatting>
  <conditionalFormatting sqref="F6:F8 F3:F4">
    <cfRule type="duplicateValues" dxfId="26" priority="853"/>
    <cfRule type="duplicateValues" dxfId="25" priority="854"/>
    <cfRule type="duplicateValues" dxfId="24" priority="852"/>
  </conditionalFormatting>
  <conditionalFormatting sqref="F6:F8">
    <cfRule type="duplicateValues" dxfId="23" priority="858"/>
    <cfRule type="duplicateValues" dxfId="22" priority="859"/>
    <cfRule type="duplicateValues" dxfId="21" priority="861"/>
    <cfRule type="duplicateValues" dxfId="20" priority="862"/>
    <cfRule type="duplicateValues" dxfId="19" priority="863"/>
    <cfRule type="duplicateValues" dxfId="18" priority="860"/>
  </conditionalFormatting>
  <dataValidations count="1">
    <dataValidation allowBlank="1" showInputMessage="1" showErrorMessage="1" sqref="F4 B102:B133 D204:D226 D242:D246 D155:D158 D327 D296:D298 D263 D625:D626 D338:D340 D291:D294 D302 D656 D604 D504 D442:D444 D527 D653 D118:D153 D501 D499 D560:D564 D606 D608 D615 D660 D640 D555 D580:D584 D309 D999 D762 D571:D578 D741 D103:D113 D304:D306 D320:D323 D457:D461 D568:D569 D376:D377 D382:D386 D424 D276:D277 D724 D437:D439 D388 D115:D116 D463:D468 D621 D517 D557:D558 D487 D542:D548 D334 D266 D411:D414 D471:D477 D427 D966 D658 D722 D100:D101 D248 D430:D433 D749 D251:D260 D379:D380 D318 D163:D164 D274 D791 D692 D98 D800 D538:D539 D511 D493 D507 D774 D711 D797 D509 D808 D588 D280 D286:D289 D167:D181 D160:D161 D880 D311 D228:D240 D628:D631 D633:D635 D183:D202 D419:D420 D422 D343 D300 D332 A38:A101 D27 F8 A5:A26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058E-3CC7-4DF2-A292-7A3C86E564AB}">
  <dimension ref="D4:H32"/>
  <sheetViews>
    <sheetView workbookViewId="0">
      <selection activeCell="F11" sqref="F11"/>
    </sheetView>
  </sheetViews>
  <sheetFormatPr defaultRowHeight="12" x14ac:dyDescent="0.2"/>
  <cols>
    <col min="1" max="3" width="9.140625" style="206"/>
    <col min="4" max="4" width="21.28515625" style="206" bestFit="1" customWidth="1"/>
    <col min="5" max="5" width="9.5703125" style="206" bestFit="1" customWidth="1"/>
    <col min="6" max="6" width="34.42578125" style="206" bestFit="1" customWidth="1"/>
    <col min="7" max="7" width="12.85546875" style="206" bestFit="1" customWidth="1"/>
    <col min="8" max="8" width="30.140625" style="206" bestFit="1" customWidth="1"/>
    <col min="9" max="16384" width="9.140625" style="206"/>
  </cols>
  <sheetData>
    <row r="4" spans="4:8" s="207" customFormat="1" ht="30" customHeight="1" x14ac:dyDescent="0.2">
      <c r="D4" s="203" t="s">
        <v>39</v>
      </c>
      <c r="E4" s="204" t="s">
        <v>43</v>
      </c>
      <c r="F4" s="205" t="s">
        <v>65</v>
      </c>
      <c r="G4" s="205" t="s">
        <v>49</v>
      </c>
      <c r="H4" s="205" t="s">
        <v>77</v>
      </c>
    </row>
    <row r="5" spans="4:8" ht="30" customHeight="1" x14ac:dyDescent="0.2">
      <c r="D5" s="113" t="s">
        <v>6300</v>
      </c>
      <c r="E5" s="208" t="s">
        <v>6301</v>
      </c>
      <c r="F5" s="113" t="s">
        <v>6302</v>
      </c>
      <c r="G5" s="113" t="s">
        <v>6303</v>
      </c>
      <c r="H5" s="209" t="s">
        <v>6304</v>
      </c>
    </row>
    <row r="6" spans="4:8" ht="30" customHeight="1" x14ac:dyDescent="0.2">
      <c r="D6" s="113" t="s">
        <v>6300</v>
      </c>
      <c r="E6" s="208" t="s">
        <v>6305</v>
      </c>
      <c r="F6" s="113" t="s">
        <v>6306</v>
      </c>
      <c r="G6" s="113" t="s">
        <v>6307</v>
      </c>
      <c r="H6" s="113" t="s">
        <v>6308</v>
      </c>
    </row>
    <row r="7" spans="4:8" ht="30" customHeight="1" x14ac:dyDescent="0.2">
      <c r="D7" s="113" t="s">
        <v>6300</v>
      </c>
      <c r="E7" s="208" t="s">
        <v>6309</v>
      </c>
      <c r="F7" s="113" t="s">
        <v>6310</v>
      </c>
      <c r="G7" s="113" t="s">
        <v>6311</v>
      </c>
      <c r="H7" s="209" t="s">
        <v>6312</v>
      </c>
    </row>
    <row r="8" spans="4:8" ht="30" customHeight="1" x14ac:dyDescent="0.2">
      <c r="D8" s="113" t="s">
        <v>6300</v>
      </c>
      <c r="E8" s="208" t="s">
        <v>6313</v>
      </c>
      <c r="F8" s="115" t="s">
        <v>6314</v>
      </c>
      <c r="G8" s="113" t="s">
        <v>6315</v>
      </c>
      <c r="H8" s="209" t="s">
        <v>6316</v>
      </c>
    </row>
    <row r="9" spans="4:8" ht="30" customHeight="1" x14ac:dyDescent="0.2">
      <c r="D9" s="113" t="s">
        <v>6300</v>
      </c>
      <c r="E9" s="208" t="s">
        <v>6317</v>
      </c>
      <c r="F9" s="113" t="s">
        <v>6318</v>
      </c>
      <c r="G9" s="113" t="s">
        <v>6319</v>
      </c>
      <c r="H9" s="209" t="s">
        <v>6320</v>
      </c>
    </row>
    <row r="10" spans="4:8" ht="30" customHeight="1" x14ac:dyDescent="0.2">
      <c r="D10" s="113"/>
      <c r="E10" s="208"/>
      <c r="F10" s="113"/>
      <c r="G10" s="113"/>
      <c r="H10" s="209"/>
    </row>
    <row r="11" spans="4:8" ht="30" customHeight="1" x14ac:dyDescent="0.2">
      <c r="D11" s="114"/>
      <c r="E11" s="210"/>
      <c r="F11" s="114"/>
      <c r="G11" s="114"/>
      <c r="H11" s="211"/>
    </row>
    <row r="12" spans="4:8" ht="30" customHeight="1" x14ac:dyDescent="0.2">
      <c r="D12" s="113"/>
      <c r="E12" s="208"/>
      <c r="F12" s="113"/>
      <c r="G12" s="113"/>
      <c r="H12" s="209"/>
    </row>
    <row r="13" spans="4:8" ht="30" customHeight="1" x14ac:dyDescent="0.2">
      <c r="D13" s="113"/>
      <c r="E13" s="208"/>
      <c r="F13" s="113"/>
      <c r="G13" s="113"/>
      <c r="H13" s="209"/>
    </row>
    <row r="14" spans="4:8" ht="30" customHeight="1" x14ac:dyDescent="0.2">
      <c r="D14" s="113"/>
      <c r="E14" s="208"/>
      <c r="F14" s="113"/>
      <c r="G14" s="113"/>
      <c r="H14" s="209"/>
    </row>
    <row r="15" spans="4:8" ht="30" customHeight="1" x14ac:dyDescent="0.2">
      <c r="D15" s="113" t="s">
        <v>6300</v>
      </c>
      <c r="E15" s="208" t="s">
        <v>6321</v>
      </c>
      <c r="F15" s="113" t="s">
        <v>6322</v>
      </c>
      <c r="G15" s="113" t="s">
        <v>6323</v>
      </c>
      <c r="H15" s="113" t="s">
        <v>6324</v>
      </c>
    </row>
    <row r="16" spans="4:8" ht="30" customHeight="1" x14ac:dyDescent="0.2">
      <c r="D16" s="113" t="s">
        <v>6300</v>
      </c>
      <c r="E16" s="208" t="s">
        <v>6325</v>
      </c>
      <c r="F16" s="113" t="s">
        <v>6326</v>
      </c>
      <c r="G16" s="113" t="s">
        <v>6327</v>
      </c>
      <c r="H16" s="209" t="s">
        <v>6328</v>
      </c>
    </row>
    <row r="17" spans="4:8" ht="30" customHeight="1" x14ac:dyDescent="0.2">
      <c r="D17" s="113" t="s">
        <v>6300</v>
      </c>
      <c r="E17" s="208" t="s">
        <v>6329</v>
      </c>
      <c r="F17" s="113" t="s">
        <v>6330</v>
      </c>
      <c r="G17" s="113" t="s">
        <v>6331</v>
      </c>
      <c r="H17" s="113" t="s">
        <v>6332</v>
      </c>
    </row>
    <row r="18" spans="4:8" ht="30" customHeight="1" x14ac:dyDescent="0.2">
      <c r="D18" s="113" t="s">
        <v>6300</v>
      </c>
      <c r="E18" s="113" t="s">
        <v>6333</v>
      </c>
      <c r="F18" s="113" t="s">
        <v>6334</v>
      </c>
      <c r="G18" s="113" t="s">
        <v>6335</v>
      </c>
      <c r="H18" s="113" t="s">
        <v>6336</v>
      </c>
    </row>
    <row r="19" spans="4:8" ht="30" customHeight="1" x14ac:dyDescent="0.2"/>
    <row r="20" spans="4:8" ht="30" customHeight="1" x14ac:dyDescent="0.2"/>
    <row r="21" spans="4:8" ht="30" customHeight="1" x14ac:dyDescent="0.2"/>
    <row r="22" spans="4:8" ht="30" customHeight="1" x14ac:dyDescent="0.2"/>
    <row r="23" spans="4:8" ht="30" customHeight="1" x14ac:dyDescent="0.2"/>
    <row r="24" spans="4:8" ht="30" customHeight="1" x14ac:dyDescent="0.2"/>
    <row r="25" spans="4:8" ht="30" customHeight="1" x14ac:dyDescent="0.2"/>
    <row r="26" spans="4:8" ht="30" customHeight="1" x14ac:dyDescent="0.2"/>
    <row r="27" spans="4:8" ht="30" customHeight="1" x14ac:dyDescent="0.2"/>
    <row r="28" spans="4:8" ht="30" customHeight="1" x14ac:dyDescent="0.2"/>
    <row r="29" spans="4:8" ht="30" customHeight="1" x14ac:dyDescent="0.2"/>
    <row r="30" spans="4:8" ht="30" customHeight="1" x14ac:dyDescent="0.2"/>
    <row r="31" spans="4:8" ht="30" customHeight="1" x14ac:dyDescent="0.2"/>
    <row r="32" spans="4:8" ht="30" customHeight="1" x14ac:dyDescent="0.2"/>
  </sheetData>
  <conditionalFormatting sqref="E4 E10:E18">
    <cfRule type="duplicateValues" dxfId="17" priority="20"/>
  </conditionalFormatting>
  <conditionalFormatting sqref="E5:E9">
    <cfRule type="duplicateValues" dxfId="16" priority="9"/>
  </conditionalFormatting>
  <conditionalFormatting sqref="F4 F10:F16">
    <cfRule type="duplicateValues" dxfId="15" priority="18"/>
  </conditionalFormatting>
  <conditionalFormatting sqref="F5">
    <cfRule type="duplicateValues" dxfId="14" priority="6"/>
  </conditionalFormatting>
  <conditionalFormatting sqref="F6">
    <cfRule type="duplicateValues" dxfId="13" priority="5"/>
  </conditionalFormatting>
  <conditionalFormatting sqref="F7">
    <cfRule type="duplicateValues" dxfId="12" priority="4"/>
  </conditionalFormatting>
  <conditionalFormatting sqref="F8">
    <cfRule type="duplicateValues" dxfId="11" priority="1"/>
  </conditionalFormatting>
  <conditionalFormatting sqref="F9 F7">
    <cfRule type="duplicateValues" dxfId="10" priority="3"/>
  </conditionalFormatting>
  <conditionalFormatting sqref="F9">
    <cfRule type="duplicateValues" dxfId="9" priority="2"/>
  </conditionalFormatting>
  <conditionalFormatting sqref="F10:F14 F4">
    <cfRule type="duplicateValues" dxfId="8" priority="19"/>
  </conditionalFormatting>
  <conditionalFormatting sqref="F15">
    <cfRule type="duplicateValues" dxfId="7" priority="15"/>
  </conditionalFormatting>
  <conditionalFormatting sqref="F16">
    <cfRule type="duplicateValues" dxfId="6" priority="14"/>
  </conditionalFormatting>
  <conditionalFormatting sqref="F17">
    <cfRule type="duplicateValues" dxfId="5" priority="12"/>
  </conditionalFormatting>
  <conditionalFormatting sqref="F18">
    <cfRule type="duplicateValues" dxfId="4" priority="13"/>
  </conditionalFormatting>
  <conditionalFormatting sqref="H4 H10:H18">
    <cfRule type="duplicateValues" dxfId="3" priority="10"/>
    <cfRule type="duplicateValues" dxfId="2" priority="11"/>
  </conditionalFormatting>
  <conditionalFormatting sqref="H5:H9">
    <cfRule type="duplicateValues" dxfId="1" priority="7"/>
    <cfRule type="duplicateValues" dxfId="0" priority="8"/>
  </conditionalFormatting>
  <dataValidations count="1">
    <dataValidation allowBlank="1" showInputMessage="1" showErrorMessage="1" sqref="D5:D18" xr:uid="{11827F83-85CD-4A7B-8A85-F32E499658B5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10</vt:i4>
      </vt:variant>
    </vt:vector>
  </HeadingPairs>
  <TitlesOfParts>
    <vt:vector size="17" baseType="lpstr">
      <vt:lpstr>PRIORIDADES</vt:lpstr>
      <vt:lpstr>Quantitativo Fora da Demanda</vt:lpstr>
      <vt:lpstr>Listas (não utilizar)</vt:lpstr>
      <vt:lpstr>QUANT COND</vt:lpstr>
      <vt:lpstr>OFÍCIOS</vt:lpstr>
      <vt:lpstr>EMAIL</vt:lpstr>
      <vt:lpstr>Planilha2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2026-09-14T14:13:22Z</dcterms:modified>
  <cp:category/>
  <cp:contentStatus/>
</cp:coreProperties>
</file>