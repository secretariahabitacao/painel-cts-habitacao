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Jd. Vitória/Planilha de Controle/"/>
    </mc:Choice>
  </mc:AlternateContent>
  <xr:revisionPtr revIDLastSave="71945" documentId="8_{DAC6C9CA-70D7-4111-A0A7-BC6755E560D9}" xr6:coauthVersionLast="47" xr6:coauthVersionMax="47" xr10:uidLastSave="{245220C0-E249-4CA5-93D2-C42BE4274A3A}"/>
  <bookViews>
    <workbookView xWindow="28680" yWindow="-120" windowWidth="29040" windowHeight="15720" xr2:uid="{00000000-000D-0000-FFFF-FFFF00000000}"/>
  </bookViews>
  <sheets>
    <sheet name="PRIORIDADES" sheetId="20" r:id="rId1"/>
    <sheet name="EMAIL" sheetId="21" r:id="rId2"/>
    <sheet name="Listas (não utilizar)" sheetId="4" state="hidden" r:id="rId3"/>
    <sheet name="QUANT COND" sheetId="16" state="hidden" r:id="rId4"/>
    <sheet name="OFÍCIOS" sheetId="5" state="hidden" r:id="rId5"/>
    <sheet name="DEPLAN" sheetId="23" r:id="rId6"/>
    <sheet name="Quantitativo Fora da Demanda" sheetId="19" r:id="rId7"/>
    <sheet name="Planilha3" sheetId="24" r:id="rId8"/>
    <sheet name="Planilha4" sheetId="25" r:id="rId9"/>
    <sheet name="Planilha5" sheetId="26" r:id="rId10"/>
  </sheets>
  <externalReferences>
    <externalReference r:id="rId11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PRIORIDADES!$B$13:$BM$222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91" i="20" l="1"/>
  <c r="BD191" i="20"/>
  <c r="BC191" i="20"/>
  <c r="BE190" i="20"/>
  <c r="BD190" i="20"/>
  <c r="BC190" i="20"/>
  <c r="BE108" i="20"/>
  <c r="BD108" i="20"/>
  <c r="BC108" i="20"/>
  <c r="BE50" i="20"/>
  <c r="BD50" i="20"/>
  <c r="BC50" i="20"/>
  <c r="BE26" i="20"/>
  <c r="BD26" i="20"/>
  <c r="BC26" i="20"/>
  <c r="BE117" i="20"/>
  <c r="BD117" i="20"/>
  <c r="BC117" i="20"/>
  <c r="BE87" i="20"/>
  <c r="BD87" i="20"/>
  <c r="BC87" i="20"/>
  <c r="BE104" i="20"/>
  <c r="BD104" i="20"/>
  <c r="BC104" i="20"/>
  <c r="BE102" i="20"/>
  <c r="BD102" i="20"/>
  <c r="BC102" i="20"/>
  <c r="BE85" i="20"/>
  <c r="BD85" i="20"/>
  <c r="BC85" i="20"/>
  <c r="BE84" i="20"/>
  <c r="BD84" i="20"/>
  <c r="BC84" i="20"/>
  <c r="BE74" i="20"/>
  <c r="BD74" i="20"/>
  <c r="BC74" i="20"/>
  <c r="BE73" i="20"/>
  <c r="BD73" i="20"/>
  <c r="BC73" i="20"/>
  <c r="BE59" i="20"/>
  <c r="BD59" i="20"/>
  <c r="BC59" i="20"/>
  <c r="BE55" i="20"/>
  <c r="BD55" i="20"/>
  <c r="BC55" i="20"/>
  <c r="BE54" i="20"/>
  <c r="BD54" i="20"/>
  <c r="BC54" i="20"/>
  <c r="BE43" i="20"/>
  <c r="BD43" i="20"/>
  <c r="BC43" i="20"/>
  <c r="BE41" i="20"/>
  <c r="BD41" i="20"/>
  <c r="BC41" i="20"/>
  <c r="BE37" i="20"/>
  <c r="BD37" i="20"/>
  <c r="BC37" i="20"/>
  <c r="BE63" i="20"/>
  <c r="BD63" i="20"/>
  <c r="BC63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C38" i="20"/>
  <c r="BD38" i="20"/>
  <c r="BE38" i="20"/>
  <c r="BC39" i="20"/>
  <c r="BD39" i="20"/>
  <c r="BE39" i="20"/>
  <c r="BC40" i="20"/>
  <c r="BD40" i="20"/>
  <c r="BE40" i="20"/>
  <c r="BC42" i="20"/>
  <c r="BD42" i="20"/>
  <c r="BE42" i="20"/>
  <c r="BC44" i="20"/>
  <c r="BD44" i="20"/>
  <c r="BE44" i="20"/>
  <c r="BC45" i="20"/>
  <c r="BD45" i="20"/>
  <c r="BE45" i="20"/>
  <c r="BC46" i="20"/>
  <c r="BD46" i="20"/>
  <c r="BE46" i="20"/>
  <c r="BC16" i="20"/>
  <c r="BD16" i="20"/>
  <c r="BE16" i="20"/>
  <c r="BC48" i="20"/>
  <c r="BD48" i="20"/>
  <c r="BE48" i="20"/>
  <c r="BC49" i="20"/>
  <c r="BD49" i="20"/>
  <c r="BE49" i="20"/>
  <c r="BC51" i="20"/>
  <c r="BD51" i="20"/>
  <c r="BE51" i="20"/>
  <c r="BC52" i="20"/>
  <c r="BD52" i="20"/>
  <c r="BE52" i="20"/>
  <c r="BC53" i="20"/>
  <c r="BD53" i="20"/>
  <c r="BE53" i="20"/>
  <c r="BC56" i="20"/>
  <c r="BD56" i="20"/>
  <c r="BE56" i="20"/>
  <c r="BC57" i="20"/>
  <c r="BD57" i="20"/>
  <c r="BE57" i="20"/>
  <c r="BC58" i="20"/>
  <c r="BD58" i="20"/>
  <c r="BE58" i="20"/>
  <c r="BC60" i="20"/>
  <c r="BD60" i="20"/>
  <c r="BE60" i="20"/>
  <c r="BC61" i="20"/>
  <c r="BD61" i="20"/>
  <c r="BE61" i="20"/>
  <c r="BC62" i="20"/>
  <c r="BD62" i="20"/>
  <c r="BE62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5" i="20"/>
  <c r="BD75" i="20"/>
  <c r="BE75" i="20"/>
  <c r="BC76" i="20"/>
  <c r="BD76" i="20"/>
  <c r="BE76" i="20"/>
  <c r="BC77" i="20"/>
  <c r="BD77" i="20"/>
  <c r="BE77" i="20"/>
  <c r="BC83" i="20"/>
  <c r="BD83" i="20"/>
  <c r="BE83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78" i="20"/>
  <c r="BD78" i="20"/>
  <c r="BE78" i="20"/>
  <c r="BC86" i="20"/>
  <c r="BD86" i="20"/>
  <c r="BE86" i="20"/>
  <c r="BC115" i="20"/>
  <c r="BD115" i="20"/>
  <c r="BE115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3" i="20"/>
  <c r="BD103" i="20"/>
  <c r="BE103" i="20"/>
  <c r="BC105" i="20"/>
  <c r="BD105" i="20"/>
  <c r="BE105" i="20"/>
  <c r="BC106" i="20"/>
  <c r="BD106" i="20"/>
  <c r="BE106" i="20"/>
  <c r="BC107" i="20"/>
  <c r="BD107" i="20"/>
  <c r="BE107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88" i="20"/>
  <c r="BD88" i="20"/>
  <c r="BE88" i="20"/>
  <c r="BC116" i="20"/>
  <c r="BD116" i="20"/>
  <c r="BE116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29" i="20"/>
  <c r="BD129" i="20"/>
  <c r="BE129" i="20"/>
  <c r="BC130" i="20"/>
  <c r="BD130" i="20"/>
  <c r="BE130" i="20"/>
  <c r="BC131" i="20"/>
  <c r="BD131" i="20"/>
  <c r="BE131" i="20"/>
  <c r="BC132" i="20"/>
  <c r="BD132" i="20"/>
  <c r="BE132" i="20"/>
  <c r="BC133" i="20"/>
  <c r="BD133" i="20"/>
  <c r="BE133" i="20"/>
  <c r="BC134" i="20"/>
  <c r="BD134" i="20"/>
  <c r="BE134" i="20"/>
  <c r="BC135" i="20"/>
  <c r="BD135" i="20"/>
  <c r="BE135" i="20"/>
  <c r="BC136" i="20"/>
  <c r="BD136" i="20"/>
  <c r="BE136" i="20"/>
  <c r="BC137" i="20"/>
  <c r="BD137" i="20"/>
  <c r="BE137" i="20"/>
  <c r="BC138" i="20"/>
  <c r="BD138" i="20"/>
  <c r="BE138" i="20"/>
  <c r="BC139" i="20"/>
  <c r="BD139" i="20"/>
  <c r="BE139" i="20"/>
  <c r="BC140" i="20"/>
  <c r="BD140" i="20"/>
  <c r="BE140" i="20"/>
  <c r="BC141" i="20"/>
  <c r="BD141" i="20"/>
  <c r="BE141" i="20"/>
  <c r="BC142" i="20"/>
  <c r="BD142" i="20"/>
  <c r="BE142" i="20"/>
  <c r="BC143" i="20"/>
  <c r="BD143" i="20"/>
  <c r="BE143" i="20"/>
  <c r="BC144" i="20"/>
  <c r="BD144" i="20"/>
  <c r="BE144" i="20"/>
  <c r="BC145" i="20"/>
  <c r="BD145" i="20"/>
  <c r="BE145" i="20"/>
  <c r="BC146" i="20"/>
  <c r="BD146" i="20"/>
  <c r="BE146" i="20"/>
  <c r="BC147" i="20"/>
  <c r="BD147" i="20"/>
  <c r="BE147" i="20"/>
  <c r="BC148" i="20"/>
  <c r="BD148" i="20"/>
  <c r="BE148" i="20"/>
  <c r="BC149" i="20"/>
  <c r="BD149" i="20"/>
  <c r="BE149" i="20"/>
  <c r="BC150" i="20"/>
  <c r="BD150" i="20"/>
  <c r="BE150" i="20"/>
  <c r="BC151" i="20"/>
  <c r="BD151" i="20"/>
  <c r="BE151" i="20"/>
  <c r="BC152" i="20"/>
  <c r="BD152" i="20"/>
  <c r="BE152" i="20"/>
  <c r="BC153" i="20"/>
  <c r="BD153" i="20"/>
  <c r="BE153" i="20"/>
  <c r="BC154" i="20"/>
  <c r="BD154" i="20"/>
  <c r="BE154" i="20"/>
  <c r="BC155" i="20"/>
  <c r="BD155" i="20"/>
  <c r="BE155" i="20"/>
  <c r="BC156" i="20"/>
  <c r="BD156" i="20"/>
  <c r="BE156" i="20"/>
  <c r="BC157" i="20"/>
  <c r="BD157" i="20"/>
  <c r="BE157" i="20"/>
  <c r="BC158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2" i="20"/>
  <c r="BD162" i="20"/>
  <c r="BE162" i="20"/>
  <c r="BC163" i="20"/>
  <c r="BD163" i="20"/>
  <c r="BE163" i="20"/>
  <c r="BC164" i="20"/>
  <c r="BD164" i="20"/>
  <c r="BE164" i="20"/>
  <c r="BC165" i="20"/>
  <c r="BD165" i="20"/>
  <c r="BE165" i="20"/>
  <c r="BC166" i="20"/>
  <c r="BD166" i="20"/>
  <c r="BE166" i="20"/>
  <c r="BC167" i="20"/>
  <c r="BD167" i="20"/>
  <c r="BE167" i="20"/>
  <c r="BC168" i="20"/>
  <c r="BD168" i="20"/>
  <c r="BE168" i="20"/>
  <c r="BC169" i="20"/>
  <c r="BD169" i="20"/>
  <c r="BE169" i="20"/>
  <c r="BC170" i="20"/>
  <c r="BD170" i="20"/>
  <c r="BE170" i="20"/>
  <c r="BC171" i="20"/>
  <c r="BD171" i="20"/>
  <c r="BE171" i="20"/>
  <c r="BC172" i="20"/>
  <c r="BD172" i="20"/>
  <c r="BE172" i="20"/>
  <c r="BC173" i="20"/>
  <c r="BD173" i="20"/>
  <c r="BE173" i="20"/>
  <c r="BC174" i="20"/>
  <c r="BD174" i="20"/>
  <c r="BE174" i="20"/>
  <c r="BC175" i="20"/>
  <c r="BD175" i="20"/>
  <c r="BE175" i="20"/>
  <c r="BC176" i="20"/>
  <c r="BD176" i="20"/>
  <c r="BE176" i="20"/>
  <c r="BC177" i="20"/>
  <c r="BD177" i="20"/>
  <c r="BE177" i="20"/>
  <c r="BC178" i="20"/>
  <c r="BD178" i="20"/>
  <c r="BE178" i="20"/>
  <c r="BC179" i="20"/>
  <c r="BD179" i="20"/>
  <c r="BE179" i="20"/>
  <c r="BC180" i="20"/>
  <c r="BD180" i="20"/>
  <c r="BE180" i="20"/>
  <c r="BC181" i="20"/>
  <c r="BD181" i="20"/>
  <c r="BE181" i="20"/>
  <c r="BC182" i="20"/>
  <c r="BD182" i="20"/>
  <c r="BE182" i="20"/>
  <c r="BC183" i="20"/>
  <c r="BD183" i="20"/>
  <c r="BE183" i="20"/>
  <c r="BC184" i="20"/>
  <c r="BD184" i="20"/>
  <c r="BE184" i="20"/>
  <c r="BC185" i="20"/>
  <c r="BD185" i="20"/>
  <c r="BE185" i="20"/>
  <c r="BC186" i="20"/>
  <c r="BD186" i="20"/>
  <c r="BE186" i="20"/>
  <c r="BC187" i="20"/>
  <c r="BD187" i="20"/>
  <c r="BE187" i="20"/>
  <c r="BC188" i="20"/>
  <c r="BD188" i="20"/>
  <c r="BE188" i="20"/>
  <c r="BC189" i="20"/>
  <c r="BD189" i="20"/>
  <c r="BE189" i="20"/>
  <c r="BC47" i="20"/>
  <c r="BD47" i="20"/>
  <c r="BE47" i="20"/>
  <c r="BC192" i="20"/>
  <c r="BD192" i="20"/>
  <c r="BE192" i="20"/>
  <c r="BC193" i="20"/>
  <c r="BD193" i="20"/>
  <c r="BE193" i="20"/>
  <c r="BC194" i="20"/>
  <c r="BD194" i="20"/>
  <c r="BE194" i="20"/>
  <c r="BC195" i="20"/>
  <c r="BD195" i="20"/>
  <c r="BE195" i="20"/>
  <c r="BC196" i="20"/>
  <c r="BD196" i="20"/>
  <c r="BE196" i="20"/>
  <c r="BC197" i="20"/>
  <c r="BD197" i="20"/>
  <c r="BE197" i="20"/>
  <c r="BC198" i="20"/>
  <c r="BD198" i="20"/>
  <c r="BE198" i="20"/>
  <c r="BC199" i="20"/>
  <c r="BD199" i="20"/>
  <c r="BE199" i="20"/>
  <c r="BC200" i="20"/>
  <c r="BD200" i="20"/>
  <c r="BE200" i="20"/>
  <c r="BC201" i="20"/>
  <c r="BD201" i="20"/>
  <c r="BE201" i="20"/>
  <c r="BC202" i="20"/>
  <c r="BD202" i="20"/>
  <c r="BE202" i="20"/>
  <c r="BC203" i="20"/>
  <c r="BD203" i="20"/>
  <c r="BE203" i="20"/>
  <c r="BC204" i="20"/>
  <c r="BD204" i="20"/>
  <c r="BE204" i="20"/>
  <c r="BC205" i="20"/>
  <c r="BD205" i="20"/>
  <c r="BE205" i="20"/>
  <c r="BC206" i="20"/>
  <c r="BD206" i="20"/>
  <c r="BE206" i="20"/>
  <c r="BC207" i="20"/>
  <c r="BD207" i="20"/>
  <c r="BE207" i="20"/>
  <c r="BC208" i="20"/>
  <c r="BD208" i="20"/>
  <c r="BE208" i="20"/>
  <c r="BC209" i="20"/>
  <c r="BD209" i="20"/>
  <c r="BE209" i="20"/>
  <c r="BC210" i="20"/>
  <c r="BD210" i="20"/>
  <c r="BE210" i="20"/>
  <c r="BC211" i="20"/>
  <c r="BD211" i="20"/>
  <c r="BE211" i="20"/>
  <c r="BC212" i="20"/>
  <c r="BD212" i="20"/>
  <c r="BE212" i="20"/>
  <c r="BE14" i="20"/>
  <c r="BD14" i="20"/>
  <c r="BC14" i="20"/>
  <c r="AH59" i="20"/>
  <c r="AH190" i="20"/>
  <c r="BE23" i="20"/>
  <c r="BD23" i="20"/>
  <c r="BC23" i="20"/>
  <c r="AH118" i="20"/>
  <c r="AH58" i="20"/>
  <c r="AH117" i="20"/>
  <c r="AH115" i="20"/>
  <c r="AH78" i="20"/>
  <c r="AH52" i="20"/>
  <c r="AH116" i="20"/>
  <c r="AH181" i="20"/>
  <c r="AH182" i="20"/>
  <c r="AH36" i="20"/>
  <c r="BC22" i="20"/>
  <c r="BE22" i="20"/>
  <c r="BD22" i="20"/>
  <c r="AH187" i="20"/>
  <c r="AH113" i="20"/>
  <c r="AH15" i="20"/>
  <c r="AH133" i="20"/>
  <c r="AG170" i="20"/>
  <c r="AH132" i="20"/>
  <c r="AH169" i="20"/>
  <c r="AH165" i="20"/>
  <c r="AH162" i="20"/>
  <c r="AH158" i="20"/>
  <c r="BC20" i="20"/>
  <c r="BD20" i="20"/>
  <c r="BE20" i="20"/>
  <c r="BC21" i="20"/>
  <c r="BD21" i="20"/>
  <c r="BE21" i="20"/>
  <c r="BC24" i="20"/>
  <c r="BD24" i="20"/>
  <c r="BE24" i="20"/>
  <c r="BC25" i="20"/>
  <c r="BD25" i="20"/>
  <c r="BE25" i="20"/>
  <c r="BC213" i="20"/>
  <c r="BD213" i="20"/>
  <c r="BE213" i="20"/>
  <c r="BC214" i="20"/>
  <c r="BD214" i="20"/>
  <c r="BE214" i="20"/>
  <c r="BC215" i="20"/>
  <c r="BD215" i="20"/>
  <c r="BE215" i="20"/>
  <c r="BC216" i="20"/>
  <c r="BD216" i="20"/>
  <c r="BE216" i="20"/>
  <c r="BC217" i="20"/>
  <c r="BD217" i="20"/>
  <c r="BE217" i="20"/>
  <c r="BC218" i="20"/>
  <c r="BD218" i="20"/>
  <c r="BE218" i="20"/>
  <c r="BC219" i="20"/>
  <c r="BD219" i="20"/>
  <c r="BE219" i="20"/>
  <c r="BC220" i="20"/>
  <c r="BD220" i="20"/>
  <c r="BE220" i="20"/>
  <c r="BC221" i="20"/>
  <c r="BD221" i="20"/>
  <c r="BE221" i="20"/>
  <c r="BC222" i="20"/>
  <c r="BD222" i="20"/>
  <c r="BE222" i="20"/>
  <c r="BE19" i="20"/>
  <c r="BD19" i="20"/>
  <c r="BC19" i="20"/>
  <c r="BE18" i="20"/>
  <c r="BD18" i="20"/>
  <c r="BC18" i="20"/>
  <c r="BE17" i="20"/>
  <c r="BD17" i="20"/>
  <c r="BC17" i="20"/>
  <c r="BE15" i="20"/>
  <c r="BD15" i="20"/>
  <c r="BC15" i="20"/>
  <c r="F98" i="26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<sst xmlns="http://schemas.openxmlformats.org/spreadsheetml/2006/main" count="14866" uniqueCount="6253">
  <si>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</si>
  <si>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</si>
  <si>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</si>
  <si>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</si>
  <si>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</si>
  <si>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</si>
  <si>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</si>
  <si>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</si>
  <si>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</si>
  <si>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</si>
  <si>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</si>
  <si>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</si>
  <si>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</si>
  <si>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</si>
  <si>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</si>
  <si>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</si>
  <si>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</si>
  <si>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</si>
  <si>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</si>
  <si>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</si>
  <si>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</si>
  <si>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</si>
  <si>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</si>
  <si>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</si>
  <si>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</si>
  <si>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</si>
  <si>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</si>
  <si>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</si>
  <si>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</si>
  <si>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</si>
  <si>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</si>
  <si>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</si>
  <si>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</si>
  <si>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</si>
  <si>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</si>
  <si>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</si>
  <si>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</si>
  <si>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</si>
  <si>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</si>
  <si>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</si>
  <si>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</si>
  <si>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</si>
  <si>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</si>
  <si>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</si>
  <si>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</si>
  <si>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</si>
  <si>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</si>
  <si>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</si>
  <si>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</si>
  <si>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</si>
  <si>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</si>
  <si>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</si>
  <si>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</si>
  <si>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 xml:space="preserve">SOLICITAÇÃO AUXÍLIO ALUGUEL                                        ÁREA  </t>
  </si>
  <si>
    <t>No PROCESSO SEI                                                                      (AUXÍLIO ALUGUEL)</t>
  </si>
  <si>
    <t>ANÁLISE DTS       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</si>
  <si>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</si>
  <si>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</si>
  <si>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</si>
  <si>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</si>
  <si>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</si>
  <si>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</si>
  <si>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</si>
  <si>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</si>
  <si>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</si>
  <si>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</si>
  <si>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</si>
  <si>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</si>
  <si>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</si>
  <si>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</si>
  <si>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</si>
  <si>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</si>
  <si>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</si>
  <si>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</si>
  <si>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</si>
  <si>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</si>
  <si>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</si>
  <si>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</si>
  <si>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</si>
  <si>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</si>
  <si>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</si>
  <si>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</si>
  <si>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</si>
  <si>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</si>
  <si>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</si>
  <si>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</si>
  <si>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</si>
  <si>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</si>
  <si>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</si>
  <si>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</si>
  <si>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</si>
  <si>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</si>
  <si>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                                    BLOQUEIO AA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</si>
  <si>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</si>
  <si>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</si>
  <si>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</si>
  <si>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</si>
  <si>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</si>
  <si>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</si>
  <si>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JD. VITÓRIA</t>
  </si>
  <si>
    <t>FASE 1 - CÓRREGO</t>
  </si>
  <si>
    <t>--</t>
  </si>
  <si>
    <t>002/0001/A</t>
  </si>
  <si>
    <t>PROPRIETARIO NÃO RESIDENTE</t>
  </si>
  <si>
    <t>-</t>
  </si>
  <si>
    <t>6014.2024/0006500-4</t>
  </si>
  <si>
    <t>002/0002/A</t>
  </si>
  <si>
    <t>ELIAS FERREIRA DE SOUSA</t>
  </si>
  <si>
    <t>39.826.994-4</t>
  </si>
  <si>
    <t>530.102.098-60</t>
  </si>
  <si>
    <t>CONCLUÍDO</t>
  </si>
  <si>
    <t>NA</t>
  </si>
  <si>
    <t>FINALIZADO</t>
  </si>
  <si>
    <t>SEM PENDÊNCIA</t>
  </si>
  <si>
    <t>6014.2025/0004924-8</t>
  </si>
  <si>
    <t>LIBERADO DEMOLIÇÃO</t>
  </si>
  <si>
    <t>FASE 2 - RISCO E URBANIZAÇÃO</t>
  </si>
  <si>
    <t>007/0057/A</t>
  </si>
  <si>
    <t xml:space="preserve">CLAUDETE DOS SANTOS BONFIM </t>
  </si>
  <si>
    <t>38.849.113-9</t>
  </si>
  <si>
    <t>308.753.998-86</t>
  </si>
  <si>
    <t xml:space="preserve">SIM </t>
  </si>
  <si>
    <t>6014.2026/0004264-4</t>
  </si>
  <si>
    <t>AGUARDANDO ELABORAÇÃO</t>
  </si>
  <si>
    <t>002/0013/A</t>
  </si>
  <si>
    <t>ANDRESSA RAQUEL FERNANDES DA COSTA</t>
  </si>
  <si>
    <t>49.597.936-3</t>
  </si>
  <si>
    <t>398.166.698-46</t>
  </si>
  <si>
    <t>AUXILIO ALUGUEL UH</t>
  </si>
  <si>
    <t>03-abr-25</t>
  </si>
  <si>
    <t>6014.2024/0005020-1</t>
  </si>
  <si>
    <t>002/0025/A</t>
  </si>
  <si>
    <t xml:space="preserve">JOSÉ CARLOS LIMA DOS SANTOS </t>
  </si>
  <si>
    <t>002/0028/B</t>
  </si>
  <si>
    <t>MARIA IVANETE FERNANDES DE SOUZA</t>
  </si>
  <si>
    <t>27.928.247-3</t>
  </si>
  <si>
    <t>814.354.284-04</t>
  </si>
  <si>
    <t>002/0029/A</t>
  </si>
  <si>
    <t xml:space="preserve">SIMONE DE SOUSA RODRIGUES </t>
  </si>
  <si>
    <t>57.540.706-2</t>
  </si>
  <si>
    <t>352.449.708-01</t>
  </si>
  <si>
    <t>002/0039/B</t>
  </si>
  <si>
    <t>CRISTINA DA CONSOLAÇÃO ASSIS</t>
  </si>
  <si>
    <t>35.880.213-1</t>
  </si>
  <si>
    <t>225.601.888-14</t>
  </si>
  <si>
    <t>002/0052/B</t>
  </si>
  <si>
    <t xml:space="preserve">MARIANA SANTOS RAMOS DA SILVA MIRAVETE </t>
  </si>
  <si>
    <t>52.955.950-X</t>
  </si>
  <si>
    <t>457.182.918-37</t>
  </si>
  <si>
    <t>6014.2025/0004708-3</t>
  </si>
  <si>
    <t>002/0053/A</t>
  </si>
  <si>
    <t>GEOVANE SOUZA SANTOS</t>
  </si>
  <si>
    <t>37.985.888-5</t>
  </si>
  <si>
    <t>429.418.998-39</t>
  </si>
  <si>
    <t>6014.2025/0008040-4</t>
  </si>
  <si>
    <t>003/0001/A</t>
  </si>
  <si>
    <t>INSTITUCIONAL</t>
  </si>
  <si>
    <t>003/0013/A</t>
  </si>
  <si>
    <t>ANGELA NETTO</t>
  </si>
  <si>
    <t>312.549.168.14</t>
  </si>
  <si>
    <t>003/0014/A</t>
  </si>
  <si>
    <t>LAURINDA SILVA DO NASCIMENTO</t>
  </si>
  <si>
    <t>336.719.233-34</t>
  </si>
  <si>
    <t xml:space="preserve">INDENIZAÇÃO </t>
  </si>
  <si>
    <t>6014.2026/0004251-2</t>
  </si>
  <si>
    <t>003/0015/A</t>
  </si>
  <si>
    <t xml:space="preserve">ALEXANDRE NETTO </t>
  </si>
  <si>
    <t>003/0016/A</t>
  </si>
  <si>
    <t>ANA LÚCIA RODRIGUES CAVALCANTE</t>
  </si>
  <si>
    <t>003/0017/A</t>
  </si>
  <si>
    <t>VERA LUCIA DA SILVA ROCHA</t>
  </si>
  <si>
    <t>352.816.568.56</t>
  </si>
  <si>
    <t>03-ABR-25</t>
  </si>
  <si>
    <t>003/0018/A</t>
  </si>
  <si>
    <t>FRANCISCO EUGÊNIO</t>
  </si>
  <si>
    <t> </t>
  </si>
  <si>
    <t>003/0019/A</t>
  </si>
  <si>
    <t xml:space="preserve">STEFANIE FERNANDES ORTEGA </t>
  </si>
  <si>
    <t>003/0021/A</t>
  </si>
  <si>
    <t>OUTROS</t>
  </si>
  <si>
    <t>004/0001/A</t>
  </si>
  <si>
    <t>ADRIANA DIAS NARRERO</t>
  </si>
  <si>
    <t>130.085.138.40</t>
  </si>
  <si>
    <t>004/0008/A</t>
  </si>
  <si>
    <t xml:space="preserve">EMILIO DE ALMEIDA SANTOS </t>
  </si>
  <si>
    <t>25.164.457-1</t>
  </si>
  <si>
    <t>146.239.288-10</t>
  </si>
  <si>
    <t>6014.2026/0001191-9</t>
  </si>
  <si>
    <t>AGUARDANDO PUBLICAÇÃO DOC</t>
  </si>
  <si>
    <t>004/0010/A</t>
  </si>
  <si>
    <t xml:space="preserve">ARLETE ALMEIDA SANTOS </t>
  </si>
  <si>
    <t>44.022.838-4</t>
  </si>
  <si>
    <t>347.356.388-90</t>
  </si>
  <si>
    <t>6014.2025/0008120-6</t>
  </si>
  <si>
    <t>007/0041/A</t>
  </si>
  <si>
    <t>REINALDO MOREIRA SILVA</t>
  </si>
  <si>
    <t>23.098.114-32</t>
  </si>
  <si>
    <t>702.612.337-72</t>
  </si>
  <si>
    <t>6014.2025/0008179-6</t>
  </si>
  <si>
    <t>007/0047/A</t>
  </si>
  <si>
    <t xml:space="preserve">CRISTIANE BISPO DOS SANTOS </t>
  </si>
  <si>
    <t>34.628.281-0</t>
  </si>
  <si>
    <t>306.344.508-83</t>
  </si>
  <si>
    <t>6014.2026/0002500-6</t>
  </si>
  <si>
    <t>007/0048/A</t>
  </si>
  <si>
    <t xml:space="preserve">GABRIEL CRUZ DE OLIVEIRA </t>
  </si>
  <si>
    <t>007/0049/A</t>
  </si>
  <si>
    <t xml:space="preserve">SIMONE SOUSA GONÇALVES </t>
  </si>
  <si>
    <t>142.791.268.09</t>
  </si>
  <si>
    <t>007/0050/A</t>
  </si>
  <si>
    <t xml:space="preserve">FRANCISCA ROSEANE DA CONCEIÇÃO OLIVEIRA </t>
  </si>
  <si>
    <t>007/0051/A</t>
  </si>
  <si>
    <t>EDVANIA GOMES DA ROCHA</t>
  </si>
  <si>
    <t xml:space="preserve">47.302.049-x </t>
  </si>
  <si>
    <t>369.927.308-35</t>
  </si>
  <si>
    <t>6014.2026/0000666-4</t>
  </si>
  <si>
    <t>007/0052/A</t>
  </si>
  <si>
    <t xml:space="preserve">ADÃO FERNANDES GUIMARÃES </t>
  </si>
  <si>
    <t>55.256.402.3</t>
  </si>
  <si>
    <t>266.274.968-79</t>
  </si>
  <si>
    <t>6014.2025/0008191-5</t>
  </si>
  <si>
    <t>007/0053/A</t>
  </si>
  <si>
    <t xml:space="preserve">LEIDIANE DE CARVALHO RODRIGUES </t>
  </si>
  <si>
    <t>66.820.449-1</t>
  </si>
  <si>
    <t>038.409.453-80</t>
  </si>
  <si>
    <t>N</t>
  </si>
  <si>
    <t>6014.2026/0002516-2</t>
  </si>
  <si>
    <t>007/0054/A</t>
  </si>
  <si>
    <t>JOELMA MARQUES DE SOUZA</t>
  </si>
  <si>
    <t>44.652.253-3</t>
  </si>
  <si>
    <t>017.418.215-50</t>
  </si>
  <si>
    <t>CORREÇÃO DTS - VALOR TERMO INCORRETO</t>
  </si>
  <si>
    <t>6014.2025/0005013-0</t>
  </si>
  <si>
    <t>007/0055/A</t>
  </si>
  <si>
    <t>IVANILDA PEREIRA DE SOUZA</t>
  </si>
  <si>
    <t>48.110.940-7</t>
  </si>
  <si>
    <t>346.774.738-89</t>
  </si>
  <si>
    <t>CORREÇÃO DTS - NOME TERMO DIVERGENTE LAUDO AVALIAÇÃO</t>
  </si>
  <si>
    <t>6014.2025/0005014-9</t>
  </si>
  <si>
    <t>007/0056/A</t>
  </si>
  <si>
    <t xml:space="preserve">ROSANGELA DE SOUZA SANTOS </t>
  </si>
  <si>
    <t>44.300.223-X</t>
  </si>
  <si>
    <t>345.349.188-28</t>
  </si>
  <si>
    <t>6014.2025/0005037-8</t>
  </si>
  <si>
    <t>FASE 1 - RISCO EMERGENCIAL</t>
  </si>
  <si>
    <t>016/0026/B</t>
  </si>
  <si>
    <t xml:space="preserve">LUZINETE GUILHERME ALVES FERREIRA </t>
  </si>
  <si>
    <t xml:space="preserve">38.436.999-6 </t>
  </si>
  <si>
    <t>157.758.068-08</t>
  </si>
  <si>
    <t>6014.2026/0004253-9</t>
  </si>
  <si>
    <t>007/0058/A</t>
  </si>
  <si>
    <t xml:space="preserve">MARLENE DE JESUS SANTOS </t>
  </si>
  <si>
    <t>54.880.534-8</t>
  </si>
  <si>
    <t>194.769.528.22</t>
  </si>
  <si>
    <t>6014.2026/0004746-8</t>
  </si>
  <si>
    <t>LIBERADO INSTRUÇÃO</t>
  </si>
  <si>
    <t xml:space="preserve"> _</t>
  </si>
  <si>
    <t>_</t>
  </si>
  <si>
    <t>007/0059/A</t>
  </si>
  <si>
    <t xml:space="preserve">THAYNA ANTUNES DA SILVA </t>
  </si>
  <si>
    <t>43.570.294-4</t>
  </si>
  <si>
    <t>450.725.958-46</t>
  </si>
  <si>
    <t>6014.2025/0008195-8</t>
  </si>
  <si>
    <t>016/0026/A</t>
  </si>
  <si>
    <t xml:space="preserve">NAYARA APARECIDA ALVES VIANA </t>
  </si>
  <si>
    <t>62.145.033-9</t>
  </si>
  <si>
    <t>511.613.778-32</t>
  </si>
  <si>
    <t>6014.2026/0004254-7</t>
  </si>
  <si>
    <t>007/0061/A</t>
  </si>
  <si>
    <t>DIRLENE MARTINS SALES</t>
  </si>
  <si>
    <t>35.820.858-0</t>
  </si>
  <si>
    <t>288.012.218-00</t>
  </si>
  <si>
    <t>6014.2025/0005210-9</t>
  </si>
  <si>
    <t>009/0004/A</t>
  </si>
  <si>
    <t xml:space="preserve">ADAIL JOSÉ LIMA </t>
  </si>
  <si>
    <t>26.253.486-1</t>
  </si>
  <si>
    <t>166.050.258.65</t>
  </si>
  <si>
    <t>6014.2026/0000682-6</t>
  </si>
  <si>
    <t>009/0005/A</t>
  </si>
  <si>
    <t>ALINE CRISTINA MACIEL DE MOURA</t>
  </si>
  <si>
    <t>41.367.508-7</t>
  </si>
  <si>
    <t>320.309.628-56</t>
  </si>
  <si>
    <t>6014.2025/0005216-8</t>
  </si>
  <si>
    <t>009/0006/A</t>
  </si>
  <si>
    <t xml:space="preserve">LORRANY FARIA DE CARVALHO </t>
  </si>
  <si>
    <t xml:space="preserve">64.690.013-4 </t>
  </si>
  <si>
    <t>241.315.908-83</t>
  </si>
  <si>
    <t>6014.2026/0002257-0</t>
  </si>
  <si>
    <t>009/0007/A</t>
  </si>
  <si>
    <t>VIVIAN FARIA DE SOUZA</t>
  </si>
  <si>
    <t>56.074.125-X</t>
  </si>
  <si>
    <t>118.515.867-76</t>
  </si>
  <si>
    <t>6014.2026/0000684-2</t>
  </si>
  <si>
    <t>009/0008/A</t>
  </si>
  <si>
    <t xml:space="preserve">REMBERTO NAVARRO TORRICO </t>
  </si>
  <si>
    <t>Rne 252336bdirexex</t>
  </si>
  <si>
    <t>009/0008/B</t>
  </si>
  <si>
    <t>Y252336bdirexex</t>
  </si>
  <si>
    <t>.84</t>
  </si>
  <si>
    <t>009/0009/A</t>
  </si>
  <si>
    <t xml:space="preserve">JANDIRA MARIA DE SOUZA </t>
  </si>
  <si>
    <t>39.580.531-4</t>
  </si>
  <si>
    <t>063.538.568-65</t>
  </si>
  <si>
    <t>6014.2026/0000714-8</t>
  </si>
  <si>
    <t>009/0009/B</t>
  </si>
  <si>
    <t xml:space="preserve">MANOEL JOSÉ DOS SANTOS </t>
  </si>
  <si>
    <t>19.634.050-0</t>
  </si>
  <si>
    <t>840.401.575-91</t>
  </si>
  <si>
    <t>6014.2026/0000742-3</t>
  </si>
  <si>
    <t>009/0012/A</t>
  </si>
  <si>
    <t>JACKSON NASCIMENTO DOS SANTOS</t>
  </si>
  <si>
    <t>54.789.705-5</t>
  </si>
  <si>
    <t>433.472.938-00</t>
  </si>
  <si>
    <t>6014.2025/0006392-5</t>
  </si>
  <si>
    <t>009/0012/B</t>
  </si>
  <si>
    <t>ELIANE MARIA NASCIMENTO DOS SANTOS</t>
  </si>
  <si>
    <t>30.486.533-3</t>
  </si>
  <si>
    <t>012.722.274-05</t>
  </si>
  <si>
    <t>6014.2025/0006669-0</t>
  </si>
  <si>
    <t>009/0012/C</t>
  </si>
  <si>
    <t xml:space="preserve">JOICE NASCIMENTO DOS SANTOS </t>
  </si>
  <si>
    <t>60.350.850-9</t>
  </si>
  <si>
    <t>506.567.788-30</t>
  </si>
  <si>
    <t>6014.2025/0006662-2</t>
  </si>
  <si>
    <t>009/0013/A</t>
  </si>
  <si>
    <t xml:space="preserve">MAURO SOUZA DOS SANTOS </t>
  </si>
  <si>
    <t>53.024.907-8</t>
  </si>
  <si>
    <t>412.621.808-48</t>
  </si>
  <si>
    <t>6014.2026/0000747-4</t>
  </si>
  <si>
    <t>009/0014/A</t>
  </si>
  <si>
    <t xml:space="preserve">MARIA JOSÉ DE ALBUQUERQUE SANTANA </t>
  </si>
  <si>
    <t xml:space="preserve"> 55.850.839-X</t>
  </si>
  <si>
    <t>369.941.998-35</t>
  </si>
  <si>
    <t>CORREÇÃO DTS - NÃO CONSTA RG NO TERMO</t>
  </si>
  <si>
    <t>6014.2025/0005231-1</t>
  </si>
  <si>
    <t>009/0015/A</t>
  </si>
  <si>
    <t xml:space="preserve">DANIELE MONTEIRO NASCIMENTO </t>
  </si>
  <si>
    <t>41.578.577-7</t>
  </si>
  <si>
    <t>361.074.488-02</t>
  </si>
  <si>
    <t>009/0015/B</t>
  </si>
  <si>
    <t xml:space="preserve">VALÉRIA ALESSANDRA DE SOUZA JESUS </t>
  </si>
  <si>
    <t>009/0016/A</t>
  </si>
  <si>
    <t xml:space="preserve">MAYCON ROBSON GUEDES DE OLIVEIRA </t>
  </si>
  <si>
    <t>009/0016/B</t>
  </si>
  <si>
    <t>009/0017/A</t>
  </si>
  <si>
    <t>MARIA DE FÁTIMA DE LIMA SALES</t>
  </si>
  <si>
    <t>37.051.756-8</t>
  </si>
  <si>
    <t>226.059.538-31</t>
  </si>
  <si>
    <t>6014.2025/0004188-3</t>
  </si>
  <si>
    <t>DEMOLIDA</t>
  </si>
  <si>
    <t>009/0018/A</t>
  </si>
  <si>
    <t xml:space="preserve">EVERTON FORTUNATO DA SILVA </t>
  </si>
  <si>
    <t>009/0019/A</t>
  </si>
  <si>
    <t>EDNA MARIA MENDONÇA DE SOUZA</t>
  </si>
  <si>
    <t>39.243.832-X</t>
  </si>
  <si>
    <t>039.307.614-83</t>
  </si>
  <si>
    <t>6014.2025/0005372-5</t>
  </si>
  <si>
    <t>009/0020/A</t>
  </si>
  <si>
    <t xml:space="preserve">MILTON PEREIRA DOS SANTOS </t>
  </si>
  <si>
    <t>17.502.863-1</t>
  </si>
  <si>
    <t>011.914.478-63</t>
  </si>
  <si>
    <t>6014.2025/0005381-4</t>
  </si>
  <si>
    <t>009/0021/A</t>
  </si>
  <si>
    <t xml:space="preserve">VALDENICE OLIVEIRA DA SILVA </t>
  </si>
  <si>
    <t>36.692.100-9</t>
  </si>
  <si>
    <t xml:space="preserve">222.238.978-00
</t>
  </si>
  <si>
    <t>6014.2026/0000752-0</t>
  </si>
  <si>
    <t>009/0022/A</t>
  </si>
  <si>
    <t xml:space="preserve">RONALDO MONTEIRO ARRUDA </t>
  </si>
  <si>
    <t xml:space="preserve"> 18.361.327-2</t>
  </si>
  <si>
    <t xml:space="preserve"> 101.532.468-12</t>
  </si>
  <si>
    <t>6014.2026/0000758-0</t>
  </si>
  <si>
    <t>009/0023/A</t>
  </si>
  <si>
    <t xml:space="preserve">INQUILINO </t>
  </si>
  <si>
    <t xml:space="preserve">JOSÉ ROBERTO DA SILVA SANTANA </t>
  </si>
  <si>
    <t>ELIZABETH DE MENDONÇA ALMEIDA SANTANA</t>
  </si>
  <si>
    <t>50.682.862-1</t>
  </si>
  <si>
    <t>064.108.154-50</t>
  </si>
  <si>
    <t>6014.2025/0007987-2</t>
  </si>
  <si>
    <t>009/0024/A</t>
  </si>
  <si>
    <t>SILENE CRISTINA SCAPELLE MALOSTI</t>
  </si>
  <si>
    <t>26.544.913-3</t>
  </si>
  <si>
    <t>162.866.578-51</t>
  </si>
  <si>
    <t>6014.2026/0000771-7</t>
  </si>
  <si>
    <t>009/0025/A</t>
  </si>
  <si>
    <t xml:space="preserve">LUZINETE AMELIA GONÇALVES </t>
  </si>
  <si>
    <t xml:space="preserve"> 36.846.893-8</t>
  </si>
  <si>
    <t>260.999.598-90</t>
  </si>
  <si>
    <t>6014.2026/0000773-3</t>
  </si>
  <si>
    <t>009/0025/B</t>
  </si>
  <si>
    <t xml:space="preserve">CAROLINE AMELIA BARBOZA </t>
  </si>
  <si>
    <t>44.110.743-6</t>
  </si>
  <si>
    <t>350.253.178-19</t>
  </si>
  <si>
    <t>6014.2024/0006500-5</t>
  </si>
  <si>
    <t>6014.2026/0000775-0</t>
  </si>
  <si>
    <t>009/0026/A</t>
  </si>
  <si>
    <t xml:space="preserve">JOSIRENE DA SILVA SANTOS </t>
  </si>
  <si>
    <t>33.651.732-4</t>
  </si>
  <si>
    <t>282.734.908-66</t>
  </si>
  <si>
    <t>6014.2025/0003623-5</t>
  </si>
  <si>
    <t>009/0026/B</t>
  </si>
  <si>
    <t>JÉSSICA GUALBERTO MARTINS DOS SANTOS</t>
  </si>
  <si>
    <t>50.563.605-0</t>
  </si>
  <si>
    <t>461.416.998-80</t>
  </si>
  <si>
    <t>009/0027/A</t>
  </si>
  <si>
    <t xml:space="preserve">MANOEL MESSIAS EVANGELISTA DOS SANTOS </t>
  </si>
  <si>
    <t>53.172.376-8</t>
  </si>
  <si>
    <t>026.545.915-06</t>
  </si>
  <si>
    <t>6014.2025/0005383-0</t>
  </si>
  <si>
    <t>009/0029/A</t>
  </si>
  <si>
    <t xml:space="preserve">MARINA DE FÁTIMA DA COSTA </t>
  </si>
  <si>
    <t>009/0030/A</t>
  </si>
  <si>
    <t xml:space="preserve">ALDINETE JOSEFA PESSOA </t>
  </si>
  <si>
    <t>30.762.232-0</t>
  </si>
  <si>
    <t>224.346.198-60</t>
  </si>
  <si>
    <t> 6014.2026/0000777-6</t>
  </si>
  <si>
    <t>009/0030/B</t>
  </si>
  <si>
    <t xml:space="preserve">KLEBER PESSOA DA SILVA </t>
  </si>
  <si>
    <t>49.388.650-3</t>
  </si>
  <si>
    <t>396.335.238-85</t>
  </si>
  <si>
    <t>6014.2026/0000778-4</t>
  </si>
  <si>
    <t>009/0030/C</t>
  </si>
  <si>
    <t xml:space="preserve">MARCOS COSTA ALVES DA SILVA </t>
  </si>
  <si>
    <t>38.358.826-1</t>
  </si>
  <si>
    <t>213.440.768-90</t>
  </si>
  <si>
    <t>6014.2026/0000779-2</t>
  </si>
  <si>
    <t>009/0031/A</t>
  </si>
  <si>
    <t xml:space="preserve">ARARI DE FÁTIMA DOS SANTOS   </t>
  </si>
  <si>
    <t>21.214.069-3</t>
  </si>
  <si>
    <t>166.906.338-02</t>
  </si>
  <si>
    <t>6014.2025/0004211-1</t>
  </si>
  <si>
    <t>009/0032/A</t>
  </si>
  <si>
    <t xml:space="preserve">DANIELLE CAVALCANTE VIEIRA </t>
  </si>
  <si>
    <t>44.117.725-6</t>
  </si>
  <si>
    <t>394.198.258-33</t>
  </si>
  <si>
    <t>CONCLUIDO</t>
  </si>
  <si>
    <t>6014.2026/0000795-4</t>
  </si>
  <si>
    <t>009/0033/A</t>
  </si>
  <si>
    <t xml:space="preserve">PERIELDA SILVA SANTOS </t>
  </si>
  <si>
    <t>41.170.560-X</t>
  </si>
  <si>
    <t>341.386.448-30</t>
  </si>
  <si>
    <t>6014.2026/0000796-2</t>
  </si>
  <si>
    <t>009/0034/A</t>
  </si>
  <si>
    <t>NEUZA FERREIRA DA SILVA</t>
  </si>
  <si>
    <t>33.486.650-9</t>
  </si>
  <si>
    <t>239.577.004-34</t>
  </si>
  <si>
    <t>6014.2025/0005386-5</t>
  </si>
  <si>
    <t>010/0007/A</t>
  </si>
  <si>
    <t>LUIS PEREIRA DOS SANTOS FILHO</t>
  </si>
  <si>
    <t>34.878.004-7</t>
  </si>
  <si>
    <t>272.213.318-04</t>
  </si>
  <si>
    <t>010/0009/A</t>
  </si>
  <si>
    <t>LUCIENE CARDOSO PEREIRA</t>
  </si>
  <si>
    <t>32.672.505-2</t>
  </si>
  <si>
    <t>256.444.508-06</t>
  </si>
  <si>
    <t>6014.2025/0006290-2</t>
  </si>
  <si>
    <t>010/0012/A</t>
  </si>
  <si>
    <t xml:space="preserve">GLAUSIEL DE JESUS MACIEL </t>
  </si>
  <si>
    <t>54. 732.483.2</t>
  </si>
  <si>
    <t>041.406.735.59</t>
  </si>
  <si>
    <t>6014.2025/0006005-5</t>
  </si>
  <si>
    <t>010/0013/A</t>
  </si>
  <si>
    <t>AURILENE MARIA DE SOUZA</t>
  </si>
  <si>
    <t>50.297.874.0</t>
  </si>
  <si>
    <t>866.801.964-34</t>
  </si>
  <si>
    <t>6014.2025/0006382-8</t>
  </si>
  <si>
    <t>010/0014/A</t>
  </si>
  <si>
    <t>MIKAELLY SANTANA SILVA</t>
  </si>
  <si>
    <t>65.620.591-X</t>
  </si>
  <si>
    <t>086.244.685-66</t>
  </si>
  <si>
    <t>6014.2025/0003626-0</t>
  </si>
  <si>
    <t>010/0015/A</t>
  </si>
  <si>
    <t>ROSIANE MONTEIRO DOS SANTOS</t>
  </si>
  <si>
    <t>32.220.405-7</t>
  </si>
  <si>
    <t>650.467.654-20</t>
  </si>
  <si>
    <t>6014.2025/0004023-2</t>
  </si>
  <si>
    <t>010/0015/B</t>
  </si>
  <si>
    <t xml:space="preserve">WENDY MARIANA MONTEIRO DOS SANTOS </t>
  </si>
  <si>
    <t>43.058.479-9</t>
  </si>
  <si>
    <t>422.794.188-19</t>
  </si>
  <si>
    <t>6014.2025/0004025-9</t>
  </si>
  <si>
    <t>010/0016/B</t>
  </si>
  <si>
    <t xml:space="preserve">CRISTIANE DE JESUS SOARES </t>
  </si>
  <si>
    <t>010/0017/B</t>
  </si>
  <si>
    <t>CRISTINA SANTOS RAMOS</t>
  </si>
  <si>
    <t>29.078.255-7</t>
  </si>
  <si>
    <t>271.855.188-73</t>
  </si>
  <si>
    <t>010/0018/A</t>
  </si>
  <si>
    <t>MARIA JOSÉ DA SILVA LEITE SCHINEIDER</t>
  </si>
  <si>
    <t>30.199.688-X</t>
  </si>
  <si>
    <t>254.784.018-97</t>
  </si>
  <si>
    <t>6014.2025/0004205-7</t>
  </si>
  <si>
    <t>010/0018/B</t>
  </si>
  <si>
    <t>CLAUDIA TALITA DA SILVA SCHINIDER</t>
  </si>
  <si>
    <t>57.552.269-4</t>
  </si>
  <si>
    <t>522.477.468-37</t>
  </si>
  <si>
    <t>6014.2025/0004207-3</t>
  </si>
  <si>
    <t>010/0018/C</t>
  </si>
  <si>
    <t>ESMERALDA DA SILVA SCHINIDER</t>
  </si>
  <si>
    <t>57.552.741-9</t>
  </si>
  <si>
    <t>522.478.368-28</t>
  </si>
  <si>
    <t>6014.2025/0004208-1</t>
  </si>
  <si>
    <t>010/0019/A</t>
  </si>
  <si>
    <t xml:space="preserve">MANOEL LUÍS GOMES </t>
  </si>
  <si>
    <t>64.913.278-6</t>
  </si>
  <si>
    <t>193.458.588-22</t>
  </si>
  <si>
    <t>6014.2026/0002361-5</t>
  </si>
  <si>
    <t>COABITANTE</t>
  </si>
  <si>
    <t>MINE SENE GUIAPARREDA GOMES</t>
  </si>
  <si>
    <t>010/0020/A</t>
  </si>
  <si>
    <t>INQUILINO</t>
  </si>
  <si>
    <t>ANDREZA DOS SANTOS SOUZA</t>
  </si>
  <si>
    <t>43.185.790-8</t>
  </si>
  <si>
    <t>366.291.348-85</t>
  </si>
  <si>
    <t xml:space="preserve">SIONE PINHEIRO ROSA </t>
  </si>
  <si>
    <t>26.473.949-8</t>
  </si>
  <si>
    <t>157.360.558-13</t>
  </si>
  <si>
    <t>6014.2026/0002366-6</t>
  </si>
  <si>
    <t>010/0021/A</t>
  </si>
  <si>
    <t>WILLIANS LUIZ ALBURQUERQUE</t>
  </si>
  <si>
    <t>25.736.582-5</t>
  </si>
  <si>
    <t>261.850.618.99</t>
  </si>
  <si>
    <t>6014.2025/0005428-4</t>
  </si>
  <si>
    <t>010/0021/B</t>
  </si>
  <si>
    <t>EDNA VICENTE DA PAZ</t>
  </si>
  <si>
    <t>38.343.781-7</t>
  </si>
  <si>
    <t>353.904.568-66</t>
  </si>
  <si>
    <t>NOME TERMO DIVERGE LAUDO AVALIAÇÃO</t>
  </si>
  <si>
    <t>6014.2025/0004027-5</t>
  </si>
  <si>
    <t>010/0022/A</t>
  </si>
  <si>
    <t>007/0060/A</t>
  </si>
  <si>
    <t xml:space="preserve">NEUSA MARIA MARTINS </t>
  </si>
  <si>
    <t>37.046.111-3</t>
  </si>
  <si>
    <t>156.375.218-24</t>
  </si>
  <si>
    <t>6014.2026/0004255-5</t>
  </si>
  <si>
    <t>010/0024/A</t>
  </si>
  <si>
    <t xml:space="preserve">EDINEILSON ALVES DA SILVA </t>
  </si>
  <si>
    <t>49.494.385-3</t>
  </si>
  <si>
    <t>341.397.878-05</t>
  </si>
  <si>
    <t>010/0025/A</t>
  </si>
  <si>
    <t>EDNA NUNES DA SILVA</t>
  </si>
  <si>
    <t>49.494.395-6</t>
  </si>
  <si>
    <t>422.867.778-96</t>
  </si>
  <si>
    <t>010/0026/A</t>
  </si>
  <si>
    <t>CLAUDINÉIA LAUREANO BARBOZA</t>
  </si>
  <si>
    <t>23.095.560-5</t>
  </si>
  <si>
    <t>246.245.118-83</t>
  </si>
  <si>
    <t>6014.2025/0005429-2</t>
  </si>
  <si>
    <t>VALOR PAGAMENTO INCORRETO</t>
  </si>
  <si>
    <t>010/0026/B</t>
  </si>
  <si>
    <t xml:space="preserve">ELENOILSON ALVES DA SILVA </t>
  </si>
  <si>
    <t>360.557.338-03</t>
  </si>
  <si>
    <t>010/0026/C</t>
  </si>
  <si>
    <t>GUSTAVO LUIZ DA SILVA</t>
  </si>
  <si>
    <t>64.506.932-2</t>
  </si>
  <si>
    <t>240.043.658-48</t>
  </si>
  <si>
    <t>6014.2025/0005718-6</t>
  </si>
  <si>
    <t>010/0028/A</t>
  </si>
  <si>
    <t>ALINE BARBOSA DA SILVA</t>
  </si>
  <si>
    <t>33.389.400-5</t>
  </si>
  <si>
    <t>323.261.338-11</t>
  </si>
  <si>
    <t>010/0031/A</t>
  </si>
  <si>
    <t>FLORISVALDO OLIVEIRA DOS SANTOS</t>
  </si>
  <si>
    <t>52.262.851-5</t>
  </si>
  <si>
    <t>284.410.838-51</t>
  </si>
  <si>
    <t>6014.2026/0001696-1</t>
  </si>
  <si>
    <t>010/0033/A</t>
  </si>
  <si>
    <t>ZANDEILTON PAIXÃO CARDOSO</t>
  </si>
  <si>
    <t>34.710.248-7</t>
  </si>
  <si>
    <t>306.700.838-36</t>
  </si>
  <si>
    <t>MIDOU OPÇÃO DE ATENDIMENTO PARA AA</t>
  </si>
  <si>
    <t>6014.2026/0001721-6</t>
  </si>
  <si>
    <t>010/0035/A</t>
  </si>
  <si>
    <t xml:space="preserve">GLEDSON BRAGA DIAS </t>
  </si>
  <si>
    <t>27.862.257-4</t>
  </si>
  <si>
    <t>276.123.018-30</t>
  </si>
  <si>
    <t>6014.2026/0001725-9</t>
  </si>
  <si>
    <t>010/0038/A</t>
  </si>
  <si>
    <t>JOSÉ MARINHO DE SANTANA</t>
  </si>
  <si>
    <t>52.562.950-6</t>
  </si>
  <si>
    <t>289.845.588-18</t>
  </si>
  <si>
    <t>FALTA RATIFICAR LAUDO</t>
  </si>
  <si>
    <t>6014.2026/0004252-0</t>
  </si>
  <si>
    <t>AGUARDANDO CORREÇÃO</t>
  </si>
  <si>
    <t>010/0042/A</t>
  </si>
  <si>
    <t xml:space="preserve">ANDREIA DE OLIVEIRA ROLIM </t>
  </si>
  <si>
    <t>010/0043/A</t>
  </si>
  <si>
    <t>JENIFFER GOMES MODESTO DOS SANTOS</t>
  </si>
  <si>
    <t>43.475.413-4</t>
  </si>
  <si>
    <t>471.346.008-74</t>
  </si>
  <si>
    <t>010/0043/B</t>
  </si>
  <si>
    <t>DEIVILLA CRISTINA GOMES MODESTO DOS SANTOS</t>
  </si>
  <si>
    <t>012/0010/A</t>
  </si>
  <si>
    <t>ADONIAS BATISTA DA SILVA</t>
  </si>
  <si>
    <t>014/0004/A</t>
  </si>
  <si>
    <t>014/0005/A</t>
  </si>
  <si>
    <t xml:space="preserve">VITÓRIA AQUINO FERREIRA CAETANO SOARES </t>
  </si>
  <si>
    <t>014/0007/A</t>
  </si>
  <si>
    <t>AMALIA PINTO PACHECO</t>
  </si>
  <si>
    <t>30.334.886-0</t>
  </si>
  <si>
    <t>263.694.328-57</t>
  </si>
  <si>
    <t>014/0007/B</t>
  </si>
  <si>
    <t>MARCIA PINTO PACHECO</t>
  </si>
  <si>
    <t>20.961.736-6</t>
  </si>
  <si>
    <t>143.203.548-77</t>
  </si>
  <si>
    <t>014/0008/A</t>
  </si>
  <si>
    <t>CAIQUE OLICIO DA SILVA</t>
  </si>
  <si>
    <t>014/0008/B</t>
  </si>
  <si>
    <t xml:space="preserve">MARIA OLÍCIO DA SILVA </t>
  </si>
  <si>
    <t>014/0009/A</t>
  </si>
  <si>
    <t xml:space="preserve">LORANDA APARECIDA DA SILVA </t>
  </si>
  <si>
    <t>014/0010/A</t>
  </si>
  <si>
    <t>WESLAINE RAMOS DA CRUZ</t>
  </si>
  <si>
    <t>42.962.204-1</t>
  </si>
  <si>
    <t> 455.438.128-50</t>
  </si>
  <si>
    <t>AGUARDANDO ASSINATURA SECRETÁRIO</t>
  </si>
  <si>
    <t>TERMO ASSINADO SECRETÁRIO</t>
  </si>
  <si>
    <t>014/0011/A</t>
  </si>
  <si>
    <t xml:space="preserve">CLÁUDIA APARECIDA CARDOSINA DE LIMA SILVA </t>
  </si>
  <si>
    <t>014/0013/A</t>
  </si>
  <si>
    <t>FABIO BARRETO GALDINO</t>
  </si>
  <si>
    <t>58.681.568-5</t>
  </si>
  <si>
    <t>490.116.748.04</t>
  </si>
  <si>
    <t>6014.2025/0002374-5</t>
  </si>
  <si>
    <t>014/0014/A</t>
  </si>
  <si>
    <t xml:space="preserve">ADEMILTON JOSÉ DOS SANTOS </t>
  </si>
  <si>
    <t>36.346.052-4</t>
  </si>
  <si>
    <t>972.396.584-49</t>
  </si>
  <si>
    <t>6014.2025/0002375-3</t>
  </si>
  <si>
    <t>014/0015/A</t>
  </si>
  <si>
    <t>LUZINETE BARRETO SANTOS</t>
  </si>
  <si>
    <t>37.601.887-2</t>
  </si>
  <si>
    <t>146.133.558-26</t>
  </si>
  <si>
    <t>014/0020/A</t>
  </si>
  <si>
    <t>014/0021/A</t>
  </si>
  <si>
    <t xml:space="preserve">DEIVISON LIMA NASCIMENTO </t>
  </si>
  <si>
    <t>014/0024/A</t>
  </si>
  <si>
    <t>CRISTINA DESIDÉRIO RAIMUNDO</t>
  </si>
  <si>
    <t>41.182.578-1</t>
  </si>
  <si>
    <t>364.0001.998-96</t>
  </si>
  <si>
    <t>014/0025/A</t>
  </si>
  <si>
    <t xml:space="preserve">PRISCILA FURTADO DO AMARAL SOUZA </t>
  </si>
  <si>
    <t>015/0003/A</t>
  </si>
  <si>
    <t>ELTON PEREIRA DE SOUZA JUNIOR</t>
  </si>
  <si>
    <t>39.392.643-6</t>
  </si>
  <si>
    <t>475.557.878-73</t>
  </si>
  <si>
    <t>6014.2025/0003012-1</t>
  </si>
  <si>
    <t>015/0005/A</t>
  </si>
  <si>
    <t xml:space="preserve">RAQUEL ROCHA SOUZA </t>
  </si>
  <si>
    <t>44597901x</t>
  </si>
  <si>
    <t>015/0006/A</t>
  </si>
  <si>
    <t>JÉSSICA BISPO DE LIMA</t>
  </si>
  <si>
    <t>49.028.846-7</t>
  </si>
  <si>
    <t>413.386.598-71</t>
  </si>
  <si>
    <t>015/0007/A</t>
  </si>
  <si>
    <t xml:space="preserve">EDENILSON ALVES MARTINS </t>
  </si>
  <si>
    <t>60977914x</t>
  </si>
  <si>
    <t>015/0008/A</t>
  </si>
  <si>
    <t>ALINE MINEIRO DE JESUS</t>
  </si>
  <si>
    <t>59.113.298-9</t>
  </si>
  <si>
    <t>532.685.188-18</t>
  </si>
  <si>
    <t>015/0009/A</t>
  </si>
  <si>
    <t>JOSÉLIA SOUZA SILVA NOGUEIRA</t>
  </si>
  <si>
    <t>68.540.202-2</t>
  </si>
  <si>
    <t>021.341.195-43</t>
  </si>
  <si>
    <t>MIKAELE DOS SANTOS</t>
  </si>
  <si>
    <t>60.371.585-0</t>
  </si>
  <si>
    <t>502.063.458-10</t>
  </si>
  <si>
    <t>015/0010/A</t>
  </si>
  <si>
    <t>HEVELYN CRISTINA FRANÇA DE SOUZA PENEZIO</t>
  </si>
  <si>
    <t>AISLAN DE SOUSA PENEZIO</t>
  </si>
  <si>
    <t>38.395-415-0</t>
  </si>
  <si>
    <t>358.921.288-81</t>
  </si>
  <si>
    <t>015/0013/A</t>
  </si>
  <si>
    <t>.</t>
  </si>
  <si>
    <t>015/0021/A</t>
  </si>
  <si>
    <t xml:space="preserve">LENILTON DOS SANTOS </t>
  </si>
  <si>
    <t>59.635.577-4</t>
  </si>
  <si>
    <t>515.773.348-84</t>
  </si>
  <si>
    <t>6014.2025/0003627-8</t>
  </si>
  <si>
    <t>015/0021/B</t>
  </si>
  <si>
    <t>KÉSSIA RAYANE NASCIMENTO DE AMORIM LELES</t>
  </si>
  <si>
    <t>56.293.836-9</t>
  </si>
  <si>
    <t>061.006.533-54</t>
  </si>
  <si>
    <t>015/0022/A</t>
  </si>
  <si>
    <t>HILÁRIO VIEIRA DOS REIS</t>
  </si>
  <si>
    <t>62.386.260</t>
  </si>
  <si>
    <t>436.522.668-11</t>
  </si>
  <si>
    <t xml:space="preserve">GABRIEL FREITAS DA SILVA </t>
  </si>
  <si>
    <t>37.818.655-3</t>
  </si>
  <si>
    <t>454.155.278-77</t>
  </si>
  <si>
    <t>6014.2025/0004004-6</t>
  </si>
  <si>
    <t>016/0005/A</t>
  </si>
  <si>
    <t>RAIMUNDO DE OLIVEIRA</t>
  </si>
  <si>
    <t>28.290.460-8</t>
  </si>
  <si>
    <t>639.142.205-20</t>
  </si>
  <si>
    <t>6014.2025/0003622-7</t>
  </si>
  <si>
    <t>016/0006/A</t>
  </si>
  <si>
    <t>ALINE ARAUJO DE FARIAS</t>
  </si>
  <si>
    <t>241.019.117-7</t>
  </si>
  <si>
    <t>016/0006/B</t>
  </si>
  <si>
    <t xml:space="preserve">VÂNIA QUINTINO MIRANDA </t>
  </si>
  <si>
    <t>43874083x</t>
  </si>
  <si>
    <t>016/0006/C</t>
  </si>
  <si>
    <t>GUSTAVO QUINTINO DE MIRANDA</t>
  </si>
  <si>
    <t>62.674.290-0</t>
  </si>
  <si>
    <t>519.002.418-03</t>
  </si>
  <si>
    <t>016/0007/A</t>
  </si>
  <si>
    <t>ALESSANDRA DA SILVA BARBOSA</t>
  </si>
  <si>
    <t>40.362.124-0</t>
  </si>
  <si>
    <t>352.804.488-85</t>
  </si>
  <si>
    <t>6014.2025/0002094-0</t>
  </si>
  <si>
    <t>016/0008/A</t>
  </si>
  <si>
    <t>GRAZIELLE CAROLINE FERNANDES LIMA</t>
  </si>
  <si>
    <t>55.317.875-1</t>
  </si>
  <si>
    <t>440.838.698-79</t>
  </si>
  <si>
    <t>016/0009/A</t>
  </si>
  <si>
    <t xml:space="preserve">EVELYN CAROLINE INÁCIO DE SOUSA </t>
  </si>
  <si>
    <t>44.041.222-5</t>
  </si>
  <si>
    <t>411.709.528-52</t>
  </si>
  <si>
    <t>6014.2025/0002138-6</t>
  </si>
  <si>
    <t>016/0010/A</t>
  </si>
  <si>
    <t>MONICA DE MELO LINO</t>
  </si>
  <si>
    <t>41.311.432-6</t>
  </si>
  <si>
    <t>354.531.548-70</t>
  </si>
  <si>
    <t>6014.2025/0004203-0</t>
  </si>
  <si>
    <t>016/0011/A</t>
  </si>
  <si>
    <t>THIAGO ALVES DE LIMA</t>
  </si>
  <si>
    <t>37.625.559-6</t>
  </si>
  <si>
    <t>495.300.588-02</t>
  </si>
  <si>
    <t>016/0011/B</t>
  </si>
  <si>
    <t xml:space="preserve">BRUNO ALVES MARTINS </t>
  </si>
  <si>
    <t>49.495.428-0</t>
  </si>
  <si>
    <t>411.193.018-23</t>
  </si>
  <si>
    <t>016/0012/A</t>
  </si>
  <si>
    <t xml:space="preserve">FERNANDA GOMES RIBEIRO BASTOS </t>
  </si>
  <si>
    <t>40.594.579-6</t>
  </si>
  <si>
    <t>396.418.498-59</t>
  </si>
  <si>
    <t>6014.2025/0002136-0</t>
  </si>
  <si>
    <t>016/0013/A</t>
  </si>
  <si>
    <t>POLYANA RAMOS DE ARAUJO</t>
  </si>
  <si>
    <t>38.111.461-2</t>
  </si>
  <si>
    <t>465.491.718-73</t>
  </si>
  <si>
    <t>6014.2025/0002569-1</t>
  </si>
  <si>
    <t>016/0013/B</t>
  </si>
  <si>
    <t>GISLAINE RAMOS DE ARAUJO</t>
  </si>
  <si>
    <t>38.111.469-7</t>
  </si>
  <si>
    <t>279.016.158-50</t>
  </si>
  <si>
    <t>6014.2025/0003365-1</t>
  </si>
  <si>
    <t>016/0014/A</t>
  </si>
  <si>
    <t>UHANDERSON LIMA BRAGA</t>
  </si>
  <si>
    <t>42.935.556-7</t>
  </si>
  <si>
    <t>419.489.778-18</t>
  </si>
  <si>
    <t>6014.2025/0002081-9</t>
  </si>
  <si>
    <t>016/0016/A</t>
  </si>
  <si>
    <t>MIRELLY ALVES DE ARAUJO</t>
  </si>
  <si>
    <t>52.393.483-X</t>
  </si>
  <si>
    <t>242.546.878-18</t>
  </si>
  <si>
    <t>6014.2025/0006385-2</t>
  </si>
  <si>
    <t>016/0016/B</t>
  </si>
  <si>
    <t>MAURA SALES DE ARAUJO</t>
  </si>
  <si>
    <t>35.603.220-6</t>
  </si>
  <si>
    <t>285.960.338-74</t>
  </si>
  <si>
    <t>6014.2025/0005779-8</t>
  </si>
  <si>
    <t>016/0016/C</t>
  </si>
  <si>
    <t>LUAN SALES DE ARAUJO</t>
  </si>
  <si>
    <t>52.393.491-9</t>
  </si>
  <si>
    <t>459.364.728-25</t>
  </si>
  <si>
    <t>CORREÇÃO - NOME TERMO DIVERGENTE LAUDO</t>
  </si>
  <si>
    <t>6014.2025/0006370-4</t>
  </si>
  <si>
    <t>016/0017/A</t>
  </si>
  <si>
    <t>ADRIANA DE MELO RAMOS</t>
  </si>
  <si>
    <t>60.497.710-4</t>
  </si>
  <si>
    <t>323.942.738-95</t>
  </si>
  <si>
    <t>6014.2025/0002570-5</t>
  </si>
  <si>
    <t>016/0017/B</t>
  </si>
  <si>
    <t>GEOVANA DIAS DE OLIVEIRA</t>
  </si>
  <si>
    <t>38.030.605-0</t>
  </si>
  <si>
    <t>517.077.698-50</t>
  </si>
  <si>
    <t>6014.2025/0002576-4</t>
  </si>
  <si>
    <t>016/0018/A</t>
  </si>
  <si>
    <t>DORALICE DOS SANTOS</t>
  </si>
  <si>
    <t>25.078.402-6</t>
  </si>
  <si>
    <t>146.718.738-00</t>
  </si>
  <si>
    <t>016/0019/B</t>
  </si>
  <si>
    <t>MAIARA RIBEIRO DIAS</t>
  </si>
  <si>
    <t>50.469.276-8</t>
  </si>
  <si>
    <t>500.601.538-14</t>
  </si>
  <si>
    <t>6014.2025/0004874-8</t>
  </si>
  <si>
    <t>016/0019/C</t>
  </si>
  <si>
    <t>FRANCISCO PAULINO DIAS</t>
  </si>
  <si>
    <t>39.725.009-5</t>
  </si>
  <si>
    <t>930.588.963-87</t>
  </si>
  <si>
    <t>6014.2025/0004885-3</t>
  </si>
  <si>
    <t>016/0020/A</t>
  </si>
  <si>
    <t xml:space="preserve">ALUISIO FERREIRA DA SILVA </t>
  </si>
  <si>
    <t>52.975.898-2</t>
  </si>
  <si>
    <t>043.987.244-86</t>
  </si>
  <si>
    <t>6014.2025/0006010-1</t>
  </si>
  <si>
    <t>ROSE LENE DE JESUS SANTOS</t>
  </si>
  <si>
    <t>49.297.004-x</t>
  </si>
  <si>
    <t>372.433.198-31</t>
  </si>
  <si>
    <t>NÃO TEM ATENCDIMENTO</t>
  </si>
  <si>
    <t>NÃO TEM ATENDIMENTO</t>
  </si>
  <si>
    <t>016/0021/A</t>
  </si>
  <si>
    <t>DANIELLE DOS ANJOS RIPARDO</t>
  </si>
  <si>
    <t>36.381.083-3</t>
  </si>
  <si>
    <t>361.024.218-33</t>
  </si>
  <si>
    <t>6014.2025/0004910-8</t>
  </si>
  <si>
    <t>016/0021/B</t>
  </si>
  <si>
    <t>JOSÉ MARIA RIPARDO</t>
  </si>
  <si>
    <t>17.902.089-4</t>
  </si>
  <si>
    <t>078.031.248-10</t>
  </si>
  <si>
    <t>6014.2025/0004918-3</t>
  </si>
  <si>
    <t>016/0021/C</t>
  </si>
  <si>
    <t>ANDRÉ LUIZ DE JESUS SANTOS</t>
  </si>
  <si>
    <t>36.294.258-4</t>
  </si>
  <si>
    <t>808.124.065-91</t>
  </si>
  <si>
    <t>6014.2025/0005441-1</t>
  </si>
  <si>
    <t>016/0022/A</t>
  </si>
  <si>
    <t>MARLENE APARECIDA DE DEUS</t>
  </si>
  <si>
    <t>53.284.366-6</t>
  </si>
  <si>
    <t>326.997.598-80</t>
  </si>
  <si>
    <t>6014.2025/0008188-5</t>
  </si>
  <si>
    <t>016/0022/B</t>
  </si>
  <si>
    <t xml:space="preserve">CLAUDIA ROBERTA DE FREITAS </t>
  </si>
  <si>
    <t>32.496.110-8</t>
  </si>
  <si>
    <t>336.918.578-41</t>
  </si>
  <si>
    <t>6014.2025/0008234-2</t>
  </si>
  <si>
    <t>016/0022/C</t>
  </si>
  <si>
    <t>LUIZ ANDRÉ VIANA</t>
  </si>
  <si>
    <t>56.528.320-0</t>
  </si>
  <si>
    <t>086.288.264-83</t>
  </si>
  <si>
    <t>6014.2025/0008241-5</t>
  </si>
  <si>
    <t>016/0022/D</t>
  </si>
  <si>
    <t xml:space="preserve">FRANCISCO HÉLIO FERREIRA DA MOTA </t>
  </si>
  <si>
    <t>57.571.958-8</t>
  </si>
  <si>
    <t>176.366.248-93</t>
  </si>
  <si>
    <t>6014.2025/0008399-3</t>
  </si>
  <si>
    <t>016/0023/A</t>
  </si>
  <si>
    <t xml:space="preserve">VANEILDA SOUZA DE JESUS </t>
  </si>
  <si>
    <t>07.514.912-50</t>
  </si>
  <si>
    <t>870.940.965-34</t>
  </si>
  <si>
    <t>6014.2025/0003008-3</t>
  </si>
  <si>
    <t>016/0023/B</t>
  </si>
  <si>
    <t xml:space="preserve">JANISLEIA SOUZA DE JESUS </t>
  </si>
  <si>
    <t>52.979.263-1</t>
  </si>
  <si>
    <t>012.112.645-56</t>
  </si>
  <si>
    <t>Nº PROCESSO FOI COLOCADO NA PLANILHA DIA 02/07/2025</t>
  </si>
  <si>
    <t>6014.2025/0002373-7</t>
  </si>
  <si>
    <t>016/0023/D</t>
  </si>
  <si>
    <t>016/0024/A</t>
  </si>
  <si>
    <t>MICAELA ARAGÃO FELIX DA SILVA</t>
  </si>
  <si>
    <t>39.621.196-3</t>
  </si>
  <si>
    <t>436.984.278-69</t>
  </si>
  <si>
    <t>6014.2025/0005469-1</t>
  </si>
  <si>
    <t>016/0024/B</t>
  </si>
  <si>
    <t xml:space="preserve">WILLIAM DOS SANTOS RODRIGUES </t>
  </si>
  <si>
    <t>52.978.392-7</t>
  </si>
  <si>
    <t>239.286.008-42</t>
  </si>
  <si>
    <t>6014.2025/0005807-7</t>
  </si>
  <si>
    <t>016/0025/A</t>
  </si>
  <si>
    <t xml:space="preserve">CLAUDIANA BISPO DOS SANTOS </t>
  </si>
  <si>
    <t>30.583.940-8</t>
  </si>
  <si>
    <t>828.066.325-87</t>
  </si>
  <si>
    <t>6014.2025/0005472-1</t>
  </si>
  <si>
    <t>016/0025/B</t>
  </si>
  <si>
    <t xml:space="preserve">KAUÊ DOS SANTOS SANTANA </t>
  </si>
  <si>
    <t>57.354.536-4</t>
  </si>
  <si>
    <t>512.914.638-79</t>
  </si>
  <si>
    <t>6014.2025/0004210-3</t>
  </si>
  <si>
    <t>010/0023/A</t>
  </si>
  <si>
    <t xml:space="preserve">RENATO NUNES DA SILVA </t>
  </si>
  <si>
    <t>66.874.890-4</t>
  </si>
  <si>
    <t>588.657.658-44</t>
  </si>
  <si>
    <t>6014.2026/0001098-0</t>
  </si>
  <si>
    <t>002/0003/A</t>
  </si>
  <si>
    <t xml:space="preserve">WELLIGTON FELIPE BARBOSA DE SOUZA </t>
  </si>
  <si>
    <t>37.661.910</t>
  </si>
  <si>
    <t>456.116.688-28</t>
  </si>
  <si>
    <t xml:space="preserve">WELLINGTON FELIPE BARBOSA DE SOUZA </t>
  </si>
  <si>
    <t>6014.2026/0004256-3</t>
  </si>
  <si>
    <t>016/0027/A</t>
  </si>
  <si>
    <t xml:space="preserve">JANAINA GOMES DE OLIVEIRA </t>
  </si>
  <si>
    <t>29.282.010-0</t>
  </si>
  <si>
    <t>326.791.178-83</t>
  </si>
  <si>
    <t>6014.2025/0005489-6</t>
  </si>
  <si>
    <t>016/0028/A</t>
  </si>
  <si>
    <t>ERONILDES BATISTA LOURENÇO</t>
  </si>
  <si>
    <t>45.366.455-6</t>
  </si>
  <si>
    <t>341.339.708-70</t>
  </si>
  <si>
    <t>CORREÇÃO DTS - NOME TERMO DIVERGENTE LAUDO</t>
  </si>
  <si>
    <t>6014.2025/0003396-1</t>
  </si>
  <si>
    <t>016/0029/A</t>
  </si>
  <si>
    <t>DEOROALDO OLIVEIRA DA SILVA FILHO</t>
  </si>
  <si>
    <t>36.447.201-7</t>
  </si>
  <si>
    <t>344.835.558-55</t>
  </si>
  <si>
    <t>EDNA MARIA BEZERRA DOS REIS</t>
  </si>
  <si>
    <t>37.086.149-8</t>
  </si>
  <si>
    <t>316.803.158-54</t>
  </si>
  <si>
    <t>6014.2025/0005958-8</t>
  </si>
  <si>
    <t>016/0031/A</t>
  </si>
  <si>
    <t>FERNANDA DE PONTES</t>
  </si>
  <si>
    <t>42.825.930-3</t>
  </si>
  <si>
    <t>411.082.328-50</t>
  </si>
  <si>
    <t>6014.2025/0003675-8</t>
  </si>
  <si>
    <t>016/0033/A</t>
  </si>
  <si>
    <t xml:space="preserve">JONATAS MARCOLINO </t>
  </si>
  <si>
    <t>422.599.068-00</t>
  </si>
  <si>
    <t>016/0034/A</t>
  </si>
  <si>
    <t>ELISETE FERREIRA</t>
  </si>
  <si>
    <t>43.979.984-3</t>
  </si>
  <si>
    <t>402.149.148-10</t>
  </si>
  <si>
    <t>016/0035/A</t>
  </si>
  <si>
    <t>WIAHARA RIBEIRO DE JESUS</t>
  </si>
  <si>
    <t>063.819.345-14</t>
  </si>
  <si>
    <t>016/0036/A</t>
  </si>
  <si>
    <t>CLEBER ODILON AZEVEDO</t>
  </si>
  <si>
    <t>36.473.609-4</t>
  </si>
  <si>
    <t>387.232.518-32</t>
  </si>
  <si>
    <t>016/0037/A</t>
  </si>
  <si>
    <t xml:space="preserve">ANDERSON CARLOS DE SOUSA </t>
  </si>
  <si>
    <t>35.308.150-4</t>
  </si>
  <si>
    <t>220.181.508-98</t>
  </si>
  <si>
    <t>024/0030/B</t>
  </si>
  <si>
    <t>029/0024/C</t>
  </si>
  <si>
    <t>CONFIRMAÇÃO PAGAMENTO</t>
  </si>
  <si>
    <t>024/0041/A</t>
  </si>
  <si>
    <t>029/0023/E</t>
  </si>
  <si>
    <t>029/0007/A</t>
  </si>
  <si>
    <t>029/0022/B</t>
  </si>
  <si>
    <t>024/0052/A</t>
  </si>
  <si>
    <t>031/0033/Q</t>
  </si>
  <si>
    <t>024/0070/E</t>
  </si>
  <si>
    <t>031/0022/E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</si>
  <si>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</si>
  <si>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</si>
  <si>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</si>
  <si>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</si>
  <si>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</si>
  <si>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</si>
  <si>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</si>
  <si>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</si>
  <si>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024/0105/B</t>
  </si>
  <si>
    <t>029/0007/B</t>
  </si>
  <si>
    <t>031/0039/C</t>
  </si>
  <si>
    <t>029/0081/A</t>
  </si>
  <si>
    <t>029/0035/B</t>
  </si>
  <si>
    <t>029/0027/A</t>
  </si>
  <si>
    <t>029/0069/B</t>
  </si>
  <si>
    <t>029/0036/F</t>
  </si>
  <si>
    <t>031/0028/D</t>
  </si>
  <si>
    <t>029/0039/B</t>
  </si>
  <si>
    <t>029/0067/A</t>
  </si>
  <si>
    <t>029/0045/A</t>
  </si>
  <si>
    <t>029/0061/A</t>
  </si>
  <si>
    <t>029/0070/C</t>
  </si>
  <si>
    <t>029/0064/A</t>
  </si>
  <si>
    <t>029/0064/F</t>
  </si>
  <si>
    <t>029/0070/B</t>
  </si>
  <si>
    <t>029/0066/A</t>
  </si>
  <si>
    <t>029/0066/B</t>
  </si>
  <si>
    <t>029/0066/E</t>
  </si>
  <si>
    <t>031/0035/A</t>
  </si>
  <si>
    <t>029/0067/F</t>
  </si>
  <si>
    <t>031/0067/B</t>
  </si>
  <si>
    <t>024/0077/B</t>
  </si>
  <si>
    <t>029/0069/C</t>
  </si>
  <si>
    <t>033/0016/C</t>
  </si>
  <si>
    <t>029/0071/B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</si>
  <si>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</si>
  <si>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</si>
  <si>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</si>
  <si>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</si>
  <si>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</si>
  <si>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</si>
  <si>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</si>
  <si>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024/0105/A</t>
  </si>
  <si>
    <t>PARAISÓPOLIS/ANTONICO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</si>
  <si>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</si>
  <si>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</si>
  <si>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</si>
  <si>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</si>
  <si>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</si>
  <si>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</si>
  <si>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</si>
  <si>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</si>
  <si>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</si>
  <si>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</si>
  <si>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024/0051/A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</si>
  <si>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</si>
  <si>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</si>
  <si>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</si>
  <si>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</si>
  <si>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</si>
  <si>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</si>
  <si>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</si>
  <si>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</si>
  <si>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</si>
  <si>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</si>
  <si>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</si>
  <si>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</si>
  <si>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</si>
  <si>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</si>
  <si>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</si>
  <si>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</si>
  <si>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</si>
  <si>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</si>
  <si>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</si>
  <si>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</si>
  <si>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</si>
  <si>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</si>
  <si>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</si>
  <si>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</si>
  <si>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</si>
  <si>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</si>
  <si>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031/0031/B</t>
  </si>
  <si>
    <t>025/0020/F</t>
  </si>
  <si>
    <t>GIRLENE PEREIRA DO NASCIMENTO</t>
  </si>
  <si>
    <t>033/0030/A</t>
  </si>
  <si>
    <t>025/0021/D</t>
  </si>
  <si>
    <t>AMANDA MARIA ALVES DA SILVA</t>
  </si>
  <si>
    <t>024/0041/B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</si>
  <si>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</si>
  <si>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</si>
  <si>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</si>
  <si>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</si>
  <si>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</si>
  <si>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</si>
  <si>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</si>
  <si>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</si>
  <si>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</si>
  <si>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</si>
  <si>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</si>
  <si>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</si>
  <si>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</si>
  <si>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</si>
  <si>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</si>
  <si>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</si>
  <si>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</si>
  <si>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</si>
  <si>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</si>
  <si>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</si>
  <si>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</si>
  <si>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</si>
  <si>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</si>
  <si>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</si>
  <si>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</si>
  <si>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</si>
  <si>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</si>
  <si>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</si>
  <si>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</si>
  <si>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</si>
  <si>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</si>
  <si>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</si>
  <si>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</si>
  <si>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</si>
  <si>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</si>
  <si>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</si>
  <si>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</si>
  <si>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</si>
  <si>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</si>
  <si>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</si>
  <si>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</si>
  <si>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</si>
  <si>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</si>
  <si>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</si>
  <si>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</si>
  <si>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</si>
  <si>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</si>
  <si>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</si>
  <si>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</si>
  <si>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</si>
  <si>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</si>
  <si>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</si>
  <si>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</si>
  <si>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</si>
  <si>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</si>
  <si>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</si>
  <si>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</si>
  <si>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</si>
  <si>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</si>
  <si>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</si>
  <si>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</si>
  <si>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</si>
  <si>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</si>
  <si>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</si>
  <si>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</si>
  <si>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</si>
  <si>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</si>
  <si>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</si>
  <si>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</si>
  <si>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</si>
  <si>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</si>
  <si>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</si>
  <si>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</si>
  <si>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</si>
  <si>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</si>
  <si>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</si>
  <si>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</si>
  <si>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</si>
  <si>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</si>
  <si>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</si>
  <si>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</si>
  <si>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</si>
  <si>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</si>
  <si>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</si>
  <si>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</si>
  <si>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</si>
  <si>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</si>
  <si>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</si>
  <si>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</si>
  <si>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</si>
  <si>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</si>
  <si>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</si>
  <si>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</si>
  <si>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</si>
  <si>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</si>
  <si>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</si>
  <si>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</si>
  <si>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</si>
  <si>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</si>
  <si>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</si>
  <si>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</si>
  <si>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</si>
  <si>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</si>
  <si>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</si>
  <si>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</si>
  <si>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</si>
  <si>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</si>
  <si>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</si>
  <si>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</si>
  <si>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</si>
  <si>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</si>
  <si>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</si>
  <si>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</si>
  <si>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</si>
  <si>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</si>
  <si>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</si>
  <si>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</si>
  <si>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</si>
  <si>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</si>
  <si>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</si>
  <si>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</si>
  <si>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</si>
  <si>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</si>
  <si>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</si>
  <si>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</si>
  <si>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</si>
  <si>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</si>
  <si>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</si>
  <si>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</si>
  <si>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</si>
  <si>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</si>
  <si>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</si>
  <si>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</si>
  <si>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</si>
  <si>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</si>
  <si>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</si>
  <si>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</si>
  <si>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</si>
  <si>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</si>
  <si>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</si>
  <si>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</si>
  <si>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</si>
  <si>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</si>
  <si>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</si>
  <si>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</si>
  <si>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</si>
  <si>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</si>
  <si>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</si>
  <si>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</si>
  <si>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</si>
  <si>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</si>
  <si>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</si>
  <si>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</si>
  <si>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</si>
  <si>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</si>
  <si>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</si>
  <si>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</si>
  <si>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</si>
  <si>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</si>
  <si>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</si>
  <si>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</si>
  <si>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</si>
  <si>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</si>
  <si>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</si>
  <si>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</si>
  <si>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</si>
  <si>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</si>
  <si>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</si>
  <si>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</si>
  <si>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</si>
  <si>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</si>
  <si>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</si>
  <si>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</si>
  <si>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</si>
  <si>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</si>
  <si>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</si>
  <si>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</si>
  <si>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</si>
  <si>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</si>
  <si>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</si>
  <si>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</si>
  <si>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</si>
  <si>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</si>
  <si>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</si>
  <si>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</si>
  <si>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</si>
  <si>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</si>
  <si>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</si>
  <si>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</si>
  <si>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</si>
  <si>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</si>
  <si>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</si>
  <si>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</si>
  <si>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</si>
  <si>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</si>
  <si>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</si>
  <si>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</si>
  <si>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</si>
  <si>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</si>
  <si>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</si>
  <si>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</si>
  <si>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</si>
  <si>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</si>
  <si>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</si>
  <si>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</si>
  <si>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</si>
  <si>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</si>
  <si>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</si>
  <si>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</si>
  <si>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</si>
  <si>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</si>
  <si>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</si>
  <si>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</si>
  <si>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</si>
  <si>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</si>
  <si>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</si>
  <si>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</si>
  <si>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</si>
  <si>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</si>
  <si>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</si>
  <si>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</si>
  <si>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</si>
  <si>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</si>
  <si>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</si>
  <si>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</si>
  <si>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</si>
  <si>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</si>
  <si>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</si>
  <si>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</si>
  <si>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</si>
  <si>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</si>
  <si>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</si>
  <si>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</si>
  <si>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</si>
  <si>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</si>
  <si>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</si>
  <si>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</si>
  <si>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</si>
  <si>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</si>
  <si>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</si>
  <si>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</si>
  <si>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</si>
  <si>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</si>
  <si>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</si>
  <si>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</si>
  <si>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</si>
  <si>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</si>
  <si>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</si>
  <si>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</si>
  <si>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</si>
  <si>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</si>
  <si>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</si>
  <si>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</si>
  <si>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</si>
  <si>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</si>
  <si>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</si>
  <si>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</si>
  <si>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</si>
  <si>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</si>
  <si>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</si>
  <si>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</si>
  <si>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</si>
  <si>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</si>
  <si>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</si>
  <si>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</si>
  <si>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</si>
  <si>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</si>
  <si>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</si>
  <si>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</si>
  <si>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</si>
  <si>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</si>
  <si>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</si>
  <si>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</si>
  <si>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</si>
  <si>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</si>
  <si>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</si>
  <si>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</si>
  <si>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</si>
  <si>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</si>
  <si>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</si>
  <si>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</si>
  <si>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</si>
  <si>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</si>
  <si>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</si>
  <si>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</si>
  <si>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</si>
  <si>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</si>
  <si>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</si>
  <si>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</si>
  <si>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</si>
  <si>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</si>
  <si>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</si>
  <si>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</si>
  <si>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</si>
  <si>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</si>
  <si>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</si>
  <si>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</si>
  <si>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</si>
  <si>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</si>
  <si>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</si>
  <si>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</si>
  <si>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</si>
  <si>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</si>
  <si>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</si>
  <si>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</si>
  <si>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</si>
  <si>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</si>
  <si>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</si>
  <si>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</si>
  <si>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</si>
  <si>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</si>
  <si>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</si>
  <si>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</si>
  <si>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</si>
  <si>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</si>
  <si>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</si>
  <si>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</si>
  <si>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</si>
  <si>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</si>
  <si>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</si>
  <si>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</si>
  <si>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</si>
  <si>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</si>
  <si>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</si>
  <si>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</si>
  <si>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</si>
  <si>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</si>
  <si>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</si>
  <si>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</si>
  <si>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</si>
  <si>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</si>
  <si>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</si>
  <si>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</si>
  <si>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</si>
  <si>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</si>
  <si>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</si>
  <si>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</si>
  <si>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</si>
  <si>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</si>
  <si>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</si>
  <si>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</si>
  <si>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</si>
  <si>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</si>
  <si>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</si>
  <si>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</si>
  <si>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</si>
  <si>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</si>
  <si>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</si>
  <si>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</si>
  <si>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</si>
  <si>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</si>
  <si>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</si>
  <si>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</si>
  <si>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</si>
  <si>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</si>
  <si>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</si>
  <si>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</si>
  <si>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</si>
  <si>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</si>
  <si>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</si>
  <si>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</si>
  <si>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</si>
  <si>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</si>
  <si>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</si>
  <si>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</si>
  <si>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</si>
  <si>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</si>
  <si>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</si>
  <si>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</si>
  <si>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</si>
  <si>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</si>
  <si>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</si>
  <si>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</si>
  <si>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</si>
  <si>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</si>
  <si>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</si>
  <si>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</si>
  <si>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</si>
  <si>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</si>
  <si>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</si>
  <si>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</si>
  <si>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</si>
  <si>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</si>
  <si>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</si>
  <si>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</si>
  <si>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</si>
  <si>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</si>
  <si>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</si>
  <si>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</si>
  <si>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</si>
  <si>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</si>
  <si>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</si>
  <si>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</si>
  <si>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</si>
  <si>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</si>
  <si>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</si>
  <si>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</si>
  <si>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</si>
  <si>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</si>
  <si>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</si>
  <si>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</si>
  <si>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</si>
  <si>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</si>
  <si>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</si>
  <si>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</si>
  <si>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</si>
  <si>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</si>
  <si>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</si>
  <si>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</si>
  <si>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</si>
  <si>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</si>
  <si>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</si>
  <si>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</si>
  <si>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</si>
  <si>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</si>
  <si>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</si>
  <si>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</si>
  <si>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</si>
  <si>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</si>
  <si>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</si>
  <si>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</si>
  <si>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</si>
  <si>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</si>
  <si>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</si>
  <si>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</si>
  <si>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</si>
  <si>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</si>
  <si>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</si>
  <si>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</si>
  <si>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</si>
  <si>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</si>
  <si>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</si>
  <si>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</si>
  <si>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</si>
  <si>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</si>
  <si>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</si>
  <si>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</si>
  <si>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</si>
  <si>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</si>
  <si>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</si>
  <si>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</si>
  <si>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</si>
  <si>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</si>
  <si>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</si>
  <si>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</si>
  <si>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</si>
  <si>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</si>
  <si>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</si>
  <si>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</si>
  <si>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</si>
  <si>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</si>
  <si>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</si>
  <si>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</si>
  <si>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</si>
  <si>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</si>
  <si>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</si>
  <si>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</si>
  <si>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</si>
  <si>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</si>
  <si>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</si>
  <si>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</si>
  <si>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</si>
  <si>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</si>
  <si>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</si>
  <si>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</si>
  <si>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</si>
  <si>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</si>
  <si>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</si>
  <si>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</si>
  <si>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</si>
  <si>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</si>
  <si>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</si>
  <si>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</si>
  <si>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</si>
  <si>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</si>
  <si>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</si>
  <si>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</si>
  <si>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</si>
  <si>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</si>
  <si>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</si>
  <si>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</si>
  <si>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</si>
  <si>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</si>
  <si>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</si>
  <si>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</si>
  <si>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</si>
  <si>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</si>
  <si>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</si>
  <si>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</si>
  <si>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</si>
  <si>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</si>
  <si>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</si>
  <si>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</si>
  <si>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</si>
  <si>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</si>
  <si>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</si>
  <si>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</si>
  <si>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</si>
  <si>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</si>
  <si>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</si>
  <si>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</si>
  <si>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</si>
  <si>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</si>
  <si>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</si>
  <si>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</si>
  <si>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</si>
  <si>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</si>
  <si>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</si>
  <si>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</si>
  <si>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</si>
  <si>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</si>
  <si>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</si>
  <si>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</si>
  <si>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</si>
  <si>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</si>
  <si>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</si>
  <si>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</si>
  <si>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</si>
  <si>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</si>
  <si>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</si>
  <si>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</si>
  <si>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</si>
  <si>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</si>
  <si>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</si>
  <si>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</si>
  <si>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</si>
  <si>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</si>
  <si>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</si>
  <si>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</si>
  <si>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</si>
  <si>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</si>
  <si>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</si>
  <si>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</si>
  <si>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</si>
  <si>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</si>
  <si>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</si>
  <si>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</si>
  <si>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</si>
  <si>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</si>
  <si>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</si>
  <si>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</si>
  <si>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</si>
  <si>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</si>
  <si>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</si>
  <si>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</si>
  <si>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</si>
  <si>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</si>
  <si>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</si>
  <si>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</si>
  <si>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</si>
  <si>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</si>
  <si>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</si>
  <si>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</si>
  <si>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</si>
  <si>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</si>
  <si>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</si>
  <si>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</si>
  <si>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</si>
  <si>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</si>
  <si>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</si>
  <si>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</si>
  <si>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</si>
  <si>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</si>
  <si>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</si>
  <si>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</si>
  <si>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</si>
  <si>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</si>
  <si>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</si>
  <si>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</si>
  <si>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</si>
  <si>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</si>
  <si>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</si>
  <si>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</si>
  <si>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</si>
  <si>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</si>
  <si>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</si>
  <si>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</si>
  <si>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</si>
  <si>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</si>
  <si>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</si>
  <si>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</si>
  <si>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</si>
  <si>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</si>
  <si>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</si>
  <si>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</si>
  <si>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</si>
  <si>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</si>
  <si>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</si>
  <si>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</si>
  <si>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</si>
  <si>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</si>
  <si>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</si>
  <si>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</si>
  <si>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</si>
  <si>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</si>
  <si>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</si>
  <si>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</si>
  <si>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</si>
  <si>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</si>
  <si>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</si>
  <si>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</si>
  <si>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</si>
  <si>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</si>
  <si>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</si>
  <si>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</si>
  <si>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</si>
  <si>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</si>
  <si>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</si>
  <si>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</si>
  <si>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</si>
  <si>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</si>
  <si>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</si>
  <si>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</si>
  <si>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</si>
  <si>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</si>
  <si>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</si>
  <si>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</si>
  <si>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</si>
  <si>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</si>
  <si>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</si>
  <si>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</si>
  <si>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</si>
  <si>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</si>
  <si>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</si>
  <si>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</si>
  <si>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</si>
  <si>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</si>
  <si>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</si>
  <si>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</si>
  <si>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</si>
  <si>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</si>
  <si>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</si>
  <si>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</si>
  <si>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</si>
  <si>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</si>
  <si>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</si>
  <si>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</si>
  <si>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</si>
  <si>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</si>
  <si>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</si>
  <si>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</si>
  <si>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</si>
  <si>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</si>
  <si>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</si>
  <si>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</si>
  <si>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</si>
  <si>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</si>
  <si>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</si>
  <si>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</si>
  <si>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</si>
  <si>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</si>
  <si>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</si>
  <si>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</si>
  <si>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</si>
  <si>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</si>
  <si>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</si>
  <si>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</si>
  <si>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</si>
  <si>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</si>
  <si>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</si>
  <si>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</si>
  <si>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</si>
  <si>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</si>
  <si>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</si>
  <si>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</si>
  <si>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</si>
  <si>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</si>
  <si>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</si>
  <si>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</si>
  <si>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</si>
  <si>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</si>
  <si>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</si>
  <si>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</si>
  <si>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</si>
  <si>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</si>
  <si>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</si>
  <si>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</si>
  <si>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</si>
  <si>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</si>
  <si>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</si>
  <si>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</si>
  <si>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</si>
  <si>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</si>
  <si>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</si>
  <si>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</si>
  <si>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</si>
  <si>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</si>
  <si>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</si>
  <si>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</si>
  <si>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</si>
  <si>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</si>
  <si>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</si>
  <si>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</si>
  <si>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</si>
  <si>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</si>
  <si>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</si>
  <si>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</si>
  <si>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</si>
  <si>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</si>
  <si>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</si>
  <si>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</si>
  <si>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</si>
  <si>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</si>
  <si>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</si>
  <si>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</si>
  <si>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</si>
  <si>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</si>
  <si>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</si>
  <si>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</si>
  <si>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</si>
  <si>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</si>
  <si>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</si>
  <si>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</si>
  <si>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</si>
  <si>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</si>
  <si>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</si>
  <si>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</si>
  <si>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</si>
  <si>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</si>
  <si>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</si>
  <si>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</si>
  <si>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</si>
  <si>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</si>
  <si>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</si>
  <si>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</si>
  <si>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</si>
  <si>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</si>
  <si>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</si>
  <si>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</si>
  <si>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</si>
  <si>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</si>
  <si>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</si>
  <si>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</si>
  <si>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</si>
  <si>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</si>
  <si>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</si>
  <si>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</si>
  <si>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</si>
  <si>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</si>
  <si>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</si>
  <si>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</si>
  <si>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</si>
  <si>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</si>
  <si>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</si>
  <si>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</si>
  <si>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</si>
  <si>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</si>
  <si>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</si>
  <si>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</si>
  <si>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</si>
  <si>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</si>
  <si>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</si>
  <si>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</si>
  <si>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</si>
  <si>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</si>
  <si>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</si>
  <si>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</si>
  <si>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</si>
  <si>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</si>
  <si>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</si>
  <si>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</si>
  <si>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</si>
  <si>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</si>
  <si>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</si>
  <si>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</si>
  <si>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</si>
  <si>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</si>
  <si>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</si>
  <si>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</si>
  <si>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</si>
  <si>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</si>
  <si>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</si>
  <si>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</si>
  <si>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</si>
  <si>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</si>
  <si>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</si>
  <si>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</si>
  <si>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</si>
  <si>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</si>
  <si>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</si>
  <si>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</si>
  <si>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</si>
  <si>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</si>
  <si>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</si>
  <si>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</si>
  <si>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</si>
  <si>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</si>
  <si>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</si>
  <si>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</si>
  <si>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</si>
  <si>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</si>
  <si>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</si>
  <si>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</si>
  <si>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</si>
  <si>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</si>
  <si>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</si>
  <si>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</si>
  <si>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</si>
  <si>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</si>
  <si>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</si>
  <si>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</si>
  <si>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</si>
  <si>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</si>
  <si>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</si>
  <si>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</si>
  <si>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</si>
  <si>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</si>
  <si>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</si>
  <si>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</si>
  <si>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</si>
  <si>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</si>
  <si>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</si>
  <si>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</si>
  <si>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</si>
  <si>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</si>
  <si>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</si>
  <si>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</si>
  <si>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</si>
  <si>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</si>
  <si>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</si>
  <si>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</si>
  <si>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</si>
  <si>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</si>
  <si>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</si>
  <si>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</si>
  <si>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</si>
  <si>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</si>
  <si>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</si>
  <si>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</si>
  <si>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</si>
  <si>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</si>
  <si>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</si>
  <si>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</si>
  <si>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</si>
  <si>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</si>
  <si>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</si>
  <si>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</si>
  <si>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</si>
  <si>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</si>
  <si>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</si>
  <si>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</si>
  <si>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</si>
  <si>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</si>
  <si>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</si>
  <si>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</si>
  <si>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</si>
  <si>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</si>
  <si>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</si>
  <si>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</si>
  <si>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</si>
  <si>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</si>
  <si>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</si>
  <si>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</si>
  <si>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</si>
  <si>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</si>
  <si>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</si>
  <si>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</si>
  <si>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</si>
  <si>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</si>
  <si>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</si>
  <si>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</si>
  <si>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</si>
  <si>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</si>
  <si>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</si>
  <si>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</si>
  <si>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</si>
  <si>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</si>
  <si>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</si>
  <si>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</si>
  <si>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</si>
  <si>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</si>
  <si>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</si>
  <si>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</si>
  <si>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</si>
  <si>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</si>
  <si>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</si>
  <si>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</si>
  <si>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</si>
  <si>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</si>
  <si>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</si>
  <si>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</si>
  <si>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</si>
  <si>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</si>
  <si>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</si>
  <si>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</si>
  <si>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</si>
  <si>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</si>
  <si>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</si>
  <si>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</si>
  <si>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</si>
  <si>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</si>
  <si>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</si>
  <si>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</si>
  <si>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</si>
  <si>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</si>
  <si>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</si>
  <si>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</si>
  <si>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</si>
  <si>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</si>
  <si>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</si>
  <si>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</si>
  <si>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</si>
  <si>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</si>
  <si>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</si>
  <si>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</si>
  <si>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</si>
  <si>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</si>
  <si>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</si>
  <si>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</si>
  <si>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</si>
  <si>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</si>
  <si>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</si>
  <si>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</si>
  <si>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</si>
  <si>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</si>
  <si>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</si>
  <si>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</si>
  <si>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</si>
  <si>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</si>
  <si>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</si>
  <si>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</si>
  <si>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</si>
  <si>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</si>
  <si>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</si>
  <si>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</si>
  <si>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</si>
  <si>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</si>
  <si>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</si>
  <si>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</si>
  <si>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</si>
  <si>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</si>
  <si>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</si>
  <si>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</si>
  <si>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</si>
  <si>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</si>
  <si>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</si>
  <si>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</si>
  <si>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</si>
  <si>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</si>
  <si>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</si>
  <si>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</si>
  <si>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</si>
  <si>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</si>
  <si>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</si>
  <si>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</si>
  <si>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</si>
  <si>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</si>
  <si>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</si>
  <si>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</si>
  <si>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</si>
  <si>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</si>
  <si>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</si>
  <si>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</si>
  <si>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</si>
  <si>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</si>
  <si>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</si>
  <si>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</si>
  <si>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</si>
  <si>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</si>
  <si>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</si>
  <si>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</si>
  <si>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</si>
  <si>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</si>
  <si>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</si>
  <si>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</si>
  <si>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</si>
  <si>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</si>
  <si>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</si>
  <si>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</si>
  <si>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</si>
  <si>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</si>
  <si>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</si>
  <si>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</si>
  <si>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</si>
  <si>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</si>
  <si>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</si>
  <si>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</si>
  <si>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</si>
  <si>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</si>
  <si>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</si>
  <si>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</si>
  <si>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</si>
  <si>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</si>
  <si>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</si>
  <si>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</si>
  <si>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</si>
  <si>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</si>
  <si>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</si>
  <si>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</si>
  <si>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</si>
  <si>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</si>
  <si>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</si>
  <si>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</si>
  <si>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</si>
  <si>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</si>
  <si>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</si>
  <si>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</si>
  <si>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</si>
  <si>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</si>
  <si>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</si>
  <si>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</si>
  <si>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</si>
  <si>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</si>
  <si>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</si>
  <si>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</si>
  <si>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</si>
  <si>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</si>
  <si>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</si>
  <si>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</si>
  <si>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</si>
  <si>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</si>
  <si>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</si>
  <si>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</si>
  <si>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</si>
  <si>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</si>
  <si>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</si>
  <si>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</si>
  <si>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</si>
  <si>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</si>
  <si>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</si>
  <si>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</si>
  <si>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</si>
  <si>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</si>
  <si>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</si>
  <si>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</si>
  <si>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</si>
  <si>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</si>
  <si>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</si>
  <si>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</si>
  <si>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</si>
  <si>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</si>
  <si>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</si>
  <si>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</si>
  <si>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</si>
  <si>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</si>
  <si>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</si>
  <si>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</si>
  <si>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</si>
  <si>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</si>
  <si>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</si>
  <si>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</si>
  <si>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</si>
  <si>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</si>
  <si>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</si>
  <si>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</si>
  <si>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</si>
  <si>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</si>
  <si>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</si>
  <si>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</si>
  <si>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</si>
  <si>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</si>
  <si>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</si>
  <si>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</si>
  <si>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</si>
  <si>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</si>
  <si>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</si>
  <si>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</si>
  <si>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</si>
  <si>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</si>
  <si>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</si>
  <si>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</si>
  <si>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</si>
  <si>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</si>
  <si>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</si>
  <si>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</si>
  <si>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</si>
  <si>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</si>
  <si>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</si>
  <si>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</si>
  <si>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</si>
  <si>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</si>
  <si>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</si>
  <si>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</si>
  <si>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</si>
  <si>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</si>
  <si>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</si>
  <si>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</si>
  <si>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</si>
  <si>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</si>
  <si>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</si>
  <si>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</si>
  <si>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</si>
  <si>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</si>
  <si>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</si>
  <si>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</si>
  <si>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</si>
  <si>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</si>
  <si>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</si>
  <si>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</si>
  <si>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</si>
  <si>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</si>
  <si>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</si>
  <si>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</si>
  <si>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</si>
  <si>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</si>
  <si>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</si>
  <si>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</si>
  <si>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</si>
  <si>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</si>
  <si>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</si>
  <si>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</si>
  <si>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</si>
  <si>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</si>
  <si>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</si>
  <si>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</si>
  <si>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</si>
  <si>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</si>
  <si>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</si>
  <si>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</si>
  <si>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</si>
  <si>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</si>
  <si>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</si>
  <si>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</si>
  <si>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</si>
  <si>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</si>
  <si>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</si>
  <si>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</si>
  <si>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</si>
  <si>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</si>
  <si>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</si>
  <si>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</si>
  <si>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</si>
  <si>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</si>
  <si>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</si>
  <si>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</si>
  <si>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</si>
  <si>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</si>
  <si>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</si>
  <si>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</si>
  <si>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</si>
  <si>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</si>
  <si>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</si>
  <si>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</si>
  <si>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</si>
  <si>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</si>
  <si>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</si>
  <si>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</si>
  <si>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</si>
  <si>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</si>
  <si>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</si>
  <si>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</si>
  <si>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</si>
  <si>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</si>
  <si>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</si>
  <si>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</si>
  <si>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</si>
  <si>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</si>
  <si>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</si>
  <si>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</si>
  <si>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</si>
  <si>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</si>
  <si>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</si>
  <si>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</si>
  <si>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</si>
  <si>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</si>
  <si>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</si>
  <si>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</si>
  <si>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</si>
  <si>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</si>
  <si>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</si>
  <si>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</si>
  <si>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</si>
  <si>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</si>
  <si>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</si>
  <si>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</si>
  <si>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</si>
  <si>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</si>
  <si>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</si>
  <si>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</si>
  <si>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</si>
  <si>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</si>
  <si>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</si>
  <si>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</si>
  <si>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</si>
  <si>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</si>
  <si>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</si>
  <si>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</si>
  <si>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</si>
  <si>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</si>
  <si>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</si>
  <si>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</si>
  <si>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</si>
  <si>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</si>
  <si>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</si>
  <si>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</si>
  <si>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</si>
  <si>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</si>
  <si>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</si>
  <si>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</si>
  <si>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</si>
  <si>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</si>
  <si>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</si>
  <si>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</si>
  <si>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</si>
  <si>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</si>
  <si>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</si>
  <si>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</si>
  <si>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</si>
  <si>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</si>
  <si>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</si>
  <si>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</si>
  <si>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</si>
  <si>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</si>
  <si>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</si>
  <si>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</si>
  <si>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</si>
  <si>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</si>
  <si>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</si>
  <si>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</si>
  <si>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</si>
  <si>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</si>
  <si>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</si>
  <si>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</si>
  <si>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</si>
  <si>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</si>
  <si>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</si>
  <si>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</si>
  <si>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</si>
  <si>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</si>
  <si>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</si>
  <si>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</si>
  <si>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</si>
  <si>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</si>
  <si>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</si>
  <si>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</si>
  <si>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</si>
  <si>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</si>
  <si>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</si>
  <si>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</si>
  <si>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</si>
  <si>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</si>
  <si>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</si>
  <si>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</si>
  <si>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</si>
  <si>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</si>
  <si>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</si>
  <si>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</si>
  <si>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</si>
  <si>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</si>
  <si>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</si>
  <si>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</si>
  <si>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</si>
  <si>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</si>
  <si>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</si>
  <si>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</si>
  <si>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</si>
  <si>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</si>
  <si>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</si>
  <si>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</si>
  <si>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</si>
  <si>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</si>
  <si>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</si>
  <si>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</si>
  <si>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</si>
  <si>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</si>
  <si>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</si>
  <si>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</si>
  <si>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</si>
  <si>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</si>
  <si>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</si>
  <si>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</si>
  <si>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</si>
  <si>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</si>
  <si>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</si>
  <si>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</si>
  <si>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</si>
  <si>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</si>
  <si>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</si>
  <si>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</si>
  <si>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</si>
  <si>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</si>
  <si>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</si>
  <si>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</si>
  <si>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</si>
  <si>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</si>
  <si>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</si>
  <si>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</si>
  <si>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</si>
  <si>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</si>
  <si>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</si>
  <si>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</si>
  <si>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</si>
  <si>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</si>
  <si>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</si>
  <si>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</si>
  <si>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</si>
  <si>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</si>
  <si>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</si>
  <si>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</si>
  <si>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</si>
  <si>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</si>
  <si>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</si>
  <si>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</si>
  <si>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</si>
  <si>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</si>
  <si>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</si>
  <si>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</si>
  <si>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</si>
  <si>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</si>
  <si>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</si>
  <si>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</si>
  <si>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</si>
  <si>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</si>
  <si>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</si>
  <si>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</si>
  <si>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</si>
  <si>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</si>
  <si>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</si>
  <si>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</si>
  <si>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</si>
  <si>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</si>
  <si>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</si>
  <si>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</si>
  <si>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</si>
  <si>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</si>
  <si>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</si>
  <si>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</si>
  <si>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</si>
  <si>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</si>
  <si>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</si>
  <si>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</si>
  <si>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</si>
  <si>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</si>
  <si>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</si>
  <si>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</si>
  <si>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</si>
  <si>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</si>
  <si>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</si>
  <si>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</si>
  <si>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</si>
  <si>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</si>
  <si>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</si>
  <si>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</si>
  <si>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</si>
  <si>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</si>
  <si>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</si>
  <si>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</si>
  <si>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</si>
  <si>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</si>
  <si>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</si>
  <si>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</si>
  <si>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</si>
  <si>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</si>
  <si>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</si>
  <si>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</si>
  <si>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</si>
  <si>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</si>
  <si>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</si>
  <si>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</si>
  <si>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</si>
  <si>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</si>
  <si>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</si>
  <si>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</si>
  <si>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</si>
  <si>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</si>
  <si>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</si>
  <si>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</si>
  <si>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</si>
  <si>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</si>
  <si>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</si>
  <si>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</si>
  <si>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</si>
  <si>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</si>
  <si>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</si>
  <si>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</si>
  <si>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</si>
  <si>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</si>
  <si>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</si>
  <si>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</si>
  <si>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</si>
  <si>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</si>
  <si>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</si>
  <si>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</si>
  <si>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</si>
  <si>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</si>
  <si>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</si>
  <si>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</si>
  <si>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</si>
  <si>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</si>
  <si>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</si>
  <si>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</si>
  <si>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</si>
  <si>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</si>
  <si>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</si>
  <si>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</si>
  <si>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</si>
  <si>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</si>
  <si>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</si>
  <si>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</si>
  <si>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</si>
  <si>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</si>
  <si>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</si>
  <si>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</si>
  <si>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</si>
  <si>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</si>
  <si>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</si>
  <si>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</si>
  <si>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</si>
  <si>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</si>
  <si>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</si>
  <si>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</si>
  <si>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</si>
  <si>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</si>
  <si>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</si>
  <si>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</si>
  <si>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</si>
  <si>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</si>
  <si>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</si>
  <si>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</si>
  <si>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</si>
  <si>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</si>
  <si>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</si>
  <si>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</si>
  <si>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</si>
  <si>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</si>
  <si>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</si>
  <si>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</si>
  <si>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</si>
  <si>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</si>
  <si>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</si>
  <si>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</si>
  <si>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</si>
  <si>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</si>
  <si>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</si>
  <si>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</si>
  <si>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</si>
  <si>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</si>
  <si>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</si>
  <si>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</si>
  <si>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</si>
  <si>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</si>
  <si>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</si>
  <si>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</si>
  <si>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</si>
  <si>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</si>
  <si>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</si>
  <si>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</si>
  <si>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</si>
  <si>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</si>
  <si>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</si>
  <si>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</si>
  <si>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</si>
  <si>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</si>
  <si>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</si>
  <si>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</si>
  <si>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</si>
  <si>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</si>
  <si>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</si>
  <si>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</si>
  <si>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</si>
  <si>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</si>
  <si>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</si>
  <si>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</si>
  <si>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</si>
  <si>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</si>
  <si>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</si>
  <si>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</si>
  <si>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</si>
  <si>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</si>
  <si>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</si>
  <si>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</si>
  <si>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</si>
  <si>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</si>
  <si>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</si>
  <si>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</si>
  <si>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</si>
  <si>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</si>
  <si>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</si>
  <si>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</si>
  <si>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</si>
  <si>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</si>
  <si>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</si>
  <si>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</si>
  <si>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</si>
  <si>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</si>
  <si>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</si>
  <si>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</si>
  <si>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</si>
  <si>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</si>
  <si>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</si>
  <si>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</si>
  <si>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</si>
  <si>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</si>
  <si>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</si>
  <si>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</si>
  <si>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</si>
  <si>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</si>
  <si>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</si>
  <si>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</si>
  <si>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</si>
  <si>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</si>
  <si>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</si>
  <si>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</si>
  <si>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</si>
  <si>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</si>
  <si>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</si>
  <si>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</si>
  <si>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</si>
  <si>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</si>
  <si>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</si>
  <si>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</si>
  <si>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</si>
  <si>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</si>
  <si>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</si>
  <si>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</si>
  <si>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</si>
  <si>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</si>
  <si>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</si>
  <si>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</si>
  <si>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</si>
  <si>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</si>
  <si>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</si>
  <si>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</si>
  <si>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</si>
  <si>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</si>
  <si>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</si>
  <si>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</si>
  <si>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</si>
  <si>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</si>
  <si>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</si>
  <si>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</si>
  <si>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</si>
  <si>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</si>
  <si>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</si>
  <si>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</si>
  <si>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</si>
  <si>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</si>
  <si>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</si>
  <si>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</si>
  <si>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</si>
  <si>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</si>
  <si>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</si>
  <si>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</si>
  <si>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</si>
  <si>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</si>
  <si>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</si>
  <si>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</si>
  <si>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</si>
  <si>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</si>
  <si>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</si>
  <si>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</si>
  <si>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</si>
  <si>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</si>
  <si>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</si>
  <si>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</si>
  <si>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</si>
  <si>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</si>
  <si>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</si>
  <si>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</si>
  <si>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</si>
  <si>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</si>
  <si>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</si>
  <si>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</si>
  <si>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</si>
  <si>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</si>
  <si>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</si>
  <si>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</si>
  <si>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</si>
  <si>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</si>
  <si>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</si>
  <si>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</si>
  <si>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</si>
  <si>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</si>
  <si>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</si>
  <si>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</si>
  <si>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</si>
  <si>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</si>
  <si>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</si>
  <si>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</si>
  <si>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</si>
  <si>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</si>
  <si>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</si>
  <si>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</si>
  <si>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</si>
  <si>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</si>
  <si>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</si>
  <si>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</si>
  <si>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</si>
  <si>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</si>
  <si>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</si>
  <si>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</si>
  <si>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</si>
  <si>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</si>
  <si>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</si>
  <si>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</si>
  <si>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</si>
  <si>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</si>
  <si>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</si>
  <si>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</si>
  <si>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</si>
  <si>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</si>
  <si>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</si>
  <si>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</si>
  <si>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</si>
  <si>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</si>
  <si>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</si>
  <si>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</si>
  <si>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</si>
  <si>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</si>
  <si>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</si>
  <si>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</si>
  <si>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</si>
  <si>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</si>
  <si>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</si>
  <si>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</si>
  <si>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</si>
  <si>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</si>
  <si>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</si>
  <si>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</si>
  <si>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</si>
  <si>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</si>
  <si>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</si>
  <si>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</si>
  <si>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</si>
  <si>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</si>
  <si>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</si>
  <si>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</si>
  <si>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</si>
  <si>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</si>
  <si>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</si>
  <si>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</si>
  <si>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</si>
  <si>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</si>
  <si>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</si>
  <si>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</si>
  <si>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</si>
  <si>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</si>
  <si>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</si>
  <si>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</si>
  <si>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</si>
  <si>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</si>
  <si>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</si>
  <si>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</si>
  <si>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</si>
  <si>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</si>
  <si>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</si>
  <si>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</si>
  <si>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</si>
  <si>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</si>
  <si>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</si>
  <si>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</si>
  <si>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</si>
  <si>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</si>
  <si>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</si>
  <si>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</si>
  <si>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</si>
  <si>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</si>
  <si>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</si>
  <si>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</si>
  <si>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</si>
  <si>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</si>
  <si>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</si>
  <si>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</si>
  <si>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</si>
  <si>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</si>
  <si>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</si>
  <si>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</si>
  <si>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</si>
  <si>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</si>
  <si>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</si>
  <si>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</si>
  <si>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</si>
  <si>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</si>
  <si>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</si>
  <si>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</si>
  <si>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</si>
  <si>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</si>
  <si>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</si>
  <si>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</si>
  <si>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</si>
  <si>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</si>
  <si>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</si>
  <si>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</si>
  <si>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</si>
  <si>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</si>
  <si>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</si>
  <si>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</si>
  <si>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</si>
  <si>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</si>
  <si>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</si>
  <si>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</si>
  <si>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</si>
  <si>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</si>
  <si>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</si>
  <si>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</si>
  <si>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</si>
  <si>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</si>
  <si>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</si>
  <si>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</si>
  <si>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</si>
  <si>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</si>
  <si>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</si>
  <si>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</si>
  <si>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</si>
  <si>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</si>
  <si>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</si>
  <si>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</si>
  <si>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</si>
  <si>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</si>
  <si>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</si>
  <si>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</si>
  <si>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</si>
  <si>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</si>
  <si>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</si>
  <si>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</si>
  <si>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</si>
  <si>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</si>
  <si>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</si>
  <si>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</si>
  <si>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</si>
  <si>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</si>
  <si>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</si>
  <si>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</si>
  <si>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</si>
  <si>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</si>
  <si>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</si>
  <si>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</si>
  <si>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</si>
  <si>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</si>
  <si>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</si>
  <si>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</si>
  <si>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</si>
  <si>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</si>
  <si>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</si>
  <si>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</si>
  <si>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</si>
  <si>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</si>
  <si>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</si>
  <si>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</si>
  <si>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</si>
  <si>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</si>
  <si>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</si>
  <si>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</si>
  <si>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</si>
  <si>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</si>
  <si>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</si>
  <si>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</si>
  <si>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</si>
  <si>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</si>
  <si>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</si>
  <si>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</si>
  <si>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</si>
  <si>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</si>
  <si>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</si>
  <si>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</si>
  <si>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</si>
  <si>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</si>
  <si>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</si>
  <si>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</si>
  <si>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</si>
  <si>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</si>
  <si>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</si>
  <si>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</si>
  <si>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</si>
  <si>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</si>
  <si>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</si>
  <si>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</si>
  <si>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</si>
  <si>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</si>
  <si>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</si>
  <si>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</si>
  <si>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</si>
  <si>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</si>
  <si>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</si>
  <si>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</si>
  <si>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</si>
  <si>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</si>
  <si>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</si>
  <si>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</si>
  <si>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</si>
  <si>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</si>
  <si>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</si>
  <si>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</si>
  <si>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</si>
  <si>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</si>
  <si>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</si>
  <si>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</si>
  <si>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</si>
  <si>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</si>
  <si>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</si>
  <si>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</si>
  <si>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</si>
  <si>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</si>
  <si>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</si>
  <si>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</si>
  <si>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</si>
  <si>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</si>
  <si>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</si>
  <si>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</si>
  <si>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</si>
  <si>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</si>
  <si>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</si>
  <si>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</si>
  <si>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</si>
  <si>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</si>
  <si>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</si>
  <si>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</si>
  <si>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</si>
  <si>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</si>
  <si>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</si>
  <si>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</si>
  <si>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</si>
  <si>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</si>
  <si>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</si>
  <si>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</si>
  <si>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</si>
  <si>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</si>
  <si>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</si>
  <si>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</si>
  <si>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</si>
  <si>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</si>
  <si>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</si>
  <si>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</si>
  <si>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</si>
  <si>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</si>
  <si>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</si>
  <si>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</si>
  <si>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</si>
  <si>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</si>
  <si>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</si>
  <si>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</si>
  <si>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</si>
  <si>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</si>
  <si>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</si>
  <si>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</si>
  <si>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</si>
  <si>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</si>
  <si>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</si>
  <si>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</si>
  <si>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</si>
  <si>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</si>
  <si>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</si>
  <si>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</si>
  <si>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</si>
  <si>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</si>
  <si>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</si>
  <si>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</si>
  <si>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</si>
  <si>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</si>
  <si>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</si>
  <si>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</si>
  <si>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</si>
  <si>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</si>
  <si>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</si>
  <si>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</si>
  <si>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</si>
  <si>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</si>
  <si>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</si>
  <si>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</si>
  <si>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</si>
  <si>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</si>
  <si>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</si>
  <si>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</si>
  <si>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</si>
  <si>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</si>
  <si>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</si>
  <si>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</si>
  <si>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</si>
  <si>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</si>
  <si>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</si>
  <si>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</si>
  <si>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</si>
  <si>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</si>
  <si>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</si>
  <si>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</si>
  <si>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</si>
  <si>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</si>
  <si>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</si>
  <si>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</si>
  <si>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</si>
  <si>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</si>
  <si>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</si>
  <si>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</si>
  <si>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</si>
  <si>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</si>
  <si>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</si>
  <si>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</si>
  <si>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</si>
  <si>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</si>
  <si>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</si>
  <si>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</si>
  <si>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</si>
  <si>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</si>
  <si>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</si>
  <si>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</si>
  <si>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</si>
  <si>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</si>
  <si>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</si>
  <si>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</si>
  <si>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</si>
  <si>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</si>
  <si>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</si>
  <si>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</si>
  <si>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</si>
  <si>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</si>
  <si>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</si>
  <si>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</si>
  <si>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</si>
  <si>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</si>
  <si>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</si>
  <si>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</si>
  <si>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</si>
  <si>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</si>
  <si>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</si>
  <si>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</si>
  <si>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</si>
  <si>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</si>
  <si>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</si>
  <si>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</si>
  <si>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</si>
  <si>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</si>
  <si>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</si>
  <si>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</si>
  <si>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</si>
  <si>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</si>
  <si>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</si>
  <si>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</si>
  <si>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</si>
  <si>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</si>
  <si>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</si>
  <si>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</si>
  <si>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</si>
  <si>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</si>
  <si>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</si>
  <si>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</si>
  <si>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</si>
  <si>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</si>
  <si>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</si>
  <si>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</si>
  <si>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</si>
  <si>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</si>
  <si>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</si>
  <si>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</si>
  <si>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</si>
  <si>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</si>
  <si>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</si>
  <si>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</si>
  <si>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</si>
  <si>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</si>
  <si>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</si>
  <si>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</si>
  <si>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</si>
  <si>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</si>
  <si>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</si>
  <si>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</si>
  <si>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</si>
  <si>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</si>
  <si>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</si>
  <si>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</si>
  <si>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</si>
  <si>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</si>
  <si>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</si>
  <si>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</si>
  <si>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</si>
  <si>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</si>
  <si>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</si>
  <si>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</si>
  <si>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</si>
  <si>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</si>
  <si>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</si>
  <si>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</si>
  <si>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</si>
  <si>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</si>
  <si>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</si>
  <si>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</si>
  <si>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</si>
  <si>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</si>
  <si>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</si>
  <si>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</si>
  <si>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</si>
  <si>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</si>
  <si>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</si>
  <si>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</si>
  <si>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</si>
  <si>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</si>
  <si>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</si>
  <si>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</si>
  <si>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</si>
  <si>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</si>
  <si>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</si>
  <si>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</si>
  <si>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</si>
  <si>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</si>
  <si>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</si>
  <si>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</si>
  <si>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</si>
  <si>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</si>
  <si>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</si>
  <si>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</si>
  <si>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</si>
  <si>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</si>
  <si>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</si>
  <si>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</si>
  <si>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</si>
  <si>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</si>
  <si>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</si>
  <si>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</si>
  <si>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</si>
  <si>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</si>
  <si>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</si>
  <si>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</si>
  <si>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</si>
  <si>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</si>
  <si>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</si>
  <si>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</si>
  <si>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</si>
  <si>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</si>
  <si>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</si>
  <si>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</si>
  <si>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</si>
  <si>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</si>
  <si>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</si>
  <si>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</si>
  <si>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</si>
  <si>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</si>
  <si>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</si>
  <si>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</si>
  <si>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</si>
  <si>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</si>
  <si>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</si>
  <si>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</si>
  <si>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</si>
  <si>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</si>
  <si>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</si>
  <si>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</si>
  <si>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</si>
  <si>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</si>
  <si>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</si>
  <si>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</si>
  <si>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</si>
  <si>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</si>
  <si>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</si>
  <si>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</si>
  <si>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</si>
  <si>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</si>
  <si>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</si>
  <si>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</si>
  <si>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</si>
  <si>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</si>
  <si>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</si>
  <si>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</si>
  <si>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</si>
  <si>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</si>
  <si>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</si>
  <si>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</si>
  <si>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</si>
  <si>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</si>
  <si>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</si>
  <si>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</si>
  <si>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</si>
  <si>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</si>
  <si>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</si>
  <si>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</si>
  <si>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</si>
  <si>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</si>
  <si>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</si>
  <si>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</si>
  <si>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</si>
  <si>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</si>
  <si>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</si>
  <si>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</si>
  <si>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</si>
  <si>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</si>
  <si>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</si>
  <si>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</si>
  <si>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</si>
  <si>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</si>
  <si>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</si>
  <si>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</si>
  <si>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</si>
  <si>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</si>
  <si>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</si>
  <si>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</si>
  <si>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</si>
  <si>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</si>
  <si>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</si>
  <si>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</si>
  <si>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</si>
  <si>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</si>
  <si>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</si>
  <si>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</si>
  <si>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</si>
  <si>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</si>
  <si>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</si>
  <si>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</si>
  <si>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</si>
  <si>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</si>
  <si>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</si>
  <si>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</si>
  <si>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</si>
  <si>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</si>
  <si>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</si>
  <si>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</si>
  <si>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</si>
  <si>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</si>
  <si>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</si>
  <si>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</si>
  <si>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</si>
  <si>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</si>
  <si>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</si>
  <si>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</si>
  <si>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</si>
  <si>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</si>
  <si>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</si>
  <si>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</si>
  <si>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</si>
  <si>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</si>
  <si>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</si>
  <si>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</si>
  <si>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</si>
  <si>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</si>
  <si>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</si>
  <si>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</si>
  <si>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</si>
  <si>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</si>
  <si>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</si>
  <si>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</si>
  <si>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</si>
  <si>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</si>
  <si>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</si>
  <si>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</si>
  <si>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</si>
  <si>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</si>
  <si>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</si>
  <si>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</si>
  <si>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</si>
  <si>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</si>
  <si>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</si>
  <si>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</si>
  <si>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</si>
  <si>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</si>
  <si>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</si>
  <si>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</si>
  <si>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</si>
  <si>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</si>
  <si>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</si>
  <si>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</si>
  <si>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</si>
  <si>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</si>
  <si>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</si>
  <si>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</si>
  <si>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</si>
  <si>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</si>
  <si>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</si>
  <si>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</si>
  <si>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</si>
  <si>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</si>
  <si>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</si>
  <si>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</si>
  <si>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</si>
  <si>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</si>
  <si>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</si>
  <si>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</si>
  <si>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</si>
  <si>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</si>
  <si>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</si>
  <si>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</si>
  <si>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</si>
  <si>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</si>
  <si>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</si>
  <si>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</si>
  <si>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</si>
  <si>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</si>
  <si>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</si>
  <si>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</si>
  <si>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</si>
  <si>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</si>
  <si>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</si>
  <si>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</si>
  <si>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</si>
  <si>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</si>
  <si>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</si>
  <si>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</si>
  <si>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</si>
  <si>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</si>
  <si>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</si>
  <si>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</si>
  <si>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</si>
  <si>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</si>
  <si>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</si>
  <si>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</si>
  <si>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</si>
  <si>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</si>
  <si>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</si>
  <si>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</si>
  <si>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</si>
  <si>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</si>
  <si>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</si>
  <si>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</si>
  <si>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</si>
  <si>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</si>
  <si>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</si>
  <si>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</si>
  <si>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</si>
  <si>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</si>
  <si>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</si>
  <si>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</si>
  <si>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</si>
  <si>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</si>
  <si>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</si>
  <si>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</si>
  <si>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</si>
  <si>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</si>
  <si>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</si>
  <si>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</si>
  <si>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</si>
  <si>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</si>
  <si>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</si>
  <si>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</si>
  <si>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</si>
  <si>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</si>
  <si>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</si>
  <si>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</si>
  <si>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</si>
  <si>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</si>
  <si>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</si>
  <si>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</si>
  <si>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</si>
  <si>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</si>
  <si>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</si>
  <si>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</si>
  <si>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</si>
  <si>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</si>
  <si>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</si>
  <si>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</si>
  <si>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</si>
  <si>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</si>
  <si>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</si>
  <si>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</si>
  <si>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</si>
  <si>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</si>
  <si>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</si>
  <si>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</si>
  <si>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</si>
  <si>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</si>
  <si>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</si>
  <si>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</si>
  <si>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</si>
  <si>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</si>
  <si>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</si>
  <si>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</si>
  <si>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</si>
  <si>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</si>
  <si>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</si>
  <si>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</si>
  <si>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</si>
  <si>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</si>
  <si>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</si>
  <si>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</si>
  <si>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</si>
  <si>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</si>
  <si>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</si>
  <si>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</si>
  <si>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</si>
  <si>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</si>
  <si>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</si>
  <si>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</si>
  <si>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</si>
  <si>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</si>
  <si>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</si>
  <si>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</si>
  <si>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</si>
  <si>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</si>
  <si>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</si>
  <si>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</si>
  <si>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</si>
  <si>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</si>
  <si>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</si>
  <si>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</si>
  <si>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</si>
  <si>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</si>
  <si>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</si>
  <si>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</si>
  <si>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</si>
  <si>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</si>
  <si>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</si>
  <si>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</si>
  <si>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</si>
  <si>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</si>
  <si>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</si>
  <si>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</si>
  <si>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</si>
  <si>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</si>
  <si>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</si>
  <si>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</si>
  <si>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</si>
  <si>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</si>
  <si>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</si>
  <si>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</si>
  <si>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</si>
  <si>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</si>
  <si>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</si>
  <si>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</si>
  <si>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</si>
  <si>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</si>
  <si>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</si>
  <si>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</si>
  <si>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</si>
  <si>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</si>
  <si>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</si>
  <si>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</si>
  <si>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</si>
  <si>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</si>
  <si>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</si>
  <si>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</si>
  <si>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</si>
  <si>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</si>
  <si>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</si>
  <si>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</si>
  <si>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</si>
  <si>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</si>
  <si>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</si>
  <si>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</si>
  <si>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</si>
  <si>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</si>
  <si>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</si>
  <si>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</si>
  <si>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</si>
  <si>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</si>
  <si>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</si>
  <si>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</si>
  <si>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</si>
  <si>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</si>
  <si>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</si>
  <si>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</si>
  <si>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</si>
  <si>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</si>
  <si>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</si>
  <si>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</si>
  <si>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</si>
  <si>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</si>
  <si>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</si>
  <si>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</si>
  <si>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</si>
  <si>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</si>
  <si>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</si>
  <si>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</si>
  <si>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</si>
  <si>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</si>
  <si>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</si>
  <si>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</si>
  <si>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</si>
  <si>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</si>
  <si>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</si>
  <si>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</si>
  <si>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</si>
  <si>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</si>
  <si>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</si>
  <si>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</si>
  <si>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</si>
  <si>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</si>
  <si>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</si>
  <si>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</si>
  <si>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</si>
  <si>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</si>
  <si>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</si>
  <si>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</si>
  <si>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</si>
  <si>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</si>
  <si>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</si>
  <si>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</si>
  <si>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</si>
  <si>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</si>
  <si>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</si>
  <si>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</si>
  <si>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</si>
  <si>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</si>
  <si>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</si>
  <si>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</si>
  <si>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</si>
  <si>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</si>
  <si>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</si>
  <si>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</si>
  <si>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</si>
  <si>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</si>
  <si>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</si>
  <si>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</si>
  <si>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</si>
  <si>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</si>
  <si>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</si>
  <si>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</si>
  <si>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</si>
  <si>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</si>
  <si>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</si>
  <si>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</si>
  <si>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</si>
  <si>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</si>
  <si>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</si>
  <si>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</si>
  <si>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</si>
  <si>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</si>
  <si>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</si>
  <si>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</si>
  <si>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</si>
  <si>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</si>
  <si>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</si>
  <si>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</si>
  <si>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</si>
  <si>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</si>
  <si>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</si>
  <si>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</si>
  <si>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</si>
  <si>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</si>
  <si>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</si>
  <si>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</si>
  <si>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</si>
  <si>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</si>
  <si>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</si>
  <si>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</si>
  <si>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</si>
  <si>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</si>
  <si>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</si>
  <si>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</si>
  <si>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</si>
  <si>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</si>
  <si>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</si>
  <si>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</si>
  <si>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</si>
  <si>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</si>
  <si>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</si>
  <si>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</si>
  <si>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</si>
  <si>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</si>
  <si>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</si>
  <si>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</si>
  <si>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</si>
  <si>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</si>
  <si>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</si>
  <si>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</si>
  <si>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</si>
  <si>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</si>
  <si>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</si>
  <si>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</si>
  <si>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</si>
  <si>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</si>
  <si>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</si>
  <si>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</si>
  <si>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</si>
  <si>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</si>
  <si>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</si>
  <si>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</si>
  <si>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</si>
  <si>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</si>
  <si>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</si>
  <si>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</si>
  <si>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</si>
  <si>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</si>
  <si>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</si>
  <si>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</si>
  <si>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</si>
  <si>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</si>
  <si>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</si>
  <si>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</si>
  <si>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</si>
  <si>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</si>
  <si>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</si>
  <si>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</si>
  <si>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</si>
  <si>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</si>
  <si>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</si>
  <si>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</si>
  <si>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</si>
  <si>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</si>
  <si>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</si>
  <si>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</si>
  <si>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</si>
  <si>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</si>
  <si>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</si>
  <si>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</si>
  <si>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</si>
  <si>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</si>
  <si>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</si>
  <si>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</si>
  <si>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</si>
  <si>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</si>
  <si>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</si>
  <si>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</si>
  <si>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</si>
  <si>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</si>
  <si>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</si>
  <si>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</si>
  <si>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</si>
  <si>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</si>
  <si>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</si>
  <si>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</si>
  <si>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</si>
  <si>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</si>
  <si>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</si>
  <si>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</si>
  <si>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</si>
  <si>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</si>
  <si>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</si>
  <si>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</si>
  <si>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</si>
  <si>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</si>
  <si>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</si>
  <si>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</si>
  <si>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</si>
  <si>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</si>
  <si>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</si>
  <si>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</si>
  <si>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</si>
  <si>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</si>
  <si>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</si>
  <si>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</si>
  <si>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</si>
  <si>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</si>
  <si>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</si>
  <si>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</si>
  <si>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</si>
  <si>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</si>
  <si>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</si>
  <si>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</si>
  <si>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</si>
  <si>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</si>
  <si>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</si>
  <si>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</si>
  <si>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</si>
  <si>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</si>
  <si>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</si>
  <si>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</si>
  <si>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</si>
  <si>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</si>
  <si>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</si>
  <si>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</si>
  <si>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</si>
  <si>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</si>
  <si>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</si>
  <si>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</si>
  <si>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</si>
  <si>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</si>
  <si>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</si>
  <si>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</si>
  <si>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</si>
  <si>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</si>
  <si>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</si>
  <si>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</si>
  <si>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</si>
  <si>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</si>
  <si>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</si>
  <si>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</si>
  <si>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</si>
  <si>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</si>
  <si>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</si>
  <si>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</si>
  <si>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</si>
  <si>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</si>
  <si>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</si>
  <si>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</si>
  <si>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</si>
  <si>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</si>
  <si>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</si>
  <si>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</si>
  <si>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</si>
  <si>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</si>
  <si>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</si>
  <si>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</si>
  <si>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</si>
  <si>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</si>
  <si>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</si>
  <si>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</si>
  <si>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</si>
  <si>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</si>
  <si>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</si>
  <si>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</si>
  <si>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</si>
  <si>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</si>
  <si>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</si>
  <si>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</si>
  <si>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</si>
  <si>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</si>
  <si>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</si>
  <si>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</si>
  <si>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</si>
  <si>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</si>
  <si>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</si>
  <si>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</si>
  <si>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</si>
  <si>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</si>
  <si>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</si>
  <si>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</si>
  <si>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</si>
  <si>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</si>
  <si>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</si>
  <si>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</si>
  <si>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</si>
  <si>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</si>
  <si>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</si>
  <si>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</si>
  <si>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</si>
  <si>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</si>
  <si>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</si>
  <si>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</si>
  <si>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</si>
  <si>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</si>
  <si>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</si>
  <si>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</si>
  <si>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</si>
  <si>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</si>
  <si>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</si>
  <si>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</si>
  <si>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</si>
  <si>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</si>
  <si>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</si>
  <si>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</si>
  <si>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</si>
  <si>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</si>
  <si>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</si>
  <si>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</si>
  <si>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</si>
  <si>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</si>
  <si>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</si>
  <si>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</si>
  <si>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</si>
  <si>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</si>
  <si>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</si>
  <si>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</si>
  <si>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</si>
  <si>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</si>
  <si>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</si>
  <si>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</si>
  <si>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</si>
  <si>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</si>
  <si>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</si>
  <si>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</si>
  <si>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</si>
  <si>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</si>
  <si>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</si>
  <si>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</si>
  <si>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</si>
  <si>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</si>
  <si>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</si>
  <si>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</si>
  <si>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</si>
  <si>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</si>
  <si>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</si>
  <si>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</si>
  <si>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</si>
  <si>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</si>
  <si>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</si>
  <si>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</si>
  <si>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</si>
  <si>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</si>
  <si>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</si>
  <si>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</si>
  <si>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</si>
  <si>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</si>
  <si>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</si>
  <si>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</si>
  <si>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</si>
  <si>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</si>
  <si>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</si>
  <si>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</si>
  <si>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</si>
  <si>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</si>
  <si>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</si>
  <si>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</si>
  <si>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</si>
  <si>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</si>
  <si>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</si>
  <si>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</si>
  <si>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</si>
  <si>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</si>
  <si>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</si>
  <si>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</si>
  <si>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</si>
  <si>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</si>
  <si>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</si>
  <si>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</si>
  <si>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</si>
  <si>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</si>
  <si>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</si>
  <si>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</si>
  <si>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</si>
  <si>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</si>
  <si>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</si>
  <si>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</si>
  <si>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</si>
  <si>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</si>
  <si>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</si>
  <si>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</si>
  <si>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</si>
  <si>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</si>
  <si>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</si>
  <si>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</si>
  <si>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</si>
  <si>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</si>
  <si>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</si>
  <si>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</si>
  <si>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</si>
  <si>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</si>
  <si>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</si>
  <si>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</si>
  <si>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</si>
  <si>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</si>
  <si>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</si>
  <si>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</si>
  <si>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</si>
  <si>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</si>
  <si>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</si>
  <si>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</si>
  <si>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</si>
  <si>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</si>
  <si>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</si>
  <si>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</si>
  <si>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</si>
  <si>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</si>
  <si>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</si>
  <si>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</si>
  <si>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</si>
  <si>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</si>
  <si>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</si>
  <si>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</si>
  <si>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</si>
  <si>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</si>
  <si>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</si>
  <si>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</si>
  <si>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</si>
  <si>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</si>
  <si>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</si>
  <si>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</si>
  <si>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</si>
  <si>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</si>
  <si>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</si>
  <si>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</si>
  <si>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</si>
  <si>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</si>
  <si>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</si>
  <si>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</si>
  <si>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</si>
  <si>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</si>
  <si>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</si>
  <si>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</si>
  <si>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</si>
  <si>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</si>
  <si>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</si>
  <si>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</si>
  <si>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</si>
  <si>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</si>
  <si>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</si>
  <si>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</si>
  <si>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</si>
  <si>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</si>
  <si>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</si>
  <si>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</si>
  <si>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</si>
  <si>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</si>
  <si>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</si>
  <si>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</si>
  <si>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</si>
  <si>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</si>
  <si>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</si>
  <si>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</si>
  <si>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</si>
  <si>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</si>
  <si>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</si>
  <si>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</si>
  <si>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</si>
  <si>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</si>
  <si>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</si>
  <si>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</si>
  <si>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</si>
  <si>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</si>
  <si>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</si>
  <si>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</si>
  <si>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</si>
  <si>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</si>
  <si>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</si>
  <si>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</si>
  <si>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</si>
  <si>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</si>
  <si>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</si>
  <si>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</si>
  <si>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</si>
  <si>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</si>
  <si>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</si>
  <si>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</si>
  <si>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</si>
  <si>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</si>
  <si>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</si>
  <si>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</si>
  <si>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</si>
  <si>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</si>
  <si>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</si>
  <si>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</si>
  <si>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</si>
  <si>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</si>
  <si>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</si>
  <si>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</si>
  <si>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</si>
  <si>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</si>
  <si>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</si>
  <si>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</si>
  <si>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</si>
  <si>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</si>
  <si>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</si>
  <si>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</si>
  <si>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</si>
  <si>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</si>
  <si>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</si>
  <si>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</si>
  <si>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</si>
  <si>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</si>
  <si>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</si>
  <si>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</si>
  <si>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</si>
  <si>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</si>
  <si>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</si>
  <si>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</si>
  <si>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</si>
  <si>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</si>
  <si>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</si>
  <si>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</si>
  <si>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</si>
  <si>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</si>
  <si>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</si>
  <si>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</si>
  <si>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</si>
  <si>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</si>
  <si>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</si>
  <si>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</si>
  <si>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</si>
  <si>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</si>
  <si>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</si>
  <si>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</si>
  <si>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</si>
  <si>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</si>
  <si>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</si>
  <si>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</si>
  <si>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</si>
  <si>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</si>
  <si>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</si>
  <si>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</si>
  <si>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</si>
  <si>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</si>
  <si>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</si>
  <si>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</si>
  <si>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</si>
  <si>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</si>
  <si>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</si>
  <si>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</si>
  <si>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</si>
  <si>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</si>
  <si>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</si>
  <si>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</si>
  <si>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</si>
  <si>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</si>
  <si>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</si>
  <si>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</si>
  <si>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</si>
  <si>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</si>
  <si>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</si>
  <si>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</si>
  <si>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</si>
  <si>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</si>
  <si>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</si>
  <si>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</si>
  <si>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</si>
  <si>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</si>
  <si>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</si>
  <si>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</si>
  <si>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</si>
  <si>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</si>
  <si>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</si>
  <si>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</si>
  <si>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</si>
  <si>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</si>
  <si>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</si>
  <si>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</si>
  <si>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</si>
  <si>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</si>
  <si>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</si>
  <si>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</si>
  <si>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</si>
  <si>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</si>
  <si>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</si>
  <si>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</si>
  <si>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</si>
  <si>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</si>
  <si>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</si>
  <si>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</si>
  <si>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</si>
  <si>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</si>
  <si>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</si>
  <si>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</si>
  <si>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</si>
  <si>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</si>
  <si>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</si>
  <si>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</si>
  <si>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</si>
  <si>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</si>
  <si>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</si>
  <si>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</si>
  <si>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</si>
  <si>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</si>
  <si>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</si>
  <si>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</si>
  <si>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</si>
  <si>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</si>
  <si>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</si>
  <si>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</si>
  <si>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</si>
  <si>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</si>
  <si>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</si>
  <si>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</si>
  <si>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</si>
  <si>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</si>
  <si>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</si>
  <si>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</si>
  <si>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</si>
  <si>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</si>
  <si>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</si>
  <si>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</si>
  <si>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</si>
  <si>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</si>
  <si>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</si>
  <si>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</si>
  <si>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</si>
  <si>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</si>
  <si>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</si>
  <si>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</si>
  <si>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</si>
  <si>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</si>
  <si>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</si>
  <si>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</si>
  <si>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</si>
  <si>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</si>
  <si>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</si>
  <si>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</si>
  <si>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</si>
  <si>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</si>
  <si>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</si>
  <si>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</si>
  <si>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</si>
  <si>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</si>
  <si>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</si>
  <si>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</si>
  <si>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</si>
  <si>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</si>
  <si>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</si>
  <si>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</si>
  <si>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</si>
  <si>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</si>
  <si>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</si>
  <si>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</si>
  <si>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</si>
  <si>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</si>
  <si>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</si>
  <si>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</si>
  <si>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</si>
  <si>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</si>
  <si>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</si>
  <si>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</si>
  <si>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</si>
  <si>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</si>
  <si>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</si>
  <si>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</si>
  <si>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</si>
  <si>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</si>
  <si>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</si>
  <si>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</si>
  <si>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</si>
  <si>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</si>
  <si>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</si>
  <si>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</si>
  <si>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</si>
  <si>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</si>
  <si>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</si>
  <si>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</si>
  <si>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</si>
  <si>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</si>
  <si>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</si>
  <si>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</si>
  <si>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</si>
  <si>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</si>
  <si>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</si>
  <si>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</si>
  <si>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</si>
  <si>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</si>
  <si>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</si>
  <si>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</si>
  <si>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</si>
  <si>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</si>
  <si>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</si>
  <si>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</si>
  <si>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</si>
  <si>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</si>
  <si>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</si>
  <si>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</si>
  <si>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</si>
  <si>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</si>
  <si>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</si>
  <si>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</si>
  <si>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</si>
  <si>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</si>
  <si>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</si>
  <si>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</si>
  <si>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</si>
  <si>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</si>
  <si>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</si>
  <si>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</si>
  <si>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</si>
  <si>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</si>
  <si>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</si>
  <si>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</si>
  <si>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</si>
  <si>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</si>
  <si>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</si>
  <si>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</si>
  <si>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</si>
  <si>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</si>
  <si>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</si>
  <si>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</si>
  <si>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</si>
  <si>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</si>
  <si>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</si>
  <si>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</si>
  <si>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</si>
  <si>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</si>
  <si>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</si>
  <si>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</si>
  <si>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</si>
  <si>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</si>
  <si>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</si>
  <si>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</si>
  <si>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</si>
  <si>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</si>
  <si>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</si>
  <si>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</si>
  <si>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</si>
  <si>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</si>
  <si>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</si>
  <si>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</si>
  <si>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</si>
  <si>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</si>
  <si>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</si>
  <si>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</si>
  <si>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</si>
  <si>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</si>
  <si>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</si>
  <si>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</si>
  <si>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</si>
  <si>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</si>
  <si>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</si>
  <si>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</si>
  <si>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</si>
  <si>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</si>
  <si>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</si>
  <si>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</si>
  <si>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</si>
  <si>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</si>
  <si>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</si>
  <si>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</si>
  <si>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</si>
  <si>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</si>
  <si>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</si>
  <si>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</si>
  <si>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</si>
  <si>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</si>
  <si>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</si>
  <si>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</si>
  <si>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</si>
  <si>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</si>
  <si>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</si>
  <si>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</si>
  <si>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</si>
  <si>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</si>
  <si>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</si>
  <si>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</si>
  <si>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</si>
  <si>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</si>
  <si>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</si>
  <si>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</si>
  <si>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</si>
  <si>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</si>
  <si>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</si>
  <si>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</si>
  <si>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</si>
  <si>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</si>
  <si>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</si>
  <si>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</si>
  <si>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</si>
  <si>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</si>
  <si>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</si>
  <si>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</si>
  <si>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</si>
  <si>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</si>
  <si>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</si>
  <si>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</si>
  <si>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</si>
  <si>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</si>
  <si>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</si>
  <si>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</si>
  <si>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</si>
  <si>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</si>
  <si>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</si>
  <si>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</si>
  <si>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</si>
  <si>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</si>
  <si>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</si>
  <si>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</si>
  <si>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</si>
  <si>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</si>
  <si>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</si>
  <si>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</si>
  <si>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</si>
  <si>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</si>
  <si>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</si>
  <si>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</si>
  <si>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</si>
  <si>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</si>
  <si>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</si>
  <si>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</si>
  <si>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</si>
  <si>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</si>
  <si>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</si>
  <si>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</si>
  <si>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</si>
  <si>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</si>
  <si>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</si>
  <si>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</si>
  <si>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</si>
  <si>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</si>
  <si>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</si>
  <si>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</si>
  <si>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</si>
  <si>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</si>
  <si>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</si>
  <si>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</si>
  <si>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</si>
  <si>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</si>
  <si>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</si>
  <si>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</si>
  <si>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</si>
  <si>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</si>
  <si>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</si>
  <si>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</si>
  <si>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</si>
  <si>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</si>
  <si>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</si>
  <si>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</si>
  <si>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</si>
  <si>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</si>
  <si>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</si>
  <si>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</si>
  <si>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</si>
  <si>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</si>
  <si>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</si>
  <si>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</si>
  <si>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</si>
  <si>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</si>
  <si>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</si>
  <si>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</si>
  <si>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</si>
  <si>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</si>
  <si>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</si>
  <si>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</si>
  <si>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</si>
  <si>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</si>
  <si>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</si>
  <si>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</si>
  <si>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</si>
  <si>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</si>
  <si>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</si>
  <si>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</si>
  <si>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</si>
  <si>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</si>
  <si>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</si>
  <si>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</si>
  <si>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</si>
  <si>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</si>
  <si>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</si>
  <si>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</si>
  <si>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</si>
  <si>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</si>
  <si>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</si>
  <si>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</si>
  <si>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</si>
  <si>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</si>
  <si>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</si>
  <si>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</si>
  <si>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</si>
  <si>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</si>
  <si>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</si>
  <si>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</si>
  <si>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</si>
  <si>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</si>
  <si>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</si>
  <si>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</si>
  <si>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</si>
  <si>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</si>
  <si>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</si>
  <si>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</si>
  <si>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</si>
  <si>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</si>
  <si>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</si>
  <si>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</si>
  <si>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</si>
  <si>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</si>
  <si>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</si>
  <si>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</si>
  <si>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</si>
  <si>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</si>
  <si>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</si>
  <si>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</si>
  <si>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</si>
  <si>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</si>
  <si>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</si>
  <si>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</si>
  <si>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</si>
  <si>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</si>
  <si>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</si>
  <si>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</si>
  <si>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</si>
  <si>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</si>
  <si>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</si>
  <si>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</si>
  <si>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</si>
  <si>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</si>
  <si>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</si>
  <si>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</si>
  <si>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</si>
  <si>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</si>
  <si>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</si>
  <si>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</si>
  <si>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</si>
  <si>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</si>
  <si>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</si>
  <si>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</si>
  <si>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</si>
  <si>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</si>
  <si>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</si>
  <si>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</si>
  <si>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</si>
  <si>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</si>
  <si>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</si>
  <si>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</si>
  <si>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</si>
  <si>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</si>
  <si>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</si>
  <si>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</si>
  <si>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</si>
  <si>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</si>
  <si>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</si>
  <si>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</si>
  <si>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</si>
  <si>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</si>
  <si>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</si>
  <si>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</si>
  <si>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</si>
  <si>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</si>
  <si>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</si>
  <si>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</si>
  <si>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</si>
  <si>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</si>
  <si>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</si>
  <si>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</si>
  <si>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</si>
  <si>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</si>
  <si>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</si>
  <si>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</si>
  <si>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</si>
  <si>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</si>
  <si>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</si>
  <si>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</si>
  <si>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</si>
  <si>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</si>
  <si>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</si>
  <si>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</si>
  <si>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</si>
  <si>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</si>
  <si>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</si>
  <si>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</si>
  <si>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</si>
  <si>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</si>
  <si>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</si>
  <si>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</si>
  <si>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</si>
  <si>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</si>
  <si>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</si>
  <si>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</si>
  <si>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</si>
  <si>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</si>
  <si>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</si>
  <si>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</si>
  <si>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</si>
  <si>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</si>
  <si>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</si>
  <si>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</si>
  <si>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</si>
  <si>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</si>
  <si>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</si>
  <si>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</si>
  <si>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</si>
  <si>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</si>
  <si>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</si>
  <si>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</si>
  <si>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</si>
  <si>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</si>
  <si>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</si>
  <si>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</si>
  <si>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</si>
  <si>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</si>
  <si>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</si>
  <si>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</si>
  <si>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</si>
  <si>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</si>
  <si>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</si>
  <si>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</si>
  <si>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</si>
  <si>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</si>
  <si>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</si>
  <si>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</si>
  <si>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</si>
  <si>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</si>
  <si>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</si>
  <si>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</si>
  <si>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</si>
  <si>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</si>
  <si>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</si>
  <si>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</si>
  <si>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</si>
  <si>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</si>
  <si>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</si>
  <si>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</si>
  <si>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</si>
  <si>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</si>
  <si>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</si>
  <si>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</si>
  <si>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</si>
  <si>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</si>
  <si>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</si>
  <si>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</si>
  <si>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</si>
  <si>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</si>
  <si>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</si>
  <si>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</si>
  <si>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</si>
  <si>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</si>
  <si>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</si>
  <si>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</si>
  <si>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</si>
  <si>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</si>
  <si>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</si>
  <si>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</si>
  <si>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</si>
  <si>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</si>
  <si>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</si>
  <si>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</si>
  <si>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</si>
  <si>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</si>
  <si>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</si>
  <si>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</si>
  <si>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</si>
  <si>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</si>
  <si>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</si>
  <si>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</si>
  <si>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</si>
  <si>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</si>
  <si>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</si>
  <si>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</si>
  <si>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</si>
  <si>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</si>
  <si>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</si>
  <si>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</si>
  <si>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</si>
  <si>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</si>
  <si>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</si>
  <si>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</si>
  <si>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</si>
  <si>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</si>
  <si>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</si>
  <si>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</si>
  <si>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</si>
  <si>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</si>
  <si>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</si>
  <si>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</si>
  <si>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</si>
  <si>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</si>
  <si>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</si>
  <si>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</si>
  <si>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</si>
  <si>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</si>
  <si>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</si>
  <si>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</si>
  <si>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</si>
  <si>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</si>
  <si>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</si>
  <si>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</si>
  <si>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</si>
  <si>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</si>
  <si>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</si>
  <si>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</si>
  <si>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</si>
  <si>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</si>
  <si>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</si>
  <si>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</si>
  <si>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</si>
  <si>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</si>
  <si>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</si>
  <si>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</si>
  <si>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</si>
  <si>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</si>
  <si>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</si>
  <si>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</si>
  <si>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</si>
  <si>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</si>
  <si>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</si>
  <si>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</si>
  <si>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</si>
  <si>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</si>
  <si>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</si>
  <si>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</si>
  <si>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</si>
  <si>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</si>
  <si>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</si>
  <si>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</si>
  <si>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</si>
  <si>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</si>
  <si>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</si>
  <si>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</si>
  <si>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</si>
  <si>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</si>
  <si>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</si>
  <si>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</si>
  <si>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</si>
  <si>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</si>
  <si>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</si>
  <si>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</si>
  <si>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</si>
  <si>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</si>
  <si>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</si>
  <si>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</si>
  <si>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</si>
  <si>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</si>
  <si>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</si>
  <si>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</si>
  <si>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</si>
  <si>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</si>
  <si>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</si>
  <si>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</si>
  <si>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</si>
  <si>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</si>
  <si>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</si>
  <si>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</si>
  <si>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</si>
  <si>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</si>
  <si>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</si>
  <si>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</si>
  <si>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</si>
  <si>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</si>
  <si>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</si>
  <si>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</si>
  <si>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</si>
  <si>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</si>
  <si>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</si>
  <si>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</si>
  <si>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</si>
  <si>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</si>
  <si>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</si>
  <si>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</si>
  <si>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</si>
  <si>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</si>
  <si>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</si>
  <si>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</si>
  <si>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</si>
  <si>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</si>
  <si>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</si>
  <si>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</si>
  <si>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</si>
  <si>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</si>
  <si>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</si>
  <si>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</si>
  <si>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</si>
  <si>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</si>
  <si>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</si>
  <si>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</si>
  <si>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</si>
  <si>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</si>
  <si>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</si>
  <si>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</si>
  <si>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</si>
  <si>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</si>
  <si>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</si>
  <si>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</si>
  <si>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</si>
  <si>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</si>
  <si>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</si>
  <si>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</si>
  <si>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</si>
  <si>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</si>
  <si>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</si>
  <si>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</si>
  <si>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</si>
  <si>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</si>
  <si>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</si>
  <si>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</si>
  <si>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</si>
  <si>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</si>
  <si>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</si>
  <si>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</si>
  <si>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</si>
  <si>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</si>
  <si>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</si>
  <si>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</si>
  <si>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</si>
  <si>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</si>
  <si>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</si>
  <si>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</si>
  <si>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</si>
  <si>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</si>
  <si>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</si>
  <si>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</si>
  <si>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</si>
  <si>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</si>
  <si>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</si>
  <si>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</si>
  <si>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</si>
  <si>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</si>
  <si>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</si>
  <si>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</si>
  <si>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</si>
  <si>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</si>
  <si>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</si>
  <si>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</si>
  <si>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</si>
  <si>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</si>
  <si>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</si>
  <si>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</si>
  <si>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</si>
  <si>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</si>
  <si>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</si>
  <si>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</si>
  <si>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</si>
  <si>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</si>
  <si>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</si>
  <si>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</si>
  <si>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</si>
  <si>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</si>
  <si>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</si>
  <si>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</si>
  <si>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</si>
  <si>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</si>
  <si>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</si>
  <si>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</si>
  <si>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</si>
  <si>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</si>
  <si>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</si>
  <si>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</si>
  <si>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</si>
  <si>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</si>
  <si>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</si>
  <si>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</si>
  <si>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</si>
  <si>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</si>
  <si>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</si>
  <si>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</si>
  <si>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</si>
  <si>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</si>
  <si>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</si>
  <si>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</si>
  <si>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</si>
  <si>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</si>
  <si>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</si>
  <si>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</si>
  <si>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</si>
  <si>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</si>
  <si>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</si>
  <si>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</si>
  <si>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</si>
  <si>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</si>
  <si>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</si>
  <si>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</si>
  <si>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</si>
  <si>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</si>
  <si>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</si>
  <si>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</si>
  <si>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</si>
  <si>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</si>
  <si>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</si>
  <si>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</si>
  <si>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</si>
  <si>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</si>
  <si>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</si>
  <si>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</si>
  <si>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</si>
  <si>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</si>
  <si>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</si>
  <si>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</si>
  <si>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</si>
  <si>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</si>
  <si>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</si>
  <si>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</si>
  <si>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</si>
  <si>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</si>
  <si>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</si>
  <si>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</si>
  <si>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</si>
  <si>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</si>
  <si>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</si>
  <si>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</si>
  <si>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</si>
  <si>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</si>
  <si>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</si>
  <si>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</si>
  <si>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</si>
  <si>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</si>
  <si>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</si>
  <si>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</si>
  <si>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</si>
  <si>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</si>
  <si>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</si>
  <si>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</si>
  <si>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</si>
  <si>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</si>
  <si>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</si>
  <si>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</si>
  <si>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</si>
  <si>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</si>
  <si>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</si>
  <si>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</si>
  <si>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</si>
  <si>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</si>
  <si>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</si>
  <si>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</si>
  <si>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</si>
  <si>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</si>
  <si>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</si>
  <si>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</si>
  <si>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</si>
  <si>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</si>
  <si>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</si>
  <si>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</si>
  <si>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</si>
  <si>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</si>
  <si>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</si>
  <si>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</si>
  <si>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</si>
  <si>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</si>
  <si>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</si>
  <si>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</si>
  <si>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</si>
  <si>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</si>
  <si>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</si>
  <si>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</si>
  <si>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</si>
  <si>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</si>
  <si>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</si>
  <si>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</si>
  <si>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</si>
  <si>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</si>
  <si>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</si>
  <si>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</si>
  <si>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</si>
  <si>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</si>
  <si>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</si>
  <si>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</si>
  <si>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</si>
  <si>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</si>
  <si>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</si>
  <si>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</si>
  <si>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</si>
  <si>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</si>
  <si>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</si>
  <si>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</si>
  <si>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</si>
  <si>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</si>
  <si>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</si>
  <si>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</si>
  <si>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</si>
  <si>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</si>
  <si>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</si>
  <si>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</si>
  <si>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</si>
  <si>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</si>
  <si>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</si>
  <si>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</si>
  <si>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</si>
  <si>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</si>
  <si>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</si>
  <si>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</si>
  <si>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</si>
  <si>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</si>
  <si>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</si>
  <si>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</si>
  <si>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</si>
  <si>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</si>
  <si>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</si>
  <si>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</si>
  <si>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</si>
  <si>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</si>
  <si>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</si>
  <si>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</si>
  <si>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</si>
  <si>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</si>
  <si>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</si>
  <si>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</si>
  <si>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</si>
  <si>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</si>
  <si>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</si>
  <si>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</si>
  <si>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</si>
  <si>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</si>
  <si>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</si>
  <si>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</si>
  <si>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</si>
  <si>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</si>
  <si>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</si>
  <si>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</si>
  <si>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</si>
  <si>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</si>
  <si>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</si>
  <si>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</si>
  <si>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</si>
  <si>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</si>
  <si>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</si>
  <si>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</si>
  <si>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</si>
  <si>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</si>
  <si>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</si>
  <si>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</si>
  <si>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</si>
  <si>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</si>
  <si>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</si>
  <si>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</si>
  <si>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</si>
  <si>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</si>
  <si>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</si>
  <si>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</si>
  <si>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</si>
  <si>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</si>
  <si>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</si>
  <si>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</si>
  <si>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</si>
  <si>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</si>
  <si>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</si>
  <si>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</si>
  <si>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</si>
  <si>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</si>
  <si>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</si>
  <si>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</si>
  <si>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</si>
  <si>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</si>
  <si>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</si>
  <si>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</si>
  <si>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</si>
  <si>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</si>
  <si>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</si>
  <si>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</si>
  <si>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</si>
  <si>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</si>
  <si>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</si>
  <si>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</si>
  <si>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</si>
  <si>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</si>
  <si>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</si>
  <si>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</si>
  <si>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</si>
  <si>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</si>
  <si>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</si>
  <si>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</si>
  <si>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</si>
  <si>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</si>
  <si>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</si>
  <si>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</si>
  <si>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</si>
  <si>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</si>
  <si>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</si>
  <si>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</si>
  <si>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</si>
  <si>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</si>
  <si>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</si>
  <si>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</si>
  <si>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</si>
  <si>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</si>
  <si>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</si>
  <si>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</si>
  <si>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</si>
  <si>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</si>
  <si>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</si>
  <si>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</si>
  <si>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</si>
  <si>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</si>
  <si>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</si>
  <si>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</si>
  <si>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</si>
  <si>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</si>
  <si>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</si>
  <si>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</si>
  <si>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</si>
  <si>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</si>
  <si>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</si>
  <si>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</si>
  <si>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</si>
  <si>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</si>
  <si>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</si>
  <si>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</si>
  <si>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</si>
  <si>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</si>
  <si>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</si>
  <si>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</si>
  <si>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</si>
  <si>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</si>
  <si>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</si>
  <si>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</si>
  <si>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</si>
  <si>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</si>
  <si>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</si>
  <si>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</si>
  <si>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</si>
  <si>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</si>
  <si>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</si>
  <si>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</si>
  <si>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</si>
  <si>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</si>
  <si>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</si>
  <si>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</si>
  <si>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</si>
  <si>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</si>
  <si>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</si>
  <si>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</si>
  <si>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</si>
  <si>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</si>
  <si>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</si>
  <si>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</si>
  <si>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</si>
  <si>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</si>
  <si>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</si>
  <si>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</si>
  <si>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</si>
  <si>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</si>
  <si>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</si>
  <si>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</si>
  <si>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</si>
  <si>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</si>
  <si>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</si>
  <si>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</si>
  <si>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</si>
  <si>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</si>
  <si>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</si>
  <si>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</si>
  <si>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</si>
  <si>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</si>
  <si>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</si>
  <si>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</si>
  <si>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</si>
  <si>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</si>
  <si>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</si>
  <si>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</si>
  <si>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</si>
  <si>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</si>
  <si>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</si>
  <si>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</si>
  <si>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</si>
  <si>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</si>
  <si>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</si>
  <si>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</si>
  <si>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</si>
  <si>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</si>
  <si>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</si>
  <si>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</si>
  <si>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</si>
  <si>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</si>
  <si>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</si>
  <si>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</si>
  <si>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</si>
  <si>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</si>
  <si>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</si>
  <si>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</si>
  <si>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</si>
  <si>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</si>
  <si>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</si>
  <si>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</si>
  <si>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</si>
  <si>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</si>
  <si>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</si>
  <si>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</si>
  <si>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</si>
  <si>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</si>
  <si>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</si>
  <si>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</si>
  <si>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</si>
  <si>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</si>
  <si>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</si>
  <si>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</si>
  <si>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</si>
  <si>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</si>
  <si>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</si>
  <si>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</si>
  <si>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</si>
  <si>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</si>
  <si>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</si>
  <si>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</si>
  <si>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</si>
  <si>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</si>
  <si>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</si>
  <si>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</si>
  <si>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</si>
  <si>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</si>
  <si>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</si>
  <si>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</si>
  <si>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</si>
  <si>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</si>
  <si>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</si>
  <si>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</si>
  <si>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</si>
  <si>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</si>
  <si>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</si>
  <si>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</si>
  <si>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</si>
  <si>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</si>
  <si>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</si>
  <si>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</si>
  <si>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</si>
  <si>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</si>
  <si>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</si>
  <si>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</si>
  <si>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</si>
  <si>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</si>
  <si>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</si>
  <si>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</si>
  <si>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</si>
  <si>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</si>
  <si>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</si>
  <si>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</si>
  <si>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</si>
  <si>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</si>
  <si>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</si>
  <si>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</si>
  <si>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</si>
  <si>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</si>
  <si>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</si>
  <si>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</si>
  <si>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</si>
  <si>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</si>
  <si>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</si>
  <si>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</si>
  <si>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</si>
  <si>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</si>
  <si>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</si>
  <si>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</si>
  <si>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</si>
  <si>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</si>
  <si>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</si>
  <si>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</si>
  <si>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</si>
  <si>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</si>
  <si>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</si>
  <si>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</si>
  <si>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</si>
  <si>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</si>
  <si>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</si>
  <si>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</si>
  <si>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</si>
  <si>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</si>
  <si>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</si>
  <si>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</si>
  <si>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</si>
  <si>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</si>
  <si>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</si>
  <si>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</si>
  <si>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</si>
  <si>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</si>
  <si>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</si>
  <si>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</si>
  <si>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</si>
  <si>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</si>
  <si>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</si>
  <si>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</si>
  <si>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</si>
  <si>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</si>
  <si>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</si>
  <si>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</si>
  <si>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</si>
  <si>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</si>
  <si>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</si>
  <si>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</si>
  <si>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</si>
  <si>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</si>
  <si>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</si>
  <si>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</si>
  <si>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</si>
  <si>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</si>
  <si>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</si>
  <si>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</si>
  <si>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</si>
  <si>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</si>
  <si>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</si>
  <si>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</si>
  <si>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</si>
  <si>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</si>
  <si>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</si>
  <si>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</si>
  <si>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</si>
  <si>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</si>
  <si>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</si>
  <si>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</si>
  <si>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</si>
  <si>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</si>
  <si>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</si>
  <si>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</si>
  <si>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</si>
  <si>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</si>
  <si>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</si>
  <si>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</si>
  <si>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</si>
  <si>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</si>
  <si>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</si>
  <si>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</si>
  <si>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</si>
  <si>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</si>
  <si>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</si>
  <si>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</si>
  <si>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</si>
  <si>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</si>
  <si>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</si>
  <si>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</si>
  <si>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</si>
  <si>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</si>
  <si>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</si>
  <si>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</si>
  <si>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</si>
  <si>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</si>
  <si>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</si>
  <si>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</si>
  <si>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</si>
  <si>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</si>
  <si>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</si>
  <si>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</si>
  <si>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</si>
  <si>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</si>
  <si>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</si>
  <si>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</si>
  <si>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</si>
  <si>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</si>
  <si>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</si>
  <si>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</si>
  <si>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</si>
  <si>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</si>
  <si>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</si>
  <si>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</si>
  <si>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</si>
  <si>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</si>
  <si>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</si>
  <si>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</si>
  <si>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</si>
  <si>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</si>
  <si>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</si>
  <si>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</si>
  <si>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</si>
  <si>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</si>
  <si>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</si>
  <si>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</si>
  <si>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</si>
  <si>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</si>
  <si>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</si>
  <si>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</si>
  <si>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</si>
  <si>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</si>
  <si>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</si>
  <si>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</si>
  <si>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</si>
  <si>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</si>
  <si>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</si>
  <si>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</si>
  <si>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</si>
  <si>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</si>
  <si>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</si>
  <si>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</si>
  <si>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</si>
  <si>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</si>
  <si>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</si>
  <si>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</si>
  <si>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</si>
  <si>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</si>
  <si>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</si>
  <si>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</si>
  <si>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</si>
  <si>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</si>
  <si>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</si>
  <si>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</si>
  <si>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</si>
  <si>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</si>
  <si>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</si>
  <si>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</si>
  <si>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</si>
  <si>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</si>
  <si>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</si>
  <si>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</si>
  <si>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</si>
  <si>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</si>
  <si>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</si>
  <si>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</si>
  <si>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</si>
  <si>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</si>
  <si>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</si>
  <si>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</si>
  <si>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</si>
  <si>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</si>
  <si>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</si>
  <si>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</si>
  <si>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</si>
  <si>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</si>
  <si>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</si>
  <si>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</si>
  <si>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</si>
  <si>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</si>
  <si>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</si>
  <si>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</si>
  <si>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</si>
  <si>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</si>
  <si>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</si>
  <si>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</si>
  <si>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</si>
  <si>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</si>
  <si>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</si>
  <si>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</si>
  <si>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</si>
  <si>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</si>
  <si>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</si>
  <si>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</si>
  <si>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</si>
  <si>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</si>
  <si>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</si>
  <si>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</si>
  <si>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</si>
  <si>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</si>
  <si>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</si>
  <si>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</si>
  <si>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</si>
  <si>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</si>
  <si>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</si>
  <si>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</si>
  <si>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</si>
  <si>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</si>
  <si>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</si>
  <si>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</si>
  <si>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</si>
  <si>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</si>
  <si>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</si>
  <si>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</si>
  <si>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</si>
  <si>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</si>
  <si>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</si>
  <si>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</si>
  <si>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</si>
  <si>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</si>
  <si>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</si>
  <si>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</si>
  <si>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</si>
  <si>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</si>
  <si>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</si>
  <si>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</si>
  <si>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</si>
  <si>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</si>
  <si>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</si>
  <si>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</si>
  <si>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</si>
  <si>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</si>
  <si>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</si>
  <si>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</si>
  <si>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</si>
  <si>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</si>
  <si>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</si>
  <si>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</si>
  <si>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</si>
  <si>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</si>
  <si>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</si>
  <si>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</si>
  <si>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</si>
  <si>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</si>
  <si>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</si>
  <si>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</si>
  <si>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</si>
  <si>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</si>
  <si>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</si>
  <si>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</si>
  <si>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</si>
  <si>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</si>
  <si>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</si>
  <si>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</si>
  <si>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</si>
  <si>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</si>
  <si>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</si>
  <si>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</si>
  <si>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</si>
  <si>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</si>
  <si>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</si>
  <si>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</si>
  <si>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</si>
  <si>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</si>
  <si>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</si>
  <si>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</si>
  <si>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</si>
  <si>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</si>
  <si>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</si>
  <si>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</si>
  <si>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</si>
  <si>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</si>
  <si>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</si>
  <si>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</si>
  <si>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</si>
  <si>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</si>
  <si>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</si>
  <si>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</si>
  <si>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</si>
  <si>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</si>
  <si>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</si>
  <si>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</si>
  <si>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</si>
  <si>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</si>
  <si>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</si>
  <si>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</si>
  <si>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</si>
  <si>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</si>
  <si>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</si>
  <si>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</si>
  <si>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</si>
  <si>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</si>
  <si>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</si>
  <si>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</si>
  <si>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</si>
  <si>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</si>
  <si>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</si>
  <si>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</si>
  <si>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</si>
  <si>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</si>
  <si>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</si>
  <si>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</si>
  <si>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</si>
  <si>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</si>
  <si>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</si>
  <si>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</si>
  <si>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</si>
  <si>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</si>
  <si>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</si>
  <si>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</si>
  <si>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</si>
  <si>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</si>
  <si>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</si>
  <si>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</si>
  <si>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</si>
  <si>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</si>
  <si>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</si>
  <si>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</si>
  <si>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</si>
  <si>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</si>
  <si>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</si>
  <si>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</si>
  <si>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</si>
  <si>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</si>
  <si>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</si>
  <si>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</si>
  <si>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</si>
  <si>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</si>
  <si>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</si>
  <si>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</si>
  <si>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</si>
  <si>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</si>
  <si>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</si>
  <si>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</si>
  <si>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</si>
  <si>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</si>
  <si>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</si>
  <si>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</si>
  <si>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</si>
  <si>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</si>
  <si>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</si>
  <si>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</si>
  <si>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</si>
  <si>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</si>
  <si>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</si>
  <si>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</si>
  <si>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</si>
  <si>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</si>
  <si>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</si>
  <si>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</si>
  <si>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</si>
  <si>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</si>
  <si>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</si>
  <si>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</si>
  <si>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</si>
  <si>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</si>
  <si>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</si>
  <si>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</si>
  <si>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</si>
  <si>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</si>
  <si>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</si>
  <si>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</si>
  <si>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</si>
  <si>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</si>
  <si>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</si>
  <si>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</si>
  <si>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</si>
  <si>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</si>
  <si>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</si>
  <si>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</si>
  <si>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</si>
  <si>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</si>
  <si>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</si>
  <si>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</si>
  <si>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</si>
  <si>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</si>
  <si>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</si>
  <si>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</si>
  <si>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</si>
  <si>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</si>
  <si>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</si>
  <si>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</si>
  <si>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</si>
  <si>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</si>
  <si>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</si>
  <si>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</si>
  <si>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</si>
  <si>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</si>
  <si>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</si>
  <si>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</si>
  <si>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</si>
  <si>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</si>
  <si>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</si>
  <si>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</si>
  <si>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</si>
  <si>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</si>
  <si>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</si>
  <si>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</si>
  <si>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</si>
  <si>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</si>
  <si>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</si>
  <si>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</si>
  <si>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</si>
  <si>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</si>
  <si>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</si>
  <si>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</si>
  <si>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</si>
  <si>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</si>
  <si>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</si>
  <si>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</si>
  <si>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</si>
  <si>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</si>
  <si>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</si>
  <si>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</si>
  <si>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</si>
  <si>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</si>
  <si>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</si>
  <si>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</si>
  <si>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</si>
  <si>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</si>
  <si>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</si>
  <si>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</si>
  <si>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</si>
  <si>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</si>
  <si>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</si>
  <si>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</si>
  <si>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</si>
  <si>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</si>
  <si>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</si>
  <si>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</si>
  <si>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</si>
  <si>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</si>
  <si>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</si>
  <si>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</si>
  <si>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</si>
  <si>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</si>
  <si>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</si>
  <si>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</si>
  <si>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</si>
  <si>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</si>
  <si>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</si>
  <si>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</si>
  <si>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</si>
  <si>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</si>
  <si>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</si>
  <si>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</si>
  <si>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</si>
  <si>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</si>
  <si>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</si>
  <si>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</si>
  <si>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</si>
  <si>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</si>
  <si>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</si>
  <si>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</si>
  <si>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</si>
  <si>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</si>
  <si>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</si>
  <si>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</si>
  <si>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</si>
  <si>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</si>
  <si>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</si>
  <si>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</si>
  <si>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</si>
  <si>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</si>
  <si>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</si>
  <si>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</si>
  <si>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</si>
  <si>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</si>
  <si>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</si>
  <si>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</si>
  <si>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</si>
  <si>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</si>
  <si>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</si>
  <si>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</si>
  <si>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</si>
  <si>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</si>
  <si>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</si>
  <si>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</si>
  <si>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</si>
  <si>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</si>
  <si>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</si>
  <si>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</si>
  <si>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</si>
  <si>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</si>
  <si>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</si>
  <si>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</si>
  <si>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</si>
  <si>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</si>
  <si>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</si>
  <si>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</si>
  <si>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</si>
  <si>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</si>
  <si>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</si>
  <si>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</si>
  <si>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</si>
  <si>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</si>
  <si>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</si>
  <si>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</si>
  <si>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</si>
  <si>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</si>
  <si>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</si>
  <si>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</si>
  <si>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</si>
  <si>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</si>
  <si>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</si>
  <si>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</si>
  <si>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</si>
  <si>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</si>
  <si>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</si>
  <si>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</si>
  <si>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</si>
  <si>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</si>
  <si>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</si>
  <si>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</si>
  <si>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</si>
  <si>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</si>
  <si>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</si>
  <si>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</si>
  <si>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</si>
  <si>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</si>
  <si>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</si>
  <si>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</si>
  <si>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</si>
  <si>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</si>
  <si>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</si>
  <si>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</si>
  <si>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</si>
  <si>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</si>
  <si>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</si>
  <si>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</si>
  <si>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</si>
  <si>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</si>
  <si>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</si>
  <si>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</si>
  <si>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</si>
  <si>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</si>
  <si>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</si>
  <si>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</si>
  <si>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</si>
  <si>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</si>
  <si>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</si>
  <si>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</si>
  <si>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</si>
  <si>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</si>
  <si>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</si>
  <si>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</si>
  <si>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</si>
  <si>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</si>
  <si>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</si>
  <si>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</si>
  <si>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</si>
  <si>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</si>
  <si>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</si>
  <si>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</si>
  <si>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</si>
  <si>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</si>
  <si>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</si>
  <si>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</si>
  <si>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</si>
  <si>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</si>
  <si>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</si>
  <si>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</si>
  <si>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</si>
  <si>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</si>
  <si>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</si>
  <si>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</si>
  <si>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</si>
  <si>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</si>
  <si>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</si>
  <si>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</si>
  <si>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</si>
  <si>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</si>
  <si>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</si>
  <si>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</si>
  <si>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</si>
  <si>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</si>
  <si>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</si>
  <si>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</si>
  <si>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</si>
  <si>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</si>
  <si>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</si>
  <si>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</si>
  <si>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</si>
  <si>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</si>
  <si>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</si>
  <si>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</si>
  <si>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</si>
  <si>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</si>
  <si>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</si>
  <si>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</si>
  <si>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</si>
  <si>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</si>
  <si>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</si>
  <si>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</si>
  <si>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</si>
  <si>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</si>
  <si>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</si>
  <si>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</si>
  <si>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</si>
  <si>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</si>
  <si>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</si>
  <si>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</si>
  <si>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</si>
  <si>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</si>
  <si>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</si>
  <si>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</si>
  <si>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</si>
  <si>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</si>
  <si>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</si>
  <si>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</si>
  <si>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</si>
  <si>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</si>
  <si>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</si>
  <si>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</si>
  <si>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</si>
  <si>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</si>
  <si>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</si>
  <si>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</si>
  <si>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</si>
  <si>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</si>
  <si>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</si>
  <si>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</si>
  <si>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</si>
  <si>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</si>
  <si>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</si>
  <si>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</si>
  <si>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</si>
  <si>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</si>
  <si>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</si>
  <si>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</si>
  <si>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</si>
  <si>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</si>
  <si>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</si>
  <si>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</si>
  <si>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</si>
  <si>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</si>
  <si>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</si>
  <si>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</si>
  <si>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</si>
  <si>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</si>
  <si>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</si>
  <si>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</si>
  <si>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</si>
  <si>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</si>
  <si>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</si>
  <si>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</si>
  <si>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</si>
  <si>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</si>
  <si>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</si>
  <si>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</si>
  <si>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</si>
  <si>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</si>
  <si>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</si>
  <si>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</si>
  <si>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</si>
  <si>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</si>
  <si>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</si>
  <si>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</si>
  <si>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</si>
  <si>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</si>
  <si>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</si>
  <si>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</si>
  <si>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</si>
  <si>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</si>
  <si>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</si>
  <si>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</si>
  <si>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</si>
  <si>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</si>
  <si>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</si>
  <si>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</si>
  <si>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</si>
  <si>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</si>
  <si>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</si>
  <si>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</si>
  <si>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</si>
  <si>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</si>
  <si>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</si>
  <si>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</si>
  <si>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</si>
  <si>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</si>
  <si>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</si>
  <si>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</si>
  <si>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</si>
  <si>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</si>
  <si>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</si>
  <si>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</si>
  <si>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</si>
  <si>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</si>
  <si>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</si>
  <si>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</si>
  <si>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</si>
  <si>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</si>
  <si>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</si>
  <si>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</si>
  <si>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</si>
  <si>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</si>
  <si>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</si>
  <si>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</si>
  <si>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</si>
  <si>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</si>
  <si>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</si>
  <si>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</si>
  <si>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</si>
  <si>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</si>
  <si>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</si>
  <si>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</si>
  <si>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</si>
  <si>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</si>
  <si>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</si>
  <si>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</si>
  <si>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</si>
  <si>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</si>
  <si>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</si>
  <si>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</si>
  <si>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</si>
  <si>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</si>
  <si>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</si>
  <si>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</si>
  <si>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</si>
  <si>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</si>
  <si>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</si>
  <si>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</si>
  <si>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</si>
  <si>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</si>
  <si>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</si>
  <si>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</si>
  <si>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</si>
  <si>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</si>
  <si>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</si>
  <si>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</si>
  <si>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</si>
  <si>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</si>
  <si>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</si>
  <si>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</si>
  <si>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</si>
  <si>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</si>
  <si>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</si>
  <si>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</si>
  <si>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</si>
  <si>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</si>
  <si>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</si>
  <si>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</si>
  <si>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</si>
  <si>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</si>
  <si>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</si>
  <si>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</si>
  <si>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</si>
  <si>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</si>
  <si>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</si>
  <si>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</si>
  <si>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</si>
  <si>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</si>
  <si>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</si>
  <si>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</si>
  <si>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</si>
  <si>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</si>
  <si>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</si>
  <si>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</si>
  <si>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</si>
  <si>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</si>
  <si>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</si>
  <si>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</si>
  <si>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</si>
  <si>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</si>
  <si>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</si>
  <si>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</si>
  <si>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</si>
  <si>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</si>
  <si>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</si>
  <si>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</si>
  <si>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</si>
  <si>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</si>
  <si>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</si>
  <si>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</si>
  <si>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</si>
  <si>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</si>
  <si>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</si>
  <si>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</si>
  <si>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</si>
  <si>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</si>
  <si>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</si>
  <si>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</si>
  <si>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</si>
  <si>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</si>
  <si>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</si>
  <si>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</si>
  <si>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</si>
  <si>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</si>
  <si>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</si>
  <si>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</si>
  <si>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</si>
  <si>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</si>
  <si>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</si>
  <si>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</si>
  <si>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</si>
  <si>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</si>
  <si>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</si>
  <si>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</si>
  <si>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</si>
  <si>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</si>
  <si>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</si>
  <si>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</si>
  <si>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</si>
  <si>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</si>
  <si>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</si>
  <si>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</si>
  <si>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</si>
  <si>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</si>
  <si>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</si>
  <si>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</si>
  <si>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</si>
  <si>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</si>
  <si>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</si>
  <si>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</si>
  <si>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</si>
  <si>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</si>
  <si>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</si>
  <si>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</si>
  <si>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</si>
  <si>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</si>
  <si>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</si>
  <si>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</si>
  <si>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</si>
  <si>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</si>
  <si>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</si>
  <si>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</si>
  <si>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</si>
  <si>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</si>
  <si>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</si>
  <si>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</si>
  <si>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</si>
  <si>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</si>
  <si>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</si>
  <si>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</si>
  <si>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</si>
  <si>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</si>
  <si>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</si>
  <si>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</si>
  <si>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</si>
  <si>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</si>
  <si>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</si>
  <si>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</si>
  <si>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</si>
  <si>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</si>
  <si>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</si>
  <si>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</si>
  <si>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</si>
  <si>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</si>
  <si>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</si>
  <si>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</si>
  <si>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</si>
  <si>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</si>
  <si>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</si>
  <si>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</si>
  <si>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</si>
  <si>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</si>
  <si>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</si>
  <si>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</si>
  <si>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</si>
  <si>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</si>
  <si>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</si>
  <si>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</si>
  <si>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</si>
  <si>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</si>
  <si>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</si>
  <si>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</si>
  <si>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</si>
  <si>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</si>
  <si>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</si>
  <si>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</si>
  <si>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</si>
  <si>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</si>
  <si>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</si>
  <si>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</si>
  <si>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</si>
  <si>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</si>
  <si>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</si>
  <si>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</si>
  <si>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</si>
  <si>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</si>
  <si>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</si>
  <si>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</si>
  <si>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</si>
  <si>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</si>
  <si>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</si>
  <si>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</si>
  <si>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</si>
  <si>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</si>
  <si>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</si>
  <si>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</si>
  <si>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</si>
  <si>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</si>
  <si>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</si>
  <si>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</si>
  <si>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</si>
  <si>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</si>
  <si>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</si>
  <si>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</si>
  <si>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</si>
  <si>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</si>
  <si>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</si>
  <si>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</si>
  <si>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</si>
  <si>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</si>
  <si>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</si>
  <si>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</si>
  <si>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</si>
  <si>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</si>
  <si>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</si>
  <si>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</si>
  <si>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</si>
  <si>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</si>
  <si>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</si>
  <si>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</si>
  <si>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</si>
  <si>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</si>
  <si>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</si>
  <si>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</si>
  <si>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</si>
  <si>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</si>
  <si>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</si>
  <si>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</si>
  <si>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</si>
  <si>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</si>
  <si>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</si>
  <si>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</si>
  <si>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</si>
  <si>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</si>
  <si>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</si>
  <si>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</si>
  <si>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</si>
  <si>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</si>
  <si>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</si>
  <si>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</si>
  <si>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</si>
  <si>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</si>
  <si>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</si>
  <si>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</si>
  <si>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</si>
  <si>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</si>
  <si>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</si>
  <si>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</si>
  <si>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</si>
  <si>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</si>
  <si>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</si>
  <si>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</si>
  <si>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</si>
  <si>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</si>
  <si>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</si>
  <si>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</si>
  <si>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</si>
  <si>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</si>
  <si>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</si>
  <si>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</si>
  <si>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</si>
  <si>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</si>
  <si>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</si>
  <si>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</si>
  <si>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</si>
  <si>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</si>
  <si>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</si>
  <si>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</si>
  <si>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</si>
  <si>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</si>
  <si>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</si>
  <si>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</si>
  <si>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</si>
  <si>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</si>
  <si>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</si>
  <si>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</si>
  <si>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</si>
  <si>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</si>
  <si>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</si>
  <si>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</si>
  <si>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</si>
  <si>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</si>
  <si>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</si>
  <si>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</si>
  <si>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</si>
  <si>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</si>
  <si>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</si>
  <si>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</si>
  <si>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</si>
  <si>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</si>
  <si>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</si>
  <si>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</si>
  <si>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</si>
  <si>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</si>
  <si>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</si>
  <si>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</si>
  <si>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</si>
  <si>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</si>
  <si>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</si>
  <si>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</si>
  <si>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</si>
  <si>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</si>
  <si>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</si>
  <si>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</si>
  <si>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</si>
  <si>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</si>
  <si>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</si>
  <si>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</si>
  <si>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</si>
  <si>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</si>
  <si>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</si>
  <si>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</si>
  <si>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</si>
  <si>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</si>
  <si>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</si>
  <si>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</si>
  <si>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</si>
  <si>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</si>
  <si>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</si>
  <si>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</si>
  <si>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</si>
  <si>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</si>
  <si>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</si>
  <si>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</si>
  <si>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</si>
  <si>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</si>
  <si>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</si>
  <si>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</si>
  <si>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</si>
  <si>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</si>
  <si>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</si>
  <si>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</si>
  <si>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</si>
  <si>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</si>
  <si>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</si>
  <si>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</si>
  <si>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</si>
  <si>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</si>
  <si>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</si>
  <si>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</si>
  <si>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</si>
  <si>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</si>
  <si>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</si>
  <si>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</si>
  <si>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</si>
  <si>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</si>
  <si>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</si>
  <si>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</si>
  <si>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</si>
  <si>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</si>
  <si>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</si>
  <si>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</si>
  <si>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</si>
  <si>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</si>
  <si>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</si>
  <si>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</si>
  <si>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</si>
  <si>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</si>
  <si>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</si>
  <si>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</si>
  <si>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</si>
  <si>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</si>
  <si>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</si>
  <si>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</si>
  <si>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</si>
  <si>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</si>
  <si>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</si>
  <si>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</si>
  <si>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</si>
  <si>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</si>
  <si>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</si>
  <si>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</si>
  <si>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</si>
  <si>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</si>
  <si>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</si>
  <si>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</si>
  <si>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</si>
  <si>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</si>
  <si>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</si>
  <si>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</si>
  <si>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</si>
  <si>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</si>
  <si>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</si>
  <si>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</si>
  <si>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</si>
  <si>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</si>
  <si>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</si>
  <si>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</si>
  <si>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</si>
  <si>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</si>
  <si>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</si>
  <si>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</si>
  <si>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</si>
  <si>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</si>
  <si>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</si>
  <si>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</si>
  <si>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</si>
  <si>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</si>
  <si>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</si>
  <si>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</si>
  <si>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</si>
  <si>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</si>
  <si>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</si>
  <si>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</si>
  <si>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</si>
  <si>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</si>
  <si>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</si>
  <si>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</si>
  <si>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</si>
  <si>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</si>
  <si>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</si>
  <si>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</si>
  <si>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</si>
  <si>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</si>
  <si>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</si>
  <si>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</si>
  <si>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</si>
  <si>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</si>
  <si>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</si>
  <si>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</si>
  <si>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</si>
  <si>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</si>
  <si>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</si>
  <si>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</si>
  <si>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</si>
  <si>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</si>
  <si>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</si>
  <si>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</si>
  <si>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</si>
  <si>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</si>
  <si>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</si>
  <si>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</si>
  <si>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</si>
  <si>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</si>
  <si>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</si>
  <si>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</si>
  <si>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</si>
  <si>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</si>
  <si>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</si>
  <si>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</si>
  <si>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</si>
  <si>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</si>
  <si>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</si>
  <si>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</si>
  <si>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</si>
  <si>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</si>
  <si>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</si>
  <si>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</si>
  <si>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</si>
  <si>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TOTAL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</si>
  <si>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</si>
  <si>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</si>
  <si>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</si>
  <si>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</si>
  <si>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</si>
  <si>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</si>
  <si>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</si>
  <si>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</si>
  <si>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</si>
  <si>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</si>
  <si>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</si>
  <si>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</si>
  <si>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</si>
  <si>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</si>
  <si>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</si>
  <si>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</si>
  <si>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</si>
  <si>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</si>
  <si>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SELMA SOARES SANTOS DE OLIVEIRA</t>
  </si>
  <si>
    <t>324.973.128-50</t>
  </si>
  <si>
    <t>024/0077/A</t>
  </si>
  <si>
    <t>PROPRIETÁRIO NÃO IDENTIFICADO</t>
  </si>
  <si>
    <t>LUCIANA FRANCILINO DE LIMA</t>
  </si>
  <si>
    <t>296.566.438-60</t>
  </si>
  <si>
    <t>024/0079/D</t>
  </si>
  <si>
    <t>EUDES GONÇALVES CAVALCANTE</t>
  </si>
  <si>
    <t>064.025.638-46</t>
  </si>
  <si>
    <t>024/0079/G</t>
  </si>
  <si>
    <t>EUDES GONÇALVES CAVALCANTI</t>
  </si>
  <si>
    <t>ADINALDO GOMES DA SILVA</t>
  </si>
  <si>
    <t>975.984.883-04</t>
  </si>
  <si>
    <t xml:space="preserve">BRUNO DA SILVA MARQUES </t>
  </si>
  <si>
    <t>498.148.588-38</t>
  </si>
  <si>
    <t>EDUARDO FERNANDES</t>
  </si>
  <si>
    <t>024/0079/E</t>
  </si>
  <si>
    <t>DANIELE COSTA</t>
  </si>
  <si>
    <t>374.435.458-00</t>
  </si>
  <si>
    <t>024/0079/F</t>
  </si>
  <si>
    <t>024/0079/J</t>
  </si>
  <si>
    <t>ELIO NEVES DE SOUZA</t>
  </si>
  <si>
    <t>350.318.858-40</t>
  </si>
  <si>
    <t>RECUSA</t>
  </si>
  <si>
    <t>024/0082/A</t>
  </si>
  <si>
    <t>IVÃ CERQUEIRA LENARES</t>
  </si>
  <si>
    <t xml:space="preserve">006.868.775-35 </t>
  </si>
  <si>
    <t>024/0082/D</t>
  </si>
  <si>
    <t>JOÃO VITOR DE SANTANA</t>
  </si>
  <si>
    <t>534.193.048-70</t>
  </si>
  <si>
    <t>024/0088/K</t>
  </si>
  <si>
    <t>MARIA APARECIDA FLECKENSTEIN VIEIRA</t>
  </si>
  <si>
    <t>304.821.048-21</t>
  </si>
  <si>
    <t>024/0088/M</t>
  </si>
  <si>
    <t>024/0049/B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</si>
  <si>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</si>
  <si>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</si>
  <si>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</si>
  <si>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</si>
  <si>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</si>
  <si>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</si>
  <si>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</si>
  <si>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</si>
  <si>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</si>
  <si>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</si>
  <si>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</si>
  <si>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VALOR COM BONIFICAÇÃO</t>
  </si>
  <si>
    <t>6014.2023/0002356-3</t>
  </si>
  <si>
    <t>6014.2023/0001968-0</t>
  </si>
  <si>
    <t>6014.2023/0001973-6</t>
  </si>
  <si>
    <t>6014.2023/0001445-9</t>
  </si>
  <si>
    <t>6014.2023/0002108-0</t>
  </si>
  <si>
    <t>6014.2023/0001334-7</t>
  </si>
  <si>
    <t>6014.2023/0001523-4</t>
  </si>
  <si>
    <t>6014.2023/0001799-7</t>
  </si>
  <si>
    <t>6014.2023/0000796-7</t>
  </si>
  <si>
    <t>6014.2023/0003032-2</t>
  </si>
  <si>
    <t>6014.2023/0001144-1</t>
  </si>
  <si>
    <t>6014.2023/0002532-9</t>
  </si>
  <si>
    <t>6014.2023/0002540-0</t>
  </si>
  <si>
    <t>6014.2023/0003026-8</t>
  </si>
  <si>
    <t>6014.2023/0003028-4</t>
  </si>
  <si>
    <t>6014.2023/0002522-1</t>
  </si>
  <si>
    <t>6014.2023/0003136-1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</si>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</sst>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0##&quot;.&quot;###&quot;.&quot;###\-##"/>
    <numFmt numFmtId="168" formatCode="&quot;R$&quot;\ #,##0.00"/>
    <numFmt numFmtId="169" formatCode="[$-416]dd\-mmm\-yy;@"/>
    <numFmt numFmtId="170" formatCode="[$-416]d\-mmm\-yy;@"/>
    <numFmt numFmtId="171" formatCode="&quot;R$&quot;\ #,##0.00;[Red]&quot;R$&quot;\ #,##0.00"/>
  </numFmts>
  <fonts count="6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9"/>
      <name val="Arial Nova"/>
      <family val="2"/>
    </font>
    <font>
      <sz val="9"/>
      <color rgb="FF000000"/>
      <name val="Arial Nova"/>
      <family val="2"/>
    </font>
    <font>
      <b/>
      <sz val="9"/>
      <color rgb="FFFF0000"/>
      <name val="Arial"/>
      <family val="2"/>
    </font>
    <font>
      <b/>
      <sz val="9"/>
      <color rgb="FF000000"/>
      <name val="Arial Nova"/>
      <family val="2"/>
    </font>
    <font>
      <b/>
      <sz val="9"/>
      <color rgb="FFFF0000"/>
      <name val="Arial Nova"/>
      <family val="2"/>
    </font>
    <font>
      <b/>
      <sz val="9"/>
      <color indexed="8"/>
      <name val="Arial Nova"/>
      <family val="2"/>
    </font>
    <font>
      <b/>
      <sz val="12"/>
      <color theme="0"/>
      <name val="Arial"/>
      <family val="2"/>
    </font>
    <font>
      <b/>
      <sz val="12"/>
      <color rgb="FF9C0006"/>
      <name val="Arial"/>
      <family val="2"/>
    </font>
    <font>
      <b/>
      <sz val="14"/>
      <color rgb="FF000000"/>
      <name val="Calibri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20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7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4" applyFont="1" applyBorder="1" applyAlignment="1">
      <alignment horizontal="left" vertical="center"/>
    </xf>
    <xf numFmtId="167" fontId="0" fillId="0" borderId="1" xfId="0" applyNumberFormat="1" applyBorder="1"/>
    <xf numFmtId="0" fontId="11" fillId="0" borderId="1" xfId="0" applyFont="1" applyBorder="1"/>
    <xf numFmtId="167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7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7" fontId="9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7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5" fontId="1" fillId="0" borderId="1" xfId="4" applyFont="1" applyBorder="1" applyAlignment="1">
      <alignment horizontal="left" vertical="center"/>
    </xf>
    <xf numFmtId="167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7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19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9" fillId="0" borderId="16" xfId="0" applyFont="1" applyBorder="1"/>
    <xf numFmtId="0" fontId="39" fillId="0" borderId="0" xfId="0" applyFont="1" applyAlignment="1">
      <alignment horizontal="center" vertical="center"/>
    </xf>
    <xf numFmtId="0" fontId="40" fillId="19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19" borderId="17" xfId="0" applyFont="1" applyFill="1" applyBorder="1" applyAlignment="1">
      <alignment horizontal="center" vertical="center"/>
    </xf>
    <xf numFmtId="0" fontId="41" fillId="0" borderId="17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 wrapText="1"/>
    </xf>
    <xf numFmtId="0" fontId="31" fillId="0" borderId="0" xfId="0" applyFont="1"/>
    <xf numFmtId="0" fontId="33" fillId="19" borderId="9" xfId="0" applyFont="1" applyFill="1" applyBorder="1" applyAlignment="1">
      <alignment horizontal="center" vertical="center"/>
    </xf>
    <xf numFmtId="168" fontId="33" fillId="0" borderId="9" xfId="0" applyNumberFormat="1" applyFont="1" applyBorder="1" applyAlignment="1">
      <alignment horizontal="center" vertical="center"/>
    </xf>
    <xf numFmtId="0" fontId="40" fillId="23" borderId="17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11" borderId="11" xfId="1" applyNumberFormat="1" applyFont="1" applyFill="1" applyBorder="1" applyAlignment="1">
      <alignment horizontal="center" vertical="center" wrapText="1"/>
    </xf>
    <xf numFmtId="0" fontId="48" fillId="11" borderId="11" xfId="1" applyFont="1" applyFill="1" applyBorder="1" applyAlignment="1">
      <alignment horizontal="center" vertical="center" wrapText="1"/>
    </xf>
    <xf numFmtId="0" fontId="48" fillId="11" borderId="11" xfId="0" applyFont="1" applyFill="1" applyBorder="1" applyAlignment="1">
      <alignment horizontal="center" vertical="center" wrapText="1"/>
    </xf>
    <xf numFmtId="169" fontId="48" fillId="11" borderId="11" xfId="0" applyNumberFormat="1" applyFont="1" applyFill="1" applyBorder="1" applyAlignment="1">
      <alignment horizontal="center" vertical="center" wrapText="1"/>
    </xf>
    <xf numFmtId="169" fontId="48" fillId="15" borderId="11" xfId="0" applyNumberFormat="1" applyFont="1" applyFill="1" applyBorder="1" applyAlignment="1">
      <alignment horizontal="center" vertical="center" wrapText="1"/>
    </xf>
    <xf numFmtId="0" fontId="48" fillId="15" borderId="11" xfId="0" applyFont="1" applyFill="1" applyBorder="1" applyAlignment="1">
      <alignment horizontal="center" vertical="center" wrapText="1"/>
    </xf>
    <xf numFmtId="0" fontId="48" fillId="16" borderId="11" xfId="0" applyFont="1" applyFill="1" applyBorder="1" applyAlignment="1">
      <alignment horizontal="center" vertical="center" wrapText="1"/>
    </xf>
    <xf numFmtId="0" fontId="48" fillId="16" borderId="11" xfId="1" applyFont="1" applyFill="1" applyBorder="1" applyAlignment="1">
      <alignment horizontal="center" vertical="center" wrapText="1"/>
    </xf>
    <xf numFmtId="0" fontId="48" fillId="16" borderId="14" xfId="0" applyFont="1" applyFill="1" applyBorder="1" applyAlignment="1">
      <alignment horizontal="center" vertical="center" wrapText="1"/>
    </xf>
    <xf numFmtId="0" fontId="48" fillId="17" borderId="12" xfId="0" applyFont="1" applyFill="1" applyBorder="1" applyAlignment="1">
      <alignment horizontal="center" vertical="center"/>
    </xf>
    <xf numFmtId="0" fontId="48" fillId="17" borderId="14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7" fillId="23" borderId="17" xfId="0" applyFont="1" applyFill="1" applyBorder="1" applyAlignment="1">
      <alignment horizontal="center" vertical="center"/>
    </xf>
    <xf numFmtId="0" fontId="43" fillId="19" borderId="17" xfId="0" applyFont="1" applyFill="1" applyBorder="1" applyAlignment="1">
      <alignment horizontal="center" vertical="center"/>
    </xf>
    <xf numFmtId="0" fontId="47" fillId="19" borderId="17" xfId="0" applyFont="1" applyFill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169" fontId="43" fillId="0" borderId="17" xfId="0" applyNumberFormat="1" applyFont="1" applyBorder="1" applyAlignment="1">
      <alignment horizontal="center" vertical="center"/>
    </xf>
    <xf numFmtId="164" fontId="47" fillId="0" borderId="17" xfId="0" applyNumberFormat="1" applyFont="1" applyBorder="1" applyAlignment="1">
      <alignment horizontal="center" vertical="center"/>
    </xf>
    <xf numFmtId="169" fontId="43" fillId="11" borderId="17" xfId="0" applyNumberFormat="1" applyFont="1" applyFill="1" applyBorder="1" applyAlignment="1">
      <alignment horizontal="center" vertical="center"/>
    </xf>
    <xf numFmtId="0" fontId="43" fillId="11" borderId="17" xfId="0" applyFont="1" applyFill="1" applyBorder="1" applyAlignment="1">
      <alignment horizontal="center" vertical="center"/>
    </xf>
    <xf numFmtId="1" fontId="43" fillId="0" borderId="17" xfId="0" applyNumberFormat="1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9" fontId="44" fillId="0" borderId="17" xfId="0" applyNumberFormat="1" applyFont="1" applyBorder="1" applyAlignment="1">
      <alignment horizontal="center" vertical="center"/>
    </xf>
    <xf numFmtId="0" fontId="44" fillId="11" borderId="17" xfId="0" applyFont="1" applyFill="1" applyBorder="1" applyAlignment="1">
      <alignment horizontal="center" vertical="center"/>
    </xf>
    <xf numFmtId="14" fontId="43" fillId="0" borderId="17" xfId="0" applyNumberFormat="1" applyFont="1" applyBorder="1" applyAlignment="1">
      <alignment horizontal="center" vertical="center"/>
    </xf>
    <xf numFmtId="169" fontId="43" fillId="21" borderId="17" xfId="0" applyNumberFormat="1" applyFont="1" applyFill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22" borderId="17" xfId="0" applyFont="1" applyFill="1" applyBorder="1" applyAlignment="1">
      <alignment horizontal="center" vertical="center"/>
    </xf>
    <xf numFmtId="0" fontId="48" fillId="0" borderId="17" xfId="0" applyFont="1" applyBorder="1" applyAlignment="1">
      <alignment horizontal="center" vertical="center" wrapText="1"/>
    </xf>
    <xf numFmtId="169" fontId="44" fillId="0" borderId="8" xfId="0" applyNumberFormat="1" applyFont="1" applyBorder="1" applyAlignment="1">
      <alignment horizontal="center" vertical="center"/>
    </xf>
    <xf numFmtId="169" fontId="44" fillId="0" borderId="7" xfId="0" applyNumberFormat="1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170" fontId="44" fillId="0" borderId="0" xfId="0" applyNumberFormat="1" applyFont="1" applyAlignment="1">
      <alignment horizontal="center" vertical="center"/>
    </xf>
    <xf numFmtId="0" fontId="47" fillId="24" borderId="17" xfId="0" applyFont="1" applyFill="1" applyBorder="1" applyAlignment="1">
      <alignment horizontal="center" vertical="center"/>
    </xf>
    <xf numFmtId="0" fontId="48" fillId="25" borderId="14" xfId="0" applyFont="1" applyFill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170" fontId="43" fillId="0" borderId="17" xfId="0" applyNumberFormat="1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169" fontId="53" fillId="0" borderId="9" xfId="0" applyNumberFormat="1" applyFont="1" applyBorder="1" applyAlignment="1">
      <alignment horizontal="center" vertical="center"/>
    </xf>
    <xf numFmtId="170" fontId="53" fillId="0" borderId="9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44" fillId="20" borderId="17" xfId="0" applyFont="1" applyFill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170" fontId="48" fillId="25" borderId="14" xfId="0" applyNumberFormat="1" applyFont="1" applyFill="1" applyBorder="1" applyAlignment="1">
      <alignment horizontal="center" vertical="center" wrapText="1"/>
    </xf>
    <xf numFmtId="170" fontId="48" fillId="25" borderId="14" xfId="0" applyNumberFormat="1" applyFont="1" applyFill="1" applyBorder="1" applyAlignment="1">
      <alignment horizontal="center" vertical="center"/>
    </xf>
    <xf numFmtId="0" fontId="48" fillId="25" borderId="14" xfId="0" applyFont="1" applyFill="1" applyBorder="1" applyAlignment="1">
      <alignment horizontal="center" vertical="center" wrapText="1"/>
    </xf>
    <xf numFmtId="0" fontId="43" fillId="27" borderId="17" xfId="0" applyFont="1" applyFill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64" fontId="33" fillId="0" borderId="9" xfId="0" applyNumberFormat="1" applyFont="1" applyBorder="1" applyAlignment="1">
      <alignment horizontal="center" vertical="center"/>
    </xf>
    <xf numFmtId="0" fontId="33" fillId="19" borderId="18" xfId="0" applyFont="1" applyFill="1" applyBorder="1" applyAlignment="1">
      <alignment horizontal="center" vertical="center"/>
    </xf>
    <xf numFmtId="0" fontId="34" fillId="19" borderId="18" xfId="0" applyFont="1" applyFill="1" applyBorder="1" applyAlignment="1">
      <alignment horizontal="center" vertical="center"/>
    </xf>
    <xf numFmtId="0" fontId="42" fillId="28" borderId="9" xfId="1" applyFont="1" applyFill="1" applyBorder="1" applyAlignment="1">
      <alignment horizontal="center" vertical="center" wrapText="1"/>
    </xf>
    <xf numFmtId="0" fontId="42" fillId="28" borderId="9" xfId="0" applyFont="1" applyFill="1" applyBorder="1" applyAlignment="1">
      <alignment horizontal="center" vertical="center" wrapText="1"/>
    </xf>
    <xf numFmtId="0" fontId="30" fillId="21" borderId="0" xfId="0" applyFont="1" applyFill="1"/>
    <xf numFmtId="0" fontId="50" fillId="21" borderId="9" xfId="0" applyFont="1" applyFill="1" applyBorder="1" applyAlignment="1">
      <alignment horizontal="center" vertical="center"/>
    </xf>
    <xf numFmtId="0" fontId="50" fillId="21" borderId="9" xfId="0" applyFont="1" applyFill="1" applyBorder="1" applyAlignment="1">
      <alignment horizontal="center" vertical="center" wrapText="1"/>
    </xf>
    <xf numFmtId="0" fontId="51" fillId="21" borderId="9" xfId="0" applyFont="1" applyFill="1" applyBorder="1" applyAlignment="1">
      <alignment horizontal="center" vertical="center"/>
    </xf>
    <xf numFmtId="0" fontId="50" fillId="21" borderId="15" xfId="0" applyFont="1" applyFill="1" applyBorder="1" applyAlignment="1">
      <alignment horizontal="center" vertical="center"/>
    </xf>
    <xf numFmtId="0" fontId="54" fillId="29" borderId="20" xfId="1" applyFont="1" applyFill="1" applyBorder="1" applyAlignment="1">
      <alignment horizontal="center" vertical="center" wrapText="1"/>
    </xf>
    <xf numFmtId="0" fontId="54" fillId="29" borderId="20" xfId="0" applyFont="1" applyFill="1" applyBorder="1" applyAlignment="1">
      <alignment horizontal="center" vertical="center" wrapText="1"/>
    </xf>
    <xf numFmtId="0" fontId="54" fillId="29" borderId="19" xfId="0" applyFont="1" applyFill="1" applyBorder="1" applyAlignment="1">
      <alignment horizontal="center" vertical="center" wrapText="1"/>
    </xf>
    <xf numFmtId="171" fontId="32" fillId="21" borderId="15" xfId="0" applyNumberFormat="1" applyFont="1" applyFill="1" applyBorder="1" applyAlignment="1">
      <alignment horizontal="center" vertical="center"/>
    </xf>
    <xf numFmtId="171" fontId="32" fillId="21" borderId="9" xfId="0" applyNumberFormat="1" applyFont="1" applyFill="1" applyBorder="1" applyAlignment="1">
      <alignment horizontal="center" vertical="center"/>
    </xf>
    <xf numFmtId="171" fontId="32" fillId="21" borderId="9" xfId="0" applyNumberFormat="1" applyFont="1" applyFill="1" applyBorder="1" applyAlignment="1">
      <alignment horizontal="center" vertical="center" wrapText="1"/>
    </xf>
    <xf numFmtId="171" fontId="55" fillId="21" borderId="9" xfId="0" applyNumberFormat="1" applyFont="1" applyFill="1" applyBorder="1" applyAlignment="1">
      <alignment horizontal="center" vertical="center"/>
    </xf>
    <xf numFmtId="171" fontId="56" fillId="29" borderId="0" xfId="0" applyNumberFormat="1" applyFont="1" applyFill="1" applyAlignment="1">
      <alignment horizontal="center" vertical="center"/>
    </xf>
    <xf numFmtId="0" fontId="56" fillId="21" borderId="0" xfId="0" applyFont="1" applyFill="1" applyAlignment="1">
      <alignment horizontal="center" vertical="center"/>
    </xf>
    <xf numFmtId="0" fontId="43" fillId="21" borderId="17" xfId="0" applyFont="1" applyFill="1" applyBorder="1" applyAlignment="1">
      <alignment horizontal="center" vertical="center"/>
    </xf>
    <xf numFmtId="49" fontId="43" fillId="21" borderId="17" xfId="0" applyNumberFormat="1" applyFont="1" applyFill="1" applyBorder="1" applyAlignment="1">
      <alignment horizontal="center" vertical="center"/>
    </xf>
    <xf numFmtId="0" fontId="47" fillId="21" borderId="17" xfId="0" applyFont="1" applyFill="1" applyBorder="1" applyAlignment="1">
      <alignment horizontal="center" vertical="center"/>
    </xf>
    <xf numFmtId="0" fontId="33" fillId="21" borderId="9" xfId="0" applyFont="1" applyFill="1" applyBorder="1" applyAlignment="1">
      <alignment horizontal="center" vertical="center"/>
    </xf>
    <xf numFmtId="169" fontId="48" fillId="16" borderId="11" xfId="0" applyNumberFormat="1" applyFont="1" applyFill="1" applyBorder="1" applyAlignment="1">
      <alignment horizontal="center" vertical="center" wrapText="1"/>
    </xf>
    <xf numFmtId="0" fontId="42" fillId="28" borderId="11" xfId="1" applyFont="1" applyFill="1" applyBorder="1" applyAlignment="1">
      <alignment horizontal="center" vertical="center" wrapText="1"/>
    </xf>
    <xf numFmtId="0" fontId="42" fillId="28" borderId="11" xfId="0" applyFont="1" applyFill="1" applyBorder="1" applyAlignment="1">
      <alignment horizontal="center" vertical="center" wrapText="1"/>
    </xf>
    <xf numFmtId="0" fontId="42" fillId="28" borderId="14" xfId="0" applyFont="1" applyFill="1" applyBorder="1" applyAlignment="1">
      <alignment horizontal="center" vertical="center" wrapText="1"/>
    </xf>
    <xf numFmtId="0" fontId="33" fillId="21" borderId="0" xfId="0" applyFont="1" applyFill="1" applyAlignment="1">
      <alignment horizontal="center" vertical="center"/>
    </xf>
    <xf numFmtId="0" fontId="33" fillId="21" borderId="0" xfId="0" applyFont="1" applyFill="1" applyAlignment="1">
      <alignment horizontal="center" vertical="center" wrapText="1"/>
    </xf>
    <xf numFmtId="0" fontId="34" fillId="21" borderId="0" xfId="0" applyFont="1" applyFill="1" applyAlignment="1">
      <alignment horizontal="center" vertical="center" wrapText="1"/>
    </xf>
    <xf numFmtId="0" fontId="34" fillId="21" borderId="0" xfId="0" applyFont="1" applyFill="1" applyAlignment="1">
      <alignment horizontal="center" vertical="center"/>
    </xf>
    <xf numFmtId="0" fontId="31" fillId="21" borderId="0" xfId="0" applyFont="1" applyFill="1"/>
    <xf numFmtId="0" fontId="57" fillId="21" borderId="0" xfId="1" applyFont="1" applyFill="1" applyBorder="1" applyAlignment="1">
      <alignment horizontal="center" vertical="center" wrapText="1"/>
    </xf>
    <xf numFmtId="0" fontId="57" fillId="21" borderId="0" xfId="0" applyFont="1" applyFill="1" applyAlignment="1">
      <alignment horizontal="center" vertical="center" wrapText="1"/>
    </xf>
    <xf numFmtId="0" fontId="31" fillId="21" borderId="0" xfId="0" applyFont="1" applyFill="1" applyAlignment="1">
      <alignment vertical="top"/>
    </xf>
    <xf numFmtId="0" fontId="58" fillId="21" borderId="0" xfId="0" applyFont="1" applyFill="1" applyAlignment="1">
      <alignment horizontal="center" vertical="center"/>
    </xf>
    <xf numFmtId="0" fontId="42" fillId="11" borderId="11" xfId="1" applyFont="1" applyFill="1" applyBorder="1" applyAlignment="1">
      <alignment horizontal="center" vertical="center" wrapText="1"/>
    </xf>
    <xf numFmtId="0" fontId="42" fillId="16" borderId="11" xfId="0" applyFont="1" applyFill="1" applyBorder="1" applyAlignment="1">
      <alignment horizontal="center" vertical="center" wrapText="1"/>
    </xf>
    <xf numFmtId="0" fontId="59" fillId="21" borderId="0" xfId="0" applyFont="1" applyFill="1" applyAlignment="1">
      <alignment horizontal="center" vertical="center" wrapText="1"/>
    </xf>
    <xf numFmtId="0" fontId="59" fillId="21" borderId="0" xfId="0" applyFont="1" applyFill="1" applyAlignment="1">
      <alignment horizontal="center" vertical="center"/>
    </xf>
    <xf numFmtId="3" fontId="58" fillId="21" borderId="0" xfId="0" applyNumberFormat="1" applyFont="1" applyFill="1" applyAlignment="1">
      <alignment horizontal="center" vertical="center"/>
    </xf>
    <xf numFmtId="0" fontId="60" fillId="21" borderId="0" xfId="0" applyFont="1" applyFill="1" applyAlignment="1">
      <alignment horizontal="center" vertical="center" wrapText="1"/>
    </xf>
    <xf numFmtId="0" fontId="60" fillId="21" borderId="0" xfId="0" applyFont="1" applyFill="1" applyAlignment="1">
      <alignment horizontal="center" vertical="center"/>
    </xf>
    <xf numFmtId="0" fontId="61" fillId="21" borderId="0" xfId="0" applyFont="1" applyFill="1" applyAlignment="1">
      <alignment horizontal="center" vertical="center"/>
    </xf>
    <xf numFmtId="3" fontId="60" fillId="21" borderId="0" xfId="0" applyNumberFormat="1" applyFont="1" applyFill="1" applyAlignment="1">
      <alignment horizontal="center" vertical="center"/>
    </xf>
    <xf numFmtId="0" fontId="62" fillId="21" borderId="0" xfId="0" applyFont="1" applyFill="1" applyAlignment="1">
      <alignment horizontal="center" vertical="center"/>
    </xf>
    <xf numFmtId="0" fontId="57" fillId="21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46" fillId="21" borderId="17" xfId="0" applyFont="1" applyFill="1" applyBorder="1" applyAlignment="1">
      <alignment horizontal="center" vertical="center"/>
    </xf>
    <xf numFmtId="0" fontId="48" fillId="30" borderId="17" xfId="0" applyFont="1" applyFill="1" applyBorder="1" applyAlignment="1">
      <alignment horizontal="center" vertical="center"/>
    </xf>
    <xf numFmtId="0" fontId="46" fillId="30" borderId="17" xfId="0" applyFont="1" applyFill="1" applyBorder="1" applyAlignment="1">
      <alignment horizontal="center" vertical="center"/>
    </xf>
    <xf numFmtId="0" fontId="48" fillId="30" borderId="17" xfId="0" quotePrefix="1" applyFont="1" applyFill="1" applyBorder="1" applyAlignment="1">
      <alignment horizontal="center" vertical="center"/>
    </xf>
    <xf numFmtId="0" fontId="64" fillId="31" borderId="17" xfId="0" quotePrefix="1" applyFont="1" applyFill="1" applyBorder="1" applyAlignment="1">
      <alignment horizontal="center" vertical="center"/>
    </xf>
    <xf numFmtId="0" fontId="64" fillId="31" borderId="17" xfId="0" applyFont="1" applyFill="1" applyBorder="1" applyAlignment="1">
      <alignment horizontal="center" vertical="center"/>
    </xf>
    <xf numFmtId="11" fontId="48" fillId="30" borderId="17" xfId="0" applyNumberFormat="1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170" fontId="44" fillId="0" borderId="17" xfId="0" applyNumberFormat="1" applyFont="1" applyBorder="1" applyAlignment="1">
      <alignment horizontal="center" vertical="center"/>
    </xf>
    <xf numFmtId="0" fontId="43" fillId="22" borderId="17" xfId="0" applyFont="1" applyFill="1" applyBorder="1" applyAlignment="1">
      <alignment horizontal="center" vertical="center"/>
    </xf>
    <xf numFmtId="0" fontId="46" fillId="22" borderId="17" xfId="0" applyFont="1" applyFill="1" applyBorder="1" applyAlignment="1">
      <alignment horizontal="center" vertical="center"/>
    </xf>
    <xf numFmtId="49" fontId="43" fillId="22" borderId="17" xfId="0" applyNumberFormat="1" applyFont="1" applyFill="1" applyBorder="1" applyAlignment="1">
      <alignment horizontal="center" vertical="center"/>
    </xf>
    <xf numFmtId="0" fontId="48" fillId="22" borderId="17" xfId="0" applyFont="1" applyFill="1" applyBorder="1" applyAlignment="1">
      <alignment horizontal="center" vertical="center"/>
    </xf>
    <xf numFmtId="169" fontId="43" fillId="22" borderId="17" xfId="0" applyNumberFormat="1" applyFont="1" applyFill="1" applyBorder="1" applyAlignment="1">
      <alignment horizontal="center" vertical="center"/>
    </xf>
    <xf numFmtId="0" fontId="47" fillId="22" borderId="17" xfId="0" applyFont="1" applyFill="1" applyBorder="1" applyAlignment="1">
      <alignment horizontal="center" vertical="center"/>
    </xf>
    <xf numFmtId="164" fontId="47" fillId="22" borderId="17" xfId="0" applyNumberFormat="1" applyFont="1" applyFill="1" applyBorder="1" applyAlignment="1">
      <alignment horizontal="center" vertical="center"/>
    </xf>
    <xf numFmtId="0" fontId="49" fillId="22" borderId="17" xfId="0" applyFont="1" applyFill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49" fontId="43" fillId="0" borderId="17" xfId="0" applyNumberFormat="1" applyFont="1" applyBorder="1" applyAlignment="1">
      <alignment horizontal="center" vertical="center"/>
    </xf>
    <xf numFmtId="0" fontId="48" fillId="21" borderId="17" xfId="0" applyFont="1" applyFill="1" applyBorder="1" applyAlignment="1">
      <alignment horizontal="center" vertical="center"/>
    </xf>
    <xf numFmtId="0" fontId="48" fillId="11" borderId="17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0" fontId="52" fillId="30" borderId="9" xfId="0" applyFont="1" applyFill="1" applyBorder="1" applyAlignment="1">
      <alignment horizontal="center" vertical="center"/>
    </xf>
    <xf numFmtId="4" fontId="45" fillId="0" borderId="17" xfId="0" applyNumberFormat="1" applyFont="1" applyBorder="1" applyAlignment="1">
      <alignment horizontal="center" vertical="center"/>
    </xf>
    <xf numFmtId="169" fontId="33" fillId="21" borderId="9" xfId="0" applyNumberFormat="1" applyFont="1" applyFill="1" applyBorder="1" applyAlignment="1">
      <alignment horizontal="center" vertical="center"/>
    </xf>
    <xf numFmtId="0" fontId="33" fillId="21" borderId="15" xfId="0" applyFont="1" applyFill="1" applyBorder="1" applyAlignment="1">
      <alignment horizontal="center" vertical="center"/>
    </xf>
    <xf numFmtId="0" fontId="52" fillId="30" borderId="15" xfId="0" applyFont="1" applyFill="1" applyBorder="1" applyAlignment="1">
      <alignment horizontal="center" vertical="center"/>
    </xf>
    <xf numFmtId="169" fontId="33" fillId="21" borderId="15" xfId="0" applyNumberFormat="1" applyFont="1" applyFill="1" applyBorder="1" applyAlignment="1">
      <alignment horizontal="center" vertical="center"/>
    </xf>
    <xf numFmtId="0" fontId="46" fillId="21" borderId="27" xfId="0" applyFont="1" applyFill="1" applyBorder="1" applyAlignment="1">
      <alignment horizontal="center" vertical="center"/>
    </xf>
    <xf numFmtId="0" fontId="43" fillId="21" borderId="27" xfId="0" applyFont="1" applyFill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169" fontId="44" fillId="0" borderId="18" xfId="0" applyNumberFormat="1" applyFont="1" applyBorder="1" applyAlignment="1">
      <alignment horizontal="center" vertical="center"/>
    </xf>
    <xf numFmtId="170" fontId="44" fillId="0" borderId="18" xfId="0" applyNumberFormat="1" applyFont="1" applyBorder="1" applyAlignment="1">
      <alignment horizontal="center" vertical="center"/>
    </xf>
    <xf numFmtId="164" fontId="47" fillId="0" borderId="17" xfId="0" applyNumberFormat="1" applyFont="1" applyBorder="1" applyAlignment="1">
      <alignment horizontal="center" vertical="center" wrapText="1"/>
    </xf>
    <xf numFmtId="0" fontId="48" fillId="30" borderId="17" xfId="0" applyFont="1" applyFill="1" applyBorder="1" applyAlignment="1">
      <alignment horizontal="center" vertical="center" wrapText="1"/>
    </xf>
    <xf numFmtId="169" fontId="46" fillId="21" borderId="17" xfId="0" applyNumberFormat="1" applyFont="1" applyFill="1" applyBorder="1" applyAlignment="1">
      <alignment horizontal="center" vertical="center"/>
    </xf>
    <xf numFmtId="0" fontId="44" fillId="21" borderId="27" xfId="0" applyFont="1" applyFill="1" applyBorder="1" applyAlignment="1">
      <alignment horizontal="center" vertical="center"/>
    </xf>
    <xf numFmtId="0" fontId="44" fillId="21" borderId="17" xfId="0" applyFont="1" applyFill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33" fillId="11" borderId="15" xfId="0" applyFont="1" applyFill="1" applyBorder="1" applyAlignment="1">
      <alignment horizontal="center" vertical="center"/>
    </xf>
    <xf numFmtId="0" fontId="52" fillId="11" borderId="15" xfId="0" applyFont="1" applyFill="1" applyBorder="1" applyAlignment="1">
      <alignment horizontal="center" vertical="center"/>
    </xf>
    <xf numFmtId="0" fontId="33" fillId="11" borderId="9" xfId="0" applyFont="1" applyFill="1" applyBorder="1" applyAlignment="1">
      <alignment horizontal="center" vertical="center"/>
    </xf>
    <xf numFmtId="0" fontId="52" fillId="11" borderId="9" xfId="0" applyFont="1" applyFill="1" applyBorder="1" applyAlignment="1">
      <alignment horizontal="center" vertical="center"/>
    </xf>
    <xf numFmtId="0" fontId="42" fillId="16" borderId="19" xfId="0" applyFont="1" applyFill="1" applyBorder="1" applyAlignment="1">
      <alignment horizontal="center" vertical="center" wrapText="1"/>
    </xf>
    <xf numFmtId="0" fontId="48" fillId="30" borderId="0" xfId="0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69" fontId="49" fillId="11" borderId="17" xfId="0" applyNumberFormat="1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169" fontId="50" fillId="21" borderId="1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30" borderId="9" xfId="0" applyFont="1" applyFill="1" applyBorder="1" applyAlignment="1">
      <alignment horizontal="center" vertical="center"/>
    </xf>
    <xf numFmtId="0" fontId="5" fillId="30" borderId="15" xfId="0" applyFont="1" applyFill="1" applyBorder="1" applyAlignment="1">
      <alignment horizontal="center" vertical="center"/>
    </xf>
    <xf numFmtId="0" fontId="5" fillId="21" borderId="9" xfId="0" applyFont="1" applyFill="1" applyBorder="1" applyAlignment="1">
      <alignment horizontal="center" vertical="center"/>
    </xf>
    <xf numFmtId="0" fontId="36" fillId="11" borderId="21" xfId="1" applyFont="1" applyFill="1" applyBorder="1" applyAlignment="1">
      <alignment horizontal="center" vertical="center" wrapText="1"/>
    </xf>
    <xf numFmtId="0" fontId="36" fillId="11" borderId="9" xfId="1" applyFont="1" applyFill="1" applyBorder="1" applyAlignment="1">
      <alignment horizontal="center" vertical="center" wrapText="1"/>
    </xf>
    <xf numFmtId="0" fontId="36" fillId="11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69" fontId="11" fillId="0" borderId="9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 wrapText="1"/>
    </xf>
    <xf numFmtId="169" fontId="50" fillId="11" borderId="1" xfId="0" applyNumberFormat="1" applyFont="1" applyFill="1" applyBorder="1" applyAlignment="1">
      <alignment horizontal="center" vertical="center"/>
    </xf>
    <xf numFmtId="0" fontId="66" fillId="32" borderId="17" xfId="0" quotePrefix="1" applyFont="1" applyFill="1" applyBorder="1" applyAlignment="1">
      <alignment horizontal="center" vertical="center"/>
    </xf>
    <xf numFmtId="0" fontId="5" fillId="30" borderId="1" xfId="0" quotePrefix="1" applyFont="1" applyFill="1" applyBorder="1" applyAlignment="1">
      <alignment horizontal="center" vertical="center"/>
    </xf>
    <xf numFmtId="0" fontId="63" fillId="26" borderId="23" xfId="0" applyFont="1" applyFill="1" applyBorder="1" applyAlignment="1">
      <alignment horizontal="center" vertical="center" wrapText="1"/>
    </xf>
    <xf numFmtId="0" fontId="63" fillId="26" borderId="2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63" fillId="14" borderId="12" xfId="47" applyNumberFormat="1" applyFont="1" applyFill="1" applyBorder="1" applyAlignment="1">
      <alignment horizontal="center" vertical="center" wrapText="1"/>
    </xf>
    <xf numFmtId="169" fontId="63" fillId="14" borderId="12" xfId="47" applyNumberFormat="1" applyFont="1" applyFill="1" applyBorder="1" applyAlignment="1">
      <alignment horizontal="center" vertical="center" wrapText="1"/>
    </xf>
    <xf numFmtId="0" fontId="63" fillId="14" borderId="13" xfId="47" applyNumberFormat="1" applyFont="1" applyFill="1" applyBorder="1" applyAlignment="1">
      <alignment horizontal="center" vertical="center" wrapText="1"/>
    </xf>
    <xf numFmtId="0" fontId="63" fillId="13" borderId="20" xfId="47" applyNumberFormat="1" applyFont="1" applyFill="1" applyBorder="1" applyAlignment="1">
      <alignment horizontal="center" vertical="center" wrapText="1"/>
    </xf>
    <xf numFmtId="0" fontId="63" fillId="13" borderId="25" xfId="47" applyNumberFormat="1" applyFont="1" applyFill="1" applyBorder="1" applyAlignment="1">
      <alignment horizontal="center" vertical="center" wrapText="1"/>
    </xf>
    <xf numFmtId="0" fontId="63" fillId="13" borderId="26" xfId="47" applyNumberFormat="1" applyFont="1" applyFill="1" applyBorder="1" applyAlignment="1">
      <alignment horizontal="center" vertical="center" wrapText="1"/>
    </xf>
    <xf numFmtId="0" fontId="63" fillId="12" borderId="12" xfId="47" applyNumberFormat="1" applyFont="1" applyFill="1" applyBorder="1" applyAlignment="1">
      <alignment horizontal="center" vertical="center" wrapText="1"/>
    </xf>
    <xf numFmtId="169" fontId="63" fillId="12" borderId="12" xfId="47" applyNumberFormat="1" applyFont="1" applyFill="1" applyBorder="1" applyAlignment="1">
      <alignment horizontal="center" vertical="center" wrapText="1"/>
    </xf>
    <xf numFmtId="0" fontId="63" fillId="18" borderId="11" xfId="0" applyFont="1" applyFill="1" applyBorder="1" applyAlignment="1">
      <alignment horizontal="center" vertical="center" wrapText="1"/>
    </xf>
    <xf numFmtId="0" fontId="63" fillId="18" borderId="1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18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prefeitura.sp.gov.br/sei/controlador.php?acao=arvore_visualizar&amp;acao_origem=procedimento_visualizar&amp;id_procedimento=133251626&amp;infra_sistema=100000100&amp;infra_unidade_atual=110001126&amp;infra_hash=02135dcb0bace8bda61bdaece79f14e8705aa6f2493fe2c8613ab26a1beb39a5" TargetMode="External"/><Relationship Id="rId13" Type="http://schemas.openxmlformats.org/officeDocument/2006/relationships/hyperlink" Target="https://sei.prefeitura.sp.gov.br/sei/controlador.php?acao=arvore_visualizar&amp;acao_origem=procedimento_visualizar&amp;id_procedimento=140566541&amp;infra_sistema=100000100&amp;infra_unidade_atual=110001126&amp;infra_hash=62ec32fae25753e0d6a8ce0718911a06e8855e8729a56884f3beb762a9709d1f" TargetMode="External"/><Relationship Id="rId18" Type="http://schemas.openxmlformats.org/officeDocument/2006/relationships/hyperlink" Target="https://sei.prefeitura.sp.gov.br/sei/controlador.php?acao=arvore_visualizar&amp;acao_origem=procedimento_visualizar&amp;id_procedimento=148152518&amp;infra_sistema=100000100&amp;infra_unidade_atual=110001126&amp;infra_hash=18ad38b83b56e1ff70f4394df09371a33e6efa5c459ee4dd941c6fbd7042ee5b" TargetMode="External"/><Relationship Id="rId26" Type="http://schemas.microsoft.com/office/2019/04/relationships/namedSheetView" Target="../namedSheetViews/namedSheetView1.xml"/><Relationship Id="rId3" Type="http://schemas.openxmlformats.org/officeDocument/2006/relationships/hyperlink" Target="https://sei.prefeitura.sp.gov.br/sei/controlador.php?acao=arvore_visualizar&amp;acao_origem=procedimento_visualizar&amp;id_procedimento=133262917&amp;infra_sistema=100000100&amp;infra_unidade_atual=110001126&amp;infra_hash=c6814dbf1e4a400888f0f712eb14e4fad71a561554d08ea58cc4b97c07c2d7ff" TargetMode="External"/><Relationship Id="rId21" Type="http://schemas.openxmlformats.org/officeDocument/2006/relationships/hyperlink" Target="https://sei.prefeitura.sp.gov.br/sei/controlador.php?acao=arvore_visualizar&amp;acao_origem=procedimento_visualizar&amp;id_procedimento=148258543&amp;infra_sistema=100000100&amp;infra_unidade_atual=110001126&amp;infra_hash=29b9a0af0c19cae91b643747a7001658bda896529db916962a92387bfba20fc4" TargetMode="External"/><Relationship Id="rId7" Type="http://schemas.openxmlformats.org/officeDocument/2006/relationships/hyperlink" Target="https://sei.prefeitura.sp.gov.br/sei/controlador.php?acao=arvore_visualizar&amp;acao_origem=procedimento_visualizar&amp;id_procedimento=132351380&amp;infra_sistema=100000100&amp;infra_unidade_atual=110001126&amp;infra_hash=9f8745bd0d5e8f3668f1e8a72c37afd69ec976c344cbc4490072aa8e17876f8c" TargetMode="External"/><Relationship Id="rId12" Type="http://schemas.openxmlformats.org/officeDocument/2006/relationships/hyperlink" Target="http://novocadastro.habitasampa.inf.br/cadastro/completo/c3e56eb4-61c2-4bf4-bc8e-9e34cc055b86/4fc9ec2d-e70a-4ada-b4ca-93d51d372083/8219c044-821a-4129-b58a-4effbe450a5e/integrante/dados" TargetMode="External"/><Relationship Id="rId17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16" Type="http://schemas.openxmlformats.org/officeDocument/2006/relationships/hyperlink" Target="https://sei.prefeitura.sp.gov.br/sei/controlador.php?acao=arvore_visualizar&amp;acao_origem=procedimento_visualizar&amp;id_procedimento=131920680&amp;infra_sistema=100000100&amp;infra_unidade_atual=110001126&amp;infra_hash=1228357e41e545287f55b78fcc47c74b0326c035d4c7d0aafeb058fc58c1959f" TargetMode="External"/><Relationship Id="rId20" Type="http://schemas.openxmlformats.org/officeDocument/2006/relationships/hyperlink" Target="https://sei.prefeitura.sp.gov.br/sei/controlador.php?acao=arvore_visualizar&amp;acao_origem=procedimento_visualizar&amp;id_procedimento=148156812&amp;infra_sistema=100000100&amp;infra_unidade_atual=110001126&amp;infra_hash=a789214eab7903936d07bdab98501dcf22b40e3fe671b2f69e2ae2a054a89d70" TargetMode="External"/><Relationship Id="rId1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6" Type="http://schemas.openxmlformats.org/officeDocument/2006/relationships/hyperlink" Target="https://sei.prefeitura.sp.gov.br/sei/controlador.php?acao=arvore_visualizar&amp;acao_origem=procedimento_visualizar&amp;id_procedimento=132344493&amp;infra_sistema=100000100&amp;infra_unidade_atual=110001126&amp;infra_hash=7a8b46131ce793617f5737f269cf7354b1ce6540f06f73d2403380b7ddee399d" TargetMode="External"/><Relationship Id="rId11" Type="http://schemas.openxmlformats.org/officeDocument/2006/relationships/hyperlink" Target="http://novocadastro.habitasampa.inf.br/cadastro/completo/c3e56eb4-61c2-4bf4-bc8e-9e34cc055b86/4fc9ec2d-e70a-4ada-b4ca-93d51d372083/8219c044-821a-4129-b58a-4effbe450a5e/integrante/dados" TargetMode="External"/><Relationship Id="rId24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5" Type="http://schemas.openxmlformats.org/officeDocument/2006/relationships/hyperlink" Target="https://sei.prefeitura.sp.gov.br/sei/controlador.php?acao=arvore_visualizar&amp;acao_origem=procedimento_visualizar&amp;id_procedimento=133932873&amp;infra_sistema=100000100&amp;infra_unidade_atual=110001126&amp;infra_hash=a8145bf0c7d5e43cbf2ac9709aa082dbe0c4b6cd2ebb0b67fcd351fff7ef4f02" TargetMode="External"/><Relationship Id="rId15" Type="http://schemas.openxmlformats.org/officeDocument/2006/relationships/hyperlink" Target="https://sei.prefeitura.sp.gov.br/sei/controlador.php?acao=arvore_visualizar&amp;acao_origem=procedimento_visualizar&amp;id_procedimento=141675376&amp;infra_sistema=100000100&amp;infra_unidade_atual=110001126&amp;infra_hash=373845340c0ec6790cfacd8e67708316fbc0efa890d7bc2e0411665b523582e5" TargetMode="External"/><Relationship Id="rId23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10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aa812662151d52d3836d0b46dea99f866b40d348db8750ecbb9620be1b9d235e" TargetMode="External"/><Relationship Id="rId19" Type="http://schemas.openxmlformats.org/officeDocument/2006/relationships/hyperlink" Target="https://sei.prefeitura.sp.gov.br/sei/controlador.php?acao=arvore_visualizar&amp;acao_origem=procedimento_visualizar&amp;id_procedimento=148158711&amp;infra_sistema=100000100&amp;infra_unidade_atual=110001126&amp;infra_hash=6245e98ab5d3bef05cac8e062af6be07dcd2df4fe3725604254fedbddf8dc9a6" TargetMode="External"/><Relationship Id="rId4" Type="http://schemas.openxmlformats.org/officeDocument/2006/relationships/hyperlink" Target="https://sei.prefeitura.sp.gov.br/sei/controlador.php?acao=arvore_visualizar&amp;acao_origem=procedimento_visualizar&amp;id_procedimento=132341250&amp;infra_sistema=100000100&amp;infra_unidade_atual=110001126&amp;infra_hash=00969dc02a581ac30b9acdc1f85ac5a4a768bb870b4f990d8c21c64c7588ed1f" TargetMode="External"/><Relationship Id="rId9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aa812662151d52d3836d0b46dea99f866b40d348db8750ecbb9620be1b9d235e" TargetMode="External"/><Relationship Id="rId14" Type="http://schemas.openxmlformats.org/officeDocument/2006/relationships/hyperlink" Target="https://sei.prefeitura.sp.gov.br/sei/controlador.php?acao=arvore_visualizar&amp;acao_origem=procedimento_visualizar&amp;id_procedimento=141380360&amp;infra_sistema=100000100&amp;infra_unidade_atual=110001126&amp;infra_hash=baff7bfac66ebc99066e8812d37eab75a6613d91716f550e4ec442af7862456d" TargetMode="External"/><Relationship Id="rId22" Type="http://schemas.openxmlformats.org/officeDocument/2006/relationships/hyperlink" Target="https://sei.prefeitura.sp.gov.br/sei/controlador.php?acao=arvore_visualizar&amp;acao_origem=procedimento_visualizar&amp;id_procedimento=148269801&amp;infra_sistema=100000100&amp;infra_unidade_atual=110001126&amp;infra_hash=3165952db67a8913db016a2f59fac614ebf35b2a9ca180de1f9114a6964b061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prefeitura.sp.gov.br/sei/controlador.php?acao=arvore_visualizar&amp;acao_origem=procedimento_visualizar&amp;id_procedimento=141675376&amp;infra_sistema=100000100&amp;infra_unidade_atual=110001126&amp;infra_hash=373845340c0ec6790cfacd8e67708316fbc0efa890d7bc2e0411665b523582e5" TargetMode="External"/><Relationship Id="rId3" Type="http://schemas.openxmlformats.org/officeDocument/2006/relationships/hyperlink" Target="https://sei.prefeitura.sp.gov.br/sei/controlador.php?acao=arvore_visualizar&amp;acao_origem=procedimento_visualizar&amp;id_procedimento=140566541&amp;infra_sistema=100000100&amp;infra_unidade_atual=110001126&amp;infra_hash=62ec32fae25753e0d6a8ce0718911a06e8855e8729a56884f3beb762a9709d1f" TargetMode="External"/><Relationship Id="rId7" Type="http://schemas.openxmlformats.org/officeDocument/2006/relationships/hyperlink" Target="https://sei.prefeitura.sp.gov.br/sei/controlador.php?acao=arvore_visualizar&amp;acao_origem=procedimento_visualizar&amp;id_procedimento=148269801&amp;infra_sistema=100000100&amp;infra_unidade_atual=110001126&amp;infra_hash=3165952db67a8913db016a2f59fac614ebf35b2a9ca180de1f9114a6964b061c" TargetMode="External"/><Relationship Id="rId2" Type="http://schemas.openxmlformats.org/officeDocument/2006/relationships/hyperlink" Target="https://sei.prefeitura.sp.gov.br/sei/controlador.php?acao=arvore_visualizar&amp;acao_origem=procedimento_visualizar&amp;id_procedimento=148152518&amp;infra_sistema=100000100&amp;infra_unidade_atual=110001126&amp;infra_hash=18ad38b83b56e1ff70f4394df09371a33e6efa5c459ee4dd941c6fbd7042ee5b" TargetMode="External"/><Relationship Id="rId1" Type="http://schemas.openxmlformats.org/officeDocument/2006/relationships/hyperlink" Target="http://novocadastro.habitasampa.inf.br/cadastro/completo/c3e56eb4-61c2-4bf4-bc8e-9e34cc055b86/4fc9ec2d-e70a-4ada-b4ca-93d51d372083/8219c044-821a-4129-b58a-4effbe450a5e/integrante/dados" TargetMode="External"/><Relationship Id="rId6" Type="http://schemas.openxmlformats.org/officeDocument/2006/relationships/hyperlink" Target="https://sei.prefeitura.sp.gov.br/sei/controlador.php?acao=arvore_visualizar&amp;acao_origem=procedimento_visualizar&amp;id_procedimento=148258543&amp;infra_sistema=100000100&amp;infra_unidade_atual=110001126&amp;infra_hash=29b9a0af0c19cae91b643747a7001658bda896529db916962a92387bfba20fc4" TargetMode="External"/><Relationship Id="rId5" Type="http://schemas.openxmlformats.org/officeDocument/2006/relationships/hyperlink" Target="https://sei.prefeitura.sp.gov.br/sei/controlador.php?acao=arvore_visualizar&amp;acao_origem=procedimento_visualizar&amp;id_procedimento=148156812&amp;infra_sistema=100000100&amp;infra_unidade_atual=110001126&amp;infra_hash=a789214eab7903936d07bdab98501dcf22b40e3fe671b2f69e2ae2a054a89d70" TargetMode="External"/><Relationship Id="rId4" Type="http://schemas.openxmlformats.org/officeDocument/2006/relationships/hyperlink" Target="https://sei.prefeitura.sp.gov.br/sei/controlador.php?acao=arvore_visualizar&amp;acao_origem=procedimento_visualizar&amp;id_procedimento=141380360&amp;infra_sistema=100000100&amp;infra_unidade_atual=110001126&amp;infra_hash=baff7bfac66ebc99066e8812d37eab75a6613d91716f550e4ec442af786245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7476"/>
  <sheetViews>
    <sheetView showGridLines="0" tabSelected="1" topLeftCell="A13" zoomScale="85" zoomScaleNormal="85" workbookViewId="0">
      <pane xSplit="6" ySplit="1" topLeftCell="G47" activePane="bottomRight" state="frozen"/>
      <selection pane="bottomRight" activeCell="AV226" sqref="AV226"/>
      <selection pane="bottomLeft" activeCell="A14" sqref="A14"/>
      <selection pane="topRight" activeCell="G13" sqref="G13"/>
    </sheetView>
  </sheetViews>
  <sheetFormatPr defaultColWidth="9.140625" defaultRowHeight="30" customHeight="1"/>
  <cols>
    <col min="1" max="1" width="10" style="121" bestFit="1" customWidth="1"/>
    <col min="2" max="2" width="20.5703125" style="122" bestFit="1" customWidth="1"/>
    <col min="3" max="3" width="37.42578125" style="122" bestFit="1" customWidth="1"/>
    <col min="4" max="4" width="16.28515625" style="122" bestFit="1" customWidth="1"/>
    <col min="5" max="5" width="17.85546875" style="122" bestFit="1" customWidth="1"/>
    <col min="6" max="6" width="13.28515625" style="123" bestFit="1" customWidth="1"/>
    <col min="7" max="7" width="41.5703125" style="122" bestFit="1" customWidth="1"/>
    <col min="8" max="8" width="33.28515625" style="122" customWidth="1"/>
    <col min="9" max="9" width="38.7109375" style="122" bestFit="1" customWidth="1"/>
    <col min="10" max="10" width="57.7109375" style="123" bestFit="1" customWidth="1"/>
    <col min="11" max="11" width="23.42578125" style="123" customWidth="1"/>
    <col min="12" max="12" width="18.85546875" style="123" bestFit="1" customWidth="1"/>
    <col min="13" max="13" width="35.42578125" style="122" bestFit="1" customWidth="1"/>
    <col min="14" max="14" width="51.85546875" style="122" bestFit="1" customWidth="1"/>
    <col min="15" max="15" width="19.85546875" style="155" bestFit="1" customWidth="1"/>
    <col min="16" max="16" width="67.28515625" style="124" bestFit="1" customWidth="1"/>
    <col min="17" max="17" width="57.28515625" style="124" bestFit="1" customWidth="1"/>
    <col min="18" max="18" width="63.42578125" style="124" bestFit="1" customWidth="1"/>
    <col min="19" max="19" width="56.140625" style="124" bestFit="1" customWidth="1"/>
    <col min="20" max="20" width="60.42578125" style="124" bestFit="1" customWidth="1"/>
    <col min="21" max="21" width="56.140625" style="124" bestFit="1" customWidth="1"/>
    <col min="22" max="22" width="27.5703125" style="124" bestFit="1" customWidth="1"/>
    <col min="23" max="23" width="30.5703125" style="124" bestFit="1" customWidth="1"/>
    <col min="24" max="24" width="31.28515625" style="124" bestFit="1" customWidth="1"/>
    <col min="25" max="25" width="18.85546875" style="124" bestFit="1" customWidth="1"/>
    <col min="26" max="26" width="22.28515625" style="156" bestFit="1" customWidth="1"/>
    <col min="27" max="27" width="54.7109375" style="122" customWidth="1"/>
    <col min="28" max="28" width="57.7109375" style="123" bestFit="1" customWidth="1"/>
    <col min="29" max="29" width="15.85546875" style="123" bestFit="1" customWidth="1"/>
    <col min="30" max="30" width="18.85546875" style="123" bestFit="1" customWidth="1"/>
    <col min="31" max="31" width="52" style="122" bestFit="1" customWidth="1"/>
    <col min="32" max="32" width="52" style="122" customWidth="1"/>
    <col min="33" max="33" width="30.5703125" style="123" customWidth="1"/>
    <col min="34" max="34" width="34.7109375" style="123" bestFit="1" customWidth="1"/>
    <col min="35" max="35" width="67.28515625" style="122" bestFit="1" customWidth="1"/>
    <col min="36" max="36" width="38" style="122" bestFit="1" customWidth="1"/>
    <col min="37" max="37" width="34.5703125" style="122" bestFit="1" customWidth="1"/>
    <col min="38" max="38" width="56.28515625" style="122" bestFit="1" customWidth="1"/>
    <col min="39" max="39" width="18.42578125" style="122" customWidth="1"/>
    <col min="40" max="40" width="38.140625" style="122" bestFit="1" customWidth="1"/>
    <col min="41" max="41" width="90.5703125" style="122" customWidth="1"/>
    <col min="42" max="42" width="43.42578125" style="123" bestFit="1" customWidth="1"/>
    <col min="43" max="43" width="40.140625" style="122" bestFit="1" customWidth="1"/>
    <col min="44" max="44" width="35.140625" style="122" bestFit="1" customWidth="1"/>
    <col min="45" max="45" width="41.5703125" style="122" customWidth="1"/>
    <col min="46" max="46" width="45.42578125" style="122" bestFit="1" customWidth="1"/>
    <col min="47" max="47" width="33.140625" style="122" customWidth="1"/>
    <col min="48" max="48" width="55.42578125" style="122" bestFit="1" customWidth="1"/>
    <col min="49" max="49" width="52.7109375" style="122" customWidth="1"/>
    <col min="50" max="50" width="31.28515625" style="122" bestFit="1" customWidth="1"/>
    <col min="51" max="51" width="40" style="124" bestFit="1" customWidth="1"/>
    <col min="52" max="52" width="31.140625" style="156" bestFit="1" customWidth="1"/>
    <col min="53" max="53" width="34.140625" style="157" bestFit="1" customWidth="1"/>
    <col min="54" max="54" width="49" style="157" customWidth="1"/>
    <col min="55" max="55" width="39.28515625" style="157" customWidth="1"/>
    <col min="56" max="56" width="29.42578125" style="122" bestFit="1" customWidth="1"/>
    <col min="57" max="58" width="50.28515625" style="122" bestFit="1" customWidth="1"/>
    <col min="59" max="59" width="50.7109375" style="158" bestFit="1" customWidth="1"/>
    <col min="60" max="60" width="27.140625" style="158" bestFit="1" customWidth="1"/>
    <col min="61" max="61" width="59.7109375" style="122" customWidth="1"/>
    <col min="62" max="62" width="45.42578125" style="122" bestFit="1" customWidth="1"/>
    <col min="63" max="63" width="25" style="122" bestFit="1" customWidth="1"/>
    <col min="64" max="64" width="61.5703125" style="122" bestFit="1" customWidth="1"/>
    <col min="65" max="65" width="42.7109375" style="122" bestFit="1" customWidth="1"/>
    <col min="66" max="107" width="9.140625" style="122" bestFit="1" customWidth="1"/>
    <col min="108" max="16384" width="9.140625" style="122"/>
  </cols>
  <sheetData>
    <row r="1" spans="1:107" ht="30" hidden="1" customHeight="1">
      <c r="O1" s="124"/>
      <c r="Z1" s="124"/>
      <c r="AZ1" s="124"/>
      <c r="BA1" s="122"/>
      <c r="BB1" s="122"/>
      <c r="BC1" s="122"/>
    </row>
    <row r="2" spans="1:107" ht="30" hidden="1" customHeight="1">
      <c r="O2" s="124"/>
      <c r="Z2" s="124"/>
      <c r="AZ2" s="124"/>
      <c r="BA2" s="122"/>
      <c r="BB2" s="122"/>
      <c r="BC2" s="122"/>
    </row>
    <row r="3" spans="1:107" ht="30" hidden="1" customHeight="1">
      <c r="C3" s="122">
        <v>2</v>
      </c>
      <c r="D3" s="122" t="s">
        <v>0</v>
      </c>
      <c r="G3" s="122" t="s">
        <v>1</v>
      </c>
      <c r="H3" s="122" t="s">
        <v>2</v>
      </c>
      <c r="I3" s="122" t="s">
        <v>3</v>
      </c>
      <c r="M3" s="122" t="s">
        <v>4</v>
      </c>
      <c r="N3" s="122" t="s">
        <v>5</v>
      </c>
      <c r="O3" s="124"/>
      <c r="P3" s="124" t="s">
        <v>6</v>
      </c>
      <c r="R3" s="124" t="s">
        <v>6</v>
      </c>
      <c r="X3" s="124" t="s">
        <v>7</v>
      </c>
      <c r="Z3" s="124"/>
      <c r="AE3" s="122" t="s">
        <v>3</v>
      </c>
      <c r="AI3" s="122" t="s">
        <v>6</v>
      </c>
      <c r="AJ3" s="122" t="s">
        <v>6</v>
      </c>
      <c r="AK3" s="122" t="s">
        <v>4</v>
      </c>
      <c r="AM3" s="122" t="s">
        <v>8</v>
      </c>
      <c r="AN3" s="122" t="s">
        <v>9</v>
      </c>
      <c r="AZ3" s="124"/>
      <c r="BA3" s="122"/>
      <c r="BB3" s="122"/>
      <c r="BC3" s="122"/>
    </row>
    <row r="4" spans="1:107" ht="30" hidden="1" customHeight="1">
      <c r="C4" s="122">
        <v>4</v>
      </c>
      <c r="G4" s="122" t="s">
        <v>10</v>
      </c>
      <c r="H4" s="122" t="s">
        <v>11</v>
      </c>
      <c r="I4" s="122" t="s">
        <v>12</v>
      </c>
      <c r="M4" s="122" t="s">
        <v>13</v>
      </c>
      <c r="N4" s="122" t="s">
        <v>14</v>
      </c>
      <c r="O4" s="124"/>
      <c r="P4" s="124" t="s">
        <v>15</v>
      </c>
      <c r="R4" s="124" t="s">
        <v>15</v>
      </c>
      <c r="Z4" s="124"/>
      <c r="AE4" s="122" t="s">
        <v>12</v>
      </c>
      <c r="AI4" s="122" t="s">
        <v>16</v>
      </c>
      <c r="AJ4" s="122" t="s">
        <v>15</v>
      </c>
      <c r="AK4" s="122" t="s">
        <v>13</v>
      </c>
      <c r="AM4" s="122" t="s">
        <v>17</v>
      </c>
      <c r="AN4" s="122" t="s">
        <v>18</v>
      </c>
      <c r="AZ4" s="124"/>
      <c r="BA4" s="122"/>
      <c r="BB4" s="122"/>
      <c r="BC4" s="122"/>
    </row>
    <row r="5" spans="1:107" ht="30" hidden="1" customHeight="1">
      <c r="G5" s="122" t="s">
        <v>19</v>
      </c>
      <c r="H5" s="125" t="s">
        <v>20</v>
      </c>
      <c r="I5" s="122" t="s">
        <v>21</v>
      </c>
      <c r="N5" s="122" t="s">
        <v>22</v>
      </c>
      <c r="O5" s="124"/>
      <c r="Z5" s="124"/>
      <c r="AI5" s="122" t="s">
        <v>23</v>
      </c>
      <c r="AJ5" s="122" t="s">
        <v>24</v>
      </c>
      <c r="AN5" s="122" t="s">
        <v>25</v>
      </c>
      <c r="AZ5" s="124"/>
      <c r="BA5" s="122"/>
      <c r="BB5" s="122"/>
      <c r="BC5" s="122"/>
    </row>
    <row r="6" spans="1:107" ht="30" hidden="1" customHeight="1">
      <c r="G6" s="122" t="s">
        <v>26</v>
      </c>
      <c r="N6" s="122" t="s">
        <v>27</v>
      </c>
      <c r="O6" s="124"/>
      <c r="Z6" s="124"/>
      <c r="AI6" s="122" t="s">
        <v>28</v>
      </c>
      <c r="AJ6" s="122" t="s">
        <v>17</v>
      </c>
      <c r="AN6" s="122" t="s">
        <v>29</v>
      </c>
      <c r="AZ6" s="124"/>
      <c r="BA6" s="122"/>
      <c r="BB6" s="122"/>
      <c r="BC6" s="122"/>
    </row>
    <row r="7" spans="1:107" ht="30" hidden="1" customHeight="1">
      <c r="G7" s="122" t="s">
        <v>30</v>
      </c>
      <c r="O7" s="124"/>
      <c r="Z7" s="124"/>
      <c r="AZ7" s="124"/>
      <c r="BA7" s="122"/>
      <c r="BB7" s="122"/>
      <c r="BC7" s="122"/>
    </row>
    <row r="8" spans="1:107" ht="30" hidden="1" customHeight="1">
      <c r="G8" s="122" t="s">
        <v>31</v>
      </c>
      <c r="O8" s="124"/>
      <c r="Z8" s="124"/>
      <c r="AZ8" s="124"/>
      <c r="BA8" s="122"/>
      <c r="BB8" s="122"/>
      <c r="BC8" s="122"/>
    </row>
    <row r="9" spans="1:107" ht="30" hidden="1" customHeight="1">
      <c r="G9" s="122" t="s">
        <v>32</v>
      </c>
      <c r="O9" s="124"/>
      <c r="Z9" s="124"/>
      <c r="AZ9" s="124"/>
      <c r="BA9" s="122"/>
      <c r="BB9" s="122"/>
      <c r="BC9" s="122"/>
    </row>
    <row r="10" spans="1:107" ht="30" hidden="1" customHeight="1">
      <c r="O10" s="124"/>
      <c r="Z10" s="124"/>
      <c r="AP10" s="123" t="s">
        <v>33</v>
      </c>
      <c r="AQ10" s="304"/>
      <c r="AR10" s="304"/>
      <c r="AS10" s="304"/>
      <c r="AT10" s="304"/>
      <c r="AU10" s="304"/>
      <c r="AV10" s="123"/>
      <c r="AW10" s="123"/>
      <c r="AY10" s="122"/>
      <c r="AZ10" s="122"/>
      <c r="BA10" s="122"/>
      <c r="BB10" s="122"/>
      <c r="BC10" s="122"/>
    </row>
    <row r="11" spans="1:107" ht="30" hidden="1" customHeight="1">
      <c r="O11" s="124"/>
      <c r="Z11" s="124"/>
      <c r="AQ11" s="123"/>
      <c r="AR11" s="123"/>
      <c r="AS11" s="123"/>
      <c r="AT11" s="123"/>
      <c r="AU11" s="123"/>
      <c r="AV11" s="123"/>
      <c r="AW11" s="123"/>
      <c r="AY11" s="122"/>
      <c r="AZ11" s="122"/>
      <c r="BA11" s="122"/>
      <c r="BB11" s="122"/>
      <c r="BC11" s="122"/>
    </row>
    <row r="12" spans="1:107" s="232" customFormat="1" ht="30" hidden="1" customHeight="1">
      <c r="A12" s="308" t="s">
        <v>34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10"/>
      <c r="P12" s="305" t="s">
        <v>35</v>
      </c>
      <c r="Q12" s="305"/>
      <c r="R12" s="305"/>
      <c r="S12" s="305"/>
      <c r="T12" s="305"/>
      <c r="U12" s="306"/>
      <c r="V12" s="305"/>
      <c r="W12" s="305"/>
      <c r="X12" s="305"/>
      <c r="Y12" s="306"/>
      <c r="Z12" s="305"/>
      <c r="AA12" s="307"/>
      <c r="AB12" s="311" t="s">
        <v>36</v>
      </c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1"/>
      <c r="AQ12" s="311"/>
      <c r="AR12" s="311"/>
      <c r="AS12" s="311"/>
      <c r="AT12" s="311"/>
      <c r="AU12" s="311"/>
      <c r="AV12" s="311"/>
      <c r="AW12" s="311"/>
      <c r="AX12" s="311"/>
      <c r="AY12" s="312"/>
      <c r="AZ12" s="312"/>
      <c r="BA12" s="311"/>
      <c r="BB12" s="313" t="s">
        <v>37</v>
      </c>
      <c r="BC12" s="314"/>
      <c r="BD12" s="302"/>
      <c r="BE12" s="303"/>
      <c r="BF12" s="303"/>
      <c r="BG12" s="303"/>
      <c r="BH12" s="303"/>
      <c r="BI12" s="303"/>
      <c r="BJ12" s="303"/>
      <c r="BK12" s="303"/>
      <c r="BL12" s="303"/>
      <c r="BM12" s="303"/>
    </row>
    <row r="13" spans="1:107" s="123" customFormat="1" ht="38.25" customHeight="1">
      <c r="A13" s="126" t="s">
        <v>38</v>
      </c>
      <c r="B13" s="127" t="s">
        <v>39</v>
      </c>
      <c r="C13" s="127" t="s">
        <v>40</v>
      </c>
      <c r="D13" s="127" t="s">
        <v>41</v>
      </c>
      <c r="E13" s="127" t="s">
        <v>42</v>
      </c>
      <c r="F13" s="127" t="s">
        <v>43</v>
      </c>
      <c r="G13" s="127" t="s">
        <v>44</v>
      </c>
      <c r="H13" s="127" t="s">
        <v>45</v>
      </c>
      <c r="I13" s="127" t="s">
        <v>46</v>
      </c>
      <c r="J13" s="128" t="s">
        <v>47</v>
      </c>
      <c r="K13" s="128" t="s">
        <v>48</v>
      </c>
      <c r="L13" s="128" t="s">
        <v>49</v>
      </c>
      <c r="M13" s="128" t="s">
        <v>50</v>
      </c>
      <c r="N13" s="128" t="s">
        <v>51</v>
      </c>
      <c r="O13" s="129" t="s">
        <v>52</v>
      </c>
      <c r="P13" s="130" t="s">
        <v>53</v>
      </c>
      <c r="Q13" s="130" t="s">
        <v>54</v>
      </c>
      <c r="R13" s="130" t="s">
        <v>55</v>
      </c>
      <c r="S13" s="130" t="s">
        <v>56</v>
      </c>
      <c r="T13" s="130" t="s">
        <v>57</v>
      </c>
      <c r="U13" s="130" t="s">
        <v>58</v>
      </c>
      <c r="V13" s="130" t="s">
        <v>59</v>
      </c>
      <c r="W13" s="130" t="s">
        <v>60</v>
      </c>
      <c r="X13" s="130" t="s">
        <v>61</v>
      </c>
      <c r="Y13" s="130" t="s">
        <v>62</v>
      </c>
      <c r="Z13" s="130" t="s">
        <v>63</v>
      </c>
      <c r="AA13" s="131" t="s">
        <v>64</v>
      </c>
      <c r="AB13" s="132" t="s">
        <v>65</v>
      </c>
      <c r="AC13" s="132" t="s">
        <v>48</v>
      </c>
      <c r="AD13" s="132" t="s">
        <v>49</v>
      </c>
      <c r="AE13" s="133" t="s">
        <v>66</v>
      </c>
      <c r="AF13" s="132" t="s">
        <v>67</v>
      </c>
      <c r="AG13" s="132" t="s">
        <v>68</v>
      </c>
      <c r="AH13" s="132" t="s">
        <v>69</v>
      </c>
      <c r="AI13" s="132" t="s">
        <v>70</v>
      </c>
      <c r="AJ13" s="133" t="s">
        <v>71</v>
      </c>
      <c r="AK13" s="133" t="s">
        <v>72</v>
      </c>
      <c r="AL13" s="132" t="s">
        <v>73</v>
      </c>
      <c r="AM13" s="132" t="s">
        <v>74</v>
      </c>
      <c r="AN13" s="132" t="s">
        <v>75</v>
      </c>
      <c r="AO13" s="132" t="s">
        <v>76</v>
      </c>
      <c r="AP13" s="132" t="s">
        <v>77</v>
      </c>
      <c r="AQ13" s="132" t="s">
        <v>78</v>
      </c>
      <c r="AR13" s="132" t="s">
        <v>79</v>
      </c>
      <c r="AS13" s="132" t="s">
        <v>80</v>
      </c>
      <c r="AT13" s="132" t="s">
        <v>81</v>
      </c>
      <c r="AU13" s="132" t="s">
        <v>82</v>
      </c>
      <c r="AV13" s="132" t="s">
        <v>83</v>
      </c>
      <c r="AW13" s="132" t="s">
        <v>84</v>
      </c>
      <c r="AX13" s="132" t="s">
        <v>61</v>
      </c>
      <c r="AY13" s="208" t="s">
        <v>85</v>
      </c>
      <c r="AZ13" s="208" t="s">
        <v>86</v>
      </c>
      <c r="BA13" s="134" t="s">
        <v>87</v>
      </c>
      <c r="BB13" s="135" t="s">
        <v>88</v>
      </c>
      <c r="BC13" s="136" t="s">
        <v>89</v>
      </c>
      <c r="BD13" s="182" t="s">
        <v>90</v>
      </c>
      <c r="BE13" s="182" t="s">
        <v>91</v>
      </c>
      <c r="BF13" s="182" t="s">
        <v>92</v>
      </c>
      <c r="BG13" s="180" t="s">
        <v>93</v>
      </c>
      <c r="BH13" s="181" t="s">
        <v>94</v>
      </c>
      <c r="BI13" s="182" t="s">
        <v>95</v>
      </c>
      <c r="BJ13" s="160" t="s">
        <v>81</v>
      </c>
      <c r="BK13" s="160" t="s">
        <v>96</v>
      </c>
      <c r="BL13" s="182" t="s">
        <v>97</v>
      </c>
      <c r="BM13" s="160" t="s">
        <v>98</v>
      </c>
    </row>
    <row r="14" spans="1:107" s="123" customFormat="1" ht="30" customHeight="1">
      <c r="A14" s="204">
        <v>1</v>
      </c>
      <c r="B14" s="204" t="s">
        <v>99</v>
      </c>
      <c r="C14" s="233" t="s">
        <v>100</v>
      </c>
      <c r="D14" s="205" t="s">
        <v>101</v>
      </c>
      <c r="E14" s="204" t="s">
        <v>101</v>
      </c>
      <c r="F14" s="234" t="s">
        <v>102</v>
      </c>
      <c r="G14" s="233" t="s">
        <v>1</v>
      </c>
      <c r="H14" s="233" t="s">
        <v>26</v>
      </c>
      <c r="I14" s="233" t="s">
        <v>103</v>
      </c>
      <c r="J14" s="253" t="s">
        <v>104</v>
      </c>
      <c r="K14" s="253" t="s">
        <v>104</v>
      </c>
      <c r="L14" s="253" t="s">
        <v>104</v>
      </c>
      <c r="M14" s="233" t="s">
        <v>15</v>
      </c>
      <c r="N14" s="253"/>
      <c r="O14" s="272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141" t="s">
        <v>105</v>
      </c>
      <c r="AK14" s="233"/>
      <c r="AL14" s="233"/>
      <c r="AM14" s="233"/>
      <c r="AN14" s="233"/>
      <c r="AO14" s="233"/>
      <c r="AP14" s="234"/>
      <c r="AQ14" s="233"/>
      <c r="AR14" s="233"/>
      <c r="AS14" s="233"/>
      <c r="AT14" s="233"/>
      <c r="AU14" s="233"/>
      <c r="AV14" s="233"/>
      <c r="AW14" s="233"/>
      <c r="AX14" s="233"/>
      <c r="AY14" s="142"/>
      <c r="AZ14" s="233"/>
      <c r="BA14" s="233"/>
      <c r="BB14" s="233"/>
      <c r="BC14" s="146" t="str">
        <f t="shared" ref="BC14:BC15" si="0">IF(AY14-KG14=0,"",AY14-O14)</f>
        <v/>
      </c>
      <c r="BD14" s="137" t="str">
        <f t="shared" ref="BD14:BD15" si="1">IF(AND(AI14&lt;&gt;"SIM",AI14="UH"),"AA","INDENIZAÇÃO")</f>
        <v>INDENIZAÇÃO</v>
      </c>
      <c r="BE14" s="137" t="str">
        <f t="shared" ref="BE14:BE15" si="2">IF(AND(AY14&lt;&gt;"AGUARDANDO",AY14&lt;&gt;"",N14="AUXÍLIO ALUGUEL ATÉ INDENIZAÇÃO"),"SIM","NÃO")</f>
        <v>NÃO</v>
      </c>
      <c r="BF14" s="233"/>
      <c r="BG14" s="233"/>
      <c r="BH14" s="233"/>
      <c r="BI14" s="233"/>
      <c r="BJ14" s="233"/>
      <c r="BK14" s="233"/>
      <c r="BL14" s="233"/>
      <c r="BM14" s="233"/>
      <c r="BN14" s="263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3"/>
      <c r="CK14" s="233"/>
      <c r="CL14" s="233"/>
      <c r="CM14" s="233"/>
      <c r="CN14" s="233"/>
      <c r="CO14" s="233"/>
      <c r="CP14" s="233"/>
      <c r="CQ14" s="233"/>
      <c r="CR14" s="233"/>
      <c r="CS14" s="233"/>
      <c r="CT14" s="233"/>
      <c r="CU14" s="233"/>
      <c r="CV14" s="233"/>
      <c r="CW14" s="233"/>
      <c r="CX14" s="233"/>
      <c r="CY14" s="233"/>
      <c r="CZ14" s="233"/>
      <c r="DA14" s="233"/>
      <c r="DB14" s="233"/>
      <c r="DC14" s="233"/>
    </row>
    <row r="15" spans="1:107" s="204" customFormat="1" ht="30" customHeight="1">
      <c r="A15" s="204">
        <v>2</v>
      </c>
      <c r="B15" s="204" t="s">
        <v>99</v>
      </c>
      <c r="C15" s="233" t="s">
        <v>100</v>
      </c>
      <c r="D15" s="205" t="s">
        <v>101</v>
      </c>
      <c r="E15" s="204" t="s">
        <v>101</v>
      </c>
      <c r="F15" s="234" t="s">
        <v>106</v>
      </c>
      <c r="G15" s="235" t="s">
        <v>1</v>
      </c>
      <c r="H15" s="235" t="s">
        <v>11</v>
      </c>
      <c r="I15" s="204" t="s">
        <v>12</v>
      </c>
      <c r="J15" s="234" t="s">
        <v>107</v>
      </c>
      <c r="K15" s="234" t="s">
        <v>108</v>
      </c>
      <c r="L15" s="234" t="s">
        <v>109</v>
      </c>
      <c r="M15" s="204" t="s">
        <v>110</v>
      </c>
      <c r="N15" s="204" t="s">
        <v>5</v>
      </c>
      <c r="O15" s="151">
        <v>45859</v>
      </c>
      <c r="P15" s="151" t="s">
        <v>24</v>
      </c>
      <c r="Q15" s="151" t="s">
        <v>111</v>
      </c>
      <c r="R15" s="151" t="s">
        <v>111</v>
      </c>
      <c r="S15" s="142" t="s">
        <v>111</v>
      </c>
      <c r="T15" s="142" t="s">
        <v>111</v>
      </c>
      <c r="U15" s="142" t="s">
        <v>111</v>
      </c>
      <c r="V15" s="142" t="s">
        <v>111</v>
      </c>
      <c r="W15" s="142" t="s">
        <v>111</v>
      </c>
      <c r="X15" s="142" t="s">
        <v>111</v>
      </c>
      <c r="Y15" s="142" t="s">
        <v>111</v>
      </c>
      <c r="Z15" s="142" t="s">
        <v>111</v>
      </c>
      <c r="AA15" s="137"/>
      <c r="AB15" s="234" t="s">
        <v>107</v>
      </c>
      <c r="AC15" s="234" t="s">
        <v>108</v>
      </c>
      <c r="AD15" s="234" t="s">
        <v>109</v>
      </c>
      <c r="AE15" s="204" t="s">
        <v>12</v>
      </c>
      <c r="AF15" s="204" t="s">
        <v>110</v>
      </c>
      <c r="AG15" s="143">
        <v>14192.93</v>
      </c>
      <c r="AH15" s="143">
        <f>AG15+30000</f>
        <v>44192.93</v>
      </c>
      <c r="AI15" s="137" t="s">
        <v>6</v>
      </c>
      <c r="AJ15" s="141" t="s">
        <v>105</v>
      </c>
      <c r="AK15" s="204">
        <v>125243277</v>
      </c>
      <c r="AL15" s="204" t="s">
        <v>112</v>
      </c>
      <c r="AM15" s="204" t="s">
        <v>112</v>
      </c>
      <c r="AN15" s="204" t="s">
        <v>113</v>
      </c>
      <c r="AO15" s="137"/>
      <c r="AP15" s="234" t="s">
        <v>114</v>
      </c>
      <c r="AQ15" s="137" t="s">
        <v>112</v>
      </c>
      <c r="AR15" s="137" t="s">
        <v>112</v>
      </c>
      <c r="AS15" s="137" t="s">
        <v>112</v>
      </c>
      <c r="AT15" s="137" t="s">
        <v>112</v>
      </c>
      <c r="AU15" s="151">
        <v>45978</v>
      </c>
      <c r="AV15" s="137" t="s">
        <v>112</v>
      </c>
      <c r="AW15" s="137" t="s">
        <v>112</v>
      </c>
      <c r="AX15" s="151">
        <v>45985</v>
      </c>
      <c r="AY15" s="144">
        <v>45985</v>
      </c>
      <c r="AZ15" s="151">
        <v>46029</v>
      </c>
      <c r="BA15" s="145" t="s">
        <v>115</v>
      </c>
      <c r="BB15" s="147" t="s">
        <v>112</v>
      </c>
      <c r="BC15" s="146">
        <f t="shared" si="0"/>
        <v>126</v>
      </c>
      <c r="BD15" s="137" t="str">
        <f t="shared" si="1"/>
        <v>INDENIZAÇÃO</v>
      </c>
      <c r="BE15" s="137" t="str">
        <f t="shared" si="2"/>
        <v>NÃO</v>
      </c>
      <c r="BF15" s="137" t="s">
        <v>24</v>
      </c>
      <c r="BG15" s="137" t="s">
        <v>24</v>
      </c>
      <c r="BH15" s="137" t="s">
        <v>24</v>
      </c>
      <c r="BI15" s="137" t="s">
        <v>112</v>
      </c>
      <c r="BJ15" s="137" t="s">
        <v>112</v>
      </c>
      <c r="BK15" s="151">
        <v>46112</v>
      </c>
      <c r="BL15" s="137" t="s">
        <v>112</v>
      </c>
      <c r="BM15" s="145" t="s">
        <v>33</v>
      </c>
      <c r="BN15" s="264"/>
    </row>
    <row r="16" spans="1:107" s="204" customFormat="1" ht="30" customHeight="1">
      <c r="A16" s="204">
        <v>3</v>
      </c>
      <c r="B16" s="204" t="s">
        <v>99</v>
      </c>
      <c r="C16" s="233" t="s">
        <v>116</v>
      </c>
      <c r="D16" s="205" t="s">
        <v>101</v>
      </c>
      <c r="E16" s="204" t="s">
        <v>101</v>
      </c>
      <c r="F16" s="234" t="s">
        <v>117</v>
      </c>
      <c r="G16" s="235" t="s">
        <v>1</v>
      </c>
      <c r="H16" s="235" t="s">
        <v>2</v>
      </c>
      <c r="I16" s="235" t="s">
        <v>12</v>
      </c>
      <c r="J16" s="234" t="s">
        <v>118</v>
      </c>
      <c r="K16" s="234" t="s">
        <v>119</v>
      </c>
      <c r="L16" s="234" t="s">
        <v>120</v>
      </c>
      <c r="N16" s="204" t="s">
        <v>5</v>
      </c>
      <c r="O16" s="151">
        <v>46161</v>
      </c>
      <c r="P16" s="151" t="s">
        <v>24</v>
      </c>
      <c r="Q16" s="151" t="s">
        <v>24</v>
      </c>
      <c r="R16" s="151" t="s">
        <v>24</v>
      </c>
      <c r="S16" s="151" t="s">
        <v>24</v>
      </c>
      <c r="T16" s="151" t="s">
        <v>24</v>
      </c>
      <c r="U16" s="151" t="s">
        <v>24</v>
      </c>
      <c r="V16" s="151" t="s">
        <v>24</v>
      </c>
      <c r="W16" s="151" t="s">
        <v>24</v>
      </c>
      <c r="X16" s="151" t="s">
        <v>24</v>
      </c>
      <c r="Y16" s="151" t="s">
        <v>24</v>
      </c>
      <c r="Z16" s="151" t="s">
        <v>24</v>
      </c>
      <c r="AA16" s="137"/>
      <c r="AB16" s="234" t="s">
        <v>118</v>
      </c>
      <c r="AC16" s="234" t="s">
        <v>119</v>
      </c>
      <c r="AD16" s="234" t="s">
        <v>120</v>
      </c>
      <c r="AE16" s="204" t="s">
        <v>12</v>
      </c>
      <c r="AF16" s="204" t="s">
        <v>110</v>
      </c>
      <c r="AG16" s="143">
        <v>66944.06</v>
      </c>
      <c r="AH16" s="143">
        <v>66944.06</v>
      </c>
      <c r="AI16" s="137" t="s">
        <v>121</v>
      </c>
      <c r="AJ16" s="141" t="s">
        <v>105</v>
      </c>
      <c r="AK16" s="204">
        <v>150716185</v>
      </c>
      <c r="AL16" s="137" t="s">
        <v>112</v>
      </c>
      <c r="AM16" s="137" t="s">
        <v>112</v>
      </c>
      <c r="AN16" s="137" t="s">
        <v>113</v>
      </c>
      <c r="AO16" s="256"/>
      <c r="AP16" s="234" t="s">
        <v>122</v>
      </c>
      <c r="AQ16" s="137" t="s">
        <v>112</v>
      </c>
      <c r="AR16" s="137" t="s">
        <v>112</v>
      </c>
      <c r="AS16" s="137" t="s">
        <v>112</v>
      </c>
      <c r="AT16" s="137" t="s">
        <v>112</v>
      </c>
      <c r="AU16" s="151">
        <v>46226</v>
      </c>
      <c r="AV16" s="137" t="s">
        <v>112</v>
      </c>
      <c r="AW16" s="137" t="s">
        <v>112</v>
      </c>
      <c r="AX16" s="151">
        <v>46233</v>
      </c>
      <c r="AY16" s="144">
        <v>46233</v>
      </c>
      <c r="AZ16" s="145" t="s">
        <v>33</v>
      </c>
      <c r="BA16" s="145" t="s">
        <v>115</v>
      </c>
      <c r="BB16" s="147" t="s">
        <v>112</v>
      </c>
      <c r="BC16" s="146">
        <f t="shared" ref="BC16:BC47" si="3">IF(AY16-KG16=0,"",AY16-O16)</f>
        <v>72</v>
      </c>
      <c r="BD16" s="137" t="str">
        <f t="shared" ref="BD16:BD47" si="4">IF(AND(AI16&lt;&gt;"SIM",AI16="UH"),"AA","INDENIZAÇÃO")</f>
        <v>INDENIZAÇÃO</v>
      </c>
      <c r="BE16" s="137" t="str">
        <f t="shared" ref="BE16:BE47" si="5">IF(AND(AY16&lt;&gt;"AGUARDANDO",AY16&lt;&gt;"",N16="AUXÍLIO ALUGUEL ATÉ INDENIZAÇÃO"),"SIM","NÃO")</f>
        <v>NÃO</v>
      </c>
      <c r="BF16" s="137" t="s">
        <v>24</v>
      </c>
      <c r="BG16" s="137" t="s">
        <v>24</v>
      </c>
      <c r="BH16" s="137" t="s">
        <v>24</v>
      </c>
      <c r="BI16" s="145" t="s">
        <v>123</v>
      </c>
      <c r="BJ16" s="145"/>
      <c r="BK16" s="144"/>
      <c r="BL16" s="145"/>
      <c r="BM16" s="145"/>
      <c r="BN16" s="264"/>
    </row>
    <row r="17" spans="1:67" s="204" customFormat="1" ht="30" customHeight="1">
      <c r="A17" s="204">
        <v>4</v>
      </c>
      <c r="B17" s="204" t="s">
        <v>99</v>
      </c>
      <c r="C17" s="233" t="s">
        <v>100</v>
      </c>
      <c r="D17" s="205" t="s">
        <v>101</v>
      </c>
      <c r="E17" s="204" t="s">
        <v>101</v>
      </c>
      <c r="F17" s="234" t="s">
        <v>124</v>
      </c>
      <c r="G17" s="235" t="s">
        <v>1</v>
      </c>
      <c r="H17" s="235" t="s">
        <v>2</v>
      </c>
      <c r="I17" s="235" t="s">
        <v>12</v>
      </c>
      <c r="J17" s="234" t="s">
        <v>125</v>
      </c>
      <c r="K17" s="234" t="s">
        <v>126</v>
      </c>
      <c r="L17" s="234" t="s">
        <v>127</v>
      </c>
      <c r="M17" s="204" t="s">
        <v>110</v>
      </c>
      <c r="N17" s="204" t="s">
        <v>128</v>
      </c>
      <c r="O17" s="151">
        <v>45726</v>
      </c>
      <c r="P17" s="151" t="s">
        <v>129</v>
      </c>
      <c r="Q17" s="234" t="s">
        <v>130</v>
      </c>
      <c r="R17" s="151">
        <v>45728</v>
      </c>
      <c r="S17" s="142">
        <v>45750</v>
      </c>
      <c r="T17" s="142"/>
      <c r="U17" s="142"/>
      <c r="V17" s="142"/>
      <c r="W17" s="142"/>
      <c r="X17" s="142"/>
      <c r="Y17" s="142"/>
      <c r="Z17" s="142"/>
      <c r="AA17" s="137"/>
      <c r="AB17" s="206"/>
      <c r="AC17" s="206"/>
      <c r="AD17" s="206"/>
      <c r="AG17" s="143"/>
      <c r="AH17" s="143"/>
      <c r="AI17" s="137"/>
      <c r="AJ17" s="141" t="s">
        <v>105</v>
      </c>
      <c r="AL17" s="137"/>
      <c r="AM17" s="137"/>
      <c r="AN17" s="137"/>
      <c r="AO17" s="137"/>
      <c r="AP17" s="234"/>
      <c r="AQ17" s="137"/>
      <c r="AR17" s="137"/>
      <c r="AS17" s="137"/>
      <c r="AT17" s="137"/>
      <c r="AU17" s="151"/>
      <c r="AV17" s="137"/>
      <c r="AW17" s="137"/>
      <c r="AX17" s="151"/>
      <c r="AY17" s="142"/>
      <c r="AZ17" s="142"/>
      <c r="BA17" s="137"/>
      <c r="BB17" s="147"/>
      <c r="BC17" s="146" t="str">
        <f t="shared" si="3"/>
        <v/>
      </c>
      <c r="BD17" s="137" t="str">
        <f t="shared" si="4"/>
        <v>INDENIZAÇÃO</v>
      </c>
      <c r="BE17" s="137" t="str">
        <f t="shared" si="5"/>
        <v>NÃO</v>
      </c>
      <c r="BF17" s="137"/>
      <c r="BG17" s="137"/>
      <c r="BH17" s="137"/>
      <c r="BI17" s="137"/>
      <c r="BJ17" s="137"/>
      <c r="BK17" s="151"/>
      <c r="BL17" s="137"/>
      <c r="BM17" s="137"/>
      <c r="BN17" s="264"/>
    </row>
    <row r="18" spans="1:67" s="137" customFormat="1" ht="30" customHeight="1">
      <c r="A18" s="204">
        <v>5</v>
      </c>
      <c r="B18" s="204" t="s">
        <v>99</v>
      </c>
      <c r="C18" s="233" t="s">
        <v>100</v>
      </c>
      <c r="D18" s="205" t="s">
        <v>101</v>
      </c>
      <c r="E18" s="204" t="s">
        <v>101</v>
      </c>
      <c r="F18" s="234" t="s">
        <v>131</v>
      </c>
      <c r="G18" s="235" t="s">
        <v>1</v>
      </c>
      <c r="H18" s="235" t="s">
        <v>2</v>
      </c>
      <c r="I18" s="235" t="s">
        <v>12</v>
      </c>
      <c r="J18" s="234" t="s">
        <v>132</v>
      </c>
      <c r="K18" s="234">
        <v>229681578</v>
      </c>
      <c r="L18" s="234">
        <v>16310451804</v>
      </c>
      <c r="M18" s="204"/>
      <c r="N18" s="204"/>
      <c r="O18" s="151"/>
      <c r="P18" s="151"/>
      <c r="Q18" s="151"/>
      <c r="R18" s="151"/>
      <c r="S18" s="142"/>
      <c r="T18" s="142"/>
      <c r="U18" s="142"/>
      <c r="V18" s="142"/>
      <c r="W18" s="142"/>
      <c r="X18" s="142"/>
      <c r="Y18" s="142"/>
      <c r="Z18" s="142"/>
      <c r="AB18" s="206"/>
      <c r="AC18" s="206"/>
      <c r="AD18" s="206"/>
      <c r="AE18" s="204"/>
      <c r="AF18" s="204"/>
      <c r="AG18" s="143"/>
      <c r="AH18" s="143"/>
      <c r="AJ18" s="141" t="s">
        <v>105</v>
      </c>
      <c r="AK18" s="204"/>
      <c r="AP18" s="234"/>
      <c r="AU18" s="151"/>
      <c r="AX18" s="151"/>
      <c r="AY18" s="142"/>
      <c r="AZ18" s="142"/>
      <c r="BB18" s="147"/>
      <c r="BC18" s="146" t="str">
        <f t="shared" si="3"/>
        <v/>
      </c>
      <c r="BD18" s="137" t="str">
        <f t="shared" si="4"/>
        <v>INDENIZAÇÃO</v>
      </c>
      <c r="BE18" s="137" t="str">
        <f t="shared" si="5"/>
        <v>NÃO</v>
      </c>
      <c r="BK18" s="151"/>
      <c r="BN18" s="265"/>
    </row>
    <row r="19" spans="1:67" s="137" customFormat="1" ht="30" customHeight="1">
      <c r="A19" s="204">
        <v>6</v>
      </c>
      <c r="B19" s="204" t="s">
        <v>99</v>
      </c>
      <c r="C19" s="233" t="s">
        <v>100</v>
      </c>
      <c r="D19" s="205" t="s">
        <v>101</v>
      </c>
      <c r="E19" s="204" t="s">
        <v>101</v>
      </c>
      <c r="F19" s="234" t="s">
        <v>133</v>
      </c>
      <c r="G19" s="235" t="s">
        <v>1</v>
      </c>
      <c r="H19" s="235" t="s">
        <v>2</v>
      </c>
      <c r="I19" s="235" t="s">
        <v>12</v>
      </c>
      <c r="J19" s="234" t="s">
        <v>134</v>
      </c>
      <c r="K19" s="234" t="s">
        <v>135</v>
      </c>
      <c r="L19" s="234" t="s">
        <v>136</v>
      </c>
      <c r="M19" s="204"/>
      <c r="N19" s="204"/>
      <c r="O19" s="151"/>
      <c r="P19" s="151"/>
      <c r="Q19" s="151"/>
      <c r="R19" s="151"/>
      <c r="S19" s="142"/>
      <c r="T19" s="142"/>
      <c r="U19" s="142"/>
      <c r="V19" s="142"/>
      <c r="W19" s="142"/>
      <c r="X19" s="142"/>
      <c r="Y19" s="142"/>
      <c r="Z19" s="142"/>
      <c r="AB19" s="206"/>
      <c r="AC19" s="206"/>
      <c r="AD19" s="206"/>
      <c r="AE19" s="204"/>
      <c r="AF19" s="204"/>
      <c r="AG19" s="143"/>
      <c r="AH19" s="143"/>
      <c r="AJ19" s="141" t="s">
        <v>105</v>
      </c>
      <c r="AK19" s="204"/>
      <c r="AP19" s="234"/>
      <c r="AU19" s="151"/>
      <c r="AX19" s="151"/>
      <c r="AY19" s="142"/>
      <c r="AZ19" s="142"/>
      <c r="BB19" s="147"/>
      <c r="BC19" s="146" t="str">
        <f t="shared" si="3"/>
        <v/>
      </c>
      <c r="BD19" s="137" t="str">
        <f t="shared" si="4"/>
        <v>INDENIZAÇÃO</v>
      </c>
      <c r="BE19" s="137" t="str">
        <f t="shared" si="5"/>
        <v>NÃO</v>
      </c>
      <c r="BK19" s="151"/>
      <c r="BN19" s="265"/>
    </row>
    <row r="20" spans="1:67" s="137" customFormat="1" ht="30" customHeight="1">
      <c r="A20" s="204">
        <v>7</v>
      </c>
      <c r="B20" s="204" t="s">
        <v>99</v>
      </c>
      <c r="C20" s="233" t="s">
        <v>100</v>
      </c>
      <c r="D20" s="205" t="s">
        <v>101</v>
      </c>
      <c r="E20" s="204" t="s">
        <v>101</v>
      </c>
      <c r="F20" s="234" t="s">
        <v>137</v>
      </c>
      <c r="G20" s="235" t="s">
        <v>1</v>
      </c>
      <c r="H20" s="235" t="s">
        <v>2</v>
      </c>
      <c r="I20" s="235" t="s">
        <v>12</v>
      </c>
      <c r="J20" s="234" t="s">
        <v>138</v>
      </c>
      <c r="K20" s="234" t="s">
        <v>139</v>
      </c>
      <c r="L20" s="234" t="s">
        <v>140</v>
      </c>
      <c r="M20" s="204"/>
      <c r="N20" s="204"/>
      <c r="O20" s="151"/>
      <c r="P20" s="151"/>
      <c r="Q20" s="151"/>
      <c r="R20" s="151"/>
      <c r="S20" s="142"/>
      <c r="T20" s="142"/>
      <c r="U20" s="142"/>
      <c r="V20" s="142"/>
      <c r="W20" s="142"/>
      <c r="X20" s="142"/>
      <c r="Y20" s="142"/>
      <c r="Z20" s="142"/>
      <c r="AB20" s="206"/>
      <c r="AC20" s="206"/>
      <c r="AD20" s="206"/>
      <c r="AE20" s="204"/>
      <c r="AF20" s="204"/>
      <c r="AG20" s="143"/>
      <c r="AH20" s="143"/>
      <c r="AJ20" s="141" t="s">
        <v>105</v>
      </c>
      <c r="AK20" s="204"/>
      <c r="AP20" s="234"/>
      <c r="AU20" s="151"/>
      <c r="AX20" s="151"/>
      <c r="AY20" s="142"/>
      <c r="AZ20" s="142"/>
      <c r="BB20" s="147"/>
      <c r="BC20" s="146" t="str">
        <f t="shared" si="3"/>
        <v/>
      </c>
      <c r="BD20" s="137" t="str">
        <f t="shared" si="4"/>
        <v>INDENIZAÇÃO</v>
      </c>
      <c r="BE20" s="137" t="str">
        <f t="shared" si="5"/>
        <v>NÃO</v>
      </c>
      <c r="BK20" s="151"/>
      <c r="BN20" s="265"/>
    </row>
    <row r="21" spans="1:67" s="137" customFormat="1" ht="30" customHeight="1">
      <c r="A21" s="204">
        <v>8</v>
      </c>
      <c r="B21" s="204" t="s">
        <v>99</v>
      </c>
      <c r="C21" s="233" t="s">
        <v>100</v>
      </c>
      <c r="D21" s="205" t="s">
        <v>101</v>
      </c>
      <c r="E21" s="204" t="s">
        <v>101</v>
      </c>
      <c r="F21" s="234" t="s">
        <v>141</v>
      </c>
      <c r="G21" s="235" t="s">
        <v>1</v>
      </c>
      <c r="H21" s="235" t="s">
        <v>2</v>
      </c>
      <c r="I21" s="235" t="s">
        <v>12</v>
      </c>
      <c r="J21" s="234" t="s">
        <v>142</v>
      </c>
      <c r="K21" s="234" t="s">
        <v>143</v>
      </c>
      <c r="L21" s="234" t="s">
        <v>144</v>
      </c>
      <c r="M21" s="204"/>
      <c r="N21" s="204"/>
      <c r="O21" s="151"/>
      <c r="P21" s="151"/>
      <c r="Q21" s="151"/>
      <c r="R21" s="151"/>
      <c r="S21" s="142"/>
      <c r="T21" s="142"/>
      <c r="U21" s="142"/>
      <c r="V21" s="142"/>
      <c r="W21" s="142"/>
      <c r="X21" s="142"/>
      <c r="Y21" s="142"/>
      <c r="Z21" s="142"/>
      <c r="AB21" s="206"/>
      <c r="AC21" s="206"/>
      <c r="AD21" s="206"/>
      <c r="AE21" s="204"/>
      <c r="AF21" s="204"/>
      <c r="AG21" s="143"/>
      <c r="AH21" s="143"/>
      <c r="AJ21" s="141" t="s">
        <v>105</v>
      </c>
      <c r="AK21" s="204"/>
      <c r="AP21" s="234"/>
      <c r="AU21" s="151"/>
      <c r="AX21" s="151"/>
      <c r="AY21" s="142"/>
      <c r="AZ21" s="142"/>
      <c r="BB21" s="147"/>
      <c r="BC21" s="146" t="str">
        <f t="shared" si="3"/>
        <v/>
      </c>
      <c r="BD21" s="137" t="str">
        <f t="shared" si="4"/>
        <v>INDENIZAÇÃO</v>
      </c>
      <c r="BE21" s="137" t="str">
        <f t="shared" si="5"/>
        <v>NÃO</v>
      </c>
      <c r="BK21" s="151"/>
      <c r="BN21" s="265"/>
    </row>
    <row r="22" spans="1:67" s="137" customFormat="1" ht="30" customHeight="1">
      <c r="A22" s="204">
        <v>9</v>
      </c>
      <c r="B22" s="204" t="s">
        <v>99</v>
      </c>
      <c r="C22" s="233" t="s">
        <v>100</v>
      </c>
      <c r="D22" s="205" t="s">
        <v>101</v>
      </c>
      <c r="E22" s="204" t="s">
        <v>101</v>
      </c>
      <c r="F22" s="234" t="s">
        <v>145</v>
      </c>
      <c r="G22" s="235" t="s">
        <v>1</v>
      </c>
      <c r="H22" s="235" t="s">
        <v>2</v>
      </c>
      <c r="I22" s="235" t="s">
        <v>12</v>
      </c>
      <c r="J22" s="234" t="s">
        <v>146</v>
      </c>
      <c r="K22" s="234" t="s">
        <v>147</v>
      </c>
      <c r="L22" s="234" t="s">
        <v>148</v>
      </c>
      <c r="M22" s="204" t="s">
        <v>110</v>
      </c>
      <c r="N22" s="204" t="s">
        <v>5</v>
      </c>
      <c r="O22" s="151">
        <v>45838</v>
      </c>
      <c r="P22" s="151" t="s">
        <v>24</v>
      </c>
      <c r="Q22" s="151" t="s">
        <v>24</v>
      </c>
      <c r="R22" s="151" t="s">
        <v>24</v>
      </c>
      <c r="S22" s="151" t="s">
        <v>24</v>
      </c>
      <c r="T22" s="151" t="s">
        <v>24</v>
      </c>
      <c r="U22" s="151" t="s">
        <v>24</v>
      </c>
      <c r="V22" s="151" t="s">
        <v>24</v>
      </c>
      <c r="W22" s="151" t="s">
        <v>24</v>
      </c>
      <c r="X22" s="151" t="s">
        <v>24</v>
      </c>
      <c r="Y22" s="151" t="s">
        <v>24</v>
      </c>
      <c r="Z22" s="151" t="s">
        <v>24</v>
      </c>
      <c r="AB22" s="234" t="s">
        <v>146</v>
      </c>
      <c r="AC22" s="234" t="s">
        <v>147</v>
      </c>
      <c r="AD22" s="234" t="s">
        <v>148</v>
      </c>
      <c r="AE22" s="204" t="s">
        <v>12</v>
      </c>
      <c r="AF22" s="204" t="s">
        <v>110</v>
      </c>
      <c r="AG22" s="143">
        <v>35088.83</v>
      </c>
      <c r="AH22" s="143">
        <v>60000</v>
      </c>
      <c r="AI22" s="137" t="s">
        <v>6</v>
      </c>
      <c r="AJ22" s="141" t="s">
        <v>105</v>
      </c>
      <c r="AK22" s="204">
        <v>123202718</v>
      </c>
      <c r="AL22" s="137" t="s">
        <v>112</v>
      </c>
      <c r="AM22" s="137" t="s">
        <v>112</v>
      </c>
      <c r="AN22" s="137" t="s">
        <v>113</v>
      </c>
      <c r="AP22" s="234" t="s">
        <v>149</v>
      </c>
      <c r="AQ22" s="137" t="s">
        <v>112</v>
      </c>
      <c r="AR22" s="137" t="s">
        <v>112</v>
      </c>
      <c r="AS22" s="137" t="s">
        <v>112</v>
      </c>
      <c r="AT22" s="137" t="s">
        <v>112</v>
      </c>
      <c r="AU22" s="151">
        <v>45909</v>
      </c>
      <c r="AV22" s="137" t="s">
        <v>112</v>
      </c>
      <c r="AW22" s="137" t="s">
        <v>112</v>
      </c>
      <c r="AX22" s="151">
        <v>45915</v>
      </c>
      <c r="AY22" s="144">
        <v>45915</v>
      </c>
      <c r="AZ22" s="151">
        <v>45957</v>
      </c>
      <c r="BA22" s="145" t="s">
        <v>115</v>
      </c>
      <c r="BB22" s="147" t="s">
        <v>112</v>
      </c>
      <c r="BC22" s="146">
        <f t="shared" si="3"/>
        <v>77</v>
      </c>
      <c r="BD22" s="137" t="str">
        <f t="shared" si="4"/>
        <v>INDENIZAÇÃO</v>
      </c>
      <c r="BE22" s="137" t="str">
        <f t="shared" si="5"/>
        <v>NÃO</v>
      </c>
      <c r="BF22" s="137" t="s">
        <v>24</v>
      </c>
      <c r="BG22" s="137" t="s">
        <v>24</v>
      </c>
      <c r="BH22" s="137" t="s">
        <v>24</v>
      </c>
      <c r="BI22" s="137" t="s">
        <v>112</v>
      </c>
      <c r="BJ22" s="137" t="s">
        <v>112</v>
      </c>
      <c r="BK22" s="151">
        <v>45937</v>
      </c>
      <c r="BL22" s="137" t="s">
        <v>112</v>
      </c>
      <c r="BM22" s="145" t="s">
        <v>33</v>
      </c>
      <c r="BN22" s="265"/>
    </row>
    <row r="23" spans="1:67" s="137" customFormat="1" ht="30" customHeight="1">
      <c r="A23" s="204">
        <v>10</v>
      </c>
      <c r="B23" s="204" t="s">
        <v>99</v>
      </c>
      <c r="C23" s="233" t="s">
        <v>100</v>
      </c>
      <c r="D23" s="205" t="s">
        <v>101</v>
      </c>
      <c r="E23" s="204" t="s">
        <v>101</v>
      </c>
      <c r="F23" s="234" t="s">
        <v>150</v>
      </c>
      <c r="G23" s="235" t="s">
        <v>1</v>
      </c>
      <c r="H23" s="235" t="s">
        <v>2</v>
      </c>
      <c r="I23" s="235" t="s">
        <v>12</v>
      </c>
      <c r="J23" s="234" t="s">
        <v>151</v>
      </c>
      <c r="K23" s="234" t="s">
        <v>152</v>
      </c>
      <c r="L23" s="234" t="s">
        <v>153</v>
      </c>
      <c r="M23" s="204" t="s">
        <v>110</v>
      </c>
      <c r="N23" s="204" t="s">
        <v>5</v>
      </c>
      <c r="O23" s="151">
        <v>45954</v>
      </c>
      <c r="P23" s="151" t="s">
        <v>24</v>
      </c>
      <c r="Q23" s="151" t="s">
        <v>24</v>
      </c>
      <c r="R23" s="151" t="s">
        <v>24</v>
      </c>
      <c r="S23" s="151" t="s">
        <v>24</v>
      </c>
      <c r="T23" s="151" t="s">
        <v>24</v>
      </c>
      <c r="U23" s="151" t="s">
        <v>24</v>
      </c>
      <c r="V23" s="151" t="s">
        <v>24</v>
      </c>
      <c r="W23" s="151" t="s">
        <v>24</v>
      </c>
      <c r="X23" s="151" t="s">
        <v>24</v>
      </c>
      <c r="Y23" s="151" t="s">
        <v>24</v>
      </c>
      <c r="Z23" s="151" t="s">
        <v>24</v>
      </c>
      <c r="AB23" s="234" t="s">
        <v>151</v>
      </c>
      <c r="AC23" s="234" t="s">
        <v>152</v>
      </c>
      <c r="AD23" s="234" t="s">
        <v>153</v>
      </c>
      <c r="AE23" s="204" t="s">
        <v>12</v>
      </c>
      <c r="AF23" s="204" t="s">
        <v>110</v>
      </c>
      <c r="AG23" s="143">
        <v>121242.56</v>
      </c>
      <c r="AH23" s="143">
        <v>121242.56</v>
      </c>
      <c r="AI23" s="137" t="s">
        <v>6</v>
      </c>
      <c r="AJ23" s="141" t="s">
        <v>105</v>
      </c>
      <c r="AK23" s="204">
        <v>128252519</v>
      </c>
      <c r="AL23" s="137" t="s">
        <v>112</v>
      </c>
      <c r="AM23" s="137" t="s">
        <v>112</v>
      </c>
      <c r="AN23" s="137" t="s">
        <v>113</v>
      </c>
      <c r="AP23" s="234" t="s">
        <v>154</v>
      </c>
      <c r="AQ23" s="137" t="s">
        <v>112</v>
      </c>
      <c r="AR23" s="137" t="s">
        <v>112</v>
      </c>
      <c r="AS23" s="137" t="s">
        <v>112</v>
      </c>
      <c r="AT23" s="137" t="s">
        <v>112</v>
      </c>
      <c r="AU23" s="151">
        <v>46024</v>
      </c>
      <c r="AV23" s="137" t="s">
        <v>112</v>
      </c>
      <c r="AW23" s="137" t="s">
        <v>112</v>
      </c>
      <c r="AX23" s="151">
        <v>46038</v>
      </c>
      <c r="AY23" s="144">
        <v>46038</v>
      </c>
      <c r="AZ23" s="151">
        <v>46085</v>
      </c>
      <c r="BA23" s="145" t="s">
        <v>115</v>
      </c>
      <c r="BB23" s="147" t="s">
        <v>112</v>
      </c>
      <c r="BC23" s="146">
        <f t="shared" si="3"/>
        <v>84</v>
      </c>
      <c r="BD23" s="137" t="str">
        <f t="shared" si="4"/>
        <v>INDENIZAÇÃO</v>
      </c>
      <c r="BE23" s="137" t="str">
        <f t="shared" si="5"/>
        <v>NÃO</v>
      </c>
      <c r="BF23" s="137" t="s">
        <v>24</v>
      </c>
      <c r="BG23" s="137" t="s">
        <v>24</v>
      </c>
      <c r="BH23" s="137" t="s">
        <v>24</v>
      </c>
      <c r="BI23" s="137" t="s">
        <v>112</v>
      </c>
      <c r="BJ23" s="137" t="s">
        <v>112</v>
      </c>
      <c r="BK23" s="151">
        <v>46112</v>
      </c>
      <c r="BL23" s="137" t="s">
        <v>112</v>
      </c>
      <c r="BM23" s="145" t="s">
        <v>33</v>
      </c>
      <c r="BN23" s="265"/>
    </row>
    <row r="24" spans="1:67" s="137" customFormat="1" ht="30" customHeight="1">
      <c r="A24" s="204">
        <v>11</v>
      </c>
      <c r="B24" s="204" t="s">
        <v>99</v>
      </c>
      <c r="C24" s="233" t="s">
        <v>100</v>
      </c>
      <c r="D24" s="205" t="s">
        <v>101</v>
      </c>
      <c r="E24" s="204" t="s">
        <v>101</v>
      </c>
      <c r="F24" s="234" t="s">
        <v>155</v>
      </c>
      <c r="G24" s="235" t="s">
        <v>1</v>
      </c>
      <c r="H24" s="235" t="s">
        <v>156</v>
      </c>
      <c r="I24" s="235" t="s">
        <v>111</v>
      </c>
      <c r="J24" s="236" t="s">
        <v>104</v>
      </c>
      <c r="K24" s="236" t="s">
        <v>104</v>
      </c>
      <c r="L24" s="237" t="s">
        <v>104</v>
      </c>
      <c r="M24" s="204" t="s">
        <v>16</v>
      </c>
      <c r="N24" s="204"/>
      <c r="O24" s="151"/>
      <c r="P24" s="151"/>
      <c r="Q24" s="151"/>
      <c r="R24" s="151"/>
      <c r="S24" s="142"/>
      <c r="T24" s="142"/>
      <c r="U24" s="142"/>
      <c r="V24" s="142"/>
      <c r="W24" s="142"/>
      <c r="X24" s="142"/>
      <c r="Y24" s="142"/>
      <c r="Z24" s="142"/>
      <c r="AB24" s="206"/>
      <c r="AC24" s="206"/>
      <c r="AD24" s="206"/>
      <c r="AE24" s="204"/>
      <c r="AF24" s="204"/>
      <c r="AG24" s="143"/>
      <c r="AH24" s="143"/>
      <c r="AJ24" s="141" t="s">
        <v>105</v>
      </c>
      <c r="AK24" s="204"/>
      <c r="AP24" s="234"/>
      <c r="AU24" s="151"/>
      <c r="AX24" s="151"/>
      <c r="AY24" s="142"/>
      <c r="AZ24" s="142"/>
      <c r="BB24" s="147"/>
      <c r="BC24" s="146" t="str">
        <f t="shared" si="3"/>
        <v/>
      </c>
      <c r="BD24" s="137" t="str">
        <f t="shared" si="4"/>
        <v>INDENIZAÇÃO</v>
      </c>
      <c r="BE24" s="137" t="str">
        <f t="shared" si="5"/>
        <v>NÃO</v>
      </c>
      <c r="BK24" s="151"/>
      <c r="BN24" s="265"/>
    </row>
    <row r="25" spans="1:67" s="137" customFormat="1" ht="30" customHeight="1">
      <c r="A25" s="204">
        <v>12</v>
      </c>
      <c r="B25" s="204" t="s">
        <v>99</v>
      </c>
      <c r="C25" s="233" t="s">
        <v>100</v>
      </c>
      <c r="D25" s="205" t="s">
        <v>101</v>
      </c>
      <c r="E25" s="204" t="s">
        <v>101</v>
      </c>
      <c r="F25" s="234" t="s">
        <v>157</v>
      </c>
      <c r="G25" s="235" t="s">
        <v>1</v>
      </c>
      <c r="H25" s="235" t="s">
        <v>2</v>
      </c>
      <c r="I25" s="235" t="s">
        <v>12</v>
      </c>
      <c r="J25" s="234" t="s">
        <v>158</v>
      </c>
      <c r="K25" s="234">
        <v>34164013</v>
      </c>
      <c r="L25" s="234" t="s">
        <v>159</v>
      </c>
      <c r="M25" s="204" t="s">
        <v>16</v>
      </c>
      <c r="N25" s="204"/>
      <c r="O25" s="151"/>
      <c r="P25" s="151"/>
      <c r="Q25" s="151"/>
      <c r="R25" s="151"/>
      <c r="S25" s="142"/>
      <c r="T25" s="142"/>
      <c r="U25" s="142"/>
      <c r="V25" s="142"/>
      <c r="W25" s="142"/>
      <c r="X25" s="142"/>
      <c r="Y25" s="142"/>
      <c r="Z25" s="142"/>
      <c r="AB25" s="206"/>
      <c r="AC25" s="206"/>
      <c r="AD25" s="206"/>
      <c r="AE25" s="204"/>
      <c r="AF25" s="204"/>
      <c r="AG25" s="143"/>
      <c r="AH25" s="143"/>
      <c r="AJ25" s="141" t="s">
        <v>105</v>
      </c>
      <c r="AK25" s="204"/>
      <c r="AP25" s="234"/>
      <c r="AU25" s="151"/>
      <c r="AX25" s="151"/>
      <c r="AY25" s="142"/>
      <c r="AZ25" s="142"/>
      <c r="BB25" s="147"/>
      <c r="BC25" s="146" t="str">
        <f t="shared" si="3"/>
        <v/>
      </c>
      <c r="BD25" s="137" t="str">
        <f t="shared" si="4"/>
        <v>INDENIZAÇÃO</v>
      </c>
      <c r="BE25" s="137" t="str">
        <f t="shared" si="5"/>
        <v>NÃO</v>
      </c>
      <c r="BK25" s="151"/>
      <c r="BN25" s="265"/>
    </row>
    <row r="26" spans="1:67" s="137" customFormat="1" ht="30" customHeight="1">
      <c r="A26" s="204">
        <v>13</v>
      </c>
      <c r="B26" s="204" t="s">
        <v>99</v>
      </c>
      <c r="C26" s="233" t="s">
        <v>100</v>
      </c>
      <c r="D26" s="205" t="s">
        <v>101</v>
      </c>
      <c r="E26" s="204" t="s">
        <v>101</v>
      </c>
      <c r="F26" s="234" t="s">
        <v>160</v>
      </c>
      <c r="G26" s="235" t="s">
        <v>1</v>
      </c>
      <c r="H26" s="235" t="s">
        <v>2</v>
      </c>
      <c r="I26" s="235" t="s">
        <v>12</v>
      </c>
      <c r="J26" s="234" t="s">
        <v>161</v>
      </c>
      <c r="K26" s="234">
        <v>331023</v>
      </c>
      <c r="L26" s="234" t="s">
        <v>162</v>
      </c>
      <c r="M26" s="204" t="s">
        <v>110</v>
      </c>
      <c r="N26" s="204" t="s">
        <v>163</v>
      </c>
      <c r="O26" s="151">
        <v>46161</v>
      </c>
      <c r="P26" s="151" t="s">
        <v>24</v>
      </c>
      <c r="Q26" s="151" t="s">
        <v>24</v>
      </c>
      <c r="R26" s="151" t="s">
        <v>24</v>
      </c>
      <c r="S26" s="151" t="s">
        <v>24</v>
      </c>
      <c r="T26" s="151" t="s">
        <v>24</v>
      </c>
      <c r="U26" s="151" t="s">
        <v>24</v>
      </c>
      <c r="V26" s="151" t="s">
        <v>24</v>
      </c>
      <c r="W26" s="151" t="s">
        <v>24</v>
      </c>
      <c r="X26" s="151" t="s">
        <v>24</v>
      </c>
      <c r="Y26" s="151" t="s">
        <v>24</v>
      </c>
      <c r="Z26" s="151" t="s">
        <v>24</v>
      </c>
      <c r="AB26" s="234" t="s">
        <v>161</v>
      </c>
      <c r="AC26" s="234">
        <v>331023</v>
      </c>
      <c r="AD26" s="234" t="s">
        <v>162</v>
      </c>
      <c r="AE26" s="204" t="s">
        <v>12</v>
      </c>
      <c r="AF26" s="204" t="s">
        <v>110</v>
      </c>
      <c r="AG26" s="143">
        <v>30923.52</v>
      </c>
      <c r="AH26" s="143">
        <v>60000</v>
      </c>
      <c r="AI26" s="137" t="s">
        <v>121</v>
      </c>
      <c r="AJ26" s="141" t="s">
        <v>105</v>
      </c>
      <c r="AK26" s="204">
        <v>149303607</v>
      </c>
      <c r="AL26" s="137" t="s">
        <v>112</v>
      </c>
      <c r="AM26" s="137" t="s">
        <v>112</v>
      </c>
      <c r="AN26" s="137" t="s">
        <v>113</v>
      </c>
      <c r="AP26" s="234" t="s">
        <v>164</v>
      </c>
      <c r="AQ26" s="137" t="s">
        <v>112</v>
      </c>
      <c r="AR26" s="137" t="s">
        <v>112</v>
      </c>
      <c r="AS26" s="137" t="s">
        <v>112</v>
      </c>
      <c r="AT26" s="137" t="s">
        <v>112</v>
      </c>
      <c r="AU26" s="151">
        <v>46226</v>
      </c>
      <c r="AV26" s="137" t="s">
        <v>112</v>
      </c>
      <c r="AW26" s="137" t="s">
        <v>112</v>
      </c>
      <c r="AX26" s="151">
        <v>46233</v>
      </c>
      <c r="AY26" s="144">
        <v>46233</v>
      </c>
      <c r="AZ26" s="145" t="s">
        <v>33</v>
      </c>
      <c r="BA26" s="145" t="s">
        <v>115</v>
      </c>
      <c r="BB26" s="147" t="s">
        <v>112</v>
      </c>
      <c r="BC26" s="146">
        <f t="shared" ref="BC26" si="6">IF(AY26-KG26=0,"",AY26-O26)</f>
        <v>72</v>
      </c>
      <c r="BD26" s="137" t="str">
        <f t="shared" ref="BD26" si="7">IF(AND(AI26&lt;&gt;"SIM",AI26="UH"),"AA","INDENIZAÇÃO")</f>
        <v>INDENIZAÇÃO</v>
      </c>
      <c r="BE26" s="137" t="str">
        <f t="shared" ref="BE26" si="8">IF(AND(AY26&lt;&gt;"AGUARDANDO",AY26&lt;&gt;"",N26="AUXÍLIO ALUGUEL ATÉ INDENIZAÇÃO"),"SIM","NÃO")</f>
        <v>NÃO</v>
      </c>
      <c r="BF26" s="137" t="s">
        <v>24</v>
      </c>
      <c r="BG26" s="137" t="s">
        <v>24</v>
      </c>
      <c r="BH26" s="137" t="s">
        <v>24</v>
      </c>
      <c r="BI26" s="145" t="s">
        <v>123</v>
      </c>
      <c r="BJ26" s="145"/>
      <c r="BK26" s="144"/>
      <c r="BL26" s="145"/>
      <c r="BM26" s="145"/>
      <c r="BN26" s="264"/>
      <c r="BO26" s="204"/>
    </row>
    <row r="27" spans="1:67" s="137" customFormat="1" ht="30" customHeight="1">
      <c r="A27" s="204">
        <v>14</v>
      </c>
      <c r="B27" s="204" t="s">
        <v>99</v>
      </c>
      <c r="C27" s="233" t="s">
        <v>100</v>
      </c>
      <c r="D27" s="205" t="s">
        <v>101</v>
      </c>
      <c r="E27" s="204" t="s">
        <v>101</v>
      </c>
      <c r="F27" s="234" t="s">
        <v>165</v>
      </c>
      <c r="G27" s="235" t="s">
        <v>1</v>
      </c>
      <c r="H27" s="235" t="s">
        <v>2</v>
      </c>
      <c r="I27" s="235" t="s">
        <v>12</v>
      </c>
      <c r="J27" s="234" t="s">
        <v>166</v>
      </c>
      <c r="K27" s="234">
        <v>284659812</v>
      </c>
      <c r="L27" s="234">
        <v>19342655866</v>
      </c>
      <c r="M27" s="204" t="s">
        <v>16</v>
      </c>
      <c r="N27" s="204"/>
      <c r="O27" s="151"/>
      <c r="P27" s="151"/>
      <c r="Q27" s="151"/>
      <c r="R27" s="151"/>
      <c r="S27" s="142"/>
      <c r="T27" s="142"/>
      <c r="U27" s="142"/>
      <c r="V27" s="142"/>
      <c r="W27" s="142"/>
      <c r="X27" s="142"/>
      <c r="Y27" s="142"/>
      <c r="Z27" s="142"/>
      <c r="AB27" s="206"/>
      <c r="AC27" s="206"/>
      <c r="AD27" s="206"/>
      <c r="AE27" s="204"/>
      <c r="AF27" s="204"/>
      <c r="AG27" s="143"/>
      <c r="AH27" s="143"/>
      <c r="AJ27" s="141" t="s">
        <v>105</v>
      </c>
      <c r="AK27" s="204"/>
      <c r="AP27" s="234"/>
      <c r="AU27" s="151"/>
      <c r="AX27" s="151"/>
      <c r="AY27" s="142"/>
      <c r="AZ27" s="142"/>
      <c r="BB27" s="147"/>
      <c r="BC27" s="146" t="str">
        <f t="shared" si="3"/>
        <v/>
      </c>
      <c r="BD27" s="137" t="str">
        <f t="shared" si="4"/>
        <v>INDENIZAÇÃO</v>
      </c>
      <c r="BE27" s="137" t="str">
        <f t="shared" si="5"/>
        <v>NÃO</v>
      </c>
      <c r="BK27" s="151"/>
      <c r="BN27" s="264"/>
      <c r="BO27" s="204"/>
    </row>
    <row r="28" spans="1:67" s="137" customFormat="1" ht="30" customHeight="1">
      <c r="A28" s="204">
        <v>15</v>
      </c>
      <c r="B28" s="204" t="s">
        <v>99</v>
      </c>
      <c r="C28" s="233" t="s">
        <v>100</v>
      </c>
      <c r="D28" s="205" t="s">
        <v>101</v>
      </c>
      <c r="E28" s="204" t="s">
        <v>101</v>
      </c>
      <c r="F28" s="234" t="s">
        <v>167</v>
      </c>
      <c r="G28" s="235" t="s">
        <v>1</v>
      </c>
      <c r="H28" s="235" t="s">
        <v>2</v>
      </c>
      <c r="I28" s="235" t="s">
        <v>12</v>
      </c>
      <c r="J28" s="234" t="s">
        <v>168</v>
      </c>
      <c r="K28" s="234">
        <v>390508299</v>
      </c>
      <c r="L28" s="234">
        <v>17016043886</v>
      </c>
      <c r="M28" s="204" t="s">
        <v>16</v>
      </c>
      <c r="N28" s="204"/>
      <c r="O28" s="151"/>
      <c r="P28" s="151"/>
      <c r="Q28" s="151"/>
      <c r="R28" s="151"/>
      <c r="S28" s="142"/>
      <c r="T28" s="142"/>
      <c r="U28" s="142"/>
      <c r="V28" s="142"/>
      <c r="W28" s="142"/>
      <c r="X28" s="142"/>
      <c r="Y28" s="142"/>
      <c r="Z28" s="142"/>
      <c r="AB28" s="206"/>
      <c r="AC28" s="206"/>
      <c r="AD28" s="206"/>
      <c r="AE28" s="204"/>
      <c r="AF28" s="204"/>
      <c r="AG28" s="143"/>
      <c r="AH28" s="143"/>
      <c r="AJ28" s="141" t="s">
        <v>105</v>
      </c>
      <c r="AK28" s="204"/>
      <c r="AP28" s="234"/>
      <c r="AU28" s="151"/>
      <c r="AX28" s="151"/>
      <c r="AY28" s="142"/>
      <c r="AZ28" s="142"/>
      <c r="BB28" s="147"/>
      <c r="BC28" s="146" t="str">
        <f t="shared" si="3"/>
        <v/>
      </c>
      <c r="BD28" s="137" t="str">
        <f t="shared" si="4"/>
        <v>INDENIZAÇÃO</v>
      </c>
      <c r="BE28" s="137" t="str">
        <f t="shared" si="5"/>
        <v>NÃO</v>
      </c>
      <c r="BK28" s="151"/>
      <c r="BN28" s="264"/>
      <c r="BO28" s="204"/>
    </row>
    <row r="29" spans="1:67" s="137" customFormat="1" ht="30" customHeight="1">
      <c r="A29" s="204">
        <v>16</v>
      </c>
      <c r="B29" s="204" t="s">
        <v>99</v>
      </c>
      <c r="C29" s="233" t="s">
        <v>100</v>
      </c>
      <c r="D29" s="205" t="s">
        <v>101</v>
      </c>
      <c r="E29" s="204" t="s">
        <v>101</v>
      </c>
      <c r="F29" s="234" t="s">
        <v>169</v>
      </c>
      <c r="G29" s="235" t="s">
        <v>1</v>
      </c>
      <c r="H29" s="235" t="s">
        <v>2</v>
      </c>
      <c r="I29" s="235" t="s">
        <v>12</v>
      </c>
      <c r="J29" s="234" t="s">
        <v>170</v>
      </c>
      <c r="K29" s="234">
        <v>383588790</v>
      </c>
      <c r="L29" s="234" t="s">
        <v>171</v>
      </c>
      <c r="M29" s="204" t="s">
        <v>110</v>
      </c>
      <c r="N29" s="204" t="s">
        <v>128</v>
      </c>
      <c r="O29" s="151">
        <v>45726</v>
      </c>
      <c r="P29" s="151" t="s">
        <v>172</v>
      </c>
      <c r="Q29" s="234" t="s">
        <v>130</v>
      </c>
      <c r="R29" s="151">
        <v>45744</v>
      </c>
      <c r="S29" s="142">
        <v>45750</v>
      </c>
      <c r="T29" s="142"/>
      <c r="U29" s="142"/>
      <c r="V29" s="142"/>
      <c r="W29" s="142"/>
      <c r="X29" s="142"/>
      <c r="Y29" s="142"/>
      <c r="Z29" s="142"/>
      <c r="AB29" s="206"/>
      <c r="AC29" s="206"/>
      <c r="AD29" s="206"/>
      <c r="AE29" s="204"/>
      <c r="AF29" s="204"/>
      <c r="AG29" s="143"/>
      <c r="AH29" s="143"/>
      <c r="AJ29" s="141" t="s">
        <v>105</v>
      </c>
      <c r="AK29" s="204"/>
      <c r="AP29" s="234"/>
      <c r="AU29" s="151"/>
      <c r="AX29" s="151"/>
      <c r="AY29" s="142"/>
      <c r="AZ29" s="142"/>
      <c r="BB29" s="147"/>
      <c r="BC29" s="146" t="str">
        <f t="shared" si="3"/>
        <v/>
      </c>
      <c r="BD29" s="137" t="str">
        <f t="shared" si="4"/>
        <v>INDENIZAÇÃO</v>
      </c>
      <c r="BE29" s="137" t="str">
        <f t="shared" si="5"/>
        <v>NÃO</v>
      </c>
      <c r="BK29" s="151"/>
      <c r="BN29" s="265"/>
    </row>
    <row r="30" spans="1:67" s="137" customFormat="1" ht="30" customHeight="1">
      <c r="A30" s="204">
        <v>17</v>
      </c>
      <c r="B30" s="204" t="s">
        <v>99</v>
      </c>
      <c r="C30" s="233" t="s">
        <v>116</v>
      </c>
      <c r="D30" s="205" t="s">
        <v>101</v>
      </c>
      <c r="E30" s="204" t="s">
        <v>101</v>
      </c>
      <c r="F30" s="234" t="s">
        <v>173</v>
      </c>
      <c r="G30" s="235" t="s">
        <v>1</v>
      </c>
      <c r="H30" s="235" t="s">
        <v>2</v>
      </c>
      <c r="I30" s="235" t="s">
        <v>12</v>
      </c>
      <c r="J30" s="234" t="s">
        <v>174</v>
      </c>
      <c r="K30" s="234" t="s">
        <v>175</v>
      </c>
      <c r="L30" s="234" t="s">
        <v>175</v>
      </c>
      <c r="M30" s="204" t="s">
        <v>16</v>
      </c>
      <c r="N30" s="204"/>
      <c r="O30" s="151"/>
      <c r="P30" s="151"/>
      <c r="Q30" s="151"/>
      <c r="R30" s="151"/>
      <c r="S30" s="142"/>
      <c r="T30" s="142"/>
      <c r="U30" s="142"/>
      <c r="V30" s="142"/>
      <c r="W30" s="142"/>
      <c r="X30" s="142"/>
      <c r="Y30" s="142"/>
      <c r="Z30" s="142"/>
      <c r="AB30" s="206"/>
      <c r="AC30" s="206"/>
      <c r="AD30" s="206"/>
      <c r="AE30" s="204"/>
      <c r="AF30" s="204"/>
      <c r="AG30" s="143"/>
      <c r="AH30" s="143"/>
      <c r="AJ30" s="141" t="s">
        <v>105</v>
      </c>
      <c r="AK30" s="204"/>
      <c r="AP30" s="234"/>
      <c r="AU30" s="151"/>
      <c r="AX30" s="151"/>
      <c r="AY30" s="142"/>
      <c r="AZ30" s="142"/>
      <c r="BB30" s="147"/>
      <c r="BC30" s="146" t="str">
        <f t="shared" si="3"/>
        <v/>
      </c>
      <c r="BD30" s="137" t="str">
        <f t="shared" si="4"/>
        <v>INDENIZAÇÃO</v>
      </c>
      <c r="BE30" s="137" t="str">
        <f t="shared" si="5"/>
        <v>NÃO</v>
      </c>
      <c r="BK30" s="151"/>
      <c r="BN30" s="265"/>
    </row>
    <row r="31" spans="1:67" s="137" customFormat="1" ht="30" customHeight="1">
      <c r="A31" s="204">
        <v>18</v>
      </c>
      <c r="B31" s="204" t="s">
        <v>99</v>
      </c>
      <c r="C31" s="233" t="s">
        <v>116</v>
      </c>
      <c r="D31" s="205" t="s">
        <v>101</v>
      </c>
      <c r="E31" s="204" t="s">
        <v>101</v>
      </c>
      <c r="F31" s="234" t="s">
        <v>176</v>
      </c>
      <c r="G31" s="235" t="s">
        <v>1</v>
      </c>
      <c r="H31" s="235" t="s">
        <v>2</v>
      </c>
      <c r="I31" s="235" t="s">
        <v>12</v>
      </c>
      <c r="J31" s="234" t="s">
        <v>177</v>
      </c>
      <c r="K31" s="234">
        <v>572846733</v>
      </c>
      <c r="L31" s="234">
        <v>46653357880</v>
      </c>
      <c r="M31" s="204" t="s">
        <v>16</v>
      </c>
      <c r="N31" s="204"/>
      <c r="O31" s="151"/>
      <c r="P31" s="151"/>
      <c r="Q31" s="151"/>
      <c r="R31" s="151"/>
      <c r="S31" s="142"/>
      <c r="T31" s="142"/>
      <c r="U31" s="142"/>
      <c r="V31" s="142"/>
      <c r="W31" s="142"/>
      <c r="X31" s="142"/>
      <c r="Y31" s="142"/>
      <c r="Z31" s="142"/>
      <c r="AB31" s="206"/>
      <c r="AC31" s="206"/>
      <c r="AD31" s="206"/>
      <c r="AE31" s="204"/>
      <c r="AF31" s="204"/>
      <c r="AG31" s="143"/>
      <c r="AH31" s="143"/>
      <c r="AJ31" s="141" t="s">
        <v>105</v>
      </c>
      <c r="AK31" s="204"/>
      <c r="AP31" s="234"/>
      <c r="AU31" s="151"/>
      <c r="AX31" s="151"/>
      <c r="AY31" s="142"/>
      <c r="AZ31" s="142"/>
      <c r="BB31" s="147"/>
      <c r="BC31" s="146" t="str">
        <f t="shared" si="3"/>
        <v/>
      </c>
      <c r="BD31" s="137" t="str">
        <f t="shared" si="4"/>
        <v>INDENIZAÇÃO</v>
      </c>
      <c r="BE31" s="137" t="str">
        <f t="shared" si="5"/>
        <v>NÃO</v>
      </c>
      <c r="BK31" s="151"/>
      <c r="BN31" s="265"/>
    </row>
    <row r="32" spans="1:67" s="137" customFormat="1" ht="30" customHeight="1">
      <c r="A32" s="204">
        <v>19</v>
      </c>
      <c r="B32" s="204" t="s">
        <v>99</v>
      </c>
      <c r="C32" s="233" t="s">
        <v>116</v>
      </c>
      <c r="D32" s="205" t="s">
        <v>101</v>
      </c>
      <c r="E32" s="204" t="s">
        <v>101</v>
      </c>
      <c r="F32" s="234" t="s">
        <v>178</v>
      </c>
      <c r="G32" s="235" t="s">
        <v>1</v>
      </c>
      <c r="H32" s="235" t="s">
        <v>179</v>
      </c>
      <c r="I32" s="235" t="s">
        <v>111</v>
      </c>
      <c r="J32" s="236" t="s">
        <v>104</v>
      </c>
      <c r="K32" s="236" t="s">
        <v>104</v>
      </c>
      <c r="L32" s="237" t="s">
        <v>104</v>
      </c>
      <c r="M32" s="204" t="s">
        <v>16</v>
      </c>
      <c r="N32" s="204"/>
      <c r="O32" s="151"/>
      <c r="P32" s="151"/>
      <c r="Q32" s="151"/>
      <c r="R32" s="151"/>
      <c r="S32" s="142"/>
      <c r="T32" s="142"/>
      <c r="U32" s="142"/>
      <c r="V32" s="142"/>
      <c r="W32" s="142"/>
      <c r="X32" s="142"/>
      <c r="Y32" s="142"/>
      <c r="Z32" s="142"/>
      <c r="AB32" s="206"/>
      <c r="AC32" s="206"/>
      <c r="AD32" s="206"/>
      <c r="AE32" s="204"/>
      <c r="AF32" s="204"/>
      <c r="AG32" s="143"/>
      <c r="AH32" s="143"/>
      <c r="AJ32" s="141" t="s">
        <v>105</v>
      </c>
      <c r="AK32" s="204"/>
      <c r="AP32" s="234"/>
      <c r="AU32" s="151"/>
      <c r="AX32" s="151"/>
      <c r="AY32" s="142"/>
      <c r="AZ32" s="142"/>
      <c r="BB32" s="147"/>
      <c r="BC32" s="146" t="str">
        <f t="shared" si="3"/>
        <v/>
      </c>
      <c r="BD32" s="137" t="str">
        <f t="shared" si="4"/>
        <v>INDENIZAÇÃO</v>
      </c>
      <c r="BE32" s="137" t="str">
        <f t="shared" si="5"/>
        <v>NÃO</v>
      </c>
      <c r="BK32" s="151"/>
      <c r="BN32" s="265"/>
    </row>
    <row r="33" spans="1:70" s="137" customFormat="1" ht="30" customHeight="1">
      <c r="A33" s="204">
        <v>20</v>
      </c>
      <c r="B33" s="204" t="s">
        <v>99</v>
      </c>
      <c r="C33" s="233" t="s">
        <v>100</v>
      </c>
      <c r="D33" s="205" t="s">
        <v>101</v>
      </c>
      <c r="E33" s="204" t="s">
        <v>101</v>
      </c>
      <c r="F33" s="234" t="s">
        <v>180</v>
      </c>
      <c r="G33" s="235" t="s">
        <v>1</v>
      </c>
      <c r="H33" s="235" t="s">
        <v>2</v>
      </c>
      <c r="I33" s="235" t="s">
        <v>12</v>
      </c>
      <c r="J33" s="234" t="s">
        <v>181</v>
      </c>
      <c r="K33" s="234">
        <v>229657904</v>
      </c>
      <c r="L33" s="234" t="s">
        <v>182</v>
      </c>
      <c r="M33" s="204"/>
      <c r="N33" s="204"/>
      <c r="O33" s="151"/>
      <c r="P33" s="151"/>
      <c r="Q33" s="151"/>
      <c r="R33" s="151"/>
      <c r="S33" s="142"/>
      <c r="T33" s="142"/>
      <c r="U33" s="142"/>
      <c r="V33" s="142"/>
      <c r="W33" s="142"/>
      <c r="X33" s="142"/>
      <c r="Y33" s="142"/>
      <c r="Z33" s="142"/>
      <c r="AB33" s="206"/>
      <c r="AC33" s="206"/>
      <c r="AD33" s="206"/>
      <c r="AE33" s="204"/>
      <c r="AF33" s="204"/>
      <c r="AG33" s="143"/>
      <c r="AH33" s="143"/>
      <c r="AJ33" s="141" t="s">
        <v>105</v>
      </c>
      <c r="AK33" s="204"/>
      <c r="AP33" s="234"/>
      <c r="AU33" s="151"/>
      <c r="AX33" s="151"/>
      <c r="AY33" s="142"/>
      <c r="AZ33" s="142"/>
      <c r="BB33" s="147"/>
      <c r="BC33" s="146" t="str">
        <f t="shared" si="3"/>
        <v/>
      </c>
      <c r="BD33" s="137" t="str">
        <f t="shared" si="4"/>
        <v>INDENIZAÇÃO</v>
      </c>
      <c r="BE33" s="137" t="str">
        <f t="shared" si="5"/>
        <v>NÃO</v>
      </c>
      <c r="BK33" s="151"/>
      <c r="BN33" s="265"/>
    </row>
    <row r="34" spans="1:70" s="204" customFormat="1" ht="30" customHeight="1">
      <c r="A34" s="204">
        <v>21</v>
      </c>
      <c r="B34" s="204" t="s">
        <v>99</v>
      </c>
      <c r="C34" s="233" t="s">
        <v>100</v>
      </c>
      <c r="D34" s="205" t="s">
        <v>101</v>
      </c>
      <c r="E34" s="204" t="s">
        <v>101</v>
      </c>
      <c r="F34" s="234" t="s">
        <v>183</v>
      </c>
      <c r="G34" s="235" t="s">
        <v>1</v>
      </c>
      <c r="H34" s="235" t="s">
        <v>2</v>
      </c>
      <c r="I34" s="235" t="s">
        <v>12</v>
      </c>
      <c r="J34" s="234" t="s">
        <v>184</v>
      </c>
      <c r="K34" s="236" t="s">
        <v>185</v>
      </c>
      <c r="L34" s="234" t="s">
        <v>186</v>
      </c>
      <c r="M34" s="204" t="s">
        <v>110</v>
      </c>
      <c r="N34" s="204" t="s">
        <v>163</v>
      </c>
      <c r="O34" s="151">
        <v>46097</v>
      </c>
      <c r="P34" s="151" t="s">
        <v>24</v>
      </c>
      <c r="Q34" s="151" t="s">
        <v>24</v>
      </c>
      <c r="R34" s="151" t="s">
        <v>24</v>
      </c>
      <c r="S34" s="151" t="s">
        <v>24</v>
      </c>
      <c r="T34" s="151" t="s">
        <v>24</v>
      </c>
      <c r="U34" s="151" t="s">
        <v>24</v>
      </c>
      <c r="V34" s="151" t="s">
        <v>24</v>
      </c>
      <c r="W34" s="151" t="s">
        <v>24</v>
      </c>
      <c r="X34" s="151" t="s">
        <v>24</v>
      </c>
      <c r="Y34" s="151" t="s">
        <v>24</v>
      </c>
      <c r="Z34" s="151" t="s">
        <v>24</v>
      </c>
      <c r="AA34" s="137"/>
      <c r="AB34" s="234" t="s">
        <v>184</v>
      </c>
      <c r="AC34" s="236" t="s">
        <v>185</v>
      </c>
      <c r="AD34" s="234" t="s">
        <v>186</v>
      </c>
      <c r="AE34" s="204" t="s">
        <v>12</v>
      </c>
      <c r="AF34" s="204" t="s">
        <v>110</v>
      </c>
      <c r="AG34" s="143">
        <v>92014.59</v>
      </c>
      <c r="AH34" s="143">
        <v>92014.59</v>
      </c>
      <c r="AI34" s="137" t="s">
        <v>121</v>
      </c>
      <c r="AJ34" s="141" t="s">
        <v>105</v>
      </c>
      <c r="AK34" s="204">
        <v>152010700</v>
      </c>
      <c r="AL34" s="137" t="s">
        <v>112</v>
      </c>
      <c r="AM34" s="137" t="s">
        <v>112</v>
      </c>
      <c r="AN34" s="256" t="s">
        <v>113</v>
      </c>
      <c r="AO34" s="137"/>
      <c r="AP34" s="234" t="s">
        <v>187</v>
      </c>
      <c r="AQ34" s="137" t="s">
        <v>112</v>
      </c>
      <c r="AR34" s="137" t="s">
        <v>112</v>
      </c>
      <c r="AS34" s="137" t="s">
        <v>112</v>
      </c>
      <c r="AT34" s="137" t="s">
        <v>112</v>
      </c>
      <c r="AU34" s="151">
        <v>46174</v>
      </c>
      <c r="AV34" s="137" t="s">
        <v>112</v>
      </c>
      <c r="AW34" s="137" t="s">
        <v>112</v>
      </c>
      <c r="AX34" s="151">
        <v>46182</v>
      </c>
      <c r="AY34" s="144">
        <v>46182</v>
      </c>
      <c r="AZ34" s="144" t="s">
        <v>33</v>
      </c>
      <c r="BA34" s="145" t="s">
        <v>115</v>
      </c>
      <c r="BB34" s="147" t="s">
        <v>112</v>
      </c>
      <c r="BC34" s="146">
        <f t="shared" si="3"/>
        <v>85</v>
      </c>
      <c r="BD34" s="137" t="str">
        <f t="shared" si="4"/>
        <v>INDENIZAÇÃO</v>
      </c>
      <c r="BE34" s="137" t="str">
        <f t="shared" si="5"/>
        <v>NÃO</v>
      </c>
      <c r="BF34" s="137" t="s">
        <v>24</v>
      </c>
      <c r="BG34" s="137" t="s">
        <v>24</v>
      </c>
      <c r="BH34" s="137" t="s">
        <v>24</v>
      </c>
      <c r="BI34" s="137" t="s">
        <v>112</v>
      </c>
      <c r="BJ34" s="137" t="s">
        <v>112</v>
      </c>
      <c r="BK34" s="151">
        <v>46224</v>
      </c>
      <c r="BL34" s="145" t="s">
        <v>188</v>
      </c>
      <c r="BM34" s="145"/>
      <c r="BN34" s="264"/>
    </row>
    <row r="35" spans="1:70" s="137" customFormat="1" ht="30" customHeight="1">
      <c r="A35" s="204">
        <v>22</v>
      </c>
      <c r="B35" s="204" t="s">
        <v>99</v>
      </c>
      <c r="C35" s="233" t="s">
        <v>100</v>
      </c>
      <c r="D35" s="205" t="s">
        <v>101</v>
      </c>
      <c r="E35" s="204" t="s">
        <v>101</v>
      </c>
      <c r="F35" s="234" t="s">
        <v>189</v>
      </c>
      <c r="G35" s="235" t="s">
        <v>1</v>
      </c>
      <c r="H35" s="235" t="s">
        <v>2</v>
      </c>
      <c r="I35" s="235" t="s">
        <v>12</v>
      </c>
      <c r="J35" s="234" t="s">
        <v>190</v>
      </c>
      <c r="K35" s="234" t="s">
        <v>191</v>
      </c>
      <c r="L35" s="234" t="s">
        <v>192</v>
      </c>
      <c r="M35" s="204" t="s">
        <v>110</v>
      </c>
      <c r="N35" s="204" t="s">
        <v>163</v>
      </c>
      <c r="O35" s="151">
        <v>45999</v>
      </c>
      <c r="P35" s="151" t="s">
        <v>24</v>
      </c>
      <c r="Q35" s="151" t="s">
        <v>24</v>
      </c>
      <c r="R35" s="151" t="s">
        <v>24</v>
      </c>
      <c r="S35" s="151" t="s">
        <v>24</v>
      </c>
      <c r="T35" s="151" t="s">
        <v>24</v>
      </c>
      <c r="U35" s="151" t="s">
        <v>24</v>
      </c>
      <c r="V35" s="151" t="s">
        <v>24</v>
      </c>
      <c r="W35" s="151" t="s">
        <v>24</v>
      </c>
      <c r="X35" s="151" t="s">
        <v>24</v>
      </c>
      <c r="Y35" s="151" t="s">
        <v>24</v>
      </c>
      <c r="Z35" s="151" t="s">
        <v>24</v>
      </c>
      <c r="AA35" s="151"/>
      <c r="AB35" s="234" t="s">
        <v>190</v>
      </c>
      <c r="AC35" s="234" t="s">
        <v>191</v>
      </c>
      <c r="AD35" s="234" t="s">
        <v>192</v>
      </c>
      <c r="AE35" s="204" t="s">
        <v>12</v>
      </c>
      <c r="AF35" s="204" t="s">
        <v>110</v>
      </c>
      <c r="AG35" s="143">
        <v>47925.279999999999</v>
      </c>
      <c r="AH35" s="143">
        <v>60000</v>
      </c>
      <c r="AI35" s="137" t="s">
        <v>121</v>
      </c>
      <c r="AJ35" s="141" t="s">
        <v>105</v>
      </c>
      <c r="AK35" s="204">
        <v>125262584</v>
      </c>
      <c r="AL35" s="137" t="s">
        <v>112</v>
      </c>
      <c r="AM35" s="137" t="s">
        <v>112</v>
      </c>
      <c r="AN35" s="137" t="s">
        <v>113</v>
      </c>
      <c r="AP35" s="234" t="s">
        <v>193</v>
      </c>
      <c r="AQ35" s="137" t="s">
        <v>112</v>
      </c>
      <c r="AR35" s="137" t="s">
        <v>112</v>
      </c>
      <c r="AS35" s="137" t="s">
        <v>112</v>
      </c>
      <c r="AT35" s="137" t="s">
        <v>112</v>
      </c>
      <c r="AU35" s="151">
        <v>46071</v>
      </c>
      <c r="AV35" s="150" t="s">
        <v>112</v>
      </c>
      <c r="AW35" s="150" t="s">
        <v>112</v>
      </c>
      <c r="AX35" s="142">
        <v>46087</v>
      </c>
      <c r="AY35" s="144">
        <v>46087</v>
      </c>
      <c r="AZ35" s="144" t="s">
        <v>33</v>
      </c>
      <c r="BA35" s="145" t="s">
        <v>115</v>
      </c>
      <c r="BB35" s="147" t="s">
        <v>112</v>
      </c>
      <c r="BC35" s="146">
        <f t="shared" si="3"/>
        <v>88</v>
      </c>
      <c r="BD35" s="137" t="str">
        <f t="shared" si="4"/>
        <v>INDENIZAÇÃO</v>
      </c>
      <c r="BE35" s="137" t="str">
        <f t="shared" si="5"/>
        <v>NÃO</v>
      </c>
      <c r="BF35" s="137" t="s">
        <v>24</v>
      </c>
      <c r="BG35" s="137" t="s">
        <v>24</v>
      </c>
      <c r="BH35" s="137" t="s">
        <v>24</v>
      </c>
      <c r="BI35" s="137" t="s">
        <v>112</v>
      </c>
      <c r="BJ35" s="137" t="s">
        <v>112</v>
      </c>
      <c r="BK35" s="151">
        <v>46139</v>
      </c>
      <c r="BL35" s="145" t="s">
        <v>188</v>
      </c>
      <c r="BM35" s="145"/>
      <c r="BN35" s="266"/>
      <c r="BO35" s="152"/>
      <c r="BP35" s="152"/>
    </row>
    <row r="36" spans="1:70" s="137" customFormat="1" ht="30" customHeight="1">
      <c r="A36" s="204">
        <v>23</v>
      </c>
      <c r="B36" s="204" t="s">
        <v>99</v>
      </c>
      <c r="C36" s="233" t="s">
        <v>116</v>
      </c>
      <c r="D36" s="205" t="s">
        <v>101</v>
      </c>
      <c r="E36" s="204" t="s">
        <v>101</v>
      </c>
      <c r="F36" s="234" t="s">
        <v>194</v>
      </c>
      <c r="G36" s="235" t="s">
        <v>1</v>
      </c>
      <c r="H36" s="235" t="s">
        <v>2</v>
      </c>
      <c r="I36" s="235" t="s">
        <v>12</v>
      </c>
      <c r="J36" s="234" t="s">
        <v>195</v>
      </c>
      <c r="K36" s="234" t="s">
        <v>196</v>
      </c>
      <c r="L36" s="234" t="s">
        <v>197</v>
      </c>
      <c r="M36" s="204" t="s">
        <v>110</v>
      </c>
      <c r="N36" s="204" t="s">
        <v>163</v>
      </c>
      <c r="O36" s="151">
        <v>45999</v>
      </c>
      <c r="P36" s="151" t="s">
        <v>24</v>
      </c>
      <c r="Q36" s="151" t="s">
        <v>24</v>
      </c>
      <c r="R36" s="151" t="s">
        <v>24</v>
      </c>
      <c r="S36" s="151" t="s">
        <v>24</v>
      </c>
      <c r="T36" s="151" t="s">
        <v>24</v>
      </c>
      <c r="U36" s="151" t="s">
        <v>24</v>
      </c>
      <c r="V36" s="151" t="s">
        <v>24</v>
      </c>
      <c r="W36" s="151" t="s">
        <v>24</v>
      </c>
      <c r="X36" s="151" t="s">
        <v>24</v>
      </c>
      <c r="Y36" s="151" t="s">
        <v>24</v>
      </c>
      <c r="Z36" s="151" t="s">
        <v>24</v>
      </c>
      <c r="AA36" s="151"/>
      <c r="AB36" s="234" t="s">
        <v>195</v>
      </c>
      <c r="AC36" s="234" t="s">
        <v>196</v>
      </c>
      <c r="AD36" s="234" t="s">
        <v>197</v>
      </c>
      <c r="AE36" s="204" t="s">
        <v>12</v>
      </c>
      <c r="AF36" s="204" t="s">
        <v>110</v>
      </c>
      <c r="AG36" s="270">
        <v>20411.84</v>
      </c>
      <c r="AH36" s="143">
        <f>AG36+30000</f>
        <v>50411.839999999997</v>
      </c>
      <c r="AI36" s="137" t="s">
        <v>121</v>
      </c>
      <c r="AJ36" s="141" t="s">
        <v>105</v>
      </c>
      <c r="AK36" s="204">
        <v>130899556</v>
      </c>
      <c r="AL36" s="137" t="s">
        <v>112</v>
      </c>
      <c r="AM36" s="137" t="s">
        <v>112</v>
      </c>
      <c r="AN36" s="137" t="s">
        <v>113</v>
      </c>
      <c r="AP36" s="234" t="s">
        <v>198</v>
      </c>
      <c r="AQ36" s="137" t="s">
        <v>112</v>
      </c>
      <c r="AR36" s="137" t="s">
        <v>112</v>
      </c>
      <c r="AS36" s="137" t="s">
        <v>112</v>
      </c>
      <c r="AT36" s="137" t="s">
        <v>112</v>
      </c>
      <c r="AU36" s="151">
        <v>46024</v>
      </c>
      <c r="AV36" s="137" t="s">
        <v>112</v>
      </c>
      <c r="AW36" s="137" t="s">
        <v>112</v>
      </c>
      <c r="AX36" s="151">
        <v>46038</v>
      </c>
      <c r="AY36" s="144">
        <v>46038</v>
      </c>
      <c r="AZ36" s="151">
        <v>46085</v>
      </c>
      <c r="BA36" s="145" t="s">
        <v>115</v>
      </c>
      <c r="BB36" s="147" t="s">
        <v>112</v>
      </c>
      <c r="BC36" s="146">
        <f t="shared" si="3"/>
        <v>39</v>
      </c>
      <c r="BD36" s="137" t="str">
        <f t="shared" si="4"/>
        <v>INDENIZAÇÃO</v>
      </c>
      <c r="BE36" s="137" t="str">
        <f t="shared" si="5"/>
        <v>NÃO</v>
      </c>
      <c r="BF36" s="137" t="s">
        <v>24</v>
      </c>
      <c r="BG36" s="137" t="s">
        <v>24</v>
      </c>
      <c r="BH36" s="137" t="s">
        <v>24</v>
      </c>
      <c r="BI36" s="137" t="s">
        <v>112</v>
      </c>
      <c r="BJ36" s="137" t="s">
        <v>112</v>
      </c>
      <c r="BK36" s="151">
        <v>46112</v>
      </c>
      <c r="BL36" s="137" t="s">
        <v>112</v>
      </c>
      <c r="BM36" s="145" t="s">
        <v>33</v>
      </c>
      <c r="BN36" s="265"/>
    </row>
    <row r="37" spans="1:70" s="137" customFormat="1" ht="30" customHeight="1">
      <c r="A37" s="204">
        <v>24</v>
      </c>
      <c r="B37" s="204" t="s">
        <v>99</v>
      </c>
      <c r="C37" s="233" t="s">
        <v>116</v>
      </c>
      <c r="D37" s="205" t="s">
        <v>101</v>
      </c>
      <c r="E37" s="204" t="s">
        <v>101</v>
      </c>
      <c r="F37" s="234" t="s">
        <v>199</v>
      </c>
      <c r="G37" s="235" t="s">
        <v>1</v>
      </c>
      <c r="H37" s="235" t="s">
        <v>2</v>
      </c>
      <c r="I37" s="235" t="s">
        <v>12</v>
      </c>
      <c r="J37" s="234" t="s">
        <v>200</v>
      </c>
      <c r="K37" s="234" t="s">
        <v>201</v>
      </c>
      <c r="L37" s="234" t="s">
        <v>202</v>
      </c>
      <c r="M37" s="204" t="s">
        <v>110</v>
      </c>
      <c r="N37" s="204" t="s">
        <v>163</v>
      </c>
      <c r="O37" s="151">
        <v>46097</v>
      </c>
      <c r="P37" s="151" t="s">
        <v>24</v>
      </c>
      <c r="Q37" s="151" t="s">
        <v>24</v>
      </c>
      <c r="R37" s="151" t="s">
        <v>24</v>
      </c>
      <c r="S37" s="151" t="s">
        <v>24</v>
      </c>
      <c r="T37" s="151" t="s">
        <v>24</v>
      </c>
      <c r="U37" s="151" t="s">
        <v>24</v>
      </c>
      <c r="V37" s="151" t="s">
        <v>24</v>
      </c>
      <c r="W37" s="151" t="s">
        <v>24</v>
      </c>
      <c r="X37" s="151" t="s">
        <v>24</v>
      </c>
      <c r="Y37" s="151" t="s">
        <v>24</v>
      </c>
      <c r="Z37" s="151" t="s">
        <v>24</v>
      </c>
      <c r="AA37" s="151"/>
      <c r="AB37" s="234" t="s">
        <v>200</v>
      </c>
      <c r="AC37" s="234" t="s">
        <v>201</v>
      </c>
      <c r="AD37" s="234" t="s">
        <v>202</v>
      </c>
      <c r="AE37" s="204" t="s">
        <v>12</v>
      </c>
      <c r="AF37" s="204" t="s">
        <v>110</v>
      </c>
      <c r="AG37" s="270">
        <v>12575.25</v>
      </c>
      <c r="AH37" s="270">
        <v>42575.25</v>
      </c>
      <c r="AI37" s="137" t="s">
        <v>121</v>
      </c>
      <c r="AJ37" s="141" t="s">
        <v>105</v>
      </c>
      <c r="AK37" s="204">
        <v>141878559</v>
      </c>
      <c r="AL37" s="137" t="s">
        <v>112</v>
      </c>
      <c r="AM37" s="137" t="s">
        <v>112</v>
      </c>
      <c r="AN37" s="137" t="s">
        <v>113</v>
      </c>
      <c r="AP37" s="234" t="s">
        <v>203</v>
      </c>
      <c r="AQ37" s="137" t="s">
        <v>112</v>
      </c>
      <c r="AR37" s="137" t="s">
        <v>112</v>
      </c>
      <c r="AS37" s="137" t="s">
        <v>112</v>
      </c>
      <c r="AT37" s="137" t="s">
        <v>112</v>
      </c>
      <c r="AU37" s="151">
        <v>46174</v>
      </c>
      <c r="AV37" s="137" t="s">
        <v>112</v>
      </c>
      <c r="AW37" s="137" t="s">
        <v>112</v>
      </c>
      <c r="AX37" s="151">
        <v>46182</v>
      </c>
      <c r="AY37" s="144">
        <v>46182</v>
      </c>
      <c r="AZ37" s="144" t="s">
        <v>33</v>
      </c>
      <c r="BA37" s="145" t="s">
        <v>115</v>
      </c>
      <c r="BB37" s="147" t="s">
        <v>112</v>
      </c>
      <c r="BC37" s="146">
        <f t="shared" si="3"/>
        <v>85</v>
      </c>
      <c r="BD37" s="137" t="str">
        <f t="shared" si="4"/>
        <v>INDENIZAÇÃO</v>
      </c>
      <c r="BE37" s="137" t="str">
        <f t="shared" si="5"/>
        <v>NÃO</v>
      </c>
      <c r="BF37" s="137" t="s">
        <v>24</v>
      </c>
      <c r="BG37" s="137" t="s">
        <v>24</v>
      </c>
      <c r="BH37" s="137" t="s">
        <v>24</v>
      </c>
      <c r="BI37" s="137" t="s">
        <v>112</v>
      </c>
      <c r="BJ37" s="137" t="s">
        <v>112</v>
      </c>
      <c r="BK37" s="151">
        <v>46224</v>
      </c>
      <c r="BL37" s="145" t="s">
        <v>188</v>
      </c>
      <c r="BM37" s="145"/>
      <c r="BN37" s="264"/>
      <c r="BO37" s="204"/>
      <c r="BP37" s="204"/>
      <c r="BQ37" s="204"/>
      <c r="BR37" s="204"/>
    </row>
    <row r="38" spans="1:70" s="137" customFormat="1" ht="30" customHeight="1">
      <c r="A38" s="204">
        <v>25</v>
      </c>
      <c r="B38" s="204" t="s">
        <v>99</v>
      </c>
      <c r="C38" s="233" t="s">
        <v>116</v>
      </c>
      <c r="D38" s="205" t="s">
        <v>101</v>
      </c>
      <c r="E38" s="204" t="s">
        <v>101</v>
      </c>
      <c r="F38" s="234" t="s">
        <v>204</v>
      </c>
      <c r="G38" s="235" t="s">
        <v>1</v>
      </c>
      <c r="H38" s="235" t="s">
        <v>2</v>
      </c>
      <c r="I38" s="235" t="s">
        <v>12</v>
      </c>
      <c r="J38" s="234" t="s">
        <v>205</v>
      </c>
      <c r="K38" s="234" t="s">
        <v>175</v>
      </c>
      <c r="L38" s="234">
        <v>46115804825</v>
      </c>
      <c r="M38" s="204"/>
      <c r="N38" s="204"/>
      <c r="O38" s="151"/>
      <c r="P38" s="151"/>
      <c r="Q38" s="151"/>
      <c r="R38" s="151"/>
      <c r="S38" s="142"/>
      <c r="T38" s="142"/>
      <c r="U38" s="142"/>
      <c r="V38" s="142"/>
      <c r="W38" s="142"/>
      <c r="X38" s="142"/>
      <c r="Y38" s="142"/>
      <c r="Z38" s="142"/>
      <c r="AB38" s="206"/>
      <c r="AC38" s="206"/>
      <c r="AD38" s="206"/>
      <c r="AE38" s="204"/>
      <c r="AF38" s="204"/>
      <c r="AG38" s="143"/>
      <c r="AH38" s="143"/>
      <c r="AJ38" s="141" t="s">
        <v>105</v>
      </c>
      <c r="AK38" s="204"/>
      <c r="AP38" s="234"/>
      <c r="AU38" s="151"/>
      <c r="AX38" s="151"/>
      <c r="AY38" s="142"/>
      <c r="AZ38" s="142"/>
      <c r="BB38" s="147"/>
      <c r="BC38" s="146" t="str">
        <f t="shared" si="3"/>
        <v/>
      </c>
      <c r="BD38" s="137" t="str">
        <f t="shared" si="4"/>
        <v>INDENIZAÇÃO</v>
      </c>
      <c r="BE38" s="137" t="str">
        <f t="shared" si="5"/>
        <v>NÃO</v>
      </c>
      <c r="BK38" s="151"/>
      <c r="BN38" s="265"/>
    </row>
    <row r="39" spans="1:70" s="137" customFormat="1" ht="30" customHeight="1">
      <c r="A39" s="204">
        <v>26</v>
      </c>
      <c r="B39" s="204" t="s">
        <v>99</v>
      </c>
      <c r="C39" s="233" t="s">
        <v>116</v>
      </c>
      <c r="D39" s="205" t="s">
        <v>101</v>
      </c>
      <c r="E39" s="204" t="s">
        <v>101</v>
      </c>
      <c r="F39" s="234" t="s">
        <v>206</v>
      </c>
      <c r="G39" s="235" t="s">
        <v>1</v>
      </c>
      <c r="H39" s="235" t="s">
        <v>20</v>
      </c>
      <c r="I39" s="235" t="s">
        <v>12</v>
      </c>
      <c r="J39" s="234" t="s">
        <v>207</v>
      </c>
      <c r="K39" s="234">
        <v>234277105</v>
      </c>
      <c r="L39" s="234" t="s">
        <v>208</v>
      </c>
      <c r="M39" s="204"/>
      <c r="N39" s="204"/>
      <c r="O39" s="151"/>
      <c r="P39" s="151"/>
      <c r="Q39" s="151"/>
      <c r="R39" s="151"/>
      <c r="S39" s="142"/>
      <c r="T39" s="142"/>
      <c r="U39" s="142"/>
      <c r="V39" s="142"/>
      <c r="W39" s="142"/>
      <c r="X39" s="142"/>
      <c r="Y39" s="142"/>
      <c r="Z39" s="142"/>
      <c r="AB39" s="206"/>
      <c r="AC39" s="206"/>
      <c r="AD39" s="206"/>
      <c r="AE39" s="204"/>
      <c r="AF39" s="204"/>
      <c r="AG39" s="143"/>
      <c r="AH39" s="143"/>
      <c r="AJ39" s="141" t="s">
        <v>105</v>
      </c>
      <c r="AK39" s="204"/>
      <c r="AP39" s="234"/>
      <c r="AU39" s="151"/>
      <c r="AX39" s="151"/>
      <c r="AY39" s="142"/>
      <c r="AZ39" s="142"/>
      <c r="BB39" s="147"/>
      <c r="BC39" s="146" t="str">
        <f t="shared" si="3"/>
        <v/>
      </c>
      <c r="BD39" s="137" t="str">
        <f t="shared" si="4"/>
        <v>INDENIZAÇÃO</v>
      </c>
      <c r="BE39" s="137" t="str">
        <f t="shared" si="5"/>
        <v>NÃO</v>
      </c>
      <c r="BK39" s="151"/>
      <c r="BN39" s="264"/>
      <c r="BO39" s="204"/>
    </row>
    <row r="40" spans="1:70" s="137" customFormat="1" ht="30" customHeight="1">
      <c r="A40" s="204">
        <v>27</v>
      </c>
      <c r="B40" s="204" t="s">
        <v>99</v>
      </c>
      <c r="C40" s="233" t="s">
        <v>116</v>
      </c>
      <c r="D40" s="205" t="s">
        <v>101</v>
      </c>
      <c r="E40" s="204" t="s">
        <v>101</v>
      </c>
      <c r="F40" s="234" t="s">
        <v>209</v>
      </c>
      <c r="G40" s="235" t="s">
        <v>1</v>
      </c>
      <c r="H40" s="235" t="s">
        <v>2</v>
      </c>
      <c r="I40" s="235" t="s">
        <v>12</v>
      </c>
      <c r="J40" s="234" t="s">
        <v>210</v>
      </c>
      <c r="K40" s="234" t="s">
        <v>175</v>
      </c>
      <c r="L40" s="234" t="s">
        <v>175</v>
      </c>
      <c r="M40" s="204"/>
      <c r="N40" s="204"/>
      <c r="O40" s="151"/>
      <c r="P40" s="151"/>
      <c r="Q40" s="151"/>
      <c r="R40" s="151"/>
      <c r="S40" s="142"/>
      <c r="T40" s="142"/>
      <c r="U40" s="142"/>
      <c r="V40" s="142"/>
      <c r="W40" s="142"/>
      <c r="X40" s="142"/>
      <c r="Y40" s="142"/>
      <c r="Z40" s="142"/>
      <c r="AB40" s="206"/>
      <c r="AC40" s="206"/>
      <c r="AD40" s="206"/>
      <c r="AE40" s="204"/>
      <c r="AF40" s="204"/>
      <c r="AG40" s="143"/>
      <c r="AH40" s="143"/>
      <c r="AJ40" s="141" t="s">
        <v>105</v>
      </c>
      <c r="AK40" s="204"/>
      <c r="AP40" s="234"/>
      <c r="AU40" s="151"/>
      <c r="AX40" s="151"/>
      <c r="AY40" s="142"/>
      <c r="AZ40" s="142"/>
      <c r="BB40" s="147"/>
      <c r="BC40" s="146" t="str">
        <f t="shared" si="3"/>
        <v/>
      </c>
      <c r="BD40" s="137" t="str">
        <f t="shared" si="4"/>
        <v>INDENIZAÇÃO</v>
      </c>
      <c r="BE40" s="137" t="str">
        <f t="shared" si="5"/>
        <v>NÃO</v>
      </c>
      <c r="BK40" s="151"/>
      <c r="BN40" s="264"/>
      <c r="BO40" s="204"/>
    </row>
    <row r="41" spans="1:70" s="137" customFormat="1" ht="30" customHeight="1">
      <c r="A41" s="204">
        <v>28</v>
      </c>
      <c r="B41" s="204" t="s">
        <v>99</v>
      </c>
      <c r="C41" s="233" t="s">
        <v>116</v>
      </c>
      <c r="D41" s="205" t="s">
        <v>101</v>
      </c>
      <c r="E41" s="204" t="s">
        <v>101</v>
      </c>
      <c r="F41" s="234" t="s">
        <v>211</v>
      </c>
      <c r="G41" s="235" t="s">
        <v>1</v>
      </c>
      <c r="H41" s="235" t="s">
        <v>2</v>
      </c>
      <c r="I41" s="235" t="s">
        <v>12</v>
      </c>
      <c r="J41" s="234" t="s">
        <v>212</v>
      </c>
      <c r="K41" s="234" t="s">
        <v>213</v>
      </c>
      <c r="L41" s="234" t="s">
        <v>214</v>
      </c>
      <c r="M41" s="204" t="s">
        <v>110</v>
      </c>
      <c r="N41" s="204" t="s">
        <v>163</v>
      </c>
      <c r="O41" s="151">
        <v>46077</v>
      </c>
      <c r="P41" s="151" t="s">
        <v>24</v>
      </c>
      <c r="Q41" s="151" t="s">
        <v>24</v>
      </c>
      <c r="R41" s="151" t="s">
        <v>24</v>
      </c>
      <c r="S41" s="151" t="s">
        <v>24</v>
      </c>
      <c r="T41" s="151" t="s">
        <v>24</v>
      </c>
      <c r="U41" s="151" t="s">
        <v>24</v>
      </c>
      <c r="V41" s="151" t="s">
        <v>24</v>
      </c>
      <c r="W41" s="151" t="s">
        <v>24</v>
      </c>
      <c r="X41" s="151" t="s">
        <v>24</v>
      </c>
      <c r="Y41" s="151" t="s">
        <v>24</v>
      </c>
      <c r="Z41" s="151" t="s">
        <v>24</v>
      </c>
      <c r="AB41" s="234" t="s">
        <v>212</v>
      </c>
      <c r="AC41" s="234" t="s">
        <v>213</v>
      </c>
      <c r="AD41" s="234" t="s">
        <v>214</v>
      </c>
      <c r="AE41" s="204" t="s">
        <v>12</v>
      </c>
      <c r="AF41" s="204" t="s">
        <v>110</v>
      </c>
      <c r="AG41" s="270">
        <v>39862.269999999997</v>
      </c>
      <c r="AH41" s="143">
        <v>60000</v>
      </c>
      <c r="AI41" s="137" t="s">
        <v>121</v>
      </c>
      <c r="AJ41" s="141" t="s">
        <v>105</v>
      </c>
      <c r="AK41" s="204">
        <v>125233430</v>
      </c>
      <c r="AL41" s="137" t="s">
        <v>112</v>
      </c>
      <c r="AM41" s="137" t="s">
        <v>112</v>
      </c>
      <c r="AN41" s="137" t="s">
        <v>113</v>
      </c>
      <c r="AP41" s="234" t="s">
        <v>215</v>
      </c>
      <c r="AQ41" s="137" t="s">
        <v>112</v>
      </c>
      <c r="AR41" s="137" t="s">
        <v>112</v>
      </c>
      <c r="AS41" s="137" t="s">
        <v>112</v>
      </c>
      <c r="AT41" s="137" t="s">
        <v>112</v>
      </c>
      <c r="AU41" s="151">
        <v>46174</v>
      </c>
      <c r="AV41" s="137" t="s">
        <v>112</v>
      </c>
      <c r="AW41" s="137" t="s">
        <v>112</v>
      </c>
      <c r="AX41" s="151">
        <v>46182</v>
      </c>
      <c r="AY41" s="144">
        <v>46182</v>
      </c>
      <c r="AZ41" s="144" t="s">
        <v>33</v>
      </c>
      <c r="BA41" s="145" t="s">
        <v>115</v>
      </c>
      <c r="BB41" s="147" t="s">
        <v>112</v>
      </c>
      <c r="BC41" s="146">
        <f t="shared" si="3"/>
        <v>105</v>
      </c>
      <c r="BD41" s="137" t="str">
        <f t="shared" si="4"/>
        <v>INDENIZAÇÃO</v>
      </c>
      <c r="BE41" s="137" t="str">
        <f t="shared" si="5"/>
        <v>NÃO</v>
      </c>
      <c r="BF41" s="137" t="s">
        <v>24</v>
      </c>
      <c r="BG41" s="137" t="s">
        <v>24</v>
      </c>
      <c r="BH41" s="137" t="s">
        <v>24</v>
      </c>
      <c r="BI41" s="137" t="s">
        <v>112</v>
      </c>
      <c r="BJ41" s="137" t="s">
        <v>112</v>
      </c>
      <c r="BK41" s="151">
        <v>46224</v>
      </c>
      <c r="BL41" s="145" t="s">
        <v>188</v>
      </c>
      <c r="BM41" s="145"/>
      <c r="BN41" s="264"/>
      <c r="BO41" s="204"/>
    </row>
    <row r="42" spans="1:70" s="137" customFormat="1" ht="30" customHeight="1">
      <c r="A42" s="204">
        <v>29</v>
      </c>
      <c r="B42" s="204" t="s">
        <v>99</v>
      </c>
      <c r="C42" s="233" t="s">
        <v>116</v>
      </c>
      <c r="D42" s="205" t="s">
        <v>101</v>
      </c>
      <c r="E42" s="204" t="s">
        <v>101</v>
      </c>
      <c r="F42" s="234" t="s">
        <v>216</v>
      </c>
      <c r="G42" s="235" t="s">
        <v>1</v>
      </c>
      <c r="H42" s="235" t="s">
        <v>2</v>
      </c>
      <c r="I42" s="235" t="s">
        <v>12</v>
      </c>
      <c r="J42" s="234" t="s">
        <v>217</v>
      </c>
      <c r="K42" s="234" t="s">
        <v>218</v>
      </c>
      <c r="L42" s="234" t="s">
        <v>219</v>
      </c>
      <c r="M42" s="204" t="s">
        <v>110</v>
      </c>
      <c r="N42" s="204" t="s">
        <v>163</v>
      </c>
      <c r="O42" s="151">
        <v>45999</v>
      </c>
      <c r="P42" s="151" t="s">
        <v>24</v>
      </c>
      <c r="Q42" s="151" t="s">
        <v>24</v>
      </c>
      <c r="R42" s="151" t="s">
        <v>24</v>
      </c>
      <c r="S42" s="151" t="s">
        <v>24</v>
      </c>
      <c r="T42" s="151" t="s">
        <v>24</v>
      </c>
      <c r="U42" s="151" t="s">
        <v>24</v>
      </c>
      <c r="V42" s="151" t="s">
        <v>24</v>
      </c>
      <c r="W42" s="151" t="s">
        <v>24</v>
      </c>
      <c r="X42" s="151" t="s">
        <v>24</v>
      </c>
      <c r="Y42" s="151" t="s">
        <v>24</v>
      </c>
      <c r="Z42" s="151" t="s">
        <v>24</v>
      </c>
      <c r="AB42" s="234" t="s">
        <v>217</v>
      </c>
      <c r="AC42" s="234" t="s">
        <v>218</v>
      </c>
      <c r="AD42" s="234" t="s">
        <v>219</v>
      </c>
      <c r="AE42" s="204" t="s">
        <v>12</v>
      </c>
      <c r="AF42" s="204" t="s">
        <v>110</v>
      </c>
      <c r="AG42" s="143">
        <v>39309.120000000003</v>
      </c>
      <c r="AH42" s="143">
        <v>60000</v>
      </c>
      <c r="AI42" s="137" t="s">
        <v>121</v>
      </c>
      <c r="AJ42" s="141" t="s">
        <v>105</v>
      </c>
      <c r="AK42" s="204">
        <v>146194147</v>
      </c>
      <c r="AL42" s="137" t="s">
        <v>112</v>
      </c>
      <c r="AM42" s="137" t="s">
        <v>112</v>
      </c>
      <c r="AN42" s="137" t="s">
        <v>113</v>
      </c>
      <c r="AP42" s="234" t="s">
        <v>220</v>
      </c>
      <c r="AQ42" s="137" t="s">
        <v>112</v>
      </c>
      <c r="AR42" s="137" t="s">
        <v>112</v>
      </c>
      <c r="AS42" s="137" t="s">
        <v>112</v>
      </c>
      <c r="AT42" s="137" t="s">
        <v>112</v>
      </c>
      <c r="AU42" s="151">
        <v>46024</v>
      </c>
      <c r="AV42" s="137" t="s">
        <v>112</v>
      </c>
      <c r="AW42" s="137" t="s">
        <v>112</v>
      </c>
      <c r="AX42" s="151">
        <v>45798</v>
      </c>
      <c r="AY42" s="285">
        <v>46163</v>
      </c>
      <c r="AZ42" s="145" t="s">
        <v>33</v>
      </c>
      <c r="BA42" s="145" t="s">
        <v>115</v>
      </c>
      <c r="BB42" s="147" t="s">
        <v>112</v>
      </c>
      <c r="BC42" s="146">
        <f t="shared" si="3"/>
        <v>164</v>
      </c>
      <c r="BD42" s="137" t="str">
        <f t="shared" si="4"/>
        <v>INDENIZAÇÃO</v>
      </c>
      <c r="BE42" s="137" t="str">
        <f t="shared" si="5"/>
        <v>NÃO</v>
      </c>
      <c r="BF42" s="137" t="s">
        <v>24</v>
      </c>
      <c r="BG42" s="137" t="s">
        <v>24</v>
      </c>
      <c r="BH42" s="137" t="s">
        <v>24</v>
      </c>
      <c r="BI42" s="137" t="s">
        <v>112</v>
      </c>
      <c r="BJ42" s="137" t="s">
        <v>112</v>
      </c>
      <c r="BK42" s="151">
        <v>46224</v>
      </c>
      <c r="BL42" s="145" t="s">
        <v>188</v>
      </c>
      <c r="BM42" s="145"/>
      <c r="BN42" s="266"/>
      <c r="BO42" s="152"/>
      <c r="BP42" s="152"/>
    </row>
    <row r="43" spans="1:70" s="137" customFormat="1" ht="30" customHeight="1">
      <c r="A43" s="204">
        <v>30</v>
      </c>
      <c r="B43" s="204" t="s">
        <v>99</v>
      </c>
      <c r="C43" s="233" t="s">
        <v>116</v>
      </c>
      <c r="D43" s="205" t="s">
        <v>101</v>
      </c>
      <c r="E43" s="204" t="s">
        <v>101</v>
      </c>
      <c r="F43" s="234" t="s">
        <v>221</v>
      </c>
      <c r="G43" s="235" t="s">
        <v>1</v>
      </c>
      <c r="H43" s="235" t="s">
        <v>2</v>
      </c>
      <c r="I43" s="235" t="s">
        <v>12</v>
      </c>
      <c r="J43" s="234" t="s">
        <v>222</v>
      </c>
      <c r="K43" s="234" t="s">
        <v>223</v>
      </c>
      <c r="L43" s="234" t="s">
        <v>224</v>
      </c>
      <c r="M43" s="204" t="s">
        <v>110</v>
      </c>
      <c r="N43" s="204" t="s">
        <v>5</v>
      </c>
      <c r="O43" s="151">
        <v>46073</v>
      </c>
      <c r="P43" s="151" t="s">
        <v>24</v>
      </c>
      <c r="Q43" s="151" t="s">
        <v>24</v>
      </c>
      <c r="R43" s="151" t="s">
        <v>24</v>
      </c>
      <c r="S43" s="142" t="s">
        <v>225</v>
      </c>
      <c r="T43" s="142" t="s">
        <v>24</v>
      </c>
      <c r="U43" s="142" t="s">
        <v>24</v>
      </c>
      <c r="V43" s="142" t="s">
        <v>24</v>
      </c>
      <c r="W43" s="142" t="s">
        <v>24</v>
      </c>
      <c r="X43" s="142" t="s">
        <v>24</v>
      </c>
      <c r="Y43" s="142" t="s">
        <v>24</v>
      </c>
      <c r="Z43" s="142" t="s">
        <v>24</v>
      </c>
      <c r="AB43" s="234" t="s">
        <v>222</v>
      </c>
      <c r="AC43" s="234" t="s">
        <v>223</v>
      </c>
      <c r="AD43" s="234" t="s">
        <v>224</v>
      </c>
      <c r="AE43" s="204" t="s">
        <v>12</v>
      </c>
      <c r="AF43" s="204" t="s">
        <v>110</v>
      </c>
      <c r="AG43" s="143">
        <v>69699.33</v>
      </c>
      <c r="AH43" s="143">
        <v>69699.33</v>
      </c>
      <c r="AI43" s="137" t="s">
        <v>121</v>
      </c>
      <c r="AJ43" s="141" t="s">
        <v>105</v>
      </c>
      <c r="AK43" s="204">
        <v>125286282</v>
      </c>
      <c r="AL43" s="137" t="s">
        <v>112</v>
      </c>
      <c r="AM43" s="137" t="s">
        <v>112</v>
      </c>
      <c r="AN43" s="137" t="s">
        <v>113</v>
      </c>
      <c r="AP43" s="234" t="s">
        <v>226</v>
      </c>
      <c r="AQ43" s="152" t="s">
        <v>112</v>
      </c>
      <c r="AR43" s="152" t="s">
        <v>112</v>
      </c>
      <c r="AS43" s="137" t="s">
        <v>112</v>
      </c>
      <c r="AT43" s="137" t="s">
        <v>112</v>
      </c>
      <c r="AU43" s="151">
        <v>46174</v>
      </c>
      <c r="AV43" s="137" t="s">
        <v>112</v>
      </c>
      <c r="AW43" s="137" t="s">
        <v>112</v>
      </c>
      <c r="AX43" s="151">
        <v>46182</v>
      </c>
      <c r="AY43" s="144">
        <v>46182</v>
      </c>
      <c r="AZ43" s="144" t="s">
        <v>33</v>
      </c>
      <c r="BA43" s="145" t="s">
        <v>115</v>
      </c>
      <c r="BB43" s="147" t="s">
        <v>112</v>
      </c>
      <c r="BC43" s="146">
        <f t="shared" si="3"/>
        <v>109</v>
      </c>
      <c r="BD43" s="137" t="str">
        <f t="shared" si="4"/>
        <v>INDENIZAÇÃO</v>
      </c>
      <c r="BE43" s="137" t="str">
        <f t="shared" si="5"/>
        <v>NÃO</v>
      </c>
      <c r="BF43" s="137" t="s">
        <v>24</v>
      </c>
      <c r="BG43" s="137" t="s">
        <v>24</v>
      </c>
      <c r="BH43" s="137" t="s">
        <v>24</v>
      </c>
      <c r="BI43" s="137" t="s">
        <v>112</v>
      </c>
      <c r="BJ43" s="137" t="s">
        <v>112</v>
      </c>
      <c r="BK43" s="151">
        <v>46224</v>
      </c>
      <c r="BL43" s="145" t="s">
        <v>188</v>
      </c>
      <c r="BM43" s="145"/>
      <c r="BN43" s="264"/>
    </row>
    <row r="44" spans="1:70" s="137" customFormat="1" ht="30" customHeight="1">
      <c r="A44" s="204">
        <v>31</v>
      </c>
      <c r="B44" s="204" t="s">
        <v>99</v>
      </c>
      <c r="C44" s="233" t="s">
        <v>100</v>
      </c>
      <c r="D44" s="205" t="s">
        <v>101</v>
      </c>
      <c r="E44" s="204" t="s">
        <v>101</v>
      </c>
      <c r="F44" s="234" t="s">
        <v>227</v>
      </c>
      <c r="G44" s="235" t="s">
        <v>1</v>
      </c>
      <c r="H44" s="235" t="s">
        <v>2</v>
      </c>
      <c r="I44" s="235" t="s">
        <v>12</v>
      </c>
      <c r="J44" s="234" t="s">
        <v>228</v>
      </c>
      <c r="K44" s="234" t="s">
        <v>229</v>
      </c>
      <c r="L44" s="234" t="s">
        <v>230</v>
      </c>
      <c r="M44" s="204" t="s">
        <v>110</v>
      </c>
      <c r="N44" s="204" t="s">
        <v>5</v>
      </c>
      <c r="O44" s="151">
        <v>45859</v>
      </c>
      <c r="P44" s="151" t="s">
        <v>24</v>
      </c>
      <c r="Q44" s="151" t="s">
        <v>24</v>
      </c>
      <c r="R44" s="151" t="s">
        <v>24</v>
      </c>
      <c r="S44" s="151" t="s">
        <v>24</v>
      </c>
      <c r="T44" s="151" t="s">
        <v>24</v>
      </c>
      <c r="U44" s="151" t="s">
        <v>24</v>
      </c>
      <c r="V44" s="151" t="s">
        <v>24</v>
      </c>
      <c r="W44" s="151" t="s">
        <v>24</v>
      </c>
      <c r="X44" s="151" t="s">
        <v>24</v>
      </c>
      <c r="Y44" s="151" t="s">
        <v>24</v>
      </c>
      <c r="Z44" s="151" t="s">
        <v>24</v>
      </c>
      <c r="AB44" s="234" t="s">
        <v>228</v>
      </c>
      <c r="AC44" s="234" t="s">
        <v>229</v>
      </c>
      <c r="AD44" s="234" t="s">
        <v>230</v>
      </c>
      <c r="AE44" s="204" t="s">
        <v>12</v>
      </c>
      <c r="AF44" s="204" t="s">
        <v>110</v>
      </c>
      <c r="AG44" s="143">
        <v>43918.86</v>
      </c>
      <c r="AH44" s="143">
        <v>60000</v>
      </c>
      <c r="AI44" s="137" t="s">
        <v>6</v>
      </c>
      <c r="AJ44" s="141" t="s">
        <v>105</v>
      </c>
      <c r="AK44" s="204">
        <v>125234025</v>
      </c>
      <c r="AL44" s="137" t="s">
        <v>112</v>
      </c>
      <c r="AM44" s="137" t="s">
        <v>112</v>
      </c>
      <c r="AN44" s="137" t="s">
        <v>113</v>
      </c>
      <c r="AO44" s="256" t="s">
        <v>231</v>
      </c>
      <c r="AP44" s="234" t="s">
        <v>232</v>
      </c>
      <c r="AQ44" s="137" t="s">
        <v>112</v>
      </c>
      <c r="AR44" s="137" t="s">
        <v>112</v>
      </c>
      <c r="AS44" s="137" t="s">
        <v>112</v>
      </c>
      <c r="AT44" s="137" t="s">
        <v>112</v>
      </c>
      <c r="AU44" s="151">
        <v>45911</v>
      </c>
      <c r="AV44" s="137" t="s">
        <v>112</v>
      </c>
      <c r="AW44" s="137" t="s">
        <v>112</v>
      </c>
      <c r="AX44" s="151">
        <v>45917</v>
      </c>
      <c r="AY44" s="144">
        <v>45917</v>
      </c>
      <c r="AZ44" s="151">
        <v>45944</v>
      </c>
      <c r="BA44" s="145" t="s">
        <v>115</v>
      </c>
      <c r="BB44" s="147" t="s">
        <v>112</v>
      </c>
      <c r="BC44" s="146">
        <f t="shared" si="3"/>
        <v>58</v>
      </c>
      <c r="BD44" s="137" t="str">
        <f t="shared" si="4"/>
        <v>INDENIZAÇÃO</v>
      </c>
      <c r="BE44" s="137" t="str">
        <f t="shared" si="5"/>
        <v>NÃO</v>
      </c>
      <c r="BF44" s="137" t="s">
        <v>24</v>
      </c>
      <c r="BG44" s="137" t="s">
        <v>24</v>
      </c>
      <c r="BH44" s="137" t="s">
        <v>24</v>
      </c>
      <c r="BI44" s="137" t="s">
        <v>112</v>
      </c>
      <c r="BJ44" s="137" t="s">
        <v>112</v>
      </c>
      <c r="BK44" s="151">
        <v>45937</v>
      </c>
      <c r="BL44" s="137" t="s">
        <v>112</v>
      </c>
      <c r="BM44" s="145" t="s">
        <v>33</v>
      </c>
      <c r="BN44" s="265"/>
    </row>
    <row r="45" spans="1:70" s="137" customFormat="1" ht="30" customHeight="1">
      <c r="A45" s="204">
        <v>32</v>
      </c>
      <c r="B45" s="204" t="s">
        <v>99</v>
      </c>
      <c r="C45" s="233" t="s">
        <v>100</v>
      </c>
      <c r="D45" s="205" t="s">
        <v>101</v>
      </c>
      <c r="E45" s="204" t="s">
        <v>101</v>
      </c>
      <c r="F45" s="234" t="s">
        <v>233</v>
      </c>
      <c r="G45" s="235" t="s">
        <v>1</v>
      </c>
      <c r="H45" s="235" t="s">
        <v>2</v>
      </c>
      <c r="I45" s="235" t="s">
        <v>12</v>
      </c>
      <c r="J45" s="234" t="s">
        <v>234</v>
      </c>
      <c r="K45" s="234" t="s">
        <v>235</v>
      </c>
      <c r="L45" s="234" t="s">
        <v>236</v>
      </c>
      <c r="M45" s="204" t="s">
        <v>110</v>
      </c>
      <c r="N45" s="204" t="s">
        <v>5</v>
      </c>
      <c r="O45" s="151">
        <v>45859</v>
      </c>
      <c r="P45" s="151" t="s">
        <v>24</v>
      </c>
      <c r="Q45" s="151" t="s">
        <v>24</v>
      </c>
      <c r="R45" s="151" t="s">
        <v>24</v>
      </c>
      <c r="S45" s="151" t="s">
        <v>24</v>
      </c>
      <c r="T45" s="151" t="s">
        <v>24</v>
      </c>
      <c r="U45" s="151" t="s">
        <v>24</v>
      </c>
      <c r="V45" s="151" t="s">
        <v>24</v>
      </c>
      <c r="W45" s="151" t="s">
        <v>24</v>
      </c>
      <c r="X45" s="151" t="s">
        <v>24</v>
      </c>
      <c r="Y45" s="151" t="s">
        <v>24</v>
      </c>
      <c r="Z45" s="151" t="s">
        <v>24</v>
      </c>
      <c r="AB45" s="234" t="s">
        <v>234</v>
      </c>
      <c r="AC45" s="234" t="s">
        <v>235</v>
      </c>
      <c r="AD45" s="234" t="s">
        <v>236</v>
      </c>
      <c r="AE45" s="204" t="s">
        <v>12</v>
      </c>
      <c r="AF45" s="204" t="s">
        <v>110</v>
      </c>
      <c r="AG45" s="143">
        <v>22821.56</v>
      </c>
      <c r="AH45" s="143">
        <v>52821.56</v>
      </c>
      <c r="AI45" s="137" t="s">
        <v>6</v>
      </c>
      <c r="AJ45" s="141" t="s">
        <v>105</v>
      </c>
      <c r="AK45" s="204">
        <v>130055018</v>
      </c>
      <c r="AL45" s="137" t="s">
        <v>112</v>
      </c>
      <c r="AM45" s="137" t="s">
        <v>112</v>
      </c>
      <c r="AN45" s="137" t="s">
        <v>113</v>
      </c>
      <c r="AO45" s="256" t="s">
        <v>237</v>
      </c>
      <c r="AP45" s="234" t="s">
        <v>238</v>
      </c>
      <c r="AQ45" s="137" t="s">
        <v>112</v>
      </c>
      <c r="AR45" s="137" t="s">
        <v>112</v>
      </c>
      <c r="AS45" s="137" t="s">
        <v>112</v>
      </c>
      <c r="AT45" s="137" t="s">
        <v>112</v>
      </c>
      <c r="AU45" s="151">
        <v>45937</v>
      </c>
      <c r="AV45" s="137" t="s">
        <v>112</v>
      </c>
      <c r="AW45" s="137" t="s">
        <v>112</v>
      </c>
      <c r="AX45" s="151">
        <v>45985</v>
      </c>
      <c r="AY45" s="144">
        <v>45985</v>
      </c>
      <c r="AZ45" s="151">
        <v>45993</v>
      </c>
      <c r="BA45" s="145" t="s">
        <v>115</v>
      </c>
      <c r="BB45" s="147" t="s">
        <v>112</v>
      </c>
      <c r="BC45" s="146">
        <f t="shared" si="3"/>
        <v>126</v>
      </c>
      <c r="BD45" s="137" t="str">
        <f t="shared" si="4"/>
        <v>INDENIZAÇÃO</v>
      </c>
      <c r="BE45" s="137" t="str">
        <f t="shared" si="5"/>
        <v>NÃO</v>
      </c>
      <c r="BF45" s="137" t="s">
        <v>24</v>
      </c>
      <c r="BG45" s="137" t="s">
        <v>24</v>
      </c>
      <c r="BH45" s="137" t="s">
        <v>24</v>
      </c>
      <c r="BI45" s="137" t="s">
        <v>112</v>
      </c>
      <c r="BJ45" s="137" t="s">
        <v>112</v>
      </c>
      <c r="BK45" s="151">
        <v>46112</v>
      </c>
      <c r="BL45" s="137" t="s">
        <v>112</v>
      </c>
      <c r="BM45" s="145" t="s">
        <v>33</v>
      </c>
      <c r="BN45" s="265"/>
    </row>
    <row r="46" spans="1:70" s="137" customFormat="1" ht="30" customHeight="1">
      <c r="A46" s="204">
        <v>33</v>
      </c>
      <c r="B46" s="204" t="s">
        <v>99</v>
      </c>
      <c r="C46" s="233" t="s">
        <v>100</v>
      </c>
      <c r="D46" s="205" t="s">
        <v>101</v>
      </c>
      <c r="E46" s="204" t="s">
        <v>101</v>
      </c>
      <c r="F46" s="234" t="s">
        <v>239</v>
      </c>
      <c r="G46" s="235" t="s">
        <v>1</v>
      </c>
      <c r="H46" s="235" t="s">
        <v>2</v>
      </c>
      <c r="I46" s="235" t="s">
        <v>12</v>
      </c>
      <c r="J46" s="234" t="s">
        <v>240</v>
      </c>
      <c r="K46" s="234" t="s">
        <v>241</v>
      </c>
      <c r="L46" s="234" t="s">
        <v>242</v>
      </c>
      <c r="M46" s="204" t="s">
        <v>110</v>
      </c>
      <c r="N46" s="204" t="s">
        <v>5</v>
      </c>
      <c r="O46" s="151">
        <v>45859</v>
      </c>
      <c r="P46" s="151" t="s">
        <v>24</v>
      </c>
      <c r="Q46" s="151" t="s">
        <v>24</v>
      </c>
      <c r="R46" s="151" t="s">
        <v>24</v>
      </c>
      <c r="S46" s="151" t="s">
        <v>24</v>
      </c>
      <c r="T46" s="151" t="s">
        <v>24</v>
      </c>
      <c r="U46" s="151" t="s">
        <v>24</v>
      </c>
      <c r="V46" s="151" t="s">
        <v>24</v>
      </c>
      <c r="W46" s="151" t="s">
        <v>24</v>
      </c>
      <c r="X46" s="151" t="s">
        <v>24</v>
      </c>
      <c r="Y46" s="151" t="s">
        <v>24</v>
      </c>
      <c r="Z46" s="151" t="s">
        <v>24</v>
      </c>
      <c r="AB46" s="234" t="s">
        <v>240</v>
      </c>
      <c r="AC46" s="234" t="s">
        <v>241</v>
      </c>
      <c r="AD46" s="234" t="s">
        <v>242</v>
      </c>
      <c r="AE46" s="204" t="s">
        <v>12</v>
      </c>
      <c r="AF46" s="204" t="s">
        <v>110</v>
      </c>
      <c r="AG46" s="143">
        <v>27282.45</v>
      </c>
      <c r="AH46" s="143">
        <v>57282.45</v>
      </c>
      <c r="AI46" s="137" t="s">
        <v>6</v>
      </c>
      <c r="AJ46" s="141" t="s">
        <v>105</v>
      </c>
      <c r="AK46" s="204">
        <v>125287053</v>
      </c>
      <c r="AL46" s="137" t="s">
        <v>112</v>
      </c>
      <c r="AM46" s="137" t="s">
        <v>112</v>
      </c>
      <c r="AN46" s="137" t="s">
        <v>113</v>
      </c>
      <c r="AP46" s="234" t="s">
        <v>243</v>
      </c>
      <c r="AQ46" s="137" t="s">
        <v>112</v>
      </c>
      <c r="AR46" s="137" t="s">
        <v>112</v>
      </c>
      <c r="AS46" s="137" t="s">
        <v>112</v>
      </c>
      <c r="AT46" s="137" t="s">
        <v>112</v>
      </c>
      <c r="AU46" s="151">
        <v>45911</v>
      </c>
      <c r="AV46" s="137" t="s">
        <v>112</v>
      </c>
      <c r="AW46" s="137" t="s">
        <v>112</v>
      </c>
      <c r="AX46" s="151">
        <v>45917</v>
      </c>
      <c r="AY46" s="144">
        <v>45917</v>
      </c>
      <c r="AZ46" s="151">
        <v>45944</v>
      </c>
      <c r="BA46" s="145" t="s">
        <v>115</v>
      </c>
      <c r="BB46" s="147" t="s">
        <v>112</v>
      </c>
      <c r="BC46" s="146">
        <f t="shared" si="3"/>
        <v>58</v>
      </c>
      <c r="BD46" s="137" t="str">
        <f t="shared" si="4"/>
        <v>INDENIZAÇÃO</v>
      </c>
      <c r="BE46" s="137" t="str">
        <f t="shared" si="5"/>
        <v>NÃO</v>
      </c>
      <c r="BF46" s="137" t="s">
        <v>24</v>
      </c>
      <c r="BG46" s="137" t="s">
        <v>24</v>
      </c>
      <c r="BH46" s="137" t="s">
        <v>24</v>
      </c>
      <c r="BI46" s="137" t="s">
        <v>112</v>
      </c>
      <c r="BJ46" s="137" t="s">
        <v>112</v>
      </c>
      <c r="BK46" s="151">
        <v>45937</v>
      </c>
      <c r="BL46" s="137" t="s">
        <v>112</v>
      </c>
      <c r="BM46" s="145" t="s">
        <v>33</v>
      </c>
      <c r="BN46" s="265"/>
    </row>
    <row r="47" spans="1:70" s="137" customFormat="1" ht="30" customHeight="1">
      <c r="A47" s="204">
        <v>34</v>
      </c>
      <c r="B47" s="204" t="s">
        <v>99</v>
      </c>
      <c r="C47" s="233" t="s">
        <v>244</v>
      </c>
      <c r="D47" s="205" t="s">
        <v>101</v>
      </c>
      <c r="E47" s="204" t="s">
        <v>101</v>
      </c>
      <c r="F47" s="234" t="s">
        <v>245</v>
      </c>
      <c r="G47" s="235" t="s">
        <v>1</v>
      </c>
      <c r="H47" s="235" t="s">
        <v>2</v>
      </c>
      <c r="I47" s="235" t="s">
        <v>12</v>
      </c>
      <c r="J47" s="234" t="s">
        <v>246</v>
      </c>
      <c r="K47" s="234" t="s">
        <v>247</v>
      </c>
      <c r="L47" s="234" t="s">
        <v>248</v>
      </c>
      <c r="M47" s="204" t="s">
        <v>110</v>
      </c>
      <c r="N47" s="204" t="s">
        <v>5</v>
      </c>
      <c r="O47" s="151">
        <v>46164</v>
      </c>
      <c r="P47" s="151" t="s">
        <v>24</v>
      </c>
      <c r="Q47" s="151" t="s">
        <v>24</v>
      </c>
      <c r="R47" s="151" t="s">
        <v>24</v>
      </c>
      <c r="S47" s="151" t="s">
        <v>24</v>
      </c>
      <c r="T47" s="151" t="s">
        <v>24</v>
      </c>
      <c r="U47" s="151" t="s">
        <v>24</v>
      </c>
      <c r="V47" s="151" t="s">
        <v>24</v>
      </c>
      <c r="W47" s="151" t="s">
        <v>24</v>
      </c>
      <c r="X47" s="151" t="s">
        <v>24</v>
      </c>
      <c r="Y47" s="151" t="s">
        <v>24</v>
      </c>
      <c r="Z47" s="151" t="s">
        <v>24</v>
      </c>
      <c r="AB47" s="234" t="s">
        <v>246</v>
      </c>
      <c r="AC47" s="234" t="s">
        <v>247</v>
      </c>
      <c r="AD47" s="234" t="s">
        <v>248</v>
      </c>
      <c r="AE47" s="204" t="s">
        <v>12</v>
      </c>
      <c r="AF47" s="204" t="s">
        <v>110</v>
      </c>
      <c r="AG47" s="270">
        <v>17259.919999999998</v>
      </c>
      <c r="AH47" s="143">
        <v>47259.92</v>
      </c>
      <c r="AI47" s="137" t="s">
        <v>6</v>
      </c>
      <c r="AJ47" s="141" t="s">
        <v>105</v>
      </c>
      <c r="AK47" s="204">
        <v>157082848</v>
      </c>
      <c r="AL47" s="137" t="s">
        <v>112</v>
      </c>
      <c r="AM47" s="137" t="s">
        <v>112</v>
      </c>
      <c r="AN47" s="137" t="s">
        <v>113</v>
      </c>
      <c r="AO47" s="256"/>
      <c r="AP47" s="234" t="s">
        <v>249</v>
      </c>
      <c r="AQ47" s="137" t="s">
        <v>112</v>
      </c>
      <c r="AR47" s="137" t="s">
        <v>112</v>
      </c>
      <c r="AS47" s="137" t="s">
        <v>112</v>
      </c>
      <c r="AT47" s="137" t="s">
        <v>112</v>
      </c>
      <c r="AU47" s="151">
        <v>46226</v>
      </c>
      <c r="AV47" s="137" t="s">
        <v>112</v>
      </c>
      <c r="AW47" s="137" t="s">
        <v>112</v>
      </c>
      <c r="AX47" s="151">
        <v>46259</v>
      </c>
      <c r="AY47" s="144" t="s">
        <v>33</v>
      </c>
      <c r="AZ47" s="145"/>
      <c r="BA47" s="145" t="s">
        <v>1</v>
      </c>
      <c r="BB47" s="147"/>
      <c r="BC47" s="146" t="e">
        <f t="shared" si="3"/>
        <v>#VALUE!</v>
      </c>
      <c r="BD47" s="137" t="str">
        <f t="shared" si="4"/>
        <v>INDENIZAÇÃO</v>
      </c>
      <c r="BE47" s="137" t="str">
        <f t="shared" si="5"/>
        <v>NÃO</v>
      </c>
      <c r="BK47" s="151"/>
      <c r="BM47" s="145"/>
      <c r="BN47" s="265"/>
    </row>
    <row r="48" spans="1:70" s="137" customFormat="1" ht="30" customHeight="1">
      <c r="A48" s="204">
        <v>35</v>
      </c>
      <c r="B48" s="204" t="s">
        <v>99</v>
      </c>
      <c r="C48" s="233" t="s">
        <v>100</v>
      </c>
      <c r="D48" s="205" t="s">
        <v>101</v>
      </c>
      <c r="E48" s="204" t="s">
        <v>101</v>
      </c>
      <c r="F48" s="234" t="s">
        <v>250</v>
      </c>
      <c r="G48" s="235" t="s">
        <v>1</v>
      </c>
      <c r="H48" s="235" t="s">
        <v>2</v>
      </c>
      <c r="I48" s="235" t="s">
        <v>12</v>
      </c>
      <c r="J48" s="234" t="s">
        <v>251</v>
      </c>
      <c r="K48" s="234" t="s">
        <v>252</v>
      </c>
      <c r="L48" s="234" t="s">
        <v>253</v>
      </c>
      <c r="M48" s="204" t="s">
        <v>110</v>
      </c>
      <c r="N48" s="204" t="s">
        <v>5</v>
      </c>
      <c r="O48" s="151">
        <v>46164</v>
      </c>
      <c r="P48" s="151" t="s">
        <v>24</v>
      </c>
      <c r="Q48" s="151" t="s">
        <v>24</v>
      </c>
      <c r="R48" s="151" t="s">
        <v>24</v>
      </c>
      <c r="S48" s="151" t="s">
        <v>24</v>
      </c>
      <c r="T48" s="151" t="s">
        <v>24</v>
      </c>
      <c r="U48" s="151" t="s">
        <v>24</v>
      </c>
      <c r="V48" s="151" t="s">
        <v>24</v>
      </c>
      <c r="W48" s="151" t="s">
        <v>24</v>
      </c>
      <c r="X48" s="151" t="s">
        <v>24</v>
      </c>
      <c r="Y48" s="151" t="s">
        <v>24</v>
      </c>
      <c r="Z48" s="151" t="s">
        <v>24</v>
      </c>
      <c r="AB48" s="234" t="s">
        <v>251</v>
      </c>
      <c r="AC48" s="234" t="s">
        <v>252</v>
      </c>
      <c r="AD48" s="234" t="s">
        <v>253</v>
      </c>
      <c r="AE48" s="204" t="s">
        <v>12</v>
      </c>
      <c r="AF48" s="204" t="s">
        <v>110</v>
      </c>
      <c r="AG48" s="143">
        <v>90840.63</v>
      </c>
      <c r="AH48" s="143">
        <v>90840.63</v>
      </c>
      <c r="AI48" s="137" t="s">
        <v>121</v>
      </c>
      <c r="AJ48" s="141" t="s">
        <v>105</v>
      </c>
      <c r="AK48" s="204">
        <v>153707545</v>
      </c>
      <c r="AL48" s="137" t="s">
        <v>112</v>
      </c>
      <c r="AM48" s="137" t="s">
        <v>112</v>
      </c>
      <c r="AN48" s="137" t="s">
        <v>113</v>
      </c>
      <c r="AP48" s="234" t="s">
        <v>254</v>
      </c>
      <c r="AQ48" s="145" t="s">
        <v>255</v>
      </c>
      <c r="AR48" s="145"/>
      <c r="AS48" s="145"/>
      <c r="AT48" s="145"/>
      <c r="AU48" s="144"/>
      <c r="AV48" s="145"/>
      <c r="AW48" s="145"/>
      <c r="AX48" s="144"/>
      <c r="AY48" s="144"/>
      <c r="AZ48" s="144"/>
      <c r="BA48" s="145" t="s">
        <v>1</v>
      </c>
      <c r="BB48" s="147"/>
      <c r="BC48" s="146" t="str">
        <f t="shared" ref="BC48:BC79" si="9">IF(AY48-KG48=0,"",AY48-O48)</f>
        <v/>
      </c>
      <c r="BD48" s="137" t="str">
        <f t="shared" ref="BD48:BD79" si="10">IF(AND(AI48&lt;&gt;"SIM",AI48="UH"),"AA","INDENIZAÇÃO")</f>
        <v>INDENIZAÇÃO</v>
      </c>
      <c r="BE48" s="137" t="str">
        <f t="shared" ref="BE48:BE79" si="11">IF(AND(AY48&lt;&gt;"AGUARDANDO",AY48&lt;&gt;"",N48="AUXÍLIO ALUGUEL ATÉ INDENIZAÇÃO"),"SIM","NÃO")</f>
        <v>NÃO</v>
      </c>
      <c r="BK48" s="151"/>
      <c r="BN48" s="265"/>
    </row>
    <row r="49" spans="1:78" s="137" customFormat="1" ht="30" customHeight="1">
      <c r="A49" s="204">
        <v>36</v>
      </c>
      <c r="B49" s="204" t="s">
        <v>99</v>
      </c>
      <c r="C49" s="233" t="s">
        <v>100</v>
      </c>
      <c r="D49" s="205" t="s">
        <v>256</v>
      </c>
      <c r="E49" s="204" t="s">
        <v>257</v>
      </c>
      <c r="F49" s="234" t="s">
        <v>258</v>
      </c>
      <c r="G49" s="235" t="s">
        <v>1</v>
      </c>
      <c r="H49" s="235" t="s">
        <v>2</v>
      </c>
      <c r="I49" s="235" t="s">
        <v>12</v>
      </c>
      <c r="J49" s="234" t="s">
        <v>259</v>
      </c>
      <c r="K49" s="234" t="s">
        <v>260</v>
      </c>
      <c r="L49" s="234" t="s">
        <v>261</v>
      </c>
      <c r="M49" s="204" t="s">
        <v>110</v>
      </c>
      <c r="N49" s="204" t="s">
        <v>5</v>
      </c>
      <c r="O49" s="151">
        <v>45999</v>
      </c>
      <c r="P49" s="151" t="s">
        <v>24</v>
      </c>
      <c r="Q49" s="151" t="s">
        <v>24</v>
      </c>
      <c r="R49" s="151" t="s">
        <v>24</v>
      </c>
      <c r="S49" s="142" t="s">
        <v>24</v>
      </c>
      <c r="T49" s="151" t="s">
        <v>24</v>
      </c>
      <c r="U49" s="151" t="s">
        <v>24</v>
      </c>
      <c r="V49" s="151" t="s">
        <v>24</v>
      </c>
      <c r="W49" s="151" t="s">
        <v>24</v>
      </c>
      <c r="X49" s="151" t="s">
        <v>24</v>
      </c>
      <c r="Y49" s="151" t="s">
        <v>24</v>
      </c>
      <c r="Z49" s="151" t="s">
        <v>24</v>
      </c>
      <c r="AB49" s="234" t="s">
        <v>259</v>
      </c>
      <c r="AC49" s="234" t="s">
        <v>260</v>
      </c>
      <c r="AD49" s="234" t="s">
        <v>261</v>
      </c>
      <c r="AE49" s="204" t="s">
        <v>12</v>
      </c>
      <c r="AF49" s="204" t="s">
        <v>110</v>
      </c>
      <c r="AG49" s="143">
        <v>58674.22</v>
      </c>
      <c r="AH49" s="143">
        <v>60000</v>
      </c>
      <c r="AI49" s="137" t="s">
        <v>6</v>
      </c>
      <c r="AJ49" s="141" t="s">
        <v>105</v>
      </c>
      <c r="AK49" s="204">
        <v>145585512</v>
      </c>
      <c r="AL49" s="137" t="s">
        <v>112</v>
      </c>
      <c r="AM49" s="137" t="s">
        <v>112</v>
      </c>
      <c r="AN49" s="137" t="s">
        <v>113</v>
      </c>
      <c r="AP49" s="234" t="s">
        <v>262</v>
      </c>
      <c r="AQ49" s="137" t="s">
        <v>112</v>
      </c>
      <c r="AR49" s="137" t="s">
        <v>112</v>
      </c>
      <c r="AS49" s="137" t="s">
        <v>112</v>
      </c>
      <c r="AT49" s="137" t="s">
        <v>112</v>
      </c>
      <c r="AU49" s="151">
        <v>46017</v>
      </c>
      <c r="AV49" s="137" t="s">
        <v>112</v>
      </c>
      <c r="AW49" s="137" t="s">
        <v>112</v>
      </c>
      <c r="AX49" s="151">
        <v>46093</v>
      </c>
      <c r="AY49" s="144">
        <v>46093</v>
      </c>
      <c r="AZ49" s="144" t="s">
        <v>33</v>
      </c>
      <c r="BA49" s="145" t="s">
        <v>255</v>
      </c>
      <c r="BB49" s="147" t="s">
        <v>112</v>
      </c>
      <c r="BC49" s="146">
        <f t="shared" si="9"/>
        <v>94</v>
      </c>
      <c r="BD49" s="137" t="str">
        <f t="shared" si="10"/>
        <v>INDENIZAÇÃO</v>
      </c>
      <c r="BE49" s="137" t="str">
        <f t="shared" si="11"/>
        <v>NÃO</v>
      </c>
      <c r="BF49" s="137" t="s">
        <v>24</v>
      </c>
      <c r="BG49" s="137" t="s">
        <v>24</v>
      </c>
      <c r="BH49" s="137" t="s">
        <v>24</v>
      </c>
      <c r="BI49" s="137" t="s">
        <v>112</v>
      </c>
      <c r="BJ49" s="137" t="s">
        <v>112</v>
      </c>
      <c r="BK49" s="151">
        <v>46139</v>
      </c>
      <c r="BL49" s="145" t="s">
        <v>188</v>
      </c>
      <c r="BM49" s="145"/>
      <c r="BN49" s="265"/>
    </row>
    <row r="50" spans="1:78" s="137" customFormat="1" ht="30" customHeight="1">
      <c r="A50" s="204">
        <v>37</v>
      </c>
      <c r="B50" s="204" t="s">
        <v>99</v>
      </c>
      <c r="C50" s="233" t="s">
        <v>244</v>
      </c>
      <c r="D50" s="205" t="s">
        <v>101</v>
      </c>
      <c r="E50" s="204" t="s">
        <v>101</v>
      </c>
      <c r="F50" s="234" t="s">
        <v>263</v>
      </c>
      <c r="G50" s="235" t="s">
        <v>1</v>
      </c>
      <c r="H50" s="235" t="s">
        <v>2</v>
      </c>
      <c r="I50" s="235" t="s">
        <v>12</v>
      </c>
      <c r="J50" s="234" t="s">
        <v>264</v>
      </c>
      <c r="K50" s="234" t="s">
        <v>265</v>
      </c>
      <c r="L50" s="234" t="s">
        <v>266</v>
      </c>
      <c r="M50" s="204" t="s">
        <v>110</v>
      </c>
      <c r="N50" s="204" t="s">
        <v>5</v>
      </c>
      <c r="O50" s="151">
        <v>46164</v>
      </c>
      <c r="P50" s="151" t="s">
        <v>24</v>
      </c>
      <c r="Q50" s="151" t="s">
        <v>24</v>
      </c>
      <c r="R50" s="151" t="s">
        <v>24</v>
      </c>
      <c r="S50" s="151" t="s">
        <v>24</v>
      </c>
      <c r="T50" s="151" t="s">
        <v>24</v>
      </c>
      <c r="U50" s="151" t="s">
        <v>24</v>
      </c>
      <c r="V50" s="151" t="s">
        <v>24</v>
      </c>
      <c r="W50" s="151" t="s">
        <v>24</v>
      </c>
      <c r="X50" s="151" t="s">
        <v>24</v>
      </c>
      <c r="Y50" s="151" t="s">
        <v>24</v>
      </c>
      <c r="Z50" s="151" t="s">
        <v>24</v>
      </c>
      <c r="AB50" s="234" t="s">
        <v>264</v>
      </c>
      <c r="AC50" s="234" t="s">
        <v>265</v>
      </c>
      <c r="AD50" s="234" t="s">
        <v>266</v>
      </c>
      <c r="AE50" s="204" t="s">
        <v>12</v>
      </c>
      <c r="AF50" s="204" t="s">
        <v>110</v>
      </c>
      <c r="AG50" s="270">
        <v>16061.24</v>
      </c>
      <c r="AH50" s="143">
        <v>46061.24</v>
      </c>
      <c r="AI50" s="137" t="s">
        <v>6</v>
      </c>
      <c r="AJ50" s="141" t="s">
        <v>105</v>
      </c>
      <c r="AK50" s="204">
        <v>157082691</v>
      </c>
      <c r="AL50" s="137" t="s">
        <v>112</v>
      </c>
      <c r="AM50" s="137" t="s">
        <v>112</v>
      </c>
      <c r="AN50" s="137" t="s">
        <v>113</v>
      </c>
      <c r="AO50" s="256"/>
      <c r="AP50" s="234" t="s">
        <v>267</v>
      </c>
      <c r="AQ50" s="137" t="s">
        <v>112</v>
      </c>
      <c r="AR50" s="137" t="s">
        <v>112</v>
      </c>
      <c r="AS50" s="137" t="s">
        <v>112</v>
      </c>
      <c r="AT50" s="137" t="s">
        <v>112</v>
      </c>
      <c r="AU50" s="151">
        <v>46226</v>
      </c>
      <c r="AV50" s="137" t="s">
        <v>112</v>
      </c>
      <c r="AW50" s="137" t="s">
        <v>112</v>
      </c>
      <c r="AX50" s="151">
        <v>46233</v>
      </c>
      <c r="AY50" s="144">
        <v>46233</v>
      </c>
      <c r="AZ50" s="145" t="s">
        <v>33</v>
      </c>
      <c r="BA50" s="145" t="s">
        <v>115</v>
      </c>
      <c r="BB50" s="147" t="s">
        <v>112</v>
      </c>
      <c r="BC50" s="146">
        <f t="shared" si="9"/>
        <v>69</v>
      </c>
      <c r="BD50" s="137" t="str">
        <f t="shared" si="10"/>
        <v>INDENIZAÇÃO</v>
      </c>
      <c r="BE50" s="137" t="str">
        <f t="shared" si="11"/>
        <v>NÃO</v>
      </c>
      <c r="BF50" s="137" t="s">
        <v>24</v>
      </c>
      <c r="BG50" s="137" t="s">
        <v>24</v>
      </c>
      <c r="BH50" s="137" t="s">
        <v>24</v>
      </c>
      <c r="BI50" s="145" t="s">
        <v>123</v>
      </c>
      <c r="BJ50" s="145"/>
      <c r="BK50" s="144"/>
      <c r="BL50" s="145"/>
      <c r="BM50" s="145"/>
      <c r="BN50" s="264"/>
    </row>
    <row r="51" spans="1:78" s="137" customFormat="1" ht="30" customHeight="1">
      <c r="A51" s="204">
        <v>38</v>
      </c>
      <c r="B51" s="204" t="s">
        <v>99</v>
      </c>
      <c r="C51" s="233" t="s">
        <v>100</v>
      </c>
      <c r="D51" s="204" t="s">
        <v>101</v>
      </c>
      <c r="E51" s="204" t="s">
        <v>101</v>
      </c>
      <c r="F51" s="234" t="s">
        <v>268</v>
      </c>
      <c r="G51" s="235" t="s">
        <v>1</v>
      </c>
      <c r="H51" s="235" t="s">
        <v>2</v>
      </c>
      <c r="I51" s="235" t="s">
        <v>12</v>
      </c>
      <c r="J51" s="234" t="s">
        <v>269</v>
      </c>
      <c r="K51" s="234" t="s">
        <v>270</v>
      </c>
      <c r="L51" s="234" t="s">
        <v>271</v>
      </c>
      <c r="M51" s="204" t="s">
        <v>110</v>
      </c>
      <c r="N51" s="204" t="s">
        <v>5</v>
      </c>
      <c r="O51" s="151">
        <v>45859</v>
      </c>
      <c r="P51" s="151" t="s">
        <v>24</v>
      </c>
      <c r="Q51" s="151" t="s">
        <v>24</v>
      </c>
      <c r="R51" s="151" t="s">
        <v>24</v>
      </c>
      <c r="S51" s="151" t="s">
        <v>24</v>
      </c>
      <c r="T51" s="151" t="s">
        <v>24</v>
      </c>
      <c r="U51" s="151" t="s">
        <v>24</v>
      </c>
      <c r="V51" s="151" t="s">
        <v>24</v>
      </c>
      <c r="W51" s="151" t="s">
        <v>24</v>
      </c>
      <c r="X51" s="151" t="s">
        <v>24</v>
      </c>
      <c r="Y51" s="151" t="s">
        <v>24</v>
      </c>
      <c r="Z51" s="151" t="s">
        <v>24</v>
      </c>
      <c r="AB51" s="234" t="s">
        <v>269</v>
      </c>
      <c r="AC51" s="234" t="s">
        <v>270</v>
      </c>
      <c r="AD51" s="234" t="s">
        <v>271</v>
      </c>
      <c r="AE51" s="204" t="s">
        <v>12</v>
      </c>
      <c r="AF51" s="204" t="s">
        <v>110</v>
      </c>
      <c r="AG51" s="143">
        <v>18153.189999999999</v>
      </c>
      <c r="AH51" s="143">
        <v>48153.19</v>
      </c>
      <c r="AI51" s="137" t="s">
        <v>6</v>
      </c>
      <c r="AJ51" s="141" t="s">
        <v>105</v>
      </c>
      <c r="AK51" s="204">
        <v>127190120</v>
      </c>
      <c r="AL51" s="137" t="s">
        <v>112</v>
      </c>
      <c r="AM51" s="137" t="s">
        <v>112</v>
      </c>
      <c r="AN51" s="137" t="s">
        <v>113</v>
      </c>
      <c r="AP51" s="234" t="s">
        <v>272</v>
      </c>
      <c r="AQ51" s="137" t="s">
        <v>112</v>
      </c>
      <c r="AR51" s="137" t="s">
        <v>112</v>
      </c>
      <c r="AS51" s="137" t="s">
        <v>112</v>
      </c>
      <c r="AT51" s="137" t="s">
        <v>112</v>
      </c>
      <c r="AU51" s="151">
        <v>45911</v>
      </c>
      <c r="AV51" s="137" t="s">
        <v>112</v>
      </c>
      <c r="AW51" s="137" t="s">
        <v>112</v>
      </c>
      <c r="AX51" s="151">
        <v>45917</v>
      </c>
      <c r="AY51" s="144">
        <v>45917</v>
      </c>
      <c r="AZ51" s="151">
        <v>45944</v>
      </c>
      <c r="BA51" s="145" t="s">
        <v>115</v>
      </c>
      <c r="BB51" s="147" t="s">
        <v>112</v>
      </c>
      <c r="BC51" s="146">
        <f t="shared" si="9"/>
        <v>58</v>
      </c>
      <c r="BD51" s="137" t="str">
        <f t="shared" si="10"/>
        <v>INDENIZAÇÃO</v>
      </c>
      <c r="BE51" s="137" t="str">
        <f t="shared" si="11"/>
        <v>NÃO</v>
      </c>
      <c r="BF51" s="137" t="s">
        <v>24</v>
      </c>
      <c r="BG51" s="137" t="s">
        <v>24</v>
      </c>
      <c r="BH51" s="137" t="s">
        <v>24</v>
      </c>
      <c r="BI51" s="137" t="s">
        <v>112</v>
      </c>
      <c r="BJ51" s="137" t="s">
        <v>112</v>
      </c>
      <c r="BK51" s="151">
        <v>45937</v>
      </c>
      <c r="BL51" s="137" t="s">
        <v>112</v>
      </c>
      <c r="BM51" s="145" t="s">
        <v>33</v>
      </c>
      <c r="BN51" s="265"/>
    </row>
    <row r="52" spans="1:78" s="137" customFormat="1" ht="30" customHeight="1">
      <c r="A52" s="204">
        <v>39</v>
      </c>
      <c r="B52" s="204" t="s">
        <v>99</v>
      </c>
      <c r="C52" s="233" t="s">
        <v>100</v>
      </c>
      <c r="D52" s="204" t="s">
        <v>101</v>
      </c>
      <c r="E52" s="204" t="s">
        <v>101</v>
      </c>
      <c r="F52" s="253" t="s">
        <v>273</v>
      </c>
      <c r="G52" s="235" t="s">
        <v>1</v>
      </c>
      <c r="H52" s="235" t="s">
        <v>2</v>
      </c>
      <c r="I52" s="235" t="s">
        <v>12</v>
      </c>
      <c r="J52" s="234" t="s">
        <v>274</v>
      </c>
      <c r="K52" s="234" t="s">
        <v>275</v>
      </c>
      <c r="L52" s="234" t="s">
        <v>276</v>
      </c>
      <c r="M52" s="204" t="s">
        <v>110</v>
      </c>
      <c r="N52" s="204" t="s">
        <v>5</v>
      </c>
      <c r="O52" s="151">
        <v>46027</v>
      </c>
      <c r="P52" s="151" t="s">
        <v>24</v>
      </c>
      <c r="Q52" s="151" t="s">
        <v>24</v>
      </c>
      <c r="R52" s="151" t="s">
        <v>24</v>
      </c>
      <c r="S52" s="151" t="s">
        <v>24</v>
      </c>
      <c r="T52" s="151" t="s">
        <v>24</v>
      </c>
      <c r="U52" s="151" t="s">
        <v>24</v>
      </c>
      <c r="V52" s="151" t="s">
        <v>24</v>
      </c>
      <c r="W52" s="151" t="s">
        <v>24</v>
      </c>
      <c r="X52" s="151" t="s">
        <v>24</v>
      </c>
      <c r="Y52" s="151" t="s">
        <v>24</v>
      </c>
      <c r="Z52" s="151" t="s">
        <v>24</v>
      </c>
      <c r="AB52" s="234" t="s">
        <v>274</v>
      </c>
      <c r="AC52" s="234" t="s">
        <v>275</v>
      </c>
      <c r="AD52" s="234" t="s">
        <v>276</v>
      </c>
      <c r="AE52" s="204" t="s">
        <v>12</v>
      </c>
      <c r="AF52" s="204" t="s">
        <v>110</v>
      </c>
      <c r="AG52" s="270">
        <v>27293.35</v>
      </c>
      <c r="AH52" s="143">
        <f>AG52+30000</f>
        <v>57293.35</v>
      </c>
      <c r="AI52" s="137" t="s">
        <v>6</v>
      </c>
      <c r="AJ52" s="141" t="s">
        <v>105</v>
      </c>
      <c r="AK52" s="204">
        <v>144750197</v>
      </c>
      <c r="AL52" s="137" t="s">
        <v>112</v>
      </c>
      <c r="AM52" s="137" t="s">
        <v>112</v>
      </c>
      <c r="AN52" s="137" t="s">
        <v>113</v>
      </c>
      <c r="AP52" s="234" t="s">
        <v>277</v>
      </c>
      <c r="AQ52" s="137" t="s">
        <v>112</v>
      </c>
      <c r="AR52" s="137" t="s">
        <v>112</v>
      </c>
      <c r="AS52" s="137" t="s">
        <v>112</v>
      </c>
      <c r="AT52" s="137" t="s">
        <v>112</v>
      </c>
      <c r="AU52" s="151">
        <v>46142</v>
      </c>
      <c r="AV52" s="137" t="s">
        <v>112</v>
      </c>
      <c r="AW52" s="137" t="s">
        <v>112</v>
      </c>
      <c r="AX52" s="151">
        <v>46170</v>
      </c>
      <c r="AY52" s="144">
        <v>46170</v>
      </c>
      <c r="AZ52" s="145" t="s">
        <v>33</v>
      </c>
      <c r="BA52" s="145" t="s">
        <v>115</v>
      </c>
      <c r="BB52" s="147" t="s">
        <v>112</v>
      </c>
      <c r="BC52" s="146">
        <f t="shared" si="9"/>
        <v>143</v>
      </c>
      <c r="BD52" s="137" t="str">
        <f t="shared" si="10"/>
        <v>INDENIZAÇÃO</v>
      </c>
      <c r="BE52" s="137" t="str">
        <f t="shared" si="11"/>
        <v>NÃO</v>
      </c>
      <c r="BF52" s="137" t="s">
        <v>24</v>
      </c>
      <c r="BG52" s="137" t="s">
        <v>24</v>
      </c>
      <c r="BH52" s="137" t="s">
        <v>24</v>
      </c>
      <c r="BI52" s="137" t="s">
        <v>112</v>
      </c>
      <c r="BJ52" s="137" t="s">
        <v>112</v>
      </c>
      <c r="BK52" s="151">
        <v>46224</v>
      </c>
      <c r="BL52" s="145" t="s">
        <v>188</v>
      </c>
      <c r="BM52" s="145"/>
      <c r="BN52" s="265"/>
    </row>
    <row r="53" spans="1:78" s="137" customFormat="1" ht="30" customHeight="1">
      <c r="A53" s="204">
        <v>40</v>
      </c>
      <c r="B53" s="204" t="s">
        <v>99</v>
      </c>
      <c r="C53" s="233" t="s">
        <v>100</v>
      </c>
      <c r="D53" s="205" t="s">
        <v>101</v>
      </c>
      <c r="E53" s="204" t="s">
        <v>101</v>
      </c>
      <c r="F53" s="234" t="s">
        <v>278</v>
      </c>
      <c r="G53" s="235" t="s">
        <v>1</v>
      </c>
      <c r="H53" s="235" t="s">
        <v>20</v>
      </c>
      <c r="I53" s="235" t="s">
        <v>12</v>
      </c>
      <c r="J53" s="234" t="s">
        <v>279</v>
      </c>
      <c r="K53" s="234" t="s">
        <v>280</v>
      </c>
      <c r="L53" s="234" t="s">
        <v>281</v>
      </c>
      <c r="M53" s="204" t="s">
        <v>110</v>
      </c>
      <c r="N53" s="204" t="s">
        <v>5</v>
      </c>
      <c r="O53" s="151">
        <v>45859</v>
      </c>
      <c r="P53" s="151" t="s">
        <v>24</v>
      </c>
      <c r="Q53" s="151" t="s">
        <v>24</v>
      </c>
      <c r="R53" s="151" t="s">
        <v>24</v>
      </c>
      <c r="S53" s="151" t="s">
        <v>24</v>
      </c>
      <c r="T53" s="151" t="s">
        <v>24</v>
      </c>
      <c r="U53" s="151" t="s">
        <v>24</v>
      </c>
      <c r="V53" s="151" t="s">
        <v>24</v>
      </c>
      <c r="W53" s="151" t="s">
        <v>24</v>
      </c>
      <c r="X53" s="151" t="s">
        <v>24</v>
      </c>
      <c r="Y53" s="151" t="s">
        <v>24</v>
      </c>
      <c r="Z53" s="151" t="s">
        <v>24</v>
      </c>
      <c r="AB53" s="234" t="s">
        <v>279</v>
      </c>
      <c r="AC53" s="234" t="s">
        <v>280</v>
      </c>
      <c r="AD53" s="234" t="s">
        <v>281</v>
      </c>
      <c r="AE53" s="204" t="s">
        <v>12</v>
      </c>
      <c r="AF53" s="204" t="s">
        <v>110</v>
      </c>
      <c r="AG53" s="143">
        <v>96318.36</v>
      </c>
      <c r="AH53" s="143">
        <v>96318.36</v>
      </c>
      <c r="AI53" s="137" t="s">
        <v>6</v>
      </c>
      <c r="AJ53" s="141" t="s">
        <v>105</v>
      </c>
      <c r="AK53" s="204">
        <v>127190213</v>
      </c>
      <c r="AL53" s="137" t="s">
        <v>112</v>
      </c>
      <c r="AM53" s="137" t="s">
        <v>112</v>
      </c>
      <c r="AN53" s="137" t="s">
        <v>113</v>
      </c>
      <c r="AP53" s="234" t="s">
        <v>282</v>
      </c>
      <c r="AQ53" s="137" t="s">
        <v>112</v>
      </c>
      <c r="AR53" s="137" t="s">
        <v>112</v>
      </c>
      <c r="AS53" s="137" t="s">
        <v>112</v>
      </c>
      <c r="AT53" s="137" t="s">
        <v>112</v>
      </c>
      <c r="AU53" s="151">
        <v>45911</v>
      </c>
      <c r="AV53" s="137" t="s">
        <v>112</v>
      </c>
      <c r="AW53" s="137" t="s">
        <v>112</v>
      </c>
      <c r="AX53" s="151">
        <v>45917</v>
      </c>
      <c r="AY53" s="144">
        <v>45917</v>
      </c>
      <c r="AZ53" s="151">
        <v>45951</v>
      </c>
      <c r="BA53" s="145" t="s">
        <v>115</v>
      </c>
      <c r="BB53" s="147" t="s">
        <v>112</v>
      </c>
      <c r="BC53" s="146">
        <f t="shared" si="9"/>
        <v>58</v>
      </c>
      <c r="BD53" s="137" t="str">
        <f t="shared" si="10"/>
        <v>INDENIZAÇÃO</v>
      </c>
      <c r="BE53" s="137" t="str">
        <f t="shared" si="11"/>
        <v>NÃO</v>
      </c>
      <c r="BF53" s="137" t="s">
        <v>24</v>
      </c>
      <c r="BG53" s="137" t="s">
        <v>24</v>
      </c>
      <c r="BH53" s="137" t="s">
        <v>24</v>
      </c>
      <c r="BI53" s="137" t="s">
        <v>112</v>
      </c>
      <c r="BJ53" s="137" t="s">
        <v>112</v>
      </c>
      <c r="BK53" s="151">
        <v>45937</v>
      </c>
      <c r="BL53" s="137" t="s">
        <v>112</v>
      </c>
      <c r="BM53" s="145" t="s">
        <v>33</v>
      </c>
      <c r="BN53" s="265"/>
    </row>
    <row r="54" spans="1:78" s="137" customFormat="1" ht="30" customHeight="1">
      <c r="A54" s="204">
        <v>41</v>
      </c>
      <c r="B54" s="204" t="s">
        <v>99</v>
      </c>
      <c r="C54" s="233" t="s">
        <v>100</v>
      </c>
      <c r="D54" s="205" t="s">
        <v>101</v>
      </c>
      <c r="E54" s="204" t="s">
        <v>101</v>
      </c>
      <c r="F54" s="234" t="s">
        <v>283</v>
      </c>
      <c r="G54" s="235" t="s">
        <v>1</v>
      </c>
      <c r="H54" s="235" t="s">
        <v>26</v>
      </c>
      <c r="I54" s="235" t="s">
        <v>103</v>
      </c>
      <c r="J54" s="234" t="s">
        <v>284</v>
      </c>
      <c r="K54" s="234" t="s">
        <v>285</v>
      </c>
      <c r="L54" s="234" t="s">
        <v>286</v>
      </c>
      <c r="M54" s="204" t="s">
        <v>110</v>
      </c>
      <c r="N54" s="204" t="s">
        <v>5</v>
      </c>
      <c r="O54" s="151">
        <v>46051</v>
      </c>
      <c r="P54" s="151" t="s">
        <v>24</v>
      </c>
      <c r="Q54" s="151" t="s">
        <v>24</v>
      </c>
      <c r="R54" s="151" t="s">
        <v>24</v>
      </c>
      <c r="S54" s="151" t="s">
        <v>24</v>
      </c>
      <c r="T54" s="151" t="s">
        <v>24</v>
      </c>
      <c r="U54" s="151" t="s">
        <v>24</v>
      </c>
      <c r="V54" s="151" t="s">
        <v>24</v>
      </c>
      <c r="W54" s="151" t="s">
        <v>24</v>
      </c>
      <c r="X54" s="151" t="s">
        <v>24</v>
      </c>
      <c r="Y54" s="151" t="s">
        <v>24</v>
      </c>
      <c r="Z54" s="151" t="s">
        <v>24</v>
      </c>
      <c r="AB54" s="234" t="s">
        <v>284</v>
      </c>
      <c r="AC54" s="234" t="s">
        <v>285</v>
      </c>
      <c r="AD54" s="234" t="s">
        <v>286</v>
      </c>
      <c r="AE54" s="204" t="s">
        <v>3</v>
      </c>
      <c r="AF54" s="204" t="s">
        <v>110</v>
      </c>
      <c r="AG54" s="270">
        <v>2871.66</v>
      </c>
      <c r="AH54" s="270">
        <v>2871.66</v>
      </c>
      <c r="AI54" s="137" t="s">
        <v>6</v>
      </c>
      <c r="AJ54" s="141" t="s">
        <v>105</v>
      </c>
      <c r="AK54" s="204">
        <v>144750381</v>
      </c>
      <c r="AL54" s="137" t="s">
        <v>112</v>
      </c>
      <c r="AM54" s="137" t="s">
        <v>112</v>
      </c>
      <c r="AN54" s="137" t="s">
        <v>113</v>
      </c>
      <c r="AP54" s="234" t="s">
        <v>287</v>
      </c>
      <c r="AQ54" s="137" t="s">
        <v>112</v>
      </c>
      <c r="AR54" s="137" t="s">
        <v>112</v>
      </c>
      <c r="AS54" s="137" t="s">
        <v>112</v>
      </c>
      <c r="AT54" s="137" t="s">
        <v>112</v>
      </c>
      <c r="AU54" s="151">
        <v>46174</v>
      </c>
      <c r="AV54" s="137" t="s">
        <v>112</v>
      </c>
      <c r="AW54" s="137" t="s">
        <v>112</v>
      </c>
      <c r="AX54" s="151">
        <v>46183</v>
      </c>
      <c r="AY54" s="144">
        <v>46183</v>
      </c>
      <c r="AZ54" s="144" t="s">
        <v>33</v>
      </c>
      <c r="BA54" s="145" t="s">
        <v>115</v>
      </c>
      <c r="BB54" s="147" t="s">
        <v>112</v>
      </c>
      <c r="BC54" s="146">
        <f t="shared" si="9"/>
        <v>132</v>
      </c>
      <c r="BD54" s="137" t="str">
        <f t="shared" si="10"/>
        <v>INDENIZAÇÃO</v>
      </c>
      <c r="BE54" s="137" t="str">
        <f t="shared" si="11"/>
        <v>NÃO</v>
      </c>
      <c r="BF54" s="137" t="s">
        <v>24</v>
      </c>
      <c r="BG54" s="137" t="s">
        <v>24</v>
      </c>
      <c r="BH54" s="137" t="s">
        <v>24</v>
      </c>
      <c r="BI54" s="137" t="s">
        <v>112</v>
      </c>
      <c r="BJ54" s="137" t="s">
        <v>112</v>
      </c>
      <c r="BK54" s="151">
        <v>46224</v>
      </c>
      <c r="BL54" s="145" t="s">
        <v>188</v>
      </c>
      <c r="BM54" s="145"/>
      <c r="BN54" s="264"/>
    </row>
    <row r="55" spans="1:78" s="137" customFormat="1" ht="30" customHeight="1">
      <c r="A55" s="204">
        <v>42</v>
      </c>
      <c r="B55" s="204" t="s">
        <v>99</v>
      </c>
      <c r="C55" s="233" t="s">
        <v>100</v>
      </c>
      <c r="D55" s="205" t="s">
        <v>101</v>
      </c>
      <c r="E55" s="204" t="s">
        <v>101</v>
      </c>
      <c r="F55" s="234" t="s">
        <v>288</v>
      </c>
      <c r="G55" s="235" t="s">
        <v>1</v>
      </c>
      <c r="H55" s="235" t="s">
        <v>2</v>
      </c>
      <c r="I55" s="235" t="s">
        <v>12</v>
      </c>
      <c r="J55" s="234" t="s">
        <v>289</v>
      </c>
      <c r="K55" s="234" t="s">
        <v>290</v>
      </c>
      <c r="L55" s="234" t="s">
        <v>291</v>
      </c>
      <c r="M55" s="204" t="s">
        <v>110</v>
      </c>
      <c r="N55" s="204" t="s">
        <v>5</v>
      </c>
      <c r="O55" s="151">
        <v>46051</v>
      </c>
      <c r="P55" s="151" t="s">
        <v>24</v>
      </c>
      <c r="Q55" s="151" t="s">
        <v>24</v>
      </c>
      <c r="R55" s="151" t="s">
        <v>24</v>
      </c>
      <c r="S55" s="151" t="s">
        <v>24</v>
      </c>
      <c r="T55" s="151" t="s">
        <v>24</v>
      </c>
      <c r="U55" s="151" t="s">
        <v>24</v>
      </c>
      <c r="V55" s="151" t="s">
        <v>24</v>
      </c>
      <c r="W55" s="151" t="s">
        <v>24</v>
      </c>
      <c r="X55" s="151" t="s">
        <v>24</v>
      </c>
      <c r="Y55" s="151" t="s">
        <v>24</v>
      </c>
      <c r="Z55" s="151" t="s">
        <v>24</v>
      </c>
      <c r="AB55" s="234" t="s">
        <v>289</v>
      </c>
      <c r="AC55" s="234" t="s">
        <v>290</v>
      </c>
      <c r="AD55" s="234" t="s">
        <v>291</v>
      </c>
      <c r="AE55" s="204" t="s">
        <v>12</v>
      </c>
      <c r="AF55" s="204" t="s">
        <v>110</v>
      </c>
      <c r="AG55" s="143">
        <v>246510.89</v>
      </c>
      <c r="AH55" s="143">
        <v>246510.89</v>
      </c>
      <c r="AI55" s="137" t="s">
        <v>6</v>
      </c>
      <c r="AJ55" s="141" t="s">
        <v>105</v>
      </c>
      <c r="AK55" s="204">
        <v>150526484</v>
      </c>
      <c r="AL55" s="137" t="s">
        <v>112</v>
      </c>
      <c r="AM55" s="137" t="s">
        <v>112</v>
      </c>
      <c r="AN55" s="137" t="s">
        <v>113</v>
      </c>
      <c r="AP55" s="234" t="s">
        <v>292</v>
      </c>
      <c r="AQ55" s="137" t="s">
        <v>112</v>
      </c>
      <c r="AR55" s="137" t="s">
        <v>112</v>
      </c>
      <c r="AS55" s="137" t="s">
        <v>112</v>
      </c>
      <c r="AT55" s="137" t="s">
        <v>112</v>
      </c>
      <c r="AU55" s="151">
        <v>46174</v>
      </c>
      <c r="AV55" s="137" t="s">
        <v>112</v>
      </c>
      <c r="AW55" s="137" t="s">
        <v>112</v>
      </c>
      <c r="AX55" s="151">
        <v>46183</v>
      </c>
      <c r="AY55" s="144">
        <v>46183</v>
      </c>
      <c r="AZ55" s="144" t="s">
        <v>33</v>
      </c>
      <c r="BA55" s="145" t="s">
        <v>115</v>
      </c>
      <c r="BB55" s="147" t="s">
        <v>112</v>
      </c>
      <c r="BC55" s="146">
        <f t="shared" si="9"/>
        <v>132</v>
      </c>
      <c r="BD55" s="137" t="str">
        <f t="shared" si="10"/>
        <v>INDENIZAÇÃO</v>
      </c>
      <c r="BE55" s="137" t="str">
        <f t="shared" si="11"/>
        <v>NÃO</v>
      </c>
      <c r="BF55" s="137" t="s">
        <v>24</v>
      </c>
      <c r="BG55" s="137" t="s">
        <v>24</v>
      </c>
      <c r="BH55" s="137" t="s">
        <v>24</v>
      </c>
      <c r="BI55" s="137" t="s">
        <v>112</v>
      </c>
      <c r="BJ55" s="137" t="s">
        <v>112</v>
      </c>
      <c r="BK55" s="151">
        <v>46224</v>
      </c>
      <c r="BL55" s="145" t="s">
        <v>188</v>
      </c>
      <c r="BM55" s="145"/>
      <c r="BN55" s="264"/>
    </row>
    <row r="56" spans="1:78" s="137" customFormat="1" ht="30" customHeight="1">
      <c r="A56" s="204">
        <v>43</v>
      </c>
      <c r="B56" s="204" t="s">
        <v>99</v>
      </c>
      <c r="C56" s="233" t="s">
        <v>100</v>
      </c>
      <c r="D56" s="205" t="s">
        <v>101</v>
      </c>
      <c r="E56" s="204" t="s">
        <v>101</v>
      </c>
      <c r="F56" s="234" t="s">
        <v>293</v>
      </c>
      <c r="G56" s="235" t="s">
        <v>1</v>
      </c>
      <c r="H56" s="235" t="s">
        <v>2</v>
      </c>
      <c r="I56" s="235" t="s">
        <v>12</v>
      </c>
      <c r="J56" s="234" t="s">
        <v>294</v>
      </c>
      <c r="K56" s="234" t="s">
        <v>295</v>
      </c>
      <c r="L56" s="238">
        <v>21791258875</v>
      </c>
      <c r="M56" s="204"/>
      <c r="N56" s="204"/>
      <c r="O56" s="151"/>
      <c r="P56" s="151"/>
      <c r="Q56" s="151"/>
      <c r="R56" s="151"/>
      <c r="S56" s="142"/>
      <c r="T56" s="142"/>
      <c r="U56" s="142"/>
      <c r="V56" s="142"/>
      <c r="W56" s="142"/>
      <c r="X56" s="142"/>
      <c r="Y56" s="142"/>
      <c r="Z56" s="142"/>
      <c r="AB56" s="206"/>
      <c r="AC56" s="206"/>
      <c r="AD56" s="206"/>
      <c r="AE56" s="204"/>
      <c r="AF56" s="204"/>
      <c r="AG56" s="143"/>
      <c r="AH56" s="143"/>
      <c r="AJ56" s="141" t="s">
        <v>105</v>
      </c>
      <c r="AK56" s="204"/>
      <c r="AP56" s="234"/>
      <c r="AU56" s="151"/>
      <c r="AX56" s="151"/>
      <c r="AY56" s="142"/>
      <c r="AZ56" s="142"/>
      <c r="BB56" s="147"/>
      <c r="BC56" s="146" t="str">
        <f t="shared" si="9"/>
        <v/>
      </c>
      <c r="BD56" s="137" t="str">
        <f t="shared" si="10"/>
        <v>INDENIZAÇÃO</v>
      </c>
      <c r="BE56" s="137" t="str">
        <f t="shared" si="11"/>
        <v>NÃO</v>
      </c>
      <c r="BK56" s="151"/>
      <c r="BN56" s="265"/>
    </row>
    <row r="57" spans="1:78" s="137" customFormat="1" ht="30" customHeight="1">
      <c r="A57" s="204">
        <v>44</v>
      </c>
      <c r="B57" s="204" t="s">
        <v>99</v>
      </c>
      <c r="C57" s="233" t="s">
        <v>100</v>
      </c>
      <c r="D57" s="205" t="s">
        <v>101</v>
      </c>
      <c r="E57" s="204" t="s">
        <v>101</v>
      </c>
      <c r="F57" s="234" t="s">
        <v>296</v>
      </c>
      <c r="G57" s="235" t="s">
        <v>1</v>
      </c>
      <c r="H57" s="235" t="s">
        <v>11</v>
      </c>
      <c r="I57" s="235" t="s">
        <v>111</v>
      </c>
      <c r="J57" s="234" t="s">
        <v>294</v>
      </c>
      <c r="K57" s="234" t="s">
        <v>297</v>
      </c>
      <c r="L57" s="238">
        <v>21791258875</v>
      </c>
      <c r="M57" s="204"/>
      <c r="N57" s="204"/>
      <c r="O57" s="151" t="s">
        <v>298</v>
      </c>
      <c r="P57" s="151"/>
      <c r="Q57" s="151"/>
      <c r="R57" s="151"/>
      <c r="S57" s="142"/>
      <c r="T57" s="142"/>
      <c r="U57" s="142"/>
      <c r="V57" s="142"/>
      <c r="W57" s="142"/>
      <c r="X57" s="142"/>
      <c r="Y57" s="142"/>
      <c r="Z57" s="142"/>
      <c r="AB57" s="206"/>
      <c r="AC57" s="206"/>
      <c r="AD57" s="206"/>
      <c r="AE57" s="204"/>
      <c r="AF57" s="204"/>
      <c r="AH57" s="143"/>
      <c r="AJ57" s="141" t="s">
        <v>105</v>
      </c>
      <c r="AK57" s="204"/>
      <c r="AP57" s="234"/>
      <c r="AU57" s="151"/>
      <c r="AX57" s="151"/>
      <c r="AY57" s="142"/>
      <c r="AZ57" s="142"/>
      <c r="BB57" s="147"/>
      <c r="BC57" s="146" t="str">
        <f t="shared" si="9"/>
        <v/>
      </c>
      <c r="BD57" s="137" t="str">
        <f t="shared" si="10"/>
        <v>INDENIZAÇÃO</v>
      </c>
      <c r="BE57" s="137" t="str">
        <f t="shared" si="11"/>
        <v>NÃO</v>
      </c>
      <c r="BK57" s="151"/>
      <c r="BN57" s="265"/>
    </row>
    <row r="58" spans="1:78" s="137" customFormat="1" ht="30" customHeight="1">
      <c r="A58" s="204">
        <v>45</v>
      </c>
      <c r="B58" s="204" t="s">
        <v>99</v>
      </c>
      <c r="C58" s="233" t="s">
        <v>100</v>
      </c>
      <c r="D58" s="205" t="s">
        <v>101</v>
      </c>
      <c r="E58" s="204" t="s">
        <v>101</v>
      </c>
      <c r="F58" s="234" t="s">
        <v>299</v>
      </c>
      <c r="G58" s="235" t="s">
        <v>1</v>
      </c>
      <c r="H58" s="235" t="s">
        <v>2</v>
      </c>
      <c r="I58" s="235" t="s">
        <v>12</v>
      </c>
      <c r="J58" s="234" t="s">
        <v>300</v>
      </c>
      <c r="K58" s="234" t="s">
        <v>301</v>
      </c>
      <c r="L58" s="234" t="s">
        <v>302</v>
      </c>
      <c r="M58" s="204" t="s">
        <v>110</v>
      </c>
      <c r="N58" s="204" t="s">
        <v>5</v>
      </c>
      <c r="O58" s="151">
        <v>46027</v>
      </c>
      <c r="P58" s="151" t="s">
        <v>24</v>
      </c>
      <c r="Q58" s="151" t="s">
        <v>24</v>
      </c>
      <c r="R58" s="151" t="s">
        <v>24</v>
      </c>
      <c r="S58" s="151" t="s">
        <v>24</v>
      </c>
      <c r="T58" s="151" t="s">
        <v>24</v>
      </c>
      <c r="U58" s="151" t="s">
        <v>24</v>
      </c>
      <c r="V58" s="151" t="s">
        <v>24</v>
      </c>
      <c r="W58" s="151" t="s">
        <v>24</v>
      </c>
      <c r="X58" s="151" t="s">
        <v>24</v>
      </c>
      <c r="Y58" s="151" t="s">
        <v>24</v>
      </c>
      <c r="Z58" s="151" t="s">
        <v>24</v>
      </c>
      <c r="AB58" s="234" t="s">
        <v>300</v>
      </c>
      <c r="AC58" s="234" t="s">
        <v>301</v>
      </c>
      <c r="AD58" s="234" t="s">
        <v>302</v>
      </c>
      <c r="AE58" s="204" t="s">
        <v>12</v>
      </c>
      <c r="AF58" s="204" t="s">
        <v>110</v>
      </c>
      <c r="AG58" s="143">
        <v>19841.150000000001</v>
      </c>
      <c r="AH58" s="143">
        <f>AG58+30000</f>
        <v>49841.15</v>
      </c>
      <c r="AI58" s="137" t="s">
        <v>6</v>
      </c>
      <c r="AJ58" s="141" t="s">
        <v>105</v>
      </c>
      <c r="AK58" s="204">
        <v>143290554</v>
      </c>
      <c r="AL58" s="137" t="s">
        <v>112</v>
      </c>
      <c r="AM58" s="137" t="s">
        <v>112</v>
      </c>
      <c r="AN58" s="137" t="s">
        <v>113</v>
      </c>
      <c r="AP58" s="234" t="s">
        <v>303</v>
      </c>
      <c r="AQ58" s="137" t="s">
        <v>112</v>
      </c>
      <c r="AR58" s="137" t="s">
        <v>112</v>
      </c>
      <c r="AS58" s="137" t="s">
        <v>112</v>
      </c>
      <c r="AT58" s="137" t="s">
        <v>112</v>
      </c>
      <c r="AU58" s="151">
        <v>46142</v>
      </c>
      <c r="AV58" s="137" t="s">
        <v>112</v>
      </c>
      <c r="AW58" s="137" t="s">
        <v>112</v>
      </c>
      <c r="AX58" s="151">
        <v>46153</v>
      </c>
      <c r="AY58" s="144">
        <v>46153</v>
      </c>
      <c r="AZ58" s="145" t="s">
        <v>33</v>
      </c>
      <c r="BA58" s="145" t="s">
        <v>115</v>
      </c>
      <c r="BB58" s="147" t="s">
        <v>112</v>
      </c>
      <c r="BC58" s="146">
        <f t="shared" si="9"/>
        <v>126</v>
      </c>
      <c r="BD58" s="137" t="str">
        <f t="shared" si="10"/>
        <v>INDENIZAÇÃO</v>
      </c>
      <c r="BE58" s="137" t="str">
        <f t="shared" si="11"/>
        <v>NÃO</v>
      </c>
      <c r="BF58" s="137" t="s">
        <v>24</v>
      </c>
      <c r="BG58" s="137" t="s">
        <v>24</v>
      </c>
      <c r="BH58" s="137" t="s">
        <v>24</v>
      </c>
      <c r="BI58" s="137" t="s">
        <v>112</v>
      </c>
      <c r="BJ58" s="137" t="s">
        <v>112</v>
      </c>
      <c r="BK58" s="151">
        <v>46224</v>
      </c>
      <c r="BL58" s="145" t="s">
        <v>188</v>
      </c>
      <c r="BM58" s="145"/>
      <c r="BN58" s="265"/>
    </row>
    <row r="59" spans="1:78" s="137" customFormat="1" ht="30" customHeight="1">
      <c r="A59" s="204">
        <v>46</v>
      </c>
      <c r="B59" s="204" t="s">
        <v>99</v>
      </c>
      <c r="C59" s="233" t="s">
        <v>100</v>
      </c>
      <c r="D59" s="205" t="s">
        <v>101</v>
      </c>
      <c r="E59" s="204" t="s">
        <v>101</v>
      </c>
      <c r="F59" s="234" t="s">
        <v>304</v>
      </c>
      <c r="G59" s="235" t="s">
        <v>1</v>
      </c>
      <c r="H59" s="235" t="s">
        <v>2</v>
      </c>
      <c r="I59" s="235" t="s">
        <v>12</v>
      </c>
      <c r="J59" s="234" t="s">
        <v>305</v>
      </c>
      <c r="K59" s="234" t="s">
        <v>306</v>
      </c>
      <c r="L59" s="234" t="s">
        <v>307</v>
      </c>
      <c r="M59" s="204" t="s">
        <v>110</v>
      </c>
      <c r="N59" s="204" t="s">
        <v>5</v>
      </c>
      <c r="O59" s="151">
        <v>46051</v>
      </c>
      <c r="P59" s="151" t="s">
        <v>24</v>
      </c>
      <c r="Q59" s="151" t="s">
        <v>24</v>
      </c>
      <c r="R59" s="151" t="s">
        <v>24</v>
      </c>
      <c r="S59" s="151" t="s">
        <v>24</v>
      </c>
      <c r="T59" s="151" t="s">
        <v>24</v>
      </c>
      <c r="U59" s="151" t="s">
        <v>24</v>
      </c>
      <c r="V59" s="151" t="s">
        <v>24</v>
      </c>
      <c r="W59" s="151" t="s">
        <v>24</v>
      </c>
      <c r="X59" s="151" t="s">
        <v>24</v>
      </c>
      <c r="Y59" s="151" t="s">
        <v>24</v>
      </c>
      <c r="Z59" s="151" t="s">
        <v>24</v>
      </c>
      <c r="AB59" s="234" t="s">
        <v>305</v>
      </c>
      <c r="AC59" s="234" t="s">
        <v>306</v>
      </c>
      <c r="AD59" s="234" t="s">
        <v>307</v>
      </c>
      <c r="AE59" s="204" t="s">
        <v>12</v>
      </c>
      <c r="AF59" s="204" t="s">
        <v>110</v>
      </c>
      <c r="AG59" s="270">
        <v>12298.44</v>
      </c>
      <c r="AH59" s="143">
        <f>AG59+30000</f>
        <v>42298.44</v>
      </c>
      <c r="AI59" s="137" t="s">
        <v>6</v>
      </c>
      <c r="AJ59" s="141" t="s">
        <v>105</v>
      </c>
      <c r="AK59" s="204">
        <v>143290698</v>
      </c>
      <c r="AL59" s="137" t="s">
        <v>112</v>
      </c>
      <c r="AM59" s="137" t="s">
        <v>112</v>
      </c>
      <c r="AN59" s="137" t="s">
        <v>113</v>
      </c>
      <c r="AP59" s="234" t="s">
        <v>308</v>
      </c>
      <c r="AQ59" s="137" t="s">
        <v>112</v>
      </c>
      <c r="AR59" s="137" t="s">
        <v>112</v>
      </c>
      <c r="AS59" s="137" t="s">
        <v>112</v>
      </c>
      <c r="AT59" s="137" t="s">
        <v>112</v>
      </c>
      <c r="AU59" s="151">
        <v>46174</v>
      </c>
      <c r="AV59" s="137" t="s">
        <v>112</v>
      </c>
      <c r="AW59" s="137" t="s">
        <v>112</v>
      </c>
      <c r="AX59" s="151">
        <v>46183</v>
      </c>
      <c r="AY59" s="144">
        <v>46183</v>
      </c>
      <c r="AZ59" s="144" t="s">
        <v>33</v>
      </c>
      <c r="BA59" s="145" t="s">
        <v>115</v>
      </c>
      <c r="BB59" s="147" t="s">
        <v>112</v>
      </c>
      <c r="BC59" s="146">
        <f t="shared" si="9"/>
        <v>132</v>
      </c>
      <c r="BD59" s="137" t="str">
        <f t="shared" si="10"/>
        <v>INDENIZAÇÃO</v>
      </c>
      <c r="BE59" s="137" t="str">
        <f t="shared" si="11"/>
        <v>NÃO</v>
      </c>
      <c r="BF59" s="137" t="s">
        <v>24</v>
      </c>
      <c r="BG59" s="137" t="s">
        <v>24</v>
      </c>
      <c r="BH59" s="137" t="s">
        <v>24</v>
      </c>
      <c r="BI59" s="137" t="s">
        <v>112</v>
      </c>
      <c r="BJ59" s="137" t="s">
        <v>112</v>
      </c>
      <c r="BK59" s="151">
        <v>46224</v>
      </c>
      <c r="BL59" s="145" t="s">
        <v>188</v>
      </c>
      <c r="BM59" s="145"/>
      <c r="BN59" s="264"/>
    </row>
    <row r="60" spans="1:78" s="137" customFormat="1" ht="30" customHeight="1">
      <c r="A60" s="204">
        <v>47</v>
      </c>
      <c r="B60" s="204" t="s">
        <v>99</v>
      </c>
      <c r="C60" s="233" t="s">
        <v>100</v>
      </c>
      <c r="D60" s="205" t="s">
        <v>101</v>
      </c>
      <c r="E60" s="204" t="s">
        <v>101</v>
      </c>
      <c r="F60" s="234" t="s">
        <v>309</v>
      </c>
      <c r="G60" s="235" t="s">
        <v>1</v>
      </c>
      <c r="H60" s="235" t="s">
        <v>2</v>
      </c>
      <c r="I60" s="235" t="s">
        <v>12</v>
      </c>
      <c r="J60" s="234" t="s">
        <v>310</v>
      </c>
      <c r="K60" s="234" t="s">
        <v>311</v>
      </c>
      <c r="L60" s="234" t="s">
        <v>312</v>
      </c>
      <c r="M60" s="204" t="s">
        <v>110</v>
      </c>
      <c r="N60" s="204" t="s">
        <v>5</v>
      </c>
      <c r="O60" s="151">
        <v>45911</v>
      </c>
      <c r="P60" s="151" t="s">
        <v>24</v>
      </c>
      <c r="Q60" s="151" t="s">
        <v>24</v>
      </c>
      <c r="R60" s="151" t="s">
        <v>24</v>
      </c>
      <c r="S60" s="151" t="s">
        <v>24</v>
      </c>
      <c r="T60" s="151" t="s">
        <v>24</v>
      </c>
      <c r="U60" s="151" t="s">
        <v>24</v>
      </c>
      <c r="V60" s="151" t="s">
        <v>24</v>
      </c>
      <c r="W60" s="151" t="s">
        <v>24</v>
      </c>
      <c r="X60" s="151" t="s">
        <v>24</v>
      </c>
      <c r="Y60" s="151" t="s">
        <v>24</v>
      </c>
      <c r="Z60" s="151" t="s">
        <v>24</v>
      </c>
      <c r="AB60" s="234" t="s">
        <v>310</v>
      </c>
      <c r="AC60" s="234" t="s">
        <v>311</v>
      </c>
      <c r="AD60" s="234" t="s">
        <v>312</v>
      </c>
      <c r="AE60" s="204" t="s">
        <v>12</v>
      </c>
      <c r="AF60" s="204" t="s">
        <v>110</v>
      </c>
      <c r="AG60" s="143">
        <v>17838.150000000001</v>
      </c>
      <c r="AH60" s="143">
        <v>47838.15</v>
      </c>
      <c r="AI60" s="137" t="s">
        <v>6</v>
      </c>
      <c r="AJ60" s="141" t="s">
        <v>105</v>
      </c>
      <c r="AK60" s="204">
        <v>125287369</v>
      </c>
      <c r="AL60" s="204" t="s">
        <v>112</v>
      </c>
      <c r="AM60" s="204" t="s">
        <v>112</v>
      </c>
      <c r="AN60" s="204" t="s">
        <v>113</v>
      </c>
      <c r="AP60" s="234" t="s">
        <v>313</v>
      </c>
      <c r="AQ60" s="137" t="s">
        <v>112</v>
      </c>
      <c r="AR60" s="137" t="s">
        <v>112</v>
      </c>
      <c r="AS60" s="137" t="s">
        <v>112</v>
      </c>
      <c r="AT60" s="137" t="s">
        <v>112</v>
      </c>
      <c r="AU60" s="151">
        <v>45992</v>
      </c>
      <c r="AV60" s="137" t="s">
        <v>112</v>
      </c>
      <c r="AW60" s="204" t="s">
        <v>112</v>
      </c>
      <c r="AX60" s="151">
        <v>46013</v>
      </c>
      <c r="AY60" s="144">
        <v>46013</v>
      </c>
      <c r="AZ60" s="144" t="s">
        <v>33</v>
      </c>
      <c r="BA60" s="145" t="s">
        <v>115</v>
      </c>
      <c r="BB60" s="147" t="s">
        <v>112</v>
      </c>
      <c r="BC60" s="146">
        <f t="shared" si="9"/>
        <v>102</v>
      </c>
      <c r="BD60" s="137" t="str">
        <f t="shared" si="10"/>
        <v>INDENIZAÇÃO</v>
      </c>
      <c r="BE60" s="137" t="str">
        <f t="shared" si="11"/>
        <v>NÃO</v>
      </c>
      <c r="BF60" s="137" t="s">
        <v>24</v>
      </c>
      <c r="BG60" s="137" t="s">
        <v>24</v>
      </c>
      <c r="BH60" s="137" t="s">
        <v>24</v>
      </c>
      <c r="BI60" s="137" t="s">
        <v>112</v>
      </c>
      <c r="BJ60" s="137" t="s">
        <v>112</v>
      </c>
      <c r="BK60" s="151">
        <v>46112</v>
      </c>
      <c r="BL60" s="137" t="s">
        <v>112</v>
      </c>
      <c r="BM60" s="145" t="s">
        <v>33</v>
      </c>
      <c r="BN60" s="265"/>
    </row>
    <row r="61" spans="1:78" s="137" customFormat="1" ht="30" customHeight="1">
      <c r="A61" s="204">
        <v>48</v>
      </c>
      <c r="B61" s="204" t="s">
        <v>99</v>
      </c>
      <c r="C61" s="233" t="s">
        <v>100</v>
      </c>
      <c r="D61" s="205" t="s">
        <v>101</v>
      </c>
      <c r="E61" s="204" t="s">
        <v>101</v>
      </c>
      <c r="F61" s="234" t="s">
        <v>314</v>
      </c>
      <c r="G61" s="235" t="s">
        <v>1</v>
      </c>
      <c r="H61" s="235" t="s">
        <v>2</v>
      </c>
      <c r="I61" s="235" t="s">
        <v>12</v>
      </c>
      <c r="J61" s="234" t="s">
        <v>315</v>
      </c>
      <c r="K61" s="234" t="s">
        <v>316</v>
      </c>
      <c r="L61" s="234" t="s">
        <v>317</v>
      </c>
      <c r="M61" s="204" t="s">
        <v>110</v>
      </c>
      <c r="N61" s="204" t="s">
        <v>5</v>
      </c>
      <c r="O61" s="151">
        <v>45911</v>
      </c>
      <c r="P61" s="151" t="s">
        <v>24</v>
      </c>
      <c r="Q61" s="151" t="s">
        <v>24</v>
      </c>
      <c r="R61" s="151" t="s">
        <v>24</v>
      </c>
      <c r="S61" s="151" t="s">
        <v>24</v>
      </c>
      <c r="T61" s="151" t="s">
        <v>24</v>
      </c>
      <c r="U61" s="151" t="s">
        <v>24</v>
      </c>
      <c r="V61" s="151" t="s">
        <v>24</v>
      </c>
      <c r="W61" s="151" t="s">
        <v>24</v>
      </c>
      <c r="X61" s="151" t="s">
        <v>24</v>
      </c>
      <c r="Y61" s="151" t="s">
        <v>24</v>
      </c>
      <c r="Z61" s="151" t="s">
        <v>24</v>
      </c>
      <c r="AB61" s="234" t="s">
        <v>315</v>
      </c>
      <c r="AC61" s="234" t="s">
        <v>316</v>
      </c>
      <c r="AD61" s="234" t="s">
        <v>317</v>
      </c>
      <c r="AE61" s="204" t="s">
        <v>12</v>
      </c>
      <c r="AF61" s="204" t="s">
        <v>110</v>
      </c>
      <c r="AG61" s="143">
        <v>30788.400000000001</v>
      </c>
      <c r="AH61" s="143">
        <v>60000</v>
      </c>
      <c r="AI61" s="137" t="s">
        <v>6</v>
      </c>
      <c r="AJ61" s="141" t="s">
        <v>105</v>
      </c>
      <c r="AK61" s="204">
        <v>125287463</v>
      </c>
      <c r="AL61" s="204" t="s">
        <v>112</v>
      </c>
      <c r="AM61" s="204" t="s">
        <v>112</v>
      </c>
      <c r="AN61" s="204" t="s">
        <v>113</v>
      </c>
      <c r="AP61" s="234" t="s">
        <v>318</v>
      </c>
      <c r="AQ61" s="137" t="s">
        <v>112</v>
      </c>
      <c r="AR61" s="137" t="s">
        <v>112</v>
      </c>
      <c r="AS61" s="137" t="s">
        <v>112</v>
      </c>
      <c r="AT61" s="137" t="s">
        <v>112</v>
      </c>
      <c r="AU61" s="151">
        <v>45992</v>
      </c>
      <c r="AV61" s="137" t="s">
        <v>112</v>
      </c>
      <c r="AW61" s="204" t="s">
        <v>112</v>
      </c>
      <c r="AX61" s="151">
        <v>46013</v>
      </c>
      <c r="AY61" s="144">
        <v>46013</v>
      </c>
      <c r="AZ61" s="144" t="s">
        <v>33</v>
      </c>
      <c r="BA61" s="145" t="s">
        <v>115</v>
      </c>
      <c r="BB61" s="147" t="s">
        <v>112</v>
      </c>
      <c r="BC61" s="146">
        <f t="shared" si="9"/>
        <v>102</v>
      </c>
      <c r="BD61" s="137" t="str">
        <f t="shared" si="10"/>
        <v>INDENIZAÇÃO</v>
      </c>
      <c r="BE61" s="137" t="str">
        <f t="shared" si="11"/>
        <v>NÃO</v>
      </c>
      <c r="BF61" s="137" t="s">
        <v>24</v>
      </c>
      <c r="BG61" s="137" t="s">
        <v>24</v>
      </c>
      <c r="BH61" s="137" t="s">
        <v>24</v>
      </c>
      <c r="BI61" s="137" t="s">
        <v>112</v>
      </c>
      <c r="BJ61" s="137" t="s">
        <v>112</v>
      </c>
      <c r="BK61" s="151">
        <v>46112</v>
      </c>
      <c r="BL61" s="137" t="s">
        <v>112</v>
      </c>
      <c r="BM61" s="145" t="s">
        <v>33</v>
      </c>
      <c r="BN61" s="265"/>
    </row>
    <row r="62" spans="1:78" s="137" customFormat="1" ht="30" customHeight="1">
      <c r="A62" s="204">
        <v>49</v>
      </c>
      <c r="B62" s="204" t="s">
        <v>99</v>
      </c>
      <c r="C62" s="233" t="s">
        <v>100</v>
      </c>
      <c r="D62" s="205" t="s">
        <v>101</v>
      </c>
      <c r="E62" s="204" t="s">
        <v>101</v>
      </c>
      <c r="F62" s="234" t="s">
        <v>319</v>
      </c>
      <c r="G62" s="235" t="s">
        <v>1</v>
      </c>
      <c r="H62" s="235" t="s">
        <v>2</v>
      </c>
      <c r="I62" s="235" t="s">
        <v>12</v>
      </c>
      <c r="J62" s="234" t="s">
        <v>320</v>
      </c>
      <c r="K62" s="234" t="s">
        <v>321</v>
      </c>
      <c r="L62" s="234" t="s">
        <v>322</v>
      </c>
      <c r="M62" s="204" t="s">
        <v>110</v>
      </c>
      <c r="N62" s="204" t="s">
        <v>5</v>
      </c>
      <c r="O62" s="151">
        <v>45911</v>
      </c>
      <c r="P62" s="151" t="s">
        <v>24</v>
      </c>
      <c r="Q62" s="151" t="s">
        <v>24</v>
      </c>
      <c r="R62" s="151" t="s">
        <v>24</v>
      </c>
      <c r="S62" s="151" t="s">
        <v>24</v>
      </c>
      <c r="T62" s="151" t="s">
        <v>24</v>
      </c>
      <c r="U62" s="151" t="s">
        <v>24</v>
      </c>
      <c r="V62" s="151" t="s">
        <v>24</v>
      </c>
      <c r="W62" s="151" t="s">
        <v>24</v>
      </c>
      <c r="X62" s="151" t="s">
        <v>24</v>
      </c>
      <c r="Y62" s="151" t="s">
        <v>24</v>
      </c>
      <c r="Z62" s="151" t="s">
        <v>24</v>
      </c>
      <c r="AB62" s="234" t="s">
        <v>320</v>
      </c>
      <c r="AC62" s="234" t="s">
        <v>321</v>
      </c>
      <c r="AD62" s="234" t="s">
        <v>322</v>
      </c>
      <c r="AE62" s="204" t="s">
        <v>12</v>
      </c>
      <c r="AF62" s="204" t="s">
        <v>110</v>
      </c>
      <c r="AG62" s="143">
        <v>33677.61</v>
      </c>
      <c r="AH62" s="143">
        <v>60000</v>
      </c>
      <c r="AI62" s="137" t="s">
        <v>6</v>
      </c>
      <c r="AJ62" s="141" t="s">
        <v>105</v>
      </c>
      <c r="AK62" s="204">
        <v>141879050</v>
      </c>
      <c r="AL62" s="204" t="s">
        <v>112</v>
      </c>
      <c r="AM62" s="204" t="s">
        <v>112</v>
      </c>
      <c r="AN62" s="204" t="s">
        <v>113</v>
      </c>
      <c r="AP62" s="234" t="s">
        <v>323</v>
      </c>
      <c r="AQ62" s="137" t="s">
        <v>112</v>
      </c>
      <c r="AR62" s="137" t="s">
        <v>112</v>
      </c>
      <c r="AS62" s="137" t="s">
        <v>112</v>
      </c>
      <c r="AT62" s="137" t="s">
        <v>112</v>
      </c>
      <c r="AU62" s="151">
        <v>45992</v>
      </c>
      <c r="AV62" s="137" t="s">
        <v>112</v>
      </c>
      <c r="AW62" s="204" t="s">
        <v>112</v>
      </c>
      <c r="AX62" s="151">
        <v>46013</v>
      </c>
      <c r="AY62" s="144">
        <v>46013</v>
      </c>
      <c r="AZ62" s="144" t="s">
        <v>33</v>
      </c>
      <c r="BA62" s="145" t="s">
        <v>115</v>
      </c>
      <c r="BB62" s="147" t="s">
        <v>112</v>
      </c>
      <c r="BC62" s="146">
        <f t="shared" si="9"/>
        <v>102</v>
      </c>
      <c r="BD62" s="137" t="str">
        <f t="shared" si="10"/>
        <v>INDENIZAÇÃO</v>
      </c>
      <c r="BE62" s="137" t="str">
        <f t="shared" si="11"/>
        <v>NÃO</v>
      </c>
      <c r="BF62" s="137" t="s">
        <v>24</v>
      </c>
      <c r="BG62" s="137" t="s">
        <v>24</v>
      </c>
      <c r="BH62" s="137" t="s">
        <v>24</v>
      </c>
      <c r="BI62" s="137" t="s">
        <v>112</v>
      </c>
      <c r="BJ62" s="137" t="s">
        <v>112</v>
      </c>
      <c r="BK62" s="151">
        <v>46112</v>
      </c>
      <c r="BL62" s="137" t="s">
        <v>112</v>
      </c>
      <c r="BM62" s="145" t="s">
        <v>33</v>
      </c>
      <c r="BN62" s="265"/>
    </row>
    <row r="63" spans="1:78" s="137" customFormat="1" ht="30" customHeight="1">
      <c r="A63" s="204">
        <v>50</v>
      </c>
      <c r="B63" s="204" t="s">
        <v>99</v>
      </c>
      <c r="C63" s="233" t="s">
        <v>100</v>
      </c>
      <c r="D63" s="205" t="s">
        <v>101</v>
      </c>
      <c r="E63" s="204" t="s">
        <v>101</v>
      </c>
      <c r="F63" s="253" t="s">
        <v>324</v>
      </c>
      <c r="G63" s="235" t="s">
        <v>1</v>
      </c>
      <c r="H63" s="235" t="s">
        <v>2</v>
      </c>
      <c r="I63" s="235" t="s">
        <v>12</v>
      </c>
      <c r="J63" s="234" t="s">
        <v>325</v>
      </c>
      <c r="K63" s="141" t="s">
        <v>326</v>
      </c>
      <c r="L63" s="234" t="s">
        <v>327</v>
      </c>
      <c r="M63" s="204" t="s">
        <v>110</v>
      </c>
      <c r="N63" s="204" t="s">
        <v>5</v>
      </c>
      <c r="O63" s="151">
        <v>46027</v>
      </c>
      <c r="P63" s="151" t="s">
        <v>24</v>
      </c>
      <c r="Q63" s="151" t="s">
        <v>24</v>
      </c>
      <c r="R63" s="151" t="s">
        <v>24</v>
      </c>
      <c r="S63" s="151" t="s">
        <v>24</v>
      </c>
      <c r="T63" s="151" t="s">
        <v>24</v>
      </c>
      <c r="U63" s="151" t="s">
        <v>24</v>
      </c>
      <c r="V63" s="151" t="s">
        <v>24</v>
      </c>
      <c r="W63" s="151" t="s">
        <v>24</v>
      </c>
      <c r="X63" s="151" t="s">
        <v>24</v>
      </c>
      <c r="Y63" s="151" t="s">
        <v>24</v>
      </c>
      <c r="Z63" s="151" t="s">
        <v>24</v>
      </c>
      <c r="AB63" s="234" t="s">
        <v>325</v>
      </c>
      <c r="AC63" s="141" t="s">
        <v>326</v>
      </c>
      <c r="AD63" s="234" t="s">
        <v>327</v>
      </c>
      <c r="AE63" s="204" t="s">
        <v>12</v>
      </c>
      <c r="AF63" s="204" t="s">
        <v>110</v>
      </c>
      <c r="AG63" s="143">
        <v>102297.21</v>
      </c>
      <c r="AH63" s="143">
        <v>102297.21</v>
      </c>
      <c r="AI63" s="137" t="s">
        <v>6</v>
      </c>
      <c r="AJ63" s="141" t="s">
        <v>105</v>
      </c>
      <c r="AK63" s="204">
        <v>143292175</v>
      </c>
      <c r="AL63" s="137" t="s">
        <v>112</v>
      </c>
      <c r="AM63" s="137" t="s">
        <v>112</v>
      </c>
      <c r="AN63" s="137" t="s">
        <v>113</v>
      </c>
      <c r="AP63" s="234" t="s">
        <v>328</v>
      </c>
      <c r="AQ63" s="137" t="s">
        <v>112</v>
      </c>
      <c r="AR63" s="137" t="s">
        <v>112</v>
      </c>
      <c r="AS63" s="137" t="s">
        <v>112</v>
      </c>
      <c r="AT63" s="137" t="s">
        <v>112</v>
      </c>
      <c r="AU63" s="151">
        <v>46142</v>
      </c>
      <c r="AV63" s="137" t="s">
        <v>112</v>
      </c>
      <c r="AW63" s="137" t="s">
        <v>112</v>
      </c>
      <c r="AX63" s="151">
        <v>46153</v>
      </c>
      <c r="AY63" s="144">
        <v>46153</v>
      </c>
      <c r="AZ63" s="145" t="s">
        <v>33</v>
      </c>
      <c r="BA63" s="145" t="s">
        <v>115</v>
      </c>
      <c r="BB63" s="147" t="s">
        <v>112</v>
      </c>
      <c r="BC63" s="146">
        <f t="shared" si="9"/>
        <v>126</v>
      </c>
      <c r="BD63" s="137" t="str">
        <f t="shared" si="10"/>
        <v>INDENIZAÇÃO</v>
      </c>
      <c r="BE63" s="137" t="str">
        <f t="shared" si="11"/>
        <v>NÃO</v>
      </c>
      <c r="BF63" s="137" t="s">
        <v>24</v>
      </c>
      <c r="BG63" s="137" t="s">
        <v>24</v>
      </c>
      <c r="BH63" s="137" t="s">
        <v>24</v>
      </c>
      <c r="BI63" s="137" t="s">
        <v>112</v>
      </c>
      <c r="BJ63" s="137" t="s">
        <v>112</v>
      </c>
      <c r="BK63" s="151">
        <v>46224</v>
      </c>
      <c r="BL63" s="145" t="s">
        <v>188</v>
      </c>
      <c r="BM63" s="145"/>
      <c r="BN63" s="266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</row>
    <row r="64" spans="1:78" s="137" customFormat="1" ht="30" customHeight="1">
      <c r="A64" s="204">
        <v>51</v>
      </c>
      <c r="B64" s="204" t="s">
        <v>99</v>
      </c>
      <c r="C64" s="233" t="s">
        <v>100</v>
      </c>
      <c r="D64" s="205" t="s">
        <v>101</v>
      </c>
      <c r="E64" s="204" t="s">
        <v>101</v>
      </c>
      <c r="F64" s="234" t="s">
        <v>329</v>
      </c>
      <c r="G64" s="235" t="s">
        <v>1</v>
      </c>
      <c r="H64" s="235" t="s">
        <v>2</v>
      </c>
      <c r="I64" s="235" t="s">
        <v>12</v>
      </c>
      <c r="J64" s="234" t="s">
        <v>330</v>
      </c>
      <c r="K64" s="234" t="s">
        <v>331</v>
      </c>
      <c r="L64" s="239" t="s">
        <v>332</v>
      </c>
      <c r="M64" s="204" t="s">
        <v>110</v>
      </c>
      <c r="N64" s="204" t="s">
        <v>5</v>
      </c>
      <c r="O64" s="151">
        <v>45859</v>
      </c>
      <c r="P64" s="151" t="s">
        <v>24</v>
      </c>
      <c r="Q64" s="151" t="s">
        <v>24</v>
      </c>
      <c r="R64" s="151" t="s">
        <v>24</v>
      </c>
      <c r="S64" s="151" t="s">
        <v>24</v>
      </c>
      <c r="T64" s="151" t="s">
        <v>24</v>
      </c>
      <c r="U64" s="151" t="s">
        <v>24</v>
      </c>
      <c r="V64" s="151" t="s">
        <v>24</v>
      </c>
      <c r="W64" s="151" t="s">
        <v>24</v>
      </c>
      <c r="X64" s="151" t="s">
        <v>24</v>
      </c>
      <c r="Y64" s="151" t="s">
        <v>24</v>
      </c>
      <c r="Z64" s="151" t="s">
        <v>24</v>
      </c>
      <c r="AB64" s="234" t="s">
        <v>330</v>
      </c>
      <c r="AC64" s="234" t="s">
        <v>331</v>
      </c>
      <c r="AD64" s="239" t="s">
        <v>332</v>
      </c>
      <c r="AE64" s="204" t="s">
        <v>12</v>
      </c>
      <c r="AF64" s="204" t="s">
        <v>110</v>
      </c>
      <c r="AG64" s="143">
        <v>47154.97</v>
      </c>
      <c r="AH64" s="143">
        <v>60000</v>
      </c>
      <c r="AI64" s="137" t="s">
        <v>6</v>
      </c>
      <c r="AJ64" s="141" t="s">
        <v>105</v>
      </c>
      <c r="AK64" s="204">
        <v>125287573</v>
      </c>
      <c r="AL64" s="137" t="s">
        <v>112</v>
      </c>
      <c r="AM64" s="137" t="s">
        <v>112</v>
      </c>
      <c r="AN64" s="137" t="s">
        <v>113</v>
      </c>
      <c r="AO64" s="256" t="s">
        <v>333</v>
      </c>
      <c r="AP64" s="234" t="s">
        <v>334</v>
      </c>
      <c r="AQ64" s="137" t="s">
        <v>112</v>
      </c>
      <c r="AR64" s="137" t="s">
        <v>112</v>
      </c>
      <c r="AS64" s="137" t="s">
        <v>112</v>
      </c>
      <c r="AT64" s="137" t="s">
        <v>112</v>
      </c>
      <c r="AU64" s="151">
        <v>45911</v>
      </c>
      <c r="AV64" s="137" t="s">
        <v>112</v>
      </c>
      <c r="AW64" s="137" t="s">
        <v>112</v>
      </c>
      <c r="AX64" s="151">
        <v>45917</v>
      </c>
      <c r="AY64" s="144">
        <v>45917</v>
      </c>
      <c r="AZ64" s="151">
        <v>44489</v>
      </c>
      <c r="BA64" s="145" t="s">
        <v>115</v>
      </c>
      <c r="BB64" s="147" t="s">
        <v>112</v>
      </c>
      <c r="BC64" s="146">
        <f t="shared" si="9"/>
        <v>58</v>
      </c>
      <c r="BD64" s="137" t="str">
        <f t="shared" si="10"/>
        <v>INDENIZAÇÃO</v>
      </c>
      <c r="BE64" s="137" t="str">
        <f t="shared" si="11"/>
        <v>NÃO</v>
      </c>
      <c r="BF64" s="137" t="s">
        <v>24</v>
      </c>
      <c r="BG64" s="137" t="s">
        <v>24</v>
      </c>
      <c r="BH64" s="137" t="s">
        <v>24</v>
      </c>
      <c r="BI64" s="137" t="s">
        <v>112</v>
      </c>
      <c r="BJ64" s="137" t="s">
        <v>112</v>
      </c>
      <c r="BK64" s="151">
        <v>45937</v>
      </c>
      <c r="BL64" s="137" t="s">
        <v>112</v>
      </c>
      <c r="BM64" s="145" t="s">
        <v>33</v>
      </c>
      <c r="BN64" s="266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</row>
    <row r="65" spans="1:70" s="152" customFormat="1" ht="30" customHeight="1">
      <c r="A65" s="204">
        <v>52</v>
      </c>
      <c r="B65" s="204" t="s">
        <v>99</v>
      </c>
      <c r="C65" s="233" t="s">
        <v>100</v>
      </c>
      <c r="D65" s="205" t="s">
        <v>101</v>
      </c>
      <c r="E65" s="204" t="s">
        <v>101</v>
      </c>
      <c r="F65" s="234" t="s">
        <v>335</v>
      </c>
      <c r="G65" s="235" t="s">
        <v>1</v>
      </c>
      <c r="H65" s="235" t="s">
        <v>2</v>
      </c>
      <c r="I65" s="235" t="s">
        <v>12</v>
      </c>
      <c r="J65" s="234" t="s">
        <v>336</v>
      </c>
      <c r="K65" s="281" t="s">
        <v>337</v>
      </c>
      <c r="L65" s="234" t="s">
        <v>338</v>
      </c>
      <c r="M65" s="204"/>
      <c r="N65" s="204"/>
      <c r="O65" s="151"/>
      <c r="P65" s="151"/>
      <c r="Q65" s="151"/>
      <c r="R65" s="151"/>
      <c r="S65" s="142"/>
      <c r="T65" s="142"/>
      <c r="U65" s="142"/>
      <c r="V65" s="142"/>
      <c r="W65" s="142"/>
      <c r="X65" s="142"/>
      <c r="Y65" s="142"/>
      <c r="Z65" s="142"/>
      <c r="AA65" s="137"/>
      <c r="AB65" s="206"/>
      <c r="AC65" s="282"/>
      <c r="AD65" s="206"/>
      <c r="AE65" s="204"/>
      <c r="AF65" s="204"/>
      <c r="AG65" s="143"/>
      <c r="AH65" s="143"/>
      <c r="AI65" s="137"/>
      <c r="AJ65" s="141" t="s">
        <v>105</v>
      </c>
      <c r="AK65" s="204"/>
      <c r="AL65" s="137"/>
      <c r="AM65" s="137"/>
      <c r="AN65" s="137"/>
      <c r="AO65" s="137"/>
      <c r="AP65" s="234"/>
      <c r="AQ65" s="137"/>
      <c r="AR65" s="137"/>
      <c r="AS65" s="137"/>
      <c r="AT65" s="137"/>
      <c r="AU65" s="151"/>
      <c r="AV65" s="137"/>
      <c r="AW65" s="137"/>
      <c r="AX65" s="151"/>
      <c r="AY65" s="142"/>
      <c r="AZ65" s="142"/>
      <c r="BA65" s="137"/>
      <c r="BB65" s="147"/>
      <c r="BC65" s="146" t="str">
        <f t="shared" si="9"/>
        <v/>
      </c>
      <c r="BD65" s="137" t="str">
        <f t="shared" si="10"/>
        <v>INDENIZAÇÃO</v>
      </c>
      <c r="BE65" s="137" t="str">
        <f t="shared" si="11"/>
        <v>NÃO</v>
      </c>
      <c r="BF65" s="137"/>
      <c r="BG65" s="137"/>
      <c r="BH65" s="137"/>
      <c r="BI65" s="137"/>
      <c r="BJ65" s="137"/>
      <c r="BK65" s="151"/>
      <c r="BL65" s="137"/>
      <c r="BM65" s="137"/>
      <c r="BN65" s="266"/>
    </row>
    <row r="66" spans="1:70" s="152" customFormat="1" ht="30" customHeight="1">
      <c r="A66" s="204">
        <v>53</v>
      </c>
      <c r="B66" s="204" t="s">
        <v>99</v>
      </c>
      <c r="C66" s="233" t="s">
        <v>100</v>
      </c>
      <c r="D66" s="205" t="s">
        <v>101</v>
      </c>
      <c r="E66" s="204" t="s">
        <v>101</v>
      </c>
      <c r="F66" s="234" t="s">
        <v>339</v>
      </c>
      <c r="G66" s="235" t="s">
        <v>1</v>
      </c>
      <c r="H66" s="235" t="s">
        <v>2</v>
      </c>
      <c r="I66" s="235" t="s">
        <v>12</v>
      </c>
      <c r="J66" s="234" t="s">
        <v>340</v>
      </c>
      <c r="K66" s="234">
        <v>428100971</v>
      </c>
      <c r="L66" s="234">
        <v>45922929879</v>
      </c>
      <c r="M66" s="204"/>
      <c r="N66" s="204"/>
      <c r="O66" s="151"/>
      <c r="P66" s="151"/>
      <c r="Q66" s="151"/>
      <c r="R66" s="151"/>
      <c r="S66" s="142"/>
      <c r="T66" s="142"/>
      <c r="U66" s="142"/>
      <c r="V66" s="142"/>
      <c r="W66" s="142"/>
      <c r="X66" s="142"/>
      <c r="Y66" s="142"/>
      <c r="Z66" s="142"/>
      <c r="AA66" s="137"/>
      <c r="AB66" s="206"/>
      <c r="AC66" s="206"/>
      <c r="AD66" s="206"/>
      <c r="AE66" s="204"/>
      <c r="AF66" s="204"/>
      <c r="AG66" s="143"/>
      <c r="AH66" s="143"/>
      <c r="AI66" s="137"/>
      <c r="AJ66" s="141" t="s">
        <v>105</v>
      </c>
      <c r="AK66" s="204"/>
      <c r="AL66" s="137"/>
      <c r="AM66" s="137"/>
      <c r="AN66" s="137"/>
      <c r="AO66" s="137"/>
      <c r="AP66" s="234"/>
      <c r="AQ66" s="137"/>
      <c r="AR66" s="137"/>
      <c r="AS66" s="137"/>
      <c r="AT66" s="137"/>
      <c r="AU66" s="151"/>
      <c r="AV66" s="137"/>
      <c r="AW66" s="137"/>
      <c r="AX66" s="151"/>
      <c r="AY66" s="142"/>
      <c r="AZ66" s="142"/>
      <c r="BA66" s="137"/>
      <c r="BB66" s="147"/>
      <c r="BC66" s="146" t="str">
        <f t="shared" si="9"/>
        <v/>
      </c>
      <c r="BD66" s="137" t="str">
        <f t="shared" si="10"/>
        <v>INDENIZAÇÃO</v>
      </c>
      <c r="BE66" s="137" t="str">
        <f t="shared" si="11"/>
        <v>NÃO</v>
      </c>
      <c r="BF66" s="137"/>
      <c r="BG66" s="137"/>
      <c r="BH66" s="137"/>
      <c r="BI66" s="137"/>
      <c r="BJ66" s="137"/>
      <c r="BK66" s="151"/>
      <c r="BL66" s="137"/>
      <c r="BM66" s="137"/>
      <c r="BN66" s="264"/>
      <c r="BO66" s="204"/>
    </row>
    <row r="67" spans="1:70" s="152" customFormat="1" ht="30" customHeight="1">
      <c r="A67" s="204">
        <v>54</v>
      </c>
      <c r="B67" s="204" t="s">
        <v>99</v>
      </c>
      <c r="C67" s="233" t="s">
        <v>100</v>
      </c>
      <c r="D67" s="205" t="s">
        <v>101</v>
      </c>
      <c r="E67" s="204" t="s">
        <v>101</v>
      </c>
      <c r="F67" s="234" t="s">
        <v>341</v>
      </c>
      <c r="G67" s="235" t="s">
        <v>1</v>
      </c>
      <c r="H67" s="235" t="s">
        <v>2</v>
      </c>
      <c r="I67" s="235" t="s">
        <v>12</v>
      </c>
      <c r="J67" s="234" t="s">
        <v>342</v>
      </c>
      <c r="K67" s="234" t="s">
        <v>175</v>
      </c>
      <c r="L67" s="234">
        <v>24003059867</v>
      </c>
      <c r="M67" s="204"/>
      <c r="N67" s="204"/>
      <c r="O67" s="151"/>
      <c r="P67" s="151"/>
      <c r="Q67" s="151"/>
      <c r="R67" s="151"/>
      <c r="S67" s="142"/>
      <c r="T67" s="142"/>
      <c r="U67" s="142"/>
      <c r="V67" s="142"/>
      <c r="W67" s="142"/>
      <c r="X67" s="142"/>
      <c r="Y67" s="142"/>
      <c r="Z67" s="142"/>
      <c r="AA67" s="137"/>
      <c r="AB67" s="206"/>
      <c r="AC67" s="206"/>
      <c r="AD67" s="206"/>
      <c r="AE67" s="204"/>
      <c r="AF67" s="204"/>
      <c r="AG67" s="143"/>
      <c r="AH67" s="143"/>
      <c r="AI67" s="137"/>
      <c r="AJ67" s="141" t="s">
        <v>105</v>
      </c>
      <c r="AK67" s="204"/>
      <c r="AL67" s="137"/>
      <c r="AM67" s="137"/>
      <c r="AN67" s="137"/>
      <c r="AO67" s="137"/>
      <c r="AP67" s="234"/>
      <c r="AQ67" s="137"/>
      <c r="AR67" s="137"/>
      <c r="AS67" s="137"/>
      <c r="AT67" s="137"/>
      <c r="AU67" s="151"/>
      <c r="AV67" s="137"/>
      <c r="AW67" s="137"/>
      <c r="AX67" s="151"/>
      <c r="AY67" s="142"/>
      <c r="AZ67" s="142"/>
      <c r="BA67" s="137"/>
      <c r="BB67" s="147"/>
      <c r="BC67" s="146" t="str">
        <f t="shared" si="9"/>
        <v/>
      </c>
      <c r="BD67" s="137" t="str">
        <f t="shared" si="10"/>
        <v>INDENIZAÇÃO</v>
      </c>
      <c r="BE67" s="137" t="str">
        <f t="shared" si="11"/>
        <v>NÃO</v>
      </c>
      <c r="BF67" s="137"/>
      <c r="BG67" s="137"/>
      <c r="BH67" s="137"/>
      <c r="BI67" s="137"/>
      <c r="BJ67" s="137"/>
      <c r="BK67" s="151"/>
      <c r="BL67" s="137"/>
      <c r="BM67" s="137"/>
      <c r="BN67" s="264"/>
      <c r="BO67" s="204"/>
    </row>
    <row r="68" spans="1:70" s="152" customFormat="1" ht="30" customHeight="1">
      <c r="A68" s="204">
        <v>55</v>
      </c>
      <c r="B68" s="204" t="s">
        <v>99</v>
      </c>
      <c r="C68" s="233" t="s">
        <v>100</v>
      </c>
      <c r="D68" s="205" t="s">
        <v>101</v>
      </c>
      <c r="E68" s="204" t="s">
        <v>101</v>
      </c>
      <c r="F68" s="234" t="s">
        <v>343</v>
      </c>
      <c r="G68" s="235" t="s">
        <v>1</v>
      </c>
      <c r="H68" s="235" t="s">
        <v>2</v>
      </c>
      <c r="I68" s="235" t="s">
        <v>12</v>
      </c>
      <c r="J68" s="236" t="s">
        <v>104</v>
      </c>
      <c r="K68" s="236" t="s">
        <v>104</v>
      </c>
      <c r="L68" s="237" t="s">
        <v>104</v>
      </c>
      <c r="M68" s="204"/>
      <c r="N68" s="204"/>
      <c r="O68" s="151"/>
      <c r="P68" s="151"/>
      <c r="Q68" s="151"/>
      <c r="R68" s="151"/>
      <c r="S68" s="142"/>
      <c r="T68" s="142"/>
      <c r="U68" s="142"/>
      <c r="V68" s="142"/>
      <c r="W68" s="142"/>
      <c r="X68" s="142"/>
      <c r="Y68" s="142"/>
      <c r="Z68" s="142"/>
      <c r="AA68" s="137"/>
      <c r="AB68" s="206"/>
      <c r="AC68" s="206"/>
      <c r="AD68" s="206"/>
      <c r="AE68" s="204"/>
      <c r="AF68" s="204"/>
      <c r="AG68" s="143"/>
      <c r="AH68" s="143"/>
      <c r="AI68" s="137"/>
      <c r="AJ68" s="141" t="s">
        <v>105</v>
      </c>
      <c r="AK68" s="204"/>
      <c r="AL68" s="137"/>
      <c r="AM68" s="137"/>
      <c r="AN68" s="137"/>
      <c r="AO68" s="137"/>
      <c r="AP68" s="234"/>
      <c r="AQ68" s="137"/>
      <c r="AR68" s="137"/>
      <c r="AS68" s="137"/>
      <c r="AT68" s="137"/>
      <c r="AU68" s="151"/>
      <c r="AV68" s="137"/>
      <c r="AW68" s="137"/>
      <c r="AX68" s="151"/>
      <c r="AY68" s="142"/>
      <c r="AZ68" s="142"/>
      <c r="BA68" s="137"/>
      <c r="BB68" s="147"/>
      <c r="BC68" s="146" t="str">
        <f t="shared" si="9"/>
        <v/>
      </c>
      <c r="BD68" s="137" t="str">
        <f t="shared" si="10"/>
        <v>INDENIZAÇÃO</v>
      </c>
      <c r="BE68" s="137" t="str">
        <f t="shared" si="11"/>
        <v>NÃO</v>
      </c>
      <c r="BF68" s="137"/>
      <c r="BG68" s="137"/>
      <c r="BH68" s="137"/>
      <c r="BI68" s="137"/>
      <c r="BJ68" s="137"/>
      <c r="BK68" s="151"/>
      <c r="BL68" s="137"/>
      <c r="BM68" s="137"/>
      <c r="BN68" s="264"/>
      <c r="BO68" s="204"/>
    </row>
    <row r="69" spans="1:70" s="152" customFormat="1" ht="30" customHeight="1">
      <c r="A69" s="204">
        <v>56</v>
      </c>
      <c r="B69" s="204" t="s">
        <v>99</v>
      </c>
      <c r="C69" s="233" t="s">
        <v>100</v>
      </c>
      <c r="D69" s="205" t="s">
        <v>101</v>
      </c>
      <c r="E69" s="204" t="s">
        <v>101</v>
      </c>
      <c r="F69" s="234" t="s">
        <v>344</v>
      </c>
      <c r="G69" s="235" t="s">
        <v>1</v>
      </c>
      <c r="H69" s="235" t="s">
        <v>2</v>
      </c>
      <c r="I69" s="204" t="s">
        <v>12</v>
      </c>
      <c r="J69" s="234" t="s">
        <v>345</v>
      </c>
      <c r="K69" s="234" t="s">
        <v>346</v>
      </c>
      <c r="L69" s="234" t="s">
        <v>347</v>
      </c>
      <c r="M69" s="204" t="s">
        <v>110</v>
      </c>
      <c r="N69" s="204" t="s">
        <v>5</v>
      </c>
      <c r="O69" s="151">
        <v>45819</v>
      </c>
      <c r="P69" s="151" t="s">
        <v>24</v>
      </c>
      <c r="Q69" s="151" t="s">
        <v>24</v>
      </c>
      <c r="R69" s="151" t="s">
        <v>24</v>
      </c>
      <c r="S69" s="151" t="s">
        <v>24</v>
      </c>
      <c r="T69" s="151" t="s">
        <v>24</v>
      </c>
      <c r="U69" s="142" t="s">
        <v>24</v>
      </c>
      <c r="V69" s="142" t="s">
        <v>24</v>
      </c>
      <c r="W69" s="142" t="s">
        <v>24</v>
      </c>
      <c r="X69" s="142" t="s">
        <v>24</v>
      </c>
      <c r="Y69" s="142" t="s">
        <v>24</v>
      </c>
      <c r="Z69" s="142" t="s">
        <v>24</v>
      </c>
      <c r="AA69" s="137"/>
      <c r="AB69" s="234" t="s">
        <v>345</v>
      </c>
      <c r="AC69" s="234" t="s">
        <v>346</v>
      </c>
      <c r="AD69" s="234" t="s">
        <v>347</v>
      </c>
      <c r="AE69" s="204" t="s">
        <v>12</v>
      </c>
      <c r="AF69" s="204" t="s">
        <v>110</v>
      </c>
      <c r="AG69" s="143">
        <v>65418.42</v>
      </c>
      <c r="AH69" s="143">
        <v>65418.42</v>
      </c>
      <c r="AI69" s="137" t="s">
        <v>6</v>
      </c>
      <c r="AJ69" s="141" t="s">
        <v>105</v>
      </c>
      <c r="AK69" s="204">
        <v>122002748</v>
      </c>
      <c r="AL69" s="137" t="s">
        <v>112</v>
      </c>
      <c r="AM69" s="137" t="s">
        <v>112</v>
      </c>
      <c r="AN69" s="137" t="s">
        <v>113</v>
      </c>
      <c r="AO69" s="137"/>
      <c r="AP69" s="234" t="s">
        <v>348</v>
      </c>
      <c r="AQ69" s="137" t="s">
        <v>112</v>
      </c>
      <c r="AR69" s="137" t="s">
        <v>112</v>
      </c>
      <c r="AS69" s="137" t="s">
        <v>112</v>
      </c>
      <c r="AT69" s="137" t="s">
        <v>112</v>
      </c>
      <c r="AU69" s="151">
        <v>45911</v>
      </c>
      <c r="AV69" s="137" t="s">
        <v>112</v>
      </c>
      <c r="AW69" s="137" t="s">
        <v>112</v>
      </c>
      <c r="AX69" s="151">
        <v>45917</v>
      </c>
      <c r="AY69" s="144">
        <v>45917</v>
      </c>
      <c r="AZ69" s="151">
        <v>45932</v>
      </c>
      <c r="BA69" s="204" t="s">
        <v>349</v>
      </c>
      <c r="BB69" s="147" t="s">
        <v>112</v>
      </c>
      <c r="BC69" s="146">
        <f t="shared" si="9"/>
        <v>98</v>
      </c>
      <c r="BD69" s="137" t="str">
        <f t="shared" si="10"/>
        <v>INDENIZAÇÃO</v>
      </c>
      <c r="BE69" s="137" t="str">
        <f t="shared" si="11"/>
        <v>NÃO</v>
      </c>
      <c r="BF69" s="137" t="s">
        <v>24</v>
      </c>
      <c r="BG69" s="137" t="s">
        <v>24</v>
      </c>
      <c r="BH69" s="137" t="s">
        <v>24</v>
      </c>
      <c r="BI69" s="137" t="s">
        <v>112</v>
      </c>
      <c r="BJ69" s="137" t="s">
        <v>112</v>
      </c>
      <c r="BK69" s="151">
        <v>45937</v>
      </c>
      <c r="BL69" s="137" t="s">
        <v>112</v>
      </c>
      <c r="BM69" s="145" t="s">
        <v>33</v>
      </c>
      <c r="BN69" s="266"/>
    </row>
    <row r="70" spans="1:70" s="152" customFormat="1" ht="30" customHeight="1">
      <c r="A70" s="204">
        <v>57</v>
      </c>
      <c r="B70" s="204" t="s">
        <v>99</v>
      </c>
      <c r="C70" s="233" t="s">
        <v>100</v>
      </c>
      <c r="D70" s="205" t="s">
        <v>101</v>
      </c>
      <c r="E70" s="204" t="s">
        <v>101</v>
      </c>
      <c r="F70" s="234" t="s">
        <v>350</v>
      </c>
      <c r="G70" s="235" t="s">
        <v>1</v>
      </c>
      <c r="H70" s="235" t="s">
        <v>2</v>
      </c>
      <c r="I70" s="235" t="s">
        <v>12</v>
      </c>
      <c r="J70" s="234" t="s">
        <v>351</v>
      </c>
      <c r="K70" s="234">
        <v>486111817</v>
      </c>
      <c r="L70" s="234">
        <v>23602437809</v>
      </c>
      <c r="M70" s="204"/>
      <c r="N70" s="204"/>
      <c r="O70" s="151"/>
      <c r="P70" s="151"/>
      <c r="Q70" s="151"/>
      <c r="R70" s="151"/>
      <c r="S70" s="142"/>
      <c r="T70" s="142"/>
      <c r="U70" s="142"/>
      <c r="V70" s="142"/>
      <c r="W70" s="142"/>
      <c r="X70" s="142"/>
      <c r="Y70" s="142"/>
      <c r="Z70" s="142"/>
      <c r="AA70" s="137"/>
      <c r="AB70" s="206"/>
      <c r="AC70" s="206"/>
      <c r="AD70" s="206"/>
      <c r="AE70" s="204"/>
      <c r="AF70" s="204"/>
      <c r="AG70" s="143"/>
      <c r="AH70" s="143"/>
      <c r="AI70" s="137"/>
      <c r="AJ70" s="141" t="s">
        <v>105</v>
      </c>
      <c r="AK70" s="204"/>
      <c r="AL70" s="137"/>
      <c r="AM70" s="137"/>
      <c r="AN70" s="137"/>
      <c r="AO70" s="137"/>
      <c r="AP70" s="234"/>
      <c r="AQ70" s="137"/>
      <c r="AR70" s="137"/>
      <c r="AS70" s="137"/>
      <c r="AT70" s="137"/>
      <c r="AU70" s="151"/>
      <c r="AV70" s="137"/>
      <c r="AW70" s="137"/>
      <c r="AX70" s="151"/>
      <c r="AY70" s="142"/>
      <c r="AZ70" s="142"/>
      <c r="BA70" s="137"/>
      <c r="BB70" s="147"/>
      <c r="BC70" s="146" t="str">
        <f t="shared" si="9"/>
        <v/>
      </c>
      <c r="BD70" s="137" t="str">
        <f t="shared" si="10"/>
        <v>INDENIZAÇÃO</v>
      </c>
      <c r="BE70" s="137" t="str">
        <f t="shared" si="11"/>
        <v>NÃO</v>
      </c>
      <c r="BF70" s="137"/>
      <c r="BG70" s="137"/>
      <c r="BH70" s="137"/>
      <c r="BI70" s="137"/>
      <c r="BJ70" s="137"/>
      <c r="BK70" s="151"/>
      <c r="BL70" s="137"/>
      <c r="BM70" s="137"/>
      <c r="BN70" s="266"/>
    </row>
    <row r="71" spans="1:70" s="152" customFormat="1" ht="30" customHeight="1">
      <c r="A71" s="204">
        <v>58</v>
      </c>
      <c r="B71" s="204" t="s">
        <v>99</v>
      </c>
      <c r="C71" s="233" t="s">
        <v>100</v>
      </c>
      <c r="D71" s="205" t="s">
        <v>101</v>
      </c>
      <c r="E71" s="204" t="s">
        <v>101</v>
      </c>
      <c r="F71" s="234" t="s">
        <v>352</v>
      </c>
      <c r="G71" s="235" t="s">
        <v>1</v>
      </c>
      <c r="H71" s="235" t="s">
        <v>2</v>
      </c>
      <c r="I71" s="235" t="s">
        <v>12</v>
      </c>
      <c r="J71" s="234" t="s">
        <v>353</v>
      </c>
      <c r="K71" s="234" t="s">
        <v>354</v>
      </c>
      <c r="L71" s="234" t="s">
        <v>355</v>
      </c>
      <c r="M71" s="204" t="s">
        <v>110</v>
      </c>
      <c r="N71" s="204" t="s">
        <v>5</v>
      </c>
      <c r="O71" s="151">
        <v>45859</v>
      </c>
      <c r="P71" s="151" t="s">
        <v>24</v>
      </c>
      <c r="Q71" s="151" t="s">
        <v>24</v>
      </c>
      <c r="R71" s="151" t="s">
        <v>24</v>
      </c>
      <c r="S71" s="151" t="s">
        <v>24</v>
      </c>
      <c r="T71" s="151" t="s">
        <v>24</v>
      </c>
      <c r="U71" s="151" t="s">
        <v>24</v>
      </c>
      <c r="V71" s="151" t="s">
        <v>24</v>
      </c>
      <c r="W71" s="151" t="s">
        <v>24</v>
      </c>
      <c r="X71" s="151" t="s">
        <v>24</v>
      </c>
      <c r="Y71" s="151" t="s">
        <v>24</v>
      </c>
      <c r="Z71" s="151" t="s">
        <v>24</v>
      </c>
      <c r="AA71" s="137"/>
      <c r="AB71" s="234" t="s">
        <v>353</v>
      </c>
      <c r="AC71" s="234" t="s">
        <v>354</v>
      </c>
      <c r="AD71" s="234" t="s">
        <v>355</v>
      </c>
      <c r="AE71" s="204" t="s">
        <v>12</v>
      </c>
      <c r="AF71" s="204" t="s">
        <v>110</v>
      </c>
      <c r="AG71" s="143">
        <v>67716.649999999994</v>
      </c>
      <c r="AH71" s="143">
        <v>67716.649999999994</v>
      </c>
      <c r="AI71" s="137" t="s">
        <v>6</v>
      </c>
      <c r="AJ71" s="141" t="s">
        <v>105</v>
      </c>
      <c r="AK71" s="204">
        <v>125234559</v>
      </c>
      <c r="AL71" s="137" t="s">
        <v>112</v>
      </c>
      <c r="AM71" s="137" t="s">
        <v>112</v>
      </c>
      <c r="AN71" s="137" t="s">
        <v>113</v>
      </c>
      <c r="AO71" s="137"/>
      <c r="AP71" s="234" t="s">
        <v>356</v>
      </c>
      <c r="AQ71" s="137" t="s">
        <v>112</v>
      </c>
      <c r="AR71" s="137" t="s">
        <v>112</v>
      </c>
      <c r="AS71" s="137" t="s">
        <v>112</v>
      </c>
      <c r="AT71" s="137" t="s">
        <v>112</v>
      </c>
      <c r="AU71" s="151">
        <v>45911</v>
      </c>
      <c r="AV71" s="137" t="s">
        <v>112</v>
      </c>
      <c r="AW71" s="137" t="s">
        <v>112</v>
      </c>
      <c r="AX71" s="151">
        <v>45917</v>
      </c>
      <c r="AY71" s="144">
        <v>45917</v>
      </c>
      <c r="AZ71" s="151">
        <v>45952</v>
      </c>
      <c r="BA71" s="145" t="s">
        <v>115</v>
      </c>
      <c r="BB71" s="147" t="s">
        <v>112</v>
      </c>
      <c r="BC71" s="146">
        <f t="shared" si="9"/>
        <v>58</v>
      </c>
      <c r="BD71" s="137" t="str">
        <f t="shared" si="10"/>
        <v>INDENIZAÇÃO</v>
      </c>
      <c r="BE71" s="137" t="str">
        <f t="shared" si="11"/>
        <v>NÃO</v>
      </c>
      <c r="BF71" s="137" t="s">
        <v>24</v>
      </c>
      <c r="BG71" s="137" t="s">
        <v>24</v>
      </c>
      <c r="BH71" s="137" t="s">
        <v>24</v>
      </c>
      <c r="BI71" s="137" t="s">
        <v>112</v>
      </c>
      <c r="BJ71" s="137" t="s">
        <v>112</v>
      </c>
      <c r="BK71" s="151">
        <v>45937</v>
      </c>
      <c r="BL71" s="137" t="s">
        <v>112</v>
      </c>
      <c r="BM71" s="145" t="s">
        <v>33</v>
      </c>
      <c r="BN71" s="266"/>
    </row>
    <row r="72" spans="1:70" s="152" customFormat="1" ht="30" customHeight="1">
      <c r="A72" s="204">
        <v>59</v>
      </c>
      <c r="B72" s="204" t="s">
        <v>99</v>
      </c>
      <c r="C72" s="233" t="s">
        <v>100</v>
      </c>
      <c r="D72" s="205" t="s">
        <v>101</v>
      </c>
      <c r="E72" s="204" t="s">
        <v>101</v>
      </c>
      <c r="F72" s="234" t="s">
        <v>357</v>
      </c>
      <c r="G72" s="235" t="s">
        <v>1</v>
      </c>
      <c r="H72" s="235" t="s">
        <v>2</v>
      </c>
      <c r="I72" s="235" t="s">
        <v>12</v>
      </c>
      <c r="J72" s="234" t="s">
        <v>358</v>
      </c>
      <c r="K72" s="234" t="s">
        <v>359</v>
      </c>
      <c r="L72" s="234" t="s">
        <v>360</v>
      </c>
      <c r="M72" s="204" t="s">
        <v>110</v>
      </c>
      <c r="N72" s="204" t="s">
        <v>5</v>
      </c>
      <c r="O72" s="151">
        <v>45859</v>
      </c>
      <c r="P72" s="151" t="s">
        <v>24</v>
      </c>
      <c r="Q72" s="151" t="s">
        <v>24</v>
      </c>
      <c r="R72" s="151" t="s">
        <v>24</v>
      </c>
      <c r="S72" s="151" t="s">
        <v>24</v>
      </c>
      <c r="T72" s="151" t="s">
        <v>24</v>
      </c>
      <c r="U72" s="151" t="s">
        <v>24</v>
      </c>
      <c r="V72" s="151" t="s">
        <v>24</v>
      </c>
      <c r="W72" s="151" t="s">
        <v>24</v>
      </c>
      <c r="X72" s="151" t="s">
        <v>24</v>
      </c>
      <c r="Y72" s="151" t="s">
        <v>24</v>
      </c>
      <c r="Z72" s="151" t="s">
        <v>24</v>
      </c>
      <c r="AA72" s="137"/>
      <c r="AB72" s="234" t="s">
        <v>358</v>
      </c>
      <c r="AC72" s="234" t="s">
        <v>359</v>
      </c>
      <c r="AD72" s="234" t="s">
        <v>360</v>
      </c>
      <c r="AE72" s="204" t="s">
        <v>12</v>
      </c>
      <c r="AF72" s="204" t="s">
        <v>110</v>
      </c>
      <c r="AG72" s="143">
        <v>25624.26</v>
      </c>
      <c r="AH72" s="143">
        <v>55624.26</v>
      </c>
      <c r="AI72" s="137" t="s">
        <v>6</v>
      </c>
      <c r="AJ72" s="141" t="s">
        <v>105</v>
      </c>
      <c r="AK72" s="204">
        <v>125287678</v>
      </c>
      <c r="AL72" s="137" t="s">
        <v>112</v>
      </c>
      <c r="AM72" s="137" t="s">
        <v>112</v>
      </c>
      <c r="AN72" s="137" t="s">
        <v>113</v>
      </c>
      <c r="AO72" s="137"/>
      <c r="AP72" s="234" t="s">
        <v>361</v>
      </c>
      <c r="AQ72" s="137" t="s">
        <v>112</v>
      </c>
      <c r="AR72" s="137" t="s">
        <v>112</v>
      </c>
      <c r="AS72" s="137" t="s">
        <v>112</v>
      </c>
      <c r="AT72" s="137" t="s">
        <v>112</v>
      </c>
      <c r="AU72" s="151">
        <v>45923</v>
      </c>
      <c r="AV72" s="137" t="s">
        <v>112</v>
      </c>
      <c r="AW72" s="137" t="s">
        <v>112</v>
      </c>
      <c r="AX72" s="151">
        <v>45929</v>
      </c>
      <c r="AY72" s="144">
        <v>45929</v>
      </c>
      <c r="AZ72" s="151">
        <v>45965</v>
      </c>
      <c r="BA72" s="145" t="s">
        <v>115</v>
      </c>
      <c r="BB72" s="147" t="s">
        <v>112</v>
      </c>
      <c r="BC72" s="146">
        <f t="shared" si="9"/>
        <v>70</v>
      </c>
      <c r="BD72" s="137" t="str">
        <f t="shared" si="10"/>
        <v>INDENIZAÇÃO</v>
      </c>
      <c r="BE72" s="137" t="str">
        <f t="shared" si="11"/>
        <v>NÃO</v>
      </c>
      <c r="BF72" s="137" t="s">
        <v>24</v>
      </c>
      <c r="BG72" s="137" t="s">
        <v>24</v>
      </c>
      <c r="BH72" s="137" t="s">
        <v>24</v>
      </c>
      <c r="BI72" s="137" t="s">
        <v>112</v>
      </c>
      <c r="BJ72" s="137" t="s">
        <v>112</v>
      </c>
      <c r="BK72" s="151">
        <v>45951</v>
      </c>
      <c r="BL72" s="137" t="s">
        <v>112</v>
      </c>
      <c r="BM72" s="145" t="s">
        <v>33</v>
      </c>
      <c r="BN72" s="266"/>
    </row>
    <row r="73" spans="1:70" s="152" customFormat="1" ht="30" customHeight="1">
      <c r="A73" s="204">
        <v>60</v>
      </c>
      <c r="B73" s="204" t="s">
        <v>99</v>
      </c>
      <c r="C73" s="233" t="s">
        <v>100</v>
      </c>
      <c r="D73" s="205" t="s">
        <v>101</v>
      </c>
      <c r="E73" s="204" t="s">
        <v>101</v>
      </c>
      <c r="F73" s="253" t="s">
        <v>362</v>
      </c>
      <c r="G73" s="233" t="s">
        <v>1</v>
      </c>
      <c r="H73" s="233" t="s">
        <v>2</v>
      </c>
      <c r="I73" s="233" t="s">
        <v>12</v>
      </c>
      <c r="J73" s="253" t="s">
        <v>363</v>
      </c>
      <c r="K73" s="253" t="s">
        <v>364</v>
      </c>
      <c r="L73" s="253" t="s">
        <v>365</v>
      </c>
      <c r="M73" s="204" t="s">
        <v>110</v>
      </c>
      <c r="N73" s="204" t="s">
        <v>5</v>
      </c>
      <c r="O73" s="151">
        <v>46051</v>
      </c>
      <c r="P73" s="151" t="s">
        <v>24</v>
      </c>
      <c r="Q73" s="151" t="s">
        <v>24</v>
      </c>
      <c r="R73" s="151" t="s">
        <v>24</v>
      </c>
      <c r="S73" s="151" t="s">
        <v>24</v>
      </c>
      <c r="T73" s="151" t="s">
        <v>24</v>
      </c>
      <c r="U73" s="151" t="s">
        <v>24</v>
      </c>
      <c r="V73" s="151" t="s">
        <v>24</v>
      </c>
      <c r="W73" s="151" t="s">
        <v>24</v>
      </c>
      <c r="X73" s="151" t="s">
        <v>24</v>
      </c>
      <c r="Y73" s="151" t="s">
        <v>24</v>
      </c>
      <c r="Z73" s="151" t="s">
        <v>24</v>
      </c>
      <c r="AA73" s="204"/>
      <c r="AB73" s="253" t="s">
        <v>363</v>
      </c>
      <c r="AC73" s="253" t="s">
        <v>364</v>
      </c>
      <c r="AD73" s="253" t="s">
        <v>365</v>
      </c>
      <c r="AE73" s="204" t="s">
        <v>12</v>
      </c>
      <c r="AF73" s="204" t="s">
        <v>110</v>
      </c>
      <c r="AG73" s="143">
        <v>201468.21</v>
      </c>
      <c r="AH73" s="143">
        <v>201468.21</v>
      </c>
      <c r="AI73" s="204" t="s">
        <v>6</v>
      </c>
      <c r="AJ73" s="206" t="s">
        <v>105</v>
      </c>
      <c r="AK73" s="204">
        <v>143295794</v>
      </c>
      <c r="AL73" s="137" t="s">
        <v>112</v>
      </c>
      <c r="AM73" s="204" t="s">
        <v>112</v>
      </c>
      <c r="AN73" s="137" t="s">
        <v>113</v>
      </c>
      <c r="AO73" s="204"/>
      <c r="AP73" s="234" t="s">
        <v>366</v>
      </c>
      <c r="AQ73" s="137" t="s">
        <v>112</v>
      </c>
      <c r="AR73" s="137" t="s">
        <v>112</v>
      </c>
      <c r="AS73" s="137" t="s">
        <v>112</v>
      </c>
      <c r="AT73" s="137" t="s">
        <v>112</v>
      </c>
      <c r="AU73" s="151">
        <v>46174</v>
      </c>
      <c r="AV73" s="137" t="s">
        <v>112</v>
      </c>
      <c r="AW73" s="137" t="s">
        <v>112</v>
      </c>
      <c r="AX73" s="151">
        <v>46183</v>
      </c>
      <c r="AY73" s="144">
        <v>46183</v>
      </c>
      <c r="AZ73" s="144" t="s">
        <v>33</v>
      </c>
      <c r="BA73" s="145" t="s">
        <v>115</v>
      </c>
      <c r="BB73" s="147" t="s">
        <v>112</v>
      </c>
      <c r="BC73" s="146">
        <f t="shared" si="9"/>
        <v>132</v>
      </c>
      <c r="BD73" s="137" t="str">
        <f t="shared" si="10"/>
        <v>INDENIZAÇÃO</v>
      </c>
      <c r="BE73" s="137" t="str">
        <f t="shared" si="11"/>
        <v>NÃO</v>
      </c>
      <c r="BF73" s="137" t="s">
        <v>24</v>
      </c>
      <c r="BG73" s="137" t="s">
        <v>24</v>
      </c>
      <c r="BH73" s="137" t="s">
        <v>24</v>
      </c>
      <c r="BI73" s="137" t="s">
        <v>112</v>
      </c>
      <c r="BJ73" s="137" t="s">
        <v>112</v>
      </c>
      <c r="BK73" s="151">
        <v>46224</v>
      </c>
      <c r="BL73" s="145" t="s">
        <v>188</v>
      </c>
      <c r="BM73" s="145"/>
      <c r="BN73" s="264"/>
      <c r="BO73" s="137"/>
      <c r="BP73" s="137"/>
      <c r="BQ73" s="137"/>
      <c r="BR73" s="137"/>
    </row>
    <row r="74" spans="1:70" s="152" customFormat="1" ht="30" customHeight="1">
      <c r="A74" s="204">
        <v>61</v>
      </c>
      <c r="B74" s="204" t="s">
        <v>99</v>
      </c>
      <c r="C74" s="233" t="s">
        <v>100</v>
      </c>
      <c r="D74" s="205" t="s">
        <v>101</v>
      </c>
      <c r="E74" s="204" t="s">
        <v>101</v>
      </c>
      <c r="F74" s="234" t="s">
        <v>367</v>
      </c>
      <c r="G74" s="235" t="s">
        <v>1</v>
      </c>
      <c r="H74" s="235" t="s">
        <v>2</v>
      </c>
      <c r="I74" s="235" t="s">
        <v>12</v>
      </c>
      <c r="J74" s="234" t="s">
        <v>368</v>
      </c>
      <c r="K74" s="234" t="s">
        <v>369</v>
      </c>
      <c r="L74" s="271" t="s">
        <v>370</v>
      </c>
      <c r="M74" s="204" t="s">
        <v>110</v>
      </c>
      <c r="N74" s="204" t="s">
        <v>5</v>
      </c>
      <c r="O74" s="151">
        <v>46051</v>
      </c>
      <c r="P74" s="151" t="s">
        <v>24</v>
      </c>
      <c r="Q74" s="151" t="s">
        <v>24</v>
      </c>
      <c r="R74" s="151" t="s">
        <v>24</v>
      </c>
      <c r="S74" s="151" t="s">
        <v>24</v>
      </c>
      <c r="T74" s="151" t="s">
        <v>24</v>
      </c>
      <c r="U74" s="151" t="s">
        <v>24</v>
      </c>
      <c r="V74" s="151" t="s">
        <v>24</v>
      </c>
      <c r="W74" s="151" t="s">
        <v>24</v>
      </c>
      <c r="X74" s="151" t="s">
        <v>24</v>
      </c>
      <c r="Y74" s="151" t="s">
        <v>24</v>
      </c>
      <c r="Z74" s="151" t="s">
        <v>24</v>
      </c>
      <c r="AA74" s="137"/>
      <c r="AB74" s="234" t="s">
        <v>368</v>
      </c>
      <c r="AC74" s="234" t="s">
        <v>369</v>
      </c>
      <c r="AD74" s="271" t="s">
        <v>370</v>
      </c>
      <c r="AE74" s="204" t="s">
        <v>12</v>
      </c>
      <c r="AF74" s="204" t="s">
        <v>110</v>
      </c>
      <c r="AG74" s="270">
        <v>42948.2</v>
      </c>
      <c r="AH74" s="270">
        <v>60000</v>
      </c>
      <c r="AI74" s="137" t="s">
        <v>6</v>
      </c>
      <c r="AJ74" s="141" t="s">
        <v>105</v>
      </c>
      <c r="AK74" s="204">
        <v>143296261</v>
      </c>
      <c r="AL74" s="137" t="s">
        <v>112</v>
      </c>
      <c r="AM74" s="137" t="s">
        <v>112</v>
      </c>
      <c r="AN74" s="137" t="s">
        <v>113</v>
      </c>
      <c r="AO74" s="137"/>
      <c r="AP74" s="234" t="s">
        <v>371</v>
      </c>
      <c r="AQ74" s="137" t="s">
        <v>112</v>
      </c>
      <c r="AR74" s="137" t="s">
        <v>112</v>
      </c>
      <c r="AS74" s="137" t="s">
        <v>112</v>
      </c>
      <c r="AT74" s="137" t="s">
        <v>112</v>
      </c>
      <c r="AU74" s="151">
        <v>46174</v>
      </c>
      <c r="AV74" s="137" t="s">
        <v>112</v>
      </c>
      <c r="AW74" s="137" t="s">
        <v>112</v>
      </c>
      <c r="AX74" s="151">
        <v>46183</v>
      </c>
      <c r="AY74" s="144">
        <v>46183</v>
      </c>
      <c r="AZ74" s="144" t="s">
        <v>33</v>
      </c>
      <c r="BA74" s="145" t="s">
        <v>115</v>
      </c>
      <c r="BB74" s="147" t="s">
        <v>112</v>
      </c>
      <c r="BC74" s="146">
        <f t="shared" si="9"/>
        <v>132</v>
      </c>
      <c r="BD74" s="137" t="str">
        <f t="shared" si="10"/>
        <v>INDENIZAÇÃO</v>
      </c>
      <c r="BE74" s="137" t="str">
        <f t="shared" si="11"/>
        <v>NÃO</v>
      </c>
      <c r="BF74" s="137" t="s">
        <v>24</v>
      </c>
      <c r="BG74" s="137" t="s">
        <v>24</v>
      </c>
      <c r="BH74" s="137" t="s">
        <v>24</v>
      </c>
      <c r="BI74" s="145" t="s">
        <v>123</v>
      </c>
      <c r="BJ74" s="145"/>
      <c r="BK74" s="144"/>
      <c r="BL74" s="145"/>
      <c r="BM74" s="145"/>
      <c r="BN74" s="264"/>
    </row>
    <row r="75" spans="1:70" s="274" customFormat="1" ht="30" customHeight="1">
      <c r="A75" s="204">
        <v>62</v>
      </c>
      <c r="B75" s="204" t="s">
        <v>99</v>
      </c>
      <c r="C75" s="233" t="s">
        <v>100</v>
      </c>
      <c r="D75" s="205" t="s">
        <v>101</v>
      </c>
      <c r="E75" s="204" t="s">
        <v>101</v>
      </c>
      <c r="F75" s="234" t="s">
        <v>372</v>
      </c>
      <c r="G75" s="235" t="s">
        <v>1</v>
      </c>
      <c r="H75" s="235" t="s">
        <v>2</v>
      </c>
      <c r="I75" s="235" t="s">
        <v>373</v>
      </c>
      <c r="J75" s="234" t="s">
        <v>374</v>
      </c>
      <c r="K75" s="234">
        <v>544961328</v>
      </c>
      <c r="L75" s="234">
        <v>5487605432</v>
      </c>
      <c r="M75" s="204" t="s">
        <v>110</v>
      </c>
      <c r="N75" s="204" t="s">
        <v>128</v>
      </c>
      <c r="O75" s="151">
        <v>45959</v>
      </c>
      <c r="P75" s="144" t="s">
        <v>17</v>
      </c>
      <c r="Q75" s="254" t="s">
        <v>130</v>
      </c>
      <c r="R75" s="144"/>
      <c r="S75" s="144"/>
      <c r="T75" s="144"/>
      <c r="U75" s="144"/>
      <c r="V75" s="144"/>
      <c r="W75" s="144"/>
      <c r="X75" s="144"/>
      <c r="Y75" s="144"/>
      <c r="Z75" s="144"/>
      <c r="AA75" s="137"/>
      <c r="AB75" s="234" t="s">
        <v>375</v>
      </c>
      <c r="AC75" s="206" t="s">
        <v>376</v>
      </c>
      <c r="AD75" s="206" t="s">
        <v>377</v>
      </c>
      <c r="AE75" s="204" t="s">
        <v>3</v>
      </c>
      <c r="AF75" s="204" t="s">
        <v>110</v>
      </c>
      <c r="AG75" s="143">
        <v>78603.25</v>
      </c>
      <c r="AH75" s="143">
        <v>78603.25</v>
      </c>
      <c r="AI75" s="137" t="s">
        <v>6</v>
      </c>
      <c r="AJ75" s="141" t="s">
        <v>105</v>
      </c>
      <c r="AK75" s="204">
        <v>122002970</v>
      </c>
      <c r="AL75" s="137" t="s">
        <v>112</v>
      </c>
      <c r="AM75" s="137" t="s">
        <v>112</v>
      </c>
      <c r="AN75" s="137" t="s">
        <v>113</v>
      </c>
      <c r="AO75" s="137"/>
      <c r="AP75" s="234" t="s">
        <v>378</v>
      </c>
      <c r="AQ75" s="137" t="s">
        <v>112</v>
      </c>
      <c r="AR75" s="137" t="s">
        <v>112</v>
      </c>
      <c r="AS75" s="137" t="s">
        <v>112</v>
      </c>
      <c r="AT75" s="137" t="s">
        <v>112</v>
      </c>
      <c r="AU75" s="151">
        <v>46017</v>
      </c>
      <c r="AV75" s="137" t="s">
        <v>112</v>
      </c>
      <c r="AW75" s="137" t="s">
        <v>112</v>
      </c>
      <c r="AX75" s="151">
        <v>46024</v>
      </c>
      <c r="AY75" s="144">
        <v>46024</v>
      </c>
      <c r="AZ75" s="144" t="s">
        <v>33</v>
      </c>
      <c r="BA75" s="145" t="s">
        <v>115</v>
      </c>
      <c r="BB75" s="147" t="s">
        <v>112</v>
      </c>
      <c r="BC75" s="146">
        <f t="shared" si="9"/>
        <v>65</v>
      </c>
      <c r="BD75" s="137" t="str">
        <f t="shared" si="10"/>
        <v>INDENIZAÇÃO</v>
      </c>
      <c r="BE75" s="137" t="str">
        <f t="shared" si="11"/>
        <v>NÃO</v>
      </c>
      <c r="BF75" s="137" t="s">
        <v>24</v>
      </c>
      <c r="BG75" s="137" t="s">
        <v>24</v>
      </c>
      <c r="BH75" s="137" t="s">
        <v>24</v>
      </c>
      <c r="BI75" s="137" t="s">
        <v>112</v>
      </c>
      <c r="BJ75" s="137" t="s">
        <v>112</v>
      </c>
      <c r="BK75" s="151">
        <v>46112</v>
      </c>
      <c r="BL75" s="137" t="s">
        <v>112</v>
      </c>
      <c r="BM75" s="145" t="s">
        <v>33</v>
      </c>
      <c r="BN75" s="273"/>
    </row>
    <row r="76" spans="1:70" s="274" customFormat="1" ht="30" customHeight="1">
      <c r="A76" s="204">
        <v>63</v>
      </c>
      <c r="B76" s="204" t="s">
        <v>99</v>
      </c>
      <c r="C76" s="233" t="s">
        <v>100</v>
      </c>
      <c r="D76" s="205" t="s">
        <v>101</v>
      </c>
      <c r="E76" s="204" t="s">
        <v>101</v>
      </c>
      <c r="F76" s="234" t="s">
        <v>379</v>
      </c>
      <c r="G76" s="235" t="s">
        <v>1</v>
      </c>
      <c r="H76" s="235" t="s">
        <v>2</v>
      </c>
      <c r="I76" s="235" t="s">
        <v>12</v>
      </c>
      <c r="J76" s="234" t="s">
        <v>380</v>
      </c>
      <c r="K76" s="234" t="s">
        <v>381</v>
      </c>
      <c r="L76" s="234" t="s">
        <v>382</v>
      </c>
      <c r="M76" s="204" t="s">
        <v>110</v>
      </c>
      <c r="N76" s="204" t="s">
        <v>163</v>
      </c>
      <c r="O76" s="151">
        <v>46077</v>
      </c>
      <c r="P76" s="151" t="s">
        <v>24</v>
      </c>
      <c r="Q76" s="151" t="s">
        <v>24</v>
      </c>
      <c r="R76" s="151" t="s">
        <v>24</v>
      </c>
      <c r="S76" s="151" t="s">
        <v>24</v>
      </c>
      <c r="T76" s="151" t="s">
        <v>24</v>
      </c>
      <c r="U76" s="151" t="s">
        <v>24</v>
      </c>
      <c r="V76" s="151" t="s">
        <v>24</v>
      </c>
      <c r="W76" s="151" t="s">
        <v>24</v>
      </c>
      <c r="X76" s="151" t="s">
        <v>24</v>
      </c>
      <c r="Y76" s="151" t="s">
        <v>24</v>
      </c>
      <c r="Z76" s="151" t="s">
        <v>24</v>
      </c>
      <c r="AA76" s="137"/>
      <c r="AB76" s="234" t="s">
        <v>380</v>
      </c>
      <c r="AC76" s="234" t="s">
        <v>381</v>
      </c>
      <c r="AD76" s="234" t="s">
        <v>382</v>
      </c>
      <c r="AE76" s="204" t="s">
        <v>12</v>
      </c>
      <c r="AF76" s="204" t="s">
        <v>110</v>
      </c>
      <c r="AG76" s="143">
        <v>47466.71</v>
      </c>
      <c r="AH76" s="143">
        <v>60000</v>
      </c>
      <c r="AI76" s="137" t="s">
        <v>6</v>
      </c>
      <c r="AJ76" s="141" t="s">
        <v>105</v>
      </c>
      <c r="AK76" s="204">
        <v>143296873</v>
      </c>
      <c r="AL76" s="137" t="s">
        <v>112</v>
      </c>
      <c r="AM76" s="137" t="s">
        <v>112</v>
      </c>
      <c r="AN76" s="137" t="s">
        <v>113</v>
      </c>
      <c r="AO76" s="137"/>
      <c r="AP76" s="234" t="s">
        <v>383</v>
      </c>
      <c r="AQ76" s="137" t="s">
        <v>112</v>
      </c>
      <c r="AR76" s="137" t="s">
        <v>112</v>
      </c>
      <c r="AS76" s="137" t="s">
        <v>112</v>
      </c>
      <c r="AT76" s="137" t="s">
        <v>112</v>
      </c>
      <c r="AU76" s="151">
        <v>46174</v>
      </c>
      <c r="AV76" s="137" t="s">
        <v>112</v>
      </c>
      <c r="AW76" s="137" t="s">
        <v>112</v>
      </c>
      <c r="AX76" s="151">
        <v>46183</v>
      </c>
      <c r="AY76" s="144">
        <v>46183</v>
      </c>
      <c r="AZ76" s="144" t="s">
        <v>33</v>
      </c>
      <c r="BA76" s="145" t="s">
        <v>115</v>
      </c>
      <c r="BB76" s="147" t="s">
        <v>112</v>
      </c>
      <c r="BC76" s="146">
        <f t="shared" si="9"/>
        <v>106</v>
      </c>
      <c r="BD76" s="137" t="str">
        <f t="shared" si="10"/>
        <v>INDENIZAÇÃO</v>
      </c>
      <c r="BE76" s="137" t="str">
        <f t="shared" si="11"/>
        <v>NÃO</v>
      </c>
      <c r="BF76" s="137" t="s">
        <v>24</v>
      </c>
      <c r="BG76" s="137" t="s">
        <v>24</v>
      </c>
      <c r="BH76" s="137" t="s">
        <v>24</v>
      </c>
      <c r="BI76" s="145" t="s">
        <v>123</v>
      </c>
      <c r="BJ76" s="145"/>
      <c r="BK76" s="144"/>
      <c r="BL76" s="145"/>
      <c r="BM76" s="145"/>
      <c r="BN76" s="273"/>
    </row>
    <row r="77" spans="1:70" s="152" customFormat="1" ht="30" customHeight="1">
      <c r="A77" s="204">
        <v>64</v>
      </c>
      <c r="B77" s="204" t="s">
        <v>99</v>
      </c>
      <c r="C77" s="233" t="s">
        <v>100</v>
      </c>
      <c r="D77" s="205" t="s">
        <v>101</v>
      </c>
      <c r="E77" s="204" t="s">
        <v>101</v>
      </c>
      <c r="F77" s="234" t="s">
        <v>384</v>
      </c>
      <c r="G77" s="235" t="s">
        <v>1</v>
      </c>
      <c r="H77" s="235" t="s">
        <v>20</v>
      </c>
      <c r="I77" s="235" t="s">
        <v>12</v>
      </c>
      <c r="J77" s="234" t="s">
        <v>385</v>
      </c>
      <c r="K77" s="234" t="s">
        <v>386</v>
      </c>
      <c r="L77" s="271" t="s">
        <v>387</v>
      </c>
      <c r="M77" s="204" t="s">
        <v>110</v>
      </c>
      <c r="N77" s="204" t="s">
        <v>5</v>
      </c>
      <c r="O77" s="151">
        <v>46051</v>
      </c>
      <c r="P77" s="151" t="s">
        <v>24</v>
      </c>
      <c r="Q77" s="151" t="s">
        <v>24</v>
      </c>
      <c r="R77" s="151" t="s">
        <v>24</v>
      </c>
      <c r="S77" s="151" t="s">
        <v>24</v>
      </c>
      <c r="T77" s="151" t="s">
        <v>24</v>
      </c>
      <c r="U77" s="151" t="s">
        <v>24</v>
      </c>
      <c r="V77" s="151" t="s">
        <v>24</v>
      </c>
      <c r="W77" s="151" t="s">
        <v>24</v>
      </c>
      <c r="X77" s="151" t="s">
        <v>24</v>
      </c>
      <c r="Y77" s="151" t="s">
        <v>24</v>
      </c>
      <c r="Z77" s="151" t="s">
        <v>24</v>
      </c>
      <c r="AA77" s="137"/>
      <c r="AB77" s="234" t="s">
        <v>385</v>
      </c>
      <c r="AC77" s="234" t="s">
        <v>386</v>
      </c>
      <c r="AD77" s="271" t="s">
        <v>387</v>
      </c>
      <c r="AE77" s="204" t="s">
        <v>12</v>
      </c>
      <c r="AF77" s="204" t="s">
        <v>110</v>
      </c>
      <c r="AG77" s="270">
        <v>105867.59</v>
      </c>
      <c r="AH77" s="270">
        <v>105867.59</v>
      </c>
      <c r="AI77" s="137" t="s">
        <v>6</v>
      </c>
      <c r="AJ77" s="141" t="s">
        <v>105</v>
      </c>
      <c r="AK77" s="204">
        <v>143297662</v>
      </c>
      <c r="AL77" s="137" t="s">
        <v>112</v>
      </c>
      <c r="AM77" s="137" t="s">
        <v>112</v>
      </c>
      <c r="AN77" s="137" t="s">
        <v>113</v>
      </c>
      <c r="AO77" s="137"/>
      <c r="AP77" s="234" t="s">
        <v>388</v>
      </c>
      <c r="AQ77" s="137" t="s">
        <v>112</v>
      </c>
      <c r="AR77" s="137" t="s">
        <v>112</v>
      </c>
      <c r="AS77" s="137" t="s">
        <v>112</v>
      </c>
      <c r="AT77" s="137" t="s">
        <v>112</v>
      </c>
      <c r="AU77" s="151">
        <v>46184</v>
      </c>
      <c r="AV77" s="137" t="s">
        <v>112</v>
      </c>
      <c r="AW77" s="137" t="s">
        <v>112</v>
      </c>
      <c r="AX77" s="151">
        <v>46192</v>
      </c>
      <c r="AY77" s="144">
        <v>46192</v>
      </c>
      <c r="AZ77" s="145" t="s">
        <v>33</v>
      </c>
      <c r="BA77" s="145" t="s">
        <v>115</v>
      </c>
      <c r="BB77" s="147" t="s">
        <v>112</v>
      </c>
      <c r="BC77" s="146">
        <f t="shared" si="9"/>
        <v>141</v>
      </c>
      <c r="BD77" s="137" t="str">
        <f t="shared" si="10"/>
        <v>INDENIZAÇÃO</v>
      </c>
      <c r="BE77" s="137" t="str">
        <f t="shared" si="11"/>
        <v>NÃO</v>
      </c>
      <c r="BF77" s="137" t="s">
        <v>24</v>
      </c>
      <c r="BG77" s="137" t="s">
        <v>24</v>
      </c>
      <c r="BH77" s="137" t="s">
        <v>24</v>
      </c>
      <c r="BI77" s="145" t="s">
        <v>123</v>
      </c>
      <c r="BJ77" s="145"/>
      <c r="BK77" s="144"/>
      <c r="BL77" s="145"/>
      <c r="BM77" s="145"/>
      <c r="BN77" s="264"/>
    </row>
    <row r="78" spans="1:70" s="152" customFormat="1" ht="30" customHeight="1">
      <c r="A78" s="204">
        <v>65</v>
      </c>
      <c r="B78" s="204" t="s">
        <v>99</v>
      </c>
      <c r="C78" s="233" t="s">
        <v>100</v>
      </c>
      <c r="D78" s="205" t="s">
        <v>101</v>
      </c>
      <c r="E78" s="204" t="s">
        <v>101</v>
      </c>
      <c r="F78" s="253" t="s">
        <v>389</v>
      </c>
      <c r="G78" s="235" t="s">
        <v>1</v>
      </c>
      <c r="H78" s="235" t="s">
        <v>2</v>
      </c>
      <c r="I78" s="235" t="s">
        <v>12</v>
      </c>
      <c r="J78" s="234" t="s">
        <v>390</v>
      </c>
      <c r="K78" s="234" t="s">
        <v>391</v>
      </c>
      <c r="L78" s="234" t="s">
        <v>392</v>
      </c>
      <c r="M78" s="204" t="s">
        <v>110</v>
      </c>
      <c r="N78" s="204" t="s">
        <v>5</v>
      </c>
      <c r="O78" s="151">
        <v>46027</v>
      </c>
      <c r="P78" s="151" t="s">
        <v>24</v>
      </c>
      <c r="Q78" s="151" t="s">
        <v>24</v>
      </c>
      <c r="R78" s="151" t="s">
        <v>24</v>
      </c>
      <c r="S78" s="151" t="s">
        <v>24</v>
      </c>
      <c r="T78" s="151" t="s">
        <v>24</v>
      </c>
      <c r="U78" s="151" t="s">
        <v>24</v>
      </c>
      <c r="V78" s="151" t="s">
        <v>24</v>
      </c>
      <c r="W78" s="151" t="s">
        <v>24</v>
      </c>
      <c r="X78" s="151" t="s">
        <v>24</v>
      </c>
      <c r="Y78" s="151" t="s">
        <v>24</v>
      </c>
      <c r="Z78" s="151" t="s">
        <v>24</v>
      </c>
      <c r="AA78" s="151"/>
      <c r="AB78" s="234" t="s">
        <v>390</v>
      </c>
      <c r="AC78" s="234" t="s">
        <v>391</v>
      </c>
      <c r="AD78" s="234" t="s">
        <v>392</v>
      </c>
      <c r="AE78" s="204" t="s">
        <v>12</v>
      </c>
      <c r="AF78" s="204" t="s">
        <v>110</v>
      </c>
      <c r="AG78" s="270">
        <v>21456.82</v>
      </c>
      <c r="AH78" s="143">
        <f>AG78+30000</f>
        <v>51456.82</v>
      </c>
      <c r="AI78" s="137" t="s">
        <v>6</v>
      </c>
      <c r="AJ78" s="141" t="s">
        <v>393</v>
      </c>
      <c r="AK78" s="204">
        <v>143301424</v>
      </c>
      <c r="AL78" s="137" t="s">
        <v>112</v>
      </c>
      <c r="AM78" s="137" t="s">
        <v>112</v>
      </c>
      <c r="AN78" s="137" t="s">
        <v>113</v>
      </c>
      <c r="AO78" s="137"/>
      <c r="AP78" s="234" t="s">
        <v>394</v>
      </c>
      <c r="AQ78" s="137" t="s">
        <v>112</v>
      </c>
      <c r="AR78" s="137" t="s">
        <v>112</v>
      </c>
      <c r="AS78" s="137" t="s">
        <v>112</v>
      </c>
      <c r="AT78" s="137" t="s">
        <v>112</v>
      </c>
      <c r="AU78" s="151">
        <v>46142</v>
      </c>
      <c r="AV78" s="137" t="s">
        <v>112</v>
      </c>
      <c r="AW78" s="137" t="s">
        <v>112</v>
      </c>
      <c r="AX78" s="151">
        <v>46154</v>
      </c>
      <c r="AY78" s="144">
        <v>46154</v>
      </c>
      <c r="AZ78" s="144" t="s">
        <v>33</v>
      </c>
      <c r="BA78" s="145" t="s">
        <v>115</v>
      </c>
      <c r="BB78" s="147" t="s">
        <v>112</v>
      </c>
      <c r="BC78" s="146">
        <f t="shared" si="9"/>
        <v>127</v>
      </c>
      <c r="BD78" s="137" t="str">
        <f t="shared" si="10"/>
        <v>INDENIZAÇÃO</v>
      </c>
      <c r="BE78" s="137" t="str">
        <f t="shared" si="11"/>
        <v>NÃO</v>
      </c>
      <c r="BF78" s="137" t="s">
        <v>24</v>
      </c>
      <c r="BG78" s="137" t="s">
        <v>24</v>
      </c>
      <c r="BH78" s="137" t="s">
        <v>24</v>
      </c>
      <c r="BI78" s="145" t="s">
        <v>123</v>
      </c>
      <c r="BJ78" s="145"/>
      <c r="BK78" s="144"/>
      <c r="BL78" s="145"/>
      <c r="BM78" s="145"/>
      <c r="BN78" s="266"/>
    </row>
    <row r="79" spans="1:70" s="152" customFormat="1" ht="30" customHeight="1">
      <c r="A79" s="204">
        <v>66</v>
      </c>
      <c r="B79" s="204" t="s">
        <v>99</v>
      </c>
      <c r="C79" s="233" t="s">
        <v>100</v>
      </c>
      <c r="D79" s="205" t="s">
        <v>101</v>
      </c>
      <c r="E79" s="204" t="s">
        <v>101</v>
      </c>
      <c r="F79" s="234" t="s">
        <v>395</v>
      </c>
      <c r="G79" s="235" t="s">
        <v>1</v>
      </c>
      <c r="H79" s="235" t="s">
        <v>2</v>
      </c>
      <c r="I79" s="204" t="s">
        <v>12</v>
      </c>
      <c r="J79" s="234" t="s">
        <v>396</v>
      </c>
      <c r="K79" s="234" t="s">
        <v>397</v>
      </c>
      <c r="L79" s="234" t="s">
        <v>398</v>
      </c>
      <c r="M79" s="204" t="s">
        <v>110</v>
      </c>
      <c r="N79" s="204" t="s">
        <v>5</v>
      </c>
      <c r="O79" s="151">
        <v>45819</v>
      </c>
      <c r="P79" s="151" t="s">
        <v>24</v>
      </c>
      <c r="Q79" s="151" t="s">
        <v>24</v>
      </c>
      <c r="R79" s="151" t="s">
        <v>24</v>
      </c>
      <c r="S79" s="151" t="s">
        <v>24</v>
      </c>
      <c r="T79" s="151" t="s">
        <v>24</v>
      </c>
      <c r="U79" s="151" t="s">
        <v>24</v>
      </c>
      <c r="V79" s="151" t="s">
        <v>24</v>
      </c>
      <c r="W79" s="151" t="s">
        <v>24</v>
      </c>
      <c r="X79" s="151" t="s">
        <v>24</v>
      </c>
      <c r="Y79" s="151" t="s">
        <v>24</v>
      </c>
      <c r="Z79" s="151" t="s">
        <v>24</v>
      </c>
      <c r="AA79" s="137"/>
      <c r="AB79" s="234" t="s">
        <v>396</v>
      </c>
      <c r="AC79" s="234" t="s">
        <v>397</v>
      </c>
      <c r="AD79" s="234" t="s">
        <v>398</v>
      </c>
      <c r="AE79" s="204" t="s">
        <v>12</v>
      </c>
      <c r="AF79" s="204" t="s">
        <v>110</v>
      </c>
      <c r="AG79" s="143">
        <v>40880.85</v>
      </c>
      <c r="AH79" s="143">
        <v>60000</v>
      </c>
      <c r="AI79" s="137" t="s">
        <v>6</v>
      </c>
      <c r="AJ79" s="141" t="s">
        <v>105</v>
      </c>
      <c r="AK79" s="204">
        <v>122003153</v>
      </c>
      <c r="AL79" s="137" t="s">
        <v>112</v>
      </c>
      <c r="AM79" s="137" t="s">
        <v>112</v>
      </c>
      <c r="AN79" s="137" t="s">
        <v>113</v>
      </c>
      <c r="AO79" s="137"/>
      <c r="AP79" s="234" t="s">
        <v>399</v>
      </c>
      <c r="AQ79" s="137" t="s">
        <v>112</v>
      </c>
      <c r="AR79" s="137" t="s">
        <v>112</v>
      </c>
      <c r="AS79" s="137" t="s">
        <v>112</v>
      </c>
      <c r="AT79" s="137" t="s">
        <v>112</v>
      </c>
      <c r="AU79" s="151">
        <v>45911</v>
      </c>
      <c r="AV79" s="137" t="s">
        <v>112</v>
      </c>
      <c r="AW79" s="137" t="s">
        <v>112</v>
      </c>
      <c r="AX79" s="151">
        <v>45917</v>
      </c>
      <c r="AY79" s="144">
        <v>45917</v>
      </c>
      <c r="AZ79" s="151">
        <v>45932</v>
      </c>
      <c r="BA79" s="204" t="s">
        <v>349</v>
      </c>
      <c r="BB79" s="147" t="s">
        <v>112</v>
      </c>
      <c r="BC79" s="146">
        <f t="shared" si="9"/>
        <v>98</v>
      </c>
      <c r="BD79" s="137" t="str">
        <f t="shared" si="10"/>
        <v>INDENIZAÇÃO</v>
      </c>
      <c r="BE79" s="137" t="str">
        <f t="shared" si="11"/>
        <v>NÃO</v>
      </c>
      <c r="BF79" s="137" t="s">
        <v>24</v>
      </c>
      <c r="BG79" s="137" t="s">
        <v>24</v>
      </c>
      <c r="BH79" s="137" t="s">
        <v>24</v>
      </c>
      <c r="BI79" s="137" t="s">
        <v>112</v>
      </c>
      <c r="BJ79" s="137" t="s">
        <v>112</v>
      </c>
      <c r="BK79" s="151">
        <v>45937</v>
      </c>
      <c r="BL79" s="137" t="s">
        <v>112</v>
      </c>
      <c r="BM79" s="145" t="s">
        <v>33</v>
      </c>
      <c r="BN79" s="266"/>
    </row>
    <row r="80" spans="1:70" s="152" customFormat="1" ht="30" customHeight="1">
      <c r="A80" s="204">
        <v>67</v>
      </c>
      <c r="B80" s="204" t="s">
        <v>99</v>
      </c>
      <c r="C80" s="233" t="s">
        <v>100</v>
      </c>
      <c r="D80" s="205" t="s">
        <v>101</v>
      </c>
      <c r="E80" s="204" t="s">
        <v>101</v>
      </c>
      <c r="F80" s="234" t="s">
        <v>400</v>
      </c>
      <c r="G80" s="235" t="s">
        <v>10</v>
      </c>
      <c r="H80" s="235" t="s">
        <v>2</v>
      </c>
      <c r="I80" s="235" t="s">
        <v>111</v>
      </c>
      <c r="J80" s="234" t="s">
        <v>401</v>
      </c>
      <c r="K80" s="234" t="s">
        <v>402</v>
      </c>
      <c r="L80" s="234" t="s">
        <v>403</v>
      </c>
      <c r="M80" s="204"/>
      <c r="N80" s="204"/>
      <c r="O80" s="151"/>
      <c r="P80" s="151"/>
      <c r="Q80" s="151"/>
      <c r="R80" s="151"/>
      <c r="S80" s="142"/>
      <c r="T80" s="142"/>
      <c r="U80" s="142"/>
      <c r="V80" s="142"/>
      <c r="W80" s="142"/>
      <c r="X80" s="142"/>
      <c r="Y80" s="142"/>
      <c r="Z80" s="142"/>
      <c r="AA80" s="137"/>
      <c r="AB80" s="206"/>
      <c r="AC80" s="206"/>
      <c r="AD80" s="206"/>
      <c r="AE80" s="204"/>
      <c r="AF80" s="204"/>
      <c r="AG80" s="143"/>
      <c r="AH80" s="143"/>
      <c r="AI80" s="137"/>
      <c r="AJ80" s="141" t="s">
        <v>105</v>
      </c>
      <c r="AK80" s="204"/>
      <c r="AL80" s="137"/>
      <c r="AM80" s="137"/>
      <c r="AN80" s="137"/>
      <c r="AO80" s="137"/>
      <c r="AP80" s="234"/>
      <c r="AQ80" s="137"/>
      <c r="AR80" s="137"/>
      <c r="AS80" s="137"/>
      <c r="AT80" s="137"/>
      <c r="AU80" s="151"/>
      <c r="AV80" s="137"/>
      <c r="AW80" s="137"/>
      <c r="AX80" s="151"/>
      <c r="AY80" s="142"/>
      <c r="AZ80" s="142"/>
      <c r="BA80" s="137"/>
      <c r="BB80" s="147"/>
      <c r="BC80" s="146" t="str">
        <f t="shared" ref="BC80:BC111" si="12">IF(AY80-KG80=0,"",AY80-O80)</f>
        <v/>
      </c>
      <c r="BD80" s="137" t="str">
        <f t="shared" ref="BD80:BD111" si="13">IF(AND(AI80&lt;&gt;"SIM",AI80="UH"),"AA","INDENIZAÇÃO")</f>
        <v>INDENIZAÇÃO</v>
      </c>
      <c r="BE80" s="137" t="str">
        <f t="shared" ref="BE80:BE111" si="14">IF(AND(AY80&lt;&gt;"AGUARDANDO",AY80&lt;&gt;"",N80="AUXÍLIO ALUGUEL ATÉ INDENIZAÇÃO"),"SIM","NÃO")</f>
        <v>NÃO</v>
      </c>
      <c r="BF80" s="137"/>
      <c r="BG80" s="137"/>
      <c r="BH80" s="137"/>
      <c r="BI80" s="137"/>
      <c r="BJ80" s="137"/>
      <c r="BK80" s="151"/>
      <c r="BL80" s="137"/>
      <c r="BM80" s="137"/>
      <c r="BN80" s="266"/>
    </row>
    <row r="81" spans="1:66" s="152" customFormat="1" ht="30" customHeight="1">
      <c r="A81" s="204">
        <v>68</v>
      </c>
      <c r="B81" s="204" t="s">
        <v>99</v>
      </c>
      <c r="C81" s="233" t="s">
        <v>100</v>
      </c>
      <c r="D81" s="205" t="s">
        <v>101</v>
      </c>
      <c r="E81" s="204" t="s">
        <v>101</v>
      </c>
      <c r="F81" s="234" t="s">
        <v>404</v>
      </c>
      <c r="G81" s="235" t="s">
        <v>1</v>
      </c>
      <c r="H81" s="235" t="s">
        <v>2</v>
      </c>
      <c r="I81" s="235" t="s">
        <v>12</v>
      </c>
      <c r="J81" s="234" t="s">
        <v>405</v>
      </c>
      <c r="K81" s="234" t="s">
        <v>406</v>
      </c>
      <c r="L81" s="234" t="s">
        <v>407</v>
      </c>
      <c r="M81" s="204" t="s">
        <v>110</v>
      </c>
      <c r="N81" s="204" t="s">
        <v>5</v>
      </c>
      <c r="O81" s="151">
        <v>45859</v>
      </c>
      <c r="P81" s="151" t="s">
        <v>24</v>
      </c>
      <c r="Q81" s="151" t="s">
        <v>24</v>
      </c>
      <c r="R81" s="151" t="s">
        <v>24</v>
      </c>
      <c r="S81" s="151" t="s">
        <v>24</v>
      </c>
      <c r="T81" s="151" t="s">
        <v>24</v>
      </c>
      <c r="U81" s="151" t="s">
        <v>24</v>
      </c>
      <c r="V81" s="151" t="s">
        <v>24</v>
      </c>
      <c r="W81" s="151" t="s">
        <v>24</v>
      </c>
      <c r="X81" s="151" t="s">
        <v>24</v>
      </c>
      <c r="Y81" s="151" t="s">
        <v>24</v>
      </c>
      <c r="Z81" s="151" t="s">
        <v>24</v>
      </c>
      <c r="AA81" s="137"/>
      <c r="AB81" s="234" t="s">
        <v>405</v>
      </c>
      <c r="AC81" s="234" t="s">
        <v>406</v>
      </c>
      <c r="AD81" s="234" t="s">
        <v>407</v>
      </c>
      <c r="AE81" s="204" t="s">
        <v>12</v>
      </c>
      <c r="AF81" s="204" t="s">
        <v>110</v>
      </c>
      <c r="AG81" s="143">
        <v>26115.17</v>
      </c>
      <c r="AH81" s="143">
        <v>56115.17</v>
      </c>
      <c r="AI81" s="137" t="s">
        <v>6</v>
      </c>
      <c r="AJ81" s="141" t="s">
        <v>105</v>
      </c>
      <c r="AK81" s="204">
        <v>125234639</v>
      </c>
      <c r="AL81" s="137" t="s">
        <v>112</v>
      </c>
      <c r="AM81" s="137" t="s">
        <v>112</v>
      </c>
      <c r="AN81" s="137" t="s">
        <v>113</v>
      </c>
      <c r="AO81" s="137"/>
      <c r="AP81" s="234" t="s">
        <v>408</v>
      </c>
      <c r="AQ81" s="137" t="s">
        <v>112</v>
      </c>
      <c r="AR81" s="137" t="s">
        <v>112</v>
      </c>
      <c r="AS81" s="137" t="s">
        <v>112</v>
      </c>
      <c r="AT81" s="137" t="s">
        <v>112</v>
      </c>
      <c r="AU81" s="151">
        <v>45911</v>
      </c>
      <c r="AV81" s="137" t="s">
        <v>112</v>
      </c>
      <c r="AW81" s="137" t="s">
        <v>112</v>
      </c>
      <c r="AX81" s="151">
        <v>45917</v>
      </c>
      <c r="AY81" s="144">
        <v>45917</v>
      </c>
      <c r="AZ81" s="151">
        <v>45944</v>
      </c>
      <c r="BA81" s="145" t="s">
        <v>115</v>
      </c>
      <c r="BB81" s="147" t="s">
        <v>112</v>
      </c>
      <c r="BC81" s="146">
        <f t="shared" si="12"/>
        <v>58</v>
      </c>
      <c r="BD81" s="137" t="str">
        <f t="shared" si="13"/>
        <v>INDENIZAÇÃO</v>
      </c>
      <c r="BE81" s="137" t="str">
        <f t="shared" si="14"/>
        <v>NÃO</v>
      </c>
      <c r="BF81" s="137" t="s">
        <v>24</v>
      </c>
      <c r="BG81" s="137" t="s">
        <v>24</v>
      </c>
      <c r="BH81" s="137" t="s">
        <v>24</v>
      </c>
      <c r="BI81" s="137" t="s">
        <v>112</v>
      </c>
      <c r="BJ81" s="137" t="s">
        <v>112</v>
      </c>
      <c r="BK81" s="151">
        <v>45937</v>
      </c>
      <c r="BL81" s="137" t="s">
        <v>112</v>
      </c>
      <c r="BM81" s="145" t="s">
        <v>33</v>
      </c>
      <c r="BN81" s="266"/>
    </row>
    <row r="82" spans="1:66" s="152" customFormat="1" ht="30" customHeight="1">
      <c r="A82" s="204">
        <v>69</v>
      </c>
      <c r="B82" s="204" t="s">
        <v>99</v>
      </c>
      <c r="C82" s="233" t="s">
        <v>100</v>
      </c>
      <c r="D82" s="205" t="s">
        <v>101</v>
      </c>
      <c r="E82" s="204" t="s">
        <v>101</v>
      </c>
      <c r="F82" s="234" t="s">
        <v>409</v>
      </c>
      <c r="G82" s="235" t="s">
        <v>1</v>
      </c>
      <c r="H82" s="235" t="s">
        <v>2</v>
      </c>
      <c r="I82" s="235" t="s">
        <v>12</v>
      </c>
      <c r="J82" s="234" t="s">
        <v>410</v>
      </c>
      <c r="K82" s="234">
        <v>133064888</v>
      </c>
      <c r="L82" s="234">
        <v>8855378821</v>
      </c>
      <c r="M82" s="204"/>
      <c r="N82" s="204"/>
      <c r="O82" s="151"/>
      <c r="P82" s="151"/>
      <c r="Q82" s="151"/>
      <c r="R82" s="151"/>
      <c r="S82" s="142"/>
      <c r="T82" s="142"/>
      <c r="U82" s="142"/>
      <c r="V82" s="142"/>
      <c r="W82" s="142"/>
      <c r="X82" s="142"/>
      <c r="Y82" s="142"/>
      <c r="Z82" s="142"/>
      <c r="AA82" s="137"/>
      <c r="AB82" s="206"/>
      <c r="AC82" s="206"/>
      <c r="AD82" s="206"/>
      <c r="AE82" s="204"/>
      <c r="AF82" s="204"/>
      <c r="AG82" s="143"/>
      <c r="AH82" s="143"/>
      <c r="AI82" s="137"/>
      <c r="AJ82" s="141" t="s">
        <v>105</v>
      </c>
      <c r="AK82" s="204"/>
      <c r="AL82" s="137"/>
      <c r="AM82" s="137"/>
      <c r="AN82" s="137"/>
      <c r="AO82" s="137"/>
      <c r="AP82" s="234"/>
      <c r="AQ82" s="137"/>
      <c r="AR82" s="137"/>
      <c r="AS82" s="137"/>
      <c r="AT82" s="137"/>
      <c r="AU82" s="151"/>
      <c r="AV82" s="137"/>
      <c r="AW82" s="137"/>
      <c r="AX82" s="151"/>
      <c r="AY82" s="142"/>
      <c r="AZ82" s="142"/>
      <c r="BA82" s="137"/>
      <c r="BB82" s="147"/>
      <c r="BC82" s="146" t="str">
        <f t="shared" si="12"/>
        <v/>
      </c>
      <c r="BD82" s="137" t="str">
        <f t="shared" si="13"/>
        <v>INDENIZAÇÃO</v>
      </c>
      <c r="BE82" s="137" t="str">
        <f t="shared" si="14"/>
        <v>NÃO</v>
      </c>
      <c r="BF82" s="137"/>
      <c r="BG82" s="137"/>
      <c r="BH82" s="137"/>
      <c r="BI82" s="137"/>
      <c r="BJ82" s="137"/>
      <c r="BK82" s="151"/>
      <c r="BL82" s="137"/>
      <c r="BM82" s="137"/>
      <c r="BN82" s="266"/>
    </row>
    <row r="83" spans="1:66" s="152" customFormat="1" ht="30" customHeight="1">
      <c r="A83" s="204">
        <v>70</v>
      </c>
      <c r="B83" s="204" t="s">
        <v>99</v>
      </c>
      <c r="C83" s="233" t="s">
        <v>100</v>
      </c>
      <c r="D83" s="205" t="s">
        <v>101</v>
      </c>
      <c r="E83" s="204" t="s">
        <v>101</v>
      </c>
      <c r="F83" s="234" t="s">
        <v>411</v>
      </c>
      <c r="G83" s="235" t="s">
        <v>1</v>
      </c>
      <c r="H83" s="235" t="s">
        <v>2</v>
      </c>
      <c r="I83" s="235" t="s">
        <v>12</v>
      </c>
      <c r="J83" s="234" t="s">
        <v>412</v>
      </c>
      <c r="K83" s="234" t="s">
        <v>413</v>
      </c>
      <c r="L83" s="234" t="s">
        <v>414</v>
      </c>
      <c r="M83" s="204" t="s">
        <v>110</v>
      </c>
      <c r="N83" s="204" t="s">
        <v>5</v>
      </c>
      <c r="O83" s="151">
        <v>46027</v>
      </c>
      <c r="P83" s="151" t="s">
        <v>24</v>
      </c>
      <c r="Q83" s="151" t="s">
        <v>24</v>
      </c>
      <c r="R83" s="151" t="s">
        <v>24</v>
      </c>
      <c r="S83" s="151" t="s">
        <v>24</v>
      </c>
      <c r="T83" s="151" t="s">
        <v>24</v>
      </c>
      <c r="U83" s="151" t="s">
        <v>24</v>
      </c>
      <c r="V83" s="151" t="s">
        <v>24</v>
      </c>
      <c r="W83" s="151" t="s">
        <v>24</v>
      </c>
      <c r="X83" s="151" t="s">
        <v>24</v>
      </c>
      <c r="Y83" s="151" t="s">
        <v>24</v>
      </c>
      <c r="Z83" s="151" t="s">
        <v>24</v>
      </c>
      <c r="AA83" s="137"/>
      <c r="AB83" s="234" t="s">
        <v>412</v>
      </c>
      <c r="AC83" s="234" t="s">
        <v>413</v>
      </c>
      <c r="AD83" s="234" t="s">
        <v>414</v>
      </c>
      <c r="AE83" s="204" t="s">
        <v>12</v>
      </c>
      <c r="AF83" s="204" t="s">
        <v>110</v>
      </c>
      <c r="AG83" s="143">
        <v>68701.59</v>
      </c>
      <c r="AH83" s="143">
        <v>68701.59</v>
      </c>
      <c r="AI83" s="137" t="s">
        <v>6</v>
      </c>
      <c r="AJ83" s="141" t="s">
        <v>105</v>
      </c>
      <c r="AK83" s="204">
        <v>143303203</v>
      </c>
      <c r="AL83" s="137" t="s">
        <v>112</v>
      </c>
      <c r="AM83" s="137" t="s">
        <v>112</v>
      </c>
      <c r="AN83" s="137" t="s">
        <v>113</v>
      </c>
      <c r="AO83" s="137"/>
      <c r="AP83" s="234" t="s">
        <v>415</v>
      </c>
      <c r="AQ83" s="137" t="s">
        <v>112</v>
      </c>
      <c r="AR83" s="137" t="s">
        <v>112</v>
      </c>
      <c r="AS83" s="137" t="s">
        <v>112</v>
      </c>
      <c r="AT83" s="137" t="s">
        <v>112</v>
      </c>
      <c r="AU83" s="151">
        <v>46142</v>
      </c>
      <c r="AV83" s="137" t="s">
        <v>112</v>
      </c>
      <c r="AW83" s="137" t="s">
        <v>112</v>
      </c>
      <c r="AX83" s="151">
        <v>46154</v>
      </c>
      <c r="AY83" s="144">
        <v>46154</v>
      </c>
      <c r="AZ83" s="144" t="s">
        <v>33</v>
      </c>
      <c r="BA83" s="145" t="s">
        <v>115</v>
      </c>
      <c r="BB83" s="147" t="s">
        <v>112</v>
      </c>
      <c r="BC83" s="146">
        <f t="shared" si="12"/>
        <v>127</v>
      </c>
      <c r="BD83" s="137" t="str">
        <f t="shared" si="13"/>
        <v>INDENIZAÇÃO</v>
      </c>
      <c r="BE83" s="137" t="str">
        <f t="shared" si="14"/>
        <v>NÃO</v>
      </c>
      <c r="BF83" s="137" t="s">
        <v>24</v>
      </c>
      <c r="BG83" s="137" t="s">
        <v>24</v>
      </c>
      <c r="BH83" s="137" t="s">
        <v>24</v>
      </c>
      <c r="BI83" s="145" t="s">
        <v>123</v>
      </c>
      <c r="BJ83" s="145"/>
      <c r="BK83" s="144"/>
      <c r="BL83" s="145"/>
      <c r="BM83" s="145"/>
      <c r="BN83" s="266"/>
    </row>
    <row r="84" spans="1:66" s="152" customFormat="1" ht="30" customHeight="1">
      <c r="A84" s="204">
        <v>71</v>
      </c>
      <c r="B84" s="204" t="s">
        <v>99</v>
      </c>
      <c r="C84" s="233" t="s">
        <v>100</v>
      </c>
      <c r="D84" s="205"/>
      <c r="E84" s="204"/>
      <c r="F84" s="253" t="s">
        <v>416</v>
      </c>
      <c r="G84" s="235" t="s">
        <v>1</v>
      </c>
      <c r="H84" s="235" t="s">
        <v>2</v>
      </c>
      <c r="I84" s="235" t="s">
        <v>12</v>
      </c>
      <c r="J84" s="234" t="s">
        <v>417</v>
      </c>
      <c r="K84" s="234" t="s">
        <v>418</v>
      </c>
      <c r="L84" s="234" t="s">
        <v>419</v>
      </c>
      <c r="M84" s="204" t="s">
        <v>110</v>
      </c>
      <c r="N84" s="204" t="s">
        <v>5</v>
      </c>
      <c r="O84" s="151">
        <v>46014</v>
      </c>
      <c r="P84" s="151" t="s">
        <v>24</v>
      </c>
      <c r="Q84" s="151" t="s">
        <v>24</v>
      </c>
      <c r="R84" s="151" t="s">
        <v>24</v>
      </c>
      <c r="S84" s="151" t="s">
        <v>24</v>
      </c>
      <c r="T84" s="151" t="s">
        <v>24</v>
      </c>
      <c r="U84" s="151" t="s">
        <v>24</v>
      </c>
      <c r="V84" s="151" t="s">
        <v>24</v>
      </c>
      <c r="W84" s="151" t="s">
        <v>24</v>
      </c>
      <c r="X84" s="151" t="s">
        <v>24</v>
      </c>
      <c r="Y84" s="151" t="s">
        <v>24</v>
      </c>
      <c r="Z84" s="151" t="s">
        <v>24</v>
      </c>
      <c r="AA84" s="137"/>
      <c r="AB84" s="234" t="s">
        <v>417</v>
      </c>
      <c r="AC84" s="234" t="s">
        <v>418</v>
      </c>
      <c r="AD84" s="234" t="s">
        <v>419</v>
      </c>
      <c r="AE84" s="204" t="s">
        <v>12</v>
      </c>
      <c r="AF84" s="204" t="s">
        <v>110</v>
      </c>
      <c r="AG84" s="143">
        <v>54112.17</v>
      </c>
      <c r="AH84" s="143">
        <v>60000</v>
      </c>
      <c r="AI84" s="137" t="s">
        <v>6</v>
      </c>
      <c r="AJ84" s="141" t="s">
        <v>105</v>
      </c>
      <c r="AK84" s="204">
        <v>143303589</v>
      </c>
      <c r="AL84" s="137" t="s">
        <v>112</v>
      </c>
      <c r="AM84" s="137" t="s">
        <v>112</v>
      </c>
      <c r="AN84" s="137" t="s">
        <v>113</v>
      </c>
      <c r="AO84" s="137"/>
      <c r="AP84" s="234" t="s">
        <v>420</v>
      </c>
      <c r="AQ84" s="137" t="s">
        <v>112</v>
      </c>
      <c r="AR84" s="137" t="s">
        <v>112</v>
      </c>
      <c r="AS84" s="137" t="s">
        <v>112</v>
      </c>
      <c r="AT84" s="137" t="s">
        <v>112</v>
      </c>
      <c r="AU84" s="151">
        <v>46174</v>
      </c>
      <c r="AV84" s="137" t="s">
        <v>112</v>
      </c>
      <c r="AW84" s="137" t="s">
        <v>112</v>
      </c>
      <c r="AX84" s="151">
        <v>46183</v>
      </c>
      <c r="AY84" s="144">
        <v>46183</v>
      </c>
      <c r="AZ84" s="144" t="s">
        <v>33</v>
      </c>
      <c r="BA84" s="145" t="s">
        <v>115</v>
      </c>
      <c r="BB84" s="147" t="s">
        <v>112</v>
      </c>
      <c r="BC84" s="146">
        <f t="shared" si="12"/>
        <v>169</v>
      </c>
      <c r="BD84" s="137" t="str">
        <f t="shared" si="13"/>
        <v>INDENIZAÇÃO</v>
      </c>
      <c r="BE84" s="137" t="str">
        <f t="shared" si="14"/>
        <v>NÃO</v>
      </c>
      <c r="BF84" s="137" t="s">
        <v>24</v>
      </c>
      <c r="BG84" s="137" t="s">
        <v>24</v>
      </c>
      <c r="BH84" s="137" t="s">
        <v>24</v>
      </c>
      <c r="BI84" s="145" t="s">
        <v>123</v>
      </c>
      <c r="BJ84" s="145"/>
      <c r="BK84" s="144"/>
      <c r="BL84" s="145"/>
      <c r="BM84" s="145"/>
      <c r="BN84" s="264"/>
    </row>
    <row r="85" spans="1:66" s="152" customFormat="1" ht="30" customHeight="1">
      <c r="A85" s="204">
        <v>72</v>
      </c>
      <c r="B85" s="204" t="s">
        <v>99</v>
      </c>
      <c r="C85" s="233" t="s">
        <v>100</v>
      </c>
      <c r="D85" s="205" t="s">
        <v>101</v>
      </c>
      <c r="E85" s="204" t="s">
        <v>101</v>
      </c>
      <c r="F85" s="234" t="s">
        <v>421</v>
      </c>
      <c r="G85" s="235" t="s">
        <v>1</v>
      </c>
      <c r="H85" s="235" t="s">
        <v>26</v>
      </c>
      <c r="I85" s="235" t="s">
        <v>103</v>
      </c>
      <c r="J85" s="234" t="s">
        <v>422</v>
      </c>
      <c r="K85" s="236" t="s">
        <v>423</v>
      </c>
      <c r="L85" s="234" t="s">
        <v>424</v>
      </c>
      <c r="M85" s="204" t="s">
        <v>110</v>
      </c>
      <c r="N85" s="204" t="s">
        <v>5</v>
      </c>
      <c r="O85" s="151">
        <v>46097</v>
      </c>
      <c r="P85" s="151" t="s">
        <v>24</v>
      </c>
      <c r="Q85" s="151" t="s">
        <v>24</v>
      </c>
      <c r="R85" s="151" t="s">
        <v>24</v>
      </c>
      <c r="S85" s="151" t="s">
        <v>24</v>
      </c>
      <c r="T85" s="151" t="s">
        <v>24</v>
      </c>
      <c r="U85" s="151" t="s">
        <v>24</v>
      </c>
      <c r="V85" s="151" t="s">
        <v>24</v>
      </c>
      <c r="W85" s="151" t="s">
        <v>24</v>
      </c>
      <c r="X85" s="151" t="s">
        <v>24</v>
      </c>
      <c r="Y85" s="151" t="s">
        <v>24</v>
      </c>
      <c r="Z85" s="151" t="s">
        <v>24</v>
      </c>
      <c r="AA85" s="137"/>
      <c r="AB85" s="234" t="s">
        <v>422</v>
      </c>
      <c r="AC85" s="236" t="s">
        <v>423</v>
      </c>
      <c r="AD85" s="234" t="s">
        <v>424</v>
      </c>
      <c r="AE85" s="204" t="s">
        <v>3</v>
      </c>
      <c r="AF85" s="204" t="s">
        <v>110</v>
      </c>
      <c r="AG85" s="270">
        <v>5460.7</v>
      </c>
      <c r="AH85" s="270">
        <v>5460.7</v>
      </c>
      <c r="AI85" s="137" t="s">
        <v>6</v>
      </c>
      <c r="AJ85" s="141" t="s">
        <v>105</v>
      </c>
      <c r="AK85" s="204">
        <v>143305205</v>
      </c>
      <c r="AL85" s="137" t="s">
        <v>112</v>
      </c>
      <c r="AM85" s="204" t="s">
        <v>112</v>
      </c>
      <c r="AN85" s="204" t="s">
        <v>113</v>
      </c>
      <c r="AO85" s="137"/>
      <c r="AP85" s="234" t="s">
        <v>425</v>
      </c>
      <c r="AQ85" s="137" t="s">
        <v>112</v>
      </c>
      <c r="AR85" s="137" t="s">
        <v>112</v>
      </c>
      <c r="AS85" s="137" t="s">
        <v>112</v>
      </c>
      <c r="AT85" s="137" t="s">
        <v>112</v>
      </c>
      <c r="AU85" s="151">
        <v>46174</v>
      </c>
      <c r="AV85" s="137" t="s">
        <v>112</v>
      </c>
      <c r="AW85" s="137" t="s">
        <v>112</v>
      </c>
      <c r="AX85" s="151">
        <v>46183</v>
      </c>
      <c r="AY85" s="144">
        <v>46183</v>
      </c>
      <c r="AZ85" s="144" t="s">
        <v>33</v>
      </c>
      <c r="BA85" s="145" t="s">
        <v>115</v>
      </c>
      <c r="BB85" s="147" t="s">
        <v>112</v>
      </c>
      <c r="BC85" s="146">
        <f t="shared" si="12"/>
        <v>86</v>
      </c>
      <c r="BD85" s="137" t="str">
        <f t="shared" si="13"/>
        <v>INDENIZAÇÃO</v>
      </c>
      <c r="BE85" s="137" t="str">
        <f t="shared" si="14"/>
        <v>NÃO</v>
      </c>
      <c r="BF85" s="137" t="s">
        <v>24</v>
      </c>
      <c r="BG85" s="137" t="s">
        <v>24</v>
      </c>
      <c r="BH85" s="137" t="s">
        <v>24</v>
      </c>
      <c r="BI85" s="145" t="s">
        <v>123</v>
      </c>
      <c r="BJ85" s="145"/>
      <c r="BK85" s="144"/>
      <c r="BL85" s="145"/>
      <c r="BM85" s="145"/>
      <c r="BN85" s="264"/>
    </row>
    <row r="86" spans="1:66" s="152" customFormat="1" ht="30" customHeight="1">
      <c r="A86" s="204">
        <v>73</v>
      </c>
      <c r="B86" s="204" t="s">
        <v>99</v>
      </c>
      <c r="C86" s="233" t="s">
        <v>100</v>
      </c>
      <c r="D86" s="205" t="s">
        <v>101</v>
      </c>
      <c r="E86" s="204" t="s">
        <v>101</v>
      </c>
      <c r="F86" s="234" t="s">
        <v>426</v>
      </c>
      <c r="G86" s="235" t="s">
        <v>1</v>
      </c>
      <c r="H86" s="235" t="s">
        <v>2</v>
      </c>
      <c r="I86" s="235" t="s">
        <v>12</v>
      </c>
      <c r="J86" s="234" t="s">
        <v>427</v>
      </c>
      <c r="K86" s="234" t="s">
        <v>428</v>
      </c>
      <c r="L86" s="234" t="s">
        <v>429</v>
      </c>
      <c r="M86" s="204" t="s">
        <v>110</v>
      </c>
      <c r="N86" s="204" t="s">
        <v>5</v>
      </c>
      <c r="O86" s="151">
        <v>45831</v>
      </c>
      <c r="P86" s="151" t="s">
        <v>24</v>
      </c>
      <c r="Q86" s="151" t="s">
        <v>24</v>
      </c>
      <c r="R86" s="151" t="s">
        <v>24</v>
      </c>
      <c r="S86" s="151" t="s">
        <v>24</v>
      </c>
      <c r="T86" s="151" t="s">
        <v>24</v>
      </c>
      <c r="U86" s="151" t="s">
        <v>24</v>
      </c>
      <c r="V86" s="151" t="s">
        <v>24</v>
      </c>
      <c r="W86" s="151" t="s">
        <v>24</v>
      </c>
      <c r="X86" s="151" t="s">
        <v>24</v>
      </c>
      <c r="Y86" s="151" t="s">
        <v>24</v>
      </c>
      <c r="Z86" s="151" t="s">
        <v>24</v>
      </c>
      <c r="AA86" s="137"/>
      <c r="AB86" s="234" t="s">
        <v>427</v>
      </c>
      <c r="AC86" s="234" t="s">
        <v>428</v>
      </c>
      <c r="AD86" s="234" t="s">
        <v>429</v>
      </c>
      <c r="AE86" s="204" t="s">
        <v>12</v>
      </c>
      <c r="AF86" s="204" t="s">
        <v>110</v>
      </c>
      <c r="AG86" s="143">
        <v>37489.31</v>
      </c>
      <c r="AH86" s="143">
        <v>60000</v>
      </c>
      <c r="AI86" s="137" t="s">
        <v>6</v>
      </c>
      <c r="AJ86" s="141" t="s">
        <v>105</v>
      </c>
      <c r="AK86" s="204">
        <v>123203000</v>
      </c>
      <c r="AL86" s="137" t="s">
        <v>112</v>
      </c>
      <c r="AM86" s="137" t="s">
        <v>112</v>
      </c>
      <c r="AN86" s="137" t="s">
        <v>113</v>
      </c>
      <c r="AO86" s="137"/>
      <c r="AP86" s="234" t="s">
        <v>430</v>
      </c>
      <c r="AQ86" s="137" t="s">
        <v>112</v>
      </c>
      <c r="AR86" s="137" t="s">
        <v>112</v>
      </c>
      <c r="AS86" s="137" t="s">
        <v>112</v>
      </c>
      <c r="AT86" s="137" t="s">
        <v>112</v>
      </c>
      <c r="AU86" s="151">
        <v>45911</v>
      </c>
      <c r="AV86" s="137" t="s">
        <v>112</v>
      </c>
      <c r="AW86" s="137" t="s">
        <v>112</v>
      </c>
      <c r="AX86" s="151">
        <v>45917</v>
      </c>
      <c r="AY86" s="144">
        <v>45917</v>
      </c>
      <c r="AZ86" s="151">
        <v>45944</v>
      </c>
      <c r="BA86" s="145" t="s">
        <v>115</v>
      </c>
      <c r="BB86" s="147" t="s">
        <v>112</v>
      </c>
      <c r="BC86" s="146">
        <f t="shared" si="12"/>
        <v>86</v>
      </c>
      <c r="BD86" s="137" t="str">
        <f t="shared" si="13"/>
        <v>INDENIZAÇÃO</v>
      </c>
      <c r="BE86" s="137" t="str">
        <f t="shared" si="14"/>
        <v>NÃO</v>
      </c>
      <c r="BF86" s="137" t="s">
        <v>24</v>
      </c>
      <c r="BG86" s="137" t="s">
        <v>24</v>
      </c>
      <c r="BH86" s="137" t="s">
        <v>24</v>
      </c>
      <c r="BI86" s="137" t="s">
        <v>112</v>
      </c>
      <c r="BJ86" s="137" t="s">
        <v>112</v>
      </c>
      <c r="BK86" s="151">
        <v>45937</v>
      </c>
      <c r="BL86" s="137" t="s">
        <v>112</v>
      </c>
      <c r="BM86" s="145" t="s">
        <v>33</v>
      </c>
      <c r="BN86" s="266"/>
    </row>
    <row r="87" spans="1:66" s="152" customFormat="1" ht="30" customHeight="1">
      <c r="A87" s="204">
        <v>74</v>
      </c>
      <c r="B87" s="204" t="s">
        <v>99</v>
      </c>
      <c r="C87" s="233" t="s">
        <v>100</v>
      </c>
      <c r="D87" s="205"/>
      <c r="E87" s="204"/>
      <c r="F87" s="253" t="s">
        <v>431</v>
      </c>
      <c r="G87" s="235" t="s">
        <v>1</v>
      </c>
      <c r="H87" s="235" t="s">
        <v>2</v>
      </c>
      <c r="I87" s="235" t="s">
        <v>12</v>
      </c>
      <c r="J87" s="234" t="s">
        <v>432</v>
      </c>
      <c r="K87" s="234" t="s">
        <v>433</v>
      </c>
      <c r="L87" s="234" t="s">
        <v>434</v>
      </c>
      <c r="M87" s="204" t="s">
        <v>435</v>
      </c>
      <c r="N87" s="204" t="s">
        <v>5</v>
      </c>
      <c r="O87" s="151">
        <v>46014</v>
      </c>
      <c r="P87" s="151" t="s">
        <v>24</v>
      </c>
      <c r="Q87" s="151" t="s">
        <v>24</v>
      </c>
      <c r="R87" s="151" t="s">
        <v>24</v>
      </c>
      <c r="S87" s="151" t="s">
        <v>24</v>
      </c>
      <c r="T87" s="151" t="s">
        <v>24</v>
      </c>
      <c r="U87" s="151" t="s">
        <v>24</v>
      </c>
      <c r="V87" s="151" t="s">
        <v>24</v>
      </c>
      <c r="W87" s="151" t="s">
        <v>24</v>
      </c>
      <c r="X87" s="151" t="s">
        <v>24</v>
      </c>
      <c r="Y87" s="151" t="s">
        <v>24</v>
      </c>
      <c r="Z87" s="151" t="s">
        <v>24</v>
      </c>
      <c r="AA87" s="137"/>
      <c r="AB87" s="234" t="s">
        <v>432</v>
      </c>
      <c r="AC87" s="234" t="s">
        <v>433</v>
      </c>
      <c r="AD87" s="234" t="s">
        <v>434</v>
      </c>
      <c r="AE87" s="204" t="s">
        <v>12</v>
      </c>
      <c r="AF87" s="204" t="s">
        <v>110</v>
      </c>
      <c r="AG87" s="270">
        <v>36153.61</v>
      </c>
      <c r="AH87" s="143">
        <v>60000</v>
      </c>
      <c r="AI87" s="137" t="s">
        <v>6</v>
      </c>
      <c r="AJ87" s="141" t="s">
        <v>105</v>
      </c>
      <c r="AK87" s="204">
        <v>143305284</v>
      </c>
      <c r="AL87" s="137" t="s">
        <v>112</v>
      </c>
      <c r="AM87" s="137" t="s">
        <v>112</v>
      </c>
      <c r="AN87" s="137" t="s">
        <v>113</v>
      </c>
      <c r="AO87" s="137"/>
      <c r="AP87" s="234" t="s">
        <v>436</v>
      </c>
      <c r="AQ87" s="204" t="s">
        <v>112</v>
      </c>
      <c r="AR87" s="204" t="s">
        <v>112</v>
      </c>
      <c r="AS87" s="137" t="s">
        <v>112</v>
      </c>
      <c r="AT87" s="137" t="s">
        <v>112</v>
      </c>
      <c r="AU87" s="151">
        <v>46184</v>
      </c>
      <c r="AV87" s="137" t="s">
        <v>112</v>
      </c>
      <c r="AW87" s="137" t="s">
        <v>112</v>
      </c>
      <c r="AX87" s="151">
        <v>46191</v>
      </c>
      <c r="AY87" s="144">
        <v>46191</v>
      </c>
      <c r="AZ87" s="144" t="s">
        <v>33</v>
      </c>
      <c r="BA87" s="145" t="s">
        <v>115</v>
      </c>
      <c r="BB87" s="147" t="s">
        <v>112</v>
      </c>
      <c r="BC87" s="146">
        <f t="shared" si="12"/>
        <v>177</v>
      </c>
      <c r="BD87" s="137" t="str">
        <f t="shared" si="13"/>
        <v>INDENIZAÇÃO</v>
      </c>
      <c r="BE87" s="137" t="str">
        <f t="shared" si="14"/>
        <v>NÃO</v>
      </c>
      <c r="BF87" s="137" t="s">
        <v>24</v>
      </c>
      <c r="BG87" s="137" t="s">
        <v>24</v>
      </c>
      <c r="BH87" s="137" t="s">
        <v>24</v>
      </c>
      <c r="BI87" s="145" t="s">
        <v>123</v>
      </c>
      <c r="BJ87" s="145"/>
      <c r="BK87" s="144"/>
      <c r="BL87" s="145"/>
      <c r="BM87" s="145"/>
      <c r="BN87" s="264"/>
    </row>
    <row r="88" spans="1:66" s="152" customFormat="1" ht="30" customHeight="1">
      <c r="A88" s="204">
        <v>75</v>
      </c>
      <c r="B88" s="204" t="s">
        <v>99</v>
      </c>
      <c r="C88" s="233" t="s">
        <v>100</v>
      </c>
      <c r="D88" s="205"/>
      <c r="E88" s="204"/>
      <c r="F88" s="253" t="s">
        <v>437</v>
      </c>
      <c r="G88" s="235" t="s">
        <v>1</v>
      </c>
      <c r="H88" s="235" t="s">
        <v>2</v>
      </c>
      <c r="I88" s="235" t="s">
        <v>12</v>
      </c>
      <c r="J88" s="234" t="s">
        <v>438</v>
      </c>
      <c r="K88" s="234" t="s">
        <v>439</v>
      </c>
      <c r="L88" s="234" t="s">
        <v>440</v>
      </c>
      <c r="M88" s="204" t="s">
        <v>110</v>
      </c>
      <c r="N88" s="204" t="s">
        <v>5</v>
      </c>
      <c r="O88" s="151">
        <v>46014</v>
      </c>
      <c r="P88" s="151" t="s">
        <v>24</v>
      </c>
      <c r="Q88" s="151" t="s">
        <v>24</v>
      </c>
      <c r="R88" s="151" t="s">
        <v>24</v>
      </c>
      <c r="S88" s="151" t="s">
        <v>24</v>
      </c>
      <c r="T88" s="151" t="s">
        <v>24</v>
      </c>
      <c r="U88" s="151" t="s">
        <v>24</v>
      </c>
      <c r="V88" s="151" t="s">
        <v>24</v>
      </c>
      <c r="W88" s="151" t="s">
        <v>24</v>
      </c>
      <c r="X88" s="151" t="s">
        <v>24</v>
      </c>
      <c r="Y88" s="151" t="s">
        <v>24</v>
      </c>
      <c r="Z88" s="151" t="s">
        <v>24</v>
      </c>
      <c r="AA88" s="137"/>
      <c r="AB88" s="234" t="s">
        <v>438</v>
      </c>
      <c r="AC88" s="234" t="s">
        <v>439</v>
      </c>
      <c r="AD88" s="234" t="s">
        <v>440</v>
      </c>
      <c r="AE88" s="204" t="s">
        <v>12</v>
      </c>
      <c r="AF88" s="204" t="s">
        <v>110</v>
      </c>
      <c r="AG88" s="270">
        <v>65429.760000000002</v>
      </c>
      <c r="AH88" s="270">
        <v>65429.760000000002</v>
      </c>
      <c r="AI88" s="137" t="s">
        <v>6</v>
      </c>
      <c r="AJ88" s="141" t="s">
        <v>105</v>
      </c>
      <c r="AK88" s="204">
        <v>143305402</v>
      </c>
      <c r="AL88" s="137" t="s">
        <v>112</v>
      </c>
      <c r="AM88" s="137" t="s">
        <v>112</v>
      </c>
      <c r="AN88" s="137" t="s">
        <v>113</v>
      </c>
      <c r="AO88" s="137"/>
      <c r="AP88" s="234" t="s">
        <v>441</v>
      </c>
      <c r="AQ88" s="137" t="s">
        <v>112</v>
      </c>
      <c r="AR88" s="137" t="s">
        <v>112</v>
      </c>
      <c r="AS88" s="137" t="s">
        <v>112</v>
      </c>
      <c r="AT88" s="137" t="s">
        <v>112</v>
      </c>
      <c r="AU88" s="151">
        <v>46142</v>
      </c>
      <c r="AV88" s="137" t="s">
        <v>112</v>
      </c>
      <c r="AW88" s="137" t="s">
        <v>112</v>
      </c>
      <c r="AX88" s="151">
        <v>46154</v>
      </c>
      <c r="AY88" s="144">
        <v>46154</v>
      </c>
      <c r="AZ88" s="144" t="s">
        <v>33</v>
      </c>
      <c r="BA88" s="145" t="s">
        <v>115</v>
      </c>
      <c r="BB88" s="147" t="s">
        <v>112</v>
      </c>
      <c r="BC88" s="146">
        <f t="shared" si="12"/>
        <v>140</v>
      </c>
      <c r="BD88" s="137" t="str">
        <f t="shared" si="13"/>
        <v>INDENIZAÇÃO</v>
      </c>
      <c r="BE88" s="137" t="str">
        <f t="shared" si="14"/>
        <v>NÃO</v>
      </c>
      <c r="BF88" s="137" t="s">
        <v>24</v>
      </c>
      <c r="BG88" s="137" t="s">
        <v>24</v>
      </c>
      <c r="BH88" s="137" t="s">
        <v>24</v>
      </c>
      <c r="BI88" s="145" t="s">
        <v>123</v>
      </c>
      <c r="BJ88" s="145"/>
      <c r="BK88" s="144"/>
      <c r="BL88" s="145"/>
      <c r="BM88" s="145"/>
      <c r="BN88" s="266"/>
    </row>
    <row r="89" spans="1:66" s="152" customFormat="1" ht="30" customHeight="1">
      <c r="A89" s="204">
        <v>76</v>
      </c>
      <c r="B89" s="204" t="s">
        <v>99</v>
      </c>
      <c r="C89" s="233" t="s">
        <v>100</v>
      </c>
      <c r="D89" s="205" t="s">
        <v>101</v>
      </c>
      <c r="E89" s="204" t="s">
        <v>101</v>
      </c>
      <c r="F89" s="234" t="s">
        <v>442</v>
      </c>
      <c r="G89" s="235" t="s">
        <v>1</v>
      </c>
      <c r="H89" s="235" t="s">
        <v>2</v>
      </c>
      <c r="I89" s="235" t="s">
        <v>12</v>
      </c>
      <c r="J89" s="234" t="s">
        <v>443</v>
      </c>
      <c r="K89" s="234" t="s">
        <v>444</v>
      </c>
      <c r="L89" s="234" t="s">
        <v>445</v>
      </c>
      <c r="M89" s="204" t="s">
        <v>110</v>
      </c>
      <c r="N89" s="204" t="s">
        <v>5</v>
      </c>
      <c r="O89" s="151">
        <v>45859</v>
      </c>
      <c r="P89" s="151" t="s">
        <v>24</v>
      </c>
      <c r="Q89" s="151" t="s">
        <v>24</v>
      </c>
      <c r="R89" s="151" t="s">
        <v>24</v>
      </c>
      <c r="S89" s="151" t="s">
        <v>24</v>
      </c>
      <c r="T89" s="151" t="s">
        <v>24</v>
      </c>
      <c r="U89" s="151" t="s">
        <v>24</v>
      </c>
      <c r="V89" s="151" t="s">
        <v>24</v>
      </c>
      <c r="W89" s="151" t="s">
        <v>24</v>
      </c>
      <c r="X89" s="151" t="s">
        <v>24</v>
      </c>
      <c r="Y89" s="151" t="s">
        <v>24</v>
      </c>
      <c r="Z89" s="151" t="s">
        <v>24</v>
      </c>
      <c r="AA89" s="137"/>
      <c r="AB89" s="234" t="s">
        <v>443</v>
      </c>
      <c r="AC89" s="234" t="s">
        <v>444</v>
      </c>
      <c r="AD89" s="234" t="s">
        <v>445</v>
      </c>
      <c r="AE89" s="204" t="s">
        <v>12</v>
      </c>
      <c r="AF89" s="204" t="s">
        <v>110</v>
      </c>
      <c r="AG89" s="143">
        <v>10224.67</v>
      </c>
      <c r="AH89" s="143">
        <v>40224.67</v>
      </c>
      <c r="AI89" s="137" t="s">
        <v>6</v>
      </c>
      <c r="AJ89" s="141" t="s">
        <v>105</v>
      </c>
      <c r="AK89" s="204">
        <v>129343214</v>
      </c>
      <c r="AL89" s="137" t="s">
        <v>112</v>
      </c>
      <c r="AM89" s="137" t="s">
        <v>112</v>
      </c>
      <c r="AN89" s="137" t="s">
        <v>113</v>
      </c>
      <c r="AO89" s="137"/>
      <c r="AP89" s="234" t="s">
        <v>446</v>
      </c>
      <c r="AQ89" s="137" t="s">
        <v>112</v>
      </c>
      <c r="AR89" s="137" t="s">
        <v>112</v>
      </c>
      <c r="AS89" s="137" t="s">
        <v>112</v>
      </c>
      <c r="AT89" s="137" t="s">
        <v>112</v>
      </c>
      <c r="AU89" s="151">
        <v>45911</v>
      </c>
      <c r="AV89" s="137" t="s">
        <v>112</v>
      </c>
      <c r="AW89" s="137" t="s">
        <v>112</v>
      </c>
      <c r="AX89" s="151">
        <v>45917</v>
      </c>
      <c r="AY89" s="144">
        <v>45917</v>
      </c>
      <c r="AZ89" s="151">
        <v>45952</v>
      </c>
      <c r="BA89" s="145" t="s">
        <v>115</v>
      </c>
      <c r="BB89" s="147" t="s">
        <v>112</v>
      </c>
      <c r="BC89" s="146">
        <f t="shared" si="12"/>
        <v>58</v>
      </c>
      <c r="BD89" s="137" t="str">
        <f t="shared" si="13"/>
        <v>INDENIZAÇÃO</v>
      </c>
      <c r="BE89" s="137" t="str">
        <f t="shared" si="14"/>
        <v>NÃO</v>
      </c>
      <c r="BF89" s="137" t="s">
        <v>24</v>
      </c>
      <c r="BG89" s="137" t="s">
        <v>24</v>
      </c>
      <c r="BH89" s="137" t="s">
        <v>24</v>
      </c>
      <c r="BI89" s="137" t="s">
        <v>112</v>
      </c>
      <c r="BJ89" s="137" t="s">
        <v>112</v>
      </c>
      <c r="BK89" s="151">
        <v>45937</v>
      </c>
      <c r="BL89" s="137" t="s">
        <v>112</v>
      </c>
      <c r="BM89" s="145" t="s">
        <v>33</v>
      </c>
      <c r="BN89" s="266"/>
    </row>
    <row r="90" spans="1:66" s="152" customFormat="1" ht="30" customHeight="1">
      <c r="A90" s="204">
        <v>77</v>
      </c>
      <c r="B90" s="204" t="s">
        <v>99</v>
      </c>
      <c r="C90" s="233" t="s">
        <v>100</v>
      </c>
      <c r="D90" s="205" t="s">
        <v>101</v>
      </c>
      <c r="E90" s="204" t="s">
        <v>101</v>
      </c>
      <c r="F90" s="234" t="s">
        <v>447</v>
      </c>
      <c r="G90" s="235" t="s">
        <v>1</v>
      </c>
      <c r="H90" s="235" t="s">
        <v>2</v>
      </c>
      <c r="I90" s="235" t="s">
        <v>12</v>
      </c>
      <c r="J90" s="234" t="s">
        <v>448</v>
      </c>
      <c r="K90" s="234" t="s">
        <v>449</v>
      </c>
      <c r="L90" s="234" t="s">
        <v>450</v>
      </c>
      <c r="M90" s="204"/>
      <c r="N90" s="204"/>
      <c r="O90" s="151"/>
      <c r="P90" s="151"/>
      <c r="Q90" s="151"/>
      <c r="R90" s="151"/>
      <c r="S90" s="142"/>
      <c r="T90" s="142"/>
      <c r="U90" s="142"/>
      <c r="V90" s="142"/>
      <c r="W90" s="142"/>
      <c r="X90" s="142"/>
      <c r="Y90" s="142"/>
      <c r="Z90" s="142"/>
      <c r="AA90" s="137"/>
      <c r="AB90" s="206"/>
      <c r="AC90" s="206"/>
      <c r="AD90" s="206"/>
      <c r="AE90" s="204"/>
      <c r="AF90" s="204"/>
      <c r="AG90" s="143"/>
      <c r="AH90" s="143"/>
      <c r="AI90" s="137"/>
      <c r="AJ90" s="141" t="s">
        <v>105</v>
      </c>
      <c r="AK90" s="204"/>
      <c r="AL90" s="137"/>
      <c r="AM90" s="137"/>
      <c r="AN90" s="137"/>
      <c r="AO90" s="137"/>
      <c r="AP90" s="234"/>
      <c r="AQ90" s="137"/>
      <c r="AR90" s="137"/>
      <c r="AS90" s="137"/>
      <c r="AT90" s="137"/>
      <c r="AU90" s="151"/>
      <c r="AV90" s="137"/>
      <c r="AW90" s="137"/>
      <c r="AX90" s="151"/>
      <c r="AY90" s="142"/>
      <c r="AZ90" s="142"/>
      <c r="BA90" s="137"/>
      <c r="BB90" s="147"/>
      <c r="BC90" s="146" t="str">
        <f t="shared" si="12"/>
        <v/>
      </c>
      <c r="BD90" s="137" t="str">
        <f t="shared" si="13"/>
        <v>INDENIZAÇÃO</v>
      </c>
      <c r="BE90" s="137" t="str">
        <f t="shared" si="14"/>
        <v>NÃO</v>
      </c>
      <c r="BF90" s="137"/>
      <c r="BG90" s="137"/>
      <c r="BH90" s="137"/>
      <c r="BI90" s="137"/>
      <c r="BJ90" s="137"/>
      <c r="BK90" s="151"/>
      <c r="BL90" s="137"/>
      <c r="BM90" s="137"/>
      <c r="BN90" s="266"/>
    </row>
    <row r="91" spans="1:66" s="152" customFormat="1" ht="30" customHeight="1">
      <c r="A91" s="204">
        <v>78</v>
      </c>
      <c r="B91" s="204" t="s">
        <v>99</v>
      </c>
      <c r="C91" s="233" t="s">
        <v>100</v>
      </c>
      <c r="D91" s="205" t="s">
        <v>101</v>
      </c>
      <c r="E91" s="204" t="s">
        <v>101</v>
      </c>
      <c r="F91" s="234" t="s">
        <v>451</v>
      </c>
      <c r="G91" s="235" t="s">
        <v>1</v>
      </c>
      <c r="H91" s="235" t="s">
        <v>2</v>
      </c>
      <c r="I91" s="235" t="s">
        <v>12</v>
      </c>
      <c r="J91" s="234" t="s">
        <v>452</v>
      </c>
      <c r="K91" s="234" t="s">
        <v>453</v>
      </c>
      <c r="L91" s="234" t="s">
        <v>454</v>
      </c>
      <c r="M91" s="204" t="s">
        <v>110</v>
      </c>
      <c r="N91" s="204" t="s">
        <v>5</v>
      </c>
      <c r="O91" s="151">
        <v>45887</v>
      </c>
      <c r="P91" s="151" t="s">
        <v>24</v>
      </c>
      <c r="Q91" s="151" t="s">
        <v>24</v>
      </c>
      <c r="R91" s="151" t="s">
        <v>24</v>
      </c>
      <c r="S91" s="142" t="s">
        <v>24</v>
      </c>
      <c r="T91" s="142" t="s">
        <v>24</v>
      </c>
      <c r="U91" s="142" t="s">
        <v>24</v>
      </c>
      <c r="V91" s="142" t="s">
        <v>24</v>
      </c>
      <c r="W91" s="142" t="s">
        <v>24</v>
      </c>
      <c r="X91" s="142" t="s">
        <v>24</v>
      </c>
      <c r="Y91" s="142" t="s">
        <v>24</v>
      </c>
      <c r="Z91" s="142" t="s">
        <v>24</v>
      </c>
      <c r="AA91" s="137"/>
      <c r="AB91" s="234" t="s">
        <v>452</v>
      </c>
      <c r="AC91" s="234" t="s">
        <v>453</v>
      </c>
      <c r="AD91" s="234" t="s">
        <v>454</v>
      </c>
      <c r="AE91" s="204" t="s">
        <v>12</v>
      </c>
      <c r="AF91" s="204" t="s">
        <v>110</v>
      </c>
      <c r="AG91" s="143">
        <v>75631.73</v>
      </c>
      <c r="AH91" s="143">
        <v>75631.73</v>
      </c>
      <c r="AI91" s="137" t="s">
        <v>6</v>
      </c>
      <c r="AJ91" s="141" t="s">
        <v>105</v>
      </c>
      <c r="AK91" s="204">
        <v>125234906</v>
      </c>
      <c r="AL91" s="137" t="s">
        <v>112</v>
      </c>
      <c r="AM91" s="137" t="s">
        <v>112</v>
      </c>
      <c r="AN91" s="137" t="s">
        <v>113</v>
      </c>
      <c r="AO91" s="137"/>
      <c r="AP91" s="234" t="s">
        <v>455</v>
      </c>
      <c r="AQ91" s="137" t="s">
        <v>112</v>
      </c>
      <c r="AR91" s="137" t="s">
        <v>112</v>
      </c>
      <c r="AS91" s="137" t="s">
        <v>112</v>
      </c>
      <c r="AT91" s="137" t="s">
        <v>112</v>
      </c>
      <c r="AU91" s="151">
        <v>45992</v>
      </c>
      <c r="AV91" s="137" t="s">
        <v>112</v>
      </c>
      <c r="AW91" s="137" t="s">
        <v>112</v>
      </c>
      <c r="AX91" s="151">
        <v>46014</v>
      </c>
      <c r="AY91" s="144">
        <v>46014</v>
      </c>
      <c r="AZ91" s="144" t="s">
        <v>33</v>
      </c>
      <c r="BA91" s="145" t="s">
        <v>115</v>
      </c>
      <c r="BB91" s="147" t="s">
        <v>112</v>
      </c>
      <c r="BC91" s="146">
        <f t="shared" si="12"/>
        <v>127</v>
      </c>
      <c r="BD91" s="137" t="str">
        <f t="shared" si="13"/>
        <v>INDENIZAÇÃO</v>
      </c>
      <c r="BE91" s="137" t="str">
        <f t="shared" si="14"/>
        <v>NÃO</v>
      </c>
      <c r="BF91" s="137" t="s">
        <v>24</v>
      </c>
      <c r="BG91" s="137" t="s">
        <v>24</v>
      </c>
      <c r="BH91" s="137" t="s">
        <v>24</v>
      </c>
      <c r="BI91" s="137" t="s">
        <v>112</v>
      </c>
      <c r="BJ91" s="137" t="s">
        <v>112</v>
      </c>
      <c r="BK91" s="151">
        <v>46112</v>
      </c>
      <c r="BL91" s="137" t="s">
        <v>112</v>
      </c>
      <c r="BM91" s="145" t="s">
        <v>33</v>
      </c>
      <c r="BN91" s="266"/>
    </row>
    <row r="92" spans="1:66" s="152" customFormat="1" ht="30" customHeight="1">
      <c r="A92" s="204">
        <v>79</v>
      </c>
      <c r="B92" s="204" t="s">
        <v>99</v>
      </c>
      <c r="C92" s="233" t="s">
        <v>100</v>
      </c>
      <c r="D92" s="205" t="s">
        <v>101</v>
      </c>
      <c r="E92" s="204" t="s">
        <v>101</v>
      </c>
      <c r="F92" s="234" t="s">
        <v>456</v>
      </c>
      <c r="G92" s="235" t="s">
        <v>1</v>
      </c>
      <c r="H92" s="235" t="s">
        <v>2</v>
      </c>
      <c r="I92" s="235" t="s">
        <v>12</v>
      </c>
      <c r="J92" s="234" t="s">
        <v>457</v>
      </c>
      <c r="K92" s="234" t="s">
        <v>458</v>
      </c>
      <c r="L92" s="234" t="s">
        <v>459</v>
      </c>
      <c r="M92" s="204" t="s">
        <v>110</v>
      </c>
      <c r="N92" s="204" t="s">
        <v>5</v>
      </c>
      <c r="O92" s="151">
        <v>45911</v>
      </c>
      <c r="P92" s="151" t="s">
        <v>24</v>
      </c>
      <c r="Q92" s="151" t="s">
        <v>24</v>
      </c>
      <c r="R92" s="151" t="s">
        <v>24</v>
      </c>
      <c r="S92" s="151" t="s">
        <v>24</v>
      </c>
      <c r="T92" s="151" t="s">
        <v>24</v>
      </c>
      <c r="U92" s="151" t="s">
        <v>24</v>
      </c>
      <c r="V92" s="151" t="s">
        <v>24</v>
      </c>
      <c r="W92" s="151" t="s">
        <v>24</v>
      </c>
      <c r="X92" s="151" t="s">
        <v>24</v>
      </c>
      <c r="Y92" s="151" t="s">
        <v>24</v>
      </c>
      <c r="Z92" s="151" t="s">
        <v>24</v>
      </c>
      <c r="AA92" s="137"/>
      <c r="AB92" s="234" t="s">
        <v>457</v>
      </c>
      <c r="AC92" s="234" t="s">
        <v>458</v>
      </c>
      <c r="AD92" s="234" t="s">
        <v>459</v>
      </c>
      <c r="AE92" s="204" t="s">
        <v>12</v>
      </c>
      <c r="AF92" s="204" t="s">
        <v>110</v>
      </c>
      <c r="AG92" s="143">
        <v>28555.37</v>
      </c>
      <c r="AH92" s="143">
        <v>58555.37</v>
      </c>
      <c r="AI92" s="137" t="s">
        <v>6</v>
      </c>
      <c r="AJ92" s="141" t="s">
        <v>105</v>
      </c>
      <c r="AK92" s="204">
        <v>141879410</v>
      </c>
      <c r="AL92" s="204" t="s">
        <v>112</v>
      </c>
      <c r="AM92" s="204" t="s">
        <v>112</v>
      </c>
      <c r="AN92" s="204" t="s">
        <v>113</v>
      </c>
      <c r="AO92" s="137"/>
      <c r="AP92" s="234" t="s">
        <v>460</v>
      </c>
      <c r="AQ92" s="137" t="s">
        <v>112</v>
      </c>
      <c r="AR92" s="137" t="s">
        <v>112</v>
      </c>
      <c r="AS92" s="137" t="s">
        <v>112</v>
      </c>
      <c r="AT92" s="137" t="s">
        <v>112</v>
      </c>
      <c r="AU92" s="151">
        <v>45992</v>
      </c>
      <c r="AV92" s="137" t="s">
        <v>112</v>
      </c>
      <c r="AW92" s="137" t="s">
        <v>112</v>
      </c>
      <c r="AX92" s="151">
        <v>46014</v>
      </c>
      <c r="AY92" s="144">
        <v>46014</v>
      </c>
      <c r="AZ92" s="144" t="s">
        <v>33</v>
      </c>
      <c r="BA92" s="145" t="s">
        <v>115</v>
      </c>
      <c r="BB92" s="147" t="s">
        <v>112</v>
      </c>
      <c r="BC92" s="146">
        <f t="shared" si="12"/>
        <v>103</v>
      </c>
      <c r="BD92" s="137" t="str">
        <f t="shared" si="13"/>
        <v>INDENIZAÇÃO</v>
      </c>
      <c r="BE92" s="137" t="str">
        <f t="shared" si="14"/>
        <v>NÃO</v>
      </c>
      <c r="BF92" s="137" t="s">
        <v>24</v>
      </c>
      <c r="BG92" s="137" t="s">
        <v>24</v>
      </c>
      <c r="BH92" s="137" t="s">
        <v>24</v>
      </c>
      <c r="BI92" s="137" t="s">
        <v>112</v>
      </c>
      <c r="BJ92" s="137" t="s">
        <v>112</v>
      </c>
      <c r="BK92" s="151">
        <v>46112</v>
      </c>
      <c r="BL92" s="137" t="s">
        <v>112</v>
      </c>
      <c r="BM92" s="145" t="s">
        <v>33</v>
      </c>
      <c r="BN92" s="266"/>
    </row>
    <row r="93" spans="1:66" s="152" customFormat="1" ht="30" customHeight="1">
      <c r="A93" s="204">
        <v>80</v>
      </c>
      <c r="B93" s="204" t="s">
        <v>99</v>
      </c>
      <c r="C93" s="233" t="s">
        <v>100</v>
      </c>
      <c r="D93" s="205" t="s">
        <v>101</v>
      </c>
      <c r="E93" s="204" t="s">
        <v>101</v>
      </c>
      <c r="F93" s="234" t="s">
        <v>461</v>
      </c>
      <c r="G93" s="235" t="s">
        <v>1</v>
      </c>
      <c r="H93" s="235" t="s">
        <v>2</v>
      </c>
      <c r="I93" s="235" t="s">
        <v>12</v>
      </c>
      <c r="J93" s="234" t="s">
        <v>462</v>
      </c>
      <c r="K93" s="234" t="s">
        <v>463</v>
      </c>
      <c r="L93" s="234" t="s">
        <v>464</v>
      </c>
      <c r="M93" s="204" t="s">
        <v>110</v>
      </c>
      <c r="N93" s="204" t="s">
        <v>5</v>
      </c>
      <c r="O93" s="151">
        <v>45894</v>
      </c>
      <c r="P93" s="151" t="s">
        <v>24</v>
      </c>
      <c r="Q93" s="151" t="s">
        <v>24</v>
      </c>
      <c r="R93" s="151" t="s">
        <v>24</v>
      </c>
      <c r="S93" s="142" t="s">
        <v>24</v>
      </c>
      <c r="T93" s="142" t="s">
        <v>24</v>
      </c>
      <c r="U93" s="142" t="s">
        <v>24</v>
      </c>
      <c r="V93" s="142" t="s">
        <v>24</v>
      </c>
      <c r="W93" s="142" t="s">
        <v>24</v>
      </c>
      <c r="X93" s="142" t="s">
        <v>24</v>
      </c>
      <c r="Y93" s="142" t="s">
        <v>24</v>
      </c>
      <c r="Z93" s="142" t="s">
        <v>24</v>
      </c>
      <c r="AA93" s="137"/>
      <c r="AB93" s="234" t="s">
        <v>462</v>
      </c>
      <c r="AC93" s="234" t="s">
        <v>463</v>
      </c>
      <c r="AD93" s="234" t="s">
        <v>464</v>
      </c>
      <c r="AE93" s="204" t="s">
        <v>12</v>
      </c>
      <c r="AF93" s="204" t="s">
        <v>110</v>
      </c>
      <c r="AG93" s="143">
        <v>59170.54</v>
      </c>
      <c r="AH93" s="143">
        <v>60000</v>
      </c>
      <c r="AI93" s="137" t="s">
        <v>6</v>
      </c>
      <c r="AJ93" s="141" t="s">
        <v>105</v>
      </c>
      <c r="AK93" s="204">
        <v>125235166</v>
      </c>
      <c r="AL93" s="137" t="s">
        <v>112</v>
      </c>
      <c r="AM93" s="137" t="s">
        <v>112</v>
      </c>
      <c r="AN93" s="137" t="s">
        <v>113</v>
      </c>
      <c r="AO93" s="137"/>
      <c r="AP93" s="234" t="s">
        <v>465</v>
      </c>
      <c r="AQ93" s="137" t="s">
        <v>112</v>
      </c>
      <c r="AR93" s="137" t="s">
        <v>112</v>
      </c>
      <c r="AS93" s="137" t="s">
        <v>112</v>
      </c>
      <c r="AT93" s="137" t="s">
        <v>112</v>
      </c>
      <c r="AU93" s="151">
        <v>46071</v>
      </c>
      <c r="AV93" s="150" t="s">
        <v>112</v>
      </c>
      <c r="AW93" s="150" t="s">
        <v>112</v>
      </c>
      <c r="AX93" s="142">
        <v>46087</v>
      </c>
      <c r="AY93" s="144">
        <v>46087</v>
      </c>
      <c r="AZ93" s="144" t="s">
        <v>33</v>
      </c>
      <c r="BA93" s="145" t="s">
        <v>115</v>
      </c>
      <c r="BB93" s="147" t="s">
        <v>112</v>
      </c>
      <c r="BC93" s="146">
        <f t="shared" si="12"/>
        <v>193</v>
      </c>
      <c r="BD93" s="137" t="str">
        <f t="shared" si="13"/>
        <v>INDENIZAÇÃO</v>
      </c>
      <c r="BE93" s="137" t="str">
        <f t="shared" si="14"/>
        <v>NÃO</v>
      </c>
      <c r="BF93" s="137" t="s">
        <v>24</v>
      </c>
      <c r="BG93" s="137" t="s">
        <v>24</v>
      </c>
      <c r="BH93" s="137" t="s">
        <v>24</v>
      </c>
      <c r="BI93" s="137" t="s">
        <v>112</v>
      </c>
      <c r="BJ93" s="137" t="s">
        <v>112</v>
      </c>
      <c r="BK93" s="151">
        <v>46139</v>
      </c>
      <c r="BL93" s="145" t="s">
        <v>188</v>
      </c>
      <c r="BM93" s="145"/>
      <c r="BN93" s="266"/>
    </row>
    <row r="94" spans="1:66" s="152" customFormat="1" ht="30" customHeight="1">
      <c r="A94" s="204">
        <v>81</v>
      </c>
      <c r="B94" s="204" t="s">
        <v>99</v>
      </c>
      <c r="C94" s="233" t="s">
        <v>100</v>
      </c>
      <c r="D94" s="205" t="s">
        <v>101</v>
      </c>
      <c r="E94" s="204" t="s">
        <v>101</v>
      </c>
      <c r="F94" s="234" t="s">
        <v>466</v>
      </c>
      <c r="G94" s="235" t="s">
        <v>1</v>
      </c>
      <c r="H94" s="235" t="s">
        <v>2</v>
      </c>
      <c r="I94" s="204" t="s">
        <v>12</v>
      </c>
      <c r="J94" s="234" t="s">
        <v>467</v>
      </c>
      <c r="K94" s="234" t="s">
        <v>468</v>
      </c>
      <c r="L94" s="234" t="s">
        <v>469</v>
      </c>
      <c r="M94" s="204" t="s">
        <v>110</v>
      </c>
      <c r="N94" s="204" t="s">
        <v>5</v>
      </c>
      <c r="O94" s="151">
        <v>45819</v>
      </c>
      <c r="P94" s="151" t="s">
        <v>24</v>
      </c>
      <c r="Q94" s="151" t="s">
        <v>24</v>
      </c>
      <c r="R94" s="151" t="s">
        <v>24</v>
      </c>
      <c r="S94" s="151" t="s">
        <v>24</v>
      </c>
      <c r="T94" s="151" t="s">
        <v>24</v>
      </c>
      <c r="U94" s="151" t="s">
        <v>24</v>
      </c>
      <c r="V94" s="151" t="s">
        <v>24</v>
      </c>
      <c r="W94" s="151" t="s">
        <v>24</v>
      </c>
      <c r="X94" s="151" t="s">
        <v>24</v>
      </c>
      <c r="Y94" s="151" t="s">
        <v>24</v>
      </c>
      <c r="Z94" s="151" t="s">
        <v>24</v>
      </c>
      <c r="AA94" s="137"/>
      <c r="AB94" s="234" t="s">
        <v>467</v>
      </c>
      <c r="AC94" s="234" t="s">
        <v>468</v>
      </c>
      <c r="AD94" s="234" t="s">
        <v>469</v>
      </c>
      <c r="AE94" s="204" t="s">
        <v>12</v>
      </c>
      <c r="AF94" s="204" t="s">
        <v>110</v>
      </c>
      <c r="AG94" s="143">
        <v>19293.57</v>
      </c>
      <c r="AH94" s="143">
        <v>49293.57</v>
      </c>
      <c r="AI94" s="137" t="s">
        <v>6</v>
      </c>
      <c r="AJ94" s="141" t="s">
        <v>105</v>
      </c>
      <c r="AK94" s="204">
        <v>123203151</v>
      </c>
      <c r="AL94" s="137" t="s">
        <v>112</v>
      </c>
      <c r="AM94" s="137" t="s">
        <v>112</v>
      </c>
      <c r="AN94" s="137" t="s">
        <v>113</v>
      </c>
      <c r="AO94" s="137"/>
      <c r="AP94" s="234" t="s">
        <v>470</v>
      </c>
      <c r="AQ94" s="137" t="s">
        <v>112</v>
      </c>
      <c r="AR94" s="137" t="s">
        <v>112</v>
      </c>
      <c r="AS94" s="137" t="s">
        <v>112</v>
      </c>
      <c r="AT94" s="137" t="s">
        <v>112</v>
      </c>
      <c r="AU94" s="151">
        <v>45909</v>
      </c>
      <c r="AV94" s="137" t="s">
        <v>112</v>
      </c>
      <c r="AW94" s="137" t="s">
        <v>112</v>
      </c>
      <c r="AX94" s="151">
        <v>45915</v>
      </c>
      <c r="AY94" s="144">
        <v>45915</v>
      </c>
      <c r="AZ94" s="151">
        <v>45944</v>
      </c>
      <c r="BA94" s="145" t="s">
        <v>115</v>
      </c>
      <c r="BB94" s="147" t="s">
        <v>112</v>
      </c>
      <c r="BC94" s="146">
        <f t="shared" si="12"/>
        <v>96</v>
      </c>
      <c r="BD94" s="137" t="str">
        <f t="shared" si="13"/>
        <v>INDENIZAÇÃO</v>
      </c>
      <c r="BE94" s="137" t="str">
        <f t="shared" si="14"/>
        <v>NÃO</v>
      </c>
      <c r="BF94" s="137" t="s">
        <v>24</v>
      </c>
      <c r="BG94" s="137" t="s">
        <v>24</v>
      </c>
      <c r="BH94" s="137" t="s">
        <v>24</v>
      </c>
      <c r="BI94" s="137" t="s">
        <v>112</v>
      </c>
      <c r="BJ94" s="137" t="s">
        <v>112</v>
      </c>
      <c r="BK94" s="151">
        <v>45937</v>
      </c>
      <c r="BL94" s="137" t="s">
        <v>112</v>
      </c>
      <c r="BM94" s="145" t="s">
        <v>33</v>
      </c>
      <c r="BN94" s="266"/>
    </row>
    <row r="95" spans="1:66" s="152" customFormat="1" ht="30" customHeight="1">
      <c r="A95" s="204">
        <v>82</v>
      </c>
      <c r="B95" s="204" t="s">
        <v>99</v>
      </c>
      <c r="C95" s="233" t="s">
        <v>100</v>
      </c>
      <c r="D95" s="205" t="s">
        <v>101</v>
      </c>
      <c r="E95" s="204" t="s">
        <v>101</v>
      </c>
      <c r="F95" s="234" t="s">
        <v>471</v>
      </c>
      <c r="G95" s="235" t="s">
        <v>1</v>
      </c>
      <c r="H95" s="235" t="s">
        <v>2</v>
      </c>
      <c r="I95" s="204" t="s">
        <v>12</v>
      </c>
      <c r="J95" s="234" t="s">
        <v>472</v>
      </c>
      <c r="K95" s="234" t="s">
        <v>473</v>
      </c>
      <c r="L95" s="234" t="s">
        <v>474</v>
      </c>
      <c r="M95" s="204" t="s">
        <v>110</v>
      </c>
      <c r="N95" s="204" t="s">
        <v>5</v>
      </c>
      <c r="O95" s="151">
        <v>45819</v>
      </c>
      <c r="P95" s="151" t="s">
        <v>24</v>
      </c>
      <c r="Q95" s="151" t="s">
        <v>24</v>
      </c>
      <c r="R95" s="151" t="s">
        <v>24</v>
      </c>
      <c r="S95" s="151" t="s">
        <v>24</v>
      </c>
      <c r="T95" s="151" t="s">
        <v>24</v>
      </c>
      <c r="U95" s="151" t="s">
        <v>24</v>
      </c>
      <c r="V95" s="151" t="s">
        <v>24</v>
      </c>
      <c r="W95" s="151" t="s">
        <v>24</v>
      </c>
      <c r="X95" s="151" t="s">
        <v>24</v>
      </c>
      <c r="Y95" s="151" t="s">
        <v>24</v>
      </c>
      <c r="Z95" s="151" t="s">
        <v>24</v>
      </c>
      <c r="AA95" s="137"/>
      <c r="AB95" s="234" t="s">
        <v>472</v>
      </c>
      <c r="AC95" s="234" t="s">
        <v>473</v>
      </c>
      <c r="AD95" s="234" t="s">
        <v>474</v>
      </c>
      <c r="AE95" s="204" t="s">
        <v>12</v>
      </c>
      <c r="AF95" s="204" t="s">
        <v>110</v>
      </c>
      <c r="AG95" s="143">
        <v>27056.78</v>
      </c>
      <c r="AH95" s="143">
        <v>57056.78</v>
      </c>
      <c r="AI95" s="137" t="s">
        <v>6</v>
      </c>
      <c r="AJ95" s="141" t="s">
        <v>105</v>
      </c>
      <c r="AK95" s="204">
        <v>123203198</v>
      </c>
      <c r="AL95" s="137" t="s">
        <v>112</v>
      </c>
      <c r="AM95" s="137" t="s">
        <v>112</v>
      </c>
      <c r="AN95" s="137" t="s">
        <v>113</v>
      </c>
      <c r="AO95" s="137"/>
      <c r="AP95" s="234" t="s">
        <v>475</v>
      </c>
      <c r="AQ95" s="137" t="s">
        <v>112</v>
      </c>
      <c r="AR95" s="137" t="s">
        <v>112</v>
      </c>
      <c r="AS95" s="137" t="s">
        <v>112</v>
      </c>
      <c r="AT95" s="137" t="s">
        <v>112</v>
      </c>
      <c r="AU95" s="151">
        <v>45911</v>
      </c>
      <c r="AV95" s="137" t="s">
        <v>112</v>
      </c>
      <c r="AW95" s="137" t="s">
        <v>112</v>
      </c>
      <c r="AX95" s="151">
        <v>45917</v>
      </c>
      <c r="AY95" s="144">
        <v>45917</v>
      </c>
      <c r="AZ95" s="151">
        <v>45952</v>
      </c>
      <c r="BA95" s="145" t="s">
        <v>115</v>
      </c>
      <c r="BB95" s="147" t="s">
        <v>112</v>
      </c>
      <c r="BC95" s="146">
        <f t="shared" si="12"/>
        <v>98</v>
      </c>
      <c r="BD95" s="137" t="str">
        <f t="shared" si="13"/>
        <v>INDENIZAÇÃO</v>
      </c>
      <c r="BE95" s="137" t="str">
        <f t="shared" si="14"/>
        <v>NÃO</v>
      </c>
      <c r="BF95" s="137" t="s">
        <v>24</v>
      </c>
      <c r="BG95" s="137" t="s">
        <v>24</v>
      </c>
      <c r="BH95" s="137" t="s">
        <v>24</v>
      </c>
      <c r="BI95" s="137" t="s">
        <v>112</v>
      </c>
      <c r="BJ95" s="137" t="s">
        <v>112</v>
      </c>
      <c r="BK95" s="151">
        <v>45937</v>
      </c>
      <c r="BL95" s="137" t="s">
        <v>112</v>
      </c>
      <c r="BM95" s="145" t="s">
        <v>33</v>
      </c>
      <c r="BN95" s="266"/>
    </row>
    <row r="96" spans="1:66" s="152" customFormat="1" ht="30" customHeight="1">
      <c r="A96" s="204">
        <v>83</v>
      </c>
      <c r="B96" s="204" t="s">
        <v>99</v>
      </c>
      <c r="C96" s="233" t="s">
        <v>100</v>
      </c>
      <c r="D96" s="205" t="s">
        <v>101</v>
      </c>
      <c r="E96" s="204" t="s">
        <v>101</v>
      </c>
      <c r="F96" s="234" t="s">
        <v>476</v>
      </c>
      <c r="G96" s="235" t="s">
        <v>1</v>
      </c>
      <c r="H96" s="235" t="s">
        <v>2</v>
      </c>
      <c r="I96" s="204" t="s">
        <v>12</v>
      </c>
      <c r="J96" s="234" t="s">
        <v>477</v>
      </c>
      <c r="K96" s="234" t="s">
        <v>478</v>
      </c>
      <c r="L96" s="234" t="s">
        <v>479</v>
      </c>
      <c r="M96" s="204" t="s">
        <v>110</v>
      </c>
      <c r="N96" s="204" t="s">
        <v>5</v>
      </c>
      <c r="O96" s="151">
        <v>45819</v>
      </c>
      <c r="P96" s="151" t="s">
        <v>24</v>
      </c>
      <c r="Q96" s="151" t="s">
        <v>24</v>
      </c>
      <c r="R96" s="151" t="s">
        <v>24</v>
      </c>
      <c r="S96" s="151" t="s">
        <v>24</v>
      </c>
      <c r="T96" s="151" t="s">
        <v>24</v>
      </c>
      <c r="U96" s="151" t="s">
        <v>24</v>
      </c>
      <c r="V96" s="151" t="s">
        <v>24</v>
      </c>
      <c r="W96" s="151" t="s">
        <v>24</v>
      </c>
      <c r="X96" s="151" t="s">
        <v>24</v>
      </c>
      <c r="Y96" s="151" t="s">
        <v>24</v>
      </c>
      <c r="Z96" s="151" t="s">
        <v>24</v>
      </c>
      <c r="AA96" s="137"/>
      <c r="AB96" s="234" t="s">
        <v>477</v>
      </c>
      <c r="AC96" s="234" t="s">
        <v>478</v>
      </c>
      <c r="AD96" s="234" t="s">
        <v>479</v>
      </c>
      <c r="AE96" s="204" t="s">
        <v>12</v>
      </c>
      <c r="AF96" s="204" t="s">
        <v>110</v>
      </c>
      <c r="AG96" s="143">
        <v>22968</v>
      </c>
      <c r="AH96" s="143">
        <v>52968</v>
      </c>
      <c r="AI96" s="137" t="s">
        <v>6</v>
      </c>
      <c r="AJ96" s="141" t="s">
        <v>105</v>
      </c>
      <c r="AK96" s="204">
        <v>123203298</v>
      </c>
      <c r="AL96" s="137" t="s">
        <v>112</v>
      </c>
      <c r="AM96" s="137" t="s">
        <v>112</v>
      </c>
      <c r="AN96" s="137" t="s">
        <v>113</v>
      </c>
      <c r="AO96" s="137"/>
      <c r="AP96" s="234" t="s">
        <v>480</v>
      </c>
      <c r="AQ96" s="137" t="s">
        <v>112</v>
      </c>
      <c r="AR96" s="137" t="s">
        <v>112</v>
      </c>
      <c r="AS96" s="137" t="s">
        <v>112</v>
      </c>
      <c r="AT96" s="137" t="s">
        <v>112</v>
      </c>
      <c r="AU96" s="151">
        <v>45911</v>
      </c>
      <c r="AV96" s="137" t="s">
        <v>112</v>
      </c>
      <c r="AW96" s="137" t="s">
        <v>112</v>
      </c>
      <c r="AX96" s="151">
        <v>45917</v>
      </c>
      <c r="AY96" s="144">
        <v>45917</v>
      </c>
      <c r="AZ96" s="151">
        <v>45952</v>
      </c>
      <c r="BA96" s="145" t="s">
        <v>115</v>
      </c>
      <c r="BB96" s="147" t="s">
        <v>112</v>
      </c>
      <c r="BC96" s="146">
        <f t="shared" si="12"/>
        <v>98</v>
      </c>
      <c r="BD96" s="137" t="str">
        <f t="shared" si="13"/>
        <v>INDENIZAÇÃO</v>
      </c>
      <c r="BE96" s="137" t="str">
        <f t="shared" si="14"/>
        <v>NÃO</v>
      </c>
      <c r="BF96" s="137" t="s">
        <v>24</v>
      </c>
      <c r="BG96" s="137" t="s">
        <v>24</v>
      </c>
      <c r="BH96" s="137" t="s">
        <v>24</v>
      </c>
      <c r="BI96" s="137" t="s">
        <v>112</v>
      </c>
      <c r="BJ96" s="137" t="s">
        <v>112</v>
      </c>
      <c r="BK96" s="151">
        <v>45937</v>
      </c>
      <c r="BL96" s="137" t="s">
        <v>112</v>
      </c>
      <c r="BM96" s="145" t="s">
        <v>33</v>
      </c>
      <c r="BN96" s="266"/>
    </row>
    <row r="97" spans="1:66" s="152" customFormat="1" ht="30" customHeight="1">
      <c r="A97" s="204">
        <v>84</v>
      </c>
      <c r="B97" s="204" t="s">
        <v>99</v>
      </c>
      <c r="C97" s="233" t="s">
        <v>100</v>
      </c>
      <c r="D97" s="205" t="s">
        <v>101</v>
      </c>
      <c r="E97" s="204" t="s">
        <v>101</v>
      </c>
      <c r="F97" s="234" t="s">
        <v>481</v>
      </c>
      <c r="G97" s="235" t="s">
        <v>1</v>
      </c>
      <c r="H97" s="235" t="s">
        <v>2</v>
      </c>
      <c r="I97" s="235" t="s">
        <v>12</v>
      </c>
      <c r="J97" s="234" t="s">
        <v>482</v>
      </c>
      <c r="K97" s="234">
        <v>382532181</v>
      </c>
      <c r="L97" s="234">
        <v>32136750836</v>
      </c>
      <c r="M97" s="204"/>
      <c r="N97" s="204"/>
      <c r="O97" s="151"/>
      <c r="P97" s="151"/>
      <c r="Q97" s="151"/>
      <c r="R97" s="151"/>
      <c r="S97" s="142"/>
      <c r="T97" s="142"/>
      <c r="U97" s="142"/>
      <c r="V97" s="142"/>
      <c r="W97" s="142"/>
      <c r="X97" s="142"/>
      <c r="Y97" s="142"/>
      <c r="Z97" s="142"/>
      <c r="AA97" s="137"/>
      <c r="AB97" s="206"/>
      <c r="AC97" s="206"/>
      <c r="AD97" s="206"/>
      <c r="AE97" s="204"/>
      <c r="AF97" s="204"/>
      <c r="AG97" s="143"/>
      <c r="AH97" s="143"/>
      <c r="AI97" s="137"/>
      <c r="AJ97" s="141" t="s">
        <v>105</v>
      </c>
      <c r="AK97" s="204"/>
      <c r="AL97" s="137"/>
      <c r="AM97" s="137"/>
      <c r="AN97" s="137"/>
      <c r="AO97" s="137"/>
      <c r="AP97" s="234"/>
      <c r="AQ97" s="137"/>
      <c r="AR97" s="137"/>
      <c r="AS97" s="137"/>
      <c r="AT97" s="137"/>
      <c r="AU97" s="151"/>
      <c r="AV97" s="137"/>
      <c r="AW97" s="137"/>
      <c r="AX97" s="151"/>
      <c r="AY97" s="142"/>
      <c r="AZ97" s="142"/>
      <c r="BA97" s="137"/>
      <c r="BB97" s="147"/>
      <c r="BC97" s="146" t="str">
        <f t="shared" si="12"/>
        <v/>
      </c>
      <c r="BD97" s="137" t="str">
        <f t="shared" si="13"/>
        <v>INDENIZAÇÃO</v>
      </c>
      <c r="BE97" s="137" t="str">
        <f t="shared" si="14"/>
        <v>NÃO</v>
      </c>
      <c r="BF97" s="137"/>
      <c r="BG97" s="137"/>
      <c r="BH97" s="137"/>
      <c r="BI97" s="137"/>
      <c r="BJ97" s="137"/>
      <c r="BK97" s="151"/>
      <c r="BL97" s="137"/>
      <c r="BM97" s="137"/>
      <c r="BN97" s="266"/>
    </row>
    <row r="98" spans="1:66" s="152" customFormat="1" ht="30" customHeight="1">
      <c r="A98" s="204">
        <v>85</v>
      </c>
      <c r="B98" s="204" t="s">
        <v>99</v>
      </c>
      <c r="C98" s="233" t="s">
        <v>100</v>
      </c>
      <c r="D98" s="205" t="s">
        <v>101</v>
      </c>
      <c r="E98" s="204" t="s">
        <v>101</v>
      </c>
      <c r="F98" s="234" t="s">
        <v>483</v>
      </c>
      <c r="G98" s="235" t="s">
        <v>1</v>
      </c>
      <c r="H98" s="235" t="s">
        <v>2</v>
      </c>
      <c r="I98" s="235" t="s">
        <v>12</v>
      </c>
      <c r="J98" s="234" t="s">
        <v>484</v>
      </c>
      <c r="K98" s="234" t="s">
        <v>485</v>
      </c>
      <c r="L98" s="234" t="s">
        <v>486</v>
      </c>
      <c r="M98" s="204"/>
      <c r="N98" s="204"/>
      <c r="O98" s="151"/>
      <c r="P98" s="151"/>
      <c r="Q98" s="151"/>
      <c r="R98" s="151"/>
      <c r="S98" s="142"/>
      <c r="T98" s="142"/>
      <c r="U98" s="142"/>
      <c r="V98" s="142"/>
      <c r="W98" s="142"/>
      <c r="X98" s="142"/>
      <c r="Y98" s="142"/>
      <c r="Z98" s="142"/>
      <c r="AA98" s="137"/>
      <c r="AB98" s="206"/>
      <c r="AC98" s="206"/>
      <c r="AD98" s="206"/>
      <c r="AE98" s="204"/>
      <c r="AF98" s="204"/>
      <c r="AG98" s="143"/>
      <c r="AH98" s="143"/>
      <c r="AI98" s="137"/>
      <c r="AJ98" s="141" t="s">
        <v>105</v>
      </c>
      <c r="AK98" s="204"/>
      <c r="AL98" s="137"/>
      <c r="AM98" s="137"/>
      <c r="AN98" s="137"/>
      <c r="AO98" s="137"/>
      <c r="AP98" s="234"/>
      <c r="AQ98" s="137"/>
      <c r="AR98" s="137"/>
      <c r="AS98" s="137"/>
      <c r="AT98" s="137"/>
      <c r="AU98" s="151"/>
      <c r="AV98" s="137"/>
      <c r="AW98" s="137"/>
      <c r="AX98" s="151"/>
      <c r="AY98" s="142"/>
      <c r="AZ98" s="142"/>
      <c r="BA98" s="137"/>
      <c r="BB98" s="147"/>
      <c r="BC98" s="146" t="str">
        <f t="shared" si="12"/>
        <v/>
      </c>
      <c r="BD98" s="137" t="str">
        <f t="shared" si="13"/>
        <v>INDENIZAÇÃO</v>
      </c>
      <c r="BE98" s="137" t="str">
        <f t="shared" si="14"/>
        <v>NÃO</v>
      </c>
      <c r="BF98" s="137"/>
      <c r="BG98" s="137"/>
      <c r="BH98" s="137"/>
      <c r="BI98" s="137"/>
      <c r="BJ98" s="137"/>
      <c r="BK98" s="151"/>
      <c r="BL98" s="137"/>
      <c r="BM98" s="137"/>
      <c r="BN98" s="266"/>
    </row>
    <row r="99" spans="1:66" s="152" customFormat="1" ht="30" customHeight="1">
      <c r="A99" s="204">
        <v>86</v>
      </c>
      <c r="B99" s="204" t="s">
        <v>99</v>
      </c>
      <c r="C99" s="233" t="s">
        <v>100</v>
      </c>
      <c r="D99" s="205" t="s">
        <v>101</v>
      </c>
      <c r="E99" s="204" t="s">
        <v>101</v>
      </c>
      <c r="F99" s="234" t="s">
        <v>487</v>
      </c>
      <c r="G99" s="235" t="s">
        <v>1</v>
      </c>
      <c r="H99" s="235" t="s">
        <v>20</v>
      </c>
      <c r="I99" s="204" t="s">
        <v>12</v>
      </c>
      <c r="J99" s="234" t="s">
        <v>488</v>
      </c>
      <c r="K99" s="234" t="s">
        <v>489</v>
      </c>
      <c r="L99" s="234" t="s">
        <v>490</v>
      </c>
      <c r="M99" s="204" t="s">
        <v>110</v>
      </c>
      <c r="N99" s="204" t="s">
        <v>5</v>
      </c>
      <c r="O99" s="151">
        <v>45819</v>
      </c>
      <c r="P99" s="151" t="s">
        <v>24</v>
      </c>
      <c r="Q99" s="151" t="s">
        <v>24</v>
      </c>
      <c r="R99" s="151" t="s">
        <v>24</v>
      </c>
      <c r="S99" s="151" t="s">
        <v>24</v>
      </c>
      <c r="T99" s="151" t="s">
        <v>24</v>
      </c>
      <c r="U99" s="151" t="s">
        <v>24</v>
      </c>
      <c r="V99" s="151" t="s">
        <v>24</v>
      </c>
      <c r="W99" s="151" t="s">
        <v>24</v>
      </c>
      <c r="X99" s="151" t="s">
        <v>24</v>
      </c>
      <c r="Y99" s="151" t="s">
        <v>24</v>
      </c>
      <c r="Z99" s="151" t="s">
        <v>24</v>
      </c>
      <c r="AA99" s="137"/>
      <c r="AB99" s="234" t="s">
        <v>488</v>
      </c>
      <c r="AC99" s="234" t="s">
        <v>489</v>
      </c>
      <c r="AD99" s="234" t="s">
        <v>490</v>
      </c>
      <c r="AE99" s="204" t="s">
        <v>12</v>
      </c>
      <c r="AF99" s="204" t="s">
        <v>110</v>
      </c>
      <c r="AG99" s="143">
        <v>47150.49</v>
      </c>
      <c r="AH99" s="143">
        <v>60000</v>
      </c>
      <c r="AI99" s="137" t="s">
        <v>6</v>
      </c>
      <c r="AJ99" s="141" t="s">
        <v>105</v>
      </c>
      <c r="AK99" s="204">
        <v>123203596</v>
      </c>
      <c r="AL99" s="137" t="s">
        <v>112</v>
      </c>
      <c r="AM99" s="137" t="s">
        <v>112</v>
      </c>
      <c r="AN99" s="137" t="s">
        <v>113</v>
      </c>
      <c r="AO99" s="137"/>
      <c r="AP99" s="234" t="s">
        <v>491</v>
      </c>
      <c r="AQ99" s="137" t="s">
        <v>112</v>
      </c>
      <c r="AR99" s="137" t="s">
        <v>112</v>
      </c>
      <c r="AS99" s="137" t="s">
        <v>112</v>
      </c>
      <c r="AT99" s="137" t="s">
        <v>112</v>
      </c>
      <c r="AU99" s="151">
        <v>45909</v>
      </c>
      <c r="AV99" s="137" t="s">
        <v>112</v>
      </c>
      <c r="AW99" s="137" t="s">
        <v>112</v>
      </c>
      <c r="AX99" s="151">
        <v>45915</v>
      </c>
      <c r="AY99" s="144">
        <v>45915</v>
      </c>
      <c r="AZ99" s="151">
        <v>45965</v>
      </c>
      <c r="BA99" s="145" t="s">
        <v>115</v>
      </c>
      <c r="BB99" s="147" t="s">
        <v>112</v>
      </c>
      <c r="BC99" s="146">
        <f t="shared" si="12"/>
        <v>96</v>
      </c>
      <c r="BD99" s="137" t="str">
        <f t="shared" si="13"/>
        <v>INDENIZAÇÃO</v>
      </c>
      <c r="BE99" s="137" t="str">
        <f t="shared" si="14"/>
        <v>NÃO</v>
      </c>
      <c r="BF99" s="137" t="s">
        <v>24</v>
      </c>
      <c r="BG99" s="137" t="s">
        <v>24</v>
      </c>
      <c r="BH99" s="137" t="s">
        <v>24</v>
      </c>
      <c r="BI99" s="137" t="s">
        <v>112</v>
      </c>
      <c r="BJ99" s="137" t="s">
        <v>112</v>
      </c>
      <c r="BK99" s="151">
        <v>45937</v>
      </c>
      <c r="BL99" s="137" t="s">
        <v>112</v>
      </c>
      <c r="BM99" s="145" t="s">
        <v>33</v>
      </c>
      <c r="BN99" s="266"/>
    </row>
    <row r="100" spans="1:66" s="152" customFormat="1" ht="30" customHeight="1">
      <c r="A100" s="204">
        <v>87</v>
      </c>
      <c r="B100" s="204" t="s">
        <v>99</v>
      </c>
      <c r="C100" s="233" t="s">
        <v>100</v>
      </c>
      <c r="D100" s="205" t="s">
        <v>101</v>
      </c>
      <c r="E100" s="204" t="s">
        <v>101</v>
      </c>
      <c r="F100" s="234" t="s">
        <v>492</v>
      </c>
      <c r="G100" s="235" t="s">
        <v>1</v>
      </c>
      <c r="H100" s="235" t="s">
        <v>2</v>
      </c>
      <c r="I100" s="204" t="s">
        <v>12</v>
      </c>
      <c r="J100" s="234" t="s">
        <v>493</v>
      </c>
      <c r="K100" s="234" t="s">
        <v>494</v>
      </c>
      <c r="L100" s="234" t="s">
        <v>495</v>
      </c>
      <c r="M100" s="204" t="s">
        <v>110</v>
      </c>
      <c r="N100" s="204" t="s">
        <v>5</v>
      </c>
      <c r="O100" s="151">
        <v>45819</v>
      </c>
      <c r="P100" s="151" t="s">
        <v>24</v>
      </c>
      <c r="Q100" s="151" t="s">
        <v>24</v>
      </c>
      <c r="R100" s="151" t="s">
        <v>24</v>
      </c>
      <c r="S100" s="151" t="s">
        <v>24</v>
      </c>
      <c r="T100" s="151" t="s">
        <v>24</v>
      </c>
      <c r="U100" s="151" t="s">
        <v>24</v>
      </c>
      <c r="V100" s="151" t="s">
        <v>24</v>
      </c>
      <c r="W100" s="151" t="s">
        <v>24</v>
      </c>
      <c r="X100" s="151" t="s">
        <v>24</v>
      </c>
      <c r="Y100" s="151" t="s">
        <v>24</v>
      </c>
      <c r="Z100" s="151" t="s">
        <v>24</v>
      </c>
      <c r="AA100" s="137"/>
      <c r="AB100" s="234" t="s">
        <v>493</v>
      </c>
      <c r="AC100" s="234" t="s">
        <v>494</v>
      </c>
      <c r="AD100" s="234" t="s">
        <v>495</v>
      </c>
      <c r="AE100" s="204" t="s">
        <v>12</v>
      </c>
      <c r="AF100" s="204" t="s">
        <v>110</v>
      </c>
      <c r="AG100" s="143">
        <v>9207.33</v>
      </c>
      <c r="AH100" s="143">
        <v>39207.33</v>
      </c>
      <c r="AI100" s="137" t="s">
        <v>6</v>
      </c>
      <c r="AJ100" s="141" t="s">
        <v>105</v>
      </c>
      <c r="AK100" s="204">
        <v>123205888</v>
      </c>
      <c r="AL100" s="137" t="s">
        <v>112</v>
      </c>
      <c r="AM100" s="137" t="s">
        <v>112</v>
      </c>
      <c r="AN100" s="137" t="s">
        <v>113</v>
      </c>
      <c r="AO100" s="137"/>
      <c r="AP100" s="234" t="s">
        <v>496</v>
      </c>
      <c r="AQ100" s="137" t="s">
        <v>112</v>
      </c>
      <c r="AR100" s="137" t="s">
        <v>112</v>
      </c>
      <c r="AS100" s="137" t="s">
        <v>112</v>
      </c>
      <c r="AT100" s="137" t="s">
        <v>112</v>
      </c>
      <c r="AU100" s="151">
        <v>45909</v>
      </c>
      <c r="AV100" s="137" t="s">
        <v>112</v>
      </c>
      <c r="AW100" s="137" t="s">
        <v>112</v>
      </c>
      <c r="AX100" s="151">
        <v>45915</v>
      </c>
      <c r="AY100" s="144">
        <v>45915</v>
      </c>
      <c r="AZ100" s="151">
        <v>45965</v>
      </c>
      <c r="BA100" s="145" t="s">
        <v>115</v>
      </c>
      <c r="BB100" s="147" t="s">
        <v>112</v>
      </c>
      <c r="BC100" s="146">
        <f t="shared" si="12"/>
        <v>96</v>
      </c>
      <c r="BD100" s="137" t="str">
        <f t="shared" si="13"/>
        <v>INDENIZAÇÃO</v>
      </c>
      <c r="BE100" s="137" t="str">
        <f t="shared" si="14"/>
        <v>NÃO</v>
      </c>
      <c r="BF100" s="137" t="s">
        <v>24</v>
      </c>
      <c r="BG100" s="137" t="s">
        <v>24</v>
      </c>
      <c r="BH100" s="137" t="s">
        <v>24</v>
      </c>
      <c r="BI100" s="137" t="s">
        <v>112</v>
      </c>
      <c r="BJ100" s="137" t="s">
        <v>112</v>
      </c>
      <c r="BK100" s="151">
        <v>45937</v>
      </c>
      <c r="BL100" s="137" t="s">
        <v>112</v>
      </c>
      <c r="BM100" s="145" t="s">
        <v>33</v>
      </c>
      <c r="BN100" s="266"/>
    </row>
    <row r="101" spans="1:66" s="152" customFormat="1" ht="30" customHeight="1">
      <c r="A101" s="204">
        <v>88</v>
      </c>
      <c r="B101" s="204" t="s">
        <v>99</v>
      </c>
      <c r="C101" s="233" t="s">
        <v>100</v>
      </c>
      <c r="D101" s="205" t="s">
        <v>101</v>
      </c>
      <c r="E101" s="204" t="s">
        <v>101</v>
      </c>
      <c r="F101" s="234" t="s">
        <v>497</v>
      </c>
      <c r="G101" s="235" t="s">
        <v>1</v>
      </c>
      <c r="H101" s="235" t="s">
        <v>2</v>
      </c>
      <c r="I101" s="204" t="s">
        <v>12</v>
      </c>
      <c r="J101" s="234" t="s">
        <v>498</v>
      </c>
      <c r="K101" s="234" t="s">
        <v>499</v>
      </c>
      <c r="L101" s="234" t="s">
        <v>500</v>
      </c>
      <c r="M101" s="204" t="s">
        <v>110</v>
      </c>
      <c r="N101" s="204" t="s">
        <v>5</v>
      </c>
      <c r="O101" s="151">
        <v>45819</v>
      </c>
      <c r="P101" s="151" t="s">
        <v>24</v>
      </c>
      <c r="Q101" s="151" t="s">
        <v>24</v>
      </c>
      <c r="R101" s="151" t="s">
        <v>24</v>
      </c>
      <c r="S101" s="151" t="s">
        <v>24</v>
      </c>
      <c r="T101" s="151" t="s">
        <v>24</v>
      </c>
      <c r="U101" s="151" t="s">
        <v>24</v>
      </c>
      <c r="V101" s="151" t="s">
        <v>24</v>
      </c>
      <c r="W101" s="151" t="s">
        <v>24</v>
      </c>
      <c r="X101" s="151" t="s">
        <v>24</v>
      </c>
      <c r="Y101" s="151" t="s">
        <v>24</v>
      </c>
      <c r="Z101" s="151" t="s">
        <v>24</v>
      </c>
      <c r="AA101" s="137"/>
      <c r="AB101" s="234" t="s">
        <v>498</v>
      </c>
      <c r="AC101" s="234" t="s">
        <v>499</v>
      </c>
      <c r="AD101" s="234" t="s">
        <v>500</v>
      </c>
      <c r="AE101" s="204" t="s">
        <v>12</v>
      </c>
      <c r="AF101" s="204" t="s">
        <v>110</v>
      </c>
      <c r="AG101" s="143">
        <v>20707.27</v>
      </c>
      <c r="AH101" s="143">
        <v>50707.27</v>
      </c>
      <c r="AI101" s="137" t="s">
        <v>6</v>
      </c>
      <c r="AJ101" s="141" t="s">
        <v>105</v>
      </c>
      <c r="AK101" s="204">
        <v>123521384</v>
      </c>
      <c r="AL101" s="137" t="s">
        <v>112</v>
      </c>
      <c r="AM101" s="137" t="s">
        <v>112</v>
      </c>
      <c r="AN101" s="137" t="s">
        <v>113</v>
      </c>
      <c r="AO101" s="137"/>
      <c r="AP101" s="234" t="s">
        <v>501</v>
      </c>
      <c r="AQ101" s="137" t="s">
        <v>112</v>
      </c>
      <c r="AR101" s="137" t="s">
        <v>112</v>
      </c>
      <c r="AS101" s="137" t="s">
        <v>112</v>
      </c>
      <c r="AT101" s="137" t="s">
        <v>112</v>
      </c>
      <c r="AU101" s="151">
        <v>45909</v>
      </c>
      <c r="AV101" s="137" t="s">
        <v>112</v>
      </c>
      <c r="AW101" s="137" t="s">
        <v>112</v>
      </c>
      <c r="AX101" s="151">
        <v>45915</v>
      </c>
      <c r="AY101" s="144">
        <v>45915</v>
      </c>
      <c r="AZ101" s="151">
        <v>45965</v>
      </c>
      <c r="BA101" s="145" t="s">
        <v>115</v>
      </c>
      <c r="BB101" s="147" t="s">
        <v>112</v>
      </c>
      <c r="BC101" s="146">
        <f t="shared" si="12"/>
        <v>96</v>
      </c>
      <c r="BD101" s="137" t="str">
        <f t="shared" si="13"/>
        <v>INDENIZAÇÃO</v>
      </c>
      <c r="BE101" s="137" t="str">
        <f t="shared" si="14"/>
        <v>NÃO</v>
      </c>
      <c r="BF101" s="137" t="s">
        <v>24</v>
      </c>
      <c r="BG101" s="137" t="s">
        <v>24</v>
      </c>
      <c r="BH101" s="137" t="s">
        <v>24</v>
      </c>
      <c r="BI101" s="137" t="s">
        <v>112</v>
      </c>
      <c r="BJ101" s="137" t="s">
        <v>112</v>
      </c>
      <c r="BK101" s="151">
        <v>45937</v>
      </c>
      <c r="BL101" s="137" t="s">
        <v>112</v>
      </c>
      <c r="BM101" s="145" t="s">
        <v>33</v>
      </c>
      <c r="BN101" s="266"/>
    </row>
    <row r="102" spans="1:66" s="152" customFormat="1" ht="30" customHeight="1">
      <c r="A102" s="204">
        <v>89</v>
      </c>
      <c r="B102" s="204" t="s">
        <v>99</v>
      </c>
      <c r="C102" s="233" t="s">
        <v>100</v>
      </c>
      <c r="D102" s="205" t="s">
        <v>101</v>
      </c>
      <c r="E102" s="204" t="s">
        <v>101</v>
      </c>
      <c r="F102" s="234" t="s">
        <v>502</v>
      </c>
      <c r="G102" s="235" t="s">
        <v>1</v>
      </c>
      <c r="H102" s="235" t="s">
        <v>2</v>
      </c>
      <c r="I102" s="235" t="s">
        <v>12</v>
      </c>
      <c r="J102" s="234" t="s">
        <v>503</v>
      </c>
      <c r="K102" s="234" t="s">
        <v>504</v>
      </c>
      <c r="L102" s="234" t="s">
        <v>505</v>
      </c>
      <c r="M102" s="204" t="s">
        <v>110</v>
      </c>
      <c r="N102" s="204" t="s">
        <v>5</v>
      </c>
      <c r="O102" s="151">
        <v>46097</v>
      </c>
      <c r="P102" s="151" t="s">
        <v>24</v>
      </c>
      <c r="Q102" s="151" t="s">
        <v>24</v>
      </c>
      <c r="R102" s="151" t="s">
        <v>24</v>
      </c>
      <c r="S102" s="151" t="s">
        <v>24</v>
      </c>
      <c r="T102" s="151" t="s">
        <v>24</v>
      </c>
      <c r="U102" s="151" t="s">
        <v>24</v>
      </c>
      <c r="V102" s="151" t="s">
        <v>24</v>
      </c>
      <c r="W102" s="151" t="s">
        <v>24</v>
      </c>
      <c r="X102" s="151" t="s">
        <v>24</v>
      </c>
      <c r="Y102" s="151" t="s">
        <v>24</v>
      </c>
      <c r="Z102" s="151" t="s">
        <v>24</v>
      </c>
      <c r="AA102" s="234"/>
      <c r="AB102" s="234" t="s">
        <v>503</v>
      </c>
      <c r="AC102" s="234" t="s">
        <v>504</v>
      </c>
      <c r="AD102" s="234" t="s">
        <v>505</v>
      </c>
      <c r="AE102" s="204" t="s">
        <v>12</v>
      </c>
      <c r="AF102" s="204" t="s">
        <v>110</v>
      </c>
      <c r="AG102" s="143">
        <v>5958.99</v>
      </c>
      <c r="AH102" s="143">
        <v>35958.99</v>
      </c>
      <c r="AI102" s="137" t="s">
        <v>6</v>
      </c>
      <c r="AJ102" s="141" t="s">
        <v>105</v>
      </c>
      <c r="AK102" s="204">
        <v>152799980</v>
      </c>
      <c r="AL102" s="137" t="s">
        <v>112</v>
      </c>
      <c r="AM102" s="137" t="s">
        <v>112</v>
      </c>
      <c r="AN102" s="137" t="s">
        <v>113</v>
      </c>
      <c r="AO102" s="137"/>
      <c r="AP102" s="234" t="s">
        <v>506</v>
      </c>
      <c r="AQ102" s="137" t="s">
        <v>112</v>
      </c>
      <c r="AR102" s="137" t="s">
        <v>112</v>
      </c>
      <c r="AS102" s="137" t="s">
        <v>112</v>
      </c>
      <c r="AT102" s="137" t="s">
        <v>112</v>
      </c>
      <c r="AU102" s="151">
        <v>46174</v>
      </c>
      <c r="AV102" s="137" t="s">
        <v>112</v>
      </c>
      <c r="AW102" s="137" t="s">
        <v>112</v>
      </c>
      <c r="AX102" s="151">
        <v>46183</v>
      </c>
      <c r="AY102" s="144">
        <v>46183</v>
      </c>
      <c r="AZ102" s="144" t="s">
        <v>33</v>
      </c>
      <c r="BA102" s="145" t="s">
        <v>115</v>
      </c>
      <c r="BB102" s="147" t="s">
        <v>112</v>
      </c>
      <c r="BC102" s="146">
        <f t="shared" si="12"/>
        <v>86</v>
      </c>
      <c r="BD102" s="137" t="str">
        <f t="shared" si="13"/>
        <v>INDENIZAÇÃO</v>
      </c>
      <c r="BE102" s="137" t="str">
        <f t="shared" si="14"/>
        <v>NÃO</v>
      </c>
      <c r="BF102" s="137" t="s">
        <v>24</v>
      </c>
      <c r="BG102" s="137" t="s">
        <v>24</v>
      </c>
      <c r="BH102" s="137" t="s">
        <v>24</v>
      </c>
      <c r="BI102" s="145" t="s">
        <v>123</v>
      </c>
      <c r="BJ102" s="145"/>
      <c r="BK102" s="144"/>
      <c r="BL102" s="145"/>
      <c r="BM102" s="145"/>
      <c r="BN102" s="266"/>
    </row>
    <row r="103" spans="1:66" s="152" customFormat="1" ht="30" customHeight="1">
      <c r="A103" s="204">
        <v>90</v>
      </c>
      <c r="B103" s="204" t="s">
        <v>99</v>
      </c>
      <c r="C103" s="233" t="s">
        <v>100</v>
      </c>
      <c r="D103" s="205" t="s">
        <v>101</v>
      </c>
      <c r="E103" s="204" t="s">
        <v>101</v>
      </c>
      <c r="F103" s="234" t="s">
        <v>502</v>
      </c>
      <c r="G103" s="235" t="s">
        <v>1</v>
      </c>
      <c r="H103" s="235" t="s">
        <v>2</v>
      </c>
      <c r="I103" s="235" t="s">
        <v>507</v>
      </c>
      <c r="J103" s="234" t="s">
        <v>508</v>
      </c>
      <c r="K103" s="234" t="s">
        <v>175</v>
      </c>
      <c r="L103" s="234" t="s">
        <v>175</v>
      </c>
      <c r="M103" s="204"/>
      <c r="N103" s="204"/>
      <c r="O103" s="151"/>
      <c r="P103" s="151"/>
      <c r="Q103" s="151"/>
      <c r="R103" s="151"/>
      <c r="S103" s="142"/>
      <c r="T103" s="142"/>
      <c r="U103" s="142"/>
      <c r="V103" s="142"/>
      <c r="W103" s="142"/>
      <c r="X103" s="142"/>
      <c r="Y103" s="142"/>
      <c r="Z103" s="142"/>
      <c r="AA103" s="137"/>
      <c r="AB103" s="206"/>
      <c r="AC103" s="206"/>
      <c r="AD103" s="206"/>
      <c r="AE103" s="204"/>
      <c r="AF103" s="204"/>
      <c r="AG103" s="143"/>
      <c r="AH103" s="143"/>
      <c r="AI103" s="137"/>
      <c r="AJ103" s="141" t="s">
        <v>105</v>
      </c>
      <c r="AK103" s="204"/>
      <c r="AL103" s="137"/>
      <c r="AM103" s="137"/>
      <c r="AN103" s="137"/>
      <c r="AO103" s="137"/>
      <c r="AP103" s="234"/>
      <c r="AQ103" s="137"/>
      <c r="AR103" s="137"/>
      <c r="AS103" s="137"/>
      <c r="AT103" s="137"/>
      <c r="AU103" s="151"/>
      <c r="AV103" s="137"/>
      <c r="AW103" s="137"/>
      <c r="AX103" s="151"/>
      <c r="AY103" s="142"/>
      <c r="AZ103" s="142"/>
      <c r="BA103" s="137"/>
      <c r="BB103" s="147"/>
      <c r="BC103" s="146" t="str">
        <f t="shared" si="12"/>
        <v/>
      </c>
      <c r="BD103" s="137" t="str">
        <f t="shared" si="13"/>
        <v>INDENIZAÇÃO</v>
      </c>
      <c r="BE103" s="137" t="str">
        <f t="shared" si="14"/>
        <v>NÃO</v>
      </c>
      <c r="BF103" s="137"/>
      <c r="BG103" s="137"/>
      <c r="BH103" s="137"/>
      <c r="BI103" s="137"/>
      <c r="BJ103" s="137"/>
      <c r="BK103" s="151"/>
      <c r="BL103" s="137"/>
      <c r="BM103" s="137"/>
      <c r="BN103" s="266"/>
    </row>
    <row r="104" spans="1:66" s="152" customFormat="1" ht="30" customHeight="1">
      <c r="A104" s="204">
        <v>91</v>
      </c>
      <c r="B104" s="204" t="s">
        <v>99</v>
      </c>
      <c r="C104" s="233" t="s">
        <v>100</v>
      </c>
      <c r="D104" s="205" t="s">
        <v>101</v>
      </c>
      <c r="E104" s="204" t="s">
        <v>101</v>
      </c>
      <c r="F104" s="234" t="s">
        <v>509</v>
      </c>
      <c r="G104" s="235" t="s">
        <v>1</v>
      </c>
      <c r="H104" s="235" t="s">
        <v>2</v>
      </c>
      <c r="I104" s="235" t="s">
        <v>510</v>
      </c>
      <c r="J104" s="234" t="s">
        <v>511</v>
      </c>
      <c r="K104" s="234" t="s">
        <v>512</v>
      </c>
      <c r="L104" s="234" t="s">
        <v>513</v>
      </c>
      <c r="M104" s="204" t="s">
        <v>110</v>
      </c>
      <c r="N104" s="204" t="s">
        <v>128</v>
      </c>
      <c r="O104" s="151">
        <v>46051</v>
      </c>
      <c r="P104" s="144" t="s">
        <v>17</v>
      </c>
      <c r="Q104" s="254" t="s">
        <v>130</v>
      </c>
      <c r="R104" s="144"/>
      <c r="S104" s="144"/>
      <c r="T104" s="144"/>
      <c r="U104" s="144"/>
      <c r="V104" s="144"/>
      <c r="W104" s="144"/>
      <c r="X104" s="144"/>
      <c r="Y104" s="144"/>
      <c r="Z104" s="144"/>
      <c r="AA104" s="137"/>
      <c r="AB104" s="206" t="s">
        <v>514</v>
      </c>
      <c r="AC104" s="206" t="s">
        <v>515</v>
      </c>
      <c r="AD104" s="206" t="s">
        <v>516</v>
      </c>
      <c r="AE104" s="204" t="s">
        <v>103</v>
      </c>
      <c r="AF104" s="204" t="s">
        <v>110</v>
      </c>
      <c r="AG104" s="143">
        <v>8997.01</v>
      </c>
      <c r="AH104" s="143">
        <v>8997.01</v>
      </c>
      <c r="AI104" s="137" t="s">
        <v>6</v>
      </c>
      <c r="AJ104" s="141" t="s">
        <v>105</v>
      </c>
      <c r="AK104" s="204">
        <v>150526562</v>
      </c>
      <c r="AL104" s="137" t="s">
        <v>112</v>
      </c>
      <c r="AM104" s="137" t="s">
        <v>112</v>
      </c>
      <c r="AN104" s="137" t="s">
        <v>113</v>
      </c>
      <c r="AO104" s="137"/>
      <c r="AP104" s="234" t="s">
        <v>517</v>
      </c>
      <c r="AQ104" s="137" t="s">
        <v>112</v>
      </c>
      <c r="AR104" s="137" t="s">
        <v>112</v>
      </c>
      <c r="AS104" s="137" t="s">
        <v>112</v>
      </c>
      <c r="AT104" s="137" t="s">
        <v>112</v>
      </c>
      <c r="AU104" s="151">
        <v>46174</v>
      </c>
      <c r="AV104" s="137" t="s">
        <v>112</v>
      </c>
      <c r="AW104" s="137" t="s">
        <v>112</v>
      </c>
      <c r="AX104" s="151">
        <v>46183</v>
      </c>
      <c r="AY104" s="144">
        <v>46183</v>
      </c>
      <c r="AZ104" s="144" t="s">
        <v>33</v>
      </c>
      <c r="BA104" s="145" t="s">
        <v>115</v>
      </c>
      <c r="BB104" s="147" t="s">
        <v>112</v>
      </c>
      <c r="BC104" s="146">
        <f t="shared" si="12"/>
        <v>132</v>
      </c>
      <c r="BD104" s="137" t="str">
        <f t="shared" si="13"/>
        <v>INDENIZAÇÃO</v>
      </c>
      <c r="BE104" s="137" t="str">
        <f t="shared" si="14"/>
        <v>NÃO</v>
      </c>
      <c r="BF104" s="137" t="s">
        <v>24</v>
      </c>
      <c r="BG104" s="137" t="s">
        <v>24</v>
      </c>
      <c r="BH104" s="137" t="s">
        <v>24</v>
      </c>
      <c r="BI104" s="145" t="s">
        <v>123</v>
      </c>
      <c r="BJ104" s="145"/>
      <c r="BK104" s="144"/>
      <c r="BL104" s="145"/>
      <c r="BM104" s="145"/>
      <c r="BN104" s="266"/>
    </row>
    <row r="105" spans="1:66" s="152" customFormat="1" ht="30" customHeight="1">
      <c r="A105" s="204">
        <v>92</v>
      </c>
      <c r="B105" s="204" t="s">
        <v>99</v>
      </c>
      <c r="C105" s="233" t="s">
        <v>100</v>
      </c>
      <c r="D105" s="205" t="s">
        <v>101</v>
      </c>
      <c r="E105" s="204" t="s">
        <v>101</v>
      </c>
      <c r="F105" s="234" t="s">
        <v>518</v>
      </c>
      <c r="G105" s="235" t="s">
        <v>1</v>
      </c>
      <c r="H105" s="235" t="s">
        <v>2</v>
      </c>
      <c r="I105" s="235" t="s">
        <v>12</v>
      </c>
      <c r="J105" s="234" t="s">
        <v>519</v>
      </c>
      <c r="K105" s="234" t="s">
        <v>520</v>
      </c>
      <c r="L105" s="234" t="s">
        <v>521</v>
      </c>
      <c r="M105" s="204" t="s">
        <v>110</v>
      </c>
      <c r="N105" s="204" t="s">
        <v>5</v>
      </c>
      <c r="O105" s="151">
        <v>45859</v>
      </c>
      <c r="P105" s="151" t="s">
        <v>24</v>
      </c>
      <c r="Q105" s="151" t="s">
        <v>24</v>
      </c>
      <c r="R105" s="151" t="s">
        <v>24</v>
      </c>
      <c r="S105" s="151" t="s">
        <v>24</v>
      </c>
      <c r="T105" s="151" t="s">
        <v>24</v>
      </c>
      <c r="U105" s="151" t="s">
        <v>24</v>
      </c>
      <c r="V105" s="151" t="s">
        <v>24</v>
      </c>
      <c r="W105" s="151" t="s">
        <v>24</v>
      </c>
      <c r="X105" s="151" t="s">
        <v>24</v>
      </c>
      <c r="Y105" s="151" t="s">
        <v>24</v>
      </c>
      <c r="Z105" s="151" t="s">
        <v>24</v>
      </c>
      <c r="AA105" s="137"/>
      <c r="AB105" s="234" t="s">
        <v>519</v>
      </c>
      <c r="AC105" s="234" t="s">
        <v>520</v>
      </c>
      <c r="AD105" s="234" t="s">
        <v>521</v>
      </c>
      <c r="AE105" s="204" t="s">
        <v>12</v>
      </c>
      <c r="AF105" s="204" t="s">
        <v>110</v>
      </c>
      <c r="AG105" s="143">
        <v>29168.5</v>
      </c>
      <c r="AH105" s="143">
        <v>59168.5</v>
      </c>
      <c r="AI105" s="137" t="s">
        <v>6</v>
      </c>
      <c r="AJ105" s="141" t="s">
        <v>105</v>
      </c>
      <c r="AK105" s="204">
        <v>127190658</v>
      </c>
      <c r="AL105" s="137" t="s">
        <v>112</v>
      </c>
      <c r="AM105" s="137" t="s">
        <v>112</v>
      </c>
      <c r="AN105" s="137" t="s">
        <v>113</v>
      </c>
      <c r="AO105" s="137"/>
      <c r="AP105" s="234" t="s">
        <v>522</v>
      </c>
      <c r="AQ105" s="137" t="s">
        <v>112</v>
      </c>
      <c r="AR105" s="137" t="s">
        <v>112</v>
      </c>
      <c r="AS105" s="137" t="s">
        <v>112</v>
      </c>
      <c r="AT105" s="137" t="s">
        <v>112</v>
      </c>
      <c r="AU105" s="151">
        <v>45911</v>
      </c>
      <c r="AV105" s="137" t="s">
        <v>112</v>
      </c>
      <c r="AW105" s="137" t="s">
        <v>112</v>
      </c>
      <c r="AX105" s="151">
        <v>45917</v>
      </c>
      <c r="AY105" s="144">
        <v>45917</v>
      </c>
      <c r="AZ105" s="151">
        <v>45957</v>
      </c>
      <c r="BA105" s="145" t="s">
        <v>115</v>
      </c>
      <c r="BB105" s="147" t="s">
        <v>112</v>
      </c>
      <c r="BC105" s="146">
        <f t="shared" si="12"/>
        <v>58</v>
      </c>
      <c r="BD105" s="137" t="str">
        <f t="shared" si="13"/>
        <v>INDENIZAÇÃO</v>
      </c>
      <c r="BE105" s="137" t="str">
        <f t="shared" si="14"/>
        <v>NÃO</v>
      </c>
      <c r="BF105" s="137" t="s">
        <v>24</v>
      </c>
      <c r="BG105" s="137" t="s">
        <v>24</v>
      </c>
      <c r="BH105" s="137" t="s">
        <v>24</v>
      </c>
      <c r="BI105" s="137" t="s">
        <v>112</v>
      </c>
      <c r="BJ105" s="137" t="s">
        <v>112</v>
      </c>
      <c r="BK105" s="151">
        <v>45937</v>
      </c>
      <c r="BL105" s="137" t="s">
        <v>112</v>
      </c>
      <c r="BM105" s="145" t="s">
        <v>33</v>
      </c>
      <c r="BN105" s="266"/>
    </row>
    <row r="106" spans="1:66" s="152" customFormat="1" ht="30" customHeight="1">
      <c r="A106" s="204">
        <v>93</v>
      </c>
      <c r="B106" s="204" t="s">
        <v>99</v>
      </c>
      <c r="C106" s="233" t="s">
        <v>100</v>
      </c>
      <c r="D106" s="205" t="s">
        <v>101</v>
      </c>
      <c r="E106" s="204" t="s">
        <v>101</v>
      </c>
      <c r="F106" s="234" t="s">
        <v>523</v>
      </c>
      <c r="G106" s="235" t="s">
        <v>1</v>
      </c>
      <c r="H106" s="235" t="s">
        <v>2</v>
      </c>
      <c r="I106" s="204" t="s">
        <v>12</v>
      </c>
      <c r="J106" s="234" t="s">
        <v>524</v>
      </c>
      <c r="K106" s="234" t="s">
        <v>525</v>
      </c>
      <c r="L106" s="234" t="s">
        <v>526</v>
      </c>
      <c r="M106" s="204" t="s">
        <v>110</v>
      </c>
      <c r="N106" s="204" t="s">
        <v>5</v>
      </c>
      <c r="O106" s="151">
        <v>45819</v>
      </c>
      <c r="P106" s="151" t="s">
        <v>24</v>
      </c>
      <c r="Q106" s="151" t="s">
        <v>24</v>
      </c>
      <c r="R106" s="151" t="s">
        <v>24</v>
      </c>
      <c r="S106" s="151" t="s">
        <v>24</v>
      </c>
      <c r="T106" s="151" t="s">
        <v>24</v>
      </c>
      <c r="U106" s="151" t="s">
        <v>24</v>
      </c>
      <c r="V106" s="151" t="s">
        <v>24</v>
      </c>
      <c r="W106" s="151" t="s">
        <v>24</v>
      </c>
      <c r="X106" s="151" t="s">
        <v>24</v>
      </c>
      <c r="Y106" s="151" t="s">
        <v>24</v>
      </c>
      <c r="Z106" s="151" t="s">
        <v>24</v>
      </c>
      <c r="AA106" s="137"/>
      <c r="AB106" s="234" t="s">
        <v>524</v>
      </c>
      <c r="AC106" s="234" t="s">
        <v>525</v>
      </c>
      <c r="AD106" s="234" t="s">
        <v>526</v>
      </c>
      <c r="AE106" s="204" t="s">
        <v>12</v>
      </c>
      <c r="AF106" s="204" t="s">
        <v>110</v>
      </c>
      <c r="AG106" s="143">
        <v>10818.47</v>
      </c>
      <c r="AH106" s="143">
        <v>40818.47</v>
      </c>
      <c r="AI106" s="137" t="s">
        <v>6</v>
      </c>
      <c r="AJ106" s="141" t="s">
        <v>105</v>
      </c>
      <c r="AK106" s="204">
        <v>128075883</v>
      </c>
      <c r="AL106" s="137" t="s">
        <v>112</v>
      </c>
      <c r="AM106" s="137" t="s">
        <v>112</v>
      </c>
      <c r="AN106" s="137" t="s">
        <v>113</v>
      </c>
      <c r="AO106" s="137" t="s">
        <v>527</v>
      </c>
      <c r="AP106" s="234" t="s">
        <v>528</v>
      </c>
      <c r="AQ106" s="137" t="s">
        <v>112</v>
      </c>
      <c r="AR106" s="137" t="s">
        <v>112</v>
      </c>
      <c r="AS106" s="137" t="s">
        <v>112</v>
      </c>
      <c r="AT106" s="137" t="s">
        <v>112</v>
      </c>
      <c r="AU106" s="151">
        <v>45911</v>
      </c>
      <c r="AV106" s="137" t="s">
        <v>112</v>
      </c>
      <c r="AW106" s="137" t="s">
        <v>112</v>
      </c>
      <c r="AX106" s="151">
        <v>45923</v>
      </c>
      <c r="AY106" s="144">
        <v>45923</v>
      </c>
      <c r="AZ106" s="151">
        <v>45945</v>
      </c>
      <c r="BA106" s="145" t="s">
        <v>115</v>
      </c>
      <c r="BB106" s="147" t="s">
        <v>112</v>
      </c>
      <c r="BC106" s="146">
        <f t="shared" si="12"/>
        <v>104</v>
      </c>
      <c r="BD106" s="137" t="str">
        <f t="shared" si="13"/>
        <v>INDENIZAÇÃO</v>
      </c>
      <c r="BE106" s="137" t="str">
        <f t="shared" si="14"/>
        <v>NÃO</v>
      </c>
      <c r="BF106" s="137" t="s">
        <v>24</v>
      </c>
      <c r="BG106" s="137" t="s">
        <v>24</v>
      </c>
      <c r="BH106" s="137" t="s">
        <v>24</v>
      </c>
      <c r="BI106" s="137" t="s">
        <v>112</v>
      </c>
      <c r="BJ106" s="137" t="s">
        <v>112</v>
      </c>
      <c r="BK106" s="151">
        <v>45937</v>
      </c>
      <c r="BL106" s="137" t="s">
        <v>112</v>
      </c>
      <c r="BM106" s="145" t="s">
        <v>33</v>
      </c>
      <c r="BN106" s="266"/>
    </row>
    <row r="107" spans="1:66" s="152" customFormat="1" ht="30" customHeight="1">
      <c r="A107" s="204">
        <v>94</v>
      </c>
      <c r="B107" s="204" t="s">
        <v>99</v>
      </c>
      <c r="C107" s="233" t="s">
        <v>100</v>
      </c>
      <c r="D107" s="205" t="s">
        <v>101</v>
      </c>
      <c r="E107" s="204" t="s">
        <v>101</v>
      </c>
      <c r="F107" s="234" t="s">
        <v>529</v>
      </c>
      <c r="G107" s="235" t="s">
        <v>1</v>
      </c>
      <c r="H107" s="235" t="s">
        <v>179</v>
      </c>
      <c r="I107" s="235" t="s">
        <v>111</v>
      </c>
      <c r="J107" s="236" t="s">
        <v>104</v>
      </c>
      <c r="K107" s="236" t="s">
        <v>104</v>
      </c>
      <c r="L107" s="237" t="s">
        <v>104</v>
      </c>
      <c r="M107" s="204"/>
      <c r="N107" s="204"/>
      <c r="O107" s="151"/>
      <c r="P107" s="151"/>
      <c r="Q107" s="151"/>
      <c r="R107" s="151"/>
      <c r="S107" s="142"/>
      <c r="T107" s="142"/>
      <c r="U107" s="142"/>
      <c r="V107" s="142"/>
      <c r="W107" s="142"/>
      <c r="X107" s="142"/>
      <c r="Y107" s="142"/>
      <c r="Z107" s="142"/>
      <c r="AA107" s="137"/>
      <c r="AB107" s="206"/>
      <c r="AC107" s="206"/>
      <c r="AD107" s="206"/>
      <c r="AE107" s="204"/>
      <c r="AF107" s="204"/>
      <c r="AG107" s="143"/>
      <c r="AH107" s="143"/>
      <c r="AI107" s="137"/>
      <c r="AJ107" s="141" t="s">
        <v>105</v>
      </c>
      <c r="AK107" s="204"/>
      <c r="AL107" s="137"/>
      <c r="AM107" s="137"/>
      <c r="AN107" s="137"/>
      <c r="AO107" s="137"/>
      <c r="AP107" s="234"/>
      <c r="AQ107" s="137"/>
      <c r="AR107" s="137"/>
      <c r="AS107" s="137"/>
      <c r="AT107" s="137"/>
      <c r="AU107" s="151"/>
      <c r="AV107" s="137"/>
      <c r="AW107" s="137"/>
      <c r="AX107" s="151"/>
      <c r="AY107" s="142"/>
      <c r="AZ107" s="142"/>
      <c r="BA107" s="137"/>
      <c r="BB107" s="147"/>
      <c r="BC107" s="146" t="str">
        <f t="shared" si="12"/>
        <v/>
      </c>
      <c r="BD107" s="137" t="str">
        <f t="shared" si="13"/>
        <v>INDENIZAÇÃO</v>
      </c>
      <c r="BE107" s="137" t="str">
        <f t="shared" si="14"/>
        <v>NÃO</v>
      </c>
      <c r="BF107" s="137"/>
      <c r="BG107" s="137"/>
      <c r="BH107" s="137"/>
      <c r="BI107" s="137"/>
      <c r="BJ107" s="137"/>
      <c r="BK107" s="151"/>
      <c r="BL107" s="137"/>
      <c r="BM107" s="137"/>
      <c r="BN107" s="266"/>
    </row>
    <row r="108" spans="1:66" s="152" customFormat="1" ht="30" customHeight="1">
      <c r="A108" s="204">
        <v>95</v>
      </c>
      <c r="B108" s="204" t="s">
        <v>99</v>
      </c>
      <c r="C108" s="233" t="s">
        <v>100</v>
      </c>
      <c r="D108" s="205" t="s">
        <v>101</v>
      </c>
      <c r="E108" s="204" t="s">
        <v>101</v>
      </c>
      <c r="F108" s="234" t="s">
        <v>530</v>
      </c>
      <c r="G108" s="235" t="s">
        <v>1</v>
      </c>
      <c r="H108" s="235" t="s">
        <v>2</v>
      </c>
      <c r="I108" s="235" t="s">
        <v>12</v>
      </c>
      <c r="J108" s="234" t="s">
        <v>531</v>
      </c>
      <c r="K108" s="234" t="s">
        <v>532</v>
      </c>
      <c r="L108" s="234" t="s">
        <v>533</v>
      </c>
      <c r="M108" s="204" t="s">
        <v>110</v>
      </c>
      <c r="N108" s="204" t="s">
        <v>163</v>
      </c>
      <c r="O108" s="151">
        <v>46161</v>
      </c>
      <c r="P108" s="151" t="s">
        <v>24</v>
      </c>
      <c r="Q108" s="151" t="s">
        <v>24</v>
      </c>
      <c r="R108" s="151" t="s">
        <v>24</v>
      </c>
      <c r="S108" s="142" t="s">
        <v>24</v>
      </c>
      <c r="T108" s="151" t="s">
        <v>24</v>
      </c>
      <c r="U108" s="151" t="s">
        <v>24</v>
      </c>
      <c r="V108" s="151" t="s">
        <v>24</v>
      </c>
      <c r="W108" s="151" t="s">
        <v>24</v>
      </c>
      <c r="X108" s="151" t="s">
        <v>24</v>
      </c>
      <c r="Y108" s="151" t="s">
        <v>24</v>
      </c>
      <c r="Z108" s="151" t="s">
        <v>24</v>
      </c>
      <c r="AA108" s="137"/>
      <c r="AB108" s="234" t="s">
        <v>531</v>
      </c>
      <c r="AC108" s="234" t="s">
        <v>532</v>
      </c>
      <c r="AD108" s="234" t="s">
        <v>533</v>
      </c>
      <c r="AE108" s="204" t="s">
        <v>12</v>
      </c>
      <c r="AF108" s="204" t="s">
        <v>110</v>
      </c>
      <c r="AG108" s="270">
        <v>28980.82</v>
      </c>
      <c r="AH108" s="143">
        <v>58980.82</v>
      </c>
      <c r="AI108" s="137" t="s">
        <v>6</v>
      </c>
      <c r="AJ108" s="141" t="s">
        <v>105</v>
      </c>
      <c r="AK108" s="204">
        <v>149303909</v>
      </c>
      <c r="AL108" s="137" t="s">
        <v>112</v>
      </c>
      <c r="AM108" s="137" t="s">
        <v>112</v>
      </c>
      <c r="AN108" s="137" t="s">
        <v>113</v>
      </c>
      <c r="AO108" s="137"/>
      <c r="AP108" s="234" t="s">
        <v>534</v>
      </c>
      <c r="AQ108" s="137" t="s">
        <v>112</v>
      </c>
      <c r="AR108" s="137" t="s">
        <v>112</v>
      </c>
      <c r="AS108" s="137" t="s">
        <v>112</v>
      </c>
      <c r="AT108" s="137" t="s">
        <v>112</v>
      </c>
      <c r="AU108" s="151">
        <v>46226</v>
      </c>
      <c r="AV108" s="137" t="s">
        <v>112</v>
      </c>
      <c r="AW108" s="137" t="s">
        <v>112</v>
      </c>
      <c r="AX108" s="151">
        <v>46233</v>
      </c>
      <c r="AY108" s="144">
        <v>46233</v>
      </c>
      <c r="AZ108" s="145" t="s">
        <v>33</v>
      </c>
      <c r="BA108" s="145" t="s">
        <v>115</v>
      </c>
      <c r="BB108" s="147" t="s">
        <v>112</v>
      </c>
      <c r="BC108" s="146">
        <f t="shared" si="12"/>
        <v>72</v>
      </c>
      <c r="BD108" s="137" t="str">
        <f t="shared" si="13"/>
        <v>INDENIZAÇÃO</v>
      </c>
      <c r="BE108" s="137" t="str">
        <f t="shared" si="14"/>
        <v>NÃO</v>
      </c>
      <c r="BF108" s="137" t="s">
        <v>24</v>
      </c>
      <c r="BG108" s="137" t="s">
        <v>24</v>
      </c>
      <c r="BH108" s="137" t="s">
        <v>24</v>
      </c>
      <c r="BI108" s="145" t="s">
        <v>123</v>
      </c>
      <c r="BJ108" s="145"/>
      <c r="BK108" s="144"/>
      <c r="BL108" s="145"/>
      <c r="BM108" s="145"/>
      <c r="BN108" s="264"/>
    </row>
    <row r="109" spans="1:66" s="152" customFormat="1" ht="30" customHeight="1">
      <c r="A109" s="204">
        <v>96</v>
      </c>
      <c r="B109" s="204" t="s">
        <v>99</v>
      </c>
      <c r="C109" s="233" t="s">
        <v>100</v>
      </c>
      <c r="D109" s="205" t="s">
        <v>101</v>
      </c>
      <c r="E109" s="204" t="s">
        <v>101</v>
      </c>
      <c r="F109" s="234" t="s">
        <v>535</v>
      </c>
      <c r="G109" s="235" t="s">
        <v>1</v>
      </c>
      <c r="H109" s="235" t="s">
        <v>2</v>
      </c>
      <c r="I109" s="235" t="s">
        <v>12</v>
      </c>
      <c r="J109" s="234" t="s">
        <v>536</v>
      </c>
      <c r="K109" s="234" t="s">
        <v>537</v>
      </c>
      <c r="L109" s="234" t="s">
        <v>538</v>
      </c>
      <c r="M109" s="204"/>
      <c r="N109" s="204"/>
      <c r="O109" s="151"/>
      <c r="P109" s="151"/>
      <c r="Q109" s="151"/>
      <c r="R109" s="151"/>
      <c r="S109" s="142"/>
      <c r="T109" s="142"/>
      <c r="U109" s="142"/>
      <c r="V109" s="142"/>
      <c r="W109" s="142"/>
      <c r="X109" s="142"/>
      <c r="Y109" s="142"/>
      <c r="Z109" s="142"/>
      <c r="AA109" s="137"/>
      <c r="AB109" s="206"/>
      <c r="AC109" s="206"/>
      <c r="AD109" s="206"/>
      <c r="AE109" s="204"/>
      <c r="AF109" s="204"/>
      <c r="AG109" s="143"/>
      <c r="AH109" s="143"/>
      <c r="AI109" s="137"/>
      <c r="AJ109" s="141" t="s">
        <v>105</v>
      </c>
      <c r="AK109" s="204"/>
      <c r="AL109" s="137"/>
      <c r="AM109" s="137"/>
      <c r="AN109" s="137"/>
      <c r="AO109" s="137"/>
      <c r="AP109" s="234"/>
      <c r="AQ109" s="137"/>
      <c r="AR109" s="137"/>
      <c r="AS109" s="137"/>
      <c r="AT109" s="137"/>
      <c r="AU109" s="151"/>
      <c r="AV109" s="137"/>
      <c r="AW109" s="137"/>
      <c r="AX109" s="151"/>
      <c r="AY109" s="142"/>
      <c r="AZ109" s="142"/>
      <c r="BA109" s="137"/>
      <c r="BB109" s="147"/>
      <c r="BC109" s="146" t="str">
        <f t="shared" si="12"/>
        <v/>
      </c>
      <c r="BD109" s="137" t="str">
        <f t="shared" si="13"/>
        <v>INDENIZAÇÃO</v>
      </c>
      <c r="BE109" s="137" t="str">
        <f t="shared" si="14"/>
        <v>NÃO</v>
      </c>
      <c r="BF109" s="137"/>
      <c r="BG109" s="137"/>
      <c r="BH109" s="137"/>
      <c r="BI109" s="137"/>
      <c r="BJ109" s="137"/>
      <c r="BK109" s="151"/>
      <c r="BL109" s="137"/>
      <c r="BM109" s="137"/>
      <c r="BN109" s="266"/>
    </row>
    <row r="110" spans="1:66" s="152" customFormat="1" ht="30" customHeight="1">
      <c r="A110" s="204">
        <v>97</v>
      </c>
      <c r="B110" s="204" t="s">
        <v>99</v>
      </c>
      <c r="C110" s="233" t="s">
        <v>100</v>
      </c>
      <c r="D110" s="205" t="s">
        <v>101</v>
      </c>
      <c r="E110" s="204"/>
      <c r="F110" s="234" t="s">
        <v>539</v>
      </c>
      <c r="G110" s="235" t="s">
        <v>1</v>
      </c>
      <c r="H110" s="235" t="s">
        <v>2</v>
      </c>
      <c r="I110" s="235" t="s">
        <v>12</v>
      </c>
      <c r="J110" s="234" t="s">
        <v>540</v>
      </c>
      <c r="K110" s="234" t="s">
        <v>541</v>
      </c>
      <c r="L110" s="234" t="s">
        <v>542</v>
      </c>
      <c r="M110" s="204"/>
      <c r="N110" s="204"/>
      <c r="O110" s="151"/>
      <c r="P110" s="151"/>
      <c r="Q110" s="151"/>
      <c r="R110" s="151"/>
      <c r="S110" s="142"/>
      <c r="T110" s="142"/>
      <c r="U110" s="142"/>
      <c r="V110" s="142"/>
      <c r="W110" s="142"/>
      <c r="X110" s="142"/>
      <c r="Y110" s="142"/>
      <c r="Z110" s="142"/>
      <c r="AA110" s="137"/>
      <c r="AB110" s="206"/>
      <c r="AC110" s="206"/>
      <c r="AD110" s="206"/>
      <c r="AE110" s="204"/>
      <c r="AF110" s="204"/>
      <c r="AG110" s="143"/>
      <c r="AH110" s="143"/>
      <c r="AI110" s="137"/>
      <c r="AJ110" s="141" t="s">
        <v>105</v>
      </c>
      <c r="AK110" s="204"/>
      <c r="AL110" s="137"/>
      <c r="AM110" s="137"/>
      <c r="AN110" s="137"/>
      <c r="AO110" s="137"/>
      <c r="AP110" s="234"/>
      <c r="AQ110" s="137"/>
      <c r="AR110" s="137"/>
      <c r="AS110" s="137"/>
      <c r="AT110" s="137"/>
      <c r="AU110" s="151"/>
      <c r="AV110" s="137"/>
      <c r="AW110" s="137"/>
      <c r="AX110" s="151"/>
      <c r="AY110" s="142"/>
      <c r="AZ110" s="142"/>
      <c r="BA110" s="137"/>
      <c r="BB110" s="147"/>
      <c r="BC110" s="146" t="str">
        <f t="shared" si="12"/>
        <v/>
      </c>
      <c r="BD110" s="137" t="str">
        <f t="shared" si="13"/>
        <v>INDENIZAÇÃO</v>
      </c>
      <c r="BE110" s="137" t="str">
        <f t="shared" si="14"/>
        <v>NÃO</v>
      </c>
      <c r="BF110" s="137"/>
      <c r="BG110" s="137"/>
      <c r="BH110" s="137"/>
      <c r="BI110" s="137"/>
      <c r="BJ110" s="137"/>
      <c r="BK110" s="151"/>
      <c r="BL110" s="137"/>
      <c r="BM110" s="137"/>
      <c r="BN110" s="266"/>
    </row>
    <row r="111" spans="1:66" s="152" customFormat="1" ht="30" customHeight="1">
      <c r="A111" s="204">
        <v>98</v>
      </c>
      <c r="B111" s="204" t="s">
        <v>99</v>
      </c>
      <c r="C111" s="233" t="s">
        <v>100</v>
      </c>
      <c r="D111" s="205" t="s">
        <v>101</v>
      </c>
      <c r="E111" s="204" t="s">
        <v>101</v>
      </c>
      <c r="F111" s="234" t="s">
        <v>543</v>
      </c>
      <c r="G111" s="235" t="s">
        <v>1</v>
      </c>
      <c r="H111" s="235" t="s">
        <v>2</v>
      </c>
      <c r="I111" s="235" t="s">
        <v>3</v>
      </c>
      <c r="J111" s="234" t="s">
        <v>544</v>
      </c>
      <c r="K111" s="234" t="s">
        <v>545</v>
      </c>
      <c r="L111" s="234" t="s">
        <v>546</v>
      </c>
      <c r="M111" s="204" t="s">
        <v>110</v>
      </c>
      <c r="N111" s="204" t="s">
        <v>5</v>
      </c>
      <c r="O111" s="151">
        <v>45859</v>
      </c>
      <c r="P111" s="151" t="s">
        <v>24</v>
      </c>
      <c r="Q111" s="151" t="s">
        <v>24</v>
      </c>
      <c r="R111" s="151" t="s">
        <v>24</v>
      </c>
      <c r="S111" s="151" t="s">
        <v>24</v>
      </c>
      <c r="T111" s="151" t="s">
        <v>24</v>
      </c>
      <c r="U111" s="151" t="s">
        <v>24</v>
      </c>
      <c r="V111" s="151" t="s">
        <v>24</v>
      </c>
      <c r="W111" s="151" t="s">
        <v>24</v>
      </c>
      <c r="X111" s="151" t="s">
        <v>24</v>
      </c>
      <c r="Y111" s="151" t="s">
        <v>24</v>
      </c>
      <c r="Z111" s="151" t="s">
        <v>24</v>
      </c>
      <c r="AA111" s="151"/>
      <c r="AB111" s="234" t="s">
        <v>544</v>
      </c>
      <c r="AC111" s="234" t="s">
        <v>545</v>
      </c>
      <c r="AD111" s="234" t="s">
        <v>546</v>
      </c>
      <c r="AE111" s="204" t="s">
        <v>3</v>
      </c>
      <c r="AF111" s="204" t="s">
        <v>110</v>
      </c>
      <c r="AG111" s="143">
        <v>15125.18</v>
      </c>
      <c r="AH111" s="143">
        <v>15125.18</v>
      </c>
      <c r="AI111" s="137" t="s">
        <v>6</v>
      </c>
      <c r="AJ111" s="141" t="s">
        <v>105</v>
      </c>
      <c r="AK111" s="204">
        <v>129343427</v>
      </c>
      <c r="AL111" s="137" t="s">
        <v>112</v>
      </c>
      <c r="AM111" s="137" t="s">
        <v>112</v>
      </c>
      <c r="AN111" s="137" t="s">
        <v>113</v>
      </c>
      <c r="AO111" s="137"/>
      <c r="AP111" s="234" t="s">
        <v>547</v>
      </c>
      <c r="AQ111" s="137" t="s">
        <v>112</v>
      </c>
      <c r="AR111" s="137" t="s">
        <v>112</v>
      </c>
      <c r="AS111" s="137" t="s">
        <v>112</v>
      </c>
      <c r="AT111" s="137" t="s">
        <v>112</v>
      </c>
      <c r="AU111" s="151">
        <v>45946</v>
      </c>
      <c r="AV111" s="137" t="s">
        <v>112</v>
      </c>
      <c r="AW111" s="137" t="s">
        <v>112</v>
      </c>
      <c r="AX111" s="151">
        <v>45980</v>
      </c>
      <c r="AY111" s="145" t="s">
        <v>548</v>
      </c>
      <c r="AZ111" s="144"/>
      <c r="BA111" s="145" t="s">
        <v>1</v>
      </c>
      <c r="BB111" s="147"/>
      <c r="BC111" s="146" t="e">
        <f t="shared" si="12"/>
        <v>#VALUE!</v>
      </c>
      <c r="BD111" s="137" t="str">
        <f t="shared" si="13"/>
        <v>INDENIZAÇÃO</v>
      </c>
      <c r="BE111" s="137" t="str">
        <f t="shared" si="14"/>
        <v>NÃO</v>
      </c>
      <c r="BF111" s="137"/>
      <c r="BG111" s="137"/>
      <c r="BH111" s="137"/>
      <c r="BI111" s="137"/>
      <c r="BJ111" s="137"/>
      <c r="BK111" s="151"/>
      <c r="BL111" s="137"/>
      <c r="BM111" s="137"/>
      <c r="BN111" s="266"/>
    </row>
    <row r="112" spans="1:66" s="152" customFormat="1" ht="30" customHeight="1">
      <c r="A112" s="204">
        <v>99</v>
      </c>
      <c r="B112" s="204" t="s">
        <v>99</v>
      </c>
      <c r="C112" s="233" t="s">
        <v>100</v>
      </c>
      <c r="D112" s="205" t="s">
        <v>101</v>
      </c>
      <c r="E112" s="204" t="s">
        <v>101</v>
      </c>
      <c r="F112" s="234" t="s">
        <v>549</v>
      </c>
      <c r="G112" s="235" t="s">
        <v>1</v>
      </c>
      <c r="H112" s="235" t="s">
        <v>2</v>
      </c>
      <c r="I112" s="235" t="s">
        <v>12</v>
      </c>
      <c r="J112" s="234" t="s">
        <v>550</v>
      </c>
      <c r="K112" s="234">
        <v>49494537</v>
      </c>
      <c r="L112" s="234" t="s">
        <v>551</v>
      </c>
      <c r="M112" s="204"/>
      <c r="N112" s="204"/>
      <c r="O112" s="151"/>
      <c r="P112" s="151"/>
      <c r="Q112" s="151"/>
      <c r="R112" s="151"/>
      <c r="S112" s="142"/>
      <c r="T112" s="142"/>
      <c r="U112" s="142"/>
      <c r="V112" s="142"/>
      <c r="W112" s="142"/>
      <c r="X112" s="142"/>
      <c r="Y112" s="142"/>
      <c r="Z112" s="142"/>
      <c r="AA112" s="137"/>
      <c r="AB112" s="206"/>
      <c r="AC112" s="206"/>
      <c r="AD112" s="206"/>
      <c r="AE112" s="204"/>
      <c r="AF112" s="204"/>
      <c r="AG112" s="143"/>
      <c r="AH112" s="143"/>
      <c r="AI112" s="137"/>
      <c r="AJ112" s="141" t="s">
        <v>105</v>
      </c>
      <c r="AK112" s="204"/>
      <c r="AL112" s="137"/>
      <c r="AM112" s="137"/>
      <c r="AN112" s="137"/>
      <c r="AO112" s="137"/>
      <c r="AP112" s="234"/>
      <c r="AQ112" s="137"/>
      <c r="AR112" s="137"/>
      <c r="AS112" s="137"/>
      <c r="AT112" s="137"/>
      <c r="AU112" s="151"/>
      <c r="AV112" s="137"/>
      <c r="AW112" s="137"/>
      <c r="AX112" s="151"/>
      <c r="AY112" s="142"/>
      <c r="AZ112" s="142"/>
      <c r="BA112" s="137"/>
      <c r="BB112" s="147"/>
      <c r="BC112" s="146" t="str">
        <f t="shared" ref="BC112:BC143" si="15">IF(AY112-KG112=0,"",AY112-O112)</f>
        <v/>
      </c>
      <c r="BD112" s="137" t="str">
        <f t="shared" ref="BD112:BD143" si="16">IF(AND(AI112&lt;&gt;"SIM",AI112="UH"),"AA","INDENIZAÇÃO")</f>
        <v>INDENIZAÇÃO</v>
      </c>
      <c r="BE112" s="137" t="str">
        <f t="shared" ref="BE112:BE143" si="17">IF(AND(AY112&lt;&gt;"AGUARDANDO",AY112&lt;&gt;"",N112="AUXÍLIO ALUGUEL ATÉ INDENIZAÇÃO"),"SIM","NÃO")</f>
        <v>NÃO</v>
      </c>
      <c r="BF112" s="137"/>
      <c r="BG112" s="137"/>
      <c r="BH112" s="137"/>
      <c r="BI112" s="137"/>
      <c r="BJ112" s="137"/>
      <c r="BK112" s="151"/>
      <c r="BL112" s="137"/>
      <c r="BM112" s="137"/>
      <c r="BN112" s="266"/>
    </row>
    <row r="113" spans="1:66" s="152" customFormat="1" ht="30" customHeight="1">
      <c r="A113" s="204">
        <v>100</v>
      </c>
      <c r="B113" s="204" t="s">
        <v>99</v>
      </c>
      <c r="C113" s="233" t="s">
        <v>100</v>
      </c>
      <c r="D113" s="205" t="s">
        <v>101</v>
      </c>
      <c r="E113" s="204" t="s">
        <v>101</v>
      </c>
      <c r="F113" s="234" t="s">
        <v>552</v>
      </c>
      <c r="G113" s="235" t="s">
        <v>1</v>
      </c>
      <c r="H113" s="235" t="s">
        <v>2</v>
      </c>
      <c r="I113" s="235" t="s">
        <v>12</v>
      </c>
      <c r="J113" s="234" t="s">
        <v>553</v>
      </c>
      <c r="K113" s="234" t="s">
        <v>554</v>
      </c>
      <c r="L113" s="234" t="s">
        <v>555</v>
      </c>
      <c r="M113" s="204" t="s">
        <v>435</v>
      </c>
      <c r="N113" s="204" t="s">
        <v>5</v>
      </c>
      <c r="O113" s="151">
        <v>45859</v>
      </c>
      <c r="P113" s="151" t="s">
        <v>24</v>
      </c>
      <c r="Q113" s="151" t="s">
        <v>24</v>
      </c>
      <c r="R113" s="151" t="s">
        <v>24</v>
      </c>
      <c r="S113" s="151" t="s">
        <v>24</v>
      </c>
      <c r="T113" s="151" t="s">
        <v>24</v>
      </c>
      <c r="U113" s="151" t="s">
        <v>24</v>
      </c>
      <c r="V113" s="151" t="s">
        <v>24</v>
      </c>
      <c r="W113" s="151" t="s">
        <v>24</v>
      </c>
      <c r="X113" s="151" t="s">
        <v>24</v>
      </c>
      <c r="Y113" s="151" t="s">
        <v>24</v>
      </c>
      <c r="Z113" s="151" t="s">
        <v>24</v>
      </c>
      <c r="AA113" s="137"/>
      <c r="AB113" s="234" t="s">
        <v>553</v>
      </c>
      <c r="AC113" s="234" t="s">
        <v>554</v>
      </c>
      <c r="AD113" s="234" t="s">
        <v>555</v>
      </c>
      <c r="AE113" s="204" t="s">
        <v>12</v>
      </c>
      <c r="AF113" s="204" t="s">
        <v>435</v>
      </c>
      <c r="AG113" s="143">
        <v>28857.14</v>
      </c>
      <c r="AH113" s="143">
        <f>AG113+30000</f>
        <v>58857.14</v>
      </c>
      <c r="AI113" s="137" t="s">
        <v>6</v>
      </c>
      <c r="AJ113" s="141" t="s">
        <v>105</v>
      </c>
      <c r="AK113" s="204">
        <v>129343536</v>
      </c>
      <c r="AL113" s="137" t="s">
        <v>112</v>
      </c>
      <c r="AM113" s="137" t="s">
        <v>112</v>
      </c>
      <c r="AN113" s="137" t="s">
        <v>113</v>
      </c>
      <c r="AO113" s="256"/>
      <c r="AP113" s="234" t="s">
        <v>556</v>
      </c>
      <c r="AQ113" s="137" t="s">
        <v>112</v>
      </c>
      <c r="AR113" s="137" t="s">
        <v>112</v>
      </c>
      <c r="AS113" s="137" t="s">
        <v>112</v>
      </c>
      <c r="AT113" s="137" t="s">
        <v>112</v>
      </c>
      <c r="AU113" s="151">
        <v>45923</v>
      </c>
      <c r="AV113" s="137" t="s">
        <v>112</v>
      </c>
      <c r="AW113" s="137" t="s">
        <v>112</v>
      </c>
      <c r="AX113" s="151">
        <v>45929</v>
      </c>
      <c r="AY113" s="144">
        <v>45929</v>
      </c>
      <c r="AZ113" s="144" t="s">
        <v>33</v>
      </c>
      <c r="BA113" s="145" t="s">
        <v>115</v>
      </c>
      <c r="BB113" s="147" t="s">
        <v>112</v>
      </c>
      <c r="BC113" s="146">
        <f t="shared" si="15"/>
        <v>70</v>
      </c>
      <c r="BD113" s="137" t="str">
        <f t="shared" si="16"/>
        <v>INDENIZAÇÃO</v>
      </c>
      <c r="BE113" s="137" t="str">
        <f t="shared" si="17"/>
        <v>NÃO</v>
      </c>
      <c r="BF113" s="137" t="s">
        <v>24</v>
      </c>
      <c r="BG113" s="137" t="s">
        <v>24</v>
      </c>
      <c r="BH113" s="137" t="s">
        <v>24</v>
      </c>
      <c r="BI113" s="137" t="s">
        <v>112</v>
      </c>
      <c r="BJ113" s="137" t="s">
        <v>112</v>
      </c>
      <c r="BK113" s="151">
        <v>45951</v>
      </c>
      <c r="BL113" s="137" t="s">
        <v>112</v>
      </c>
      <c r="BM113" s="145" t="s">
        <v>33</v>
      </c>
      <c r="BN113" s="266"/>
    </row>
    <row r="114" spans="1:66" s="152" customFormat="1" ht="30" customHeight="1">
      <c r="A114" s="204">
        <v>101</v>
      </c>
      <c r="B114" s="204" t="s">
        <v>99</v>
      </c>
      <c r="C114" s="233" t="s">
        <v>100</v>
      </c>
      <c r="D114" s="205" t="s">
        <v>101</v>
      </c>
      <c r="E114" s="204" t="s">
        <v>101</v>
      </c>
      <c r="F114" s="234" t="s">
        <v>557</v>
      </c>
      <c r="G114" s="235" t="s">
        <v>1</v>
      </c>
      <c r="H114" s="235" t="s">
        <v>2</v>
      </c>
      <c r="I114" s="235" t="s">
        <v>12</v>
      </c>
      <c r="J114" s="234" t="s">
        <v>558</v>
      </c>
      <c r="K114" s="234" t="s">
        <v>559</v>
      </c>
      <c r="L114" s="234" t="s">
        <v>560</v>
      </c>
      <c r="M114" s="204"/>
      <c r="N114" s="204"/>
      <c r="O114" s="151"/>
      <c r="P114" s="151"/>
      <c r="Q114" s="151"/>
      <c r="R114" s="151"/>
      <c r="S114" s="142"/>
      <c r="T114" s="142"/>
      <c r="U114" s="142"/>
      <c r="V114" s="142"/>
      <c r="W114" s="142"/>
      <c r="X114" s="142"/>
      <c r="Y114" s="142"/>
      <c r="Z114" s="142"/>
      <c r="AA114" s="137"/>
      <c r="AB114" s="206"/>
      <c r="AC114" s="206"/>
      <c r="AD114" s="206"/>
      <c r="AE114" s="204"/>
      <c r="AF114" s="204"/>
      <c r="AG114" s="143"/>
      <c r="AH114" s="143"/>
      <c r="AI114" s="137"/>
      <c r="AJ114" s="141" t="s">
        <v>105</v>
      </c>
      <c r="AK114" s="204"/>
      <c r="AL114" s="137"/>
      <c r="AM114" s="137"/>
      <c r="AN114" s="137"/>
      <c r="AO114" s="137"/>
      <c r="AP114" s="234"/>
      <c r="AQ114" s="137"/>
      <c r="AR114" s="137"/>
      <c r="AS114" s="137"/>
      <c r="AT114" s="137"/>
      <c r="AU114" s="151"/>
      <c r="AV114" s="137"/>
      <c r="AW114" s="137"/>
      <c r="AX114" s="151"/>
      <c r="AY114" s="142"/>
      <c r="AZ114" s="142"/>
      <c r="BA114" s="137"/>
      <c r="BB114" s="147"/>
      <c r="BC114" s="146" t="str">
        <f t="shared" si="15"/>
        <v/>
      </c>
      <c r="BD114" s="137" t="str">
        <f t="shared" si="16"/>
        <v>INDENIZAÇÃO</v>
      </c>
      <c r="BE114" s="137" t="str">
        <f t="shared" si="17"/>
        <v>NÃO</v>
      </c>
      <c r="BF114" s="137"/>
      <c r="BG114" s="137"/>
      <c r="BH114" s="137"/>
      <c r="BI114" s="137"/>
      <c r="BJ114" s="137"/>
      <c r="BK114" s="151"/>
      <c r="BL114" s="137"/>
      <c r="BM114" s="137"/>
      <c r="BN114" s="266"/>
    </row>
    <row r="115" spans="1:66" s="152" customFormat="1" ht="30" customHeight="1">
      <c r="A115" s="204">
        <v>102</v>
      </c>
      <c r="B115" s="204" t="s">
        <v>99</v>
      </c>
      <c r="C115" s="233" t="s">
        <v>100</v>
      </c>
      <c r="D115" s="205"/>
      <c r="E115" s="204"/>
      <c r="F115" s="234" t="s">
        <v>561</v>
      </c>
      <c r="G115" s="235" t="s">
        <v>1</v>
      </c>
      <c r="H115" s="235" t="s">
        <v>2</v>
      </c>
      <c r="I115" s="235" t="s">
        <v>12</v>
      </c>
      <c r="J115" s="234" t="s">
        <v>562</v>
      </c>
      <c r="K115" s="234" t="s">
        <v>563</v>
      </c>
      <c r="L115" s="234" t="s">
        <v>564</v>
      </c>
      <c r="M115" s="204" t="s">
        <v>110</v>
      </c>
      <c r="N115" s="204" t="s">
        <v>5</v>
      </c>
      <c r="O115" s="151">
        <v>46014</v>
      </c>
      <c r="P115" s="151" t="s">
        <v>24</v>
      </c>
      <c r="Q115" s="151" t="s">
        <v>24</v>
      </c>
      <c r="R115" s="151" t="s">
        <v>24</v>
      </c>
      <c r="S115" s="142" t="s">
        <v>24</v>
      </c>
      <c r="T115" s="142" t="s">
        <v>24</v>
      </c>
      <c r="U115" s="142" t="s">
        <v>24</v>
      </c>
      <c r="V115" s="142" t="s">
        <v>24</v>
      </c>
      <c r="W115" s="142" t="s">
        <v>24</v>
      </c>
      <c r="X115" s="142" t="s">
        <v>24</v>
      </c>
      <c r="Y115" s="142" t="s">
        <v>24</v>
      </c>
      <c r="Z115" s="142" t="s">
        <v>24</v>
      </c>
      <c r="AA115" s="137"/>
      <c r="AB115" s="234" t="s">
        <v>562</v>
      </c>
      <c r="AC115" s="234" t="s">
        <v>563</v>
      </c>
      <c r="AD115" s="234" t="s">
        <v>564</v>
      </c>
      <c r="AE115" s="204" t="s">
        <v>12</v>
      </c>
      <c r="AF115" s="204" t="s">
        <v>110</v>
      </c>
      <c r="AG115" s="143">
        <v>17843.18</v>
      </c>
      <c r="AH115" s="143">
        <f>AG115+30000</f>
        <v>47843.18</v>
      </c>
      <c r="AI115" s="137" t="s">
        <v>6</v>
      </c>
      <c r="AJ115" s="141" t="s">
        <v>105</v>
      </c>
      <c r="AK115" s="204">
        <v>146931553</v>
      </c>
      <c r="AL115" s="137" t="s">
        <v>112</v>
      </c>
      <c r="AM115" s="137" t="s">
        <v>112</v>
      </c>
      <c r="AN115" s="137" t="s">
        <v>113</v>
      </c>
      <c r="AO115" s="137"/>
      <c r="AP115" s="234" t="s">
        <v>565</v>
      </c>
      <c r="AQ115" s="137" t="s">
        <v>112</v>
      </c>
      <c r="AR115" s="137" t="s">
        <v>112</v>
      </c>
      <c r="AS115" s="137" t="s">
        <v>112</v>
      </c>
      <c r="AT115" s="137" t="s">
        <v>112</v>
      </c>
      <c r="AU115" s="151">
        <v>46142</v>
      </c>
      <c r="AV115" s="137" t="s">
        <v>112</v>
      </c>
      <c r="AW115" s="137" t="s">
        <v>112</v>
      </c>
      <c r="AX115" s="151">
        <v>46154</v>
      </c>
      <c r="AY115" s="144">
        <v>46154</v>
      </c>
      <c r="AZ115" s="144" t="s">
        <v>33</v>
      </c>
      <c r="BA115" s="145" t="s">
        <v>115</v>
      </c>
      <c r="BB115" s="147" t="s">
        <v>112</v>
      </c>
      <c r="BC115" s="146">
        <f t="shared" si="15"/>
        <v>140</v>
      </c>
      <c r="BD115" s="137" t="str">
        <f t="shared" si="16"/>
        <v>INDENIZAÇÃO</v>
      </c>
      <c r="BE115" s="137" t="str">
        <f t="shared" si="17"/>
        <v>NÃO</v>
      </c>
      <c r="BF115" s="137" t="s">
        <v>24</v>
      </c>
      <c r="BG115" s="137" t="s">
        <v>24</v>
      </c>
      <c r="BH115" s="137" t="s">
        <v>24</v>
      </c>
      <c r="BI115" s="145" t="s">
        <v>123</v>
      </c>
      <c r="BJ115" s="145"/>
      <c r="BK115" s="144"/>
      <c r="BL115" s="145"/>
      <c r="BM115" s="145"/>
      <c r="BN115" s="266"/>
    </row>
    <row r="116" spans="1:66" s="152" customFormat="1" ht="30" customHeight="1">
      <c r="A116" s="204">
        <v>103</v>
      </c>
      <c r="B116" s="204" t="s">
        <v>99</v>
      </c>
      <c r="C116" s="233" t="s">
        <v>100</v>
      </c>
      <c r="D116" s="205"/>
      <c r="E116" s="204"/>
      <c r="F116" s="253" t="s">
        <v>566</v>
      </c>
      <c r="G116" s="235" t="s">
        <v>1</v>
      </c>
      <c r="H116" s="235" t="s">
        <v>2</v>
      </c>
      <c r="I116" s="235" t="s">
        <v>12</v>
      </c>
      <c r="J116" s="234" t="s">
        <v>567</v>
      </c>
      <c r="K116" s="234" t="s">
        <v>568</v>
      </c>
      <c r="L116" s="234" t="s">
        <v>569</v>
      </c>
      <c r="M116" s="204" t="s">
        <v>110</v>
      </c>
      <c r="N116" s="204" t="s">
        <v>128</v>
      </c>
      <c r="O116" s="151">
        <v>46157</v>
      </c>
      <c r="P116" s="144" t="s">
        <v>17</v>
      </c>
      <c r="Q116" s="254" t="s">
        <v>130</v>
      </c>
      <c r="R116" s="144"/>
      <c r="S116" s="144"/>
      <c r="T116" s="144"/>
      <c r="U116" s="144"/>
      <c r="V116" s="144"/>
      <c r="W116" s="144"/>
      <c r="X116" s="144"/>
      <c r="Y116" s="144"/>
      <c r="Z116" s="144"/>
      <c r="AA116" s="137"/>
      <c r="AB116" s="234" t="s">
        <v>567</v>
      </c>
      <c r="AC116" s="234" t="s">
        <v>568</v>
      </c>
      <c r="AD116" s="234" t="s">
        <v>569</v>
      </c>
      <c r="AE116" s="204" t="s">
        <v>12</v>
      </c>
      <c r="AF116" s="204" t="s">
        <v>110</v>
      </c>
      <c r="AG116" s="143">
        <v>19991.400000000001</v>
      </c>
      <c r="AH116" s="143">
        <f>AG116+30000</f>
        <v>49991.4</v>
      </c>
      <c r="AI116" s="137" t="s">
        <v>23</v>
      </c>
      <c r="AJ116" s="141" t="s">
        <v>105</v>
      </c>
      <c r="AK116" s="204">
        <v>144751094</v>
      </c>
      <c r="AL116" s="137" t="s">
        <v>112</v>
      </c>
      <c r="AM116" s="137" t="s">
        <v>112</v>
      </c>
      <c r="AN116" s="137" t="s">
        <v>113</v>
      </c>
      <c r="AO116" s="137" t="s">
        <v>570</v>
      </c>
      <c r="AP116" s="234" t="s">
        <v>571</v>
      </c>
      <c r="AQ116" s="137" t="s">
        <v>24</v>
      </c>
      <c r="AR116" s="137" t="s">
        <v>24</v>
      </c>
      <c r="AS116" s="137" t="s">
        <v>24</v>
      </c>
      <c r="AT116" s="137" t="s">
        <v>24</v>
      </c>
      <c r="AU116" s="137" t="s">
        <v>24</v>
      </c>
      <c r="AV116" s="137" t="s">
        <v>24</v>
      </c>
      <c r="AW116" s="137" t="s">
        <v>24</v>
      </c>
      <c r="AX116" s="144"/>
      <c r="AY116" s="142"/>
      <c r="AZ116" s="145"/>
      <c r="BA116" s="145" t="s">
        <v>1</v>
      </c>
      <c r="BB116" s="147"/>
      <c r="BC116" s="146" t="str">
        <f t="shared" si="15"/>
        <v/>
      </c>
      <c r="BD116" s="137" t="str">
        <f t="shared" si="16"/>
        <v>AA</v>
      </c>
      <c r="BE116" s="137" t="str">
        <f t="shared" si="17"/>
        <v>NÃO</v>
      </c>
      <c r="BF116" s="137"/>
      <c r="BG116" s="137"/>
      <c r="BH116" s="137"/>
      <c r="BI116" s="137"/>
      <c r="BJ116" s="137"/>
      <c r="BK116" s="151"/>
      <c r="BL116" s="137"/>
      <c r="BM116" s="137"/>
      <c r="BN116" s="266"/>
    </row>
    <row r="117" spans="1:66" s="152" customFormat="1" ht="30" customHeight="1">
      <c r="A117" s="204">
        <v>104</v>
      </c>
      <c r="B117" s="204" t="s">
        <v>99</v>
      </c>
      <c r="C117" s="233" t="s">
        <v>100</v>
      </c>
      <c r="D117" s="205"/>
      <c r="E117" s="204"/>
      <c r="F117" s="234" t="s">
        <v>572</v>
      </c>
      <c r="G117" s="235" t="s">
        <v>1</v>
      </c>
      <c r="H117" s="235" t="s">
        <v>2</v>
      </c>
      <c r="I117" s="235" t="s">
        <v>12</v>
      </c>
      <c r="J117" s="234" t="s">
        <v>573</v>
      </c>
      <c r="K117" s="234" t="s">
        <v>574</v>
      </c>
      <c r="L117" s="234" t="s">
        <v>575</v>
      </c>
      <c r="M117" s="204" t="s">
        <v>110</v>
      </c>
      <c r="N117" s="204" t="s">
        <v>5</v>
      </c>
      <c r="O117" s="151">
        <v>46014</v>
      </c>
      <c r="P117" s="151" t="s">
        <v>24</v>
      </c>
      <c r="Q117" s="151" t="s">
        <v>24</v>
      </c>
      <c r="R117" s="151" t="s">
        <v>24</v>
      </c>
      <c r="S117" s="142" t="s">
        <v>24</v>
      </c>
      <c r="T117" s="142" t="s">
        <v>24</v>
      </c>
      <c r="U117" s="142" t="s">
        <v>24</v>
      </c>
      <c r="V117" s="142" t="s">
        <v>24</v>
      </c>
      <c r="W117" s="142" t="s">
        <v>24</v>
      </c>
      <c r="X117" s="142" t="s">
        <v>24</v>
      </c>
      <c r="Y117" s="142" t="s">
        <v>24</v>
      </c>
      <c r="Z117" s="142" t="s">
        <v>24</v>
      </c>
      <c r="AA117" s="137"/>
      <c r="AB117" s="234" t="s">
        <v>573</v>
      </c>
      <c r="AC117" s="234" t="s">
        <v>574</v>
      </c>
      <c r="AD117" s="234" t="s">
        <v>575</v>
      </c>
      <c r="AE117" s="204" t="s">
        <v>12</v>
      </c>
      <c r="AF117" s="204" t="s">
        <v>110</v>
      </c>
      <c r="AG117" s="143">
        <v>8083.57</v>
      </c>
      <c r="AH117" s="143">
        <f>AG117+30000</f>
        <v>38083.57</v>
      </c>
      <c r="AI117" s="137" t="s">
        <v>6</v>
      </c>
      <c r="AJ117" s="141" t="s">
        <v>105</v>
      </c>
      <c r="AK117" s="204">
        <v>144751423</v>
      </c>
      <c r="AL117" s="137" t="s">
        <v>112</v>
      </c>
      <c r="AM117" s="137" t="s">
        <v>112</v>
      </c>
      <c r="AN117" s="137" t="s">
        <v>113</v>
      </c>
      <c r="AP117" s="234" t="s">
        <v>576</v>
      </c>
      <c r="AQ117" s="204" t="s">
        <v>112</v>
      </c>
      <c r="AR117" s="204" t="s">
        <v>112</v>
      </c>
      <c r="AS117" s="137" t="s">
        <v>112</v>
      </c>
      <c r="AT117" s="137" t="s">
        <v>112</v>
      </c>
      <c r="AU117" s="151">
        <v>46184</v>
      </c>
      <c r="AV117" s="137" t="s">
        <v>112</v>
      </c>
      <c r="AW117" s="137" t="s">
        <v>112</v>
      </c>
      <c r="AX117" s="151">
        <v>46191</v>
      </c>
      <c r="AY117" s="144">
        <v>46191</v>
      </c>
      <c r="AZ117" s="144" t="s">
        <v>33</v>
      </c>
      <c r="BA117" s="145" t="s">
        <v>115</v>
      </c>
      <c r="BB117" s="147" t="s">
        <v>112</v>
      </c>
      <c r="BC117" s="146">
        <f t="shared" si="15"/>
        <v>177</v>
      </c>
      <c r="BD117" s="137" t="str">
        <f t="shared" si="16"/>
        <v>INDENIZAÇÃO</v>
      </c>
      <c r="BE117" s="137" t="str">
        <f t="shared" si="17"/>
        <v>NÃO</v>
      </c>
      <c r="BF117" s="137" t="s">
        <v>24</v>
      </c>
      <c r="BG117" s="137" t="s">
        <v>24</v>
      </c>
      <c r="BH117" s="137" t="s">
        <v>24</v>
      </c>
      <c r="BI117" s="145" t="s">
        <v>123</v>
      </c>
      <c r="BJ117" s="145"/>
      <c r="BK117" s="144"/>
      <c r="BL117" s="145"/>
      <c r="BM117" s="145"/>
      <c r="BN117" s="266"/>
    </row>
    <row r="118" spans="1:66" s="152" customFormat="1" ht="30" customHeight="1">
      <c r="A118" s="204">
        <v>105</v>
      </c>
      <c r="B118" s="204" t="s">
        <v>99</v>
      </c>
      <c r="C118" s="233" t="s">
        <v>100</v>
      </c>
      <c r="D118" s="205"/>
      <c r="E118" s="204"/>
      <c r="F118" s="234" t="s">
        <v>577</v>
      </c>
      <c r="G118" s="235" t="s">
        <v>1</v>
      </c>
      <c r="H118" s="235" t="s">
        <v>2</v>
      </c>
      <c r="I118" s="235" t="s">
        <v>12</v>
      </c>
      <c r="J118" s="234" t="s">
        <v>578</v>
      </c>
      <c r="K118" s="234" t="s">
        <v>579</v>
      </c>
      <c r="L118" s="234" t="s">
        <v>580</v>
      </c>
      <c r="M118" s="204" t="s">
        <v>110</v>
      </c>
      <c r="N118" s="204" t="s">
        <v>5</v>
      </c>
      <c r="O118" s="151">
        <v>46167</v>
      </c>
      <c r="P118" s="151" t="s">
        <v>24</v>
      </c>
      <c r="Q118" s="151" t="s">
        <v>24</v>
      </c>
      <c r="R118" s="151" t="s">
        <v>24</v>
      </c>
      <c r="S118" s="142" t="s">
        <v>24</v>
      </c>
      <c r="T118" s="142" t="s">
        <v>24</v>
      </c>
      <c r="U118" s="142" t="s">
        <v>24</v>
      </c>
      <c r="V118" s="142" t="s">
        <v>24</v>
      </c>
      <c r="W118" s="142" t="s">
        <v>24</v>
      </c>
      <c r="X118" s="142" t="s">
        <v>24</v>
      </c>
      <c r="Y118" s="142" t="s">
        <v>24</v>
      </c>
      <c r="Z118" s="142" t="s">
        <v>24</v>
      </c>
      <c r="AA118" s="137"/>
      <c r="AB118" s="234" t="s">
        <v>578</v>
      </c>
      <c r="AC118" s="234" t="s">
        <v>579</v>
      </c>
      <c r="AD118" s="234" t="s">
        <v>580</v>
      </c>
      <c r="AE118" s="204" t="s">
        <v>12</v>
      </c>
      <c r="AF118" s="204" t="s">
        <v>110</v>
      </c>
      <c r="AG118" s="270">
        <v>5145.62</v>
      </c>
      <c r="AH118" s="270">
        <f>AG118+30000</f>
        <v>35145.620000000003</v>
      </c>
      <c r="AI118" s="137" t="s">
        <v>6</v>
      </c>
      <c r="AJ118" s="141" t="s">
        <v>105</v>
      </c>
      <c r="AK118" s="204">
        <v>155561887</v>
      </c>
      <c r="AL118" s="137" t="s">
        <v>112</v>
      </c>
      <c r="AM118" s="137" t="s">
        <v>112</v>
      </c>
      <c r="AN118" s="137" t="s">
        <v>113</v>
      </c>
      <c r="AO118" s="137" t="s">
        <v>581</v>
      </c>
      <c r="AP118" s="234" t="s">
        <v>582</v>
      </c>
      <c r="AQ118" s="204" t="s">
        <v>112</v>
      </c>
      <c r="AR118" s="204" t="s">
        <v>112</v>
      </c>
      <c r="AS118" s="145" t="s">
        <v>583</v>
      </c>
      <c r="AT118" s="145"/>
      <c r="AU118" s="144"/>
      <c r="AV118" s="145"/>
      <c r="AW118" s="145"/>
      <c r="AX118" s="144"/>
      <c r="AY118" s="144"/>
      <c r="AZ118" s="145"/>
      <c r="BA118" s="145" t="s">
        <v>1</v>
      </c>
      <c r="BB118" s="147"/>
      <c r="BC118" s="146" t="str">
        <f t="shared" si="15"/>
        <v/>
      </c>
      <c r="BD118" s="137" t="str">
        <f t="shared" si="16"/>
        <v>INDENIZAÇÃO</v>
      </c>
      <c r="BE118" s="137" t="str">
        <f t="shared" si="17"/>
        <v>NÃO</v>
      </c>
      <c r="BF118" s="137"/>
      <c r="BG118" s="137"/>
      <c r="BH118" s="137"/>
      <c r="BI118" s="137"/>
      <c r="BJ118" s="137"/>
      <c r="BK118" s="151"/>
      <c r="BL118" s="137"/>
      <c r="BM118" s="137"/>
      <c r="BN118" s="266"/>
    </row>
    <row r="119" spans="1:66" s="152" customFormat="1" ht="30" customHeight="1">
      <c r="A119" s="204">
        <v>106</v>
      </c>
      <c r="B119" s="204" t="s">
        <v>99</v>
      </c>
      <c r="C119" s="233" t="s">
        <v>116</v>
      </c>
      <c r="D119" s="205" t="s">
        <v>101</v>
      </c>
      <c r="E119" s="204" t="s">
        <v>101</v>
      </c>
      <c r="F119" s="234" t="s">
        <v>584</v>
      </c>
      <c r="G119" s="235" t="s">
        <v>1</v>
      </c>
      <c r="H119" s="235" t="s">
        <v>2</v>
      </c>
      <c r="I119" s="235" t="s">
        <v>12</v>
      </c>
      <c r="J119" s="234" t="s">
        <v>585</v>
      </c>
      <c r="K119" s="234">
        <v>632920622</v>
      </c>
      <c r="L119" s="234">
        <v>53555170805</v>
      </c>
      <c r="M119" s="204"/>
      <c r="N119" s="204"/>
      <c r="O119" s="151"/>
      <c r="P119" s="151"/>
      <c r="Q119" s="151"/>
      <c r="R119" s="151"/>
      <c r="S119" s="142"/>
      <c r="T119" s="142"/>
      <c r="U119" s="142"/>
      <c r="V119" s="142"/>
      <c r="W119" s="142"/>
      <c r="X119" s="142"/>
      <c r="Y119" s="142"/>
      <c r="Z119" s="142"/>
      <c r="AA119" s="137"/>
      <c r="AB119" s="206"/>
      <c r="AC119" s="206"/>
      <c r="AD119" s="206"/>
      <c r="AE119" s="204"/>
      <c r="AF119" s="204"/>
      <c r="AG119" s="143"/>
      <c r="AH119" s="143"/>
      <c r="AI119" s="137"/>
      <c r="AJ119" s="141" t="s">
        <v>105</v>
      </c>
      <c r="AK119" s="204"/>
      <c r="AL119" s="137"/>
      <c r="AM119" s="137"/>
      <c r="AN119" s="137"/>
      <c r="AO119" s="137"/>
      <c r="AP119" s="234"/>
      <c r="AQ119" s="137"/>
      <c r="AR119" s="137"/>
      <c r="AS119" s="137"/>
      <c r="AT119" s="137"/>
      <c r="AU119" s="151"/>
      <c r="AV119" s="137"/>
      <c r="AW119" s="137"/>
      <c r="AX119" s="151"/>
      <c r="AY119" s="142"/>
      <c r="AZ119" s="142"/>
      <c r="BA119" s="137"/>
      <c r="BB119" s="147"/>
      <c r="BC119" s="146" t="str">
        <f t="shared" si="15"/>
        <v/>
      </c>
      <c r="BD119" s="137" t="str">
        <f t="shared" si="16"/>
        <v>INDENIZAÇÃO</v>
      </c>
      <c r="BE119" s="137" t="str">
        <f t="shared" si="17"/>
        <v>NÃO</v>
      </c>
      <c r="BF119" s="137"/>
      <c r="BG119" s="137"/>
      <c r="BH119" s="137"/>
      <c r="BI119" s="137"/>
      <c r="BJ119" s="137"/>
      <c r="BK119" s="151"/>
      <c r="BL119" s="137"/>
      <c r="BM119" s="137"/>
      <c r="BN119" s="266"/>
    </row>
    <row r="120" spans="1:66" s="152" customFormat="1" ht="30" customHeight="1">
      <c r="A120" s="204">
        <v>107</v>
      </c>
      <c r="B120" s="204" t="s">
        <v>99</v>
      </c>
      <c r="C120" s="233" t="s">
        <v>116</v>
      </c>
      <c r="D120" s="205" t="s">
        <v>101</v>
      </c>
      <c r="E120" s="204" t="s">
        <v>101</v>
      </c>
      <c r="F120" s="234" t="s">
        <v>586</v>
      </c>
      <c r="G120" s="235" t="s">
        <v>1</v>
      </c>
      <c r="H120" s="235" t="s">
        <v>2</v>
      </c>
      <c r="I120" s="235" t="s">
        <v>12</v>
      </c>
      <c r="J120" s="234" t="s">
        <v>587</v>
      </c>
      <c r="K120" s="234" t="s">
        <v>588</v>
      </c>
      <c r="L120" s="234" t="s">
        <v>589</v>
      </c>
      <c r="M120" s="204"/>
      <c r="N120" s="204"/>
      <c r="O120" s="151"/>
      <c r="P120" s="151"/>
      <c r="Q120" s="151"/>
      <c r="R120" s="151"/>
      <c r="S120" s="142"/>
      <c r="T120" s="142"/>
      <c r="U120" s="142"/>
      <c r="V120" s="142"/>
      <c r="W120" s="142"/>
      <c r="X120" s="142"/>
      <c r="Y120" s="142"/>
      <c r="Z120" s="142"/>
      <c r="AA120" s="137"/>
      <c r="AB120" s="206"/>
      <c r="AC120" s="206"/>
      <c r="AD120" s="206"/>
      <c r="AE120" s="204"/>
      <c r="AF120" s="204"/>
      <c r="AG120" s="143"/>
      <c r="AH120" s="143"/>
      <c r="AI120" s="137"/>
      <c r="AJ120" s="141" t="s">
        <v>105</v>
      </c>
      <c r="AK120" s="204"/>
      <c r="AL120" s="137"/>
      <c r="AM120" s="137"/>
      <c r="AN120" s="137"/>
      <c r="AO120" s="137"/>
      <c r="AP120" s="234"/>
      <c r="AQ120" s="137"/>
      <c r="AR120" s="137"/>
      <c r="AS120" s="137"/>
      <c r="AT120" s="137"/>
      <c r="AU120" s="151"/>
      <c r="AV120" s="137"/>
      <c r="AW120" s="137"/>
      <c r="AX120" s="151"/>
      <c r="AY120" s="142"/>
      <c r="AZ120" s="142"/>
      <c r="BA120" s="137"/>
      <c r="BB120" s="147"/>
      <c r="BC120" s="146" t="str">
        <f t="shared" si="15"/>
        <v/>
      </c>
      <c r="BD120" s="137" t="str">
        <f t="shared" si="16"/>
        <v>INDENIZAÇÃO</v>
      </c>
      <c r="BE120" s="137" t="str">
        <f t="shared" si="17"/>
        <v>NÃO</v>
      </c>
      <c r="BF120" s="137"/>
      <c r="BG120" s="137"/>
      <c r="BH120" s="137"/>
      <c r="BI120" s="137"/>
      <c r="BJ120" s="137"/>
      <c r="BK120" s="151"/>
      <c r="BL120" s="137"/>
      <c r="BM120" s="137"/>
      <c r="BN120" s="266"/>
    </row>
    <row r="121" spans="1:66" s="152" customFormat="1" ht="30" customHeight="1">
      <c r="A121" s="204">
        <v>108</v>
      </c>
      <c r="B121" s="204" t="s">
        <v>99</v>
      </c>
      <c r="C121" s="233" t="s">
        <v>116</v>
      </c>
      <c r="D121" s="205" t="s">
        <v>101</v>
      </c>
      <c r="E121" s="204" t="s">
        <v>101</v>
      </c>
      <c r="F121" s="234" t="s">
        <v>590</v>
      </c>
      <c r="G121" s="235" t="s">
        <v>1</v>
      </c>
      <c r="H121" s="235" t="s">
        <v>2</v>
      </c>
      <c r="I121" s="235" t="s">
        <v>12</v>
      </c>
      <c r="J121" s="234" t="s">
        <v>591</v>
      </c>
      <c r="K121" s="234">
        <v>538254166</v>
      </c>
      <c r="L121" s="234">
        <v>47131279811</v>
      </c>
      <c r="M121" s="204"/>
      <c r="N121" s="204"/>
      <c r="O121" s="151"/>
      <c r="P121" s="151"/>
      <c r="Q121" s="151"/>
      <c r="R121" s="151"/>
      <c r="S121" s="142"/>
      <c r="T121" s="142"/>
      <c r="U121" s="142"/>
      <c r="V121" s="142"/>
      <c r="W121" s="142"/>
      <c r="X121" s="142"/>
      <c r="Y121" s="142"/>
      <c r="Z121" s="142"/>
      <c r="AA121" s="137"/>
      <c r="AB121" s="206"/>
      <c r="AC121" s="206"/>
      <c r="AD121" s="206"/>
      <c r="AE121" s="204"/>
      <c r="AF121" s="204"/>
      <c r="AG121" s="143"/>
      <c r="AH121" s="143"/>
      <c r="AI121" s="137"/>
      <c r="AJ121" s="141" t="s">
        <v>105</v>
      </c>
      <c r="AK121" s="204"/>
      <c r="AL121" s="137"/>
      <c r="AM121" s="137"/>
      <c r="AN121" s="137"/>
      <c r="AO121" s="137"/>
      <c r="AP121" s="234"/>
      <c r="AQ121" s="137"/>
      <c r="AR121" s="137"/>
      <c r="AS121" s="137"/>
      <c r="AT121" s="137"/>
      <c r="AU121" s="151"/>
      <c r="AV121" s="137"/>
      <c r="AW121" s="137"/>
      <c r="AX121" s="151"/>
      <c r="AY121" s="142"/>
      <c r="AZ121" s="142"/>
      <c r="BA121" s="137"/>
      <c r="BB121" s="147"/>
      <c r="BC121" s="146" t="str">
        <f t="shared" si="15"/>
        <v/>
      </c>
      <c r="BD121" s="137" t="str">
        <f t="shared" si="16"/>
        <v>INDENIZAÇÃO</v>
      </c>
      <c r="BE121" s="137" t="str">
        <f t="shared" si="17"/>
        <v>NÃO</v>
      </c>
      <c r="BF121" s="137"/>
      <c r="BG121" s="137"/>
      <c r="BH121" s="137"/>
      <c r="BI121" s="137"/>
      <c r="BJ121" s="137"/>
      <c r="BK121" s="151"/>
      <c r="BL121" s="137"/>
      <c r="BM121" s="137"/>
      <c r="BN121" s="266"/>
    </row>
    <row r="122" spans="1:66" s="152" customFormat="1" ht="30" customHeight="1">
      <c r="A122" s="204">
        <v>109</v>
      </c>
      <c r="B122" s="204" t="s">
        <v>99</v>
      </c>
      <c r="C122" s="233" t="s">
        <v>116</v>
      </c>
      <c r="D122" s="205" t="s">
        <v>101</v>
      </c>
      <c r="E122" s="204" t="s">
        <v>101</v>
      </c>
      <c r="F122" s="234" t="s">
        <v>592</v>
      </c>
      <c r="G122" s="235" t="s">
        <v>1</v>
      </c>
      <c r="H122" s="235" t="s">
        <v>2</v>
      </c>
      <c r="I122" s="235" t="s">
        <v>12</v>
      </c>
      <c r="J122" s="234" t="s">
        <v>593</v>
      </c>
      <c r="K122" s="234">
        <v>233527503</v>
      </c>
      <c r="L122" s="234">
        <v>11783738863</v>
      </c>
      <c r="M122" s="204"/>
      <c r="N122" s="204"/>
      <c r="O122" s="151"/>
      <c r="P122" s="151"/>
      <c r="Q122" s="151"/>
      <c r="R122" s="151"/>
      <c r="S122" s="142"/>
      <c r="T122" s="142"/>
      <c r="U122" s="142"/>
      <c r="V122" s="142"/>
      <c r="W122" s="142"/>
      <c r="X122" s="142"/>
      <c r="Y122" s="142"/>
      <c r="Z122" s="142"/>
      <c r="AA122" s="137"/>
      <c r="AB122" s="206"/>
      <c r="AC122" s="206"/>
      <c r="AD122" s="206"/>
      <c r="AE122" s="204"/>
      <c r="AF122" s="204"/>
      <c r="AG122" s="143"/>
      <c r="AH122" s="143"/>
      <c r="AI122" s="137"/>
      <c r="AJ122" s="141" t="s">
        <v>105</v>
      </c>
      <c r="AK122" s="204"/>
      <c r="AL122" s="137"/>
      <c r="AM122" s="137"/>
      <c r="AN122" s="137"/>
      <c r="AO122" s="137"/>
      <c r="AP122" s="234"/>
      <c r="AQ122" s="137"/>
      <c r="AR122" s="137"/>
      <c r="AS122" s="137"/>
      <c r="AT122" s="137"/>
      <c r="AU122" s="151"/>
      <c r="AV122" s="137"/>
      <c r="AW122" s="137"/>
      <c r="AX122" s="151"/>
      <c r="AY122" s="142"/>
      <c r="AZ122" s="142"/>
      <c r="BA122" s="137"/>
      <c r="BB122" s="147"/>
      <c r="BC122" s="146" t="str">
        <f t="shared" si="15"/>
        <v/>
      </c>
      <c r="BD122" s="137" t="str">
        <f t="shared" si="16"/>
        <v>INDENIZAÇÃO</v>
      </c>
      <c r="BE122" s="137" t="str">
        <f t="shared" si="17"/>
        <v>NÃO</v>
      </c>
      <c r="BF122" s="137"/>
      <c r="BG122" s="137"/>
      <c r="BH122" s="137"/>
      <c r="BI122" s="137"/>
      <c r="BJ122" s="137"/>
      <c r="BK122" s="151"/>
      <c r="BL122" s="137"/>
      <c r="BM122" s="137"/>
      <c r="BN122" s="266"/>
    </row>
    <row r="123" spans="1:66" s="152" customFormat="1" ht="30" customHeight="1">
      <c r="A123" s="204">
        <v>110</v>
      </c>
      <c r="B123" s="204" t="s">
        <v>99</v>
      </c>
      <c r="C123" s="233" t="s">
        <v>116</v>
      </c>
      <c r="D123" s="205" t="s">
        <v>101</v>
      </c>
      <c r="E123" s="204" t="s">
        <v>101</v>
      </c>
      <c r="F123" s="234" t="s">
        <v>594</v>
      </c>
      <c r="G123" s="235" t="s">
        <v>1</v>
      </c>
      <c r="H123" s="235" t="s">
        <v>179</v>
      </c>
      <c r="I123" s="235" t="s">
        <v>111</v>
      </c>
      <c r="J123" s="236" t="s">
        <v>104</v>
      </c>
      <c r="K123" s="236" t="s">
        <v>104</v>
      </c>
      <c r="L123" s="237" t="s">
        <v>104</v>
      </c>
      <c r="M123" s="204"/>
      <c r="N123" s="204"/>
      <c r="O123" s="151"/>
      <c r="P123" s="151"/>
      <c r="Q123" s="151"/>
      <c r="R123" s="151"/>
      <c r="S123" s="142"/>
      <c r="T123" s="142"/>
      <c r="U123" s="142"/>
      <c r="V123" s="142"/>
      <c r="W123" s="142"/>
      <c r="X123" s="142"/>
      <c r="Y123" s="142"/>
      <c r="Z123" s="142"/>
      <c r="AA123" s="137"/>
      <c r="AB123" s="206"/>
      <c r="AC123" s="206"/>
      <c r="AD123" s="206"/>
      <c r="AE123" s="204"/>
      <c r="AF123" s="204"/>
      <c r="AG123" s="143"/>
      <c r="AH123" s="143"/>
      <c r="AI123" s="137"/>
      <c r="AJ123" s="141" t="s">
        <v>105</v>
      </c>
      <c r="AK123" s="204"/>
      <c r="AL123" s="137"/>
      <c r="AM123" s="137"/>
      <c r="AN123" s="137"/>
      <c r="AO123" s="137"/>
      <c r="AP123" s="234"/>
      <c r="AQ123" s="137"/>
      <c r="AR123" s="137"/>
      <c r="AS123" s="137"/>
      <c r="AT123" s="137"/>
      <c r="AU123" s="151"/>
      <c r="AV123" s="137"/>
      <c r="AW123" s="137"/>
      <c r="AX123" s="151"/>
      <c r="AY123" s="142"/>
      <c r="AZ123" s="142"/>
      <c r="BA123" s="137"/>
      <c r="BB123" s="147"/>
      <c r="BC123" s="146" t="str">
        <f t="shared" si="15"/>
        <v/>
      </c>
      <c r="BD123" s="137" t="str">
        <f t="shared" si="16"/>
        <v>INDENIZAÇÃO</v>
      </c>
      <c r="BE123" s="137" t="str">
        <f t="shared" si="17"/>
        <v>NÃO</v>
      </c>
      <c r="BF123" s="137"/>
      <c r="BG123" s="137"/>
      <c r="BH123" s="137"/>
      <c r="BI123" s="137"/>
      <c r="BJ123" s="137"/>
      <c r="BK123" s="151"/>
      <c r="BL123" s="137"/>
      <c r="BM123" s="137"/>
      <c r="BN123" s="266"/>
    </row>
    <row r="124" spans="1:66" s="152" customFormat="1" ht="30" customHeight="1">
      <c r="A124" s="204">
        <v>111</v>
      </c>
      <c r="B124" s="204" t="s">
        <v>99</v>
      </c>
      <c r="C124" s="233" t="s">
        <v>116</v>
      </c>
      <c r="D124" s="205" t="s">
        <v>101</v>
      </c>
      <c r="E124" s="204" t="s">
        <v>101</v>
      </c>
      <c r="F124" s="234" t="s">
        <v>595</v>
      </c>
      <c r="G124" s="235" t="s">
        <v>1</v>
      </c>
      <c r="H124" s="235" t="s">
        <v>2</v>
      </c>
      <c r="I124" s="235" t="s">
        <v>12</v>
      </c>
      <c r="J124" s="234" t="s">
        <v>596</v>
      </c>
      <c r="K124" s="234">
        <v>387537892</v>
      </c>
      <c r="L124" s="234">
        <v>49034865835</v>
      </c>
      <c r="M124" s="204"/>
      <c r="N124" s="204"/>
      <c r="O124" s="151"/>
      <c r="P124" s="151"/>
      <c r="Q124" s="151"/>
      <c r="R124" s="151"/>
      <c r="S124" s="142"/>
      <c r="T124" s="142"/>
      <c r="U124" s="142"/>
      <c r="V124" s="142"/>
      <c r="W124" s="142"/>
      <c r="X124" s="142"/>
      <c r="Y124" s="142"/>
      <c r="Z124" s="142"/>
      <c r="AA124" s="137"/>
      <c r="AB124" s="206"/>
      <c r="AC124" s="206"/>
      <c r="AD124" s="206"/>
      <c r="AE124" s="204"/>
      <c r="AF124" s="204"/>
      <c r="AG124" s="143"/>
      <c r="AH124" s="143"/>
      <c r="AI124" s="137"/>
      <c r="AJ124" s="141" t="s">
        <v>105</v>
      </c>
      <c r="AK124" s="204"/>
      <c r="AL124" s="137"/>
      <c r="AM124" s="137"/>
      <c r="AN124" s="137"/>
      <c r="AO124" s="137"/>
      <c r="AP124" s="234"/>
      <c r="AQ124" s="137"/>
      <c r="AR124" s="137"/>
      <c r="AS124" s="137"/>
      <c r="AT124" s="137"/>
      <c r="AU124" s="151"/>
      <c r="AV124" s="137"/>
      <c r="AW124" s="137"/>
      <c r="AX124" s="151"/>
      <c r="AY124" s="142"/>
      <c r="AZ124" s="142"/>
      <c r="BA124" s="137"/>
      <c r="BB124" s="147"/>
      <c r="BC124" s="146" t="str">
        <f t="shared" si="15"/>
        <v/>
      </c>
      <c r="BD124" s="137" t="str">
        <f t="shared" si="16"/>
        <v>INDENIZAÇÃO</v>
      </c>
      <c r="BE124" s="137" t="str">
        <f t="shared" si="17"/>
        <v>NÃO</v>
      </c>
      <c r="BF124" s="137"/>
      <c r="BG124" s="137"/>
      <c r="BH124" s="137"/>
      <c r="BI124" s="137"/>
      <c r="BJ124" s="137"/>
      <c r="BK124" s="151"/>
      <c r="BL124" s="137"/>
      <c r="BM124" s="137"/>
      <c r="BN124" s="266"/>
    </row>
    <row r="125" spans="1:66" s="152" customFormat="1" ht="30" customHeight="1">
      <c r="A125" s="204">
        <v>112</v>
      </c>
      <c r="B125" s="204" t="s">
        <v>99</v>
      </c>
      <c r="C125" s="233" t="s">
        <v>116</v>
      </c>
      <c r="D125" s="205" t="s">
        <v>101</v>
      </c>
      <c r="E125" s="204" t="s">
        <v>101</v>
      </c>
      <c r="F125" s="234" t="s">
        <v>597</v>
      </c>
      <c r="G125" s="235" t="s">
        <v>10</v>
      </c>
      <c r="H125" s="235" t="s">
        <v>2</v>
      </c>
      <c r="I125" s="235" t="s">
        <v>111</v>
      </c>
      <c r="J125" s="234" t="s">
        <v>598</v>
      </c>
      <c r="K125" s="234" t="s">
        <v>599</v>
      </c>
      <c r="L125" s="234" t="s">
        <v>600</v>
      </c>
      <c r="M125" s="204"/>
      <c r="N125" s="204"/>
      <c r="O125" s="151"/>
      <c r="P125" s="151"/>
      <c r="Q125" s="151"/>
      <c r="R125" s="151"/>
      <c r="S125" s="142"/>
      <c r="T125" s="142"/>
      <c r="U125" s="142"/>
      <c r="V125" s="142"/>
      <c r="W125" s="142"/>
      <c r="X125" s="142"/>
      <c r="Y125" s="142"/>
      <c r="Z125" s="142"/>
      <c r="AA125" s="137"/>
      <c r="AB125" s="206"/>
      <c r="AC125" s="206"/>
      <c r="AD125" s="206"/>
      <c r="AE125" s="204"/>
      <c r="AF125" s="204"/>
      <c r="AG125" s="143"/>
      <c r="AH125" s="143"/>
      <c r="AI125" s="137"/>
      <c r="AJ125" s="141" t="s">
        <v>105</v>
      </c>
      <c r="AK125" s="204"/>
      <c r="AL125" s="137"/>
      <c r="AM125" s="137"/>
      <c r="AN125" s="137"/>
      <c r="AO125" s="137"/>
      <c r="AP125" s="234"/>
      <c r="AQ125" s="137"/>
      <c r="AR125" s="137"/>
      <c r="AS125" s="137"/>
      <c r="AT125" s="137"/>
      <c r="AU125" s="151"/>
      <c r="AV125" s="137"/>
      <c r="AW125" s="137"/>
      <c r="AX125" s="151"/>
      <c r="AY125" s="142"/>
      <c r="AZ125" s="142"/>
      <c r="BA125" s="137"/>
      <c r="BB125" s="147"/>
      <c r="BC125" s="146" t="str">
        <f t="shared" si="15"/>
        <v/>
      </c>
      <c r="BD125" s="137" t="str">
        <f t="shared" si="16"/>
        <v>INDENIZAÇÃO</v>
      </c>
      <c r="BE125" s="137" t="str">
        <f t="shared" si="17"/>
        <v>NÃO</v>
      </c>
      <c r="BF125" s="137"/>
      <c r="BG125" s="137"/>
      <c r="BH125" s="137"/>
      <c r="BI125" s="137"/>
      <c r="BJ125" s="137"/>
      <c r="BK125" s="151"/>
      <c r="BL125" s="137"/>
      <c r="BM125" s="137"/>
      <c r="BN125" s="266"/>
    </row>
    <row r="126" spans="1:66" s="152" customFormat="1" ht="30" customHeight="1">
      <c r="A126" s="204">
        <v>113</v>
      </c>
      <c r="B126" s="204" t="s">
        <v>99</v>
      </c>
      <c r="C126" s="233" t="s">
        <v>116</v>
      </c>
      <c r="D126" s="205" t="s">
        <v>101</v>
      </c>
      <c r="E126" s="204" t="s">
        <v>101</v>
      </c>
      <c r="F126" s="234" t="s">
        <v>601</v>
      </c>
      <c r="G126" s="235" t="s">
        <v>10</v>
      </c>
      <c r="H126" s="235" t="s">
        <v>2</v>
      </c>
      <c r="I126" s="235" t="s">
        <v>111</v>
      </c>
      <c r="J126" s="234" t="s">
        <v>602</v>
      </c>
      <c r="K126" s="234" t="s">
        <v>603</v>
      </c>
      <c r="L126" s="234" t="s">
        <v>604</v>
      </c>
      <c r="M126" s="204"/>
      <c r="N126" s="204"/>
      <c r="O126" s="151"/>
      <c r="P126" s="151"/>
      <c r="Q126" s="151"/>
      <c r="R126" s="151"/>
      <c r="S126" s="142"/>
      <c r="T126" s="142"/>
      <c r="U126" s="142"/>
      <c r="V126" s="142"/>
      <c r="W126" s="142"/>
      <c r="X126" s="142"/>
      <c r="Y126" s="142"/>
      <c r="Z126" s="142"/>
      <c r="AA126" s="137"/>
      <c r="AB126" s="206"/>
      <c r="AC126" s="206"/>
      <c r="AD126" s="206"/>
      <c r="AE126" s="204"/>
      <c r="AF126" s="204"/>
      <c r="AG126" s="143"/>
      <c r="AH126" s="143"/>
      <c r="AI126" s="137"/>
      <c r="AJ126" s="141" t="s">
        <v>105</v>
      </c>
      <c r="AK126" s="204"/>
      <c r="AL126" s="137"/>
      <c r="AM126" s="137"/>
      <c r="AN126" s="137"/>
      <c r="AO126" s="137"/>
      <c r="AP126" s="234"/>
      <c r="AQ126" s="137"/>
      <c r="AR126" s="137"/>
      <c r="AS126" s="137"/>
      <c r="AT126" s="137"/>
      <c r="AU126" s="151"/>
      <c r="AV126" s="137"/>
      <c r="AW126" s="137"/>
      <c r="AX126" s="151"/>
      <c r="AY126" s="142"/>
      <c r="AZ126" s="142"/>
      <c r="BA126" s="137"/>
      <c r="BB126" s="147"/>
      <c r="BC126" s="146" t="str">
        <f t="shared" si="15"/>
        <v/>
      </c>
      <c r="BD126" s="137" t="str">
        <f t="shared" si="16"/>
        <v>INDENIZAÇÃO</v>
      </c>
      <c r="BE126" s="137" t="str">
        <f t="shared" si="17"/>
        <v>NÃO</v>
      </c>
      <c r="BF126" s="137"/>
      <c r="BG126" s="137"/>
      <c r="BH126" s="137"/>
      <c r="BI126" s="137"/>
      <c r="BJ126" s="137"/>
      <c r="BK126" s="151"/>
      <c r="BL126" s="137"/>
      <c r="BM126" s="137"/>
      <c r="BN126" s="266"/>
    </row>
    <row r="127" spans="1:66" s="152" customFormat="1" ht="30" customHeight="1">
      <c r="A127" s="204">
        <v>114</v>
      </c>
      <c r="B127" s="204" t="s">
        <v>99</v>
      </c>
      <c r="C127" s="233" t="s">
        <v>116</v>
      </c>
      <c r="D127" s="205" t="s">
        <v>101</v>
      </c>
      <c r="E127" s="204" t="s">
        <v>101</v>
      </c>
      <c r="F127" s="234" t="s">
        <v>605</v>
      </c>
      <c r="G127" s="235" t="s">
        <v>1</v>
      </c>
      <c r="H127" s="235" t="s">
        <v>2</v>
      </c>
      <c r="I127" s="235" t="s">
        <v>12</v>
      </c>
      <c r="J127" s="234" t="s">
        <v>606</v>
      </c>
      <c r="K127" s="234">
        <v>536527374</v>
      </c>
      <c r="L127" s="234" t="s">
        <v>175</v>
      </c>
      <c r="M127" s="204"/>
      <c r="N127" s="204"/>
      <c r="O127" s="151"/>
      <c r="P127" s="151"/>
      <c r="Q127" s="151"/>
      <c r="R127" s="151"/>
      <c r="S127" s="142"/>
      <c r="T127" s="142"/>
      <c r="U127" s="142"/>
      <c r="V127" s="142"/>
      <c r="W127" s="142"/>
      <c r="X127" s="142"/>
      <c r="Y127" s="142"/>
      <c r="Z127" s="142"/>
      <c r="AA127" s="137"/>
      <c r="AB127" s="206"/>
      <c r="AC127" s="206"/>
      <c r="AD127" s="206"/>
      <c r="AE127" s="204"/>
      <c r="AF127" s="204"/>
      <c r="AG127" s="143"/>
      <c r="AH127" s="143"/>
      <c r="AI127" s="137"/>
      <c r="AJ127" s="141" t="s">
        <v>105</v>
      </c>
      <c r="AK127" s="204"/>
      <c r="AL127" s="137"/>
      <c r="AM127" s="137"/>
      <c r="AN127" s="137"/>
      <c r="AO127" s="137"/>
      <c r="AP127" s="234"/>
      <c r="AQ127" s="137"/>
      <c r="AR127" s="137"/>
      <c r="AS127" s="137"/>
      <c r="AT127" s="137"/>
      <c r="AU127" s="151"/>
      <c r="AV127" s="137"/>
      <c r="AW127" s="137"/>
      <c r="AX127" s="151"/>
      <c r="AY127" s="142"/>
      <c r="AZ127" s="142"/>
      <c r="BA127" s="137"/>
      <c r="BB127" s="147"/>
      <c r="BC127" s="146" t="str">
        <f t="shared" si="15"/>
        <v/>
      </c>
      <c r="BD127" s="137" t="str">
        <f t="shared" si="16"/>
        <v>INDENIZAÇÃO</v>
      </c>
      <c r="BE127" s="137" t="str">
        <f t="shared" si="17"/>
        <v>NÃO</v>
      </c>
      <c r="BF127" s="137"/>
      <c r="BG127" s="137"/>
      <c r="BH127" s="137"/>
      <c r="BI127" s="137"/>
      <c r="BJ127" s="137"/>
      <c r="BK127" s="151"/>
      <c r="BL127" s="137"/>
      <c r="BM127" s="137"/>
      <c r="BN127" s="266"/>
    </row>
    <row r="128" spans="1:66" s="152" customFormat="1" ht="30" customHeight="1">
      <c r="A128" s="204">
        <v>115</v>
      </c>
      <c r="B128" s="204" t="s">
        <v>99</v>
      </c>
      <c r="C128" s="233" t="s">
        <v>116</v>
      </c>
      <c r="D128" s="205" t="s">
        <v>101</v>
      </c>
      <c r="E128" s="204" t="s">
        <v>101</v>
      </c>
      <c r="F128" s="234" t="s">
        <v>607</v>
      </c>
      <c r="G128" s="235" t="s">
        <v>1</v>
      </c>
      <c r="H128" s="235" t="s">
        <v>2</v>
      </c>
      <c r="I128" s="235" t="s">
        <v>12</v>
      </c>
      <c r="J128" s="234" t="s">
        <v>608</v>
      </c>
      <c r="K128" s="234">
        <v>382082576</v>
      </c>
      <c r="L128" s="234">
        <v>34665661855</v>
      </c>
      <c r="M128" s="204"/>
      <c r="N128" s="204"/>
      <c r="O128" s="151"/>
      <c r="P128" s="151"/>
      <c r="Q128" s="151"/>
      <c r="R128" s="151"/>
      <c r="S128" s="142"/>
      <c r="T128" s="142"/>
      <c r="U128" s="142"/>
      <c r="V128" s="142"/>
      <c r="W128" s="142"/>
      <c r="X128" s="142"/>
      <c r="Y128" s="142"/>
      <c r="Z128" s="142"/>
      <c r="AA128" s="137"/>
      <c r="AB128" s="206"/>
      <c r="AC128" s="206"/>
      <c r="AD128" s="206"/>
      <c r="AE128" s="204"/>
      <c r="AF128" s="204"/>
      <c r="AG128" s="143"/>
      <c r="AH128" s="143"/>
      <c r="AI128" s="137"/>
      <c r="AJ128" s="141" t="s">
        <v>105</v>
      </c>
      <c r="AK128" s="204"/>
      <c r="AL128" s="137"/>
      <c r="AM128" s="137"/>
      <c r="AN128" s="137"/>
      <c r="AO128" s="137"/>
      <c r="AP128" s="234"/>
      <c r="AQ128" s="137"/>
      <c r="AR128" s="137"/>
      <c r="AS128" s="137"/>
      <c r="AT128" s="137"/>
      <c r="AU128" s="151"/>
      <c r="AV128" s="137"/>
      <c r="AW128" s="137"/>
      <c r="AX128" s="151"/>
      <c r="AY128" s="142"/>
      <c r="AZ128" s="142"/>
      <c r="BA128" s="137"/>
      <c r="BB128" s="147"/>
      <c r="BC128" s="146" t="str">
        <f t="shared" si="15"/>
        <v/>
      </c>
      <c r="BD128" s="137" t="str">
        <f t="shared" si="16"/>
        <v>INDENIZAÇÃO</v>
      </c>
      <c r="BE128" s="137" t="str">
        <f t="shared" si="17"/>
        <v>NÃO</v>
      </c>
      <c r="BF128" s="137"/>
      <c r="BG128" s="137"/>
      <c r="BH128" s="137"/>
      <c r="BI128" s="137"/>
      <c r="BJ128" s="137"/>
      <c r="BK128" s="151"/>
      <c r="BL128" s="137"/>
      <c r="BM128" s="137"/>
      <c r="BN128" s="266"/>
    </row>
    <row r="129" spans="1:66" s="152" customFormat="1" ht="30" customHeight="1">
      <c r="A129" s="204">
        <v>116</v>
      </c>
      <c r="B129" s="204" t="s">
        <v>99</v>
      </c>
      <c r="C129" s="233" t="s">
        <v>100</v>
      </c>
      <c r="D129" s="205" t="s">
        <v>101</v>
      </c>
      <c r="E129" s="204" t="s">
        <v>101</v>
      </c>
      <c r="F129" s="234" t="s">
        <v>609</v>
      </c>
      <c r="G129" s="235" t="s">
        <v>1</v>
      </c>
      <c r="H129" s="235" t="s">
        <v>2</v>
      </c>
      <c r="I129" s="235" t="s">
        <v>12</v>
      </c>
      <c r="J129" s="234" t="s">
        <v>610</v>
      </c>
      <c r="K129" s="234">
        <v>462996840</v>
      </c>
      <c r="L129" s="234">
        <v>38068719815</v>
      </c>
      <c r="M129" s="204"/>
      <c r="N129" s="204"/>
      <c r="O129" s="151"/>
      <c r="P129" s="151"/>
      <c r="Q129" s="151"/>
      <c r="R129" s="151"/>
      <c r="S129" s="142"/>
      <c r="T129" s="142"/>
      <c r="U129" s="142"/>
      <c r="V129" s="142"/>
      <c r="W129" s="142"/>
      <c r="X129" s="142"/>
      <c r="Y129" s="142"/>
      <c r="Z129" s="142"/>
      <c r="AA129" s="137"/>
      <c r="AB129" s="206"/>
      <c r="AC129" s="206"/>
      <c r="AD129" s="206"/>
      <c r="AE129" s="204"/>
      <c r="AF129" s="204"/>
      <c r="AG129" s="143"/>
      <c r="AH129" s="143"/>
      <c r="AI129" s="137"/>
      <c r="AJ129" s="141" t="s">
        <v>105</v>
      </c>
      <c r="AK129" s="204"/>
      <c r="AL129" s="137"/>
      <c r="AM129" s="137"/>
      <c r="AN129" s="137"/>
      <c r="AO129" s="137"/>
      <c r="AP129" s="234"/>
      <c r="AQ129" s="137"/>
      <c r="AR129" s="137"/>
      <c r="AS129" s="137"/>
      <c r="AT129" s="137"/>
      <c r="AU129" s="151"/>
      <c r="AV129" s="137"/>
      <c r="AW129" s="137"/>
      <c r="AX129" s="151"/>
      <c r="AY129" s="142"/>
      <c r="AZ129" s="142"/>
      <c r="BA129" s="137"/>
      <c r="BB129" s="147"/>
      <c r="BC129" s="146" t="str">
        <f t="shared" si="15"/>
        <v/>
      </c>
      <c r="BD129" s="137" t="str">
        <f t="shared" si="16"/>
        <v>INDENIZAÇÃO</v>
      </c>
      <c r="BE129" s="137" t="str">
        <f t="shared" si="17"/>
        <v>NÃO</v>
      </c>
      <c r="BF129" s="137"/>
      <c r="BG129" s="137"/>
      <c r="BH129" s="137"/>
      <c r="BI129" s="137"/>
      <c r="BJ129" s="137"/>
      <c r="BK129" s="151"/>
      <c r="BL129" s="137"/>
      <c r="BM129" s="137"/>
      <c r="BN129" s="266"/>
    </row>
    <row r="130" spans="1:66" s="152" customFormat="1" ht="30" customHeight="1">
      <c r="A130" s="204">
        <v>117</v>
      </c>
      <c r="B130" s="204" t="s">
        <v>99</v>
      </c>
      <c r="C130" s="233" t="s">
        <v>100</v>
      </c>
      <c r="D130" s="205" t="s">
        <v>101</v>
      </c>
      <c r="E130" s="204" t="s">
        <v>101</v>
      </c>
      <c r="F130" s="234" t="s">
        <v>611</v>
      </c>
      <c r="G130" s="235" t="s">
        <v>1</v>
      </c>
      <c r="H130" s="235" t="s">
        <v>2</v>
      </c>
      <c r="I130" s="235" t="s">
        <v>12</v>
      </c>
      <c r="J130" s="234" t="s">
        <v>612</v>
      </c>
      <c r="K130" s="234" t="s">
        <v>613</v>
      </c>
      <c r="L130" s="234" t="s">
        <v>614</v>
      </c>
      <c r="M130" s="204" t="s">
        <v>110</v>
      </c>
      <c r="N130" s="204" t="s">
        <v>5</v>
      </c>
      <c r="O130" s="151">
        <v>46161</v>
      </c>
      <c r="P130" s="151" t="s">
        <v>24</v>
      </c>
      <c r="Q130" s="151" t="s">
        <v>24</v>
      </c>
      <c r="R130" s="151" t="s">
        <v>24</v>
      </c>
      <c r="S130" s="151" t="s">
        <v>24</v>
      </c>
      <c r="T130" s="151" t="s">
        <v>24</v>
      </c>
      <c r="U130" s="151" t="s">
        <v>24</v>
      </c>
      <c r="V130" s="151" t="s">
        <v>24</v>
      </c>
      <c r="W130" s="151" t="s">
        <v>24</v>
      </c>
      <c r="X130" s="151" t="s">
        <v>24</v>
      </c>
      <c r="Y130" s="151" t="s">
        <v>24</v>
      </c>
      <c r="Z130" s="151" t="s">
        <v>24</v>
      </c>
      <c r="AA130" s="137"/>
      <c r="AB130" s="234" t="s">
        <v>612</v>
      </c>
      <c r="AC130" s="234" t="s">
        <v>613</v>
      </c>
      <c r="AD130" s="234" t="s">
        <v>614</v>
      </c>
      <c r="AE130" s="204" t="s">
        <v>12</v>
      </c>
      <c r="AF130" s="204" t="s">
        <v>110</v>
      </c>
      <c r="AG130" s="270">
        <v>14274.08</v>
      </c>
      <c r="AH130" s="143">
        <v>44274.080000000002</v>
      </c>
      <c r="AI130" s="137" t="s">
        <v>6</v>
      </c>
      <c r="AJ130" s="141" t="s">
        <v>105</v>
      </c>
      <c r="AK130" s="204">
        <v>158245060</v>
      </c>
      <c r="AL130" s="137" t="s">
        <v>615</v>
      </c>
      <c r="AM130" s="137" t="s">
        <v>112</v>
      </c>
      <c r="AN130" s="137" t="s">
        <v>616</v>
      </c>
      <c r="AO130" s="137"/>
      <c r="AP130" s="234"/>
      <c r="AQ130" s="137"/>
      <c r="AR130" s="137"/>
      <c r="AS130" s="137"/>
      <c r="AT130" s="137"/>
      <c r="AU130" s="151"/>
      <c r="AV130" s="137"/>
      <c r="AW130" s="137"/>
      <c r="AX130" s="151"/>
      <c r="AY130" s="142"/>
      <c r="AZ130" s="142"/>
      <c r="BA130" s="137"/>
      <c r="BB130" s="147"/>
      <c r="BC130" s="146" t="str">
        <f t="shared" si="15"/>
        <v/>
      </c>
      <c r="BD130" s="137" t="str">
        <f t="shared" si="16"/>
        <v>INDENIZAÇÃO</v>
      </c>
      <c r="BE130" s="137" t="str">
        <f t="shared" si="17"/>
        <v>NÃO</v>
      </c>
      <c r="BF130" s="137"/>
      <c r="BG130" s="137"/>
      <c r="BH130" s="137"/>
      <c r="BI130" s="137"/>
      <c r="BJ130" s="137"/>
      <c r="BK130" s="151"/>
      <c r="BL130" s="137"/>
      <c r="BM130" s="137"/>
      <c r="BN130" s="266"/>
    </row>
    <row r="131" spans="1:66" s="152" customFormat="1" ht="30" customHeight="1">
      <c r="A131" s="204">
        <v>118</v>
      </c>
      <c r="B131" s="204" t="s">
        <v>99</v>
      </c>
      <c r="C131" s="233" t="s">
        <v>100</v>
      </c>
      <c r="D131" s="205" t="s">
        <v>101</v>
      </c>
      <c r="E131" s="204" t="s">
        <v>101</v>
      </c>
      <c r="F131" s="234" t="s">
        <v>617</v>
      </c>
      <c r="G131" s="235" t="s">
        <v>1</v>
      </c>
      <c r="H131" s="235" t="s">
        <v>2</v>
      </c>
      <c r="I131" s="235" t="s">
        <v>12</v>
      </c>
      <c r="J131" s="234" t="s">
        <v>618</v>
      </c>
      <c r="K131" s="234">
        <v>429114308</v>
      </c>
      <c r="L131" s="234">
        <v>32917733810</v>
      </c>
      <c r="M131" s="204"/>
      <c r="N131" s="204"/>
      <c r="O131" s="151"/>
      <c r="P131" s="151"/>
      <c r="Q131" s="151"/>
      <c r="R131" s="151"/>
      <c r="S131" s="142"/>
      <c r="T131" s="142"/>
      <c r="U131" s="142"/>
      <c r="V131" s="142"/>
      <c r="W131" s="142"/>
      <c r="X131" s="142"/>
      <c r="Y131" s="142"/>
      <c r="Z131" s="142"/>
      <c r="AA131" s="137"/>
      <c r="AB131" s="206"/>
      <c r="AC131" s="206"/>
      <c r="AD131" s="206"/>
      <c r="AE131" s="204"/>
      <c r="AF131" s="204"/>
      <c r="AG131" s="143"/>
      <c r="AH131" s="143"/>
      <c r="AI131" s="137"/>
      <c r="AJ131" s="141" t="s">
        <v>105</v>
      </c>
      <c r="AK131" s="204"/>
      <c r="AL131" s="137"/>
      <c r="AM131" s="137"/>
      <c r="AN131" s="137"/>
      <c r="AO131" s="137"/>
      <c r="AP131" s="234"/>
      <c r="AQ131" s="137"/>
      <c r="AR131" s="137"/>
      <c r="AS131" s="137"/>
      <c r="AT131" s="137"/>
      <c r="AU131" s="151"/>
      <c r="AV131" s="137"/>
      <c r="AW131" s="137"/>
      <c r="AX131" s="151"/>
      <c r="AY131" s="142"/>
      <c r="AZ131" s="142"/>
      <c r="BA131" s="137"/>
      <c r="BB131" s="147"/>
      <c r="BC131" s="146" t="str">
        <f t="shared" si="15"/>
        <v/>
      </c>
      <c r="BD131" s="137" t="str">
        <f t="shared" si="16"/>
        <v>INDENIZAÇÃO</v>
      </c>
      <c r="BE131" s="137" t="str">
        <f t="shared" si="17"/>
        <v>NÃO</v>
      </c>
      <c r="BF131" s="137"/>
      <c r="BG131" s="137"/>
      <c r="BH131" s="137"/>
      <c r="BI131" s="137"/>
      <c r="BJ131" s="137"/>
      <c r="BK131" s="151"/>
      <c r="BL131" s="137"/>
      <c r="BM131" s="137"/>
      <c r="BN131" s="266"/>
    </row>
    <row r="132" spans="1:66" s="152" customFormat="1" ht="30" customHeight="1">
      <c r="A132" s="204">
        <v>119</v>
      </c>
      <c r="B132" s="204" t="s">
        <v>99</v>
      </c>
      <c r="C132" s="233" t="s">
        <v>100</v>
      </c>
      <c r="D132" s="205" t="s">
        <v>101</v>
      </c>
      <c r="E132" s="204" t="s">
        <v>101</v>
      </c>
      <c r="F132" s="234" t="s">
        <v>619</v>
      </c>
      <c r="G132" s="235" t="s">
        <v>1</v>
      </c>
      <c r="H132" s="235" t="s">
        <v>2</v>
      </c>
      <c r="I132" s="235" t="s">
        <v>12</v>
      </c>
      <c r="J132" s="234" t="s">
        <v>620</v>
      </c>
      <c r="K132" s="234" t="s">
        <v>621</v>
      </c>
      <c r="L132" s="234" t="s">
        <v>622</v>
      </c>
      <c r="M132" s="204" t="s">
        <v>110</v>
      </c>
      <c r="N132" s="204" t="s">
        <v>5</v>
      </c>
      <c r="O132" s="151">
        <v>45758</v>
      </c>
      <c r="P132" s="151" t="s">
        <v>24</v>
      </c>
      <c r="Q132" s="151" t="s">
        <v>24</v>
      </c>
      <c r="R132" s="151" t="s">
        <v>24</v>
      </c>
      <c r="S132" s="151" t="s">
        <v>24</v>
      </c>
      <c r="T132" s="151" t="s">
        <v>24</v>
      </c>
      <c r="U132" s="151" t="s">
        <v>24</v>
      </c>
      <c r="V132" s="151" t="s">
        <v>24</v>
      </c>
      <c r="W132" s="151" t="s">
        <v>24</v>
      </c>
      <c r="X132" s="151" t="s">
        <v>24</v>
      </c>
      <c r="Y132" s="151" t="s">
        <v>24</v>
      </c>
      <c r="Z132" s="151" t="s">
        <v>24</v>
      </c>
      <c r="AA132" s="137"/>
      <c r="AB132" s="234" t="s">
        <v>620</v>
      </c>
      <c r="AC132" s="234" t="s">
        <v>621</v>
      </c>
      <c r="AD132" s="234" t="s">
        <v>622</v>
      </c>
      <c r="AE132" s="204" t="s">
        <v>12</v>
      </c>
      <c r="AF132" s="204" t="s">
        <v>110</v>
      </c>
      <c r="AG132" s="143">
        <v>10665.68</v>
      </c>
      <c r="AH132" s="143">
        <f>AG132+30000</f>
        <v>40665.68</v>
      </c>
      <c r="AI132" s="137" t="s">
        <v>6</v>
      </c>
      <c r="AJ132" s="141" t="s">
        <v>105</v>
      </c>
      <c r="AK132" s="204">
        <v>119681525</v>
      </c>
      <c r="AL132" s="137" t="s">
        <v>112</v>
      </c>
      <c r="AM132" s="137" t="s">
        <v>112</v>
      </c>
      <c r="AN132" s="137" t="s">
        <v>113</v>
      </c>
      <c r="AO132" s="137"/>
      <c r="AP132" s="234" t="s">
        <v>623</v>
      </c>
      <c r="AQ132" s="137" t="s">
        <v>112</v>
      </c>
      <c r="AR132" s="137" t="s">
        <v>112</v>
      </c>
      <c r="AS132" s="137" t="s">
        <v>112</v>
      </c>
      <c r="AT132" s="137" t="s">
        <v>112</v>
      </c>
      <c r="AU132" s="151">
        <v>45814</v>
      </c>
      <c r="AV132" s="137" t="s">
        <v>112</v>
      </c>
      <c r="AW132" s="137" t="s">
        <v>112</v>
      </c>
      <c r="AX132" s="151">
        <v>45826</v>
      </c>
      <c r="AY132" s="144">
        <v>45826</v>
      </c>
      <c r="AZ132" s="142">
        <v>45840</v>
      </c>
      <c r="BA132" s="145" t="s">
        <v>115</v>
      </c>
      <c r="BB132" s="147" t="s">
        <v>112</v>
      </c>
      <c r="BC132" s="146">
        <f t="shared" si="15"/>
        <v>68</v>
      </c>
      <c r="BD132" s="137" t="str">
        <f t="shared" si="16"/>
        <v>INDENIZAÇÃO</v>
      </c>
      <c r="BE132" s="137" t="str">
        <f t="shared" si="17"/>
        <v>NÃO</v>
      </c>
      <c r="BF132" s="137" t="s">
        <v>24</v>
      </c>
      <c r="BG132" s="137" t="s">
        <v>24</v>
      </c>
      <c r="BH132" s="137" t="s">
        <v>24</v>
      </c>
      <c r="BI132" s="137" t="s">
        <v>112</v>
      </c>
      <c r="BJ132" s="137" t="s">
        <v>112</v>
      </c>
      <c r="BK132" s="151">
        <v>45869</v>
      </c>
      <c r="BL132" s="137" t="s">
        <v>112</v>
      </c>
      <c r="BM132" s="145" t="s">
        <v>33</v>
      </c>
      <c r="BN132" s="266"/>
    </row>
    <row r="133" spans="1:66" s="152" customFormat="1" ht="30" customHeight="1">
      <c r="A133" s="204">
        <v>120</v>
      </c>
      <c r="B133" s="204" t="s">
        <v>99</v>
      </c>
      <c r="C133" s="233" t="s">
        <v>100</v>
      </c>
      <c r="D133" s="205" t="s">
        <v>101</v>
      </c>
      <c r="E133" s="204" t="s">
        <v>101</v>
      </c>
      <c r="F133" s="234" t="s">
        <v>624</v>
      </c>
      <c r="G133" s="235" t="s">
        <v>1</v>
      </c>
      <c r="H133" s="235" t="s">
        <v>2</v>
      </c>
      <c r="I133" s="235" t="s">
        <v>12</v>
      </c>
      <c r="J133" s="234" t="s">
        <v>625</v>
      </c>
      <c r="K133" s="234" t="s">
        <v>626</v>
      </c>
      <c r="L133" s="234" t="s">
        <v>627</v>
      </c>
      <c r="M133" s="204" t="s">
        <v>110</v>
      </c>
      <c r="N133" s="204" t="s">
        <v>5</v>
      </c>
      <c r="O133" s="151">
        <v>45749</v>
      </c>
      <c r="P133" s="151" t="s">
        <v>24</v>
      </c>
      <c r="Q133" s="151" t="s">
        <v>24</v>
      </c>
      <c r="R133" s="151" t="s">
        <v>24</v>
      </c>
      <c r="S133" s="151" t="s">
        <v>24</v>
      </c>
      <c r="T133" s="151" t="s">
        <v>24</v>
      </c>
      <c r="U133" s="151" t="s">
        <v>24</v>
      </c>
      <c r="V133" s="151" t="s">
        <v>24</v>
      </c>
      <c r="W133" s="151" t="s">
        <v>24</v>
      </c>
      <c r="X133" s="151" t="s">
        <v>24</v>
      </c>
      <c r="Y133" s="151" t="s">
        <v>24</v>
      </c>
      <c r="Z133" s="151" t="s">
        <v>24</v>
      </c>
      <c r="AA133" s="137"/>
      <c r="AB133" s="234" t="s">
        <v>625</v>
      </c>
      <c r="AC133" s="234" t="s">
        <v>626</v>
      </c>
      <c r="AD133" s="234" t="s">
        <v>627</v>
      </c>
      <c r="AE133" s="204" t="s">
        <v>12</v>
      </c>
      <c r="AF133" s="204" t="s">
        <v>110</v>
      </c>
      <c r="AG133" s="143">
        <v>23427.93</v>
      </c>
      <c r="AH133" s="143">
        <f>AG133+30000</f>
        <v>53427.93</v>
      </c>
      <c r="AI133" s="137" t="s">
        <v>6</v>
      </c>
      <c r="AJ133" s="141" t="s">
        <v>105</v>
      </c>
      <c r="AK133" s="204">
        <v>119683047</v>
      </c>
      <c r="AL133" s="137" t="s">
        <v>112</v>
      </c>
      <c r="AM133" s="137" t="s">
        <v>112</v>
      </c>
      <c r="AN133" s="137" t="s">
        <v>113</v>
      </c>
      <c r="AO133" s="137"/>
      <c r="AP133" s="234" t="s">
        <v>628</v>
      </c>
      <c r="AQ133" s="137" t="s">
        <v>112</v>
      </c>
      <c r="AR133" s="137" t="s">
        <v>112</v>
      </c>
      <c r="AS133" s="137" t="s">
        <v>112</v>
      </c>
      <c r="AT133" s="137" t="s">
        <v>112</v>
      </c>
      <c r="AU133" s="151">
        <v>45814</v>
      </c>
      <c r="AV133" s="137" t="s">
        <v>112</v>
      </c>
      <c r="AW133" s="137" t="s">
        <v>112</v>
      </c>
      <c r="AX133" s="151">
        <v>45826</v>
      </c>
      <c r="AY133" s="144">
        <v>45826</v>
      </c>
      <c r="AZ133" s="142">
        <v>45845</v>
      </c>
      <c r="BA133" s="145" t="s">
        <v>115</v>
      </c>
      <c r="BB133" s="147" t="s">
        <v>112</v>
      </c>
      <c r="BC133" s="146">
        <f t="shared" si="15"/>
        <v>77</v>
      </c>
      <c r="BD133" s="137" t="str">
        <f t="shared" si="16"/>
        <v>INDENIZAÇÃO</v>
      </c>
      <c r="BE133" s="137" t="str">
        <f t="shared" si="17"/>
        <v>NÃO</v>
      </c>
      <c r="BF133" s="137" t="s">
        <v>24</v>
      </c>
      <c r="BG133" s="137" t="s">
        <v>24</v>
      </c>
      <c r="BH133" s="137" t="s">
        <v>24</v>
      </c>
      <c r="BI133" s="137" t="s">
        <v>112</v>
      </c>
      <c r="BJ133" s="137" t="s">
        <v>112</v>
      </c>
      <c r="BK133" s="151">
        <v>45869</v>
      </c>
      <c r="BL133" s="137" t="s">
        <v>112</v>
      </c>
      <c r="BM133" s="145" t="s">
        <v>33</v>
      </c>
      <c r="BN133" s="266"/>
    </row>
    <row r="134" spans="1:66" s="152" customFormat="1" ht="30" customHeight="1">
      <c r="A134" s="204">
        <v>121</v>
      </c>
      <c r="B134" s="204" t="s">
        <v>99</v>
      </c>
      <c r="C134" s="233" t="s">
        <v>100</v>
      </c>
      <c r="D134" s="205" t="s">
        <v>101</v>
      </c>
      <c r="E134" s="204" t="s">
        <v>101</v>
      </c>
      <c r="F134" s="234" t="s">
        <v>629</v>
      </c>
      <c r="G134" s="235" t="s">
        <v>1</v>
      </c>
      <c r="H134" s="235" t="s">
        <v>2</v>
      </c>
      <c r="I134" s="235" t="s">
        <v>12</v>
      </c>
      <c r="J134" s="234" t="s">
        <v>630</v>
      </c>
      <c r="K134" s="234" t="s">
        <v>631</v>
      </c>
      <c r="L134" s="234" t="s">
        <v>632</v>
      </c>
      <c r="M134" s="204"/>
      <c r="N134" s="204"/>
      <c r="O134" s="151"/>
      <c r="P134" s="151"/>
      <c r="Q134" s="151"/>
      <c r="R134" s="151"/>
      <c r="S134" s="142"/>
      <c r="T134" s="142"/>
      <c r="U134" s="142"/>
      <c r="V134" s="142"/>
      <c r="W134" s="142"/>
      <c r="X134" s="142"/>
      <c r="Y134" s="142"/>
      <c r="Z134" s="142"/>
      <c r="AA134" s="137"/>
      <c r="AB134" s="206"/>
      <c r="AC134" s="206"/>
      <c r="AD134" s="206"/>
      <c r="AE134" s="204"/>
      <c r="AF134" s="204"/>
      <c r="AG134" s="143"/>
      <c r="AH134" s="143"/>
      <c r="AI134" s="137"/>
      <c r="AJ134" s="141" t="s">
        <v>105</v>
      </c>
      <c r="AK134" s="204"/>
      <c r="AL134" s="137"/>
      <c r="AM134" s="137"/>
      <c r="AN134" s="137"/>
      <c r="AO134" s="137"/>
      <c r="AP134" s="234"/>
      <c r="AQ134" s="137"/>
      <c r="AR134" s="137"/>
      <c r="AS134" s="137"/>
      <c r="AT134" s="137"/>
      <c r="AU134" s="151"/>
      <c r="AV134" s="137"/>
      <c r="AW134" s="137"/>
      <c r="AX134" s="151"/>
      <c r="AY134" s="142"/>
      <c r="AZ134" s="142"/>
      <c r="BA134" s="137"/>
      <c r="BB134" s="147"/>
      <c r="BC134" s="146" t="str">
        <f t="shared" si="15"/>
        <v/>
      </c>
      <c r="BD134" s="137" t="str">
        <f t="shared" si="16"/>
        <v>INDENIZAÇÃO</v>
      </c>
      <c r="BE134" s="137" t="str">
        <f t="shared" si="17"/>
        <v>NÃO</v>
      </c>
      <c r="BF134" s="137"/>
      <c r="BG134" s="137"/>
      <c r="BH134" s="137"/>
      <c r="BI134" s="137"/>
      <c r="BJ134" s="137"/>
      <c r="BK134" s="151"/>
      <c r="BL134" s="137"/>
      <c r="BM134" s="137"/>
      <c r="BN134" s="266"/>
    </row>
    <row r="135" spans="1:66" s="152" customFormat="1" ht="30" customHeight="1">
      <c r="A135" s="204">
        <v>122</v>
      </c>
      <c r="B135" s="204" t="s">
        <v>99</v>
      </c>
      <c r="C135" s="233" t="s">
        <v>100</v>
      </c>
      <c r="D135" s="205" t="s">
        <v>101</v>
      </c>
      <c r="E135" s="204" t="s">
        <v>101</v>
      </c>
      <c r="F135" s="234" t="s">
        <v>633</v>
      </c>
      <c r="G135" s="235" t="s">
        <v>10</v>
      </c>
      <c r="H135" s="235" t="s">
        <v>2</v>
      </c>
      <c r="I135" s="235" t="s">
        <v>111</v>
      </c>
      <c r="J135" s="236" t="s">
        <v>104</v>
      </c>
      <c r="K135" s="236" t="s">
        <v>104</v>
      </c>
      <c r="L135" s="237" t="s">
        <v>104</v>
      </c>
      <c r="M135" s="204"/>
      <c r="N135" s="204"/>
      <c r="O135" s="151"/>
      <c r="P135" s="151"/>
      <c r="Q135" s="151"/>
      <c r="R135" s="151"/>
      <c r="S135" s="142"/>
      <c r="T135" s="142"/>
      <c r="U135" s="142"/>
      <c r="V135" s="142"/>
      <c r="W135" s="142"/>
      <c r="X135" s="142"/>
      <c r="Y135" s="142"/>
      <c r="Z135" s="142"/>
      <c r="AA135" s="137"/>
      <c r="AB135" s="206"/>
      <c r="AC135" s="206"/>
      <c r="AD135" s="206"/>
      <c r="AE135" s="204"/>
      <c r="AF135" s="204"/>
      <c r="AG135" s="143"/>
      <c r="AH135" s="143"/>
      <c r="AI135" s="137"/>
      <c r="AJ135" s="141" t="s">
        <v>105</v>
      </c>
      <c r="AK135" s="204"/>
      <c r="AL135" s="137"/>
      <c r="AM135" s="137"/>
      <c r="AN135" s="137"/>
      <c r="AO135" s="137"/>
      <c r="AP135" s="234"/>
      <c r="AQ135" s="137"/>
      <c r="AR135" s="137"/>
      <c r="AS135" s="137"/>
      <c r="AT135" s="137"/>
      <c r="AU135" s="151"/>
      <c r="AV135" s="137"/>
      <c r="AW135" s="137"/>
      <c r="AX135" s="151"/>
      <c r="AY135" s="142"/>
      <c r="AZ135" s="142"/>
      <c r="BA135" s="137"/>
      <c r="BB135" s="147"/>
      <c r="BC135" s="146" t="str">
        <f t="shared" si="15"/>
        <v/>
      </c>
      <c r="BD135" s="137" t="str">
        <f t="shared" si="16"/>
        <v>INDENIZAÇÃO</v>
      </c>
      <c r="BE135" s="137" t="str">
        <f t="shared" si="17"/>
        <v>NÃO</v>
      </c>
      <c r="BF135" s="137"/>
      <c r="BG135" s="137"/>
      <c r="BH135" s="137"/>
      <c r="BI135" s="137"/>
      <c r="BJ135" s="137"/>
      <c r="BK135" s="151"/>
      <c r="BL135" s="137"/>
      <c r="BM135" s="137"/>
      <c r="BN135" s="266"/>
    </row>
    <row r="136" spans="1:66" s="152" customFormat="1" ht="30" customHeight="1">
      <c r="A136" s="204">
        <v>123</v>
      </c>
      <c r="B136" s="204" t="s">
        <v>99</v>
      </c>
      <c r="C136" s="233" t="s">
        <v>100</v>
      </c>
      <c r="D136" s="205" t="s">
        <v>101</v>
      </c>
      <c r="E136" s="204" t="s">
        <v>101</v>
      </c>
      <c r="F136" s="234" t="s">
        <v>634</v>
      </c>
      <c r="G136" s="235" t="s">
        <v>1</v>
      </c>
      <c r="H136" s="235" t="s">
        <v>2</v>
      </c>
      <c r="I136" s="235" t="s">
        <v>12</v>
      </c>
      <c r="J136" s="234" t="s">
        <v>635</v>
      </c>
      <c r="K136" s="234">
        <v>388505928</v>
      </c>
      <c r="L136" s="234">
        <v>41229348859</v>
      </c>
      <c r="M136" s="204"/>
      <c r="N136" s="204"/>
      <c r="O136" s="151"/>
      <c r="P136" s="151"/>
      <c r="Q136" s="151"/>
      <c r="R136" s="151"/>
      <c r="S136" s="142"/>
      <c r="T136" s="142"/>
      <c r="U136" s="142"/>
      <c r="V136" s="142"/>
      <c r="W136" s="142"/>
      <c r="X136" s="142"/>
      <c r="Y136" s="142"/>
      <c r="Z136" s="142"/>
      <c r="AA136" s="137"/>
      <c r="AB136" s="206"/>
      <c r="AC136" s="206"/>
      <c r="AD136" s="206"/>
      <c r="AE136" s="204"/>
      <c r="AF136" s="204"/>
      <c r="AG136" s="143"/>
      <c r="AH136" s="143"/>
      <c r="AI136" s="137"/>
      <c r="AJ136" s="141" t="s">
        <v>105</v>
      </c>
      <c r="AK136" s="204"/>
      <c r="AL136" s="137"/>
      <c r="AM136" s="137"/>
      <c r="AN136" s="137"/>
      <c r="AO136" s="137"/>
      <c r="AP136" s="234"/>
      <c r="AQ136" s="137"/>
      <c r="AR136" s="137"/>
      <c r="AS136" s="137"/>
      <c r="AT136" s="137"/>
      <c r="AU136" s="151"/>
      <c r="AV136" s="137"/>
      <c r="AW136" s="137"/>
      <c r="AX136" s="151"/>
      <c r="AY136" s="142"/>
      <c r="AZ136" s="142"/>
      <c r="BA136" s="137"/>
      <c r="BB136" s="147"/>
      <c r="BC136" s="146" t="str">
        <f t="shared" si="15"/>
        <v/>
      </c>
      <c r="BD136" s="137" t="str">
        <f t="shared" si="16"/>
        <v>INDENIZAÇÃO</v>
      </c>
      <c r="BE136" s="137" t="str">
        <f t="shared" si="17"/>
        <v>NÃO</v>
      </c>
      <c r="BF136" s="137"/>
      <c r="BG136" s="137"/>
      <c r="BH136" s="137"/>
      <c r="BI136" s="137"/>
      <c r="BJ136" s="137"/>
      <c r="BK136" s="151"/>
      <c r="BL136" s="137"/>
      <c r="BM136" s="137"/>
      <c r="BN136" s="266"/>
    </row>
    <row r="137" spans="1:66" s="152" customFormat="1" ht="30" customHeight="1">
      <c r="A137" s="204">
        <v>124</v>
      </c>
      <c r="B137" s="204" t="s">
        <v>99</v>
      </c>
      <c r="C137" s="233" t="s">
        <v>100</v>
      </c>
      <c r="D137" s="205" t="s">
        <v>101</v>
      </c>
      <c r="E137" s="204" t="s">
        <v>101</v>
      </c>
      <c r="F137" s="234" t="s">
        <v>636</v>
      </c>
      <c r="G137" s="235" t="s">
        <v>1</v>
      </c>
      <c r="H137" s="235" t="s">
        <v>2</v>
      </c>
      <c r="I137" s="235" t="s">
        <v>12</v>
      </c>
      <c r="J137" s="234" t="s">
        <v>637</v>
      </c>
      <c r="K137" s="234" t="s">
        <v>638</v>
      </c>
      <c r="L137" s="234" t="s">
        <v>639</v>
      </c>
      <c r="M137" s="204"/>
      <c r="N137" s="204"/>
      <c r="O137" s="151"/>
      <c r="P137" s="151"/>
      <c r="Q137" s="151"/>
      <c r="R137" s="151"/>
      <c r="S137" s="142"/>
      <c r="T137" s="142"/>
      <c r="U137" s="142"/>
      <c r="V137" s="142"/>
      <c r="W137" s="142"/>
      <c r="X137" s="142"/>
      <c r="Y137" s="142"/>
      <c r="Z137" s="142"/>
      <c r="AA137" s="137"/>
      <c r="AB137" s="206"/>
      <c r="AC137" s="206"/>
      <c r="AD137" s="206"/>
      <c r="AE137" s="204"/>
      <c r="AF137" s="204"/>
      <c r="AG137" s="143"/>
      <c r="AH137" s="143"/>
      <c r="AI137" s="137"/>
      <c r="AJ137" s="141" t="s">
        <v>105</v>
      </c>
      <c r="AK137" s="204"/>
      <c r="AL137" s="137"/>
      <c r="AM137" s="137"/>
      <c r="AN137" s="137"/>
      <c r="AO137" s="137"/>
      <c r="AP137" s="234"/>
      <c r="AQ137" s="137"/>
      <c r="AR137" s="137"/>
      <c r="AS137" s="137"/>
      <c r="AT137" s="137"/>
      <c r="AU137" s="151"/>
      <c r="AV137" s="137"/>
      <c r="AW137" s="137"/>
      <c r="AX137" s="151"/>
      <c r="AY137" s="142"/>
      <c r="AZ137" s="142"/>
      <c r="BA137" s="137"/>
      <c r="BB137" s="147"/>
      <c r="BC137" s="146" t="str">
        <f t="shared" si="15"/>
        <v/>
      </c>
      <c r="BD137" s="137" t="str">
        <f t="shared" si="16"/>
        <v>INDENIZAÇÃO</v>
      </c>
      <c r="BE137" s="137" t="str">
        <f t="shared" si="17"/>
        <v>NÃO</v>
      </c>
      <c r="BF137" s="137"/>
      <c r="BG137" s="137"/>
      <c r="BH137" s="137"/>
      <c r="BI137" s="137"/>
      <c r="BJ137" s="137"/>
      <c r="BK137" s="151"/>
      <c r="BL137" s="137"/>
      <c r="BM137" s="137"/>
      <c r="BN137" s="266"/>
    </row>
    <row r="138" spans="1:66" s="152" customFormat="1" ht="30" customHeight="1">
      <c r="A138" s="204">
        <v>125</v>
      </c>
      <c r="B138" s="204" t="s">
        <v>99</v>
      </c>
      <c r="C138" s="233" t="s">
        <v>100</v>
      </c>
      <c r="D138" s="205" t="s">
        <v>101</v>
      </c>
      <c r="E138" s="204" t="s">
        <v>101</v>
      </c>
      <c r="F138" s="234" t="s">
        <v>640</v>
      </c>
      <c r="G138" s="235" t="s">
        <v>1</v>
      </c>
      <c r="H138" s="235" t="s">
        <v>2</v>
      </c>
      <c r="I138" s="235" t="s">
        <v>12</v>
      </c>
      <c r="J138" s="234" t="s">
        <v>641</v>
      </c>
      <c r="K138" s="234">
        <v>547478331</v>
      </c>
      <c r="L138" s="234">
        <v>588906298</v>
      </c>
      <c r="M138" s="204"/>
      <c r="N138" s="204"/>
      <c r="O138" s="151"/>
      <c r="P138" s="151"/>
      <c r="Q138" s="151"/>
      <c r="R138" s="151"/>
      <c r="S138" s="142"/>
      <c r="T138" s="142"/>
      <c r="U138" s="142"/>
      <c r="V138" s="142"/>
      <c r="W138" s="142"/>
      <c r="X138" s="142"/>
      <c r="Y138" s="142"/>
      <c r="Z138" s="142"/>
      <c r="AA138" s="137"/>
      <c r="AB138" s="206"/>
      <c r="AC138" s="206"/>
      <c r="AD138" s="206"/>
      <c r="AE138" s="204"/>
      <c r="AF138" s="204"/>
      <c r="AG138" s="143"/>
      <c r="AH138" s="143"/>
      <c r="AI138" s="137"/>
      <c r="AJ138" s="141" t="s">
        <v>105</v>
      </c>
      <c r="AK138" s="204"/>
      <c r="AL138" s="137"/>
      <c r="AM138" s="137"/>
      <c r="AN138" s="137"/>
      <c r="AO138" s="137"/>
      <c r="AP138" s="234"/>
      <c r="AQ138" s="137"/>
      <c r="AR138" s="137"/>
      <c r="AS138" s="137"/>
      <c r="AT138" s="137"/>
      <c r="AU138" s="151"/>
      <c r="AV138" s="137"/>
      <c r="AW138" s="137"/>
      <c r="AX138" s="151"/>
      <c r="AY138" s="142"/>
      <c r="AZ138" s="142"/>
      <c r="BA138" s="137"/>
      <c r="BB138" s="147"/>
      <c r="BC138" s="146" t="str">
        <f t="shared" si="15"/>
        <v/>
      </c>
      <c r="BD138" s="137" t="str">
        <f t="shared" si="16"/>
        <v>INDENIZAÇÃO</v>
      </c>
      <c r="BE138" s="137" t="str">
        <f t="shared" si="17"/>
        <v>NÃO</v>
      </c>
      <c r="BF138" s="137"/>
      <c r="BG138" s="137"/>
      <c r="BH138" s="137"/>
      <c r="BI138" s="137"/>
      <c r="BJ138" s="137"/>
      <c r="BK138" s="151"/>
      <c r="BL138" s="137"/>
      <c r="BM138" s="137"/>
      <c r="BN138" s="266"/>
    </row>
    <row r="139" spans="1:66" s="152" customFormat="1" ht="30" customHeight="1">
      <c r="A139" s="204">
        <v>126</v>
      </c>
      <c r="B139" s="204" t="s">
        <v>99</v>
      </c>
      <c r="C139" s="233" t="s">
        <v>244</v>
      </c>
      <c r="D139" s="205" t="s">
        <v>101</v>
      </c>
      <c r="E139" s="204" t="s">
        <v>101</v>
      </c>
      <c r="F139" s="253" t="s">
        <v>642</v>
      </c>
      <c r="G139" s="235" t="s">
        <v>1</v>
      </c>
      <c r="H139" s="235" t="s">
        <v>2</v>
      </c>
      <c r="I139" s="235" t="s">
        <v>12</v>
      </c>
      <c r="J139" s="234" t="s">
        <v>643</v>
      </c>
      <c r="K139" s="234" t="s">
        <v>644</v>
      </c>
      <c r="L139" s="234" t="s">
        <v>645</v>
      </c>
      <c r="M139" s="204" t="s">
        <v>110</v>
      </c>
      <c r="N139" s="204" t="s">
        <v>5</v>
      </c>
      <c r="O139" s="151">
        <v>45758</v>
      </c>
      <c r="P139" s="151" t="s">
        <v>24</v>
      </c>
      <c r="Q139" s="151" t="s">
        <v>24</v>
      </c>
      <c r="R139" s="151" t="s">
        <v>24</v>
      </c>
      <c r="S139" s="142" t="s">
        <v>24</v>
      </c>
      <c r="T139" s="142" t="s">
        <v>24</v>
      </c>
      <c r="U139" s="142" t="s">
        <v>24</v>
      </c>
      <c r="V139" s="142" t="s">
        <v>24</v>
      </c>
      <c r="W139" s="142" t="s">
        <v>24</v>
      </c>
      <c r="X139" s="142" t="s">
        <v>24</v>
      </c>
      <c r="Y139" s="142" t="s">
        <v>24</v>
      </c>
      <c r="Z139" s="142" t="s">
        <v>24</v>
      </c>
      <c r="AA139" s="137"/>
      <c r="AB139" s="234" t="s">
        <v>643</v>
      </c>
      <c r="AC139" s="234" t="s">
        <v>644</v>
      </c>
      <c r="AD139" s="234" t="s">
        <v>645</v>
      </c>
      <c r="AE139" s="204" t="s">
        <v>12</v>
      </c>
      <c r="AF139" s="204" t="s">
        <v>110</v>
      </c>
      <c r="AG139" s="143">
        <v>2790.24</v>
      </c>
      <c r="AH139" s="143">
        <v>32790.239999999998</v>
      </c>
      <c r="AI139" s="137" t="s">
        <v>6</v>
      </c>
      <c r="AJ139" s="141" t="s">
        <v>105</v>
      </c>
      <c r="AK139" s="204">
        <v>119383562</v>
      </c>
      <c r="AL139" s="137" t="s">
        <v>112</v>
      </c>
      <c r="AM139" s="137" t="s">
        <v>112</v>
      </c>
      <c r="AN139" s="137" t="s">
        <v>113</v>
      </c>
      <c r="AO139" s="137"/>
      <c r="AP139" s="234" t="s">
        <v>646</v>
      </c>
      <c r="AQ139" s="137" t="s">
        <v>112</v>
      </c>
      <c r="AR139" s="137" t="s">
        <v>112</v>
      </c>
      <c r="AS139" s="137" t="s">
        <v>112</v>
      </c>
      <c r="AT139" s="137" t="s">
        <v>112</v>
      </c>
      <c r="AU139" s="151">
        <v>45814</v>
      </c>
      <c r="AV139" s="137" t="s">
        <v>112</v>
      </c>
      <c r="AW139" s="137" t="s">
        <v>112</v>
      </c>
      <c r="AX139" s="151">
        <v>45826</v>
      </c>
      <c r="AY139" s="144">
        <v>45826</v>
      </c>
      <c r="AZ139" s="142">
        <v>45846</v>
      </c>
      <c r="BA139" s="145" t="s">
        <v>115</v>
      </c>
      <c r="BB139" s="147" t="s">
        <v>112</v>
      </c>
      <c r="BC139" s="146">
        <f t="shared" si="15"/>
        <v>68</v>
      </c>
      <c r="BD139" s="137" t="str">
        <f t="shared" si="16"/>
        <v>INDENIZAÇÃO</v>
      </c>
      <c r="BE139" s="137" t="str">
        <f t="shared" si="17"/>
        <v>NÃO</v>
      </c>
      <c r="BF139" s="137" t="s">
        <v>24</v>
      </c>
      <c r="BG139" s="137" t="s">
        <v>24</v>
      </c>
      <c r="BH139" s="137" t="s">
        <v>24</v>
      </c>
      <c r="BI139" s="137" t="s">
        <v>112</v>
      </c>
      <c r="BJ139" s="137" t="s">
        <v>112</v>
      </c>
      <c r="BK139" s="151">
        <v>45869</v>
      </c>
      <c r="BL139" s="137" t="s">
        <v>112</v>
      </c>
      <c r="BM139" s="145" t="s">
        <v>33</v>
      </c>
      <c r="BN139" s="266"/>
    </row>
    <row r="140" spans="1:66" s="152" customFormat="1" ht="30" customHeight="1">
      <c r="A140" s="204">
        <v>127</v>
      </c>
      <c r="B140" s="204" t="s">
        <v>99</v>
      </c>
      <c r="C140" s="233" t="s">
        <v>244</v>
      </c>
      <c r="D140" s="205" t="s">
        <v>101</v>
      </c>
      <c r="E140" s="204" t="s">
        <v>101</v>
      </c>
      <c r="F140" s="234" t="s">
        <v>647</v>
      </c>
      <c r="G140" s="235" t="s">
        <v>1</v>
      </c>
      <c r="H140" s="235" t="s">
        <v>2</v>
      </c>
      <c r="I140" s="235" t="s">
        <v>12</v>
      </c>
      <c r="J140" s="234" t="s">
        <v>648</v>
      </c>
      <c r="K140" s="234" t="s">
        <v>649</v>
      </c>
      <c r="L140" s="234">
        <v>37589204854</v>
      </c>
      <c r="M140" s="204"/>
      <c r="N140" s="204"/>
      <c r="O140" s="151"/>
      <c r="P140" s="151"/>
      <c r="Q140" s="151"/>
      <c r="R140" s="151"/>
      <c r="S140" s="142"/>
      <c r="T140" s="142"/>
      <c r="U140" s="142"/>
      <c r="V140" s="142"/>
      <c r="W140" s="142"/>
      <c r="X140" s="142"/>
      <c r="Y140" s="142"/>
      <c r="Z140" s="142"/>
      <c r="AA140" s="137"/>
      <c r="AB140" s="206"/>
      <c r="AC140" s="206"/>
      <c r="AD140" s="206"/>
      <c r="AE140" s="204"/>
      <c r="AF140" s="204"/>
      <c r="AG140" s="143"/>
      <c r="AH140" s="143"/>
      <c r="AI140" s="137"/>
      <c r="AJ140" s="141" t="s">
        <v>105</v>
      </c>
      <c r="AK140" s="204"/>
      <c r="AL140" s="137"/>
      <c r="AM140" s="137"/>
      <c r="AN140" s="137"/>
      <c r="AO140" s="137"/>
      <c r="AP140" s="234"/>
      <c r="AQ140" s="137"/>
      <c r="AR140" s="137"/>
      <c r="AS140" s="137"/>
      <c r="AT140" s="137"/>
      <c r="AU140" s="151"/>
      <c r="AV140" s="137"/>
      <c r="AW140" s="137"/>
      <c r="AX140" s="151"/>
      <c r="AY140" s="142"/>
      <c r="AZ140" s="142"/>
      <c r="BA140" s="137"/>
      <c r="BB140" s="147"/>
      <c r="BC140" s="146" t="str">
        <f t="shared" si="15"/>
        <v/>
      </c>
      <c r="BD140" s="137" t="str">
        <f t="shared" si="16"/>
        <v>INDENIZAÇÃO</v>
      </c>
      <c r="BE140" s="137" t="str">
        <f t="shared" si="17"/>
        <v>NÃO</v>
      </c>
      <c r="BF140" s="137"/>
      <c r="BG140" s="137"/>
      <c r="BH140" s="137"/>
      <c r="BI140" s="137"/>
      <c r="BJ140" s="137"/>
      <c r="BK140" s="151"/>
      <c r="BL140" s="137"/>
      <c r="BM140" s="137"/>
      <c r="BN140" s="266"/>
    </row>
    <row r="141" spans="1:66" s="152" customFormat="1" ht="30" customHeight="1">
      <c r="A141" s="204">
        <v>128</v>
      </c>
      <c r="B141" s="204" t="s">
        <v>99</v>
      </c>
      <c r="C141" s="233" t="s">
        <v>244</v>
      </c>
      <c r="D141" s="205" t="s">
        <v>101</v>
      </c>
      <c r="E141" s="204" t="s">
        <v>101</v>
      </c>
      <c r="F141" s="234" t="s">
        <v>650</v>
      </c>
      <c r="G141" s="235" t="s">
        <v>1</v>
      </c>
      <c r="H141" s="235" t="s">
        <v>2</v>
      </c>
      <c r="I141" s="235" t="s">
        <v>12</v>
      </c>
      <c r="J141" s="234" t="s">
        <v>651</v>
      </c>
      <c r="K141" s="234" t="s">
        <v>652</v>
      </c>
      <c r="L141" s="234" t="s">
        <v>653</v>
      </c>
      <c r="M141" s="204"/>
      <c r="N141" s="204"/>
      <c r="O141" s="151"/>
      <c r="P141" s="151"/>
      <c r="Q141" s="151"/>
      <c r="R141" s="151"/>
      <c r="S141" s="142"/>
      <c r="T141" s="142"/>
      <c r="U141" s="142"/>
      <c r="V141" s="142"/>
      <c r="W141" s="142"/>
      <c r="X141" s="142"/>
      <c r="Y141" s="142"/>
      <c r="Z141" s="142"/>
      <c r="AA141" s="137"/>
      <c r="AB141" s="206"/>
      <c r="AC141" s="206"/>
      <c r="AD141" s="206"/>
      <c r="AE141" s="204"/>
      <c r="AF141" s="204"/>
      <c r="AG141" s="143"/>
      <c r="AH141" s="143"/>
      <c r="AI141" s="137"/>
      <c r="AJ141" s="141" t="s">
        <v>105</v>
      </c>
      <c r="AK141" s="204"/>
      <c r="AL141" s="137"/>
      <c r="AM141" s="137"/>
      <c r="AN141" s="137"/>
      <c r="AO141" s="137"/>
      <c r="AP141" s="234"/>
      <c r="AQ141" s="137"/>
      <c r="AR141" s="137"/>
      <c r="AS141" s="137"/>
      <c r="AT141" s="137"/>
      <c r="AU141" s="151"/>
      <c r="AV141" s="137"/>
      <c r="AW141" s="137"/>
      <c r="AX141" s="151"/>
      <c r="AY141" s="142"/>
      <c r="AZ141" s="142"/>
      <c r="BA141" s="137"/>
      <c r="BB141" s="147"/>
      <c r="BC141" s="146" t="str">
        <f t="shared" si="15"/>
        <v/>
      </c>
      <c r="BD141" s="137" t="str">
        <f t="shared" si="16"/>
        <v>INDENIZAÇÃO</v>
      </c>
      <c r="BE141" s="137" t="str">
        <f t="shared" si="17"/>
        <v>NÃO</v>
      </c>
      <c r="BF141" s="137"/>
      <c r="BG141" s="137"/>
      <c r="BH141" s="137"/>
      <c r="BI141" s="137"/>
      <c r="BJ141" s="137"/>
      <c r="BK141" s="151"/>
      <c r="BL141" s="137"/>
      <c r="BM141" s="137"/>
      <c r="BN141" s="266"/>
    </row>
    <row r="142" spans="1:66" s="152" customFormat="1" ht="30" customHeight="1">
      <c r="A142" s="204">
        <v>129</v>
      </c>
      <c r="B142" s="204" t="s">
        <v>99</v>
      </c>
      <c r="C142" s="233" t="s">
        <v>244</v>
      </c>
      <c r="D142" s="205" t="s">
        <v>101</v>
      </c>
      <c r="E142" s="204" t="s">
        <v>101</v>
      </c>
      <c r="F142" s="234" t="s">
        <v>654</v>
      </c>
      <c r="G142" s="235" t="s">
        <v>1</v>
      </c>
      <c r="H142" s="235" t="s">
        <v>2</v>
      </c>
      <c r="I142" s="235" t="s">
        <v>12</v>
      </c>
      <c r="J142" s="234" t="s">
        <v>655</v>
      </c>
      <c r="K142" s="234" t="s">
        <v>656</v>
      </c>
      <c r="L142" s="234">
        <v>53932630823</v>
      </c>
      <c r="M142" s="204"/>
      <c r="N142" s="204"/>
      <c r="O142" s="151"/>
      <c r="P142" s="151"/>
      <c r="Q142" s="151"/>
      <c r="R142" s="151"/>
      <c r="S142" s="142"/>
      <c r="T142" s="142"/>
      <c r="U142" s="142"/>
      <c r="V142" s="142"/>
      <c r="W142" s="142"/>
      <c r="X142" s="142"/>
      <c r="Y142" s="142"/>
      <c r="Z142" s="142"/>
      <c r="AA142" s="137"/>
      <c r="AB142" s="206"/>
      <c r="AC142" s="206"/>
      <c r="AD142" s="206"/>
      <c r="AE142" s="204"/>
      <c r="AF142" s="204"/>
      <c r="AG142" s="143"/>
      <c r="AH142" s="143"/>
      <c r="AI142" s="137"/>
      <c r="AJ142" s="141" t="s">
        <v>105</v>
      </c>
      <c r="AK142" s="204"/>
      <c r="AL142" s="137"/>
      <c r="AM142" s="137"/>
      <c r="AN142" s="137"/>
      <c r="AO142" s="137"/>
      <c r="AP142" s="234"/>
      <c r="AQ142" s="137"/>
      <c r="AR142" s="137"/>
      <c r="AS142" s="137"/>
      <c r="AT142" s="137"/>
      <c r="AU142" s="151"/>
      <c r="AV142" s="137"/>
      <c r="AW142" s="137"/>
      <c r="AX142" s="151"/>
      <c r="AY142" s="142"/>
      <c r="AZ142" s="142"/>
      <c r="BA142" s="137"/>
      <c r="BB142" s="147"/>
      <c r="BC142" s="146" t="str">
        <f t="shared" si="15"/>
        <v/>
      </c>
      <c r="BD142" s="137" t="str">
        <f t="shared" si="16"/>
        <v>INDENIZAÇÃO</v>
      </c>
      <c r="BE142" s="137" t="str">
        <f t="shared" si="17"/>
        <v>NÃO</v>
      </c>
      <c r="BF142" s="137"/>
      <c r="BG142" s="137"/>
      <c r="BH142" s="137"/>
      <c r="BI142" s="137"/>
      <c r="BJ142" s="137"/>
      <c r="BK142" s="151"/>
      <c r="BL142" s="137"/>
      <c r="BM142" s="137"/>
      <c r="BN142" s="266"/>
    </row>
    <row r="143" spans="1:66" s="152" customFormat="1" ht="30" customHeight="1">
      <c r="A143" s="204">
        <v>130</v>
      </c>
      <c r="B143" s="204" t="s">
        <v>99</v>
      </c>
      <c r="C143" s="233" t="s">
        <v>244</v>
      </c>
      <c r="D143" s="205" t="s">
        <v>101</v>
      </c>
      <c r="E143" s="204" t="s">
        <v>101</v>
      </c>
      <c r="F143" s="234" t="s">
        <v>657</v>
      </c>
      <c r="G143" s="235" t="s">
        <v>1</v>
      </c>
      <c r="H143" s="235" t="s">
        <v>2</v>
      </c>
      <c r="I143" s="235" t="s">
        <v>12</v>
      </c>
      <c r="J143" s="234" t="s">
        <v>658</v>
      </c>
      <c r="K143" s="234" t="s">
        <v>659</v>
      </c>
      <c r="L143" s="234" t="s">
        <v>660</v>
      </c>
      <c r="M143" s="204"/>
      <c r="N143" s="204"/>
      <c r="O143" s="151"/>
      <c r="P143" s="151"/>
      <c r="Q143" s="151"/>
      <c r="R143" s="151"/>
      <c r="S143" s="142"/>
      <c r="T143" s="142"/>
      <c r="U143" s="142"/>
      <c r="V143" s="142"/>
      <c r="W143" s="142"/>
      <c r="X143" s="142"/>
      <c r="Y143" s="142"/>
      <c r="Z143" s="142"/>
      <c r="AA143" s="137"/>
      <c r="AB143" s="206"/>
      <c r="AC143" s="206"/>
      <c r="AD143" s="206"/>
      <c r="AE143" s="204"/>
      <c r="AF143" s="204"/>
      <c r="AG143" s="143"/>
      <c r="AH143" s="143"/>
      <c r="AI143" s="137"/>
      <c r="AJ143" s="141" t="s">
        <v>105</v>
      </c>
      <c r="AK143" s="204"/>
      <c r="AL143" s="137"/>
      <c r="AM143" s="137"/>
      <c r="AN143" s="137"/>
      <c r="AO143" s="137"/>
      <c r="AP143" s="234"/>
      <c r="AQ143" s="137"/>
      <c r="AR143" s="137"/>
      <c r="AS143" s="137"/>
      <c r="AT143" s="137"/>
      <c r="AU143" s="151"/>
      <c r="AV143" s="137"/>
      <c r="AW143" s="137"/>
      <c r="AX143" s="151"/>
      <c r="AY143" s="142"/>
      <c r="AZ143" s="142"/>
      <c r="BA143" s="137"/>
      <c r="BB143" s="147"/>
      <c r="BC143" s="146" t="str">
        <f t="shared" si="15"/>
        <v/>
      </c>
      <c r="BD143" s="137" t="str">
        <f t="shared" si="16"/>
        <v>INDENIZAÇÃO</v>
      </c>
      <c r="BE143" s="137" t="str">
        <f t="shared" si="17"/>
        <v>NÃO</v>
      </c>
      <c r="BF143" s="137"/>
      <c r="BG143" s="137"/>
      <c r="BH143" s="137"/>
      <c r="BI143" s="137"/>
      <c r="BJ143" s="137"/>
      <c r="BK143" s="151"/>
      <c r="BL143" s="137"/>
      <c r="BM143" s="137"/>
      <c r="BN143" s="266"/>
    </row>
    <row r="144" spans="1:66" s="152" customFormat="1" ht="30" customHeight="1">
      <c r="A144" s="204">
        <v>131</v>
      </c>
      <c r="B144" s="204" t="s">
        <v>99</v>
      </c>
      <c r="C144" s="233" t="s">
        <v>244</v>
      </c>
      <c r="D144" s="205" t="s">
        <v>101</v>
      </c>
      <c r="E144" s="204" t="s">
        <v>101</v>
      </c>
      <c r="F144" s="234" t="s">
        <v>661</v>
      </c>
      <c r="G144" s="235" t="s">
        <v>1</v>
      </c>
      <c r="H144" s="235" t="s">
        <v>2</v>
      </c>
      <c r="I144" s="235" t="s">
        <v>12</v>
      </c>
      <c r="J144" s="234" t="s">
        <v>662</v>
      </c>
      <c r="K144" s="234" t="s">
        <v>663</v>
      </c>
      <c r="L144" s="234" t="s">
        <v>664</v>
      </c>
      <c r="M144" s="204"/>
      <c r="N144" s="204"/>
      <c r="O144" s="151"/>
      <c r="P144" s="151"/>
      <c r="Q144" s="151"/>
      <c r="R144" s="151"/>
      <c r="S144" s="142"/>
      <c r="T144" s="142"/>
      <c r="U144" s="142"/>
      <c r="V144" s="142"/>
      <c r="W144" s="142"/>
      <c r="X144" s="142"/>
      <c r="Y144" s="142"/>
      <c r="Z144" s="142"/>
      <c r="AA144" s="137"/>
      <c r="AB144" s="206"/>
      <c r="AC144" s="206"/>
      <c r="AD144" s="206"/>
      <c r="AE144" s="204"/>
      <c r="AF144" s="204"/>
      <c r="AG144" s="143"/>
      <c r="AH144" s="143"/>
      <c r="AI144" s="137"/>
      <c r="AJ144" s="141" t="s">
        <v>105</v>
      </c>
      <c r="AK144" s="204"/>
      <c r="AL144" s="137"/>
      <c r="AM144" s="137"/>
      <c r="AN144" s="137"/>
      <c r="AO144" s="137"/>
      <c r="AP144" s="234"/>
      <c r="AQ144" s="137"/>
      <c r="AR144" s="137"/>
      <c r="AS144" s="137"/>
      <c r="AT144" s="137"/>
      <c r="AU144" s="151"/>
      <c r="AV144" s="137"/>
      <c r="AW144" s="137"/>
      <c r="AX144" s="151"/>
      <c r="AY144" s="142"/>
      <c r="AZ144" s="142"/>
      <c r="BA144" s="137"/>
      <c r="BB144" s="147"/>
      <c r="BC144" s="146" t="str">
        <f t="shared" ref="BC144:BC175" si="18">IF(AY144-KG144=0,"",AY144-O144)</f>
        <v/>
      </c>
      <c r="BD144" s="137" t="str">
        <f t="shared" ref="BD144:BD175" si="19">IF(AND(AI144&lt;&gt;"SIM",AI144="UH"),"AA","INDENIZAÇÃO")</f>
        <v>INDENIZAÇÃO</v>
      </c>
      <c r="BE144" s="137" t="str">
        <f t="shared" ref="BE144:BE175" si="20">IF(AND(AY144&lt;&gt;"AGUARDANDO",AY144&lt;&gt;"",N144="AUXÍLIO ALUGUEL ATÉ INDENIZAÇÃO"),"SIM","NÃO")</f>
        <v>NÃO</v>
      </c>
      <c r="BF144" s="137"/>
      <c r="BG144" s="137"/>
      <c r="BH144" s="137"/>
      <c r="BI144" s="137"/>
      <c r="BJ144" s="137"/>
      <c r="BK144" s="151"/>
      <c r="BL144" s="137"/>
      <c r="BM144" s="137"/>
      <c r="BN144" s="266"/>
    </row>
    <row r="145" spans="1:66" s="152" customFormat="1" ht="30" customHeight="1">
      <c r="A145" s="204">
        <v>132</v>
      </c>
      <c r="B145" s="204" t="s">
        <v>99</v>
      </c>
      <c r="C145" s="233" t="s">
        <v>244</v>
      </c>
      <c r="D145" s="205" t="s">
        <v>101</v>
      </c>
      <c r="E145" s="204" t="s">
        <v>101</v>
      </c>
      <c r="F145" s="234" t="s">
        <v>661</v>
      </c>
      <c r="G145" s="235" t="s">
        <v>1</v>
      </c>
      <c r="H145" s="235" t="s">
        <v>2</v>
      </c>
      <c r="I145" s="235" t="s">
        <v>507</v>
      </c>
      <c r="J145" s="234" t="s">
        <v>665</v>
      </c>
      <c r="K145" s="234" t="s">
        <v>666</v>
      </c>
      <c r="L145" s="234" t="s">
        <v>667</v>
      </c>
      <c r="M145" s="204"/>
      <c r="N145" s="204"/>
      <c r="O145" s="151"/>
      <c r="P145" s="151"/>
      <c r="Q145" s="151"/>
      <c r="R145" s="151"/>
      <c r="S145" s="142"/>
      <c r="T145" s="142"/>
      <c r="U145" s="142"/>
      <c r="V145" s="142"/>
      <c r="W145" s="142"/>
      <c r="X145" s="142"/>
      <c r="Y145" s="142"/>
      <c r="Z145" s="142"/>
      <c r="AA145" s="137"/>
      <c r="AB145" s="206"/>
      <c r="AC145" s="206"/>
      <c r="AD145" s="206"/>
      <c r="AE145" s="204"/>
      <c r="AF145" s="204"/>
      <c r="AG145" s="143"/>
      <c r="AH145" s="143"/>
      <c r="AI145" s="137"/>
      <c r="AJ145" s="141" t="s">
        <v>105</v>
      </c>
      <c r="AK145" s="204"/>
      <c r="AL145" s="137"/>
      <c r="AM145" s="137"/>
      <c r="AN145" s="137"/>
      <c r="AO145" s="137"/>
      <c r="AP145" s="234"/>
      <c r="AQ145" s="137"/>
      <c r="AR145" s="137"/>
      <c r="AS145" s="137"/>
      <c r="AT145" s="137"/>
      <c r="AU145" s="151"/>
      <c r="AV145" s="137"/>
      <c r="AW145" s="137"/>
      <c r="AX145" s="151"/>
      <c r="AY145" s="142"/>
      <c r="AZ145" s="142"/>
      <c r="BA145" s="137"/>
      <c r="BB145" s="147"/>
      <c r="BC145" s="146" t="str">
        <f t="shared" si="18"/>
        <v/>
      </c>
      <c r="BD145" s="137" t="str">
        <f t="shared" si="19"/>
        <v>INDENIZAÇÃO</v>
      </c>
      <c r="BE145" s="137" t="str">
        <f t="shared" si="20"/>
        <v>NÃO</v>
      </c>
      <c r="BF145" s="137"/>
      <c r="BG145" s="137"/>
      <c r="BH145" s="137"/>
      <c r="BI145" s="137"/>
      <c r="BJ145" s="137"/>
      <c r="BK145" s="151"/>
      <c r="BL145" s="137"/>
      <c r="BM145" s="137"/>
      <c r="BN145" s="266"/>
    </row>
    <row r="146" spans="1:66" s="152" customFormat="1" ht="30" customHeight="1">
      <c r="A146" s="204">
        <v>133</v>
      </c>
      <c r="B146" s="204" t="s">
        <v>99</v>
      </c>
      <c r="C146" s="233" t="s">
        <v>244</v>
      </c>
      <c r="D146" s="205" t="s">
        <v>101</v>
      </c>
      <c r="E146" s="204" t="s">
        <v>101</v>
      </c>
      <c r="F146" s="234" t="s">
        <v>668</v>
      </c>
      <c r="G146" s="235" t="s">
        <v>1</v>
      </c>
      <c r="H146" s="235" t="s">
        <v>2</v>
      </c>
      <c r="I146" s="235" t="s">
        <v>12</v>
      </c>
      <c r="J146" s="234" t="s">
        <v>669</v>
      </c>
      <c r="K146" s="234">
        <v>383954083</v>
      </c>
      <c r="L146" s="234">
        <v>35892131831</v>
      </c>
      <c r="M146" s="204"/>
      <c r="N146" s="204"/>
      <c r="O146" s="151"/>
      <c r="P146" s="151"/>
      <c r="Q146" s="151"/>
      <c r="R146" s="151"/>
      <c r="S146" s="142"/>
      <c r="T146" s="142"/>
      <c r="U146" s="142"/>
      <c r="V146" s="142"/>
      <c r="W146" s="142"/>
      <c r="X146" s="142"/>
      <c r="Y146" s="142"/>
      <c r="Z146" s="142"/>
      <c r="AA146" s="137"/>
      <c r="AB146" s="206"/>
      <c r="AC146" s="206"/>
      <c r="AD146" s="206"/>
      <c r="AE146" s="204"/>
      <c r="AF146" s="204"/>
      <c r="AG146" s="143"/>
      <c r="AH146" s="143"/>
      <c r="AI146" s="137"/>
      <c r="AJ146" s="141" t="s">
        <v>105</v>
      </c>
      <c r="AK146" s="204"/>
      <c r="AL146" s="137"/>
      <c r="AM146" s="137"/>
      <c r="AN146" s="137"/>
      <c r="AO146" s="137"/>
      <c r="AP146" s="234"/>
      <c r="AQ146" s="137"/>
      <c r="AR146" s="137"/>
      <c r="AS146" s="137"/>
      <c r="AT146" s="137"/>
      <c r="AU146" s="151"/>
      <c r="AV146" s="137"/>
      <c r="AW146" s="137"/>
      <c r="AX146" s="151"/>
      <c r="AY146" s="142"/>
      <c r="AZ146" s="142"/>
      <c r="BA146" s="137"/>
      <c r="BB146" s="147"/>
      <c r="BC146" s="146" t="str">
        <f t="shared" si="18"/>
        <v/>
      </c>
      <c r="BD146" s="137" t="str">
        <f t="shared" si="19"/>
        <v>INDENIZAÇÃO</v>
      </c>
      <c r="BE146" s="137" t="str">
        <f t="shared" si="20"/>
        <v>NÃO</v>
      </c>
      <c r="BF146" s="137"/>
      <c r="BG146" s="137"/>
      <c r="BH146" s="137"/>
      <c r="BI146" s="137"/>
      <c r="BJ146" s="137"/>
      <c r="BK146" s="151"/>
      <c r="BL146" s="137"/>
      <c r="BM146" s="137"/>
      <c r="BN146" s="266"/>
    </row>
    <row r="147" spans="1:66" s="152" customFormat="1" ht="30" customHeight="1">
      <c r="A147" s="204">
        <v>134</v>
      </c>
      <c r="B147" s="204" t="s">
        <v>99</v>
      </c>
      <c r="C147" s="233" t="s">
        <v>244</v>
      </c>
      <c r="D147" s="205" t="s">
        <v>101</v>
      </c>
      <c r="E147" s="204" t="s">
        <v>101</v>
      </c>
      <c r="F147" s="234" t="s">
        <v>668</v>
      </c>
      <c r="G147" s="235" t="s">
        <v>1</v>
      </c>
      <c r="H147" s="235" t="s">
        <v>2</v>
      </c>
      <c r="I147" s="235" t="s">
        <v>12</v>
      </c>
      <c r="J147" s="234" t="s">
        <v>670</v>
      </c>
      <c r="K147" s="234" t="s">
        <v>671</v>
      </c>
      <c r="L147" s="234" t="s">
        <v>672</v>
      </c>
      <c r="M147" s="204"/>
      <c r="N147" s="204"/>
      <c r="O147" s="151"/>
      <c r="P147" s="151"/>
      <c r="Q147" s="151"/>
      <c r="R147" s="151"/>
      <c r="S147" s="142"/>
      <c r="T147" s="142"/>
      <c r="U147" s="142"/>
      <c r="V147" s="142"/>
      <c r="W147" s="142"/>
      <c r="X147" s="142"/>
      <c r="Y147" s="142"/>
      <c r="Z147" s="142"/>
      <c r="AA147" s="137"/>
      <c r="AB147" s="206"/>
      <c r="AC147" s="206"/>
      <c r="AD147" s="206"/>
      <c r="AE147" s="204"/>
      <c r="AF147" s="204"/>
      <c r="AG147" s="143"/>
      <c r="AH147" s="143"/>
      <c r="AI147" s="137"/>
      <c r="AJ147" s="141" t="s">
        <v>105</v>
      </c>
      <c r="AK147" s="204"/>
      <c r="AL147" s="137"/>
      <c r="AM147" s="137"/>
      <c r="AN147" s="137"/>
      <c r="AO147" s="137"/>
      <c r="AP147" s="234"/>
      <c r="AQ147" s="137"/>
      <c r="AR147" s="137"/>
      <c r="AS147" s="137"/>
      <c r="AT147" s="137"/>
      <c r="AU147" s="151"/>
      <c r="AV147" s="137"/>
      <c r="AW147" s="137"/>
      <c r="AX147" s="151"/>
      <c r="AY147" s="142"/>
      <c r="AZ147" s="142"/>
      <c r="BA147" s="137"/>
      <c r="BB147" s="147"/>
      <c r="BC147" s="146" t="str">
        <f t="shared" si="18"/>
        <v/>
      </c>
      <c r="BD147" s="137" t="str">
        <f t="shared" si="19"/>
        <v>INDENIZAÇÃO</v>
      </c>
      <c r="BE147" s="137" t="str">
        <f t="shared" si="20"/>
        <v>NÃO</v>
      </c>
      <c r="BF147" s="137"/>
      <c r="BG147" s="137"/>
      <c r="BH147" s="137"/>
      <c r="BI147" s="137"/>
      <c r="BJ147" s="137"/>
      <c r="BK147" s="151"/>
      <c r="BL147" s="137"/>
      <c r="BM147" s="137"/>
      <c r="BN147" s="266"/>
    </row>
    <row r="148" spans="1:66" s="152" customFormat="1" ht="30" customHeight="1">
      <c r="A148" s="204">
        <v>135</v>
      </c>
      <c r="B148" s="204" t="s">
        <v>99</v>
      </c>
      <c r="C148" s="243" t="s">
        <v>244</v>
      </c>
      <c r="D148" s="244" t="s">
        <v>101</v>
      </c>
      <c r="E148" s="242" t="s">
        <v>101</v>
      </c>
      <c r="F148" s="245" t="s">
        <v>673</v>
      </c>
      <c r="G148" s="243"/>
      <c r="H148" s="243" t="s">
        <v>674</v>
      </c>
      <c r="I148" s="243"/>
      <c r="J148" s="245"/>
      <c r="K148" s="245"/>
      <c r="L148" s="245"/>
      <c r="M148" s="242"/>
      <c r="N148" s="242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2"/>
      <c r="AB148" s="247"/>
      <c r="AC148" s="247"/>
      <c r="AD148" s="247"/>
      <c r="AE148" s="242"/>
      <c r="AF148" s="242"/>
      <c r="AG148" s="248"/>
      <c r="AH148" s="248"/>
      <c r="AI148" s="242"/>
      <c r="AJ148" s="247"/>
      <c r="AK148" s="242"/>
      <c r="AL148" s="242"/>
      <c r="AM148" s="242"/>
      <c r="AN148" s="242"/>
      <c r="AO148" s="242"/>
      <c r="AP148" s="234"/>
      <c r="AQ148" s="242"/>
      <c r="AR148" s="242"/>
      <c r="AS148" s="242"/>
      <c r="AT148" s="242"/>
      <c r="AU148" s="246"/>
      <c r="AV148" s="242"/>
      <c r="AW148" s="242"/>
      <c r="AX148" s="246"/>
      <c r="AY148" s="142"/>
      <c r="AZ148" s="246"/>
      <c r="BA148" s="242"/>
      <c r="BB148" s="249"/>
      <c r="BC148" s="146" t="str">
        <f t="shared" si="18"/>
        <v/>
      </c>
      <c r="BD148" s="137" t="str">
        <f t="shared" si="19"/>
        <v>INDENIZAÇÃO</v>
      </c>
      <c r="BE148" s="137" t="str">
        <f t="shared" si="20"/>
        <v>NÃO</v>
      </c>
      <c r="BF148" s="242"/>
      <c r="BG148" s="242"/>
      <c r="BH148" s="242"/>
      <c r="BI148" s="242"/>
      <c r="BJ148" s="242"/>
      <c r="BK148" s="246"/>
      <c r="BL148" s="242"/>
      <c r="BM148" s="242"/>
      <c r="BN148" s="266"/>
    </row>
    <row r="149" spans="1:66" s="152" customFormat="1" ht="30" customHeight="1">
      <c r="A149" s="204">
        <v>136</v>
      </c>
      <c r="B149" s="204" t="s">
        <v>99</v>
      </c>
      <c r="C149" s="233" t="s">
        <v>244</v>
      </c>
      <c r="D149" s="205" t="s">
        <v>101</v>
      </c>
      <c r="E149" s="204" t="s">
        <v>101</v>
      </c>
      <c r="F149" s="234" t="s">
        <v>675</v>
      </c>
      <c r="G149" s="235" t="s">
        <v>1</v>
      </c>
      <c r="H149" s="235" t="s">
        <v>2</v>
      </c>
      <c r="I149" s="204" t="s">
        <v>12</v>
      </c>
      <c r="J149" s="206" t="s">
        <v>676</v>
      </c>
      <c r="K149" s="206" t="s">
        <v>677</v>
      </c>
      <c r="L149" s="206" t="s">
        <v>678</v>
      </c>
      <c r="M149" s="204" t="s">
        <v>110</v>
      </c>
      <c r="N149" s="204" t="s">
        <v>5</v>
      </c>
      <c r="O149" s="151">
        <v>45758</v>
      </c>
      <c r="P149" s="151" t="s">
        <v>24</v>
      </c>
      <c r="Q149" s="151" t="s">
        <v>24</v>
      </c>
      <c r="R149" s="151" t="s">
        <v>24</v>
      </c>
      <c r="S149" s="151" t="s">
        <v>24</v>
      </c>
      <c r="T149" s="151" t="s">
        <v>24</v>
      </c>
      <c r="U149" s="151" t="s">
        <v>24</v>
      </c>
      <c r="V149" s="151" t="s">
        <v>24</v>
      </c>
      <c r="W149" s="151" t="s">
        <v>24</v>
      </c>
      <c r="X149" s="151" t="s">
        <v>24</v>
      </c>
      <c r="Y149" s="151" t="s">
        <v>24</v>
      </c>
      <c r="Z149" s="151" t="s">
        <v>24</v>
      </c>
      <c r="AA149" s="137"/>
      <c r="AB149" s="206" t="s">
        <v>676</v>
      </c>
      <c r="AC149" s="206" t="s">
        <v>677</v>
      </c>
      <c r="AD149" s="206" t="s">
        <v>678</v>
      </c>
      <c r="AE149" s="204" t="s">
        <v>12</v>
      </c>
      <c r="AF149" s="204" t="s">
        <v>110</v>
      </c>
      <c r="AG149" s="143">
        <v>38948.339999999997</v>
      </c>
      <c r="AH149" s="143">
        <v>60000</v>
      </c>
      <c r="AI149" s="137" t="s">
        <v>6</v>
      </c>
      <c r="AJ149" s="141" t="s">
        <v>105</v>
      </c>
      <c r="AK149" s="204">
        <v>130054788</v>
      </c>
      <c r="AL149" s="137" t="s">
        <v>112</v>
      </c>
      <c r="AM149" s="137" t="s">
        <v>112</v>
      </c>
      <c r="AN149" s="137" t="s">
        <v>113</v>
      </c>
      <c r="AO149" s="137"/>
      <c r="AP149" s="234" t="s">
        <v>679</v>
      </c>
      <c r="AQ149" s="137" t="s">
        <v>112</v>
      </c>
      <c r="AR149" s="137" t="s">
        <v>112</v>
      </c>
      <c r="AS149" s="137" t="s">
        <v>112</v>
      </c>
      <c r="AT149" s="137" t="s">
        <v>112</v>
      </c>
      <c r="AU149" s="151">
        <v>45909</v>
      </c>
      <c r="AV149" s="137" t="s">
        <v>112</v>
      </c>
      <c r="AW149" s="137" t="s">
        <v>112</v>
      </c>
      <c r="AX149" s="151">
        <v>45915</v>
      </c>
      <c r="AY149" s="144">
        <v>45915</v>
      </c>
      <c r="AZ149" s="151">
        <v>45952</v>
      </c>
      <c r="BA149" s="145" t="s">
        <v>115</v>
      </c>
      <c r="BB149" s="147" t="s">
        <v>112</v>
      </c>
      <c r="BC149" s="146">
        <f t="shared" si="18"/>
        <v>157</v>
      </c>
      <c r="BD149" s="137" t="str">
        <f t="shared" si="19"/>
        <v>INDENIZAÇÃO</v>
      </c>
      <c r="BE149" s="137" t="str">
        <f t="shared" si="20"/>
        <v>NÃO</v>
      </c>
      <c r="BF149" s="137" t="s">
        <v>24</v>
      </c>
      <c r="BG149" s="137" t="s">
        <v>24</v>
      </c>
      <c r="BH149" s="137" t="s">
        <v>24</v>
      </c>
      <c r="BI149" s="137" t="s">
        <v>112</v>
      </c>
      <c r="BJ149" s="137" t="s">
        <v>112</v>
      </c>
      <c r="BK149" s="151">
        <v>45937</v>
      </c>
      <c r="BL149" s="137" t="s">
        <v>112</v>
      </c>
      <c r="BM149" s="145" t="s">
        <v>33</v>
      </c>
      <c r="BN149" s="266"/>
    </row>
    <row r="150" spans="1:66" s="152" customFormat="1" ht="30" customHeight="1">
      <c r="A150" s="204">
        <v>137</v>
      </c>
      <c r="B150" s="204" t="s">
        <v>99</v>
      </c>
      <c r="C150" s="233" t="s">
        <v>244</v>
      </c>
      <c r="D150" s="205" t="s">
        <v>101</v>
      </c>
      <c r="E150" s="204" t="s">
        <v>101</v>
      </c>
      <c r="F150" s="234" t="s">
        <v>680</v>
      </c>
      <c r="G150" s="235" t="s">
        <v>1</v>
      </c>
      <c r="H150" s="235" t="s">
        <v>2</v>
      </c>
      <c r="I150" s="235" t="s">
        <v>12</v>
      </c>
      <c r="J150" s="234" t="s">
        <v>681</v>
      </c>
      <c r="K150" s="234" t="s">
        <v>682</v>
      </c>
      <c r="L150" s="234" t="s">
        <v>683</v>
      </c>
      <c r="M150" s="204" t="s">
        <v>110</v>
      </c>
      <c r="N150" s="204" t="s">
        <v>128</v>
      </c>
      <c r="O150" s="151">
        <v>45797</v>
      </c>
      <c r="P150" s="151">
        <v>45831</v>
      </c>
      <c r="Q150" s="254" t="s">
        <v>130</v>
      </c>
      <c r="R150" s="151"/>
      <c r="S150" s="142"/>
      <c r="T150" s="142"/>
      <c r="U150" s="142"/>
      <c r="V150" s="142"/>
      <c r="W150" s="142"/>
      <c r="X150" s="142"/>
      <c r="Y150" s="142"/>
      <c r="Z150" s="142"/>
      <c r="AA150" s="137"/>
      <c r="AB150" s="206"/>
      <c r="AC150" s="206"/>
      <c r="AD150" s="206"/>
      <c r="AE150" s="204"/>
      <c r="AF150" s="204" t="s">
        <v>6</v>
      </c>
      <c r="AG150" s="143"/>
      <c r="AH150" s="143"/>
      <c r="AI150" s="137"/>
      <c r="AJ150" s="141"/>
      <c r="AK150" s="204"/>
      <c r="AL150" s="137"/>
      <c r="AM150" s="137"/>
      <c r="AN150" s="137"/>
      <c r="AO150" s="137"/>
      <c r="AP150" s="234"/>
      <c r="AQ150" s="137"/>
      <c r="AR150" s="137"/>
      <c r="AS150" s="137"/>
      <c r="AT150" s="137"/>
      <c r="AU150" s="151"/>
      <c r="AV150" s="137"/>
      <c r="AW150" s="137"/>
      <c r="AX150" s="151"/>
      <c r="AY150" s="142"/>
      <c r="AZ150" s="142"/>
      <c r="BA150" s="137"/>
      <c r="BB150" s="147"/>
      <c r="BC150" s="146" t="str">
        <f t="shared" si="18"/>
        <v/>
      </c>
      <c r="BD150" s="137" t="str">
        <f t="shared" si="19"/>
        <v>INDENIZAÇÃO</v>
      </c>
      <c r="BE150" s="137" t="str">
        <f t="shared" si="20"/>
        <v>NÃO</v>
      </c>
      <c r="BF150" s="137"/>
      <c r="BG150" s="137"/>
      <c r="BH150" s="137"/>
      <c r="BI150" s="137"/>
      <c r="BJ150" s="137"/>
      <c r="BK150" s="151"/>
      <c r="BL150" s="137"/>
      <c r="BM150" s="137"/>
      <c r="BN150" s="266"/>
    </row>
    <row r="151" spans="1:66" s="152" customFormat="1" ht="30" customHeight="1">
      <c r="A151" s="204">
        <v>138</v>
      </c>
      <c r="B151" s="204" t="s">
        <v>99</v>
      </c>
      <c r="C151" s="233" t="s">
        <v>244</v>
      </c>
      <c r="D151" s="205" t="s">
        <v>101</v>
      </c>
      <c r="E151" s="204" t="s">
        <v>101</v>
      </c>
      <c r="F151" s="234" t="s">
        <v>684</v>
      </c>
      <c r="G151" s="235" t="s">
        <v>1</v>
      </c>
      <c r="H151" s="235" t="s">
        <v>2</v>
      </c>
      <c r="I151" s="235" t="s">
        <v>510</v>
      </c>
      <c r="J151" s="234" t="s">
        <v>685</v>
      </c>
      <c r="K151" s="234" t="s">
        <v>686</v>
      </c>
      <c r="L151" s="234" t="s">
        <v>687</v>
      </c>
      <c r="M151" s="204" t="s">
        <v>110</v>
      </c>
      <c r="N151" s="204" t="s">
        <v>128</v>
      </c>
      <c r="O151" s="151">
        <v>45819</v>
      </c>
      <c r="P151" s="151">
        <v>45811</v>
      </c>
      <c r="Q151" s="254" t="s">
        <v>130</v>
      </c>
      <c r="R151" s="144"/>
      <c r="S151" s="144"/>
      <c r="T151" s="144"/>
      <c r="U151" s="144"/>
      <c r="V151" s="144"/>
      <c r="W151" s="144"/>
      <c r="X151" s="144"/>
      <c r="Y151" s="144"/>
      <c r="Z151" s="144"/>
      <c r="AA151" s="137"/>
      <c r="AB151" s="206" t="s">
        <v>688</v>
      </c>
      <c r="AC151" s="206" t="s">
        <v>689</v>
      </c>
      <c r="AD151" s="206" t="s">
        <v>690</v>
      </c>
      <c r="AE151" s="204" t="s">
        <v>103</v>
      </c>
      <c r="AF151" s="204" t="s">
        <v>110</v>
      </c>
      <c r="AG151" s="143">
        <v>95128.26</v>
      </c>
      <c r="AH151" s="143">
        <v>95128.26</v>
      </c>
      <c r="AI151" s="137" t="s">
        <v>6</v>
      </c>
      <c r="AJ151" s="141" t="s">
        <v>105</v>
      </c>
      <c r="AK151" s="204">
        <v>128075957</v>
      </c>
      <c r="AL151" s="137" t="s">
        <v>112</v>
      </c>
      <c r="AM151" s="137" t="s">
        <v>112</v>
      </c>
      <c r="AN151" s="137" t="s">
        <v>113</v>
      </c>
      <c r="AO151" s="137" t="s">
        <v>527</v>
      </c>
      <c r="AP151" s="234" t="s">
        <v>691</v>
      </c>
      <c r="AQ151" s="137" t="s">
        <v>112</v>
      </c>
      <c r="AR151" s="137" t="s">
        <v>112</v>
      </c>
      <c r="AS151" s="137" t="s">
        <v>112</v>
      </c>
      <c r="AT151" s="137" t="s">
        <v>112</v>
      </c>
      <c r="AU151" s="151">
        <v>45909</v>
      </c>
      <c r="AV151" s="137" t="s">
        <v>112</v>
      </c>
      <c r="AW151" s="137" t="s">
        <v>112</v>
      </c>
      <c r="AX151" s="151">
        <v>45915</v>
      </c>
      <c r="AY151" s="144">
        <v>45915</v>
      </c>
      <c r="AZ151" s="151">
        <v>45952</v>
      </c>
      <c r="BA151" s="145" t="s">
        <v>115</v>
      </c>
      <c r="BB151" s="147" t="s">
        <v>112</v>
      </c>
      <c r="BC151" s="146">
        <f t="shared" si="18"/>
        <v>96</v>
      </c>
      <c r="BD151" s="137" t="str">
        <f t="shared" si="19"/>
        <v>INDENIZAÇÃO</v>
      </c>
      <c r="BE151" s="137" t="str">
        <f t="shared" si="20"/>
        <v>NÃO</v>
      </c>
      <c r="BF151" s="137" t="s">
        <v>24</v>
      </c>
      <c r="BG151" s="137" t="s">
        <v>24</v>
      </c>
      <c r="BH151" s="137" t="s">
        <v>24</v>
      </c>
      <c r="BI151" s="137" t="s">
        <v>112</v>
      </c>
      <c r="BJ151" s="137" t="s">
        <v>112</v>
      </c>
      <c r="BK151" s="151">
        <v>45937</v>
      </c>
      <c r="BL151" s="137" t="s">
        <v>112</v>
      </c>
      <c r="BM151" s="145" t="s">
        <v>33</v>
      </c>
      <c r="BN151" s="266"/>
    </row>
    <row r="152" spans="1:66" s="152" customFormat="1" ht="30" customHeight="1">
      <c r="A152" s="204">
        <v>139</v>
      </c>
      <c r="B152" s="204" t="s">
        <v>99</v>
      </c>
      <c r="C152" s="233" t="s">
        <v>244</v>
      </c>
      <c r="D152" s="205" t="s">
        <v>101</v>
      </c>
      <c r="E152" s="204" t="s">
        <v>101</v>
      </c>
      <c r="F152" s="234" t="s">
        <v>692</v>
      </c>
      <c r="G152" s="235" t="s">
        <v>1</v>
      </c>
      <c r="H152" s="235" t="s">
        <v>2</v>
      </c>
      <c r="I152" s="235" t="s">
        <v>12</v>
      </c>
      <c r="J152" s="234" t="s">
        <v>693</v>
      </c>
      <c r="K152" s="234" t="s">
        <v>694</v>
      </c>
      <c r="L152" s="234" t="s">
        <v>695</v>
      </c>
      <c r="M152" s="204" t="s">
        <v>110</v>
      </c>
      <c r="N152" s="204" t="s">
        <v>5</v>
      </c>
      <c r="O152" s="151">
        <v>45831</v>
      </c>
      <c r="P152" s="151" t="s">
        <v>24</v>
      </c>
      <c r="Q152" s="151" t="s">
        <v>24</v>
      </c>
      <c r="R152" s="151" t="s">
        <v>24</v>
      </c>
      <c r="S152" s="151" t="s">
        <v>24</v>
      </c>
      <c r="T152" s="151" t="s">
        <v>24</v>
      </c>
      <c r="U152" s="151" t="s">
        <v>24</v>
      </c>
      <c r="V152" s="151" t="s">
        <v>24</v>
      </c>
      <c r="W152" s="151" t="s">
        <v>24</v>
      </c>
      <c r="X152" s="151" t="s">
        <v>24</v>
      </c>
      <c r="Y152" s="151" t="s">
        <v>24</v>
      </c>
      <c r="Z152" s="151" t="s">
        <v>24</v>
      </c>
      <c r="AA152" s="137"/>
      <c r="AB152" s="234" t="s">
        <v>693</v>
      </c>
      <c r="AC152" s="234" t="s">
        <v>694</v>
      </c>
      <c r="AD152" s="234" t="s">
        <v>695</v>
      </c>
      <c r="AE152" s="204" t="s">
        <v>12</v>
      </c>
      <c r="AF152" s="204" t="s">
        <v>110</v>
      </c>
      <c r="AG152" s="143">
        <v>2682.56</v>
      </c>
      <c r="AH152" s="143">
        <v>32682.560000000001</v>
      </c>
      <c r="AI152" s="137" t="s">
        <v>6</v>
      </c>
      <c r="AJ152" s="141" t="s">
        <v>105</v>
      </c>
      <c r="AK152" s="204">
        <v>119684143</v>
      </c>
      <c r="AL152" s="137" t="s">
        <v>112</v>
      </c>
      <c r="AM152" s="137" t="s">
        <v>112</v>
      </c>
      <c r="AN152" s="137" t="s">
        <v>113</v>
      </c>
      <c r="AO152" s="137"/>
      <c r="AP152" s="234" t="s">
        <v>696</v>
      </c>
      <c r="AQ152" s="137" t="s">
        <v>112</v>
      </c>
      <c r="AR152" s="137" t="s">
        <v>112</v>
      </c>
      <c r="AS152" s="137" t="s">
        <v>112</v>
      </c>
      <c r="AT152" s="137" t="s">
        <v>112</v>
      </c>
      <c r="AU152" s="151">
        <v>45909</v>
      </c>
      <c r="AV152" s="137" t="s">
        <v>112</v>
      </c>
      <c r="AW152" s="137" t="s">
        <v>112</v>
      </c>
      <c r="AX152" s="151">
        <v>45915</v>
      </c>
      <c r="AY152" s="144">
        <v>45915</v>
      </c>
      <c r="AZ152" s="151">
        <v>45944</v>
      </c>
      <c r="BA152" s="145" t="s">
        <v>115</v>
      </c>
      <c r="BB152" s="147" t="s">
        <v>112</v>
      </c>
      <c r="BC152" s="146">
        <f t="shared" si="18"/>
        <v>84</v>
      </c>
      <c r="BD152" s="137" t="str">
        <f t="shared" si="19"/>
        <v>INDENIZAÇÃO</v>
      </c>
      <c r="BE152" s="137" t="str">
        <f t="shared" si="20"/>
        <v>NÃO</v>
      </c>
      <c r="BF152" s="137" t="s">
        <v>24</v>
      </c>
      <c r="BG152" s="137" t="s">
        <v>24</v>
      </c>
      <c r="BH152" s="137" t="s">
        <v>24</v>
      </c>
      <c r="BI152" s="137" t="s">
        <v>112</v>
      </c>
      <c r="BJ152" s="137" t="s">
        <v>112</v>
      </c>
      <c r="BK152" s="151">
        <v>45937</v>
      </c>
      <c r="BL152" s="137" t="s">
        <v>112</v>
      </c>
      <c r="BM152" s="145" t="s">
        <v>33</v>
      </c>
      <c r="BN152" s="266"/>
    </row>
    <row r="153" spans="1:66" s="152" customFormat="1" ht="30" customHeight="1">
      <c r="A153" s="204">
        <v>140</v>
      </c>
      <c r="B153" s="204" t="s">
        <v>99</v>
      </c>
      <c r="C153" s="233" t="s">
        <v>244</v>
      </c>
      <c r="D153" s="205" t="s">
        <v>101</v>
      </c>
      <c r="E153" s="204" t="s">
        <v>101</v>
      </c>
      <c r="F153" s="234" t="s">
        <v>697</v>
      </c>
      <c r="G153" s="235" t="s">
        <v>1</v>
      </c>
      <c r="H153" s="235" t="s">
        <v>2</v>
      </c>
      <c r="I153" s="235" t="s">
        <v>12</v>
      </c>
      <c r="J153" s="234" t="s">
        <v>698</v>
      </c>
      <c r="K153" s="234" t="s">
        <v>175</v>
      </c>
      <c r="L153" s="234" t="s">
        <v>699</v>
      </c>
      <c r="M153" s="204"/>
      <c r="N153" s="204"/>
      <c r="O153" s="151"/>
      <c r="P153" s="151"/>
      <c r="Q153" s="151"/>
      <c r="R153" s="151"/>
      <c r="S153" s="142"/>
      <c r="T153" s="142"/>
      <c r="U153" s="142"/>
      <c r="V153" s="142"/>
      <c r="W153" s="142"/>
      <c r="X153" s="142"/>
      <c r="Y153" s="142"/>
      <c r="Z153" s="142"/>
      <c r="AA153" s="137"/>
      <c r="AB153" s="206"/>
      <c r="AC153" s="206"/>
      <c r="AD153" s="206"/>
      <c r="AE153" s="204"/>
      <c r="AF153" s="204"/>
      <c r="AG153" s="143"/>
      <c r="AH153" s="143"/>
      <c r="AI153" s="137"/>
      <c r="AJ153" s="141" t="s">
        <v>105</v>
      </c>
      <c r="AK153" s="204"/>
      <c r="AL153" s="137"/>
      <c r="AM153" s="137"/>
      <c r="AN153" s="137"/>
      <c r="AO153" s="137"/>
      <c r="AP153" s="234"/>
      <c r="AQ153" s="137"/>
      <c r="AR153" s="137"/>
      <c r="AS153" s="137"/>
      <c r="AT153" s="137"/>
      <c r="AU153" s="151"/>
      <c r="AV153" s="137"/>
      <c r="AW153" s="137"/>
      <c r="AX153" s="151"/>
      <c r="AY153" s="142"/>
      <c r="AZ153" s="142"/>
      <c r="BA153" s="137"/>
      <c r="BB153" s="147"/>
      <c r="BC153" s="146" t="str">
        <f t="shared" si="18"/>
        <v/>
      </c>
      <c r="BD153" s="137" t="str">
        <f t="shared" si="19"/>
        <v>INDENIZAÇÃO</v>
      </c>
      <c r="BE153" s="137" t="str">
        <f t="shared" si="20"/>
        <v>NÃO</v>
      </c>
      <c r="BF153" s="137"/>
      <c r="BG153" s="137"/>
      <c r="BH153" s="137"/>
      <c r="BI153" s="137"/>
      <c r="BJ153" s="137"/>
      <c r="BK153" s="151"/>
      <c r="BL153" s="137"/>
      <c r="BM153" s="137"/>
      <c r="BN153" s="266"/>
    </row>
    <row r="154" spans="1:66" s="152" customFormat="1" ht="30" customHeight="1">
      <c r="A154" s="204">
        <v>141</v>
      </c>
      <c r="B154" s="204" t="s">
        <v>99</v>
      </c>
      <c r="C154" s="233" t="s">
        <v>244</v>
      </c>
      <c r="D154" s="205" t="s">
        <v>101</v>
      </c>
      <c r="E154" s="204" t="s">
        <v>101</v>
      </c>
      <c r="F154" s="234" t="s">
        <v>700</v>
      </c>
      <c r="G154" s="235" t="s">
        <v>1</v>
      </c>
      <c r="H154" s="235" t="s">
        <v>2</v>
      </c>
      <c r="I154" s="235" t="s">
        <v>12</v>
      </c>
      <c r="J154" s="234" t="s">
        <v>701</v>
      </c>
      <c r="K154" s="234" t="s">
        <v>702</v>
      </c>
      <c r="L154" s="234">
        <v>43259933808</v>
      </c>
      <c r="M154" s="204"/>
      <c r="N154" s="204"/>
      <c r="O154" s="151"/>
      <c r="P154" s="151"/>
      <c r="Q154" s="151"/>
      <c r="R154" s="151"/>
      <c r="S154" s="142"/>
      <c r="T154" s="142"/>
      <c r="U154" s="142"/>
      <c r="V154" s="142"/>
      <c r="W154" s="142"/>
      <c r="X154" s="142"/>
      <c r="Y154" s="142"/>
      <c r="Z154" s="142"/>
      <c r="AA154" s="137"/>
      <c r="AB154" s="206"/>
      <c r="AC154" s="206"/>
      <c r="AD154" s="206"/>
      <c r="AE154" s="204"/>
      <c r="AF154" s="204"/>
      <c r="AG154" s="143"/>
      <c r="AH154" s="143"/>
      <c r="AI154" s="137"/>
      <c r="AJ154" s="141" t="s">
        <v>105</v>
      </c>
      <c r="AK154" s="204"/>
      <c r="AL154" s="137"/>
      <c r="AM154" s="137"/>
      <c r="AN154" s="137"/>
      <c r="AO154" s="137"/>
      <c r="AP154" s="234"/>
      <c r="AQ154" s="137"/>
      <c r="AR154" s="137"/>
      <c r="AS154" s="137"/>
      <c r="AT154" s="137"/>
      <c r="AU154" s="151"/>
      <c r="AV154" s="137"/>
      <c r="AW154" s="137"/>
      <c r="AX154" s="151"/>
      <c r="AY154" s="142"/>
      <c r="AZ154" s="142"/>
      <c r="BA154" s="137"/>
      <c r="BB154" s="147"/>
      <c r="BC154" s="146" t="str">
        <f t="shared" si="18"/>
        <v/>
      </c>
      <c r="BD154" s="137" t="str">
        <f t="shared" si="19"/>
        <v>INDENIZAÇÃO</v>
      </c>
      <c r="BE154" s="137" t="str">
        <f t="shared" si="20"/>
        <v>NÃO</v>
      </c>
      <c r="BF154" s="137"/>
      <c r="BG154" s="137"/>
      <c r="BH154" s="137"/>
      <c r="BI154" s="137"/>
      <c r="BJ154" s="137"/>
      <c r="BK154" s="151"/>
      <c r="BL154" s="137"/>
      <c r="BM154" s="137"/>
      <c r="BN154" s="266"/>
    </row>
    <row r="155" spans="1:66" s="152" customFormat="1" ht="30" customHeight="1">
      <c r="A155" s="204">
        <v>142</v>
      </c>
      <c r="B155" s="204" t="s">
        <v>99</v>
      </c>
      <c r="C155" s="233" t="s">
        <v>244</v>
      </c>
      <c r="D155" s="205" t="s">
        <v>101</v>
      </c>
      <c r="E155" s="204" t="s">
        <v>101</v>
      </c>
      <c r="F155" s="234" t="s">
        <v>703</v>
      </c>
      <c r="G155" s="235" t="s">
        <v>1</v>
      </c>
      <c r="H155" s="235" t="s">
        <v>2</v>
      </c>
      <c r="I155" s="235" t="s">
        <v>12</v>
      </c>
      <c r="J155" s="234" t="s">
        <v>704</v>
      </c>
      <c r="K155" s="234" t="s">
        <v>705</v>
      </c>
      <c r="L155" s="234" t="s">
        <v>706</v>
      </c>
      <c r="M155" s="204"/>
      <c r="N155" s="204"/>
      <c r="O155" s="151"/>
      <c r="P155" s="151"/>
      <c r="Q155" s="151"/>
      <c r="R155" s="151"/>
      <c r="S155" s="142"/>
      <c r="T155" s="142"/>
      <c r="U155" s="142"/>
      <c r="V155" s="142"/>
      <c r="W155" s="142"/>
      <c r="X155" s="142"/>
      <c r="Y155" s="142"/>
      <c r="Z155" s="142"/>
      <c r="AA155" s="137"/>
      <c r="AB155" s="206"/>
      <c r="AC155" s="206"/>
      <c r="AD155" s="206"/>
      <c r="AE155" s="204"/>
      <c r="AF155" s="204"/>
      <c r="AG155" s="143"/>
      <c r="AH155" s="143"/>
      <c r="AI155" s="137"/>
      <c r="AJ155" s="141" t="s">
        <v>105</v>
      </c>
      <c r="AK155" s="204"/>
      <c r="AL155" s="137"/>
      <c r="AM155" s="137"/>
      <c r="AN155" s="137"/>
      <c r="AO155" s="137"/>
      <c r="AP155" s="234"/>
      <c r="AQ155" s="137"/>
      <c r="AR155" s="137"/>
      <c r="AS155" s="137"/>
      <c r="AT155" s="137"/>
      <c r="AU155" s="151"/>
      <c r="AV155" s="137"/>
      <c r="AW155" s="137"/>
      <c r="AX155" s="151"/>
      <c r="AY155" s="142"/>
      <c r="AZ155" s="142"/>
      <c r="BA155" s="137"/>
      <c r="BB155" s="147"/>
      <c r="BC155" s="146" t="str">
        <f t="shared" si="18"/>
        <v/>
      </c>
      <c r="BD155" s="137" t="str">
        <f t="shared" si="19"/>
        <v>INDENIZAÇÃO</v>
      </c>
      <c r="BE155" s="137" t="str">
        <f t="shared" si="20"/>
        <v>NÃO</v>
      </c>
      <c r="BF155" s="137"/>
      <c r="BG155" s="137"/>
      <c r="BH155" s="137"/>
      <c r="BI155" s="137"/>
      <c r="BJ155" s="137"/>
      <c r="BK155" s="151"/>
      <c r="BL155" s="137"/>
      <c r="BM155" s="137"/>
      <c r="BN155" s="266"/>
    </row>
    <row r="156" spans="1:66" s="152" customFormat="1" ht="30" customHeight="1">
      <c r="A156" s="204">
        <v>143</v>
      </c>
      <c r="B156" s="204" t="s">
        <v>99</v>
      </c>
      <c r="C156" s="233" t="s">
        <v>244</v>
      </c>
      <c r="D156" s="205" t="s">
        <v>101</v>
      </c>
      <c r="E156" s="204" t="s">
        <v>101</v>
      </c>
      <c r="F156" s="234" t="s">
        <v>707</v>
      </c>
      <c r="G156" s="235" t="s">
        <v>1</v>
      </c>
      <c r="H156" s="235" t="s">
        <v>2</v>
      </c>
      <c r="I156" s="204" t="s">
        <v>12</v>
      </c>
      <c r="J156" s="234" t="s">
        <v>708</v>
      </c>
      <c r="K156" s="234" t="s">
        <v>709</v>
      </c>
      <c r="L156" s="234" t="s">
        <v>710</v>
      </c>
      <c r="M156" s="204" t="s">
        <v>110</v>
      </c>
      <c r="N156" s="204" t="s">
        <v>5</v>
      </c>
      <c r="O156" s="151">
        <v>45730</v>
      </c>
      <c r="P156" s="151" t="s">
        <v>24</v>
      </c>
      <c r="Q156" s="151" t="s">
        <v>24</v>
      </c>
      <c r="R156" s="151" t="s">
        <v>24</v>
      </c>
      <c r="S156" s="151" t="s">
        <v>24</v>
      </c>
      <c r="T156" s="151" t="s">
        <v>24</v>
      </c>
      <c r="U156" s="151" t="s">
        <v>24</v>
      </c>
      <c r="V156" s="151" t="s">
        <v>24</v>
      </c>
      <c r="W156" s="151" t="s">
        <v>24</v>
      </c>
      <c r="X156" s="151" t="s">
        <v>24</v>
      </c>
      <c r="Y156" s="151" t="s">
        <v>24</v>
      </c>
      <c r="Z156" s="151" t="s">
        <v>24</v>
      </c>
      <c r="AA156" s="137"/>
      <c r="AB156" s="234" t="s">
        <v>708</v>
      </c>
      <c r="AC156" s="234" t="s">
        <v>709</v>
      </c>
      <c r="AD156" s="234" t="s">
        <v>710</v>
      </c>
      <c r="AE156" s="204" t="s">
        <v>12</v>
      </c>
      <c r="AF156" s="204" t="s">
        <v>110</v>
      </c>
      <c r="AG156" s="143">
        <v>39590.949999999997</v>
      </c>
      <c r="AH156" s="143">
        <v>60000</v>
      </c>
      <c r="AI156" s="137" t="s">
        <v>6</v>
      </c>
      <c r="AJ156" s="141" t="s">
        <v>105</v>
      </c>
      <c r="AK156" s="204">
        <v>116603529</v>
      </c>
      <c r="AL156" s="137" t="s">
        <v>112</v>
      </c>
      <c r="AM156" s="137" t="s">
        <v>112</v>
      </c>
      <c r="AN156" s="137" t="s">
        <v>113</v>
      </c>
      <c r="AO156" s="137"/>
      <c r="AP156" s="234" t="s">
        <v>711</v>
      </c>
      <c r="AQ156" s="137" t="s">
        <v>112</v>
      </c>
      <c r="AR156" s="137" t="s">
        <v>112</v>
      </c>
      <c r="AS156" s="137" t="s">
        <v>112</v>
      </c>
      <c r="AT156" s="137" t="s">
        <v>112</v>
      </c>
      <c r="AU156" s="151">
        <v>45783</v>
      </c>
      <c r="AV156" s="137" t="s">
        <v>112</v>
      </c>
      <c r="AW156" s="137" t="s">
        <v>112</v>
      </c>
      <c r="AX156" s="151">
        <v>45790</v>
      </c>
      <c r="AY156" s="144">
        <v>45790</v>
      </c>
      <c r="AZ156" s="142">
        <v>45799</v>
      </c>
      <c r="BA156" s="145" t="s">
        <v>115</v>
      </c>
      <c r="BB156" s="147" t="s">
        <v>112</v>
      </c>
      <c r="BC156" s="146">
        <f t="shared" si="18"/>
        <v>60</v>
      </c>
      <c r="BD156" s="137" t="str">
        <f t="shared" si="19"/>
        <v>INDENIZAÇÃO</v>
      </c>
      <c r="BE156" s="137" t="str">
        <f t="shared" si="20"/>
        <v>NÃO</v>
      </c>
      <c r="BF156" s="137" t="s">
        <v>24</v>
      </c>
      <c r="BG156" s="137" t="s">
        <v>24</v>
      </c>
      <c r="BH156" s="137" t="s">
        <v>24</v>
      </c>
      <c r="BI156" s="137" t="s">
        <v>112</v>
      </c>
      <c r="BJ156" s="137" t="s">
        <v>112</v>
      </c>
      <c r="BK156" s="151">
        <v>45869</v>
      </c>
      <c r="BL156" s="137" t="s">
        <v>112</v>
      </c>
      <c r="BM156" s="145" t="s">
        <v>33</v>
      </c>
      <c r="BN156" s="266"/>
    </row>
    <row r="157" spans="1:66" s="152" customFormat="1" ht="30" customHeight="1">
      <c r="A157" s="204">
        <v>144</v>
      </c>
      <c r="B157" s="204" t="s">
        <v>99</v>
      </c>
      <c r="C157" s="233" t="s">
        <v>244</v>
      </c>
      <c r="D157" s="205" t="s">
        <v>101</v>
      </c>
      <c r="E157" s="204" t="s">
        <v>101</v>
      </c>
      <c r="F157" s="234" t="s">
        <v>712</v>
      </c>
      <c r="G157" s="235" t="s">
        <v>1</v>
      </c>
      <c r="H157" s="235" t="s">
        <v>2</v>
      </c>
      <c r="I157" s="235" t="s">
        <v>12</v>
      </c>
      <c r="J157" s="234" t="s">
        <v>713</v>
      </c>
      <c r="K157" s="234" t="s">
        <v>714</v>
      </c>
      <c r="L157" s="234" t="s">
        <v>715</v>
      </c>
      <c r="M157" s="204"/>
      <c r="N157" s="204"/>
      <c r="O157" s="151"/>
      <c r="P157" s="151"/>
      <c r="Q157" s="151"/>
      <c r="R157" s="151"/>
      <c r="S157" s="142"/>
      <c r="T157" s="142"/>
      <c r="U157" s="142"/>
      <c r="V157" s="142"/>
      <c r="W157" s="142"/>
      <c r="X157" s="142"/>
      <c r="Y157" s="142"/>
      <c r="Z157" s="142"/>
      <c r="AA157" s="137"/>
      <c r="AB157" s="206"/>
      <c r="AC157" s="206"/>
      <c r="AD157" s="206"/>
      <c r="AE157" s="204"/>
      <c r="AF157" s="204"/>
      <c r="AG157" s="143"/>
      <c r="AH157" s="143"/>
      <c r="AI157" s="137"/>
      <c r="AJ157" s="141" t="s">
        <v>105</v>
      </c>
      <c r="AK157" s="204"/>
      <c r="AL157" s="137"/>
      <c r="AM157" s="137"/>
      <c r="AN157" s="137"/>
      <c r="AO157" s="137"/>
      <c r="AP157" s="234"/>
      <c r="AQ157" s="137"/>
      <c r="AR157" s="137"/>
      <c r="AS157" s="137"/>
      <c r="AT157" s="137"/>
      <c r="AU157" s="151"/>
      <c r="AV157" s="137"/>
      <c r="AW157" s="137"/>
      <c r="AX157" s="151"/>
      <c r="AY157" s="142"/>
      <c r="AZ157" s="142"/>
      <c r="BA157" s="137"/>
      <c r="BB157" s="147"/>
      <c r="BC157" s="146" t="str">
        <f t="shared" si="18"/>
        <v/>
      </c>
      <c r="BD157" s="137" t="str">
        <f t="shared" si="19"/>
        <v>INDENIZAÇÃO</v>
      </c>
      <c r="BE157" s="137" t="str">
        <f t="shared" si="20"/>
        <v>NÃO</v>
      </c>
      <c r="BF157" s="137"/>
      <c r="BG157" s="137"/>
      <c r="BH157" s="137"/>
      <c r="BI157" s="137"/>
      <c r="BJ157" s="137"/>
      <c r="BK157" s="151"/>
      <c r="BL157" s="137"/>
      <c r="BM157" s="137"/>
      <c r="BN157" s="266"/>
    </row>
    <row r="158" spans="1:66" s="152" customFormat="1" ht="30" customHeight="1">
      <c r="A158" s="204">
        <v>145</v>
      </c>
      <c r="B158" s="204" t="s">
        <v>99</v>
      </c>
      <c r="C158" s="233" t="s">
        <v>244</v>
      </c>
      <c r="D158" s="205" t="s">
        <v>101</v>
      </c>
      <c r="E158" s="204" t="s">
        <v>101</v>
      </c>
      <c r="F158" s="234" t="s">
        <v>716</v>
      </c>
      <c r="G158" s="235" t="s">
        <v>1</v>
      </c>
      <c r="H158" s="235" t="s">
        <v>2</v>
      </c>
      <c r="I158" s="204" t="s">
        <v>12</v>
      </c>
      <c r="J158" s="234" t="s">
        <v>717</v>
      </c>
      <c r="K158" s="234" t="s">
        <v>718</v>
      </c>
      <c r="L158" s="234" t="s">
        <v>719</v>
      </c>
      <c r="M158" s="204" t="s">
        <v>110</v>
      </c>
      <c r="N158" s="204" t="s">
        <v>5</v>
      </c>
      <c r="O158" s="151">
        <v>45730</v>
      </c>
      <c r="P158" s="151" t="s">
        <v>24</v>
      </c>
      <c r="Q158" s="151" t="s">
        <v>24</v>
      </c>
      <c r="R158" s="151" t="s">
        <v>24</v>
      </c>
      <c r="S158" s="151" t="s">
        <v>24</v>
      </c>
      <c r="T158" s="151" t="s">
        <v>24</v>
      </c>
      <c r="U158" s="151" t="s">
        <v>24</v>
      </c>
      <c r="V158" s="151" t="s">
        <v>24</v>
      </c>
      <c r="W158" s="151" t="s">
        <v>24</v>
      </c>
      <c r="X158" s="151" t="s">
        <v>24</v>
      </c>
      <c r="Y158" s="151" t="s">
        <v>24</v>
      </c>
      <c r="Z158" s="151" t="s">
        <v>24</v>
      </c>
      <c r="AA158" s="137"/>
      <c r="AB158" s="234" t="s">
        <v>717</v>
      </c>
      <c r="AC158" s="234" t="s">
        <v>718</v>
      </c>
      <c r="AD158" s="234" t="s">
        <v>719</v>
      </c>
      <c r="AE158" s="204" t="s">
        <v>12</v>
      </c>
      <c r="AF158" s="204" t="s">
        <v>110</v>
      </c>
      <c r="AG158" s="143">
        <v>4975.8</v>
      </c>
      <c r="AH158" s="143">
        <f>AG158+30000</f>
        <v>34975.800000000003</v>
      </c>
      <c r="AI158" s="137" t="s">
        <v>6</v>
      </c>
      <c r="AJ158" s="141" t="s">
        <v>105</v>
      </c>
      <c r="AK158" s="204">
        <v>116603756</v>
      </c>
      <c r="AL158" s="137" t="s">
        <v>112</v>
      </c>
      <c r="AM158" s="137" t="s">
        <v>112</v>
      </c>
      <c r="AN158" s="137" t="s">
        <v>113</v>
      </c>
      <c r="AO158" s="137"/>
      <c r="AP158" s="234" t="s">
        <v>720</v>
      </c>
      <c r="AQ158" s="137" t="s">
        <v>112</v>
      </c>
      <c r="AR158" s="137" t="s">
        <v>112</v>
      </c>
      <c r="AS158" s="137" t="s">
        <v>112</v>
      </c>
      <c r="AT158" s="137" t="s">
        <v>112</v>
      </c>
      <c r="AU158" s="151">
        <v>45783</v>
      </c>
      <c r="AV158" s="137" t="s">
        <v>112</v>
      </c>
      <c r="AW158" s="137" t="s">
        <v>112</v>
      </c>
      <c r="AX158" s="151">
        <v>45790</v>
      </c>
      <c r="AY158" s="144">
        <v>45790</v>
      </c>
      <c r="AZ158" s="142">
        <v>45861</v>
      </c>
      <c r="BA158" s="145" t="s">
        <v>115</v>
      </c>
      <c r="BB158" s="147" t="s">
        <v>112</v>
      </c>
      <c r="BC158" s="146">
        <f t="shared" si="18"/>
        <v>60</v>
      </c>
      <c r="BD158" s="137" t="str">
        <f t="shared" si="19"/>
        <v>INDENIZAÇÃO</v>
      </c>
      <c r="BE158" s="137" t="str">
        <f t="shared" si="20"/>
        <v>NÃO</v>
      </c>
      <c r="BF158" s="137" t="s">
        <v>24</v>
      </c>
      <c r="BG158" s="137" t="s">
        <v>24</v>
      </c>
      <c r="BH158" s="137" t="s">
        <v>24</v>
      </c>
      <c r="BI158" s="137" t="s">
        <v>112</v>
      </c>
      <c r="BJ158" s="137" t="s">
        <v>112</v>
      </c>
      <c r="BK158" s="151">
        <v>45869</v>
      </c>
      <c r="BL158" s="137" t="s">
        <v>112</v>
      </c>
      <c r="BM158" s="145" t="s">
        <v>33</v>
      </c>
      <c r="BN158" s="266"/>
    </row>
    <row r="159" spans="1:66" s="152" customFormat="1" ht="30" customHeight="1">
      <c r="A159" s="204">
        <v>146</v>
      </c>
      <c r="B159" s="204" t="s">
        <v>99</v>
      </c>
      <c r="C159" s="233" t="s">
        <v>244</v>
      </c>
      <c r="D159" s="205" t="s">
        <v>101</v>
      </c>
      <c r="E159" s="204" t="s">
        <v>101</v>
      </c>
      <c r="F159" s="234" t="s">
        <v>721</v>
      </c>
      <c r="G159" s="235" t="s">
        <v>1</v>
      </c>
      <c r="H159" s="235" t="s">
        <v>2</v>
      </c>
      <c r="I159" s="204" t="s">
        <v>12</v>
      </c>
      <c r="J159" s="234" t="s">
        <v>722</v>
      </c>
      <c r="K159" s="234" t="s">
        <v>723</v>
      </c>
      <c r="L159" s="234" t="s">
        <v>724</v>
      </c>
      <c r="M159" s="204" t="s">
        <v>110</v>
      </c>
      <c r="N159" s="204" t="s">
        <v>5</v>
      </c>
      <c r="O159" s="151">
        <v>45819</v>
      </c>
      <c r="P159" s="151" t="s">
        <v>24</v>
      </c>
      <c r="Q159" s="151" t="s">
        <v>24</v>
      </c>
      <c r="R159" s="151" t="s">
        <v>24</v>
      </c>
      <c r="S159" s="151" t="s">
        <v>24</v>
      </c>
      <c r="T159" s="151" t="s">
        <v>24</v>
      </c>
      <c r="U159" s="151" t="s">
        <v>24</v>
      </c>
      <c r="V159" s="151" t="s">
        <v>24</v>
      </c>
      <c r="W159" s="151" t="s">
        <v>24</v>
      </c>
      <c r="X159" s="151" t="s">
        <v>24</v>
      </c>
      <c r="Y159" s="151" t="s">
        <v>24</v>
      </c>
      <c r="Z159" s="151" t="s">
        <v>24</v>
      </c>
      <c r="AA159" s="137"/>
      <c r="AB159" s="234" t="s">
        <v>722</v>
      </c>
      <c r="AC159" s="234" t="s">
        <v>723</v>
      </c>
      <c r="AD159" s="234" t="s">
        <v>724</v>
      </c>
      <c r="AE159" s="204" t="s">
        <v>12</v>
      </c>
      <c r="AF159" s="204" t="s">
        <v>110</v>
      </c>
      <c r="AG159" s="143">
        <v>17673.05</v>
      </c>
      <c r="AH159" s="143">
        <v>47673.05</v>
      </c>
      <c r="AI159" s="137" t="s">
        <v>6</v>
      </c>
      <c r="AJ159" s="141" t="s">
        <v>105</v>
      </c>
      <c r="AK159" s="204">
        <v>116603836</v>
      </c>
      <c r="AL159" s="137" t="s">
        <v>112</v>
      </c>
      <c r="AM159" s="137" t="s">
        <v>112</v>
      </c>
      <c r="AN159" s="137" t="s">
        <v>113</v>
      </c>
      <c r="AO159" s="137"/>
      <c r="AP159" s="234" t="s">
        <v>725</v>
      </c>
      <c r="AQ159" s="137" t="s">
        <v>112</v>
      </c>
      <c r="AR159" s="137" t="s">
        <v>112</v>
      </c>
      <c r="AS159" s="137" t="s">
        <v>112</v>
      </c>
      <c r="AT159" s="137" t="s">
        <v>112</v>
      </c>
      <c r="AU159" s="151">
        <v>45909</v>
      </c>
      <c r="AV159" s="137" t="s">
        <v>112</v>
      </c>
      <c r="AW159" s="137" t="s">
        <v>112</v>
      </c>
      <c r="AX159" s="151">
        <v>45915</v>
      </c>
      <c r="AY159" s="144">
        <v>45915</v>
      </c>
      <c r="AZ159" s="151">
        <v>45937</v>
      </c>
      <c r="BA159" s="204" t="s">
        <v>349</v>
      </c>
      <c r="BB159" s="147" t="s">
        <v>112</v>
      </c>
      <c r="BC159" s="146">
        <f t="shared" si="18"/>
        <v>96</v>
      </c>
      <c r="BD159" s="137" t="str">
        <f t="shared" si="19"/>
        <v>INDENIZAÇÃO</v>
      </c>
      <c r="BE159" s="137" t="str">
        <f t="shared" si="20"/>
        <v>NÃO</v>
      </c>
      <c r="BF159" s="137" t="s">
        <v>24</v>
      </c>
      <c r="BG159" s="137" t="s">
        <v>24</v>
      </c>
      <c r="BH159" s="137" t="s">
        <v>24</v>
      </c>
      <c r="BI159" s="137" t="s">
        <v>112</v>
      </c>
      <c r="BJ159" s="137" t="s">
        <v>112</v>
      </c>
      <c r="BK159" s="151">
        <v>45937</v>
      </c>
      <c r="BL159" s="137" t="s">
        <v>112</v>
      </c>
      <c r="BM159" s="145" t="s">
        <v>33</v>
      </c>
      <c r="BN159" s="266"/>
    </row>
    <row r="160" spans="1:66" s="152" customFormat="1" ht="30" customHeight="1">
      <c r="A160" s="204">
        <v>147</v>
      </c>
      <c r="B160" s="204" t="s">
        <v>99</v>
      </c>
      <c r="C160" s="233" t="s">
        <v>244</v>
      </c>
      <c r="D160" s="205" t="s">
        <v>101</v>
      </c>
      <c r="E160" s="204" t="s">
        <v>101</v>
      </c>
      <c r="F160" s="234" t="s">
        <v>726</v>
      </c>
      <c r="G160" s="235" t="s">
        <v>1</v>
      </c>
      <c r="H160" s="235" t="s">
        <v>2</v>
      </c>
      <c r="I160" s="235" t="s">
        <v>12</v>
      </c>
      <c r="J160" s="234" t="s">
        <v>727</v>
      </c>
      <c r="K160" s="234" t="s">
        <v>728</v>
      </c>
      <c r="L160" s="234" t="s">
        <v>729</v>
      </c>
      <c r="M160" s="204"/>
      <c r="N160" s="204"/>
      <c r="O160" s="151"/>
      <c r="P160" s="151"/>
      <c r="Q160" s="151"/>
      <c r="R160" s="151"/>
      <c r="S160" s="142"/>
      <c r="T160" s="142"/>
      <c r="U160" s="142"/>
      <c r="V160" s="142"/>
      <c r="W160" s="142"/>
      <c r="X160" s="142"/>
      <c r="Y160" s="142"/>
      <c r="Z160" s="142"/>
      <c r="AA160" s="137"/>
      <c r="AB160" s="206"/>
      <c r="AC160" s="206"/>
      <c r="AD160" s="206"/>
      <c r="AE160" s="204"/>
      <c r="AF160" s="204"/>
      <c r="AG160" s="143"/>
      <c r="AH160" s="143"/>
      <c r="AI160" s="137"/>
      <c r="AJ160" s="141" t="s">
        <v>105</v>
      </c>
      <c r="AK160" s="204"/>
      <c r="AL160" s="137"/>
      <c r="AM160" s="137"/>
      <c r="AN160" s="137"/>
      <c r="AO160" s="137"/>
      <c r="AP160" s="234"/>
      <c r="AQ160" s="137"/>
      <c r="AR160" s="137"/>
      <c r="AS160" s="137"/>
      <c r="AT160" s="137"/>
      <c r="AU160" s="151"/>
      <c r="AV160" s="137"/>
      <c r="AW160" s="137"/>
      <c r="AX160" s="151"/>
      <c r="AY160" s="142"/>
      <c r="AZ160" s="142"/>
      <c r="BA160" s="137"/>
      <c r="BB160" s="147"/>
      <c r="BC160" s="146" t="str">
        <f t="shared" si="18"/>
        <v/>
      </c>
      <c r="BD160" s="137" t="str">
        <f t="shared" si="19"/>
        <v>INDENIZAÇÃO</v>
      </c>
      <c r="BE160" s="137" t="str">
        <f t="shared" si="20"/>
        <v>NÃO</v>
      </c>
      <c r="BF160" s="137"/>
      <c r="BG160" s="137"/>
      <c r="BH160" s="137"/>
      <c r="BI160" s="137"/>
      <c r="BJ160" s="137"/>
      <c r="BK160" s="151"/>
      <c r="BL160" s="137"/>
      <c r="BM160" s="137"/>
      <c r="BN160" s="266"/>
    </row>
    <row r="161" spans="1:67" s="152" customFormat="1" ht="30" customHeight="1">
      <c r="A161" s="204">
        <v>148</v>
      </c>
      <c r="B161" s="204" t="s">
        <v>99</v>
      </c>
      <c r="C161" s="233" t="s">
        <v>244</v>
      </c>
      <c r="D161" s="205" t="s">
        <v>101</v>
      </c>
      <c r="E161" s="204" t="s">
        <v>101</v>
      </c>
      <c r="F161" s="234" t="s">
        <v>730</v>
      </c>
      <c r="G161" s="235" t="s">
        <v>1</v>
      </c>
      <c r="H161" s="235" t="s">
        <v>2</v>
      </c>
      <c r="I161" s="235" t="s">
        <v>12</v>
      </c>
      <c r="J161" s="234" t="s">
        <v>731</v>
      </c>
      <c r="K161" s="234" t="s">
        <v>732</v>
      </c>
      <c r="L161" s="234" t="s">
        <v>733</v>
      </c>
      <c r="M161" s="204"/>
      <c r="N161" s="204"/>
      <c r="O161" s="151"/>
      <c r="P161" s="151"/>
      <c r="Q161" s="151"/>
      <c r="R161" s="151"/>
      <c r="S161" s="142"/>
      <c r="T161" s="142"/>
      <c r="U161" s="142"/>
      <c r="V161" s="142"/>
      <c r="W161" s="142"/>
      <c r="X161" s="142"/>
      <c r="Y161" s="142"/>
      <c r="Z161" s="142"/>
      <c r="AA161" s="137"/>
      <c r="AB161" s="206"/>
      <c r="AC161" s="206"/>
      <c r="AD161" s="206"/>
      <c r="AE161" s="204"/>
      <c r="AF161" s="204"/>
      <c r="AG161" s="143"/>
      <c r="AH161" s="143"/>
      <c r="AI161" s="137"/>
      <c r="AJ161" s="141" t="s">
        <v>105</v>
      </c>
      <c r="AK161" s="204"/>
      <c r="AL161" s="137"/>
      <c r="AM161" s="137"/>
      <c r="AN161" s="137"/>
      <c r="AO161" s="137"/>
      <c r="AP161" s="234"/>
      <c r="AQ161" s="137"/>
      <c r="AR161" s="137"/>
      <c r="AS161" s="137"/>
      <c r="AT161" s="137"/>
      <c r="AU161" s="151"/>
      <c r="AV161" s="137"/>
      <c r="AW161" s="137"/>
      <c r="AX161" s="151"/>
      <c r="AY161" s="142"/>
      <c r="AZ161" s="142"/>
      <c r="BA161" s="137"/>
      <c r="BB161" s="147"/>
      <c r="BC161" s="146" t="str">
        <f t="shared" si="18"/>
        <v/>
      </c>
      <c r="BD161" s="137" t="str">
        <f t="shared" si="19"/>
        <v>INDENIZAÇÃO</v>
      </c>
      <c r="BE161" s="137" t="str">
        <f t="shared" si="20"/>
        <v>NÃO</v>
      </c>
      <c r="BF161" s="137"/>
      <c r="BG161" s="137"/>
      <c r="BH161" s="137"/>
      <c r="BI161" s="137"/>
      <c r="BJ161" s="137"/>
      <c r="BK161" s="151"/>
      <c r="BL161" s="137"/>
      <c r="BM161" s="137"/>
      <c r="BN161" s="266"/>
    </row>
    <row r="162" spans="1:67" s="152" customFormat="1" ht="30" customHeight="1">
      <c r="A162" s="204">
        <v>149</v>
      </c>
      <c r="B162" s="204" t="s">
        <v>99</v>
      </c>
      <c r="C162" s="233" t="s">
        <v>244</v>
      </c>
      <c r="D162" s="205" t="s">
        <v>101</v>
      </c>
      <c r="E162" s="204" t="s">
        <v>101</v>
      </c>
      <c r="F162" s="234" t="s">
        <v>734</v>
      </c>
      <c r="G162" s="235" t="s">
        <v>1</v>
      </c>
      <c r="H162" s="235" t="s">
        <v>2</v>
      </c>
      <c r="I162" s="204" t="s">
        <v>12</v>
      </c>
      <c r="J162" s="234" t="s">
        <v>735</v>
      </c>
      <c r="K162" s="234" t="s">
        <v>736</v>
      </c>
      <c r="L162" s="234" t="s">
        <v>737</v>
      </c>
      <c r="M162" s="204" t="s">
        <v>110</v>
      </c>
      <c r="N162" s="204" t="s">
        <v>5</v>
      </c>
      <c r="O162" s="151">
        <v>45730</v>
      </c>
      <c r="P162" s="151" t="s">
        <v>24</v>
      </c>
      <c r="Q162" s="151" t="s">
        <v>24</v>
      </c>
      <c r="R162" s="151" t="s">
        <v>24</v>
      </c>
      <c r="S162" s="151" t="s">
        <v>24</v>
      </c>
      <c r="T162" s="151" t="s">
        <v>24</v>
      </c>
      <c r="U162" s="151" t="s">
        <v>24</v>
      </c>
      <c r="V162" s="151" t="s">
        <v>24</v>
      </c>
      <c r="W162" s="151" t="s">
        <v>24</v>
      </c>
      <c r="X162" s="151" t="s">
        <v>24</v>
      </c>
      <c r="Y162" s="151" t="s">
        <v>24</v>
      </c>
      <c r="Z162" s="151" t="s">
        <v>24</v>
      </c>
      <c r="AA162" s="137"/>
      <c r="AB162" s="234" t="s">
        <v>735</v>
      </c>
      <c r="AC162" s="234" t="s">
        <v>736</v>
      </c>
      <c r="AD162" s="234" t="s">
        <v>737</v>
      </c>
      <c r="AE162" s="204" t="s">
        <v>12</v>
      </c>
      <c r="AF162" s="204" t="s">
        <v>110</v>
      </c>
      <c r="AG162" s="143">
        <v>26819.7</v>
      </c>
      <c r="AH162" s="143">
        <f>AG162+30000</f>
        <v>56819.7</v>
      </c>
      <c r="AI162" s="137" t="s">
        <v>6</v>
      </c>
      <c r="AJ162" s="141" t="s">
        <v>105</v>
      </c>
      <c r="AK162" s="204">
        <v>116603920</v>
      </c>
      <c r="AL162" s="137" t="s">
        <v>112</v>
      </c>
      <c r="AM162" s="137" t="s">
        <v>112</v>
      </c>
      <c r="AN162" s="137" t="s">
        <v>113</v>
      </c>
      <c r="AO162" s="137"/>
      <c r="AP162" s="234" t="s">
        <v>738</v>
      </c>
      <c r="AQ162" s="137" t="s">
        <v>112</v>
      </c>
      <c r="AR162" s="137" t="s">
        <v>112</v>
      </c>
      <c r="AS162" s="137" t="s">
        <v>112</v>
      </c>
      <c r="AT162" s="137" t="s">
        <v>112</v>
      </c>
      <c r="AU162" s="151">
        <v>45783</v>
      </c>
      <c r="AV162" s="137" t="s">
        <v>112</v>
      </c>
      <c r="AW162" s="137" t="s">
        <v>112</v>
      </c>
      <c r="AX162" s="151">
        <v>45790</v>
      </c>
      <c r="AY162" s="144">
        <v>45790</v>
      </c>
      <c r="AZ162" s="142">
        <v>45838</v>
      </c>
      <c r="BA162" s="145" t="s">
        <v>115</v>
      </c>
      <c r="BB162" s="147" t="s">
        <v>112</v>
      </c>
      <c r="BC162" s="146">
        <f t="shared" si="18"/>
        <v>60</v>
      </c>
      <c r="BD162" s="137" t="str">
        <f t="shared" si="19"/>
        <v>INDENIZAÇÃO</v>
      </c>
      <c r="BE162" s="137" t="str">
        <f t="shared" si="20"/>
        <v>NÃO</v>
      </c>
      <c r="BF162" s="137" t="s">
        <v>24</v>
      </c>
      <c r="BG162" s="137" t="s">
        <v>24</v>
      </c>
      <c r="BH162" s="137" t="s">
        <v>24</v>
      </c>
      <c r="BI162" s="137" t="s">
        <v>112</v>
      </c>
      <c r="BJ162" s="137" t="s">
        <v>112</v>
      </c>
      <c r="BK162" s="151">
        <v>45869</v>
      </c>
      <c r="BL162" s="137" t="s">
        <v>112</v>
      </c>
      <c r="BM162" s="145" t="s">
        <v>33</v>
      </c>
      <c r="BN162" s="266"/>
    </row>
    <row r="163" spans="1:67" s="152" customFormat="1" ht="30" customHeight="1">
      <c r="A163" s="204">
        <v>150</v>
      </c>
      <c r="B163" s="204" t="s">
        <v>99</v>
      </c>
      <c r="C163" s="233" t="s">
        <v>244</v>
      </c>
      <c r="D163" s="205" t="s">
        <v>101</v>
      </c>
      <c r="E163" s="204" t="s">
        <v>101</v>
      </c>
      <c r="F163" s="234" t="s">
        <v>739</v>
      </c>
      <c r="G163" s="235" t="s">
        <v>1</v>
      </c>
      <c r="H163" s="235" t="s">
        <v>2</v>
      </c>
      <c r="I163" s="204" t="s">
        <v>12</v>
      </c>
      <c r="J163" s="234" t="s">
        <v>740</v>
      </c>
      <c r="K163" s="234" t="s">
        <v>741</v>
      </c>
      <c r="L163" s="234" t="s">
        <v>742</v>
      </c>
      <c r="M163" s="204" t="s">
        <v>110</v>
      </c>
      <c r="N163" s="204" t="s">
        <v>5</v>
      </c>
      <c r="O163" s="151">
        <v>45749</v>
      </c>
      <c r="P163" s="151" t="s">
        <v>24</v>
      </c>
      <c r="Q163" s="151" t="s">
        <v>24</v>
      </c>
      <c r="R163" s="151" t="s">
        <v>24</v>
      </c>
      <c r="S163" s="151" t="s">
        <v>24</v>
      </c>
      <c r="T163" s="151" t="s">
        <v>24</v>
      </c>
      <c r="U163" s="151" t="s">
        <v>24</v>
      </c>
      <c r="V163" s="151" t="s">
        <v>24</v>
      </c>
      <c r="W163" s="151" t="s">
        <v>24</v>
      </c>
      <c r="X163" s="151" t="s">
        <v>24</v>
      </c>
      <c r="Y163" s="151" t="s">
        <v>24</v>
      </c>
      <c r="Z163" s="151" t="s">
        <v>24</v>
      </c>
      <c r="AA163" s="137"/>
      <c r="AB163" s="234" t="s">
        <v>740</v>
      </c>
      <c r="AC163" s="234" t="s">
        <v>741</v>
      </c>
      <c r="AD163" s="234" t="s">
        <v>742</v>
      </c>
      <c r="AE163" s="204" t="s">
        <v>12</v>
      </c>
      <c r="AF163" s="204" t="s">
        <v>110</v>
      </c>
      <c r="AG163" s="143">
        <v>38014.639999999999</v>
      </c>
      <c r="AH163" s="143">
        <v>60000</v>
      </c>
      <c r="AI163" s="137" t="s">
        <v>6</v>
      </c>
      <c r="AJ163" s="141" t="s">
        <v>105</v>
      </c>
      <c r="AK163" s="137">
        <v>116604061</v>
      </c>
      <c r="AL163" s="137" t="s">
        <v>112</v>
      </c>
      <c r="AM163" s="137" t="s">
        <v>112</v>
      </c>
      <c r="AN163" s="137" t="s">
        <v>113</v>
      </c>
      <c r="AO163" s="137"/>
      <c r="AP163" s="234" t="s">
        <v>743</v>
      </c>
      <c r="AQ163" s="137" t="s">
        <v>112</v>
      </c>
      <c r="AR163" s="137" t="s">
        <v>112</v>
      </c>
      <c r="AS163" s="137" t="s">
        <v>112</v>
      </c>
      <c r="AT163" s="137" t="s">
        <v>112</v>
      </c>
      <c r="AU163" s="151">
        <v>45814</v>
      </c>
      <c r="AV163" s="137" t="s">
        <v>112</v>
      </c>
      <c r="AW163" s="137" t="s">
        <v>112</v>
      </c>
      <c r="AX163" s="151">
        <v>45841</v>
      </c>
      <c r="AY163" s="144">
        <v>45841</v>
      </c>
      <c r="AZ163" s="151">
        <v>45937</v>
      </c>
      <c r="BA163" s="204" t="s">
        <v>349</v>
      </c>
      <c r="BB163" s="147" t="s">
        <v>112</v>
      </c>
      <c r="BC163" s="146">
        <f t="shared" si="18"/>
        <v>92</v>
      </c>
      <c r="BD163" s="137" t="str">
        <f t="shared" si="19"/>
        <v>INDENIZAÇÃO</v>
      </c>
      <c r="BE163" s="137" t="str">
        <f t="shared" si="20"/>
        <v>NÃO</v>
      </c>
      <c r="BF163" s="137" t="s">
        <v>24</v>
      </c>
      <c r="BG163" s="137" t="s">
        <v>24</v>
      </c>
      <c r="BH163" s="137" t="s">
        <v>24</v>
      </c>
      <c r="BI163" s="137" t="s">
        <v>112</v>
      </c>
      <c r="BJ163" s="137" t="s">
        <v>112</v>
      </c>
      <c r="BK163" s="151">
        <v>45869</v>
      </c>
      <c r="BL163" s="137" t="s">
        <v>112</v>
      </c>
      <c r="BM163" s="145" t="s">
        <v>33</v>
      </c>
      <c r="BN163" s="266"/>
    </row>
    <row r="164" spans="1:67" s="152" customFormat="1" ht="30" customHeight="1">
      <c r="A164" s="204">
        <v>151</v>
      </c>
      <c r="B164" s="204" t="s">
        <v>99</v>
      </c>
      <c r="C164" s="233" t="s">
        <v>244</v>
      </c>
      <c r="D164" s="205" t="s">
        <v>101</v>
      </c>
      <c r="E164" s="204" t="s">
        <v>101</v>
      </c>
      <c r="F164" s="253" t="s">
        <v>744</v>
      </c>
      <c r="G164" s="235" t="s">
        <v>1</v>
      </c>
      <c r="H164" s="235" t="s">
        <v>2</v>
      </c>
      <c r="I164" s="204" t="s">
        <v>12</v>
      </c>
      <c r="J164" s="234" t="s">
        <v>745</v>
      </c>
      <c r="K164" s="234" t="s">
        <v>746</v>
      </c>
      <c r="L164" s="234" t="s">
        <v>747</v>
      </c>
      <c r="M164" s="204" t="s">
        <v>110</v>
      </c>
      <c r="N164" s="204" t="s">
        <v>5</v>
      </c>
      <c r="O164" s="151">
        <v>45758</v>
      </c>
      <c r="P164" s="151" t="s">
        <v>24</v>
      </c>
      <c r="Q164" s="151" t="s">
        <v>24</v>
      </c>
      <c r="R164" s="151" t="s">
        <v>24</v>
      </c>
      <c r="S164" s="151" t="s">
        <v>24</v>
      </c>
      <c r="T164" s="151" t="s">
        <v>24</v>
      </c>
      <c r="U164" s="151" t="s">
        <v>24</v>
      </c>
      <c r="V164" s="151" t="s">
        <v>24</v>
      </c>
      <c r="W164" s="151" t="s">
        <v>24</v>
      </c>
      <c r="X164" s="151" t="s">
        <v>24</v>
      </c>
      <c r="Y164" s="151" t="s">
        <v>24</v>
      </c>
      <c r="Z164" s="151" t="s">
        <v>24</v>
      </c>
      <c r="AA164" s="137"/>
      <c r="AB164" s="234" t="s">
        <v>745</v>
      </c>
      <c r="AC164" s="234" t="s">
        <v>746</v>
      </c>
      <c r="AD164" s="234" t="s">
        <v>747</v>
      </c>
      <c r="AE164" s="204" t="s">
        <v>12</v>
      </c>
      <c r="AF164" s="204" t="s">
        <v>110</v>
      </c>
      <c r="AG164" s="270">
        <v>74317.03</v>
      </c>
      <c r="AH164" s="143">
        <v>74317.03</v>
      </c>
      <c r="AI164" s="137" t="s">
        <v>6</v>
      </c>
      <c r="AJ164" s="141" t="s">
        <v>105</v>
      </c>
      <c r="AK164" s="204">
        <v>116604228</v>
      </c>
      <c r="AL164" s="137" t="s">
        <v>112</v>
      </c>
      <c r="AM164" s="137" t="s">
        <v>112</v>
      </c>
      <c r="AN164" s="137" t="s">
        <v>113</v>
      </c>
      <c r="AO164" s="137"/>
      <c r="AP164" s="234" t="s">
        <v>748</v>
      </c>
      <c r="AQ164" s="137" t="s">
        <v>112</v>
      </c>
      <c r="AR164" s="137" t="s">
        <v>112</v>
      </c>
      <c r="AS164" s="137" t="s">
        <v>112</v>
      </c>
      <c r="AT164" s="137" t="s">
        <v>112</v>
      </c>
      <c r="AU164" s="151">
        <v>45814</v>
      </c>
      <c r="AV164" s="137" t="s">
        <v>112</v>
      </c>
      <c r="AW164" s="137" t="s">
        <v>112</v>
      </c>
      <c r="AX164" s="151">
        <v>45846</v>
      </c>
      <c r="AY164" s="144">
        <v>45846</v>
      </c>
      <c r="AZ164" s="151">
        <v>45937</v>
      </c>
      <c r="BA164" s="204" t="s">
        <v>349</v>
      </c>
      <c r="BB164" s="147" t="s">
        <v>112</v>
      </c>
      <c r="BC164" s="146">
        <f t="shared" si="18"/>
        <v>88</v>
      </c>
      <c r="BD164" s="137" t="str">
        <f t="shared" si="19"/>
        <v>INDENIZAÇÃO</v>
      </c>
      <c r="BE164" s="137" t="str">
        <f t="shared" si="20"/>
        <v>NÃO</v>
      </c>
      <c r="BF164" s="137" t="s">
        <v>24</v>
      </c>
      <c r="BG164" s="137" t="s">
        <v>24</v>
      </c>
      <c r="BH164" s="137" t="s">
        <v>24</v>
      </c>
      <c r="BI164" s="137" t="s">
        <v>112</v>
      </c>
      <c r="BJ164" s="137" t="s">
        <v>112</v>
      </c>
      <c r="BK164" s="151">
        <v>45869</v>
      </c>
      <c r="BL164" s="137" t="s">
        <v>112</v>
      </c>
      <c r="BM164" s="145" t="s">
        <v>33</v>
      </c>
      <c r="BN164" s="266"/>
    </row>
    <row r="165" spans="1:67" s="152" customFormat="1" ht="30" customHeight="1">
      <c r="A165" s="204">
        <v>152</v>
      </c>
      <c r="B165" s="204" t="s">
        <v>99</v>
      </c>
      <c r="C165" s="233" t="s">
        <v>244</v>
      </c>
      <c r="D165" s="205" t="s">
        <v>101</v>
      </c>
      <c r="E165" s="204" t="s">
        <v>101</v>
      </c>
      <c r="F165" s="234" t="s">
        <v>749</v>
      </c>
      <c r="G165" s="235" t="s">
        <v>1</v>
      </c>
      <c r="H165" s="235" t="s">
        <v>2</v>
      </c>
      <c r="I165" s="204" t="s">
        <v>12</v>
      </c>
      <c r="J165" s="234" t="s">
        <v>750</v>
      </c>
      <c r="K165" s="234" t="s">
        <v>751</v>
      </c>
      <c r="L165" s="234" t="s">
        <v>752</v>
      </c>
      <c r="M165" s="204" t="s">
        <v>110</v>
      </c>
      <c r="N165" s="204" t="s">
        <v>5</v>
      </c>
      <c r="O165" s="151">
        <v>45730</v>
      </c>
      <c r="P165" s="151" t="s">
        <v>24</v>
      </c>
      <c r="Q165" s="151" t="s">
        <v>24</v>
      </c>
      <c r="R165" s="151" t="s">
        <v>24</v>
      </c>
      <c r="S165" s="151" t="s">
        <v>24</v>
      </c>
      <c r="T165" s="151" t="s">
        <v>24</v>
      </c>
      <c r="U165" s="151" t="s">
        <v>24</v>
      </c>
      <c r="V165" s="151" t="s">
        <v>24</v>
      </c>
      <c r="W165" s="151" t="s">
        <v>24</v>
      </c>
      <c r="X165" s="151" t="s">
        <v>24</v>
      </c>
      <c r="Y165" s="151" t="s">
        <v>24</v>
      </c>
      <c r="Z165" s="151" t="s">
        <v>24</v>
      </c>
      <c r="AA165" s="137"/>
      <c r="AB165" s="234" t="s">
        <v>750</v>
      </c>
      <c r="AC165" s="234" t="s">
        <v>751</v>
      </c>
      <c r="AD165" s="234" t="s">
        <v>752</v>
      </c>
      <c r="AE165" s="204" t="s">
        <v>12</v>
      </c>
      <c r="AF165" s="204" t="s">
        <v>110</v>
      </c>
      <c r="AG165" s="143">
        <v>25989.79</v>
      </c>
      <c r="AH165" s="143">
        <f>AG165+30000</f>
        <v>55989.79</v>
      </c>
      <c r="AI165" s="137" t="s">
        <v>6</v>
      </c>
      <c r="AJ165" s="141" t="s">
        <v>105</v>
      </c>
      <c r="AK165" s="204">
        <v>116604338</v>
      </c>
      <c r="AL165" s="137" t="s">
        <v>112</v>
      </c>
      <c r="AM165" s="137" t="s">
        <v>112</v>
      </c>
      <c r="AN165" s="137" t="s">
        <v>113</v>
      </c>
      <c r="AO165" s="137"/>
      <c r="AP165" s="234" t="s">
        <v>753</v>
      </c>
      <c r="AQ165" s="137" t="s">
        <v>112</v>
      </c>
      <c r="AR165" s="137" t="s">
        <v>112</v>
      </c>
      <c r="AS165" s="137" t="s">
        <v>112</v>
      </c>
      <c r="AT165" s="137" t="s">
        <v>112</v>
      </c>
      <c r="AU165" s="151">
        <v>45814</v>
      </c>
      <c r="AV165" s="137" t="s">
        <v>112</v>
      </c>
      <c r="AW165" s="137" t="s">
        <v>112</v>
      </c>
      <c r="AX165" s="151">
        <v>45826</v>
      </c>
      <c r="AY165" s="144">
        <v>45826</v>
      </c>
      <c r="AZ165" s="142">
        <v>45880</v>
      </c>
      <c r="BA165" s="145" t="s">
        <v>115</v>
      </c>
      <c r="BB165" s="147" t="s">
        <v>112</v>
      </c>
      <c r="BC165" s="146">
        <f t="shared" si="18"/>
        <v>96</v>
      </c>
      <c r="BD165" s="137" t="str">
        <f t="shared" si="19"/>
        <v>INDENIZAÇÃO</v>
      </c>
      <c r="BE165" s="137" t="str">
        <f t="shared" si="20"/>
        <v>NÃO</v>
      </c>
      <c r="BF165" s="137" t="s">
        <v>24</v>
      </c>
      <c r="BG165" s="137" t="s">
        <v>24</v>
      </c>
      <c r="BH165" s="137" t="s">
        <v>24</v>
      </c>
      <c r="BI165" s="137" t="s">
        <v>112</v>
      </c>
      <c r="BJ165" s="137" t="s">
        <v>112</v>
      </c>
      <c r="BK165" s="151">
        <v>45869</v>
      </c>
      <c r="BL165" s="137" t="s">
        <v>112</v>
      </c>
      <c r="BM165" s="145" t="s">
        <v>33</v>
      </c>
      <c r="BN165" s="266"/>
    </row>
    <row r="166" spans="1:67" s="152" customFormat="1" ht="30" customHeight="1">
      <c r="A166" s="204">
        <v>153</v>
      </c>
      <c r="B166" s="204" t="s">
        <v>99</v>
      </c>
      <c r="C166" s="233" t="s">
        <v>244</v>
      </c>
      <c r="D166" s="205" t="s">
        <v>101</v>
      </c>
      <c r="E166" s="204" t="s">
        <v>101</v>
      </c>
      <c r="F166" s="234" t="s">
        <v>754</v>
      </c>
      <c r="G166" s="235" t="s">
        <v>1</v>
      </c>
      <c r="H166" s="235" t="s">
        <v>2</v>
      </c>
      <c r="I166" s="235" t="s">
        <v>12</v>
      </c>
      <c r="J166" s="234" t="s">
        <v>755</v>
      </c>
      <c r="K166" s="234" t="s">
        <v>756</v>
      </c>
      <c r="L166" s="234" t="s">
        <v>757</v>
      </c>
      <c r="M166" s="204" t="s">
        <v>110</v>
      </c>
      <c r="N166" s="204" t="s">
        <v>5</v>
      </c>
      <c r="O166" s="151">
        <v>45894</v>
      </c>
      <c r="P166" s="151" t="s">
        <v>24</v>
      </c>
      <c r="Q166" s="151" t="s">
        <v>24</v>
      </c>
      <c r="R166" s="151" t="s">
        <v>24</v>
      </c>
      <c r="S166" s="142" t="s">
        <v>24</v>
      </c>
      <c r="T166" s="142" t="s">
        <v>24</v>
      </c>
      <c r="U166" s="142" t="s">
        <v>24</v>
      </c>
      <c r="V166" s="142" t="s">
        <v>24</v>
      </c>
      <c r="W166" s="142" t="s">
        <v>24</v>
      </c>
      <c r="X166" s="142" t="s">
        <v>24</v>
      </c>
      <c r="Y166" s="142" t="s">
        <v>24</v>
      </c>
      <c r="Z166" s="142" t="s">
        <v>24</v>
      </c>
      <c r="AA166" s="137"/>
      <c r="AB166" s="234" t="s">
        <v>755</v>
      </c>
      <c r="AC166" s="234" t="s">
        <v>756</v>
      </c>
      <c r="AD166" s="234" t="s">
        <v>757</v>
      </c>
      <c r="AE166" s="204" t="s">
        <v>12</v>
      </c>
      <c r="AF166" s="204" t="s">
        <v>110</v>
      </c>
      <c r="AG166" s="143">
        <v>16469.080000000002</v>
      </c>
      <c r="AH166" s="143">
        <v>46469.08</v>
      </c>
      <c r="AI166" s="137" t="s">
        <v>6</v>
      </c>
      <c r="AJ166" s="141" t="s">
        <v>105</v>
      </c>
      <c r="AK166" s="204">
        <v>116604530</v>
      </c>
      <c r="AL166" s="137" t="s">
        <v>112</v>
      </c>
      <c r="AM166" s="137" t="s">
        <v>112</v>
      </c>
      <c r="AN166" s="137" t="s">
        <v>113</v>
      </c>
      <c r="AO166" s="137"/>
      <c r="AP166" s="234" t="s">
        <v>758</v>
      </c>
      <c r="AQ166" s="137" t="s">
        <v>112</v>
      </c>
      <c r="AR166" s="137" t="s">
        <v>112</v>
      </c>
      <c r="AS166" s="137" t="s">
        <v>112</v>
      </c>
      <c r="AT166" s="137" t="s">
        <v>112</v>
      </c>
      <c r="AU166" s="151">
        <v>45992</v>
      </c>
      <c r="AV166" s="137" t="s">
        <v>112</v>
      </c>
      <c r="AW166" s="137" t="s">
        <v>112</v>
      </c>
      <c r="AX166" s="151">
        <v>46014</v>
      </c>
      <c r="AY166" s="144">
        <v>46014</v>
      </c>
      <c r="AZ166" s="144" t="s">
        <v>33</v>
      </c>
      <c r="BA166" s="145" t="s">
        <v>115</v>
      </c>
      <c r="BB166" s="147" t="s">
        <v>112</v>
      </c>
      <c r="BC166" s="146">
        <f t="shared" si="18"/>
        <v>120</v>
      </c>
      <c r="BD166" s="137" t="str">
        <f t="shared" si="19"/>
        <v>INDENIZAÇÃO</v>
      </c>
      <c r="BE166" s="137" t="str">
        <f t="shared" si="20"/>
        <v>NÃO</v>
      </c>
      <c r="BF166" s="137" t="s">
        <v>24</v>
      </c>
      <c r="BG166" s="137" t="s">
        <v>24</v>
      </c>
      <c r="BH166" s="137" t="s">
        <v>24</v>
      </c>
      <c r="BI166" s="137" t="s">
        <v>112</v>
      </c>
      <c r="BJ166" s="137" t="s">
        <v>112</v>
      </c>
      <c r="BK166" s="151">
        <v>46112</v>
      </c>
      <c r="BL166" s="137" t="s">
        <v>112</v>
      </c>
      <c r="BM166" s="145" t="s">
        <v>33</v>
      </c>
      <c r="BN166" s="266"/>
    </row>
    <row r="167" spans="1:67" s="152" customFormat="1" ht="30" customHeight="1">
      <c r="A167" s="204">
        <v>154</v>
      </c>
      <c r="B167" s="204" t="s">
        <v>99</v>
      </c>
      <c r="C167" s="233" t="s">
        <v>244</v>
      </c>
      <c r="D167" s="205" t="s">
        <v>101</v>
      </c>
      <c r="E167" s="204" t="s">
        <v>101</v>
      </c>
      <c r="F167" s="234" t="s">
        <v>759</v>
      </c>
      <c r="G167" s="235" t="s">
        <v>1</v>
      </c>
      <c r="H167" s="235" t="s">
        <v>2</v>
      </c>
      <c r="I167" s="235" t="s">
        <v>12</v>
      </c>
      <c r="J167" s="234" t="s">
        <v>760</v>
      </c>
      <c r="K167" s="234" t="s">
        <v>761</v>
      </c>
      <c r="L167" s="234" t="s">
        <v>762</v>
      </c>
      <c r="M167" s="204" t="s">
        <v>110</v>
      </c>
      <c r="N167" s="204" t="s">
        <v>5</v>
      </c>
      <c r="O167" s="151">
        <v>45868</v>
      </c>
      <c r="P167" s="151" t="s">
        <v>24</v>
      </c>
      <c r="Q167" s="151" t="s">
        <v>24</v>
      </c>
      <c r="R167" s="151" t="s">
        <v>24</v>
      </c>
      <c r="S167" s="151" t="s">
        <v>24</v>
      </c>
      <c r="T167" s="151" t="s">
        <v>24</v>
      </c>
      <c r="U167" s="151" t="s">
        <v>24</v>
      </c>
      <c r="V167" s="151" t="s">
        <v>24</v>
      </c>
      <c r="W167" s="151" t="s">
        <v>24</v>
      </c>
      <c r="X167" s="151" t="s">
        <v>24</v>
      </c>
      <c r="Y167" s="151" t="s">
        <v>24</v>
      </c>
      <c r="Z167" s="151" t="s">
        <v>24</v>
      </c>
      <c r="AA167" s="137"/>
      <c r="AB167" s="234" t="s">
        <v>760</v>
      </c>
      <c r="AC167" s="234" t="s">
        <v>761</v>
      </c>
      <c r="AD167" s="234" t="s">
        <v>762</v>
      </c>
      <c r="AE167" s="204" t="s">
        <v>12</v>
      </c>
      <c r="AF167" s="204" t="s">
        <v>110</v>
      </c>
      <c r="AG167" s="143">
        <v>49819.12</v>
      </c>
      <c r="AH167" s="143">
        <v>60000</v>
      </c>
      <c r="AI167" s="137" t="s">
        <v>6</v>
      </c>
      <c r="AJ167" s="141" t="s">
        <v>105</v>
      </c>
      <c r="AK167" s="204">
        <v>116604616</v>
      </c>
      <c r="AL167" s="137" t="s">
        <v>112</v>
      </c>
      <c r="AM167" s="137" t="s">
        <v>112</v>
      </c>
      <c r="AN167" s="137" t="s">
        <v>113</v>
      </c>
      <c r="AO167" s="137"/>
      <c r="AP167" s="234" t="s">
        <v>763</v>
      </c>
      <c r="AQ167" s="137" t="s">
        <v>112</v>
      </c>
      <c r="AR167" s="137" t="s">
        <v>112</v>
      </c>
      <c r="AS167" s="137" t="s">
        <v>112</v>
      </c>
      <c r="AT167" s="137" t="s">
        <v>112</v>
      </c>
      <c r="AU167" s="151">
        <v>45923</v>
      </c>
      <c r="AV167" s="137" t="s">
        <v>112</v>
      </c>
      <c r="AW167" s="137" t="s">
        <v>112</v>
      </c>
      <c r="AX167" s="151">
        <v>45929</v>
      </c>
      <c r="AY167" s="144">
        <v>45929</v>
      </c>
      <c r="AZ167" s="144" t="s">
        <v>33</v>
      </c>
      <c r="BA167" s="145" t="s">
        <v>115</v>
      </c>
      <c r="BB167" s="147" t="s">
        <v>112</v>
      </c>
      <c r="BC167" s="146">
        <f t="shared" si="18"/>
        <v>61</v>
      </c>
      <c r="BD167" s="137" t="str">
        <f t="shared" si="19"/>
        <v>INDENIZAÇÃO</v>
      </c>
      <c r="BE167" s="137" t="str">
        <f t="shared" si="20"/>
        <v>NÃO</v>
      </c>
      <c r="BF167" s="137" t="s">
        <v>24</v>
      </c>
      <c r="BG167" s="137" t="s">
        <v>24</v>
      </c>
      <c r="BH167" s="137" t="s">
        <v>24</v>
      </c>
      <c r="BI167" s="137" t="s">
        <v>112</v>
      </c>
      <c r="BJ167" s="137" t="s">
        <v>112</v>
      </c>
      <c r="BK167" s="151">
        <v>45951</v>
      </c>
      <c r="BL167" s="137" t="s">
        <v>112</v>
      </c>
      <c r="BM167" s="145" t="s">
        <v>33</v>
      </c>
      <c r="BN167" s="266"/>
    </row>
    <row r="168" spans="1:67" s="152" customFormat="1" ht="30" customHeight="1">
      <c r="A168" s="204">
        <v>155</v>
      </c>
      <c r="B168" s="204" t="s">
        <v>99</v>
      </c>
      <c r="C168" s="233" t="s">
        <v>244</v>
      </c>
      <c r="D168" s="205" t="s">
        <v>101</v>
      </c>
      <c r="E168" s="204" t="s">
        <v>101</v>
      </c>
      <c r="F168" s="234" t="s">
        <v>764</v>
      </c>
      <c r="G168" s="235" t="s">
        <v>1</v>
      </c>
      <c r="H168" s="235" t="s">
        <v>2</v>
      </c>
      <c r="I168" s="235" t="s">
        <v>12</v>
      </c>
      <c r="J168" s="234" t="s">
        <v>765</v>
      </c>
      <c r="K168" s="234" t="s">
        <v>766</v>
      </c>
      <c r="L168" s="234" t="s">
        <v>767</v>
      </c>
      <c r="M168" s="204" t="s">
        <v>110</v>
      </c>
      <c r="N168" s="204" t="s">
        <v>5</v>
      </c>
      <c r="O168" s="151">
        <v>45999</v>
      </c>
      <c r="P168" s="151" t="s">
        <v>24</v>
      </c>
      <c r="Q168" s="151" t="s">
        <v>24</v>
      </c>
      <c r="R168" s="151" t="s">
        <v>24</v>
      </c>
      <c r="S168" s="151" t="s">
        <v>24</v>
      </c>
      <c r="T168" s="151" t="s">
        <v>24</v>
      </c>
      <c r="U168" s="151" t="s">
        <v>24</v>
      </c>
      <c r="V168" s="151" t="s">
        <v>24</v>
      </c>
      <c r="W168" s="151" t="s">
        <v>24</v>
      </c>
      <c r="X168" s="151" t="s">
        <v>24</v>
      </c>
      <c r="Y168" s="151" t="s">
        <v>24</v>
      </c>
      <c r="Z168" s="151" t="s">
        <v>24</v>
      </c>
      <c r="AA168" s="137"/>
      <c r="AB168" s="234" t="s">
        <v>765</v>
      </c>
      <c r="AC168" s="234" t="s">
        <v>766</v>
      </c>
      <c r="AD168" s="234" t="s">
        <v>767</v>
      </c>
      <c r="AE168" s="204" t="s">
        <v>12</v>
      </c>
      <c r="AF168" s="204" t="s">
        <v>110</v>
      </c>
      <c r="AG168" s="143">
        <v>46692.68</v>
      </c>
      <c r="AH168" s="143">
        <v>60000</v>
      </c>
      <c r="AI168" s="137" t="s">
        <v>6</v>
      </c>
      <c r="AJ168" s="141" t="s">
        <v>105</v>
      </c>
      <c r="AK168" s="204">
        <v>116604710</v>
      </c>
      <c r="AL168" s="137" t="s">
        <v>112</v>
      </c>
      <c r="AM168" s="137" t="s">
        <v>112</v>
      </c>
      <c r="AN168" s="137" t="s">
        <v>113</v>
      </c>
      <c r="AO168" s="137" t="s">
        <v>768</v>
      </c>
      <c r="AP168" s="234" t="s">
        <v>769</v>
      </c>
      <c r="AQ168" s="137" t="s">
        <v>112</v>
      </c>
      <c r="AR168" s="137" t="s">
        <v>112</v>
      </c>
      <c r="AS168" s="137" t="s">
        <v>112</v>
      </c>
      <c r="AT168" s="137" t="s">
        <v>112</v>
      </c>
      <c r="AU168" s="151">
        <v>45992</v>
      </c>
      <c r="AV168" s="137" t="s">
        <v>112</v>
      </c>
      <c r="AW168" s="204" t="s">
        <v>112</v>
      </c>
      <c r="AX168" s="151">
        <v>46013</v>
      </c>
      <c r="AY168" s="144">
        <v>46013</v>
      </c>
      <c r="AZ168" s="144" t="s">
        <v>33</v>
      </c>
      <c r="BA168" s="145" t="s">
        <v>115</v>
      </c>
      <c r="BB168" s="147" t="s">
        <v>112</v>
      </c>
      <c r="BC168" s="146">
        <f t="shared" si="18"/>
        <v>14</v>
      </c>
      <c r="BD168" s="137" t="str">
        <f t="shared" si="19"/>
        <v>INDENIZAÇÃO</v>
      </c>
      <c r="BE168" s="137" t="str">
        <f t="shared" si="20"/>
        <v>NÃO</v>
      </c>
      <c r="BF168" s="137" t="s">
        <v>24</v>
      </c>
      <c r="BG168" s="137" t="s">
        <v>24</v>
      </c>
      <c r="BH168" s="137" t="s">
        <v>24</v>
      </c>
      <c r="BI168" s="137" t="s">
        <v>112</v>
      </c>
      <c r="BJ168" s="137" t="s">
        <v>112</v>
      </c>
      <c r="BK168" s="151">
        <v>46112</v>
      </c>
      <c r="BL168" s="137" t="s">
        <v>112</v>
      </c>
      <c r="BM168" s="145" t="s">
        <v>33</v>
      </c>
      <c r="BN168" s="266"/>
    </row>
    <row r="169" spans="1:67" s="152" customFormat="1" ht="30" customHeight="1">
      <c r="A169" s="204">
        <v>156</v>
      </c>
      <c r="B169" s="204" t="s">
        <v>99</v>
      </c>
      <c r="C169" s="233" t="s">
        <v>244</v>
      </c>
      <c r="D169" s="205" t="s">
        <v>101</v>
      </c>
      <c r="E169" s="204" t="s">
        <v>101</v>
      </c>
      <c r="F169" s="234" t="s">
        <v>770</v>
      </c>
      <c r="G169" s="235" t="s">
        <v>1</v>
      </c>
      <c r="H169" s="235" t="s">
        <v>2</v>
      </c>
      <c r="I169" s="204" t="s">
        <v>12</v>
      </c>
      <c r="J169" s="234" t="s">
        <v>771</v>
      </c>
      <c r="K169" s="234" t="s">
        <v>772</v>
      </c>
      <c r="L169" s="234" t="s">
        <v>773</v>
      </c>
      <c r="M169" s="204" t="s">
        <v>110</v>
      </c>
      <c r="N169" s="204" t="s">
        <v>5</v>
      </c>
      <c r="O169" s="151">
        <v>45749</v>
      </c>
      <c r="P169" s="151" t="s">
        <v>24</v>
      </c>
      <c r="Q169" s="151" t="s">
        <v>24</v>
      </c>
      <c r="R169" s="151" t="s">
        <v>24</v>
      </c>
      <c r="S169" s="151" t="s">
        <v>24</v>
      </c>
      <c r="T169" s="151" t="s">
        <v>24</v>
      </c>
      <c r="U169" s="151" t="s">
        <v>24</v>
      </c>
      <c r="V169" s="151" t="s">
        <v>24</v>
      </c>
      <c r="W169" s="151" t="s">
        <v>24</v>
      </c>
      <c r="X169" s="151" t="s">
        <v>24</v>
      </c>
      <c r="Y169" s="151" t="s">
        <v>24</v>
      </c>
      <c r="Z169" s="151" t="s">
        <v>24</v>
      </c>
      <c r="AA169" s="137"/>
      <c r="AB169" s="234" t="s">
        <v>771</v>
      </c>
      <c r="AC169" s="234" t="s">
        <v>772</v>
      </c>
      <c r="AD169" s="234" t="s">
        <v>773</v>
      </c>
      <c r="AE169" s="204" t="s">
        <v>12</v>
      </c>
      <c r="AF169" s="204" t="s">
        <v>110</v>
      </c>
      <c r="AG169" s="143">
        <v>68745.91</v>
      </c>
      <c r="AH169" s="143">
        <f>AG169</f>
        <v>68745.91</v>
      </c>
      <c r="AI169" s="137" t="s">
        <v>6</v>
      </c>
      <c r="AJ169" s="141" t="s">
        <v>105</v>
      </c>
      <c r="AK169" s="204">
        <v>118201925</v>
      </c>
      <c r="AL169" s="137" t="s">
        <v>112</v>
      </c>
      <c r="AM169" s="137" t="s">
        <v>112</v>
      </c>
      <c r="AN169" s="137" t="s">
        <v>113</v>
      </c>
      <c r="AO169" s="137"/>
      <c r="AP169" s="234" t="s">
        <v>774</v>
      </c>
      <c r="AQ169" s="137" t="s">
        <v>112</v>
      </c>
      <c r="AR169" s="137" t="s">
        <v>112</v>
      </c>
      <c r="AS169" s="137" t="s">
        <v>112</v>
      </c>
      <c r="AT169" s="137" t="s">
        <v>112</v>
      </c>
      <c r="AU169" s="151">
        <v>45814</v>
      </c>
      <c r="AV169" s="137" t="s">
        <v>112</v>
      </c>
      <c r="AW169" s="137" t="s">
        <v>112</v>
      </c>
      <c r="AX169" s="151">
        <v>45826</v>
      </c>
      <c r="AY169" s="144">
        <v>45826</v>
      </c>
      <c r="AZ169" s="142">
        <v>45861</v>
      </c>
      <c r="BA169" s="145" t="s">
        <v>115</v>
      </c>
      <c r="BB169" s="147" t="s">
        <v>112</v>
      </c>
      <c r="BC169" s="146">
        <f t="shared" si="18"/>
        <v>77</v>
      </c>
      <c r="BD169" s="137" t="str">
        <f t="shared" si="19"/>
        <v>INDENIZAÇÃO</v>
      </c>
      <c r="BE169" s="137" t="str">
        <f t="shared" si="20"/>
        <v>NÃO</v>
      </c>
      <c r="BF169" s="137" t="s">
        <v>24</v>
      </c>
      <c r="BG169" s="137" t="s">
        <v>24</v>
      </c>
      <c r="BH169" s="137" t="s">
        <v>24</v>
      </c>
      <c r="BI169" s="137" t="s">
        <v>112</v>
      </c>
      <c r="BJ169" s="137" t="s">
        <v>112</v>
      </c>
      <c r="BK169" s="151">
        <v>45869</v>
      </c>
      <c r="BL169" s="137" t="s">
        <v>112</v>
      </c>
      <c r="BM169" s="145" t="s">
        <v>33</v>
      </c>
      <c r="BN169" s="266"/>
    </row>
    <row r="170" spans="1:67" s="152" customFormat="1" ht="30" customHeight="1">
      <c r="A170" s="204">
        <v>157</v>
      </c>
      <c r="B170" s="204" t="s">
        <v>99</v>
      </c>
      <c r="C170" s="233" t="s">
        <v>244</v>
      </c>
      <c r="D170" s="205" t="s">
        <v>101</v>
      </c>
      <c r="E170" s="204" t="s">
        <v>101</v>
      </c>
      <c r="F170" s="234" t="s">
        <v>775</v>
      </c>
      <c r="G170" s="235" t="s">
        <v>1</v>
      </c>
      <c r="H170" s="235" t="s">
        <v>2</v>
      </c>
      <c r="I170" s="204" t="s">
        <v>12</v>
      </c>
      <c r="J170" s="234" t="s">
        <v>776</v>
      </c>
      <c r="K170" s="234" t="s">
        <v>777</v>
      </c>
      <c r="L170" s="234" t="s">
        <v>778</v>
      </c>
      <c r="M170" s="204" t="s">
        <v>110</v>
      </c>
      <c r="N170" s="204" t="s">
        <v>5</v>
      </c>
      <c r="O170" s="151">
        <v>45749</v>
      </c>
      <c r="P170" s="151" t="s">
        <v>24</v>
      </c>
      <c r="Q170" s="151" t="s">
        <v>24</v>
      </c>
      <c r="R170" s="151" t="s">
        <v>24</v>
      </c>
      <c r="S170" s="151" t="s">
        <v>24</v>
      </c>
      <c r="T170" s="151" t="s">
        <v>24</v>
      </c>
      <c r="U170" s="151" t="s">
        <v>24</v>
      </c>
      <c r="V170" s="151" t="s">
        <v>24</v>
      </c>
      <c r="W170" s="151" t="s">
        <v>24</v>
      </c>
      <c r="X170" s="151" t="s">
        <v>24</v>
      </c>
      <c r="Y170" s="151" t="s">
        <v>24</v>
      </c>
      <c r="Z170" s="151" t="s">
        <v>24</v>
      </c>
      <c r="AA170" s="137"/>
      <c r="AB170" s="234" t="s">
        <v>776</v>
      </c>
      <c r="AC170" s="234" t="s">
        <v>777</v>
      </c>
      <c r="AD170" s="234" t="s">
        <v>778</v>
      </c>
      <c r="AE170" s="204" t="s">
        <v>12</v>
      </c>
      <c r="AF170" s="204" t="s">
        <v>110</v>
      </c>
      <c r="AG170" s="143">
        <f>45513.33</f>
        <v>45513.33</v>
      </c>
      <c r="AH170" s="143">
        <v>60000</v>
      </c>
      <c r="AI170" s="137" t="s">
        <v>6</v>
      </c>
      <c r="AJ170" s="141" t="s">
        <v>105</v>
      </c>
      <c r="AK170" s="204">
        <v>118202047</v>
      </c>
      <c r="AL170" s="137" t="s">
        <v>112</v>
      </c>
      <c r="AM170" s="137" t="s">
        <v>112</v>
      </c>
      <c r="AN170" s="137" t="s">
        <v>113</v>
      </c>
      <c r="AO170" s="137"/>
      <c r="AP170" s="234" t="s">
        <v>779</v>
      </c>
      <c r="AQ170" s="137" t="s">
        <v>112</v>
      </c>
      <c r="AR170" s="137" t="s">
        <v>112</v>
      </c>
      <c r="AS170" s="137" t="s">
        <v>112</v>
      </c>
      <c r="AT170" s="137" t="s">
        <v>112</v>
      </c>
      <c r="AU170" s="151">
        <v>45814</v>
      </c>
      <c r="AV170" s="137" t="s">
        <v>112</v>
      </c>
      <c r="AW170" s="137" t="s">
        <v>112</v>
      </c>
      <c r="AX170" s="151">
        <v>45826</v>
      </c>
      <c r="AY170" s="144">
        <v>45826</v>
      </c>
      <c r="AZ170" s="142">
        <v>45861</v>
      </c>
      <c r="BA170" s="145" t="s">
        <v>115</v>
      </c>
      <c r="BB170" s="147" t="s">
        <v>112</v>
      </c>
      <c r="BC170" s="146">
        <f t="shared" si="18"/>
        <v>77</v>
      </c>
      <c r="BD170" s="137" t="str">
        <f t="shared" si="19"/>
        <v>INDENIZAÇÃO</v>
      </c>
      <c r="BE170" s="137" t="str">
        <f t="shared" si="20"/>
        <v>NÃO</v>
      </c>
      <c r="BF170" s="137" t="s">
        <v>24</v>
      </c>
      <c r="BG170" s="137" t="s">
        <v>24</v>
      </c>
      <c r="BH170" s="137" t="s">
        <v>24</v>
      </c>
      <c r="BI170" s="137" t="s">
        <v>112</v>
      </c>
      <c r="BJ170" s="137" t="s">
        <v>112</v>
      </c>
      <c r="BK170" s="151">
        <v>45869</v>
      </c>
      <c r="BL170" s="137" t="s">
        <v>112</v>
      </c>
      <c r="BM170" s="145" t="s">
        <v>33</v>
      </c>
      <c r="BN170" s="264"/>
      <c r="BO170" s="204"/>
    </row>
    <row r="171" spans="1:67" s="152" customFormat="1" ht="30" customHeight="1">
      <c r="A171" s="204">
        <v>158</v>
      </c>
      <c r="B171" s="204" t="s">
        <v>99</v>
      </c>
      <c r="C171" s="233" t="s">
        <v>244</v>
      </c>
      <c r="D171" s="205" t="s">
        <v>101</v>
      </c>
      <c r="E171" s="204" t="s">
        <v>101</v>
      </c>
      <c r="F171" s="234" t="s">
        <v>780</v>
      </c>
      <c r="G171" s="235" t="s">
        <v>1</v>
      </c>
      <c r="H171" s="235" t="s">
        <v>2</v>
      </c>
      <c r="I171" s="235" t="s">
        <v>12</v>
      </c>
      <c r="J171" s="234" t="s">
        <v>781</v>
      </c>
      <c r="K171" s="234" t="s">
        <v>782</v>
      </c>
      <c r="L171" s="234" t="s">
        <v>783</v>
      </c>
      <c r="M171" s="204"/>
      <c r="N171" s="204"/>
      <c r="O171" s="151"/>
      <c r="P171" s="151"/>
      <c r="Q171" s="151"/>
      <c r="R171" s="151"/>
      <c r="S171" s="142"/>
      <c r="T171" s="142"/>
      <c r="U171" s="142"/>
      <c r="V171" s="142"/>
      <c r="W171" s="142"/>
      <c r="X171" s="142"/>
      <c r="Y171" s="142"/>
      <c r="Z171" s="142"/>
      <c r="AA171" s="137"/>
      <c r="AB171" s="206"/>
      <c r="AC171" s="206"/>
      <c r="AD171" s="206"/>
      <c r="AE171" s="204"/>
      <c r="AF171" s="204"/>
      <c r="AG171" s="143"/>
      <c r="AH171" s="143"/>
      <c r="AI171" s="137"/>
      <c r="AJ171" s="141" t="s">
        <v>105</v>
      </c>
      <c r="AK171" s="204"/>
      <c r="AL171" s="137"/>
      <c r="AM171" s="137"/>
      <c r="AN171" s="137"/>
      <c r="AO171" s="137"/>
      <c r="AP171" s="234"/>
      <c r="AQ171" s="137"/>
      <c r="AR171" s="137"/>
      <c r="AS171" s="137"/>
      <c r="AT171" s="137"/>
      <c r="AU171" s="151"/>
      <c r="AV171" s="137"/>
      <c r="AW171" s="137"/>
      <c r="AX171" s="151"/>
      <c r="AY171" s="142"/>
      <c r="AZ171" s="142"/>
      <c r="BA171" s="137"/>
      <c r="BB171" s="147"/>
      <c r="BC171" s="146" t="str">
        <f t="shared" si="18"/>
        <v/>
      </c>
      <c r="BD171" s="137" t="str">
        <f t="shared" si="19"/>
        <v>INDENIZAÇÃO</v>
      </c>
      <c r="BE171" s="137" t="str">
        <f t="shared" si="20"/>
        <v>NÃO</v>
      </c>
      <c r="BF171" s="137"/>
      <c r="BG171" s="137"/>
      <c r="BH171" s="137"/>
      <c r="BI171" s="137"/>
      <c r="BJ171" s="137"/>
      <c r="BK171" s="151"/>
      <c r="BL171" s="137"/>
      <c r="BM171" s="137"/>
      <c r="BN171" s="266"/>
    </row>
    <row r="172" spans="1:67" s="152" customFormat="1" ht="30" customHeight="1">
      <c r="A172" s="204">
        <v>159</v>
      </c>
      <c r="B172" s="204" t="s">
        <v>99</v>
      </c>
      <c r="C172" s="233" t="s">
        <v>244</v>
      </c>
      <c r="D172" s="205" t="s">
        <v>101</v>
      </c>
      <c r="E172" s="204" t="s">
        <v>101</v>
      </c>
      <c r="F172" s="234" t="s">
        <v>784</v>
      </c>
      <c r="G172" s="235" t="s">
        <v>1</v>
      </c>
      <c r="H172" s="235" t="s">
        <v>2</v>
      </c>
      <c r="I172" s="235" t="s">
        <v>12</v>
      </c>
      <c r="J172" s="234" t="s">
        <v>785</v>
      </c>
      <c r="K172" s="234" t="s">
        <v>786</v>
      </c>
      <c r="L172" s="234" t="s">
        <v>787</v>
      </c>
      <c r="M172" s="204" t="s">
        <v>110</v>
      </c>
      <c r="N172" s="204" t="s">
        <v>5</v>
      </c>
      <c r="O172" s="151">
        <v>45845</v>
      </c>
      <c r="P172" s="151" t="s">
        <v>24</v>
      </c>
      <c r="Q172" s="151" t="s">
        <v>24</v>
      </c>
      <c r="R172" s="151" t="s">
        <v>24</v>
      </c>
      <c r="S172" s="151" t="s">
        <v>24</v>
      </c>
      <c r="T172" s="151" t="s">
        <v>24</v>
      </c>
      <c r="U172" s="151" t="s">
        <v>24</v>
      </c>
      <c r="V172" s="151" t="s">
        <v>24</v>
      </c>
      <c r="W172" s="151" t="s">
        <v>24</v>
      </c>
      <c r="X172" s="151" t="s">
        <v>24</v>
      </c>
      <c r="Y172" s="142" t="s">
        <v>24</v>
      </c>
      <c r="Z172" s="142" t="s">
        <v>24</v>
      </c>
      <c r="AA172" s="137"/>
      <c r="AB172" s="234" t="s">
        <v>785</v>
      </c>
      <c r="AC172" s="234" t="s">
        <v>786</v>
      </c>
      <c r="AD172" s="234" t="s">
        <v>787</v>
      </c>
      <c r="AE172" s="204" t="s">
        <v>12</v>
      </c>
      <c r="AF172" s="204" t="s">
        <v>110</v>
      </c>
      <c r="AG172" s="143">
        <v>47497.21</v>
      </c>
      <c r="AH172" s="143">
        <v>60000</v>
      </c>
      <c r="AI172" s="137" t="s">
        <v>6</v>
      </c>
      <c r="AJ172" s="141" t="s">
        <v>105</v>
      </c>
      <c r="AK172" s="204">
        <v>118202809</v>
      </c>
      <c r="AL172" s="137" t="s">
        <v>112</v>
      </c>
      <c r="AM172" s="137" t="s">
        <v>112</v>
      </c>
      <c r="AN172" s="137" t="s">
        <v>113</v>
      </c>
      <c r="AO172" s="137"/>
      <c r="AP172" s="234" t="s">
        <v>788</v>
      </c>
      <c r="AQ172" s="137" t="s">
        <v>112</v>
      </c>
      <c r="AR172" s="137" t="s">
        <v>112</v>
      </c>
      <c r="AS172" s="137" t="s">
        <v>112</v>
      </c>
      <c r="AT172" s="137" t="s">
        <v>112</v>
      </c>
      <c r="AU172" s="151">
        <v>45909</v>
      </c>
      <c r="AV172" s="137" t="s">
        <v>112</v>
      </c>
      <c r="AW172" s="137" t="s">
        <v>112</v>
      </c>
      <c r="AX172" s="151">
        <v>45915</v>
      </c>
      <c r="AY172" s="144">
        <v>45915</v>
      </c>
      <c r="AZ172" s="151">
        <v>45945</v>
      </c>
      <c r="BA172" s="145" t="s">
        <v>115</v>
      </c>
      <c r="BB172" s="147" t="s">
        <v>112</v>
      </c>
      <c r="BC172" s="146">
        <f t="shared" si="18"/>
        <v>70</v>
      </c>
      <c r="BD172" s="137" t="str">
        <f t="shared" si="19"/>
        <v>INDENIZAÇÃO</v>
      </c>
      <c r="BE172" s="137" t="str">
        <f t="shared" si="20"/>
        <v>NÃO</v>
      </c>
      <c r="BF172" s="137" t="s">
        <v>24</v>
      </c>
      <c r="BG172" s="137" t="s">
        <v>24</v>
      </c>
      <c r="BH172" s="137" t="s">
        <v>24</v>
      </c>
      <c r="BI172" s="137" t="s">
        <v>112</v>
      </c>
      <c r="BJ172" s="137" t="s">
        <v>112</v>
      </c>
      <c r="BK172" s="151">
        <v>45937</v>
      </c>
      <c r="BL172" s="137" t="s">
        <v>112</v>
      </c>
      <c r="BM172" s="145" t="s">
        <v>33</v>
      </c>
      <c r="BN172" s="266"/>
    </row>
    <row r="173" spans="1:67" s="152" customFormat="1" ht="30" customHeight="1">
      <c r="A173" s="204">
        <v>160</v>
      </c>
      <c r="B173" s="204" t="s">
        <v>99</v>
      </c>
      <c r="C173" s="233" t="s">
        <v>244</v>
      </c>
      <c r="D173" s="205" t="s">
        <v>101</v>
      </c>
      <c r="E173" s="204" t="s">
        <v>101</v>
      </c>
      <c r="F173" s="234" t="s">
        <v>789</v>
      </c>
      <c r="G173" s="235" t="s">
        <v>1</v>
      </c>
      <c r="H173" s="235" t="s">
        <v>2</v>
      </c>
      <c r="I173" s="235" t="s">
        <v>12</v>
      </c>
      <c r="J173" s="234" t="s">
        <v>790</v>
      </c>
      <c r="K173" s="234" t="s">
        <v>791</v>
      </c>
      <c r="L173" s="234" t="s">
        <v>792</v>
      </c>
      <c r="M173" s="204" t="s">
        <v>110</v>
      </c>
      <c r="N173" s="204" t="s">
        <v>5</v>
      </c>
      <c r="O173" s="151">
        <v>45845</v>
      </c>
      <c r="P173" s="151" t="s">
        <v>24</v>
      </c>
      <c r="Q173" s="151" t="s">
        <v>24</v>
      </c>
      <c r="R173" s="151" t="s">
        <v>24</v>
      </c>
      <c r="S173" s="142" t="s">
        <v>24</v>
      </c>
      <c r="T173" s="142" t="s">
        <v>24</v>
      </c>
      <c r="U173" s="142" t="s">
        <v>24</v>
      </c>
      <c r="V173" s="142" t="s">
        <v>24</v>
      </c>
      <c r="W173" s="142" t="s">
        <v>24</v>
      </c>
      <c r="X173" s="142" t="s">
        <v>24</v>
      </c>
      <c r="Y173" s="142" t="s">
        <v>24</v>
      </c>
      <c r="Z173" s="142" t="s">
        <v>24</v>
      </c>
      <c r="AA173" s="137"/>
      <c r="AB173" s="234" t="s">
        <v>790</v>
      </c>
      <c r="AC173" s="234" t="s">
        <v>791</v>
      </c>
      <c r="AD173" s="234" t="s">
        <v>792</v>
      </c>
      <c r="AE173" s="204" t="s">
        <v>12</v>
      </c>
      <c r="AF173" s="204" t="s">
        <v>110</v>
      </c>
      <c r="AG173" s="143">
        <v>75088.289999999994</v>
      </c>
      <c r="AH173" s="143">
        <v>75088.289999999994</v>
      </c>
      <c r="AI173" s="137" t="s">
        <v>6</v>
      </c>
      <c r="AJ173" s="141" t="s">
        <v>105</v>
      </c>
      <c r="AK173" s="204">
        <v>128252561</v>
      </c>
      <c r="AL173" s="137" t="s">
        <v>112</v>
      </c>
      <c r="AM173" s="137" t="s">
        <v>112</v>
      </c>
      <c r="AN173" s="137" t="s">
        <v>113</v>
      </c>
      <c r="AO173" s="137"/>
      <c r="AP173" s="234" t="s">
        <v>793</v>
      </c>
      <c r="AQ173" s="137" t="s">
        <v>112</v>
      </c>
      <c r="AR173" s="137" t="s">
        <v>112</v>
      </c>
      <c r="AS173" s="137" t="s">
        <v>112</v>
      </c>
      <c r="AT173" s="137" t="s">
        <v>112</v>
      </c>
      <c r="AU173" s="151">
        <v>45909</v>
      </c>
      <c r="AV173" s="137" t="s">
        <v>112</v>
      </c>
      <c r="AW173" s="137" t="s">
        <v>112</v>
      </c>
      <c r="AX173" s="151">
        <v>45915</v>
      </c>
      <c r="AY173" s="144">
        <v>45915</v>
      </c>
      <c r="AZ173" s="151">
        <v>45945</v>
      </c>
      <c r="BA173" s="145" t="s">
        <v>115</v>
      </c>
      <c r="BB173" s="147" t="s">
        <v>112</v>
      </c>
      <c r="BC173" s="146">
        <f t="shared" si="18"/>
        <v>70</v>
      </c>
      <c r="BD173" s="137" t="str">
        <f t="shared" si="19"/>
        <v>INDENIZAÇÃO</v>
      </c>
      <c r="BE173" s="137" t="str">
        <f t="shared" si="20"/>
        <v>NÃO</v>
      </c>
      <c r="BF173" s="137" t="s">
        <v>24</v>
      </c>
      <c r="BG173" s="137" t="s">
        <v>24</v>
      </c>
      <c r="BH173" s="137" t="s">
        <v>24</v>
      </c>
      <c r="BI173" s="137" t="s">
        <v>112</v>
      </c>
      <c r="BJ173" s="137" t="s">
        <v>112</v>
      </c>
      <c r="BK173" s="151">
        <v>45937</v>
      </c>
      <c r="BL173" s="137" t="s">
        <v>112</v>
      </c>
      <c r="BM173" s="145" t="s">
        <v>33</v>
      </c>
      <c r="BN173" s="266"/>
    </row>
    <row r="174" spans="1:67" s="152" customFormat="1" ht="30" customHeight="1">
      <c r="A174" s="204">
        <v>161</v>
      </c>
      <c r="B174" s="204" t="s">
        <v>99</v>
      </c>
      <c r="C174" s="233" t="s">
        <v>244</v>
      </c>
      <c r="D174" s="205" t="s">
        <v>101</v>
      </c>
      <c r="E174" s="204" t="s">
        <v>101</v>
      </c>
      <c r="F174" s="234" t="s">
        <v>794</v>
      </c>
      <c r="G174" s="235" t="s">
        <v>1</v>
      </c>
      <c r="H174" s="235" t="s">
        <v>2</v>
      </c>
      <c r="I174" s="235" t="s">
        <v>12</v>
      </c>
      <c r="J174" s="234" t="s">
        <v>795</v>
      </c>
      <c r="K174" s="234" t="s">
        <v>796</v>
      </c>
      <c r="L174" s="234" t="s">
        <v>797</v>
      </c>
      <c r="M174" s="204" t="s">
        <v>110</v>
      </c>
      <c r="N174" s="204" t="s">
        <v>5</v>
      </c>
      <c r="O174" s="151">
        <v>45954</v>
      </c>
      <c r="P174" s="151" t="s">
        <v>24</v>
      </c>
      <c r="Q174" s="151" t="s">
        <v>24</v>
      </c>
      <c r="R174" s="151" t="s">
        <v>24</v>
      </c>
      <c r="S174" s="142" t="s">
        <v>24</v>
      </c>
      <c r="T174" s="142" t="s">
        <v>24</v>
      </c>
      <c r="U174" s="142" t="s">
        <v>24</v>
      </c>
      <c r="V174" s="142" t="s">
        <v>24</v>
      </c>
      <c r="W174" s="142" t="s">
        <v>24</v>
      </c>
      <c r="X174" s="142" t="s">
        <v>24</v>
      </c>
      <c r="Y174" s="142" t="s">
        <v>24</v>
      </c>
      <c r="Z174" s="142" t="s">
        <v>24</v>
      </c>
      <c r="AA174" s="137"/>
      <c r="AB174" s="234" t="s">
        <v>795</v>
      </c>
      <c r="AC174" s="234" t="s">
        <v>796</v>
      </c>
      <c r="AD174" s="234" t="s">
        <v>797</v>
      </c>
      <c r="AE174" s="204" t="s">
        <v>12</v>
      </c>
      <c r="AF174" s="204" t="s">
        <v>110</v>
      </c>
      <c r="AG174" s="143">
        <v>56446.43</v>
      </c>
      <c r="AH174" s="143">
        <v>60000</v>
      </c>
      <c r="AI174" s="137" t="s">
        <v>6</v>
      </c>
      <c r="AJ174" s="141" t="s">
        <v>105</v>
      </c>
      <c r="AK174" s="204">
        <v>142491087</v>
      </c>
      <c r="AL174" s="137" t="s">
        <v>112</v>
      </c>
      <c r="AM174" s="137" t="s">
        <v>112</v>
      </c>
      <c r="AN174" s="137" t="s">
        <v>113</v>
      </c>
      <c r="AO174" s="137"/>
      <c r="AP174" s="234" t="s">
        <v>798</v>
      </c>
      <c r="AQ174" s="137" t="s">
        <v>112</v>
      </c>
      <c r="AR174" s="137" t="s">
        <v>112</v>
      </c>
      <c r="AS174" s="137" t="s">
        <v>112</v>
      </c>
      <c r="AT174" s="137" t="s">
        <v>112</v>
      </c>
      <c r="AU174" s="151">
        <v>46071</v>
      </c>
      <c r="AV174" s="150" t="s">
        <v>112</v>
      </c>
      <c r="AW174" s="150" t="s">
        <v>112</v>
      </c>
      <c r="AX174" s="142">
        <v>46087</v>
      </c>
      <c r="AY174" s="144">
        <v>46087</v>
      </c>
      <c r="AZ174" s="144" t="s">
        <v>33</v>
      </c>
      <c r="BA174" s="145" t="s">
        <v>115</v>
      </c>
      <c r="BB174" s="147" t="s">
        <v>112</v>
      </c>
      <c r="BC174" s="146">
        <f t="shared" si="18"/>
        <v>133</v>
      </c>
      <c r="BD174" s="137" t="str">
        <f t="shared" si="19"/>
        <v>INDENIZAÇÃO</v>
      </c>
      <c r="BE174" s="137" t="str">
        <f t="shared" si="20"/>
        <v>NÃO</v>
      </c>
      <c r="BF174" s="137" t="s">
        <v>24</v>
      </c>
      <c r="BG174" s="137" t="s">
        <v>24</v>
      </c>
      <c r="BH174" s="137" t="s">
        <v>24</v>
      </c>
      <c r="BI174" s="137" t="s">
        <v>112</v>
      </c>
      <c r="BJ174" s="137" t="s">
        <v>112</v>
      </c>
      <c r="BK174" s="151">
        <v>46139</v>
      </c>
      <c r="BL174" s="145" t="s">
        <v>188</v>
      </c>
      <c r="BM174" s="145"/>
      <c r="BN174" s="266"/>
    </row>
    <row r="175" spans="1:67" s="152" customFormat="1" ht="30" customHeight="1">
      <c r="A175" s="204">
        <v>162</v>
      </c>
      <c r="B175" s="204" t="s">
        <v>99</v>
      </c>
      <c r="C175" s="233" t="s">
        <v>244</v>
      </c>
      <c r="D175" s="205" t="s">
        <v>101</v>
      </c>
      <c r="E175" s="204" t="s">
        <v>101</v>
      </c>
      <c r="F175" s="234" t="s">
        <v>794</v>
      </c>
      <c r="G175" s="235" t="s">
        <v>1</v>
      </c>
      <c r="H175" s="235" t="s">
        <v>2</v>
      </c>
      <c r="I175" s="204" t="s">
        <v>507</v>
      </c>
      <c r="J175" s="234" t="s">
        <v>799</v>
      </c>
      <c r="K175" s="234" t="s">
        <v>800</v>
      </c>
      <c r="L175" s="234" t="s">
        <v>801</v>
      </c>
      <c r="M175" s="204" t="s">
        <v>101</v>
      </c>
      <c r="N175" s="204" t="s">
        <v>802</v>
      </c>
      <c r="O175" s="151">
        <v>45954</v>
      </c>
      <c r="P175" s="151" t="s">
        <v>24</v>
      </c>
      <c r="Q175" s="151" t="s">
        <v>24</v>
      </c>
      <c r="R175" s="151" t="s">
        <v>24</v>
      </c>
      <c r="S175" s="142" t="s">
        <v>24</v>
      </c>
      <c r="T175" s="142" t="s">
        <v>24</v>
      </c>
      <c r="U175" s="142" t="s">
        <v>24</v>
      </c>
      <c r="V175" s="142" t="s">
        <v>24</v>
      </c>
      <c r="W175" s="142" t="s">
        <v>24</v>
      </c>
      <c r="X175" s="142" t="s">
        <v>24</v>
      </c>
      <c r="Y175" s="142" t="s">
        <v>24</v>
      </c>
      <c r="Z175" s="142" t="s">
        <v>24</v>
      </c>
      <c r="AA175" s="137"/>
      <c r="AB175" s="234" t="s">
        <v>799</v>
      </c>
      <c r="AC175" s="234" t="s">
        <v>800</v>
      </c>
      <c r="AD175" s="234" t="s">
        <v>801</v>
      </c>
      <c r="AE175" s="204" t="s">
        <v>507</v>
      </c>
      <c r="AF175" s="204" t="s">
        <v>101</v>
      </c>
      <c r="AG175" s="143">
        <v>0</v>
      </c>
      <c r="AH175" s="143">
        <v>0</v>
      </c>
      <c r="AI175" s="137" t="s">
        <v>803</v>
      </c>
      <c r="AJ175" s="141" t="s">
        <v>101</v>
      </c>
      <c r="AK175" s="204" t="s">
        <v>101</v>
      </c>
      <c r="AL175" s="137" t="s">
        <v>24</v>
      </c>
      <c r="AM175" s="137" t="s">
        <v>24</v>
      </c>
      <c r="AN175" s="137" t="s">
        <v>24</v>
      </c>
      <c r="AO175" s="137"/>
      <c r="AP175" s="234" t="s">
        <v>24</v>
      </c>
      <c r="AQ175" s="137" t="s">
        <v>24</v>
      </c>
      <c r="AR175" s="137" t="s">
        <v>24</v>
      </c>
      <c r="AS175" s="137" t="s">
        <v>24</v>
      </c>
      <c r="AT175" s="137" t="s">
        <v>24</v>
      </c>
      <c r="AU175" s="137" t="s">
        <v>24</v>
      </c>
      <c r="AV175" s="137" t="s">
        <v>24</v>
      </c>
      <c r="AW175" s="137" t="s">
        <v>24</v>
      </c>
      <c r="AX175" s="137" t="s">
        <v>24</v>
      </c>
      <c r="AY175" s="137" t="s">
        <v>24</v>
      </c>
      <c r="AZ175" s="137" t="s">
        <v>24</v>
      </c>
      <c r="BA175" s="137" t="s">
        <v>24</v>
      </c>
      <c r="BB175" s="147" t="s">
        <v>112</v>
      </c>
      <c r="BC175" s="146" t="e">
        <f t="shared" si="18"/>
        <v>#VALUE!</v>
      </c>
      <c r="BD175" s="137" t="str">
        <f t="shared" si="19"/>
        <v>INDENIZAÇÃO</v>
      </c>
      <c r="BE175" s="137" t="str">
        <f t="shared" si="20"/>
        <v>NÃO</v>
      </c>
      <c r="BF175" s="137" t="s">
        <v>24</v>
      </c>
      <c r="BG175" s="137" t="s">
        <v>24</v>
      </c>
      <c r="BH175" s="137" t="s">
        <v>24</v>
      </c>
      <c r="BI175" s="137" t="s">
        <v>24</v>
      </c>
      <c r="BJ175" s="137" t="s">
        <v>24</v>
      </c>
      <c r="BK175" s="137" t="s">
        <v>24</v>
      </c>
      <c r="BL175" s="137" t="s">
        <v>24</v>
      </c>
      <c r="BM175" s="137" t="s">
        <v>112</v>
      </c>
      <c r="BN175" s="266"/>
    </row>
    <row r="176" spans="1:67" s="152" customFormat="1" ht="30" customHeight="1">
      <c r="A176" s="204">
        <v>163</v>
      </c>
      <c r="B176" s="204" t="s">
        <v>99</v>
      </c>
      <c r="C176" s="233" t="s">
        <v>244</v>
      </c>
      <c r="D176" s="205" t="s">
        <v>101</v>
      </c>
      <c r="E176" s="204" t="s">
        <v>101</v>
      </c>
      <c r="F176" s="234" t="s">
        <v>804</v>
      </c>
      <c r="G176" s="235" t="s">
        <v>1</v>
      </c>
      <c r="H176" s="235" t="s">
        <v>2</v>
      </c>
      <c r="I176" s="235" t="s">
        <v>12</v>
      </c>
      <c r="J176" s="234" t="s">
        <v>805</v>
      </c>
      <c r="K176" s="234" t="s">
        <v>806</v>
      </c>
      <c r="L176" s="234" t="s">
        <v>807</v>
      </c>
      <c r="M176" s="204" t="s">
        <v>110</v>
      </c>
      <c r="N176" s="204" t="s">
        <v>5</v>
      </c>
      <c r="O176" s="151">
        <v>45859</v>
      </c>
      <c r="P176" s="151" t="s">
        <v>24</v>
      </c>
      <c r="Q176" s="151" t="s">
        <v>24</v>
      </c>
      <c r="R176" s="151" t="s">
        <v>24</v>
      </c>
      <c r="S176" s="142" t="s">
        <v>24</v>
      </c>
      <c r="T176" s="142" t="s">
        <v>24</v>
      </c>
      <c r="U176" s="142" t="s">
        <v>24</v>
      </c>
      <c r="V176" s="142" t="s">
        <v>24</v>
      </c>
      <c r="W176" s="142" t="s">
        <v>24</v>
      </c>
      <c r="X176" s="142" t="s">
        <v>24</v>
      </c>
      <c r="Y176" s="142" t="s">
        <v>24</v>
      </c>
      <c r="Z176" s="142" t="s">
        <v>24</v>
      </c>
      <c r="AA176" s="137"/>
      <c r="AB176" s="234" t="s">
        <v>805</v>
      </c>
      <c r="AC176" s="234" t="s">
        <v>806</v>
      </c>
      <c r="AD176" s="234" t="s">
        <v>807</v>
      </c>
      <c r="AE176" s="204" t="s">
        <v>12</v>
      </c>
      <c r="AF176" s="204" t="s">
        <v>110</v>
      </c>
      <c r="AG176" s="143">
        <v>81928.92</v>
      </c>
      <c r="AH176" s="143">
        <v>81928.92</v>
      </c>
      <c r="AI176" s="137" t="s">
        <v>6</v>
      </c>
      <c r="AJ176" s="141" t="s">
        <v>105</v>
      </c>
      <c r="AK176" s="204">
        <v>118204182</v>
      </c>
      <c r="AL176" s="137" t="s">
        <v>112</v>
      </c>
      <c r="AM176" s="137" t="s">
        <v>112</v>
      </c>
      <c r="AN176" s="137" t="s">
        <v>113</v>
      </c>
      <c r="AO176" s="137"/>
      <c r="AP176" s="234" t="s">
        <v>808</v>
      </c>
      <c r="AQ176" s="137" t="s">
        <v>112</v>
      </c>
      <c r="AR176" s="137" t="s">
        <v>112</v>
      </c>
      <c r="AS176" s="137" t="s">
        <v>112</v>
      </c>
      <c r="AT176" s="137" t="s">
        <v>112</v>
      </c>
      <c r="AU176" s="151">
        <v>45909</v>
      </c>
      <c r="AV176" s="137" t="s">
        <v>112</v>
      </c>
      <c r="AW176" s="137" t="s">
        <v>112</v>
      </c>
      <c r="AX176" s="151">
        <v>45915</v>
      </c>
      <c r="AY176" s="144">
        <v>45915</v>
      </c>
      <c r="AZ176" s="151">
        <v>45937</v>
      </c>
      <c r="BA176" s="145" t="s">
        <v>115</v>
      </c>
      <c r="BB176" s="147" t="s">
        <v>112</v>
      </c>
      <c r="BC176" s="146">
        <f t="shared" ref="BC176:BC190" si="21">IF(AY176-KG176=0,"",AY176-O176)</f>
        <v>56</v>
      </c>
      <c r="BD176" s="137" t="str">
        <f t="shared" ref="BD176:BD190" si="22">IF(AND(AI176&lt;&gt;"SIM",AI176="UH"),"AA","INDENIZAÇÃO")</f>
        <v>INDENIZAÇÃO</v>
      </c>
      <c r="BE176" s="137" t="str">
        <f t="shared" ref="BE176:BE190" si="23">IF(AND(AY176&lt;&gt;"AGUARDANDO",AY176&lt;&gt;"",N176="AUXÍLIO ALUGUEL ATÉ INDENIZAÇÃO"),"SIM","NÃO")</f>
        <v>NÃO</v>
      </c>
      <c r="BF176" s="137" t="s">
        <v>24</v>
      </c>
      <c r="BG176" s="137" t="s">
        <v>24</v>
      </c>
      <c r="BH176" s="137" t="s">
        <v>24</v>
      </c>
      <c r="BI176" s="137" t="s">
        <v>112</v>
      </c>
      <c r="BJ176" s="137" t="s">
        <v>112</v>
      </c>
      <c r="BK176" s="151">
        <v>45937</v>
      </c>
      <c r="BL176" s="137" t="s">
        <v>112</v>
      </c>
      <c r="BM176" s="145" t="s">
        <v>33</v>
      </c>
      <c r="BN176" s="266"/>
    </row>
    <row r="177" spans="1:67" s="152" customFormat="1" ht="30" customHeight="1">
      <c r="A177" s="204">
        <v>164</v>
      </c>
      <c r="B177" s="204" t="s">
        <v>99</v>
      </c>
      <c r="C177" s="233" t="s">
        <v>244</v>
      </c>
      <c r="D177" s="205" t="s">
        <v>101</v>
      </c>
      <c r="E177" s="204" t="s">
        <v>101</v>
      </c>
      <c r="F177" s="234" t="s">
        <v>809</v>
      </c>
      <c r="G177" s="235" t="s">
        <v>1</v>
      </c>
      <c r="H177" s="235" t="s">
        <v>2</v>
      </c>
      <c r="I177" s="235" t="s">
        <v>12</v>
      </c>
      <c r="J177" s="234" t="s">
        <v>810</v>
      </c>
      <c r="K177" s="234" t="s">
        <v>811</v>
      </c>
      <c r="L177" s="234" t="s">
        <v>812</v>
      </c>
      <c r="M177" s="204" t="s">
        <v>110</v>
      </c>
      <c r="N177" s="204" t="s">
        <v>5</v>
      </c>
      <c r="O177" s="151">
        <v>45859</v>
      </c>
      <c r="P177" s="151" t="s">
        <v>24</v>
      </c>
      <c r="Q177" s="151" t="s">
        <v>24</v>
      </c>
      <c r="R177" s="151" t="s">
        <v>24</v>
      </c>
      <c r="S177" s="142" t="s">
        <v>24</v>
      </c>
      <c r="T177" s="142" t="s">
        <v>24</v>
      </c>
      <c r="U177" s="142" t="s">
        <v>24</v>
      </c>
      <c r="V177" s="142" t="s">
        <v>24</v>
      </c>
      <c r="W177" s="142" t="s">
        <v>24</v>
      </c>
      <c r="X177" s="142" t="s">
        <v>24</v>
      </c>
      <c r="Y177" s="142" t="s">
        <v>24</v>
      </c>
      <c r="Z177" s="142" t="s">
        <v>24</v>
      </c>
      <c r="AA177" s="137"/>
      <c r="AB177" s="234" t="s">
        <v>810</v>
      </c>
      <c r="AC177" s="234" t="s">
        <v>811</v>
      </c>
      <c r="AD177" s="234" t="s">
        <v>812</v>
      </c>
      <c r="AE177" s="204" t="s">
        <v>12</v>
      </c>
      <c r="AF177" s="204" t="s">
        <v>110</v>
      </c>
      <c r="AG177" s="143">
        <v>41460.519999999997</v>
      </c>
      <c r="AH177" s="143">
        <v>60000</v>
      </c>
      <c r="AI177" s="137" t="s">
        <v>6</v>
      </c>
      <c r="AJ177" s="141" t="s">
        <v>105</v>
      </c>
      <c r="AK177" s="204">
        <v>118204331</v>
      </c>
      <c r="AL177" s="137" t="s">
        <v>112</v>
      </c>
      <c r="AM177" s="137" t="s">
        <v>112</v>
      </c>
      <c r="AN177" s="137" t="s">
        <v>113</v>
      </c>
      <c r="AO177" s="137"/>
      <c r="AP177" s="234" t="s">
        <v>813</v>
      </c>
      <c r="AQ177" s="137" t="s">
        <v>112</v>
      </c>
      <c r="AR177" s="137" t="s">
        <v>112</v>
      </c>
      <c r="AS177" s="137" t="s">
        <v>112</v>
      </c>
      <c r="AT177" s="137" t="s">
        <v>112</v>
      </c>
      <c r="AU177" s="151">
        <v>45909</v>
      </c>
      <c r="AV177" s="137" t="s">
        <v>112</v>
      </c>
      <c r="AW177" s="137" t="s">
        <v>112</v>
      </c>
      <c r="AX177" s="151">
        <v>45916</v>
      </c>
      <c r="AY177" s="144">
        <v>45916</v>
      </c>
      <c r="AZ177" s="151">
        <v>45937</v>
      </c>
      <c r="BA177" s="145" t="s">
        <v>115</v>
      </c>
      <c r="BB177" s="147" t="s">
        <v>112</v>
      </c>
      <c r="BC177" s="146">
        <f t="shared" si="21"/>
        <v>57</v>
      </c>
      <c r="BD177" s="137" t="str">
        <f t="shared" si="22"/>
        <v>INDENIZAÇÃO</v>
      </c>
      <c r="BE177" s="137" t="str">
        <f t="shared" si="23"/>
        <v>NÃO</v>
      </c>
      <c r="BF177" s="137" t="s">
        <v>24</v>
      </c>
      <c r="BG177" s="137" t="s">
        <v>24</v>
      </c>
      <c r="BH177" s="137" t="s">
        <v>24</v>
      </c>
      <c r="BI177" s="137" t="s">
        <v>112</v>
      </c>
      <c r="BJ177" s="137" t="s">
        <v>112</v>
      </c>
      <c r="BK177" s="151">
        <v>45937</v>
      </c>
      <c r="BL177" s="137" t="s">
        <v>112</v>
      </c>
      <c r="BM177" s="145" t="s">
        <v>33</v>
      </c>
      <c r="BN177" s="266"/>
    </row>
    <row r="178" spans="1:67" s="152" customFormat="1" ht="30" customHeight="1">
      <c r="A178" s="204">
        <v>165</v>
      </c>
      <c r="B178" s="204" t="s">
        <v>99</v>
      </c>
      <c r="C178" s="233" t="s">
        <v>244</v>
      </c>
      <c r="D178" s="205" t="s">
        <v>101</v>
      </c>
      <c r="E178" s="204" t="s">
        <v>101</v>
      </c>
      <c r="F178" s="234" t="s">
        <v>814</v>
      </c>
      <c r="G178" s="235" t="s">
        <v>1</v>
      </c>
      <c r="H178" s="235" t="s">
        <v>2</v>
      </c>
      <c r="I178" s="235" t="s">
        <v>12</v>
      </c>
      <c r="J178" s="234" t="s">
        <v>815</v>
      </c>
      <c r="K178" s="234" t="s">
        <v>816</v>
      </c>
      <c r="L178" s="234" t="s">
        <v>817</v>
      </c>
      <c r="M178" s="204" t="s">
        <v>110</v>
      </c>
      <c r="N178" s="204" t="s">
        <v>5</v>
      </c>
      <c r="O178" s="151">
        <v>45859</v>
      </c>
      <c r="P178" s="151" t="s">
        <v>24</v>
      </c>
      <c r="Q178" s="151" t="s">
        <v>24</v>
      </c>
      <c r="R178" s="151" t="s">
        <v>24</v>
      </c>
      <c r="S178" s="142" t="s">
        <v>24</v>
      </c>
      <c r="T178" s="142" t="s">
        <v>24</v>
      </c>
      <c r="U178" s="142" t="s">
        <v>24</v>
      </c>
      <c r="V178" s="142" t="s">
        <v>24</v>
      </c>
      <c r="W178" s="142" t="s">
        <v>24</v>
      </c>
      <c r="X178" s="142" t="s">
        <v>24</v>
      </c>
      <c r="Y178" s="142" t="s">
        <v>24</v>
      </c>
      <c r="Z178" s="142" t="s">
        <v>24</v>
      </c>
      <c r="AA178" s="137"/>
      <c r="AB178" s="234" t="s">
        <v>815</v>
      </c>
      <c r="AC178" s="234" t="s">
        <v>816</v>
      </c>
      <c r="AD178" s="234" t="s">
        <v>817</v>
      </c>
      <c r="AE178" s="204" t="s">
        <v>12</v>
      </c>
      <c r="AF178" s="204" t="s">
        <v>110</v>
      </c>
      <c r="AG178" s="143">
        <v>13671.8</v>
      </c>
      <c r="AH178" s="143">
        <v>43671.8</v>
      </c>
      <c r="AI178" s="137" t="s">
        <v>6</v>
      </c>
      <c r="AJ178" s="141" t="s">
        <v>105</v>
      </c>
      <c r="AK178" s="204">
        <v>129107523</v>
      </c>
      <c r="AL178" s="137" t="s">
        <v>112</v>
      </c>
      <c r="AM178" s="137" t="s">
        <v>112</v>
      </c>
      <c r="AN178" s="137" t="s">
        <v>113</v>
      </c>
      <c r="AO178" s="137"/>
      <c r="AP178" s="234" t="s">
        <v>818</v>
      </c>
      <c r="AQ178" s="137" t="s">
        <v>112</v>
      </c>
      <c r="AR178" s="137" t="s">
        <v>112</v>
      </c>
      <c r="AS178" s="137" t="s">
        <v>112</v>
      </c>
      <c r="AT178" s="137" t="s">
        <v>112</v>
      </c>
      <c r="AU178" s="151">
        <v>45937</v>
      </c>
      <c r="AV178" s="137" t="s">
        <v>112</v>
      </c>
      <c r="AW178" s="137" t="s">
        <v>112</v>
      </c>
      <c r="AX178" s="151">
        <v>45954</v>
      </c>
      <c r="AY178" s="144">
        <v>45954</v>
      </c>
      <c r="AZ178" s="144" t="s">
        <v>33</v>
      </c>
      <c r="BA178" s="145" t="s">
        <v>115</v>
      </c>
      <c r="BB178" s="147" t="s">
        <v>112</v>
      </c>
      <c r="BC178" s="146">
        <f t="shared" si="21"/>
        <v>95</v>
      </c>
      <c r="BD178" s="137" t="str">
        <f t="shared" si="22"/>
        <v>INDENIZAÇÃO</v>
      </c>
      <c r="BE178" s="137" t="str">
        <f t="shared" si="23"/>
        <v>NÃO</v>
      </c>
      <c r="BF178" s="137" t="s">
        <v>24</v>
      </c>
      <c r="BG178" s="137" t="s">
        <v>24</v>
      </c>
      <c r="BH178" s="137" t="s">
        <v>24</v>
      </c>
      <c r="BI178" s="137" t="s">
        <v>112</v>
      </c>
      <c r="BJ178" s="137" t="s">
        <v>112</v>
      </c>
      <c r="BK178" s="151">
        <v>46112</v>
      </c>
      <c r="BL178" s="137" t="s">
        <v>112</v>
      </c>
      <c r="BM178" s="145" t="s">
        <v>33</v>
      </c>
      <c r="BN178" s="266"/>
    </row>
    <row r="179" spans="1:67" s="152" customFormat="1" ht="30" customHeight="1">
      <c r="A179" s="204">
        <v>166</v>
      </c>
      <c r="B179" s="204" t="s">
        <v>99</v>
      </c>
      <c r="C179" s="233" t="s">
        <v>244</v>
      </c>
      <c r="D179" s="205" t="s">
        <v>101</v>
      </c>
      <c r="E179" s="204" t="s">
        <v>101</v>
      </c>
      <c r="F179" s="234" t="s">
        <v>819</v>
      </c>
      <c r="G179" s="235" t="s">
        <v>1</v>
      </c>
      <c r="H179" s="235" t="s">
        <v>2</v>
      </c>
      <c r="I179" s="235" t="s">
        <v>12</v>
      </c>
      <c r="J179" s="234" t="s">
        <v>820</v>
      </c>
      <c r="K179" s="234" t="s">
        <v>821</v>
      </c>
      <c r="L179" s="234" t="s">
        <v>822</v>
      </c>
      <c r="M179" s="204" t="s">
        <v>110</v>
      </c>
      <c r="N179" s="204" t="s">
        <v>5</v>
      </c>
      <c r="O179" s="151">
        <v>45999</v>
      </c>
      <c r="P179" s="151" t="s">
        <v>24</v>
      </c>
      <c r="Q179" s="151" t="s">
        <v>24</v>
      </c>
      <c r="R179" s="151" t="s">
        <v>24</v>
      </c>
      <c r="S179" s="142" t="s">
        <v>24</v>
      </c>
      <c r="T179" s="142" t="s">
        <v>24</v>
      </c>
      <c r="U179" s="142" t="s">
        <v>24</v>
      </c>
      <c r="V179" s="142" t="s">
        <v>24</v>
      </c>
      <c r="W179" s="142" t="s">
        <v>24</v>
      </c>
      <c r="X179" s="142" t="s">
        <v>24</v>
      </c>
      <c r="Y179" s="142" t="s">
        <v>24</v>
      </c>
      <c r="Z179" s="142" t="s">
        <v>24</v>
      </c>
      <c r="AA179" s="137"/>
      <c r="AB179" s="234" t="s">
        <v>820</v>
      </c>
      <c r="AC179" s="234" t="s">
        <v>821</v>
      </c>
      <c r="AD179" s="234" t="s">
        <v>822</v>
      </c>
      <c r="AE179" s="204" t="s">
        <v>12</v>
      </c>
      <c r="AF179" s="204" t="s">
        <v>110</v>
      </c>
      <c r="AG179" s="270">
        <v>63844.56</v>
      </c>
      <c r="AH179" s="270">
        <v>63844.56</v>
      </c>
      <c r="AI179" s="137" t="s">
        <v>6</v>
      </c>
      <c r="AJ179" s="141" t="s">
        <v>105</v>
      </c>
      <c r="AK179" s="204">
        <v>119686812</v>
      </c>
      <c r="AL179" s="137" t="s">
        <v>112</v>
      </c>
      <c r="AM179" s="137" t="s">
        <v>112</v>
      </c>
      <c r="AN179" s="137" t="s">
        <v>113</v>
      </c>
      <c r="AO179" s="137"/>
      <c r="AP179" s="234" t="s">
        <v>823</v>
      </c>
      <c r="AQ179" s="137" t="s">
        <v>112</v>
      </c>
      <c r="AR179" s="137" t="s">
        <v>112</v>
      </c>
      <c r="AS179" s="137" t="s">
        <v>112</v>
      </c>
      <c r="AT179" s="137" t="s">
        <v>112</v>
      </c>
      <c r="AU179" s="151">
        <v>46024</v>
      </c>
      <c r="AV179" s="137" t="s">
        <v>112</v>
      </c>
      <c r="AW179" s="137" t="s">
        <v>112</v>
      </c>
      <c r="AX179" s="151">
        <v>46038</v>
      </c>
      <c r="AY179" s="144">
        <v>46038</v>
      </c>
      <c r="AZ179" s="144" t="s">
        <v>33</v>
      </c>
      <c r="BA179" s="145" t="s">
        <v>115</v>
      </c>
      <c r="BB179" s="147" t="s">
        <v>112</v>
      </c>
      <c r="BC179" s="146">
        <f t="shared" si="21"/>
        <v>39</v>
      </c>
      <c r="BD179" s="137" t="str">
        <f t="shared" si="22"/>
        <v>INDENIZAÇÃO</v>
      </c>
      <c r="BE179" s="137" t="str">
        <f t="shared" si="23"/>
        <v>NÃO</v>
      </c>
      <c r="BF179" s="137" t="s">
        <v>24</v>
      </c>
      <c r="BG179" s="137" t="s">
        <v>24</v>
      </c>
      <c r="BH179" s="137" t="s">
        <v>24</v>
      </c>
      <c r="BI179" s="137" t="s">
        <v>112</v>
      </c>
      <c r="BJ179" s="137" t="s">
        <v>112</v>
      </c>
      <c r="BK179" s="151">
        <v>46112</v>
      </c>
      <c r="BL179" s="137" t="s">
        <v>112</v>
      </c>
      <c r="BM179" s="145" t="s">
        <v>33</v>
      </c>
      <c r="BN179" s="266"/>
    </row>
    <row r="180" spans="1:67" s="152" customFormat="1" ht="30" customHeight="1">
      <c r="A180" s="204">
        <v>167</v>
      </c>
      <c r="B180" s="204" t="s">
        <v>99</v>
      </c>
      <c r="C180" s="233" t="s">
        <v>244</v>
      </c>
      <c r="D180" s="205" t="s">
        <v>101</v>
      </c>
      <c r="E180" s="204" t="s">
        <v>101</v>
      </c>
      <c r="F180" s="234" t="s">
        <v>824</v>
      </c>
      <c r="G180" s="235" t="s">
        <v>1</v>
      </c>
      <c r="H180" s="235" t="s">
        <v>2</v>
      </c>
      <c r="I180" s="235" t="s">
        <v>12</v>
      </c>
      <c r="J180" s="234" t="s">
        <v>825</v>
      </c>
      <c r="K180" s="234" t="s">
        <v>826</v>
      </c>
      <c r="L180" s="234" t="s">
        <v>827</v>
      </c>
      <c r="M180" s="204" t="s">
        <v>110</v>
      </c>
      <c r="N180" s="204" t="s">
        <v>5</v>
      </c>
      <c r="O180" s="151">
        <v>45999</v>
      </c>
      <c r="P180" s="151" t="s">
        <v>24</v>
      </c>
      <c r="Q180" s="151" t="s">
        <v>24</v>
      </c>
      <c r="R180" s="151" t="s">
        <v>24</v>
      </c>
      <c r="S180" s="142" t="s">
        <v>24</v>
      </c>
      <c r="T180" s="142" t="s">
        <v>24</v>
      </c>
      <c r="U180" s="142" t="s">
        <v>24</v>
      </c>
      <c r="V180" s="142" t="s">
        <v>24</v>
      </c>
      <c r="W180" s="142" t="s">
        <v>24</v>
      </c>
      <c r="X180" s="142" t="s">
        <v>24</v>
      </c>
      <c r="Y180" s="142" t="s">
        <v>24</v>
      </c>
      <c r="Z180" s="142" t="s">
        <v>24</v>
      </c>
      <c r="AA180" s="137"/>
      <c r="AB180" s="234" t="s">
        <v>825</v>
      </c>
      <c r="AC180" s="234" t="s">
        <v>826</v>
      </c>
      <c r="AD180" s="234" t="s">
        <v>827</v>
      </c>
      <c r="AE180" s="204" t="s">
        <v>12</v>
      </c>
      <c r="AF180" s="204" t="s">
        <v>110</v>
      </c>
      <c r="AG180" s="270">
        <v>33619.410000000003</v>
      </c>
      <c r="AH180" s="143">
        <v>60000</v>
      </c>
      <c r="AI180" s="137" t="s">
        <v>6</v>
      </c>
      <c r="AJ180" s="141" t="s">
        <v>105</v>
      </c>
      <c r="AK180" s="204">
        <v>146394435</v>
      </c>
      <c r="AL180" s="137" t="s">
        <v>112</v>
      </c>
      <c r="AM180" s="137" t="s">
        <v>112</v>
      </c>
      <c r="AN180" s="137" t="s">
        <v>113</v>
      </c>
      <c r="AO180" s="137"/>
      <c r="AP180" s="234" t="s">
        <v>828</v>
      </c>
      <c r="AQ180" s="137" t="s">
        <v>112</v>
      </c>
      <c r="AR180" s="137" t="s">
        <v>112</v>
      </c>
      <c r="AS180" s="137" t="s">
        <v>112</v>
      </c>
      <c r="AT180" s="137" t="s">
        <v>112</v>
      </c>
      <c r="AU180" s="151">
        <v>46017</v>
      </c>
      <c r="AV180" s="137" t="s">
        <v>112</v>
      </c>
      <c r="AW180" s="137" t="s">
        <v>112</v>
      </c>
      <c r="AX180" s="151">
        <v>46024</v>
      </c>
      <c r="AY180" s="144">
        <v>46024</v>
      </c>
      <c r="AZ180" s="144" t="s">
        <v>33</v>
      </c>
      <c r="BA180" s="145" t="s">
        <v>115</v>
      </c>
      <c r="BB180" s="147" t="s">
        <v>112</v>
      </c>
      <c r="BC180" s="146">
        <f t="shared" si="21"/>
        <v>25</v>
      </c>
      <c r="BD180" s="137" t="str">
        <f t="shared" si="22"/>
        <v>INDENIZAÇÃO</v>
      </c>
      <c r="BE180" s="137" t="str">
        <f t="shared" si="23"/>
        <v>NÃO</v>
      </c>
      <c r="BF180" s="137" t="s">
        <v>24</v>
      </c>
      <c r="BG180" s="137" t="s">
        <v>24</v>
      </c>
      <c r="BH180" s="137" t="s">
        <v>24</v>
      </c>
      <c r="BI180" s="137" t="s">
        <v>112</v>
      </c>
      <c r="BJ180" s="137" t="s">
        <v>112</v>
      </c>
      <c r="BK180" s="151">
        <v>46112</v>
      </c>
      <c r="BL180" s="137" t="s">
        <v>112</v>
      </c>
      <c r="BM180" s="145" t="s">
        <v>33</v>
      </c>
      <c r="BN180" s="266"/>
    </row>
    <row r="181" spans="1:67" s="152" customFormat="1" ht="30" customHeight="1">
      <c r="A181" s="204">
        <v>168</v>
      </c>
      <c r="B181" s="204" t="s">
        <v>99</v>
      </c>
      <c r="C181" s="233" t="s">
        <v>244</v>
      </c>
      <c r="D181" s="205" t="s">
        <v>101</v>
      </c>
      <c r="E181" s="204" t="s">
        <v>101</v>
      </c>
      <c r="F181" s="234" t="s">
        <v>829</v>
      </c>
      <c r="G181" s="235" t="s">
        <v>1</v>
      </c>
      <c r="H181" s="235" t="s">
        <v>2</v>
      </c>
      <c r="I181" s="235" t="s">
        <v>12</v>
      </c>
      <c r="J181" s="234" t="s">
        <v>830</v>
      </c>
      <c r="K181" s="234" t="s">
        <v>831</v>
      </c>
      <c r="L181" s="234" t="s">
        <v>832</v>
      </c>
      <c r="M181" s="204" t="s">
        <v>110</v>
      </c>
      <c r="N181" s="204" t="s">
        <v>5</v>
      </c>
      <c r="O181" s="151">
        <v>45999</v>
      </c>
      <c r="P181" s="151" t="s">
        <v>24</v>
      </c>
      <c r="Q181" s="151" t="s">
        <v>24</v>
      </c>
      <c r="R181" s="151" t="s">
        <v>24</v>
      </c>
      <c r="S181" s="142" t="s">
        <v>24</v>
      </c>
      <c r="T181" s="142" t="s">
        <v>24</v>
      </c>
      <c r="U181" s="142" t="s">
        <v>24</v>
      </c>
      <c r="V181" s="142" t="s">
        <v>24</v>
      </c>
      <c r="W181" s="142" t="s">
        <v>24</v>
      </c>
      <c r="X181" s="142" t="s">
        <v>24</v>
      </c>
      <c r="Y181" s="142" t="s">
        <v>24</v>
      </c>
      <c r="Z181" s="142" t="s">
        <v>24</v>
      </c>
      <c r="AA181" s="137"/>
      <c r="AB181" s="234" t="s">
        <v>830</v>
      </c>
      <c r="AC181" s="234" t="s">
        <v>831</v>
      </c>
      <c r="AD181" s="234" t="s">
        <v>832</v>
      </c>
      <c r="AE181" s="204" t="s">
        <v>12</v>
      </c>
      <c r="AF181" s="204" t="s">
        <v>110</v>
      </c>
      <c r="AG181" s="270">
        <v>13651.94</v>
      </c>
      <c r="AH181" s="143">
        <f>AG181+30000</f>
        <v>43651.94</v>
      </c>
      <c r="AI181" s="137" t="s">
        <v>6</v>
      </c>
      <c r="AJ181" s="141" t="s">
        <v>105</v>
      </c>
      <c r="AK181" s="204">
        <v>146394525</v>
      </c>
      <c r="AL181" s="137" t="s">
        <v>112</v>
      </c>
      <c r="AM181" s="137" t="s">
        <v>112</v>
      </c>
      <c r="AN181" s="137" t="s">
        <v>113</v>
      </c>
      <c r="AO181" s="137"/>
      <c r="AP181" s="234" t="s">
        <v>833</v>
      </c>
      <c r="AQ181" s="137" t="s">
        <v>112</v>
      </c>
      <c r="AR181" s="137" t="s">
        <v>112</v>
      </c>
      <c r="AS181" s="137" t="s">
        <v>112</v>
      </c>
      <c r="AT181" s="137" t="s">
        <v>112</v>
      </c>
      <c r="AU181" s="151">
        <v>46017</v>
      </c>
      <c r="AV181" s="137" t="s">
        <v>112</v>
      </c>
      <c r="AW181" s="137" t="s">
        <v>112</v>
      </c>
      <c r="AX181" s="151">
        <v>46024</v>
      </c>
      <c r="AY181" s="144">
        <v>46024</v>
      </c>
      <c r="AZ181" s="144" t="s">
        <v>33</v>
      </c>
      <c r="BA181" s="145" t="s">
        <v>115</v>
      </c>
      <c r="BB181" s="147" t="s">
        <v>112</v>
      </c>
      <c r="BC181" s="146">
        <f t="shared" si="21"/>
        <v>25</v>
      </c>
      <c r="BD181" s="137" t="str">
        <f t="shared" si="22"/>
        <v>INDENIZAÇÃO</v>
      </c>
      <c r="BE181" s="137" t="str">
        <f t="shared" si="23"/>
        <v>NÃO</v>
      </c>
      <c r="BF181" s="137" t="s">
        <v>24</v>
      </c>
      <c r="BG181" s="137" t="s">
        <v>24</v>
      </c>
      <c r="BH181" s="137" t="s">
        <v>24</v>
      </c>
      <c r="BI181" s="137" t="s">
        <v>112</v>
      </c>
      <c r="BJ181" s="137" t="s">
        <v>112</v>
      </c>
      <c r="BK181" s="151">
        <v>46112</v>
      </c>
      <c r="BL181" s="137" t="s">
        <v>112</v>
      </c>
      <c r="BM181" s="145" t="s">
        <v>33</v>
      </c>
      <c r="BN181" s="266"/>
    </row>
    <row r="182" spans="1:67" s="152" customFormat="1" ht="30" customHeight="1">
      <c r="A182" s="204">
        <v>169</v>
      </c>
      <c r="B182" s="204" t="s">
        <v>99</v>
      </c>
      <c r="C182" s="233" t="s">
        <v>244</v>
      </c>
      <c r="D182" s="205" t="s">
        <v>101</v>
      </c>
      <c r="E182" s="204" t="s">
        <v>101</v>
      </c>
      <c r="F182" s="234" t="s">
        <v>834</v>
      </c>
      <c r="G182" s="235" t="s">
        <v>1</v>
      </c>
      <c r="H182" s="235" t="s">
        <v>2</v>
      </c>
      <c r="I182" s="235" t="s">
        <v>12</v>
      </c>
      <c r="J182" s="234" t="s">
        <v>835</v>
      </c>
      <c r="K182" s="234" t="s">
        <v>836</v>
      </c>
      <c r="L182" s="234" t="s">
        <v>837</v>
      </c>
      <c r="M182" s="204" t="s">
        <v>110</v>
      </c>
      <c r="N182" s="204" t="s">
        <v>5</v>
      </c>
      <c r="O182" s="151">
        <v>45999</v>
      </c>
      <c r="P182" s="151" t="s">
        <v>24</v>
      </c>
      <c r="Q182" s="151" t="s">
        <v>24</v>
      </c>
      <c r="R182" s="151" t="s">
        <v>24</v>
      </c>
      <c r="S182" s="142" t="s">
        <v>24</v>
      </c>
      <c r="T182" s="142" t="s">
        <v>24</v>
      </c>
      <c r="U182" s="142" t="s">
        <v>24</v>
      </c>
      <c r="V182" s="142" t="s">
        <v>24</v>
      </c>
      <c r="W182" s="142" t="s">
        <v>24</v>
      </c>
      <c r="X182" s="142" t="s">
        <v>24</v>
      </c>
      <c r="Y182" s="142" t="s">
        <v>24</v>
      </c>
      <c r="Z182" s="142" t="s">
        <v>24</v>
      </c>
      <c r="AA182" s="137"/>
      <c r="AB182" s="234" t="s">
        <v>835</v>
      </c>
      <c r="AC182" s="234" t="s">
        <v>836</v>
      </c>
      <c r="AD182" s="234" t="s">
        <v>837</v>
      </c>
      <c r="AE182" s="204" t="s">
        <v>12</v>
      </c>
      <c r="AF182" s="204" t="s">
        <v>110</v>
      </c>
      <c r="AG182" s="270">
        <v>17820.73</v>
      </c>
      <c r="AH182" s="143">
        <f>AG182+30000</f>
        <v>47820.729999999996</v>
      </c>
      <c r="AI182" s="137" t="s">
        <v>6</v>
      </c>
      <c r="AJ182" s="141" t="s">
        <v>105</v>
      </c>
      <c r="AK182" s="204">
        <v>146194265</v>
      </c>
      <c r="AL182" s="137" t="s">
        <v>112</v>
      </c>
      <c r="AM182" s="137" t="s">
        <v>112</v>
      </c>
      <c r="AN182" s="137" t="s">
        <v>113</v>
      </c>
      <c r="AO182" s="137"/>
      <c r="AP182" s="234" t="s">
        <v>838</v>
      </c>
      <c r="AQ182" s="137" t="s">
        <v>112</v>
      </c>
      <c r="AR182" s="137" t="s">
        <v>112</v>
      </c>
      <c r="AS182" s="137" t="s">
        <v>112</v>
      </c>
      <c r="AT182" s="137" t="s">
        <v>112</v>
      </c>
      <c r="AU182" s="151">
        <v>46071</v>
      </c>
      <c r="AV182" s="150" t="s">
        <v>112</v>
      </c>
      <c r="AW182" s="150" t="s">
        <v>112</v>
      </c>
      <c r="AX182" s="142">
        <v>46087</v>
      </c>
      <c r="AY182" s="144">
        <v>46087</v>
      </c>
      <c r="AZ182" s="144" t="s">
        <v>33</v>
      </c>
      <c r="BA182" s="145" t="s">
        <v>115</v>
      </c>
      <c r="BB182" s="147" t="s">
        <v>112</v>
      </c>
      <c r="BC182" s="146">
        <f t="shared" si="21"/>
        <v>88</v>
      </c>
      <c r="BD182" s="137" t="str">
        <f t="shared" si="22"/>
        <v>INDENIZAÇÃO</v>
      </c>
      <c r="BE182" s="137" t="str">
        <f t="shared" si="23"/>
        <v>NÃO</v>
      </c>
      <c r="BF182" s="137" t="s">
        <v>24</v>
      </c>
      <c r="BG182" s="137" t="s">
        <v>24</v>
      </c>
      <c r="BH182" s="137" t="s">
        <v>24</v>
      </c>
      <c r="BI182" s="137" t="s">
        <v>112</v>
      </c>
      <c r="BJ182" s="137" t="s">
        <v>112</v>
      </c>
      <c r="BK182" s="151">
        <v>46139</v>
      </c>
      <c r="BL182" s="145" t="s">
        <v>188</v>
      </c>
      <c r="BM182" s="145"/>
      <c r="BN182" s="266"/>
    </row>
    <row r="183" spans="1:67" s="152" customFormat="1" ht="30" customHeight="1">
      <c r="A183" s="204">
        <v>170</v>
      </c>
      <c r="B183" s="204" t="s">
        <v>99</v>
      </c>
      <c r="C183" s="251" t="s">
        <v>244</v>
      </c>
      <c r="D183" s="252" t="s">
        <v>101</v>
      </c>
      <c r="E183" s="137" t="s">
        <v>101</v>
      </c>
      <c r="F183" s="250" t="s">
        <v>839</v>
      </c>
      <c r="G183" s="251" t="s">
        <v>1</v>
      </c>
      <c r="H183" s="251" t="s">
        <v>2</v>
      </c>
      <c r="I183" s="204" t="s">
        <v>12</v>
      </c>
      <c r="J183" s="250" t="s">
        <v>840</v>
      </c>
      <c r="K183" s="250" t="s">
        <v>841</v>
      </c>
      <c r="L183" s="250" t="s">
        <v>842</v>
      </c>
      <c r="M183" s="204" t="s">
        <v>110</v>
      </c>
      <c r="N183" s="204" t="s">
        <v>5</v>
      </c>
      <c r="O183" s="151">
        <v>45749</v>
      </c>
      <c r="P183" s="151" t="s">
        <v>24</v>
      </c>
      <c r="Q183" s="151" t="s">
        <v>24</v>
      </c>
      <c r="R183" s="151" t="s">
        <v>24</v>
      </c>
      <c r="S183" s="151" t="s">
        <v>24</v>
      </c>
      <c r="T183" s="151" t="s">
        <v>24</v>
      </c>
      <c r="U183" s="151" t="s">
        <v>24</v>
      </c>
      <c r="V183" s="151" t="s">
        <v>24</v>
      </c>
      <c r="W183" s="151" t="s">
        <v>24</v>
      </c>
      <c r="X183" s="151" t="s">
        <v>24</v>
      </c>
      <c r="Y183" s="151" t="s">
        <v>24</v>
      </c>
      <c r="Z183" s="151" t="s">
        <v>24</v>
      </c>
      <c r="AA183" s="137"/>
      <c r="AB183" s="250" t="s">
        <v>840</v>
      </c>
      <c r="AC183" s="250" t="s">
        <v>841</v>
      </c>
      <c r="AD183" s="250" t="s">
        <v>842</v>
      </c>
      <c r="AE183" s="204" t="s">
        <v>12</v>
      </c>
      <c r="AF183" s="204" t="s">
        <v>110</v>
      </c>
      <c r="AG183" s="143">
        <v>38491.199999999997</v>
      </c>
      <c r="AH183" s="143">
        <v>60000</v>
      </c>
      <c r="AI183" s="137" t="s">
        <v>6</v>
      </c>
      <c r="AJ183" s="141" t="s">
        <v>105</v>
      </c>
      <c r="AK183" s="137">
        <v>118204443</v>
      </c>
      <c r="AL183" s="137" t="s">
        <v>112</v>
      </c>
      <c r="AM183" s="137" t="s">
        <v>112</v>
      </c>
      <c r="AN183" s="137" t="s">
        <v>113</v>
      </c>
      <c r="AO183" s="137"/>
      <c r="AP183" s="234" t="s">
        <v>843</v>
      </c>
      <c r="AQ183" s="137" t="s">
        <v>112</v>
      </c>
      <c r="AR183" s="137" t="s">
        <v>112</v>
      </c>
      <c r="AS183" s="137" t="s">
        <v>112</v>
      </c>
      <c r="AT183" s="137" t="s">
        <v>112</v>
      </c>
      <c r="AU183" s="151">
        <v>45814</v>
      </c>
      <c r="AV183" s="137" t="s">
        <v>112</v>
      </c>
      <c r="AW183" s="137" t="s">
        <v>112</v>
      </c>
      <c r="AX183" s="151">
        <v>45826</v>
      </c>
      <c r="AY183" s="144">
        <v>45826</v>
      </c>
      <c r="AZ183" s="142">
        <v>45861</v>
      </c>
      <c r="BA183" s="145" t="s">
        <v>115</v>
      </c>
      <c r="BB183" s="147" t="s">
        <v>112</v>
      </c>
      <c r="BC183" s="146">
        <f t="shared" si="21"/>
        <v>77</v>
      </c>
      <c r="BD183" s="137" t="str">
        <f t="shared" si="22"/>
        <v>INDENIZAÇÃO</v>
      </c>
      <c r="BE183" s="137" t="str">
        <f t="shared" si="23"/>
        <v>NÃO</v>
      </c>
      <c r="BF183" s="137" t="s">
        <v>24</v>
      </c>
      <c r="BG183" s="137" t="s">
        <v>24</v>
      </c>
      <c r="BH183" s="137" t="s">
        <v>24</v>
      </c>
      <c r="BI183" s="137" t="s">
        <v>112</v>
      </c>
      <c r="BJ183" s="137" t="s">
        <v>112</v>
      </c>
      <c r="BK183" s="151">
        <v>45869</v>
      </c>
      <c r="BL183" s="137" t="s">
        <v>112</v>
      </c>
      <c r="BM183" s="145" t="s">
        <v>33</v>
      </c>
      <c r="BN183" s="264"/>
      <c r="BO183" s="204"/>
    </row>
    <row r="184" spans="1:67" s="152" customFormat="1" ht="30" customHeight="1">
      <c r="A184" s="204">
        <v>171</v>
      </c>
      <c r="B184" s="204" t="s">
        <v>99</v>
      </c>
      <c r="C184" s="233" t="s">
        <v>244</v>
      </c>
      <c r="D184" s="205" t="s">
        <v>101</v>
      </c>
      <c r="E184" s="204" t="s">
        <v>101</v>
      </c>
      <c r="F184" s="234" t="s">
        <v>844</v>
      </c>
      <c r="G184" s="235" t="s">
        <v>1</v>
      </c>
      <c r="H184" s="235" t="s">
        <v>2</v>
      </c>
      <c r="I184" s="204" t="s">
        <v>12</v>
      </c>
      <c r="J184" s="234" t="s">
        <v>845</v>
      </c>
      <c r="K184" s="234" t="s">
        <v>846</v>
      </c>
      <c r="L184" s="234" t="s">
        <v>847</v>
      </c>
      <c r="M184" s="204" t="s">
        <v>110</v>
      </c>
      <c r="N184" s="204" t="s">
        <v>5</v>
      </c>
      <c r="O184" s="151">
        <v>45777</v>
      </c>
      <c r="P184" s="151" t="s">
        <v>24</v>
      </c>
      <c r="Q184" s="151" t="s">
        <v>24</v>
      </c>
      <c r="R184" s="151" t="s">
        <v>24</v>
      </c>
      <c r="S184" s="151" t="s">
        <v>24</v>
      </c>
      <c r="T184" s="151" t="s">
        <v>24</v>
      </c>
      <c r="U184" s="151" t="s">
        <v>24</v>
      </c>
      <c r="V184" s="151" t="s">
        <v>24</v>
      </c>
      <c r="W184" s="151" t="s">
        <v>24</v>
      </c>
      <c r="X184" s="151" t="s">
        <v>24</v>
      </c>
      <c r="Y184" s="151" t="s">
        <v>24</v>
      </c>
      <c r="Z184" s="151" t="s">
        <v>24</v>
      </c>
      <c r="AA184" s="137"/>
      <c r="AB184" s="234" t="s">
        <v>845</v>
      </c>
      <c r="AC184" s="234" t="s">
        <v>846</v>
      </c>
      <c r="AD184" s="234" t="s">
        <v>847</v>
      </c>
      <c r="AE184" s="204" t="s">
        <v>12</v>
      </c>
      <c r="AF184" s="204" t="s">
        <v>110</v>
      </c>
      <c r="AG184" s="143">
        <v>145350.10999999999</v>
      </c>
      <c r="AH184" s="143">
        <v>145350.10999999999</v>
      </c>
      <c r="AI184" s="137" t="s">
        <v>6</v>
      </c>
      <c r="AJ184" s="141" t="s">
        <v>105</v>
      </c>
      <c r="AK184" s="204">
        <v>118204507</v>
      </c>
      <c r="AL184" s="137" t="s">
        <v>112</v>
      </c>
      <c r="AM184" s="137" t="s">
        <v>112</v>
      </c>
      <c r="AN184" s="137" t="s">
        <v>113</v>
      </c>
      <c r="AO184" s="255" t="s">
        <v>848</v>
      </c>
      <c r="AP184" s="234" t="s">
        <v>849</v>
      </c>
      <c r="AQ184" s="137" t="s">
        <v>112</v>
      </c>
      <c r="AR184" s="137" t="s">
        <v>112</v>
      </c>
      <c r="AS184" s="137" t="s">
        <v>112</v>
      </c>
      <c r="AT184" s="137" t="s">
        <v>112</v>
      </c>
      <c r="AU184" s="151">
        <v>45845</v>
      </c>
      <c r="AV184" s="137" t="s">
        <v>112</v>
      </c>
      <c r="AW184" s="137" t="s">
        <v>112</v>
      </c>
      <c r="AX184" s="151">
        <v>45860</v>
      </c>
      <c r="AY184" s="144">
        <v>45860</v>
      </c>
      <c r="AZ184" s="142">
        <v>45944</v>
      </c>
      <c r="BA184" s="145" t="s">
        <v>115</v>
      </c>
      <c r="BB184" s="147" t="s">
        <v>112</v>
      </c>
      <c r="BC184" s="146">
        <f t="shared" si="21"/>
        <v>83</v>
      </c>
      <c r="BD184" s="137" t="str">
        <f t="shared" si="22"/>
        <v>INDENIZAÇÃO</v>
      </c>
      <c r="BE184" s="137" t="str">
        <f t="shared" si="23"/>
        <v>NÃO</v>
      </c>
      <c r="BF184" s="137" t="s">
        <v>24</v>
      </c>
      <c r="BG184" s="137" t="s">
        <v>24</v>
      </c>
      <c r="BH184" s="137" t="s">
        <v>24</v>
      </c>
      <c r="BI184" s="137" t="s">
        <v>112</v>
      </c>
      <c r="BJ184" s="137" t="s">
        <v>112</v>
      </c>
      <c r="BK184" s="151">
        <v>45869</v>
      </c>
      <c r="BL184" s="137" t="s">
        <v>112</v>
      </c>
      <c r="BM184" s="145" t="s">
        <v>33</v>
      </c>
      <c r="BN184" s="264"/>
      <c r="BO184" s="204"/>
    </row>
    <row r="185" spans="1:67" s="152" customFormat="1" ht="30" customHeight="1">
      <c r="A185" s="204">
        <v>172</v>
      </c>
      <c r="B185" s="204" t="s">
        <v>99</v>
      </c>
      <c r="C185" s="233" t="s">
        <v>244</v>
      </c>
      <c r="D185" s="205" t="s">
        <v>101</v>
      </c>
      <c r="E185" s="204" t="s">
        <v>101</v>
      </c>
      <c r="F185" s="234" t="s">
        <v>850</v>
      </c>
      <c r="G185" s="235" t="s">
        <v>1</v>
      </c>
      <c r="H185" s="235" t="s">
        <v>156</v>
      </c>
      <c r="I185" s="235" t="s">
        <v>111</v>
      </c>
      <c r="J185" s="236" t="s">
        <v>104</v>
      </c>
      <c r="K185" s="236" t="s">
        <v>104</v>
      </c>
      <c r="L185" s="237" t="s">
        <v>104</v>
      </c>
      <c r="M185" s="204"/>
      <c r="N185" s="204"/>
      <c r="O185" s="151"/>
      <c r="P185" s="151"/>
      <c r="Q185" s="151"/>
      <c r="R185" s="151"/>
      <c r="S185" s="142"/>
      <c r="T185" s="142"/>
      <c r="U185" s="142"/>
      <c r="V185" s="142"/>
      <c r="W185" s="142"/>
      <c r="X185" s="142"/>
      <c r="Y185" s="142"/>
      <c r="Z185" s="142"/>
      <c r="AA185" s="137"/>
      <c r="AB185" s="206"/>
      <c r="AC185" s="206"/>
      <c r="AD185" s="206"/>
      <c r="AE185" s="204"/>
      <c r="AF185" s="204"/>
      <c r="AG185" s="143"/>
      <c r="AH185" s="143"/>
      <c r="AI185" s="137"/>
      <c r="AJ185" s="141" t="s">
        <v>105</v>
      </c>
      <c r="AK185" s="204"/>
      <c r="AL185" s="137"/>
      <c r="AM185" s="137"/>
      <c r="AN185" s="137"/>
      <c r="AO185" s="137"/>
      <c r="AP185" s="234"/>
      <c r="AQ185" s="137"/>
      <c r="AR185" s="137"/>
      <c r="AS185" s="137"/>
      <c r="AT185" s="137"/>
      <c r="AU185" s="151"/>
      <c r="AV185" s="137"/>
      <c r="AW185" s="137"/>
      <c r="AX185" s="151"/>
      <c r="AY185" s="142"/>
      <c r="AZ185" s="142"/>
      <c r="BA185" s="137"/>
      <c r="BB185" s="147"/>
      <c r="BC185" s="146" t="str">
        <f t="shared" si="21"/>
        <v/>
      </c>
      <c r="BD185" s="137" t="str">
        <f t="shared" si="22"/>
        <v>INDENIZAÇÃO</v>
      </c>
      <c r="BE185" s="137" t="str">
        <f t="shared" si="23"/>
        <v>NÃO</v>
      </c>
      <c r="BF185" s="137"/>
      <c r="BG185" s="137"/>
      <c r="BH185" s="137"/>
      <c r="BI185" s="137"/>
      <c r="BJ185" s="137"/>
      <c r="BK185" s="151"/>
      <c r="BL185" s="137"/>
      <c r="BM185" s="137"/>
      <c r="BN185" s="264"/>
      <c r="BO185" s="204"/>
    </row>
    <row r="186" spans="1:67" s="152" customFormat="1" ht="30" customHeight="1">
      <c r="A186" s="204">
        <v>173</v>
      </c>
      <c r="B186" s="204" t="s">
        <v>99</v>
      </c>
      <c r="C186" s="233" t="s">
        <v>244</v>
      </c>
      <c r="D186" s="205" t="s">
        <v>101</v>
      </c>
      <c r="E186" s="204" t="s">
        <v>101</v>
      </c>
      <c r="F186" s="234" t="s">
        <v>851</v>
      </c>
      <c r="G186" s="235" t="s">
        <v>1</v>
      </c>
      <c r="H186" s="235" t="s">
        <v>2</v>
      </c>
      <c r="I186" s="235" t="s">
        <v>12</v>
      </c>
      <c r="J186" s="234" t="s">
        <v>852</v>
      </c>
      <c r="K186" s="234" t="s">
        <v>853</v>
      </c>
      <c r="L186" s="234" t="s">
        <v>854</v>
      </c>
      <c r="M186" s="204" t="s">
        <v>110</v>
      </c>
      <c r="N186" s="204" t="s">
        <v>5</v>
      </c>
      <c r="O186" s="151">
        <v>45859</v>
      </c>
      <c r="P186" s="151" t="s">
        <v>24</v>
      </c>
      <c r="Q186" s="151" t="s">
        <v>24</v>
      </c>
      <c r="R186" s="151" t="s">
        <v>24</v>
      </c>
      <c r="S186" s="151" t="s">
        <v>24</v>
      </c>
      <c r="T186" s="151" t="s">
        <v>24</v>
      </c>
      <c r="U186" s="151" t="s">
        <v>24</v>
      </c>
      <c r="V186" s="151" t="s">
        <v>24</v>
      </c>
      <c r="W186" s="151" t="s">
        <v>24</v>
      </c>
      <c r="X186" s="151" t="s">
        <v>24</v>
      </c>
      <c r="Y186" s="151" t="s">
        <v>24</v>
      </c>
      <c r="Z186" s="151" t="s">
        <v>24</v>
      </c>
      <c r="AA186" s="137"/>
      <c r="AB186" s="234" t="s">
        <v>852</v>
      </c>
      <c r="AC186" s="234" t="s">
        <v>853</v>
      </c>
      <c r="AD186" s="234" t="s">
        <v>854</v>
      </c>
      <c r="AE186" s="204" t="s">
        <v>12</v>
      </c>
      <c r="AF186" s="204" t="s">
        <v>110</v>
      </c>
      <c r="AG186" s="143">
        <v>46424.05</v>
      </c>
      <c r="AH186" s="143">
        <v>60000</v>
      </c>
      <c r="AI186" s="137" t="s">
        <v>6</v>
      </c>
      <c r="AJ186" s="141" t="s">
        <v>105</v>
      </c>
      <c r="AK186" s="204">
        <v>118204606</v>
      </c>
      <c r="AL186" s="137" t="s">
        <v>112</v>
      </c>
      <c r="AM186" s="137" t="s">
        <v>112</v>
      </c>
      <c r="AN186" s="137" t="s">
        <v>113</v>
      </c>
      <c r="AO186" s="137"/>
      <c r="AP186" s="234" t="s">
        <v>855</v>
      </c>
      <c r="AQ186" s="137" t="s">
        <v>112</v>
      </c>
      <c r="AR186" s="137" t="s">
        <v>112</v>
      </c>
      <c r="AS186" s="137" t="s">
        <v>112</v>
      </c>
      <c r="AT186" s="137" t="s">
        <v>112</v>
      </c>
      <c r="AU186" s="151">
        <v>45909</v>
      </c>
      <c r="AV186" s="137" t="s">
        <v>112</v>
      </c>
      <c r="AW186" s="137" t="s">
        <v>112</v>
      </c>
      <c r="AX186" s="151">
        <v>45915</v>
      </c>
      <c r="AY186" s="144">
        <v>45915</v>
      </c>
      <c r="AZ186" s="144" t="s">
        <v>33</v>
      </c>
      <c r="BA186" s="145" t="s">
        <v>115</v>
      </c>
      <c r="BB186" s="147" t="s">
        <v>112</v>
      </c>
      <c r="BC186" s="146">
        <f t="shared" si="21"/>
        <v>56</v>
      </c>
      <c r="BD186" s="137" t="str">
        <f t="shared" si="22"/>
        <v>INDENIZAÇÃO</v>
      </c>
      <c r="BE186" s="137" t="str">
        <f t="shared" si="23"/>
        <v>NÃO</v>
      </c>
      <c r="BF186" s="137" t="s">
        <v>24</v>
      </c>
      <c r="BG186" s="137" t="s">
        <v>24</v>
      </c>
      <c r="BH186" s="137" t="s">
        <v>24</v>
      </c>
      <c r="BI186" s="137" t="s">
        <v>112</v>
      </c>
      <c r="BJ186" s="137" t="s">
        <v>112</v>
      </c>
      <c r="BK186" s="151">
        <v>45937</v>
      </c>
      <c r="BL186" s="137" t="s">
        <v>112</v>
      </c>
      <c r="BM186" s="145" t="s">
        <v>33</v>
      </c>
      <c r="BN186" s="266"/>
    </row>
    <row r="187" spans="1:67" s="152" customFormat="1" ht="30" customHeight="1">
      <c r="A187" s="204">
        <v>174</v>
      </c>
      <c r="B187" s="204" t="s">
        <v>99</v>
      </c>
      <c r="C187" s="233" t="s">
        <v>244</v>
      </c>
      <c r="D187" s="205" t="s">
        <v>101</v>
      </c>
      <c r="E187" s="204" t="s">
        <v>101</v>
      </c>
      <c r="F187" s="234" t="s">
        <v>856</v>
      </c>
      <c r="G187" s="235" t="s">
        <v>1</v>
      </c>
      <c r="H187" s="235" t="s">
        <v>2</v>
      </c>
      <c r="I187" s="235" t="s">
        <v>12</v>
      </c>
      <c r="J187" s="234" t="s">
        <v>857</v>
      </c>
      <c r="K187" s="234" t="s">
        <v>858</v>
      </c>
      <c r="L187" s="234" t="s">
        <v>859</v>
      </c>
      <c r="M187" s="204" t="s">
        <v>110</v>
      </c>
      <c r="N187" s="204" t="s">
        <v>5</v>
      </c>
      <c r="O187" s="151">
        <v>45868</v>
      </c>
      <c r="P187" s="151" t="s">
        <v>24</v>
      </c>
      <c r="Q187" s="151" t="s">
        <v>24</v>
      </c>
      <c r="R187" s="151" t="s">
        <v>24</v>
      </c>
      <c r="S187" s="151" t="s">
        <v>24</v>
      </c>
      <c r="T187" s="151" t="s">
        <v>24</v>
      </c>
      <c r="U187" s="151" t="s">
        <v>24</v>
      </c>
      <c r="V187" s="151" t="s">
        <v>24</v>
      </c>
      <c r="W187" s="151" t="s">
        <v>24</v>
      </c>
      <c r="X187" s="151" t="s">
        <v>24</v>
      </c>
      <c r="Y187" s="151" t="s">
        <v>24</v>
      </c>
      <c r="Z187" s="151" t="s">
        <v>24</v>
      </c>
      <c r="AA187" s="137"/>
      <c r="AB187" s="234" t="s">
        <v>857</v>
      </c>
      <c r="AC187" s="234" t="s">
        <v>858</v>
      </c>
      <c r="AD187" s="234" t="s">
        <v>859</v>
      </c>
      <c r="AE187" s="204" t="s">
        <v>12</v>
      </c>
      <c r="AF187" s="204" t="s">
        <v>110</v>
      </c>
      <c r="AG187" s="143">
        <v>21749.64</v>
      </c>
      <c r="AH187" s="143">
        <f>AG187+30000</f>
        <v>51749.64</v>
      </c>
      <c r="AI187" s="137" t="s">
        <v>6</v>
      </c>
      <c r="AJ187" s="141" t="s">
        <v>105</v>
      </c>
      <c r="AK187" s="204">
        <v>118204661</v>
      </c>
      <c r="AL187" s="137" t="s">
        <v>112</v>
      </c>
      <c r="AM187" s="137" t="s">
        <v>112</v>
      </c>
      <c r="AN187" s="137" t="s">
        <v>113</v>
      </c>
      <c r="AO187" s="137"/>
      <c r="AP187" s="234" t="s">
        <v>860</v>
      </c>
      <c r="AQ187" s="137" t="s">
        <v>112</v>
      </c>
      <c r="AR187" s="137" t="s">
        <v>112</v>
      </c>
      <c r="AS187" s="137" t="s">
        <v>112</v>
      </c>
      <c r="AT187" s="137" t="s">
        <v>112</v>
      </c>
      <c r="AU187" s="151">
        <v>45937</v>
      </c>
      <c r="AV187" s="137" t="s">
        <v>112</v>
      </c>
      <c r="AW187" s="137" t="s">
        <v>112</v>
      </c>
      <c r="AX187" s="151">
        <v>45943</v>
      </c>
      <c r="AY187" s="144">
        <v>45943</v>
      </c>
      <c r="AZ187" s="144" t="s">
        <v>33</v>
      </c>
      <c r="BA187" s="145" t="s">
        <v>115</v>
      </c>
      <c r="BB187" s="147" t="s">
        <v>112</v>
      </c>
      <c r="BC187" s="146">
        <f t="shared" si="21"/>
        <v>75</v>
      </c>
      <c r="BD187" s="137" t="str">
        <f t="shared" si="22"/>
        <v>INDENIZAÇÃO</v>
      </c>
      <c r="BE187" s="137" t="str">
        <f t="shared" si="23"/>
        <v>NÃO</v>
      </c>
      <c r="BF187" s="137" t="s">
        <v>24</v>
      </c>
      <c r="BG187" s="137" t="s">
        <v>24</v>
      </c>
      <c r="BH187" s="137" t="s">
        <v>24</v>
      </c>
      <c r="BI187" s="137" t="s">
        <v>112</v>
      </c>
      <c r="BJ187" s="137" t="s">
        <v>112</v>
      </c>
      <c r="BK187" s="151">
        <v>45951</v>
      </c>
      <c r="BL187" s="137" t="s">
        <v>112</v>
      </c>
      <c r="BM187" s="145" t="s">
        <v>33</v>
      </c>
      <c r="BN187" s="266"/>
    </row>
    <row r="188" spans="1:67" s="152" customFormat="1" ht="30" customHeight="1">
      <c r="A188" s="204">
        <v>175</v>
      </c>
      <c r="B188" s="204" t="s">
        <v>99</v>
      </c>
      <c r="C188" s="233" t="s">
        <v>244</v>
      </c>
      <c r="D188" s="205" t="s">
        <v>101</v>
      </c>
      <c r="E188" s="204" t="s">
        <v>101</v>
      </c>
      <c r="F188" s="234" t="s">
        <v>861</v>
      </c>
      <c r="G188" s="235" t="s">
        <v>1</v>
      </c>
      <c r="H188" s="235" t="s">
        <v>2</v>
      </c>
      <c r="I188" s="235" t="s">
        <v>12</v>
      </c>
      <c r="J188" s="234" t="s">
        <v>862</v>
      </c>
      <c r="K188" s="234" t="s">
        <v>863</v>
      </c>
      <c r="L188" s="234" t="s">
        <v>864</v>
      </c>
      <c r="M188" s="204" t="s">
        <v>110</v>
      </c>
      <c r="N188" s="204" t="s">
        <v>5</v>
      </c>
      <c r="O188" s="151">
        <v>45859</v>
      </c>
      <c r="P188" s="151" t="s">
        <v>24</v>
      </c>
      <c r="Q188" s="151" t="s">
        <v>24</v>
      </c>
      <c r="R188" s="151" t="s">
        <v>24</v>
      </c>
      <c r="S188" s="151" t="s">
        <v>24</v>
      </c>
      <c r="T188" s="151" t="s">
        <v>24</v>
      </c>
      <c r="U188" s="151" t="s">
        <v>24</v>
      </c>
      <c r="V188" s="151" t="s">
        <v>24</v>
      </c>
      <c r="W188" s="151" t="s">
        <v>24</v>
      </c>
      <c r="X188" s="151" t="s">
        <v>24</v>
      </c>
      <c r="Y188" s="151" t="s">
        <v>24</v>
      </c>
      <c r="Z188" s="151" t="s">
        <v>24</v>
      </c>
      <c r="AA188" s="137"/>
      <c r="AB188" s="234" t="s">
        <v>862</v>
      </c>
      <c r="AC188" s="234" t="s">
        <v>863</v>
      </c>
      <c r="AD188" s="234" t="s">
        <v>864</v>
      </c>
      <c r="AE188" s="204" t="s">
        <v>12</v>
      </c>
      <c r="AF188" s="204" t="s">
        <v>110</v>
      </c>
      <c r="AG188" s="143">
        <v>71138.679999999993</v>
      </c>
      <c r="AH188" s="143">
        <v>71138.679999999993</v>
      </c>
      <c r="AI188" s="137" t="s">
        <v>6</v>
      </c>
      <c r="AJ188" s="141" t="s">
        <v>105</v>
      </c>
      <c r="AK188" s="204">
        <v>128252612</v>
      </c>
      <c r="AL188" s="137" t="s">
        <v>112</v>
      </c>
      <c r="AM188" s="137" t="s">
        <v>112</v>
      </c>
      <c r="AN188" s="137" t="s">
        <v>113</v>
      </c>
      <c r="AO188" s="137"/>
      <c r="AP188" s="234" t="s">
        <v>865</v>
      </c>
      <c r="AQ188" s="137" t="s">
        <v>112</v>
      </c>
      <c r="AR188" s="137" t="s">
        <v>112</v>
      </c>
      <c r="AS188" s="137" t="s">
        <v>112</v>
      </c>
      <c r="AT188" s="137" t="s">
        <v>112</v>
      </c>
      <c r="AU188" s="151">
        <v>45909</v>
      </c>
      <c r="AV188" s="137" t="s">
        <v>112</v>
      </c>
      <c r="AW188" s="137" t="s">
        <v>112</v>
      </c>
      <c r="AX188" s="151">
        <v>45915</v>
      </c>
      <c r="AY188" s="144">
        <v>45915</v>
      </c>
      <c r="AZ188" s="151">
        <v>45957</v>
      </c>
      <c r="BA188" s="145" t="s">
        <v>115</v>
      </c>
      <c r="BB188" s="147" t="s">
        <v>112</v>
      </c>
      <c r="BC188" s="146">
        <f t="shared" si="21"/>
        <v>56</v>
      </c>
      <c r="BD188" s="137" t="str">
        <f t="shared" si="22"/>
        <v>INDENIZAÇÃO</v>
      </c>
      <c r="BE188" s="137" t="str">
        <f t="shared" si="23"/>
        <v>NÃO</v>
      </c>
      <c r="BF188" s="137" t="s">
        <v>24</v>
      </c>
      <c r="BG188" s="137" t="s">
        <v>24</v>
      </c>
      <c r="BH188" s="137" t="s">
        <v>24</v>
      </c>
      <c r="BI188" s="137" t="s">
        <v>112</v>
      </c>
      <c r="BJ188" s="137" t="s">
        <v>112</v>
      </c>
      <c r="BK188" s="151">
        <v>45937</v>
      </c>
      <c r="BL188" s="137" t="s">
        <v>112</v>
      </c>
      <c r="BM188" s="145" t="s">
        <v>33</v>
      </c>
      <c r="BN188" s="266"/>
    </row>
    <row r="189" spans="1:67" s="152" customFormat="1" ht="30" customHeight="1">
      <c r="A189" s="204">
        <v>176</v>
      </c>
      <c r="B189" s="204" t="s">
        <v>99</v>
      </c>
      <c r="C189" s="233" t="s">
        <v>244</v>
      </c>
      <c r="D189" s="205" t="s">
        <v>101</v>
      </c>
      <c r="E189" s="204" t="s">
        <v>101</v>
      </c>
      <c r="F189" s="234" t="s">
        <v>866</v>
      </c>
      <c r="G189" s="235" t="s">
        <v>1</v>
      </c>
      <c r="H189" s="235" t="s">
        <v>2</v>
      </c>
      <c r="I189" s="235" t="s">
        <v>12</v>
      </c>
      <c r="J189" s="234" t="s">
        <v>867</v>
      </c>
      <c r="K189" s="234" t="s">
        <v>868</v>
      </c>
      <c r="L189" s="234" t="s">
        <v>869</v>
      </c>
      <c r="M189" s="204" t="s">
        <v>110</v>
      </c>
      <c r="N189" s="204" t="s">
        <v>5</v>
      </c>
      <c r="O189" s="151">
        <v>45859</v>
      </c>
      <c r="P189" s="151" t="s">
        <v>24</v>
      </c>
      <c r="Q189" s="151" t="s">
        <v>24</v>
      </c>
      <c r="R189" s="151" t="s">
        <v>24</v>
      </c>
      <c r="S189" s="151" t="s">
        <v>24</v>
      </c>
      <c r="T189" s="151" t="s">
        <v>24</v>
      </c>
      <c r="U189" s="151" t="s">
        <v>24</v>
      </c>
      <c r="V189" s="151" t="s">
        <v>24</v>
      </c>
      <c r="W189" s="151" t="s">
        <v>24</v>
      </c>
      <c r="X189" s="151" t="s">
        <v>24</v>
      </c>
      <c r="Y189" s="151" t="s">
        <v>24</v>
      </c>
      <c r="Z189" s="151" t="s">
        <v>24</v>
      </c>
      <c r="AA189" s="137"/>
      <c r="AB189" s="234" t="s">
        <v>867</v>
      </c>
      <c r="AC189" s="234" t="s">
        <v>868</v>
      </c>
      <c r="AD189" s="234" t="s">
        <v>869</v>
      </c>
      <c r="AE189" s="204" t="s">
        <v>12</v>
      </c>
      <c r="AF189" s="204" t="s">
        <v>110</v>
      </c>
      <c r="AG189" s="270">
        <v>38124.620000000003</v>
      </c>
      <c r="AH189" s="143">
        <v>60000</v>
      </c>
      <c r="AI189" s="137" t="s">
        <v>6</v>
      </c>
      <c r="AJ189" s="141" t="s">
        <v>105</v>
      </c>
      <c r="AK189" s="204">
        <v>128076028</v>
      </c>
      <c r="AL189" s="137" t="s">
        <v>112</v>
      </c>
      <c r="AM189" s="137" t="s">
        <v>112</v>
      </c>
      <c r="AN189" s="137" t="s">
        <v>113</v>
      </c>
      <c r="AO189" s="137"/>
      <c r="AP189" s="234" t="s">
        <v>870</v>
      </c>
      <c r="AQ189" s="137" t="s">
        <v>112</v>
      </c>
      <c r="AR189" s="137" t="s">
        <v>112</v>
      </c>
      <c r="AS189" s="137" t="s">
        <v>112</v>
      </c>
      <c r="AT189" s="137" t="s">
        <v>112</v>
      </c>
      <c r="AU189" s="151">
        <v>45909</v>
      </c>
      <c r="AV189" s="137" t="s">
        <v>112</v>
      </c>
      <c r="AW189" s="137" t="s">
        <v>112</v>
      </c>
      <c r="AX189" s="151">
        <v>45915</v>
      </c>
      <c r="AY189" s="144">
        <v>45915</v>
      </c>
      <c r="AZ189" s="151">
        <v>45957</v>
      </c>
      <c r="BA189" s="145" t="s">
        <v>115</v>
      </c>
      <c r="BB189" s="147" t="s">
        <v>112</v>
      </c>
      <c r="BC189" s="146">
        <f t="shared" si="21"/>
        <v>56</v>
      </c>
      <c r="BD189" s="137" t="str">
        <f t="shared" si="22"/>
        <v>INDENIZAÇÃO</v>
      </c>
      <c r="BE189" s="137" t="str">
        <f t="shared" si="23"/>
        <v>NÃO</v>
      </c>
      <c r="BF189" s="137" t="s">
        <v>24</v>
      </c>
      <c r="BG189" s="137" t="s">
        <v>24</v>
      </c>
      <c r="BH189" s="137" t="s">
        <v>24</v>
      </c>
      <c r="BI189" s="137" t="s">
        <v>112</v>
      </c>
      <c r="BJ189" s="137" t="s">
        <v>112</v>
      </c>
      <c r="BK189" s="151">
        <v>45937</v>
      </c>
      <c r="BL189" s="137" t="s">
        <v>112</v>
      </c>
      <c r="BM189" s="145" t="s">
        <v>33</v>
      </c>
      <c r="BN189" s="266"/>
    </row>
    <row r="190" spans="1:67" s="152" customFormat="1" ht="30" customHeight="1">
      <c r="A190" s="204">
        <v>177</v>
      </c>
      <c r="B190" s="204" t="s">
        <v>99</v>
      </c>
      <c r="C190" s="233" t="s">
        <v>100</v>
      </c>
      <c r="D190" s="205" t="s">
        <v>101</v>
      </c>
      <c r="E190" s="204" t="s">
        <v>101</v>
      </c>
      <c r="F190" s="234" t="s">
        <v>871</v>
      </c>
      <c r="G190" s="235" t="s">
        <v>1</v>
      </c>
      <c r="H190" s="235" t="s">
        <v>2</v>
      </c>
      <c r="I190" s="235" t="s">
        <v>12</v>
      </c>
      <c r="J190" s="234" t="s">
        <v>872</v>
      </c>
      <c r="K190" s="234" t="s">
        <v>873</v>
      </c>
      <c r="L190" s="234" t="s">
        <v>874</v>
      </c>
      <c r="M190" s="204" t="s">
        <v>110</v>
      </c>
      <c r="N190" s="204" t="s">
        <v>5</v>
      </c>
      <c r="O190" s="151">
        <v>46051</v>
      </c>
      <c r="P190" s="151" t="s">
        <v>24</v>
      </c>
      <c r="Q190" s="151" t="s">
        <v>24</v>
      </c>
      <c r="R190" s="151" t="s">
        <v>24</v>
      </c>
      <c r="S190" s="151" t="s">
        <v>24</v>
      </c>
      <c r="T190" s="151" t="s">
        <v>24</v>
      </c>
      <c r="U190" s="151" t="s">
        <v>24</v>
      </c>
      <c r="V190" s="151" t="s">
        <v>24</v>
      </c>
      <c r="W190" s="151" t="s">
        <v>24</v>
      </c>
      <c r="X190" s="151" t="s">
        <v>24</v>
      </c>
      <c r="Y190" s="151" t="s">
        <v>24</v>
      </c>
      <c r="Z190" s="151" t="s">
        <v>24</v>
      </c>
      <c r="AA190" s="137"/>
      <c r="AB190" s="234" t="s">
        <v>872</v>
      </c>
      <c r="AC190" s="234" t="s">
        <v>873</v>
      </c>
      <c r="AD190" s="234" t="s">
        <v>874</v>
      </c>
      <c r="AE190" s="204" t="s">
        <v>12</v>
      </c>
      <c r="AF190" s="204" t="s">
        <v>110</v>
      </c>
      <c r="AG190" s="143">
        <v>12089.03</v>
      </c>
      <c r="AH190" s="143">
        <f>AG190+30000</f>
        <v>42089.03</v>
      </c>
      <c r="AI190" s="137" t="s">
        <v>6</v>
      </c>
      <c r="AJ190" s="141" t="s">
        <v>105</v>
      </c>
      <c r="AK190" s="204">
        <v>150526791</v>
      </c>
      <c r="AL190" s="137" t="s">
        <v>112</v>
      </c>
      <c r="AM190" s="137" t="s">
        <v>112</v>
      </c>
      <c r="AN190" s="137" t="s">
        <v>113</v>
      </c>
      <c r="AO190" s="137"/>
      <c r="AP190" s="234" t="s">
        <v>875</v>
      </c>
      <c r="AQ190" s="137" t="s">
        <v>112</v>
      </c>
      <c r="AR190" s="137" t="s">
        <v>112</v>
      </c>
      <c r="AS190" s="137" t="s">
        <v>112</v>
      </c>
      <c r="AT190" s="137" t="s">
        <v>112</v>
      </c>
      <c r="AU190" s="151">
        <v>46174</v>
      </c>
      <c r="AV190" s="137" t="s">
        <v>112</v>
      </c>
      <c r="AW190" s="137" t="s">
        <v>112</v>
      </c>
      <c r="AX190" s="151">
        <v>46232</v>
      </c>
      <c r="AY190" s="144">
        <v>46232</v>
      </c>
      <c r="AZ190" s="145" t="s">
        <v>33</v>
      </c>
      <c r="BA190" s="145" t="s">
        <v>115</v>
      </c>
      <c r="BB190" s="147" t="s">
        <v>112</v>
      </c>
      <c r="BC190" s="146">
        <f t="shared" si="21"/>
        <v>181</v>
      </c>
      <c r="BD190" s="137" t="str">
        <f t="shared" si="22"/>
        <v>INDENIZAÇÃO</v>
      </c>
      <c r="BE190" s="137" t="str">
        <f t="shared" si="23"/>
        <v>NÃO</v>
      </c>
      <c r="BF190" s="137" t="s">
        <v>24</v>
      </c>
      <c r="BG190" s="137" t="s">
        <v>24</v>
      </c>
      <c r="BH190" s="137" t="s">
        <v>24</v>
      </c>
      <c r="BI190" s="145" t="s">
        <v>123</v>
      </c>
      <c r="BJ190" s="145"/>
      <c r="BK190" s="144"/>
      <c r="BL190" s="145"/>
      <c r="BM190" s="145"/>
      <c r="BN190" s="264"/>
    </row>
    <row r="191" spans="1:67" s="152" customFormat="1" ht="30" customHeight="1">
      <c r="A191" s="204">
        <v>178</v>
      </c>
      <c r="B191" s="204" t="s">
        <v>99</v>
      </c>
      <c r="C191" s="233" t="s">
        <v>100</v>
      </c>
      <c r="D191" s="205" t="s">
        <v>101</v>
      </c>
      <c r="E191" s="204" t="s">
        <v>101</v>
      </c>
      <c r="F191" s="234" t="s">
        <v>876</v>
      </c>
      <c r="G191" s="235" t="s">
        <v>1</v>
      </c>
      <c r="H191" s="235" t="s">
        <v>11</v>
      </c>
      <c r="I191" s="235" t="s">
        <v>3</v>
      </c>
      <c r="J191" s="236" t="s">
        <v>877</v>
      </c>
      <c r="K191" s="236" t="s">
        <v>878</v>
      </c>
      <c r="L191" s="300" t="s">
        <v>879</v>
      </c>
      <c r="M191" s="204" t="s">
        <v>110</v>
      </c>
      <c r="N191" s="204" t="s">
        <v>5</v>
      </c>
      <c r="O191" s="151">
        <v>46164</v>
      </c>
      <c r="P191" s="151" t="s">
        <v>24</v>
      </c>
      <c r="Q191" s="151" t="s">
        <v>111</v>
      </c>
      <c r="R191" s="151" t="s">
        <v>111</v>
      </c>
      <c r="S191" s="142" t="s">
        <v>111</v>
      </c>
      <c r="T191" s="142" t="s">
        <v>111</v>
      </c>
      <c r="U191" s="142" t="s">
        <v>111</v>
      </c>
      <c r="V191" s="142" t="s">
        <v>111</v>
      </c>
      <c r="W191" s="142" t="s">
        <v>111</v>
      </c>
      <c r="X191" s="142" t="s">
        <v>111</v>
      </c>
      <c r="Y191" s="142" t="s">
        <v>111</v>
      </c>
      <c r="Z191" s="142" t="s">
        <v>111</v>
      </c>
      <c r="AA191" s="137"/>
      <c r="AB191" s="236" t="s">
        <v>880</v>
      </c>
      <c r="AC191" s="236" t="s">
        <v>878</v>
      </c>
      <c r="AD191" s="300" t="s">
        <v>879</v>
      </c>
      <c r="AE191" s="235" t="s">
        <v>3</v>
      </c>
      <c r="AF191" s="204" t="s">
        <v>110</v>
      </c>
      <c r="AG191" s="143">
        <v>70118.16</v>
      </c>
      <c r="AH191" s="143">
        <v>70118.16</v>
      </c>
      <c r="AI191" s="137" t="s">
        <v>6</v>
      </c>
      <c r="AJ191" s="141" t="s">
        <v>105</v>
      </c>
      <c r="AK191" s="204">
        <v>150716045</v>
      </c>
      <c r="AL191" s="137" t="s">
        <v>112</v>
      </c>
      <c r="AM191" s="137" t="s">
        <v>112</v>
      </c>
      <c r="AN191" s="137" t="s">
        <v>113</v>
      </c>
      <c r="AO191" s="137"/>
      <c r="AP191" s="234" t="s">
        <v>881</v>
      </c>
      <c r="AQ191" s="137" t="s">
        <v>112</v>
      </c>
      <c r="AR191" s="137" t="s">
        <v>112</v>
      </c>
      <c r="AS191" s="137" t="s">
        <v>112</v>
      </c>
      <c r="AT191" s="137" t="s">
        <v>112</v>
      </c>
      <c r="AU191" s="151">
        <v>46226</v>
      </c>
      <c r="AV191" s="137" t="s">
        <v>112</v>
      </c>
      <c r="AW191" s="137" t="s">
        <v>112</v>
      </c>
      <c r="AX191" s="151">
        <v>46234</v>
      </c>
      <c r="AY191" s="144">
        <v>46234</v>
      </c>
      <c r="AZ191" s="145" t="s">
        <v>33</v>
      </c>
      <c r="BA191" s="145" t="s">
        <v>115</v>
      </c>
      <c r="BB191" s="147" t="s">
        <v>112</v>
      </c>
      <c r="BC191" s="146">
        <f t="shared" ref="BC191" si="24">IF(AY191-KG191=0,"",AY191-O191)</f>
        <v>70</v>
      </c>
      <c r="BD191" s="137" t="str">
        <f t="shared" ref="BD191" si="25">IF(AND(AI191&lt;&gt;"SIM",AI191="UH"),"AA","INDENIZAÇÃO")</f>
        <v>INDENIZAÇÃO</v>
      </c>
      <c r="BE191" s="137" t="str">
        <f t="shared" ref="BE191" si="26">IF(AND(AY191&lt;&gt;"AGUARDANDO",AY191&lt;&gt;"",N191="AUXÍLIO ALUGUEL ATÉ INDENIZAÇÃO"),"SIM","NÃO")</f>
        <v>NÃO</v>
      </c>
      <c r="BF191" s="137" t="s">
        <v>24</v>
      </c>
      <c r="BG191" s="137" t="s">
        <v>24</v>
      </c>
      <c r="BH191" s="137" t="s">
        <v>24</v>
      </c>
      <c r="BI191" s="145" t="s">
        <v>123</v>
      </c>
      <c r="BJ191" s="145"/>
      <c r="BK191" s="144"/>
      <c r="BL191" s="145"/>
      <c r="BM191" s="145"/>
      <c r="BN191" s="264"/>
    </row>
    <row r="192" spans="1:67" s="152" customFormat="1" ht="30" customHeight="1">
      <c r="A192" s="204">
        <v>179</v>
      </c>
      <c r="B192" s="204" t="s">
        <v>99</v>
      </c>
      <c r="C192" s="233" t="s">
        <v>244</v>
      </c>
      <c r="D192" s="205" t="s">
        <v>101</v>
      </c>
      <c r="E192" s="204" t="s">
        <v>101</v>
      </c>
      <c r="F192" s="234" t="s">
        <v>882</v>
      </c>
      <c r="G192" s="235" t="s">
        <v>1</v>
      </c>
      <c r="H192" s="235" t="s">
        <v>2</v>
      </c>
      <c r="I192" s="235" t="s">
        <v>12</v>
      </c>
      <c r="J192" s="234" t="s">
        <v>883</v>
      </c>
      <c r="K192" s="234" t="s">
        <v>884</v>
      </c>
      <c r="L192" s="234" t="s">
        <v>885</v>
      </c>
      <c r="M192" s="204" t="s">
        <v>110</v>
      </c>
      <c r="N192" s="204" t="s">
        <v>5</v>
      </c>
      <c r="O192" s="151">
        <v>45859</v>
      </c>
      <c r="P192" s="151" t="s">
        <v>24</v>
      </c>
      <c r="Q192" s="151" t="s">
        <v>24</v>
      </c>
      <c r="R192" s="151" t="s">
        <v>24</v>
      </c>
      <c r="S192" s="151" t="s">
        <v>24</v>
      </c>
      <c r="T192" s="151" t="s">
        <v>24</v>
      </c>
      <c r="U192" s="151" t="s">
        <v>24</v>
      </c>
      <c r="V192" s="151" t="s">
        <v>24</v>
      </c>
      <c r="W192" s="151" t="s">
        <v>24</v>
      </c>
      <c r="X192" s="151" t="s">
        <v>24</v>
      </c>
      <c r="Y192" s="151" t="s">
        <v>24</v>
      </c>
      <c r="Z192" s="151" t="s">
        <v>24</v>
      </c>
      <c r="AA192" s="137"/>
      <c r="AB192" s="234" t="s">
        <v>883</v>
      </c>
      <c r="AC192" s="234" t="s">
        <v>884</v>
      </c>
      <c r="AD192" s="234" t="s">
        <v>885</v>
      </c>
      <c r="AE192" s="204" t="s">
        <v>12</v>
      </c>
      <c r="AF192" s="204" t="s">
        <v>110</v>
      </c>
      <c r="AG192" s="270">
        <v>33878.949999999997</v>
      </c>
      <c r="AH192" s="143">
        <v>60000</v>
      </c>
      <c r="AI192" s="137" t="s">
        <v>6</v>
      </c>
      <c r="AJ192" s="141" t="s">
        <v>105</v>
      </c>
      <c r="AK192" s="204">
        <v>118204818</v>
      </c>
      <c r="AL192" s="137" t="s">
        <v>112</v>
      </c>
      <c r="AM192" s="137" t="s">
        <v>112</v>
      </c>
      <c r="AN192" s="137" t="s">
        <v>113</v>
      </c>
      <c r="AO192" s="137"/>
      <c r="AP192" s="234" t="s">
        <v>886</v>
      </c>
      <c r="AQ192" s="137" t="s">
        <v>112</v>
      </c>
      <c r="AR192" s="137" t="s">
        <v>112</v>
      </c>
      <c r="AS192" s="137" t="s">
        <v>112</v>
      </c>
      <c r="AT192" s="137" t="s">
        <v>112</v>
      </c>
      <c r="AU192" s="151">
        <v>45909</v>
      </c>
      <c r="AV192" s="137" t="s">
        <v>112</v>
      </c>
      <c r="AW192" s="137" t="s">
        <v>112</v>
      </c>
      <c r="AX192" s="151">
        <v>45915</v>
      </c>
      <c r="AY192" s="144">
        <v>45915</v>
      </c>
      <c r="AZ192" s="151">
        <v>45965</v>
      </c>
      <c r="BA192" s="145" t="s">
        <v>115</v>
      </c>
      <c r="BB192" s="147" t="s">
        <v>112</v>
      </c>
      <c r="BC192" s="146">
        <f t="shared" ref="BC192:BC205" si="27">IF(AY192-KG192=0,"",AY192-O192)</f>
        <v>56</v>
      </c>
      <c r="BD192" s="137" t="str">
        <f t="shared" ref="BD192:BD205" si="28">IF(AND(AI192&lt;&gt;"SIM",AI192="UH"),"AA","INDENIZAÇÃO")</f>
        <v>INDENIZAÇÃO</v>
      </c>
      <c r="BE192" s="137" t="str">
        <f t="shared" ref="BE192:BE205" si="29">IF(AND(AY192&lt;&gt;"AGUARDANDO",AY192&lt;&gt;"",N192="AUXÍLIO ALUGUEL ATÉ INDENIZAÇÃO"),"SIM","NÃO")</f>
        <v>NÃO</v>
      </c>
      <c r="BF192" s="137" t="s">
        <v>24</v>
      </c>
      <c r="BG192" s="137" t="s">
        <v>24</v>
      </c>
      <c r="BH192" s="137" t="s">
        <v>24</v>
      </c>
      <c r="BI192" s="137" t="s">
        <v>112</v>
      </c>
      <c r="BJ192" s="137" t="s">
        <v>112</v>
      </c>
      <c r="BK192" s="151">
        <v>45937</v>
      </c>
      <c r="BL192" s="137" t="s">
        <v>112</v>
      </c>
      <c r="BM192" s="145" t="s">
        <v>33</v>
      </c>
      <c r="BN192" s="266"/>
    </row>
    <row r="193" spans="1:66" s="152" customFormat="1" ht="30" customHeight="1">
      <c r="A193" s="204">
        <v>180</v>
      </c>
      <c r="B193" s="204" t="s">
        <v>99</v>
      </c>
      <c r="C193" s="233" t="s">
        <v>244</v>
      </c>
      <c r="D193" s="205" t="s">
        <v>101</v>
      </c>
      <c r="E193" s="204" t="s">
        <v>101</v>
      </c>
      <c r="F193" s="234" t="s">
        <v>887</v>
      </c>
      <c r="G193" s="235" t="s">
        <v>1</v>
      </c>
      <c r="H193" s="235" t="s">
        <v>2</v>
      </c>
      <c r="I193" s="204" t="s">
        <v>12</v>
      </c>
      <c r="J193" s="234" t="s">
        <v>888</v>
      </c>
      <c r="K193" s="234" t="s">
        <v>889</v>
      </c>
      <c r="L193" s="234" t="s">
        <v>890</v>
      </c>
      <c r="M193" s="204" t="s">
        <v>110</v>
      </c>
      <c r="N193" s="204" t="s">
        <v>5</v>
      </c>
      <c r="O193" s="151">
        <v>45852</v>
      </c>
      <c r="P193" s="151" t="s">
        <v>24</v>
      </c>
      <c r="Q193" s="151" t="s">
        <v>24</v>
      </c>
      <c r="R193" s="151" t="s">
        <v>24</v>
      </c>
      <c r="S193" s="151" t="s">
        <v>24</v>
      </c>
      <c r="T193" s="151" t="s">
        <v>24</v>
      </c>
      <c r="U193" s="151" t="s">
        <v>24</v>
      </c>
      <c r="V193" s="151" t="s">
        <v>24</v>
      </c>
      <c r="W193" s="151" t="s">
        <v>24</v>
      </c>
      <c r="X193" s="151" t="s">
        <v>24</v>
      </c>
      <c r="Y193" s="151" t="s">
        <v>24</v>
      </c>
      <c r="Z193" s="151" t="s">
        <v>24</v>
      </c>
      <c r="AA193" s="137"/>
      <c r="AB193" s="234" t="s">
        <v>888</v>
      </c>
      <c r="AC193" s="234" t="s">
        <v>889</v>
      </c>
      <c r="AD193" s="234" t="s">
        <v>890</v>
      </c>
      <c r="AE193" s="204" t="s">
        <v>12</v>
      </c>
      <c r="AF193" s="204" t="s">
        <v>110</v>
      </c>
      <c r="AG193" s="143">
        <v>21624.04</v>
      </c>
      <c r="AH193" s="143">
        <v>51624.04</v>
      </c>
      <c r="AI193" s="137" t="s">
        <v>6</v>
      </c>
      <c r="AJ193" s="141" t="s">
        <v>105</v>
      </c>
      <c r="AK193" s="204">
        <v>130054913</v>
      </c>
      <c r="AL193" s="137" t="s">
        <v>112</v>
      </c>
      <c r="AM193" s="137" t="s">
        <v>112</v>
      </c>
      <c r="AN193" s="137" t="s">
        <v>113</v>
      </c>
      <c r="AO193" s="137" t="s">
        <v>891</v>
      </c>
      <c r="AP193" s="234" t="s">
        <v>892</v>
      </c>
      <c r="AQ193" s="137" t="s">
        <v>112</v>
      </c>
      <c r="AR193" s="137" t="s">
        <v>112</v>
      </c>
      <c r="AS193" s="137" t="s">
        <v>112</v>
      </c>
      <c r="AT193" s="137" t="s">
        <v>112</v>
      </c>
      <c r="AU193" s="151">
        <v>45909</v>
      </c>
      <c r="AV193" s="137" t="s">
        <v>112</v>
      </c>
      <c r="AW193" s="137" t="s">
        <v>112</v>
      </c>
      <c r="AX193" s="151">
        <v>45929</v>
      </c>
      <c r="AY193" s="144">
        <v>45929</v>
      </c>
      <c r="AZ193" s="151">
        <v>45944</v>
      </c>
      <c r="BA193" s="145" t="s">
        <v>115</v>
      </c>
      <c r="BB193" s="147" t="s">
        <v>112</v>
      </c>
      <c r="BC193" s="146">
        <f t="shared" si="27"/>
        <v>77</v>
      </c>
      <c r="BD193" s="137" t="str">
        <f t="shared" si="28"/>
        <v>INDENIZAÇÃO</v>
      </c>
      <c r="BE193" s="137" t="str">
        <f t="shared" si="29"/>
        <v>NÃO</v>
      </c>
      <c r="BF193" s="137" t="s">
        <v>24</v>
      </c>
      <c r="BG193" s="137" t="s">
        <v>24</v>
      </c>
      <c r="BH193" s="137" t="s">
        <v>24</v>
      </c>
      <c r="BI193" s="137" t="s">
        <v>112</v>
      </c>
      <c r="BJ193" s="137" t="s">
        <v>112</v>
      </c>
      <c r="BK193" s="151">
        <v>45951</v>
      </c>
      <c r="BL193" s="137" t="s">
        <v>112</v>
      </c>
      <c r="BM193" s="145" t="s">
        <v>33</v>
      </c>
      <c r="BN193" s="266"/>
    </row>
    <row r="194" spans="1:66" s="152" customFormat="1" ht="30" customHeight="1">
      <c r="A194" s="204">
        <v>181</v>
      </c>
      <c r="B194" s="204" t="s">
        <v>99</v>
      </c>
      <c r="C194" s="233" t="s">
        <v>244</v>
      </c>
      <c r="D194" s="205" t="s">
        <v>101</v>
      </c>
      <c r="E194" s="204" t="s">
        <v>101</v>
      </c>
      <c r="F194" s="234" t="s">
        <v>893</v>
      </c>
      <c r="G194" s="235" t="s">
        <v>1</v>
      </c>
      <c r="H194" s="235" t="s">
        <v>2</v>
      </c>
      <c r="I194" s="235" t="s">
        <v>510</v>
      </c>
      <c r="J194" s="234" t="s">
        <v>894</v>
      </c>
      <c r="K194" s="234" t="s">
        <v>895</v>
      </c>
      <c r="L194" s="234" t="s">
        <v>896</v>
      </c>
      <c r="M194" s="204" t="s">
        <v>110</v>
      </c>
      <c r="N194" s="204" t="s">
        <v>128</v>
      </c>
      <c r="O194" s="151">
        <v>45911</v>
      </c>
      <c r="P194" s="144" t="s">
        <v>17</v>
      </c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37"/>
      <c r="AB194" s="234" t="s">
        <v>897</v>
      </c>
      <c r="AC194" s="234" t="s">
        <v>898</v>
      </c>
      <c r="AD194" s="234" t="s">
        <v>899</v>
      </c>
      <c r="AE194" s="204" t="s">
        <v>3</v>
      </c>
      <c r="AF194" s="204" t="s">
        <v>110</v>
      </c>
      <c r="AG194" s="143">
        <v>55923.08</v>
      </c>
      <c r="AH194" s="143">
        <v>55923.08</v>
      </c>
      <c r="AI194" s="137" t="s">
        <v>6</v>
      </c>
      <c r="AJ194" s="141" t="s">
        <v>105</v>
      </c>
      <c r="AK194" s="204">
        <v>118204970</v>
      </c>
      <c r="AL194" s="204" t="s">
        <v>112</v>
      </c>
      <c r="AM194" s="204" t="s">
        <v>112</v>
      </c>
      <c r="AN194" s="204" t="s">
        <v>113</v>
      </c>
      <c r="AO194" s="137"/>
      <c r="AP194" s="234" t="s">
        <v>900</v>
      </c>
      <c r="AQ194" s="137" t="s">
        <v>112</v>
      </c>
      <c r="AR194" s="137" t="s">
        <v>112</v>
      </c>
      <c r="AS194" s="137" t="s">
        <v>112</v>
      </c>
      <c r="AT194" s="137" t="s">
        <v>112</v>
      </c>
      <c r="AU194" s="151">
        <v>45996</v>
      </c>
      <c r="AV194" s="137" t="s">
        <v>112</v>
      </c>
      <c r="AW194" s="204" t="s">
        <v>112</v>
      </c>
      <c r="AX194" s="151">
        <v>46013</v>
      </c>
      <c r="AY194" s="144">
        <v>46013</v>
      </c>
      <c r="AZ194" s="144" t="s">
        <v>33</v>
      </c>
      <c r="BA194" s="145" t="s">
        <v>115</v>
      </c>
      <c r="BB194" s="147" t="s">
        <v>112</v>
      </c>
      <c r="BC194" s="146">
        <f t="shared" si="27"/>
        <v>102</v>
      </c>
      <c r="BD194" s="137" t="str">
        <f t="shared" si="28"/>
        <v>INDENIZAÇÃO</v>
      </c>
      <c r="BE194" s="137" t="str">
        <f t="shared" si="29"/>
        <v>NÃO</v>
      </c>
      <c r="BF194" s="137" t="s">
        <v>24</v>
      </c>
      <c r="BG194" s="137" t="s">
        <v>24</v>
      </c>
      <c r="BH194" s="137" t="s">
        <v>24</v>
      </c>
      <c r="BI194" s="137" t="s">
        <v>112</v>
      </c>
      <c r="BJ194" s="137" t="s">
        <v>112</v>
      </c>
      <c r="BK194" s="151">
        <v>46112</v>
      </c>
      <c r="BL194" s="137" t="s">
        <v>112</v>
      </c>
      <c r="BM194" s="145" t="s">
        <v>33</v>
      </c>
      <c r="BN194" s="266"/>
    </row>
    <row r="195" spans="1:66" s="152" customFormat="1" ht="30" customHeight="1">
      <c r="A195" s="204">
        <v>182</v>
      </c>
      <c r="B195" s="204" t="s">
        <v>99</v>
      </c>
      <c r="C195" s="233" t="s">
        <v>244</v>
      </c>
      <c r="D195" s="205" t="s">
        <v>101</v>
      </c>
      <c r="E195" s="204" t="s">
        <v>101</v>
      </c>
      <c r="F195" s="234" t="s">
        <v>901</v>
      </c>
      <c r="G195" s="235" t="s">
        <v>1</v>
      </c>
      <c r="H195" s="235" t="s">
        <v>2</v>
      </c>
      <c r="I195" s="204" t="s">
        <v>12</v>
      </c>
      <c r="J195" s="234" t="s">
        <v>902</v>
      </c>
      <c r="K195" s="234" t="s">
        <v>903</v>
      </c>
      <c r="L195" s="234" t="s">
        <v>904</v>
      </c>
      <c r="M195" s="204" t="s">
        <v>110</v>
      </c>
      <c r="N195" s="204" t="s">
        <v>5</v>
      </c>
      <c r="O195" s="151">
        <v>45819</v>
      </c>
      <c r="P195" s="151" t="s">
        <v>24</v>
      </c>
      <c r="Q195" s="151" t="s">
        <v>24</v>
      </c>
      <c r="R195" s="151" t="s">
        <v>24</v>
      </c>
      <c r="S195" s="151" t="s">
        <v>24</v>
      </c>
      <c r="T195" s="151" t="s">
        <v>24</v>
      </c>
      <c r="U195" s="151" t="s">
        <v>24</v>
      </c>
      <c r="V195" s="151" t="s">
        <v>24</v>
      </c>
      <c r="W195" s="151" t="s">
        <v>24</v>
      </c>
      <c r="X195" s="151" t="s">
        <v>24</v>
      </c>
      <c r="Y195" s="151" t="s">
        <v>24</v>
      </c>
      <c r="Z195" s="151" t="s">
        <v>24</v>
      </c>
      <c r="AA195" s="137"/>
      <c r="AB195" s="234" t="s">
        <v>902</v>
      </c>
      <c r="AC195" s="234" t="s">
        <v>903</v>
      </c>
      <c r="AD195" s="234" t="s">
        <v>904</v>
      </c>
      <c r="AE195" s="204" t="s">
        <v>12</v>
      </c>
      <c r="AF195" s="204" t="s">
        <v>110</v>
      </c>
      <c r="AG195" s="143">
        <v>11314.76</v>
      </c>
      <c r="AH195" s="143">
        <v>41314.76</v>
      </c>
      <c r="AI195" s="137" t="s">
        <v>6</v>
      </c>
      <c r="AJ195" s="141" t="s">
        <v>105</v>
      </c>
      <c r="AK195" s="204">
        <v>119687892</v>
      </c>
      <c r="AL195" s="137" t="s">
        <v>112</v>
      </c>
      <c r="AM195" s="137" t="s">
        <v>112</v>
      </c>
      <c r="AN195" s="137" t="s">
        <v>113</v>
      </c>
      <c r="AO195" s="137"/>
      <c r="AP195" s="234" t="s">
        <v>905</v>
      </c>
      <c r="AQ195" s="137" t="s">
        <v>112</v>
      </c>
      <c r="AR195" s="137" t="s">
        <v>112</v>
      </c>
      <c r="AS195" s="137" t="s">
        <v>112</v>
      </c>
      <c r="AT195" s="137" t="s">
        <v>112</v>
      </c>
      <c r="AU195" s="151">
        <v>45909</v>
      </c>
      <c r="AV195" s="137" t="s">
        <v>112</v>
      </c>
      <c r="AW195" s="137" t="s">
        <v>112</v>
      </c>
      <c r="AX195" s="151">
        <v>45917</v>
      </c>
      <c r="AY195" s="144">
        <v>45917</v>
      </c>
      <c r="AZ195" s="151">
        <v>45944</v>
      </c>
      <c r="BA195" s="145" t="s">
        <v>115</v>
      </c>
      <c r="BB195" s="147" t="s">
        <v>112</v>
      </c>
      <c r="BC195" s="146">
        <f t="shared" si="27"/>
        <v>98</v>
      </c>
      <c r="BD195" s="137" t="str">
        <f t="shared" si="28"/>
        <v>INDENIZAÇÃO</v>
      </c>
      <c r="BE195" s="137" t="str">
        <f t="shared" si="29"/>
        <v>NÃO</v>
      </c>
      <c r="BF195" s="137" t="s">
        <v>24</v>
      </c>
      <c r="BG195" s="137" t="s">
        <v>24</v>
      </c>
      <c r="BH195" s="137" t="s">
        <v>24</v>
      </c>
      <c r="BI195" s="137" t="s">
        <v>112</v>
      </c>
      <c r="BJ195" s="137" t="s">
        <v>112</v>
      </c>
      <c r="BK195" s="151">
        <v>45937</v>
      </c>
      <c r="BL195" s="137" t="s">
        <v>112</v>
      </c>
      <c r="BM195" s="145" t="s">
        <v>33</v>
      </c>
      <c r="BN195" s="266"/>
    </row>
    <row r="196" spans="1:66" s="152" customFormat="1" ht="30" customHeight="1">
      <c r="A196" s="204">
        <v>183</v>
      </c>
      <c r="B196" s="204" t="s">
        <v>99</v>
      </c>
      <c r="C196" s="233" t="s">
        <v>244</v>
      </c>
      <c r="D196" s="205" t="s">
        <v>101</v>
      </c>
      <c r="E196" s="204" t="s">
        <v>101</v>
      </c>
      <c r="F196" s="234" t="s">
        <v>906</v>
      </c>
      <c r="G196" s="235" t="s">
        <v>1</v>
      </c>
      <c r="H196" s="235" t="s">
        <v>2</v>
      </c>
      <c r="I196" s="235" t="s">
        <v>12</v>
      </c>
      <c r="J196" s="234" t="s">
        <v>907</v>
      </c>
      <c r="K196" s="234" t="s">
        <v>175</v>
      </c>
      <c r="L196" s="234" t="s">
        <v>908</v>
      </c>
      <c r="M196" s="204"/>
      <c r="N196" s="204"/>
      <c r="O196" s="151"/>
      <c r="P196" s="151"/>
      <c r="Q196" s="151"/>
      <c r="R196" s="151"/>
      <c r="S196" s="142"/>
      <c r="T196" s="142"/>
      <c r="U196" s="142"/>
      <c r="V196" s="142"/>
      <c r="W196" s="142"/>
      <c r="X196" s="142"/>
      <c r="Y196" s="142"/>
      <c r="Z196" s="142"/>
      <c r="AA196" s="137"/>
      <c r="AB196" s="206"/>
      <c r="AC196" s="206"/>
      <c r="AD196" s="206"/>
      <c r="AE196" s="204"/>
      <c r="AF196" s="204"/>
      <c r="AG196" s="143"/>
      <c r="AH196" s="143"/>
      <c r="AI196" s="137"/>
      <c r="AJ196" s="141" t="s">
        <v>105</v>
      </c>
      <c r="AK196" s="204"/>
      <c r="AL196" s="137"/>
      <c r="AM196" s="137"/>
      <c r="AN196" s="137"/>
      <c r="AO196" s="137"/>
      <c r="AP196" s="234"/>
      <c r="AQ196" s="137"/>
      <c r="AR196" s="137"/>
      <c r="AS196" s="137"/>
      <c r="AT196" s="137"/>
      <c r="AU196" s="151"/>
      <c r="AV196" s="137"/>
      <c r="AW196" s="137"/>
      <c r="AX196" s="151"/>
      <c r="AY196" s="142"/>
      <c r="AZ196" s="142"/>
      <c r="BA196" s="137"/>
      <c r="BB196" s="147"/>
      <c r="BC196" s="146" t="str">
        <f t="shared" si="27"/>
        <v/>
      </c>
      <c r="BD196" s="137" t="str">
        <f t="shared" si="28"/>
        <v>INDENIZAÇÃO</v>
      </c>
      <c r="BE196" s="137" t="str">
        <f t="shared" si="29"/>
        <v>NÃO</v>
      </c>
      <c r="BF196" s="137"/>
      <c r="BG196" s="137"/>
      <c r="BH196" s="137"/>
      <c r="BI196" s="137"/>
      <c r="BJ196" s="137"/>
      <c r="BK196" s="151"/>
      <c r="BL196" s="137"/>
      <c r="BM196" s="137"/>
      <c r="BN196" s="266"/>
    </row>
    <row r="197" spans="1:66" s="152" customFormat="1" ht="30" customHeight="1">
      <c r="A197" s="204">
        <v>184</v>
      </c>
      <c r="B197" s="204" t="s">
        <v>99</v>
      </c>
      <c r="C197" s="233" t="s">
        <v>244</v>
      </c>
      <c r="D197" s="205" t="s">
        <v>101</v>
      </c>
      <c r="E197" s="204" t="s">
        <v>101</v>
      </c>
      <c r="F197" s="234" t="s">
        <v>909</v>
      </c>
      <c r="G197" s="235" t="s">
        <v>1</v>
      </c>
      <c r="H197" s="235" t="s">
        <v>20</v>
      </c>
      <c r="I197" s="235" t="s">
        <v>12</v>
      </c>
      <c r="J197" s="234" t="s">
        <v>910</v>
      </c>
      <c r="K197" s="234" t="s">
        <v>911</v>
      </c>
      <c r="L197" s="234" t="s">
        <v>912</v>
      </c>
      <c r="M197" s="204"/>
      <c r="N197" s="204"/>
      <c r="O197" s="151"/>
      <c r="P197" s="151"/>
      <c r="Q197" s="151"/>
      <c r="R197" s="151"/>
      <c r="S197" s="142"/>
      <c r="T197" s="142"/>
      <c r="U197" s="142"/>
      <c r="V197" s="142"/>
      <c r="W197" s="142"/>
      <c r="X197" s="142"/>
      <c r="Y197" s="142"/>
      <c r="Z197" s="142"/>
      <c r="AA197" s="137"/>
      <c r="AB197" s="206"/>
      <c r="AC197" s="206"/>
      <c r="AD197" s="206"/>
      <c r="AE197" s="204"/>
      <c r="AF197" s="204"/>
      <c r="AI197" s="137"/>
      <c r="AJ197" s="141" t="s">
        <v>105</v>
      </c>
      <c r="AK197" s="204"/>
      <c r="AL197" s="137"/>
      <c r="AM197" s="137"/>
      <c r="AN197" s="137"/>
      <c r="AO197" s="137"/>
      <c r="AP197" s="234"/>
      <c r="AQ197" s="137"/>
      <c r="AR197" s="137"/>
      <c r="AS197" s="137"/>
      <c r="AT197" s="137"/>
      <c r="AU197" s="151"/>
      <c r="AV197" s="137"/>
      <c r="AW197" s="137"/>
      <c r="AX197" s="151"/>
      <c r="AY197" s="142"/>
      <c r="AZ197" s="142"/>
      <c r="BA197" s="137"/>
      <c r="BB197" s="147"/>
      <c r="BC197" s="146" t="str">
        <f t="shared" si="27"/>
        <v/>
      </c>
      <c r="BD197" s="137" t="str">
        <f t="shared" si="28"/>
        <v>INDENIZAÇÃO</v>
      </c>
      <c r="BE197" s="137" t="str">
        <f t="shared" si="29"/>
        <v>NÃO</v>
      </c>
      <c r="BF197" s="137"/>
      <c r="BG197" s="137"/>
      <c r="BH197" s="137"/>
      <c r="BI197" s="137"/>
      <c r="BJ197" s="137"/>
      <c r="BK197" s="151"/>
      <c r="BL197" s="137"/>
      <c r="BM197" s="137"/>
      <c r="BN197" s="266"/>
    </row>
    <row r="198" spans="1:66" s="152" customFormat="1" ht="30" customHeight="1">
      <c r="A198" s="204">
        <v>185</v>
      </c>
      <c r="B198" s="204" t="s">
        <v>99</v>
      </c>
      <c r="C198" s="233" t="s">
        <v>244</v>
      </c>
      <c r="D198" s="205" t="s">
        <v>101</v>
      </c>
      <c r="E198" s="204" t="s">
        <v>101</v>
      </c>
      <c r="F198" s="234" t="s">
        <v>913</v>
      </c>
      <c r="G198" s="235" t="s">
        <v>1</v>
      </c>
      <c r="H198" s="235" t="s">
        <v>2</v>
      </c>
      <c r="I198" s="235" t="s">
        <v>12</v>
      </c>
      <c r="J198" s="234" t="s">
        <v>914</v>
      </c>
      <c r="K198" s="234" t="s">
        <v>175</v>
      </c>
      <c r="L198" s="234" t="s">
        <v>915</v>
      </c>
      <c r="M198" s="204"/>
      <c r="N198" s="204"/>
      <c r="O198" s="151"/>
      <c r="P198" s="151"/>
      <c r="Q198" s="151"/>
      <c r="R198" s="151"/>
      <c r="S198" s="142"/>
      <c r="T198" s="142"/>
      <c r="U198" s="142"/>
      <c r="V198" s="142"/>
      <c r="W198" s="142"/>
      <c r="X198" s="142"/>
      <c r="Y198" s="142"/>
      <c r="Z198" s="142"/>
      <c r="AA198" s="137"/>
      <c r="AB198" s="206"/>
      <c r="AC198" s="206"/>
      <c r="AD198" s="206"/>
      <c r="AE198" s="204"/>
      <c r="AF198" s="204"/>
      <c r="AG198" s="143"/>
      <c r="AH198" s="143"/>
      <c r="AI198" s="137"/>
      <c r="AJ198" s="141" t="s">
        <v>105</v>
      </c>
      <c r="AK198" s="204"/>
      <c r="AL198" s="137"/>
      <c r="AM198" s="137"/>
      <c r="AN198" s="137"/>
      <c r="AO198" s="137"/>
      <c r="AP198" s="234"/>
      <c r="AQ198" s="137"/>
      <c r="AR198" s="137"/>
      <c r="AS198" s="137"/>
      <c r="AT198" s="137"/>
      <c r="AU198" s="151"/>
      <c r="AV198" s="137"/>
      <c r="AW198" s="137"/>
      <c r="AX198" s="151"/>
      <c r="AY198" s="142"/>
      <c r="AZ198" s="142"/>
      <c r="BA198" s="137"/>
      <c r="BB198" s="147"/>
      <c r="BC198" s="146" t="str">
        <f t="shared" si="27"/>
        <v/>
      </c>
      <c r="BD198" s="137" t="str">
        <f t="shared" si="28"/>
        <v>INDENIZAÇÃO</v>
      </c>
      <c r="BE198" s="137" t="str">
        <f t="shared" si="29"/>
        <v>NÃO</v>
      </c>
      <c r="BF198" s="137"/>
      <c r="BG198" s="137"/>
      <c r="BH198" s="137"/>
      <c r="BI198" s="137"/>
      <c r="BJ198" s="137"/>
      <c r="BK198" s="151"/>
      <c r="BL198" s="137"/>
      <c r="BM198" s="137"/>
      <c r="BN198" s="266"/>
    </row>
    <row r="199" spans="1:66" s="152" customFormat="1" ht="30" customHeight="1">
      <c r="A199" s="204">
        <v>186</v>
      </c>
      <c r="B199" s="204" t="s">
        <v>99</v>
      </c>
      <c r="C199" s="233" t="s">
        <v>244</v>
      </c>
      <c r="D199" s="205" t="s">
        <v>101</v>
      </c>
      <c r="E199" s="204" t="s">
        <v>101</v>
      </c>
      <c r="F199" s="234" t="s">
        <v>916</v>
      </c>
      <c r="G199" s="235" t="s">
        <v>1</v>
      </c>
      <c r="H199" s="235" t="s">
        <v>2</v>
      </c>
      <c r="I199" s="235" t="s">
        <v>12</v>
      </c>
      <c r="J199" s="234" t="s">
        <v>917</v>
      </c>
      <c r="K199" s="234" t="s">
        <v>918</v>
      </c>
      <c r="L199" s="234" t="s">
        <v>919</v>
      </c>
      <c r="M199" s="204"/>
      <c r="N199" s="204"/>
      <c r="O199" s="151"/>
      <c r="P199" s="151"/>
      <c r="Q199" s="151"/>
      <c r="R199" s="151"/>
      <c r="S199" s="142"/>
      <c r="T199" s="142"/>
      <c r="U199" s="142"/>
      <c r="V199" s="142"/>
      <c r="W199" s="142"/>
      <c r="X199" s="142"/>
      <c r="Y199" s="142"/>
      <c r="Z199" s="142"/>
      <c r="AA199" s="137"/>
      <c r="AB199" s="206"/>
      <c r="AC199" s="206"/>
      <c r="AD199" s="206"/>
      <c r="AE199" s="204"/>
      <c r="AF199" s="204"/>
      <c r="AG199" s="143"/>
      <c r="AH199" s="143"/>
      <c r="AI199" s="137"/>
      <c r="AJ199" s="141" t="s">
        <v>105</v>
      </c>
      <c r="AK199" s="204"/>
      <c r="AL199" s="137"/>
      <c r="AM199" s="137"/>
      <c r="AN199" s="137"/>
      <c r="AO199" s="137"/>
      <c r="AP199" s="234"/>
      <c r="AQ199" s="137"/>
      <c r="AR199" s="137"/>
      <c r="AS199" s="137"/>
      <c r="AT199" s="137"/>
      <c r="AU199" s="151"/>
      <c r="AV199" s="137"/>
      <c r="AW199" s="137"/>
      <c r="AX199" s="151"/>
      <c r="AY199" s="142"/>
      <c r="AZ199" s="142"/>
      <c r="BA199" s="137"/>
      <c r="BB199" s="147"/>
      <c r="BC199" s="146" t="str">
        <f t="shared" si="27"/>
        <v/>
      </c>
      <c r="BD199" s="137" t="str">
        <f t="shared" si="28"/>
        <v>INDENIZAÇÃO</v>
      </c>
      <c r="BE199" s="137" t="str">
        <f t="shared" si="29"/>
        <v>NÃO</v>
      </c>
      <c r="BF199" s="137"/>
      <c r="BG199" s="137"/>
      <c r="BH199" s="137"/>
      <c r="BI199" s="137"/>
      <c r="BJ199" s="137"/>
      <c r="BK199" s="151"/>
      <c r="BL199" s="137"/>
      <c r="BM199" s="137"/>
      <c r="BN199" s="266"/>
    </row>
    <row r="200" spans="1:66" s="152" customFormat="1" ht="30" customHeight="1">
      <c r="A200" s="204">
        <v>187</v>
      </c>
      <c r="B200" s="204" t="s">
        <v>99</v>
      </c>
      <c r="C200" s="233" t="s">
        <v>244</v>
      </c>
      <c r="D200" s="205" t="s">
        <v>101</v>
      </c>
      <c r="E200" s="204" t="s">
        <v>101</v>
      </c>
      <c r="F200" s="234" t="s">
        <v>920</v>
      </c>
      <c r="G200" s="235" t="s">
        <v>1</v>
      </c>
      <c r="H200" s="235" t="s">
        <v>2</v>
      </c>
      <c r="I200" s="235" t="s">
        <v>12</v>
      </c>
      <c r="J200" s="234" t="s">
        <v>921</v>
      </c>
      <c r="K200" s="234" t="s">
        <v>922</v>
      </c>
      <c r="L200" s="234" t="s">
        <v>923</v>
      </c>
      <c r="M200" s="204"/>
      <c r="N200" s="204"/>
      <c r="O200" s="151"/>
      <c r="P200" s="151"/>
      <c r="Q200" s="151"/>
      <c r="R200" s="151"/>
      <c r="S200" s="142"/>
      <c r="T200" s="142"/>
      <c r="U200" s="142"/>
      <c r="V200" s="142"/>
      <c r="W200" s="142"/>
      <c r="X200" s="142"/>
      <c r="Y200" s="142"/>
      <c r="Z200" s="142"/>
      <c r="AA200" s="137"/>
      <c r="AB200" s="206"/>
      <c r="AC200" s="206"/>
      <c r="AD200" s="206"/>
      <c r="AE200" s="204"/>
      <c r="AF200" s="204"/>
      <c r="AG200" s="143"/>
      <c r="AH200" s="143"/>
      <c r="AI200" s="137"/>
      <c r="AJ200" s="141" t="s">
        <v>105</v>
      </c>
      <c r="AK200" s="204"/>
      <c r="AL200" s="137"/>
      <c r="AM200" s="137"/>
      <c r="AN200" s="137"/>
      <c r="AO200" s="137"/>
      <c r="AP200" s="234"/>
      <c r="AQ200" s="137"/>
      <c r="AR200" s="137"/>
      <c r="AS200" s="137"/>
      <c r="AT200" s="137"/>
      <c r="AU200" s="151"/>
      <c r="AV200" s="137"/>
      <c r="AW200" s="137"/>
      <c r="AX200" s="151"/>
      <c r="AY200" s="142"/>
      <c r="AZ200" s="142"/>
      <c r="BA200" s="137"/>
      <c r="BB200" s="147"/>
      <c r="BC200" s="146" t="str">
        <f t="shared" si="27"/>
        <v/>
      </c>
      <c r="BD200" s="137" t="str">
        <f t="shared" si="28"/>
        <v>INDENIZAÇÃO</v>
      </c>
      <c r="BE200" s="137" t="str">
        <f t="shared" si="29"/>
        <v>NÃO</v>
      </c>
      <c r="BF200" s="137"/>
      <c r="BG200" s="137"/>
      <c r="BH200" s="137"/>
      <c r="BI200" s="137"/>
      <c r="BJ200" s="137"/>
      <c r="BK200" s="151"/>
      <c r="BL200" s="137"/>
      <c r="BM200" s="137"/>
      <c r="BN200" s="266"/>
    </row>
    <row r="201" spans="1:66" s="152" customFormat="1" ht="30" customHeight="1">
      <c r="A201" s="204"/>
      <c r="B201" s="204"/>
      <c r="C201" s="233"/>
      <c r="D201" s="205"/>
      <c r="E201" s="205"/>
      <c r="F201" s="206"/>
      <c r="G201" s="204"/>
      <c r="H201" s="204"/>
      <c r="I201" s="235"/>
      <c r="J201" s="206"/>
      <c r="K201" s="206"/>
      <c r="L201" s="206"/>
      <c r="M201" s="204"/>
      <c r="N201" s="204"/>
      <c r="O201" s="151"/>
      <c r="P201" s="151"/>
      <c r="Q201" s="151"/>
      <c r="R201" s="151"/>
      <c r="S201" s="142"/>
      <c r="T201" s="142"/>
      <c r="U201" s="142"/>
      <c r="V201" s="142"/>
      <c r="W201" s="142"/>
      <c r="X201" s="142"/>
      <c r="Y201" s="142"/>
      <c r="Z201" s="142"/>
      <c r="AA201" s="137"/>
      <c r="AB201" s="206"/>
      <c r="AC201" s="206"/>
      <c r="AD201" s="206"/>
      <c r="AE201" s="204"/>
      <c r="AF201" s="204"/>
      <c r="AG201" s="143"/>
      <c r="AH201" s="143"/>
      <c r="AI201" s="137"/>
      <c r="AJ201" s="137"/>
      <c r="AK201" s="204"/>
      <c r="AL201" s="137"/>
      <c r="AM201" s="137"/>
      <c r="AN201" s="137"/>
      <c r="AO201" s="137"/>
      <c r="AP201" s="275"/>
      <c r="AQ201" s="137"/>
      <c r="AR201" s="137"/>
      <c r="AS201" s="137"/>
      <c r="AT201" s="137"/>
      <c r="AU201" s="151"/>
      <c r="AV201" s="137"/>
      <c r="AW201" s="137"/>
      <c r="AX201" s="151"/>
      <c r="AY201" s="142"/>
      <c r="AZ201" s="142"/>
      <c r="BA201" s="137"/>
      <c r="BB201" s="147"/>
      <c r="BC201" s="146" t="str">
        <f t="shared" si="27"/>
        <v/>
      </c>
      <c r="BD201" s="137" t="str">
        <f t="shared" si="28"/>
        <v>INDENIZAÇÃO</v>
      </c>
      <c r="BE201" s="137" t="str">
        <f t="shared" si="29"/>
        <v>NÃO</v>
      </c>
      <c r="BF201" s="137"/>
      <c r="BG201" s="137"/>
      <c r="BH201" s="137"/>
      <c r="BI201" s="137"/>
      <c r="BJ201" s="137"/>
      <c r="BK201" s="151"/>
      <c r="BL201" s="137"/>
      <c r="BM201" s="137"/>
      <c r="BN201" s="266"/>
    </row>
    <row r="202" spans="1:66" s="152" customFormat="1" ht="30" customHeight="1">
      <c r="A202" s="204"/>
      <c r="B202" s="204"/>
      <c r="C202" s="204"/>
      <c r="D202" s="205"/>
      <c r="E202" s="204"/>
      <c r="F202" s="206"/>
      <c r="G202" s="204"/>
      <c r="H202" s="204"/>
      <c r="I202" s="204"/>
      <c r="J202" s="206"/>
      <c r="K202" s="206"/>
      <c r="L202" s="206"/>
      <c r="M202" s="204"/>
      <c r="N202" s="204"/>
      <c r="O202" s="151"/>
      <c r="P202" s="151"/>
      <c r="Q202" s="151"/>
      <c r="R202" s="151"/>
      <c r="S202" s="142"/>
      <c r="T202" s="142"/>
      <c r="U202" s="142"/>
      <c r="V202" s="142"/>
      <c r="W202" s="142"/>
      <c r="X202" s="142"/>
      <c r="Y202" s="142"/>
      <c r="Z202" s="142"/>
      <c r="AA202" s="137"/>
      <c r="AB202" s="206"/>
      <c r="AC202" s="206"/>
      <c r="AD202" s="206"/>
      <c r="AE202" s="204"/>
      <c r="AF202" s="204"/>
      <c r="AG202" s="143"/>
      <c r="AH202" s="143"/>
      <c r="AI202" s="137"/>
      <c r="AJ202" s="137"/>
      <c r="AK202" s="204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51"/>
      <c r="AV202" s="137"/>
      <c r="AW202" s="137"/>
      <c r="AX202" s="151"/>
      <c r="AY202" s="142"/>
      <c r="AZ202" s="142"/>
      <c r="BA202" s="137"/>
      <c r="BB202" s="147"/>
      <c r="BC202" s="146" t="str">
        <f t="shared" si="27"/>
        <v/>
      </c>
      <c r="BD202" s="137" t="str">
        <f t="shared" si="28"/>
        <v>INDENIZAÇÃO</v>
      </c>
      <c r="BE202" s="137" t="str">
        <f t="shared" si="29"/>
        <v>NÃO</v>
      </c>
      <c r="BF202" s="137"/>
      <c r="BG202" s="137"/>
      <c r="BH202" s="137"/>
      <c r="BI202" s="137"/>
      <c r="BJ202" s="137"/>
      <c r="BK202" s="151"/>
      <c r="BL202" s="137"/>
      <c r="BM202" s="137"/>
      <c r="BN202" s="266"/>
    </row>
    <row r="203" spans="1:66" s="152" customFormat="1" ht="30" customHeight="1">
      <c r="A203" s="204"/>
      <c r="B203" s="204"/>
      <c r="C203" s="204"/>
      <c r="D203" s="205"/>
      <c r="E203" s="204"/>
      <c r="F203" s="206"/>
      <c r="G203" s="204"/>
      <c r="H203" s="204"/>
      <c r="I203" s="204"/>
      <c r="J203" s="206"/>
      <c r="K203" s="206"/>
      <c r="L203" s="206"/>
      <c r="M203" s="204"/>
      <c r="N203" s="204"/>
      <c r="O203" s="151"/>
      <c r="P203" s="151"/>
      <c r="Q203" s="151"/>
      <c r="R203" s="151"/>
      <c r="S203" s="142"/>
      <c r="T203" s="142"/>
      <c r="U203" s="142"/>
      <c r="V203" s="142"/>
      <c r="W203" s="142"/>
      <c r="X203" s="142"/>
      <c r="Y203" s="142"/>
      <c r="Z203" s="142"/>
      <c r="AA203" s="137"/>
      <c r="AB203" s="206"/>
      <c r="AC203" s="206"/>
      <c r="AD203" s="206"/>
      <c r="AE203" s="204"/>
      <c r="AF203" s="204"/>
      <c r="AG203" s="143"/>
      <c r="AH203" s="143"/>
      <c r="AI203" s="137"/>
      <c r="AJ203" s="137"/>
      <c r="AK203" s="204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51"/>
      <c r="AV203" s="137"/>
      <c r="AW203" s="137"/>
      <c r="AX203" s="151"/>
      <c r="AY203" s="142"/>
      <c r="AZ203" s="142"/>
      <c r="BA203" s="137"/>
      <c r="BB203" s="147"/>
      <c r="BC203" s="146" t="str">
        <f t="shared" si="27"/>
        <v/>
      </c>
      <c r="BD203" s="137" t="str">
        <f t="shared" si="28"/>
        <v>INDENIZAÇÃO</v>
      </c>
      <c r="BE203" s="137" t="str">
        <f t="shared" si="29"/>
        <v>NÃO</v>
      </c>
      <c r="BF203" s="137"/>
      <c r="BG203" s="137"/>
      <c r="BH203" s="137"/>
      <c r="BI203" s="137"/>
      <c r="BJ203" s="137"/>
      <c r="BK203" s="151"/>
      <c r="BL203" s="137"/>
      <c r="BM203" s="137"/>
      <c r="BN203" s="266"/>
    </row>
    <row r="204" spans="1:66" s="152" customFormat="1" ht="30" customHeight="1">
      <c r="A204" s="204"/>
      <c r="B204" s="204"/>
      <c r="C204" s="204"/>
      <c r="D204" s="205"/>
      <c r="E204" s="204"/>
      <c r="F204" s="206"/>
      <c r="G204" s="204"/>
      <c r="H204" s="204"/>
      <c r="I204" s="204"/>
      <c r="J204" s="206"/>
      <c r="K204" s="206"/>
      <c r="L204" s="206"/>
      <c r="M204" s="204"/>
      <c r="N204" s="204"/>
      <c r="O204" s="151"/>
      <c r="P204" s="151"/>
      <c r="Q204" s="151"/>
      <c r="R204" s="151"/>
      <c r="S204" s="142"/>
      <c r="T204" s="142"/>
      <c r="U204" s="142"/>
      <c r="V204" s="142"/>
      <c r="W204" s="142"/>
      <c r="X204" s="142"/>
      <c r="Y204" s="142"/>
      <c r="Z204" s="142"/>
      <c r="AA204" s="137"/>
      <c r="AB204" s="206"/>
      <c r="AC204" s="206"/>
      <c r="AD204" s="206"/>
      <c r="AE204" s="204"/>
      <c r="AF204" s="204"/>
      <c r="AG204" s="143"/>
      <c r="AH204" s="143"/>
      <c r="AI204" s="137"/>
      <c r="AJ204" s="137"/>
      <c r="AK204" s="204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51"/>
      <c r="AV204" s="137"/>
      <c r="AW204" s="137"/>
      <c r="AX204" s="151"/>
      <c r="AY204" s="142"/>
      <c r="AZ204" s="142"/>
      <c r="BA204" s="137"/>
      <c r="BB204" s="147"/>
      <c r="BC204" s="146" t="str">
        <f t="shared" si="27"/>
        <v/>
      </c>
      <c r="BD204" s="137" t="str">
        <f t="shared" si="28"/>
        <v>INDENIZAÇÃO</v>
      </c>
      <c r="BE204" s="137" t="str">
        <f t="shared" si="29"/>
        <v>NÃO</v>
      </c>
      <c r="BF204" s="137"/>
      <c r="BG204" s="137"/>
      <c r="BH204" s="137"/>
      <c r="BI204" s="137"/>
      <c r="BJ204" s="137"/>
      <c r="BK204" s="151"/>
      <c r="BL204" s="137"/>
      <c r="BM204" s="137"/>
      <c r="BN204" s="266"/>
    </row>
    <row r="205" spans="1:66" s="152" customFormat="1" ht="30" customHeight="1">
      <c r="A205" s="204"/>
      <c r="B205" s="204"/>
      <c r="C205" s="204"/>
      <c r="D205" s="205"/>
      <c r="E205" s="204"/>
      <c r="F205" s="206"/>
      <c r="G205" s="204"/>
      <c r="H205" s="204"/>
      <c r="I205" s="204"/>
      <c r="J205" s="206"/>
      <c r="K205" s="206"/>
      <c r="L205" s="206"/>
      <c r="M205" s="204"/>
      <c r="N205" s="204"/>
      <c r="O205" s="151"/>
      <c r="P205" s="151"/>
      <c r="Q205" s="151"/>
      <c r="R205" s="151"/>
      <c r="S205" s="142"/>
      <c r="T205" s="142"/>
      <c r="U205" s="142"/>
      <c r="V205" s="142"/>
      <c r="W205" s="142"/>
      <c r="X205" s="142"/>
      <c r="Y205" s="142"/>
      <c r="Z205" s="142"/>
      <c r="AA205" s="137"/>
      <c r="AB205" s="206"/>
      <c r="AC205" s="206"/>
      <c r="AD205" s="206"/>
      <c r="AE205" s="204"/>
      <c r="AF205" s="204"/>
      <c r="AG205" s="143"/>
      <c r="AH205" s="143"/>
      <c r="AI205" s="137"/>
      <c r="AJ205" s="137"/>
      <c r="AK205" s="204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51"/>
      <c r="AV205" s="137"/>
      <c r="AW205" s="137"/>
      <c r="AX205" s="151"/>
      <c r="AY205" s="142"/>
      <c r="AZ205" s="142"/>
      <c r="BA205" s="137"/>
      <c r="BB205" s="147"/>
      <c r="BC205" s="146" t="str">
        <f t="shared" si="27"/>
        <v/>
      </c>
      <c r="BD205" s="137" t="str">
        <f t="shared" si="28"/>
        <v>INDENIZAÇÃO</v>
      </c>
      <c r="BE205" s="137" t="str">
        <f t="shared" si="29"/>
        <v>NÃO</v>
      </c>
      <c r="BF205" s="137"/>
      <c r="BG205" s="137"/>
      <c r="BH205" s="137"/>
      <c r="BI205" s="137"/>
      <c r="BJ205" s="137"/>
      <c r="BK205" s="151"/>
      <c r="BL205" s="137"/>
      <c r="BM205" s="137"/>
      <c r="BN205" s="266"/>
    </row>
    <row r="206" spans="1:66" s="152" customFormat="1" ht="30" customHeight="1">
      <c r="A206" s="204"/>
      <c r="B206" s="204"/>
      <c r="C206" s="204"/>
      <c r="D206" s="205"/>
      <c r="E206" s="204"/>
      <c r="F206" s="206"/>
      <c r="G206" s="204"/>
      <c r="H206" s="204"/>
      <c r="I206" s="204"/>
      <c r="J206" s="206"/>
      <c r="K206" s="206"/>
      <c r="L206" s="206"/>
      <c r="M206" s="204"/>
      <c r="N206" s="204"/>
      <c r="O206" s="151"/>
      <c r="P206" s="151"/>
      <c r="Q206" s="151"/>
      <c r="R206" s="151"/>
      <c r="S206" s="142"/>
      <c r="T206" s="142"/>
      <c r="U206" s="142"/>
      <c r="V206" s="142"/>
      <c r="W206" s="142"/>
      <c r="X206" s="142"/>
      <c r="Y206" s="142"/>
      <c r="Z206" s="142"/>
      <c r="AA206" s="137"/>
      <c r="AB206" s="206"/>
      <c r="AC206" s="206"/>
      <c r="AD206" s="206"/>
      <c r="AE206" s="204"/>
      <c r="AF206" s="204"/>
      <c r="AG206" s="143"/>
      <c r="AH206" s="143"/>
      <c r="AI206" s="137"/>
      <c r="AJ206" s="137"/>
      <c r="AK206" s="204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51"/>
      <c r="AV206" s="137"/>
      <c r="AW206" s="137"/>
      <c r="AX206" s="151"/>
      <c r="AY206" s="142"/>
      <c r="AZ206" s="142"/>
      <c r="BA206" s="137"/>
      <c r="BB206" s="147"/>
      <c r="BC206" s="146" t="str">
        <f t="shared" ref="BC206:BC212" si="30">IF(AY206-KG206=0,"",AY206-O206)</f>
        <v/>
      </c>
      <c r="BD206" s="137" t="str">
        <f t="shared" ref="BD206:BD222" si="31">IF(AND(AI206&lt;&gt;"SIM",AI206="UH"),"AA","INDENIZAÇÃO")</f>
        <v>INDENIZAÇÃO</v>
      </c>
      <c r="BE206" s="137" t="str">
        <f t="shared" ref="BE206:BE222" si="32">IF(AND(AY206&lt;&gt;"AGUARDANDO",AY206&lt;&gt;"",N206="AUXÍLIO ALUGUEL ATÉ INDENIZAÇÃO"),"SIM","NÃO")</f>
        <v>NÃO</v>
      </c>
      <c r="BF206" s="137"/>
      <c r="BG206" s="137"/>
      <c r="BH206" s="137"/>
      <c r="BI206" s="137"/>
      <c r="BJ206" s="137"/>
      <c r="BK206" s="151"/>
      <c r="BL206" s="137"/>
      <c r="BM206" s="137"/>
      <c r="BN206" s="266"/>
    </row>
    <row r="207" spans="1:66" s="152" customFormat="1" ht="30" customHeight="1">
      <c r="A207" s="204"/>
      <c r="B207" s="204"/>
      <c r="C207" s="204"/>
      <c r="D207" s="205"/>
      <c r="E207" s="204"/>
      <c r="F207" s="206"/>
      <c r="G207" s="204"/>
      <c r="H207" s="204"/>
      <c r="I207" s="204"/>
      <c r="J207" s="206"/>
      <c r="K207" s="206"/>
      <c r="L207" s="206"/>
      <c r="M207" s="204"/>
      <c r="N207" s="204"/>
      <c r="O207" s="151"/>
      <c r="P207" s="151"/>
      <c r="Q207" s="151"/>
      <c r="R207" s="151"/>
      <c r="S207" s="142"/>
      <c r="T207" s="142"/>
      <c r="U207" s="142"/>
      <c r="V207" s="142"/>
      <c r="W207" s="142"/>
      <c r="X207" s="142"/>
      <c r="Y207" s="142"/>
      <c r="Z207" s="142"/>
      <c r="AA207" s="137"/>
      <c r="AB207" s="206"/>
      <c r="AC207" s="206"/>
      <c r="AD207" s="206"/>
      <c r="AE207" s="204"/>
      <c r="AF207" s="204"/>
      <c r="AG207" s="143"/>
      <c r="AH207" s="143"/>
      <c r="AI207" s="137"/>
      <c r="AJ207" s="137"/>
      <c r="AK207" s="204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51"/>
      <c r="AV207" s="137"/>
      <c r="AW207" s="137"/>
      <c r="AX207" s="151"/>
      <c r="AY207" s="142"/>
      <c r="AZ207" s="142"/>
      <c r="BA207" s="137"/>
      <c r="BB207" s="147"/>
      <c r="BC207" s="146" t="str">
        <f t="shared" si="30"/>
        <v/>
      </c>
      <c r="BD207" s="137" t="str">
        <f t="shared" si="31"/>
        <v>INDENIZAÇÃO</v>
      </c>
      <c r="BE207" s="137" t="str">
        <f t="shared" si="32"/>
        <v>NÃO</v>
      </c>
      <c r="BF207" s="137"/>
      <c r="BG207" s="137"/>
      <c r="BH207" s="137"/>
      <c r="BI207" s="137"/>
      <c r="BJ207" s="137"/>
      <c r="BK207" s="151"/>
      <c r="BL207" s="137"/>
      <c r="BM207" s="137"/>
      <c r="BN207" s="266"/>
    </row>
    <row r="208" spans="1:66" s="152" customFormat="1" ht="30" customHeight="1">
      <c r="A208" s="204"/>
      <c r="B208" s="204"/>
      <c r="C208" s="204"/>
      <c r="D208" s="205"/>
      <c r="E208" s="204"/>
      <c r="F208" s="206"/>
      <c r="G208" s="204"/>
      <c r="H208" s="204"/>
      <c r="I208" s="204"/>
      <c r="J208" s="206"/>
      <c r="K208" s="206"/>
      <c r="L208" s="206"/>
      <c r="M208" s="204"/>
      <c r="N208" s="204"/>
      <c r="O208" s="151"/>
      <c r="P208" s="151"/>
      <c r="Q208" s="151"/>
      <c r="R208" s="151"/>
      <c r="S208" s="142"/>
      <c r="T208" s="142"/>
      <c r="U208" s="142"/>
      <c r="V208" s="142"/>
      <c r="W208" s="142"/>
      <c r="X208" s="142"/>
      <c r="Y208" s="142"/>
      <c r="Z208" s="142"/>
      <c r="AA208" s="137"/>
      <c r="AB208" s="206"/>
      <c r="AC208" s="206"/>
      <c r="AD208" s="206"/>
      <c r="AE208" s="204"/>
      <c r="AF208" s="204"/>
      <c r="AG208" s="143"/>
      <c r="AH208" s="143"/>
      <c r="AI208" s="137"/>
      <c r="AJ208" s="137"/>
      <c r="AK208" s="204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51"/>
      <c r="AV208" s="137"/>
      <c r="AW208" s="137"/>
      <c r="AX208" s="151"/>
      <c r="AY208" s="142"/>
      <c r="AZ208" s="142"/>
      <c r="BA208" s="137"/>
      <c r="BB208" s="147"/>
      <c r="BC208" s="146" t="str">
        <f t="shared" si="30"/>
        <v/>
      </c>
      <c r="BD208" s="137" t="str">
        <f t="shared" si="31"/>
        <v>INDENIZAÇÃO</v>
      </c>
      <c r="BE208" s="137" t="str">
        <f t="shared" si="32"/>
        <v>NÃO</v>
      </c>
      <c r="BF208" s="137"/>
      <c r="BG208" s="137"/>
      <c r="BH208" s="137"/>
      <c r="BI208" s="137"/>
      <c r="BJ208" s="137"/>
      <c r="BK208" s="151"/>
      <c r="BL208" s="137"/>
      <c r="BM208" s="137"/>
      <c r="BN208" s="266"/>
    </row>
    <row r="209" spans="1:66" s="152" customFormat="1" ht="30" customHeight="1">
      <c r="A209" s="204"/>
      <c r="B209" s="204"/>
      <c r="C209" s="204"/>
      <c r="D209" s="205"/>
      <c r="E209" s="204"/>
      <c r="F209" s="206"/>
      <c r="G209" s="204"/>
      <c r="H209" s="204"/>
      <c r="I209" s="204"/>
      <c r="J209" s="206"/>
      <c r="K209" s="206"/>
      <c r="L209" s="206"/>
      <c r="M209" s="204"/>
      <c r="N209" s="204"/>
      <c r="O209" s="151"/>
      <c r="P209" s="151"/>
      <c r="Q209" s="151"/>
      <c r="R209" s="151"/>
      <c r="S209" s="142"/>
      <c r="T209" s="142"/>
      <c r="U209" s="142"/>
      <c r="V209" s="142"/>
      <c r="W209" s="142"/>
      <c r="X209" s="142"/>
      <c r="Y209" s="142"/>
      <c r="Z209" s="142"/>
      <c r="AA209" s="137"/>
      <c r="AB209" s="206"/>
      <c r="AC209" s="206"/>
      <c r="AD209" s="206"/>
      <c r="AE209" s="204"/>
      <c r="AF209" s="204"/>
      <c r="AG209" s="143"/>
      <c r="AH209" s="143"/>
      <c r="AI209" s="137"/>
      <c r="AJ209" s="137"/>
      <c r="AK209" s="204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51"/>
      <c r="AV209" s="137"/>
      <c r="AW209" s="137"/>
      <c r="AX209" s="151"/>
      <c r="AY209" s="142"/>
      <c r="AZ209" s="142"/>
      <c r="BA209" s="137"/>
      <c r="BB209" s="147"/>
      <c r="BC209" s="146" t="str">
        <f t="shared" si="30"/>
        <v/>
      </c>
      <c r="BD209" s="137" t="str">
        <f t="shared" si="31"/>
        <v>INDENIZAÇÃO</v>
      </c>
      <c r="BE209" s="137" t="str">
        <f t="shared" si="32"/>
        <v>NÃO</v>
      </c>
      <c r="BF209" s="137"/>
      <c r="BG209" s="137"/>
      <c r="BH209" s="137"/>
      <c r="BI209" s="137"/>
      <c r="BJ209" s="137"/>
      <c r="BK209" s="151"/>
      <c r="BL209" s="137"/>
      <c r="BM209" s="137"/>
      <c r="BN209" s="266"/>
    </row>
    <row r="210" spans="1:66" s="152" customFormat="1" ht="30" customHeight="1">
      <c r="A210" s="204"/>
      <c r="B210" s="204"/>
      <c r="C210" s="204"/>
      <c r="D210" s="205"/>
      <c r="E210" s="204"/>
      <c r="F210" s="206"/>
      <c r="G210" s="204"/>
      <c r="H210" s="204"/>
      <c r="I210" s="204"/>
      <c r="J210" s="206"/>
      <c r="K210" s="206"/>
      <c r="L210" s="206"/>
      <c r="M210" s="204"/>
      <c r="N210" s="204"/>
      <c r="O210" s="151"/>
      <c r="P210" s="151"/>
      <c r="Q210" s="151"/>
      <c r="R210" s="151"/>
      <c r="S210" s="142"/>
      <c r="T210" s="142"/>
      <c r="U210" s="142"/>
      <c r="V210" s="142"/>
      <c r="W210" s="142"/>
      <c r="X210" s="142"/>
      <c r="Y210" s="142"/>
      <c r="Z210" s="142"/>
      <c r="AA210" s="137"/>
      <c r="AB210" s="206"/>
      <c r="AC210" s="206"/>
      <c r="AD210" s="206"/>
      <c r="AE210" s="204"/>
      <c r="AF210" s="204"/>
      <c r="AG210" s="143"/>
      <c r="AH210" s="143"/>
      <c r="AI210" s="137"/>
      <c r="AJ210" s="137"/>
      <c r="AK210" s="204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51"/>
      <c r="AV210" s="137"/>
      <c r="AW210" s="137"/>
      <c r="AX210" s="151"/>
      <c r="AY210" s="142"/>
      <c r="AZ210" s="142"/>
      <c r="BA210" s="137"/>
      <c r="BB210" s="147"/>
      <c r="BC210" s="146" t="str">
        <f t="shared" si="30"/>
        <v/>
      </c>
      <c r="BD210" s="137" t="str">
        <f t="shared" si="31"/>
        <v>INDENIZAÇÃO</v>
      </c>
      <c r="BE210" s="137" t="str">
        <f t="shared" si="32"/>
        <v>NÃO</v>
      </c>
      <c r="BF210" s="137"/>
      <c r="BG210" s="137"/>
      <c r="BH210" s="137"/>
      <c r="BI210" s="137"/>
      <c r="BJ210" s="137"/>
      <c r="BK210" s="151"/>
      <c r="BL210" s="137"/>
      <c r="BM210" s="137"/>
      <c r="BN210" s="266"/>
    </row>
    <row r="211" spans="1:66" s="152" customFormat="1" ht="30" customHeight="1">
      <c r="A211" s="204"/>
      <c r="B211" s="204"/>
      <c r="C211" s="204"/>
      <c r="D211" s="205"/>
      <c r="E211" s="204"/>
      <c r="F211" s="206"/>
      <c r="G211" s="204"/>
      <c r="H211" s="204"/>
      <c r="I211" s="204"/>
      <c r="J211" s="206"/>
      <c r="K211" s="206"/>
      <c r="L211" s="206"/>
      <c r="M211" s="204"/>
      <c r="N211" s="204"/>
      <c r="O211" s="151"/>
      <c r="P211" s="151"/>
      <c r="Q211" s="151"/>
      <c r="R211" s="151"/>
      <c r="S211" s="142"/>
      <c r="T211" s="142"/>
      <c r="U211" s="142"/>
      <c r="V211" s="142"/>
      <c r="W211" s="142"/>
      <c r="X211" s="142"/>
      <c r="Y211" s="142"/>
      <c r="Z211" s="142"/>
      <c r="AA211" s="137"/>
      <c r="AB211" s="206"/>
      <c r="AC211" s="206"/>
      <c r="AD211" s="206"/>
      <c r="AE211" s="204"/>
      <c r="AF211" s="204"/>
      <c r="AG211" s="143"/>
      <c r="AH211" s="143"/>
      <c r="AI211" s="137"/>
      <c r="AJ211" s="137"/>
      <c r="AK211" s="204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51"/>
      <c r="AV211" s="137"/>
      <c r="AW211" s="137"/>
      <c r="AX211" s="151"/>
      <c r="AY211" s="142"/>
      <c r="AZ211" s="142"/>
      <c r="BA211" s="137"/>
      <c r="BB211" s="147"/>
      <c r="BC211" s="146" t="str">
        <f t="shared" si="30"/>
        <v/>
      </c>
      <c r="BD211" s="137" t="str">
        <f t="shared" si="31"/>
        <v>INDENIZAÇÃO</v>
      </c>
      <c r="BE211" s="137" t="str">
        <f t="shared" si="32"/>
        <v>NÃO</v>
      </c>
      <c r="BF211" s="137"/>
      <c r="BG211" s="137"/>
      <c r="BH211" s="137"/>
      <c r="BI211" s="137"/>
      <c r="BJ211" s="137"/>
      <c r="BK211" s="151"/>
      <c r="BL211" s="137"/>
      <c r="BM211" s="137"/>
      <c r="BN211" s="266"/>
    </row>
    <row r="212" spans="1:66" s="152" customFormat="1" ht="30" customHeight="1">
      <c r="A212" s="204"/>
      <c r="B212" s="204"/>
      <c r="C212" s="204"/>
      <c r="D212" s="205"/>
      <c r="E212" s="204"/>
      <c r="F212" s="206"/>
      <c r="G212" s="204"/>
      <c r="H212" s="204"/>
      <c r="I212" s="204"/>
      <c r="J212" s="206"/>
      <c r="K212" s="206"/>
      <c r="L212" s="206"/>
      <c r="M212" s="204"/>
      <c r="N212" s="204"/>
      <c r="O212" s="151"/>
      <c r="P212" s="151"/>
      <c r="Q212" s="151"/>
      <c r="R212" s="151"/>
      <c r="S212" s="142"/>
      <c r="T212" s="142"/>
      <c r="U212" s="142"/>
      <c r="V212" s="142"/>
      <c r="W212" s="142"/>
      <c r="X212" s="142"/>
      <c r="Y212" s="142"/>
      <c r="Z212" s="142"/>
      <c r="AA212" s="137"/>
      <c r="AB212" s="206"/>
      <c r="AC212" s="206"/>
      <c r="AD212" s="206"/>
      <c r="AE212" s="204"/>
      <c r="AF212" s="204"/>
      <c r="AG212" s="143"/>
      <c r="AH212" s="143"/>
      <c r="AI212" s="137"/>
      <c r="AJ212" s="137"/>
      <c r="AK212" s="204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51"/>
      <c r="AV212" s="137"/>
      <c r="AW212" s="137"/>
      <c r="AX212" s="151"/>
      <c r="AY212" s="142"/>
      <c r="AZ212" s="142"/>
      <c r="BA212" s="137"/>
      <c r="BB212" s="147"/>
      <c r="BC212" s="146" t="str">
        <f t="shared" si="30"/>
        <v/>
      </c>
      <c r="BD212" s="137" t="str">
        <f t="shared" si="31"/>
        <v>INDENIZAÇÃO</v>
      </c>
      <c r="BE212" s="137" t="str">
        <f t="shared" si="32"/>
        <v>NÃO</v>
      </c>
      <c r="BF212" s="137"/>
      <c r="BG212" s="137"/>
      <c r="BH212" s="137"/>
      <c r="BI212" s="137"/>
      <c r="BJ212" s="137"/>
      <c r="BK212" s="151"/>
      <c r="BL212" s="137"/>
      <c r="BM212" s="137"/>
      <c r="BN212" s="266"/>
    </row>
    <row r="213" spans="1:66" s="152" customFormat="1" ht="30" customHeight="1">
      <c r="A213" s="204"/>
      <c r="B213" s="204"/>
      <c r="C213" s="204"/>
      <c r="D213" s="205"/>
      <c r="E213" s="204"/>
      <c r="F213" s="206"/>
      <c r="G213" s="204"/>
      <c r="H213" s="204"/>
      <c r="I213" s="204"/>
      <c r="J213" s="206"/>
      <c r="K213" s="206"/>
      <c r="L213" s="206"/>
      <c r="M213" s="204"/>
      <c r="N213" s="204"/>
      <c r="O213" s="151"/>
      <c r="P213" s="151"/>
      <c r="Q213" s="151"/>
      <c r="R213" s="151"/>
      <c r="S213" s="142"/>
      <c r="T213" s="142"/>
      <c r="U213" s="142"/>
      <c r="V213" s="142"/>
      <c r="W213" s="142"/>
      <c r="X213" s="142"/>
      <c r="Y213" s="142"/>
      <c r="Z213" s="142"/>
      <c r="AA213" s="137"/>
      <c r="AB213" s="206"/>
      <c r="AC213" s="206"/>
      <c r="AD213" s="206"/>
      <c r="AE213" s="204"/>
      <c r="AF213" s="204"/>
      <c r="AG213" s="143"/>
      <c r="AH213" s="143"/>
      <c r="AI213" s="137"/>
      <c r="AJ213" s="137"/>
      <c r="AK213" s="204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51"/>
      <c r="AV213" s="137"/>
      <c r="AW213" s="137"/>
      <c r="AX213" s="151"/>
      <c r="AY213" s="142"/>
      <c r="AZ213" s="142"/>
      <c r="BA213" s="137"/>
      <c r="BB213" s="147"/>
      <c r="BC213" s="146" t="str">
        <f t="shared" ref="BC213:BC222" si="33">IF(AY213-KG218=0,"",AY213-O213)</f>
        <v/>
      </c>
      <c r="BD213" s="137" t="str">
        <f t="shared" si="31"/>
        <v>INDENIZAÇÃO</v>
      </c>
      <c r="BE213" s="137" t="str">
        <f t="shared" si="32"/>
        <v>NÃO</v>
      </c>
      <c r="BF213" s="137"/>
      <c r="BG213" s="137"/>
      <c r="BH213" s="137"/>
      <c r="BI213" s="137"/>
      <c r="BJ213" s="137"/>
      <c r="BK213" s="151"/>
      <c r="BL213" s="137"/>
      <c r="BM213" s="137"/>
      <c r="BN213" s="266"/>
    </row>
    <row r="214" spans="1:66" s="152" customFormat="1" ht="30" customHeight="1">
      <c r="A214" s="204"/>
      <c r="B214" s="204"/>
      <c r="C214" s="204"/>
      <c r="D214" s="205"/>
      <c r="E214" s="204"/>
      <c r="F214" s="206"/>
      <c r="G214" s="204"/>
      <c r="H214" s="204"/>
      <c r="I214" s="204"/>
      <c r="J214" s="206"/>
      <c r="K214" s="206"/>
      <c r="L214" s="206"/>
      <c r="M214" s="204"/>
      <c r="N214" s="204"/>
      <c r="O214" s="151"/>
      <c r="P214" s="151"/>
      <c r="Q214" s="151"/>
      <c r="R214" s="151"/>
      <c r="S214" s="142"/>
      <c r="T214" s="142"/>
      <c r="U214" s="142"/>
      <c r="V214" s="142"/>
      <c r="W214" s="142"/>
      <c r="X214" s="142"/>
      <c r="Y214" s="142"/>
      <c r="Z214" s="142"/>
      <c r="AA214" s="137"/>
      <c r="AB214" s="206"/>
      <c r="AC214" s="206"/>
      <c r="AD214" s="206"/>
      <c r="AE214" s="204"/>
      <c r="AF214" s="204"/>
      <c r="AG214" s="143"/>
      <c r="AH214" s="143"/>
      <c r="AI214" s="137"/>
      <c r="AJ214" s="137"/>
      <c r="AK214" s="204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51"/>
      <c r="AV214" s="137"/>
      <c r="AW214" s="137"/>
      <c r="AX214" s="151"/>
      <c r="AY214" s="142"/>
      <c r="AZ214" s="142"/>
      <c r="BA214" s="137"/>
      <c r="BB214" s="147"/>
      <c r="BC214" s="146" t="str">
        <f t="shared" si="33"/>
        <v/>
      </c>
      <c r="BD214" s="137" t="str">
        <f t="shared" si="31"/>
        <v>INDENIZAÇÃO</v>
      </c>
      <c r="BE214" s="137" t="str">
        <f t="shared" si="32"/>
        <v>NÃO</v>
      </c>
      <c r="BF214" s="137"/>
      <c r="BG214" s="137"/>
      <c r="BH214" s="137"/>
      <c r="BI214" s="137"/>
      <c r="BJ214" s="137"/>
      <c r="BK214" s="151"/>
      <c r="BL214" s="137"/>
      <c r="BM214" s="137"/>
      <c r="BN214" s="266"/>
    </row>
    <row r="215" spans="1:66" s="152" customFormat="1" ht="30" customHeight="1">
      <c r="A215" s="204"/>
      <c r="B215" s="204"/>
      <c r="C215" s="204"/>
      <c r="D215" s="205"/>
      <c r="E215" s="204"/>
      <c r="F215" s="206"/>
      <c r="G215" s="204"/>
      <c r="H215" s="204"/>
      <c r="I215" s="204"/>
      <c r="J215" s="206"/>
      <c r="K215" s="206"/>
      <c r="L215" s="206"/>
      <c r="M215" s="204"/>
      <c r="N215" s="204"/>
      <c r="O215" s="151"/>
      <c r="P215" s="151"/>
      <c r="Q215" s="151"/>
      <c r="R215" s="151"/>
      <c r="S215" s="142"/>
      <c r="T215" s="142"/>
      <c r="U215" s="142"/>
      <c r="V215" s="142"/>
      <c r="W215" s="142"/>
      <c r="X215" s="142"/>
      <c r="Y215" s="142"/>
      <c r="Z215" s="142"/>
      <c r="AA215" s="137"/>
      <c r="AB215" s="206"/>
      <c r="AC215" s="206"/>
      <c r="AD215" s="206"/>
      <c r="AE215" s="204"/>
      <c r="AF215" s="204"/>
      <c r="AG215" s="143"/>
      <c r="AH215" s="143"/>
      <c r="AI215" s="137"/>
      <c r="AJ215" s="137"/>
      <c r="AK215" s="204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51"/>
      <c r="AV215" s="137"/>
      <c r="AW215" s="137"/>
      <c r="AX215" s="151"/>
      <c r="AY215" s="142"/>
      <c r="AZ215" s="142"/>
      <c r="BA215" s="137"/>
      <c r="BB215" s="147"/>
      <c r="BC215" s="146" t="str">
        <f t="shared" si="33"/>
        <v/>
      </c>
      <c r="BD215" s="137" t="str">
        <f t="shared" si="31"/>
        <v>INDENIZAÇÃO</v>
      </c>
      <c r="BE215" s="137" t="str">
        <f t="shared" si="32"/>
        <v>NÃO</v>
      </c>
      <c r="BF215" s="137"/>
      <c r="BG215" s="137"/>
      <c r="BH215" s="137"/>
      <c r="BI215" s="137"/>
      <c r="BJ215" s="137"/>
      <c r="BK215" s="151"/>
      <c r="BL215" s="137"/>
      <c r="BM215" s="137"/>
      <c r="BN215" s="266"/>
    </row>
    <row r="216" spans="1:66" s="152" customFormat="1" ht="30" customHeight="1">
      <c r="A216" s="204"/>
      <c r="B216" s="204"/>
      <c r="C216" s="204"/>
      <c r="D216" s="205"/>
      <c r="E216" s="204"/>
      <c r="F216" s="206"/>
      <c r="G216" s="204"/>
      <c r="H216" s="204"/>
      <c r="I216" s="204"/>
      <c r="J216" s="206"/>
      <c r="K216" s="206"/>
      <c r="L216" s="206"/>
      <c r="M216" s="204"/>
      <c r="N216" s="204"/>
      <c r="O216" s="151"/>
      <c r="P216" s="151"/>
      <c r="Q216" s="151"/>
      <c r="R216" s="151"/>
      <c r="S216" s="142"/>
      <c r="T216" s="142"/>
      <c r="U216" s="142"/>
      <c r="V216" s="142"/>
      <c r="W216" s="142"/>
      <c r="X216" s="142"/>
      <c r="Y216" s="142"/>
      <c r="Z216" s="142"/>
      <c r="AA216" s="137"/>
      <c r="AB216" s="206"/>
      <c r="AC216" s="206"/>
      <c r="AD216" s="206"/>
      <c r="AE216" s="204"/>
      <c r="AF216" s="204"/>
      <c r="AG216" s="143"/>
      <c r="AH216" s="143"/>
      <c r="AI216" s="137"/>
      <c r="AJ216" s="137"/>
      <c r="AK216" s="204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51"/>
      <c r="AV216" s="137"/>
      <c r="AW216" s="137"/>
      <c r="AX216" s="151"/>
      <c r="AY216" s="142"/>
      <c r="AZ216" s="142"/>
      <c r="BA216" s="137"/>
      <c r="BB216" s="147"/>
      <c r="BC216" s="146" t="str">
        <f t="shared" si="33"/>
        <v/>
      </c>
      <c r="BD216" s="137" t="str">
        <f t="shared" si="31"/>
        <v>INDENIZAÇÃO</v>
      </c>
      <c r="BE216" s="137" t="str">
        <f t="shared" si="32"/>
        <v>NÃO</v>
      </c>
      <c r="BF216" s="137"/>
      <c r="BG216" s="137"/>
      <c r="BH216" s="137"/>
      <c r="BI216" s="137"/>
      <c r="BJ216" s="137"/>
      <c r="BK216" s="151"/>
      <c r="BL216" s="137"/>
      <c r="BM216" s="137"/>
      <c r="BN216" s="266"/>
    </row>
    <row r="217" spans="1:66" s="152" customFormat="1" ht="30" customHeight="1">
      <c r="A217" s="204"/>
      <c r="B217" s="204"/>
      <c r="C217" s="204"/>
      <c r="D217" s="205"/>
      <c r="E217" s="204"/>
      <c r="F217" s="206"/>
      <c r="G217" s="204"/>
      <c r="H217" s="204"/>
      <c r="I217" s="204"/>
      <c r="J217" s="206"/>
      <c r="K217" s="206"/>
      <c r="L217" s="206"/>
      <c r="M217" s="204"/>
      <c r="N217" s="204"/>
      <c r="O217" s="151"/>
      <c r="P217" s="151"/>
      <c r="Q217" s="151"/>
      <c r="R217" s="151"/>
      <c r="S217" s="142"/>
      <c r="T217" s="142"/>
      <c r="U217" s="142"/>
      <c r="V217" s="142"/>
      <c r="W217" s="142"/>
      <c r="X217" s="142"/>
      <c r="Y217" s="142"/>
      <c r="Z217" s="142"/>
      <c r="AA217" s="137"/>
      <c r="AB217" s="206"/>
      <c r="AC217" s="206"/>
      <c r="AD217" s="206"/>
      <c r="AE217" s="204"/>
      <c r="AF217" s="204"/>
      <c r="AG217" s="143"/>
      <c r="AH217" s="143"/>
      <c r="AI217" s="137"/>
      <c r="AJ217" s="137"/>
      <c r="AK217" s="204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51"/>
      <c r="AV217" s="137"/>
      <c r="AW217" s="137"/>
      <c r="AX217" s="151"/>
      <c r="AY217" s="142"/>
      <c r="AZ217" s="142"/>
      <c r="BA217" s="137"/>
      <c r="BB217" s="147"/>
      <c r="BC217" s="146" t="str">
        <f t="shared" si="33"/>
        <v/>
      </c>
      <c r="BD217" s="137" t="str">
        <f t="shared" si="31"/>
        <v>INDENIZAÇÃO</v>
      </c>
      <c r="BE217" s="137" t="str">
        <f t="shared" si="32"/>
        <v>NÃO</v>
      </c>
      <c r="BF217" s="137"/>
      <c r="BG217" s="137"/>
      <c r="BH217" s="137"/>
      <c r="BI217" s="137"/>
      <c r="BJ217" s="137"/>
      <c r="BK217" s="151"/>
      <c r="BL217" s="137"/>
      <c r="BM217" s="137"/>
      <c r="BN217" s="266"/>
    </row>
    <row r="218" spans="1:66" s="152" customFormat="1" ht="30" customHeight="1">
      <c r="A218" s="204"/>
      <c r="B218" s="204"/>
      <c r="C218" s="204"/>
      <c r="D218" s="205"/>
      <c r="E218" s="204"/>
      <c r="F218" s="206"/>
      <c r="G218" s="204"/>
      <c r="H218" s="204"/>
      <c r="I218" s="204"/>
      <c r="J218" s="206"/>
      <c r="K218" s="206"/>
      <c r="L218" s="206"/>
      <c r="M218" s="204"/>
      <c r="N218" s="204"/>
      <c r="O218" s="151"/>
      <c r="P218" s="151"/>
      <c r="Q218" s="151"/>
      <c r="R218" s="151"/>
      <c r="S218" s="142"/>
      <c r="T218" s="142"/>
      <c r="U218" s="142"/>
      <c r="V218" s="142"/>
      <c r="W218" s="142"/>
      <c r="X218" s="142"/>
      <c r="Y218" s="142"/>
      <c r="Z218" s="142"/>
      <c r="AA218" s="137"/>
      <c r="AB218" s="206"/>
      <c r="AC218" s="206"/>
      <c r="AD218" s="206"/>
      <c r="AE218" s="204"/>
      <c r="AF218" s="204"/>
      <c r="AG218" s="143"/>
      <c r="AH218" s="143"/>
      <c r="AI218" s="137"/>
      <c r="AJ218" s="137"/>
      <c r="AK218" s="204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51"/>
      <c r="AV218" s="137"/>
      <c r="AW218" s="137"/>
      <c r="AX218" s="151"/>
      <c r="AY218" s="142"/>
      <c r="AZ218" s="142"/>
      <c r="BA218" s="137"/>
      <c r="BB218" s="147"/>
      <c r="BC218" s="146" t="str">
        <f t="shared" si="33"/>
        <v/>
      </c>
      <c r="BD218" s="137" t="str">
        <f t="shared" si="31"/>
        <v>INDENIZAÇÃO</v>
      </c>
      <c r="BE218" s="137" t="str">
        <f t="shared" si="32"/>
        <v>NÃO</v>
      </c>
      <c r="BF218" s="137"/>
      <c r="BG218" s="137"/>
      <c r="BH218" s="137"/>
      <c r="BI218" s="137"/>
      <c r="BJ218" s="137"/>
      <c r="BK218" s="151"/>
      <c r="BL218" s="137"/>
      <c r="BM218" s="137"/>
      <c r="BN218" s="266"/>
    </row>
    <row r="219" spans="1:66" s="152" customFormat="1" ht="30" customHeight="1">
      <c r="A219" s="204"/>
      <c r="B219" s="204"/>
      <c r="C219" s="204"/>
      <c r="D219" s="205"/>
      <c r="E219" s="204"/>
      <c r="F219" s="206"/>
      <c r="G219" s="204"/>
      <c r="H219" s="204"/>
      <c r="I219" s="204"/>
      <c r="J219" s="206"/>
      <c r="K219" s="206"/>
      <c r="L219" s="206"/>
      <c r="M219" s="204"/>
      <c r="N219" s="204"/>
      <c r="O219" s="151"/>
      <c r="P219" s="151"/>
      <c r="Q219" s="151"/>
      <c r="R219" s="151"/>
      <c r="S219" s="142"/>
      <c r="T219" s="142"/>
      <c r="U219" s="142"/>
      <c r="V219" s="142"/>
      <c r="W219" s="142"/>
      <c r="X219" s="142"/>
      <c r="Y219" s="142"/>
      <c r="Z219" s="142"/>
      <c r="AA219" s="137"/>
      <c r="AB219" s="206"/>
      <c r="AC219" s="206"/>
      <c r="AD219" s="206"/>
      <c r="AE219" s="204"/>
      <c r="AF219" s="204"/>
      <c r="AG219" s="143"/>
      <c r="AH219" s="143"/>
      <c r="AI219" s="137"/>
      <c r="AJ219" s="137"/>
      <c r="AK219" s="204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51"/>
      <c r="AV219" s="137"/>
      <c r="AW219" s="137"/>
      <c r="AX219" s="151"/>
      <c r="AY219" s="142"/>
      <c r="AZ219" s="142"/>
      <c r="BA219" s="137"/>
      <c r="BB219" s="147"/>
      <c r="BC219" s="146" t="str">
        <f t="shared" si="33"/>
        <v/>
      </c>
      <c r="BD219" s="137" t="str">
        <f t="shared" si="31"/>
        <v>INDENIZAÇÃO</v>
      </c>
      <c r="BE219" s="137" t="str">
        <f t="shared" si="32"/>
        <v>NÃO</v>
      </c>
      <c r="BF219" s="137"/>
      <c r="BG219" s="137"/>
      <c r="BH219" s="137"/>
      <c r="BI219" s="137"/>
      <c r="BJ219" s="137"/>
      <c r="BK219" s="151"/>
      <c r="BL219" s="137"/>
      <c r="BM219" s="137"/>
      <c r="BN219" s="266"/>
    </row>
    <row r="220" spans="1:66" s="152" customFormat="1" ht="30" customHeight="1">
      <c r="A220" s="204"/>
      <c r="B220" s="204"/>
      <c r="C220" s="204"/>
      <c r="D220" s="205"/>
      <c r="E220" s="204"/>
      <c r="F220" s="206"/>
      <c r="G220" s="204"/>
      <c r="H220" s="204"/>
      <c r="I220" s="204"/>
      <c r="J220" s="206"/>
      <c r="K220" s="206"/>
      <c r="L220" s="206"/>
      <c r="M220" s="204"/>
      <c r="N220" s="204"/>
      <c r="O220" s="151"/>
      <c r="P220" s="151"/>
      <c r="Q220" s="151"/>
      <c r="R220" s="151"/>
      <c r="S220" s="142"/>
      <c r="T220" s="142"/>
      <c r="U220" s="142"/>
      <c r="V220" s="142"/>
      <c r="W220" s="142"/>
      <c r="X220" s="142"/>
      <c r="Y220" s="142"/>
      <c r="Z220" s="142"/>
      <c r="AA220" s="137"/>
      <c r="AB220" s="206"/>
      <c r="AC220" s="206"/>
      <c r="AD220" s="206"/>
      <c r="AE220" s="204"/>
      <c r="AF220" s="204"/>
      <c r="AG220" s="143"/>
      <c r="AH220" s="143"/>
      <c r="AI220" s="137"/>
      <c r="AJ220" s="137"/>
      <c r="AK220" s="204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51"/>
      <c r="AV220" s="137"/>
      <c r="AW220" s="137"/>
      <c r="AX220" s="151"/>
      <c r="AY220" s="142"/>
      <c r="AZ220" s="142"/>
      <c r="BA220" s="137"/>
      <c r="BB220" s="147"/>
      <c r="BC220" s="146" t="str">
        <f t="shared" si="33"/>
        <v/>
      </c>
      <c r="BD220" s="137" t="str">
        <f t="shared" si="31"/>
        <v>INDENIZAÇÃO</v>
      </c>
      <c r="BE220" s="137" t="str">
        <f t="shared" si="32"/>
        <v>NÃO</v>
      </c>
      <c r="BF220" s="137"/>
      <c r="BG220" s="137"/>
      <c r="BH220" s="137"/>
      <c r="BI220" s="137"/>
      <c r="BJ220" s="137"/>
      <c r="BK220" s="151"/>
      <c r="BL220" s="137"/>
      <c r="BM220" s="137"/>
      <c r="BN220" s="266"/>
    </row>
    <row r="221" spans="1:66" s="152" customFormat="1" ht="30" customHeight="1">
      <c r="A221" s="204"/>
      <c r="B221" s="204"/>
      <c r="C221" s="204"/>
      <c r="D221" s="205"/>
      <c r="E221" s="204"/>
      <c r="F221" s="206"/>
      <c r="G221" s="204"/>
      <c r="H221" s="204"/>
      <c r="I221" s="204"/>
      <c r="J221" s="206"/>
      <c r="K221" s="206"/>
      <c r="L221" s="206"/>
      <c r="M221" s="204"/>
      <c r="N221" s="204"/>
      <c r="O221" s="151"/>
      <c r="P221" s="151"/>
      <c r="Q221" s="151"/>
      <c r="R221" s="151"/>
      <c r="S221" s="142"/>
      <c r="T221" s="142"/>
      <c r="U221" s="142"/>
      <c r="V221" s="142"/>
      <c r="W221" s="142"/>
      <c r="X221" s="142"/>
      <c r="Y221" s="142"/>
      <c r="Z221" s="142"/>
      <c r="AA221" s="137"/>
      <c r="AB221" s="206"/>
      <c r="AC221" s="206"/>
      <c r="AD221" s="206"/>
      <c r="AE221" s="204"/>
      <c r="AF221" s="204"/>
      <c r="AG221" s="143"/>
      <c r="AH221" s="143"/>
      <c r="AI221" s="137"/>
      <c r="AJ221" s="137"/>
      <c r="AK221" s="204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51"/>
      <c r="AV221" s="137"/>
      <c r="AW221" s="137"/>
      <c r="AX221" s="151"/>
      <c r="AY221" s="142"/>
      <c r="AZ221" s="142"/>
      <c r="BA221" s="137"/>
      <c r="BB221" s="147"/>
      <c r="BC221" s="146" t="str">
        <f t="shared" si="33"/>
        <v/>
      </c>
      <c r="BD221" s="137" t="str">
        <f t="shared" si="31"/>
        <v>INDENIZAÇÃO</v>
      </c>
      <c r="BE221" s="137" t="str">
        <f t="shared" si="32"/>
        <v>NÃO</v>
      </c>
      <c r="BF221" s="137"/>
      <c r="BG221" s="137"/>
      <c r="BH221" s="137"/>
      <c r="BI221" s="137"/>
      <c r="BJ221" s="137"/>
      <c r="BK221" s="151"/>
      <c r="BL221" s="137"/>
      <c r="BM221" s="137"/>
      <c r="BN221" s="266"/>
    </row>
    <row r="222" spans="1:66" s="152" customFormat="1" ht="30" customHeight="1">
      <c r="A222" s="204"/>
      <c r="B222" s="204"/>
      <c r="C222" s="204"/>
      <c r="D222" s="205"/>
      <c r="E222" s="204"/>
      <c r="F222" s="206"/>
      <c r="G222" s="204"/>
      <c r="H222" s="204"/>
      <c r="I222" s="204"/>
      <c r="J222" s="206"/>
      <c r="K222" s="206"/>
      <c r="L222" s="206"/>
      <c r="M222" s="204"/>
      <c r="N222" s="204"/>
      <c r="O222" s="151"/>
      <c r="P222" s="151"/>
      <c r="Q222" s="151"/>
      <c r="R222" s="151"/>
      <c r="S222" s="142"/>
      <c r="T222" s="142"/>
      <c r="U222" s="142"/>
      <c r="V222" s="142"/>
      <c r="W222" s="142"/>
      <c r="X222" s="142"/>
      <c r="Y222" s="142"/>
      <c r="Z222" s="142"/>
      <c r="AA222" s="137"/>
      <c r="AB222" s="206"/>
      <c r="AC222" s="206"/>
      <c r="AD222" s="206"/>
      <c r="AE222" s="204"/>
      <c r="AF222" s="204"/>
      <c r="AG222" s="143"/>
      <c r="AH222" s="143"/>
      <c r="AI222" s="137"/>
      <c r="AJ222" s="137"/>
      <c r="AK222" s="204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51"/>
      <c r="AV222" s="137"/>
      <c r="AW222" s="137"/>
      <c r="AX222" s="151"/>
      <c r="AY222" s="142"/>
      <c r="AZ222" s="142"/>
      <c r="BA222" s="137"/>
      <c r="BB222" s="147"/>
      <c r="BC222" s="146" t="str">
        <f t="shared" si="33"/>
        <v/>
      </c>
      <c r="BD222" s="137" t="str">
        <f t="shared" si="31"/>
        <v>INDENIZAÇÃO</v>
      </c>
      <c r="BE222" s="137" t="str">
        <f t="shared" si="32"/>
        <v>NÃO</v>
      </c>
      <c r="BF222" s="137"/>
      <c r="BG222" s="137"/>
      <c r="BH222" s="137"/>
      <c r="BI222" s="137"/>
      <c r="BJ222" s="137"/>
      <c r="BK222" s="151"/>
      <c r="BL222" s="137"/>
      <c r="BM222" s="137"/>
      <c r="BN222" s="266"/>
    </row>
    <row r="223" spans="1:66" s="152" customFormat="1" ht="30" customHeight="1">
      <c r="A223" s="204"/>
      <c r="F223" s="240"/>
      <c r="J223" s="240"/>
      <c r="K223" s="240"/>
      <c r="L223" s="240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B223" s="240"/>
      <c r="AC223" s="240"/>
      <c r="AD223" s="240"/>
      <c r="AG223" s="240"/>
      <c r="AH223" s="240"/>
      <c r="AP223" s="240"/>
      <c r="AY223" s="142"/>
      <c r="AZ223" s="148"/>
      <c r="BG223" s="241"/>
      <c r="BH223" s="241"/>
      <c r="BN223" s="266"/>
    </row>
    <row r="224" spans="1:66" s="152" customFormat="1" ht="30" customHeight="1">
      <c r="A224" s="204"/>
      <c r="F224" s="240"/>
      <c r="J224" s="240"/>
      <c r="K224" s="240"/>
      <c r="L224" s="240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B224" s="240"/>
      <c r="AC224" s="240"/>
      <c r="AD224" s="240"/>
      <c r="AG224" s="240"/>
      <c r="AH224" s="258"/>
      <c r="AP224" s="240"/>
      <c r="AY224" s="148"/>
      <c r="AZ224" s="148"/>
      <c r="BG224" s="241"/>
      <c r="BH224" s="241"/>
      <c r="BN224" s="266"/>
    </row>
    <row r="225" spans="1:82" s="152" customFormat="1" ht="30" customHeight="1">
      <c r="A225" s="204"/>
      <c r="B225" s="179"/>
      <c r="C225" s="179"/>
      <c r="D225" s="179"/>
      <c r="E225" s="179"/>
      <c r="F225" s="267"/>
      <c r="G225" s="179"/>
      <c r="H225" s="179"/>
      <c r="I225" s="179"/>
      <c r="J225" s="267"/>
      <c r="K225" s="267"/>
      <c r="L225" s="267"/>
      <c r="M225" s="179"/>
      <c r="N225" s="179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179"/>
      <c r="AB225" s="267"/>
      <c r="AC225" s="267"/>
      <c r="AD225" s="267"/>
      <c r="AE225" s="179"/>
      <c r="AF225" s="179"/>
      <c r="AG225" s="267"/>
      <c r="AH225" s="267"/>
      <c r="AI225" s="179"/>
      <c r="AJ225" s="179"/>
      <c r="AK225" s="179"/>
      <c r="AL225" s="179"/>
      <c r="AM225" s="179"/>
      <c r="AN225" s="179"/>
      <c r="AO225" s="179"/>
      <c r="AP225" s="267"/>
      <c r="AQ225" s="179"/>
      <c r="AR225" s="179"/>
      <c r="AS225" s="179"/>
      <c r="AT225" s="179"/>
      <c r="AU225" s="179"/>
      <c r="AV225" s="179"/>
      <c r="AW225" s="179"/>
      <c r="AX225" s="179"/>
      <c r="AY225" s="268"/>
      <c r="AZ225" s="268"/>
      <c r="BA225" s="179"/>
      <c r="BB225" s="179"/>
      <c r="BC225" s="179"/>
      <c r="BD225" s="179"/>
      <c r="BE225" s="179"/>
      <c r="BF225" s="179"/>
      <c r="BG225" s="269"/>
      <c r="BH225" s="269"/>
      <c r="BI225" s="179"/>
      <c r="BJ225" s="179"/>
      <c r="BK225" s="179"/>
      <c r="BL225" s="179"/>
      <c r="BM225" s="179"/>
      <c r="BN225" s="266"/>
    </row>
    <row r="226" spans="1:82" s="152" customFormat="1" ht="30" customHeight="1">
      <c r="A226" s="204"/>
      <c r="F226" s="240"/>
      <c r="J226" s="240"/>
      <c r="K226" s="240"/>
      <c r="L226" s="240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B226" s="240"/>
      <c r="AC226" s="240"/>
      <c r="AD226" s="240"/>
      <c r="AG226" s="240"/>
      <c r="AH226" s="240"/>
      <c r="AP226" s="240"/>
      <c r="AY226" s="148"/>
      <c r="AZ226" s="148"/>
      <c r="BG226" s="241"/>
      <c r="BH226" s="241"/>
      <c r="BN226" s="266"/>
    </row>
    <row r="227" spans="1:82" s="152" customFormat="1" ht="30" customHeight="1">
      <c r="A227" s="204"/>
      <c r="F227" s="240"/>
      <c r="J227" s="240"/>
      <c r="K227" s="240"/>
      <c r="L227" s="240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B227" s="240"/>
      <c r="AC227" s="240"/>
      <c r="AD227" s="240"/>
      <c r="AG227" s="240"/>
      <c r="AH227" s="240"/>
      <c r="AP227" s="240"/>
      <c r="AY227" s="148"/>
      <c r="AZ227" s="148"/>
      <c r="BG227" s="241"/>
      <c r="BH227" s="241"/>
    </row>
    <row r="228" spans="1:82" s="152" customFormat="1" ht="30" customHeight="1">
      <c r="A228" s="137"/>
      <c r="F228" s="234"/>
      <c r="J228" s="240"/>
      <c r="K228" s="240"/>
      <c r="L228" s="240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B228" s="240"/>
      <c r="AC228" s="240"/>
      <c r="AD228" s="240"/>
      <c r="AG228" s="240"/>
      <c r="AH228" s="240"/>
      <c r="AP228" s="240"/>
      <c r="AY228" s="148"/>
      <c r="AZ228" s="148"/>
      <c r="BG228" s="241"/>
      <c r="BH228" s="241"/>
    </row>
    <row r="229" spans="1:82" s="152" customFormat="1" ht="30" customHeight="1">
      <c r="A229" s="137"/>
      <c r="F229" s="240"/>
      <c r="J229" s="240"/>
      <c r="K229" s="240"/>
      <c r="L229" s="240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B229" s="240"/>
      <c r="AC229" s="240"/>
      <c r="AD229" s="240"/>
      <c r="AG229" s="240"/>
      <c r="AH229" s="240"/>
      <c r="AP229" s="240"/>
      <c r="AY229" s="148"/>
      <c r="AZ229" s="148"/>
      <c r="BG229" s="241"/>
      <c r="BH229" s="241"/>
    </row>
    <row r="230" spans="1:82" s="152" customFormat="1" ht="30" customHeight="1">
      <c r="A230" s="178"/>
      <c r="F230" s="240"/>
      <c r="J230" s="240"/>
      <c r="K230" s="240"/>
      <c r="L230" s="240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B230" s="240"/>
      <c r="AC230" s="240"/>
      <c r="AD230" s="240"/>
      <c r="AG230" s="240"/>
      <c r="AH230" s="240"/>
      <c r="AP230" s="240"/>
      <c r="AY230" s="148"/>
      <c r="AZ230" s="148"/>
      <c r="BG230" s="241"/>
      <c r="BH230" s="241"/>
    </row>
    <row r="231" spans="1:82" s="152" customFormat="1" ht="30" customHeight="1">
      <c r="A231" s="137"/>
      <c r="F231" s="240"/>
      <c r="J231" s="240"/>
      <c r="K231" s="240"/>
      <c r="L231" s="240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B231" s="240"/>
      <c r="AC231" s="240"/>
      <c r="AD231" s="240"/>
      <c r="AG231" s="240"/>
      <c r="AH231" s="240"/>
      <c r="AP231" s="240"/>
      <c r="AY231" s="148"/>
      <c r="AZ231" s="148"/>
      <c r="BG231" s="241"/>
      <c r="BH231" s="241"/>
    </row>
    <row r="232" spans="1:82" s="152" customFormat="1" ht="26.25" customHeight="1">
      <c r="A232" s="137"/>
      <c r="F232" s="240"/>
      <c r="J232" s="240"/>
      <c r="K232" s="240"/>
      <c r="L232" s="240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B232" s="240"/>
      <c r="AC232" s="240"/>
      <c r="AD232" s="240"/>
      <c r="AG232" s="240"/>
      <c r="AH232" s="240"/>
      <c r="AP232" s="240"/>
      <c r="AY232" s="148"/>
      <c r="AZ232" s="148"/>
      <c r="BG232" s="241"/>
      <c r="BH232" s="241"/>
    </row>
    <row r="233" spans="1:82" s="152" customFormat="1" ht="26.25" customHeight="1">
      <c r="A233" s="137"/>
      <c r="F233" s="240"/>
      <c r="J233" s="240"/>
      <c r="K233" s="240"/>
      <c r="L233" s="240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B233" s="240"/>
      <c r="AC233" s="240"/>
      <c r="AD233" s="240"/>
      <c r="AG233" s="240"/>
      <c r="AH233" s="240"/>
      <c r="AP233" s="240"/>
      <c r="AY233" s="148"/>
      <c r="AZ233" s="148"/>
      <c r="BG233" s="241"/>
      <c r="BH233" s="241"/>
    </row>
    <row r="234" spans="1:82" s="152" customFormat="1" ht="26.25" customHeight="1">
      <c r="A234" s="137"/>
      <c r="F234" s="240"/>
      <c r="J234" s="240"/>
      <c r="K234" s="240"/>
      <c r="L234" s="240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B234" s="240"/>
      <c r="AC234" s="240"/>
      <c r="AD234" s="240"/>
      <c r="AG234" s="240"/>
      <c r="AH234" s="240"/>
      <c r="AP234" s="240"/>
      <c r="AY234" s="148"/>
      <c r="AZ234" s="148"/>
      <c r="BG234" s="241"/>
      <c r="BH234" s="241"/>
    </row>
    <row r="235" spans="1:82" s="152" customFormat="1" ht="26.25" customHeight="1">
      <c r="A235" s="137"/>
      <c r="F235" s="240"/>
      <c r="J235" s="240"/>
      <c r="K235" s="240"/>
      <c r="L235" s="240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B235" s="240"/>
      <c r="AC235" s="240"/>
      <c r="AD235" s="240"/>
      <c r="AG235" s="240"/>
      <c r="AH235" s="240"/>
      <c r="AP235" s="240"/>
      <c r="AY235" s="148"/>
      <c r="AZ235" s="148"/>
      <c r="BG235" s="241"/>
      <c r="BH235" s="241"/>
    </row>
    <row r="236" spans="1:82" s="152" customFormat="1" ht="26.25" customHeight="1">
      <c r="A236" s="137"/>
      <c r="B236" s="122"/>
      <c r="C236" s="122"/>
      <c r="D236" s="122"/>
      <c r="E236" s="122"/>
      <c r="F236" s="123"/>
      <c r="G236" s="122"/>
      <c r="H236" s="122"/>
      <c r="I236" s="122"/>
      <c r="J236" s="123"/>
      <c r="K236" s="123"/>
      <c r="L236" s="123"/>
      <c r="M236" s="122"/>
      <c r="N236" s="122"/>
      <c r="O236" s="155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56"/>
      <c r="AA236" s="122"/>
      <c r="AB236" s="123"/>
      <c r="AC236" s="123"/>
      <c r="AD236" s="123"/>
      <c r="AE236" s="122"/>
      <c r="AF236" s="122"/>
      <c r="AG236" s="123"/>
      <c r="AH236" s="123"/>
      <c r="AI236" s="122"/>
      <c r="AJ236" s="122"/>
      <c r="AK236" s="122"/>
      <c r="AL236" s="122"/>
      <c r="AM236" s="122"/>
      <c r="AN236" s="122"/>
      <c r="AO236" s="122"/>
      <c r="AP236" s="123"/>
      <c r="AQ236" s="122"/>
      <c r="AR236" s="122"/>
      <c r="AS236" s="122"/>
      <c r="AT236" s="122"/>
      <c r="AU236" s="122"/>
      <c r="AV236" s="122"/>
      <c r="AW236" s="122"/>
      <c r="AX236" s="122"/>
      <c r="AY236" s="124"/>
      <c r="AZ236" s="156"/>
      <c r="BA236" s="157"/>
      <c r="BB236" s="157"/>
      <c r="BC236" s="157"/>
      <c r="BD236" s="122"/>
      <c r="BE236" s="122"/>
      <c r="BF236" s="122"/>
      <c r="BG236" s="158"/>
      <c r="BH236" s="158"/>
      <c r="BI236" s="122"/>
      <c r="BJ236" s="122"/>
      <c r="BK236" s="122"/>
      <c r="BL236" s="122"/>
      <c r="BM236" s="122"/>
    </row>
    <row r="237" spans="1:82" s="152" customFormat="1" ht="26.25" customHeight="1">
      <c r="A237" s="137"/>
      <c r="B237" s="122"/>
      <c r="C237" s="122"/>
      <c r="D237" s="122"/>
      <c r="E237" s="122"/>
      <c r="F237" s="123"/>
      <c r="G237" s="122"/>
      <c r="H237" s="122"/>
      <c r="I237" s="122"/>
      <c r="J237" s="123"/>
      <c r="K237" s="123"/>
      <c r="L237" s="123"/>
      <c r="M237" s="122"/>
      <c r="N237" s="122"/>
      <c r="O237" s="155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56"/>
      <c r="AA237" s="122"/>
      <c r="AB237" s="123"/>
      <c r="AC237" s="123"/>
      <c r="AD237" s="123"/>
      <c r="AE237" s="122"/>
      <c r="AF237" s="122"/>
      <c r="AG237" s="123"/>
      <c r="AH237" s="123"/>
      <c r="AI237" s="122"/>
      <c r="AJ237" s="122"/>
      <c r="AK237" s="122"/>
      <c r="AL237" s="122"/>
      <c r="AM237" s="122"/>
      <c r="AN237" s="122"/>
      <c r="AO237" s="122"/>
      <c r="AP237" s="123"/>
      <c r="AQ237" s="122"/>
      <c r="AR237" s="122"/>
      <c r="AS237" s="122"/>
      <c r="AT237" s="122"/>
      <c r="AU237" s="122"/>
      <c r="AV237" s="122"/>
      <c r="AW237" s="122"/>
      <c r="AX237" s="122"/>
      <c r="AY237" s="124"/>
      <c r="AZ237" s="156"/>
      <c r="BA237" s="157"/>
      <c r="BB237" s="157"/>
      <c r="BC237" s="157"/>
      <c r="BD237" s="122"/>
      <c r="BE237" s="122"/>
      <c r="BF237" s="122"/>
      <c r="BG237" s="158"/>
      <c r="BH237" s="158"/>
      <c r="BI237" s="122"/>
      <c r="BJ237" s="122"/>
      <c r="BK237" s="122"/>
      <c r="BL237" s="122"/>
      <c r="BM237" s="122"/>
    </row>
    <row r="238" spans="1:82" s="152" customFormat="1" ht="24.75" customHeight="1">
      <c r="A238" s="137"/>
      <c r="B238" s="122"/>
      <c r="C238" s="122"/>
      <c r="D238" s="122"/>
      <c r="E238" s="122"/>
      <c r="F238" s="123"/>
      <c r="G238" s="122"/>
      <c r="H238" s="122"/>
      <c r="I238" s="122"/>
      <c r="J238" s="123"/>
      <c r="K238" s="123"/>
      <c r="L238" s="123"/>
      <c r="M238" s="122"/>
      <c r="N238" s="122"/>
      <c r="O238" s="155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56"/>
      <c r="AA238" s="122"/>
      <c r="AB238" s="123"/>
      <c r="AC238" s="123"/>
      <c r="AD238" s="123"/>
      <c r="AE238" s="122"/>
      <c r="AF238" s="122"/>
      <c r="AG238" s="123"/>
      <c r="AH238" s="123"/>
      <c r="AI238" s="122"/>
      <c r="AJ238" s="122"/>
      <c r="AK238" s="122"/>
      <c r="AL238" s="122"/>
      <c r="AM238" s="122"/>
      <c r="AN238" s="122"/>
      <c r="AO238" s="122"/>
      <c r="AP238" s="123"/>
      <c r="AQ238" s="122"/>
      <c r="AR238" s="122"/>
      <c r="AS238" s="122"/>
      <c r="AT238" s="122"/>
      <c r="AU238" s="122"/>
      <c r="AV238" s="122"/>
      <c r="AW238" s="122"/>
      <c r="AX238" s="122"/>
      <c r="AY238" s="124"/>
      <c r="AZ238" s="156"/>
      <c r="BA238" s="157"/>
      <c r="BB238" s="157"/>
      <c r="BC238" s="157"/>
      <c r="BD238" s="122"/>
      <c r="BE238" s="122"/>
      <c r="BF238" s="122"/>
      <c r="BG238" s="158"/>
      <c r="BH238" s="158"/>
      <c r="BI238" s="122"/>
      <c r="BJ238" s="122"/>
      <c r="BK238" s="122"/>
      <c r="BL238" s="122"/>
      <c r="BM238" s="122"/>
      <c r="BN238" s="122"/>
      <c r="BO238" s="122"/>
      <c r="BP238" s="122"/>
      <c r="BQ238" s="122"/>
      <c r="BR238" s="122"/>
      <c r="BS238" s="122"/>
      <c r="BT238" s="122"/>
      <c r="BU238" s="122"/>
      <c r="BV238" s="122"/>
      <c r="BW238" s="122"/>
      <c r="BX238" s="122"/>
    </row>
    <row r="239" spans="1:82" s="152" customFormat="1" ht="24.75" customHeight="1">
      <c r="A239" s="137"/>
      <c r="B239" s="122"/>
      <c r="C239" s="122"/>
      <c r="D239" s="122"/>
      <c r="E239" s="122"/>
      <c r="F239" s="123"/>
      <c r="G239" s="122"/>
      <c r="H239" s="122"/>
      <c r="I239" s="122"/>
      <c r="J239" s="123"/>
      <c r="K239" s="123"/>
      <c r="L239" s="123"/>
      <c r="M239" s="122"/>
      <c r="N239" s="122"/>
      <c r="O239" s="155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56"/>
      <c r="AA239" s="122"/>
      <c r="AB239" s="123"/>
      <c r="AC239" s="123"/>
      <c r="AD239" s="123"/>
      <c r="AE239" s="122"/>
      <c r="AF239" s="122"/>
      <c r="AG239" s="123"/>
      <c r="AH239" s="123"/>
      <c r="AI239" s="122"/>
      <c r="AJ239" s="122"/>
      <c r="AK239" s="122"/>
      <c r="AL239" s="122"/>
      <c r="AM239" s="122"/>
      <c r="AN239" s="122"/>
      <c r="AO239" s="122"/>
      <c r="AP239" s="123"/>
      <c r="AQ239" s="122"/>
      <c r="AR239" s="122"/>
      <c r="AS239" s="122"/>
      <c r="AT239" s="122"/>
      <c r="AU239" s="122"/>
      <c r="AV239" s="122"/>
      <c r="AW239" s="122"/>
      <c r="AX239" s="122"/>
      <c r="AY239" s="124"/>
      <c r="AZ239" s="156"/>
      <c r="BA239" s="157"/>
      <c r="BB239" s="157"/>
      <c r="BC239" s="157"/>
      <c r="BD239" s="122"/>
      <c r="BE239" s="122"/>
      <c r="BF239" s="122"/>
      <c r="BG239" s="158"/>
      <c r="BH239" s="158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22"/>
      <c r="BS239" s="122"/>
      <c r="BT239" s="122"/>
      <c r="BU239" s="122"/>
      <c r="BV239" s="122"/>
      <c r="BW239" s="122"/>
      <c r="BX239" s="122"/>
      <c r="BY239" s="122"/>
      <c r="BZ239" s="122"/>
    </row>
    <row r="240" spans="1:82" s="152" customFormat="1" ht="24.75" customHeight="1">
      <c r="A240" s="137"/>
      <c r="B240" s="122"/>
      <c r="C240" s="122"/>
      <c r="D240" s="122"/>
      <c r="E240" s="122"/>
      <c r="F240" s="123"/>
      <c r="G240" s="122"/>
      <c r="H240" s="122"/>
      <c r="I240" s="122"/>
      <c r="J240" s="123"/>
      <c r="K240" s="123"/>
      <c r="L240" s="123"/>
      <c r="M240" s="122"/>
      <c r="N240" s="122"/>
      <c r="O240" s="155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56"/>
      <c r="AA240" s="122"/>
      <c r="AB240" s="123"/>
      <c r="AC240" s="123"/>
      <c r="AD240" s="123"/>
      <c r="AE240" s="122"/>
      <c r="AF240" s="122"/>
      <c r="AG240" s="123"/>
      <c r="AH240" s="123"/>
      <c r="AI240" s="122"/>
      <c r="AJ240" s="122"/>
      <c r="AK240" s="122"/>
      <c r="AL240" s="122"/>
      <c r="AM240" s="122"/>
      <c r="AN240" s="122"/>
      <c r="AO240" s="122"/>
      <c r="AP240" s="123"/>
      <c r="AQ240" s="122"/>
      <c r="AR240" s="122"/>
      <c r="AS240" s="122"/>
      <c r="AT240" s="122"/>
      <c r="AU240" s="122"/>
      <c r="AV240" s="122"/>
      <c r="AW240" s="122"/>
      <c r="AX240" s="122"/>
      <c r="AY240" s="124"/>
      <c r="AZ240" s="156"/>
      <c r="BA240" s="157"/>
      <c r="BB240" s="157"/>
      <c r="BC240" s="157"/>
      <c r="BD240" s="122"/>
      <c r="BE240" s="122"/>
      <c r="BF240" s="122"/>
      <c r="BG240" s="158"/>
      <c r="BH240" s="158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22"/>
      <c r="BS240" s="122"/>
      <c r="BT240" s="122"/>
      <c r="BU240" s="122"/>
      <c r="BV240" s="122"/>
      <c r="BW240" s="122"/>
      <c r="BX240" s="122"/>
      <c r="BY240" s="122"/>
      <c r="BZ240" s="122"/>
      <c r="CA240" s="122"/>
      <c r="CB240" s="122"/>
      <c r="CC240" s="122"/>
      <c r="CD240" s="122"/>
    </row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7476" ht="29.25" customHeight="1"/>
  </sheetData>
  <autoFilter ref="B13:BM222" xr:uid="{00000000-0001-0000-0000-000000000000}"/>
  <sortState xmlns:xlrd2="http://schemas.microsoft.com/office/spreadsheetml/2017/richdata2" ref="A15:BM64">
    <sortCondition ref="J15:J64"/>
  </sortState>
  <dataConsolidate function="product"/>
  <mergeCells count="6">
    <mergeCell ref="BD12:BM12"/>
    <mergeCell ref="AQ10:AU10"/>
    <mergeCell ref="P12:AA12"/>
    <mergeCell ref="A12:O12"/>
    <mergeCell ref="AB12:BA12"/>
    <mergeCell ref="BB12:BC12"/>
  </mergeCells>
  <phoneticPr fontId="7" type="noConversion"/>
  <conditionalFormatting sqref="F1:F1048576">
    <cfRule type="duplicateValues" dxfId="188" priority="176"/>
  </conditionalFormatting>
  <conditionalFormatting sqref="F201:F1048576 F1:F11 F13">
    <cfRule type="duplicateValues" dxfId="187" priority="219"/>
    <cfRule type="duplicateValues" dxfId="186" priority="196"/>
  </conditionalFormatting>
  <conditionalFormatting sqref="F201:F1048576">
    <cfRule type="duplicateValues" dxfId="185" priority="190"/>
  </conditionalFormatting>
  <conditionalFormatting sqref="I15">
    <cfRule type="containsText" dxfId="184" priority="132" operator="containsText" text="NÃO RESIDENTE">
      <formula>NOT(ISERROR(SEARCH("NÃO RESIDENTE",I15)))</formula>
    </cfRule>
  </conditionalFormatting>
  <conditionalFormatting sqref="I73">
    <cfRule type="containsText" dxfId="183" priority="163" operator="containsText" text="NÃO RESIDENTE">
      <formula>NOT(ISERROR(SEARCH("NÃO RESIDENTE",I73)))</formula>
    </cfRule>
  </conditionalFormatting>
  <conditionalFormatting sqref="I94:I96">
    <cfRule type="containsText" dxfId="182" priority="159" operator="containsText" text="NÃO RESIDENTE">
      <formula>NOT(ISERROR(SEARCH("NÃO RESIDENTE",I94)))</formula>
    </cfRule>
  </conditionalFormatting>
  <conditionalFormatting sqref="I99:I101">
    <cfRule type="containsText" dxfId="181" priority="156" operator="containsText" text="NÃO RESIDENTE">
      <formula>NOT(ISERROR(SEARCH("NÃO RESIDENTE",I99)))</formula>
    </cfRule>
  </conditionalFormatting>
  <conditionalFormatting sqref="I106">
    <cfRule type="containsText" dxfId="180" priority="155" operator="containsText" text="NÃO RESIDENTE">
      <formula>NOT(ISERROR(SEARCH("NÃO RESIDENTE",I106)))</formula>
    </cfRule>
  </conditionalFormatting>
  <conditionalFormatting sqref="I149">
    <cfRule type="containsText" dxfId="179" priority="141" operator="containsText" text="NÃO RESIDENTE">
      <formula>NOT(ISERROR(SEARCH("NÃO RESIDENTE",I149)))</formula>
    </cfRule>
  </conditionalFormatting>
  <conditionalFormatting sqref="I156">
    <cfRule type="containsText" dxfId="178" priority="142" operator="containsText" text="NÃO RESIDENTE">
      <formula>NOT(ISERROR(SEARCH("NÃO RESIDENTE",I156)))</formula>
    </cfRule>
  </conditionalFormatting>
  <conditionalFormatting sqref="I158:I159">
    <cfRule type="containsText" dxfId="177" priority="143" operator="containsText" text="NÃO RESIDENTE">
      <formula>NOT(ISERROR(SEARCH("NÃO RESIDENTE",I158)))</formula>
    </cfRule>
  </conditionalFormatting>
  <conditionalFormatting sqref="I162:I165">
    <cfRule type="containsText" dxfId="176" priority="145" operator="containsText" text="NÃO RESIDENTE">
      <formula>NOT(ISERROR(SEARCH("NÃO RESIDENTE",I162)))</formula>
    </cfRule>
  </conditionalFormatting>
  <conditionalFormatting sqref="I169:I170">
    <cfRule type="containsText" dxfId="175" priority="149" operator="containsText" text="NÃO RESIDENTE">
      <formula>NOT(ISERROR(SEARCH("NÃO RESIDENTE",I169)))</formula>
    </cfRule>
  </conditionalFormatting>
  <conditionalFormatting sqref="I175">
    <cfRule type="containsText" dxfId="174" priority="89" operator="containsText" text="NÃO RESIDENTE">
      <formula>NOT(ISERROR(SEARCH("NÃO RESIDENTE",I175)))</formula>
    </cfRule>
  </conditionalFormatting>
  <conditionalFormatting sqref="I185:I186">
    <cfRule type="containsText" dxfId="173" priority="151" operator="containsText" text="NÃO RESIDENTE">
      <formula>NOT(ISERROR(SEARCH("NÃO RESIDENTE",I185)))</formula>
    </cfRule>
  </conditionalFormatting>
  <conditionalFormatting sqref="I193">
    <cfRule type="containsText" dxfId="172" priority="153" operator="containsText" text="NÃO RESIDENTE">
      <formula>NOT(ISERROR(SEARCH("NÃO RESIDENTE",I193)))</formula>
    </cfRule>
  </conditionalFormatting>
  <conditionalFormatting sqref="I195">
    <cfRule type="containsText" dxfId="171" priority="154" operator="containsText" text="NÃO RESIDENTE">
      <formula>NOT(ISERROR(SEARCH("NÃO RESIDENTE",I195)))</formula>
    </cfRule>
  </conditionalFormatting>
  <conditionalFormatting sqref="J149">
    <cfRule type="duplicateValues" dxfId="170" priority="177"/>
  </conditionalFormatting>
  <conditionalFormatting sqref="J201:J1048576 J1:J11 J13">
    <cfRule type="duplicateValues" dxfId="169" priority="189"/>
  </conditionalFormatting>
  <conditionalFormatting sqref="L16">
    <cfRule type="duplicateValues" dxfId="168" priority="3"/>
    <cfRule type="duplicateValues" dxfId="167" priority="4"/>
  </conditionalFormatting>
  <conditionalFormatting sqref="L77:L1048576 L1:L15 L17:L75">
    <cfRule type="duplicateValues" dxfId="166" priority="62"/>
  </conditionalFormatting>
  <conditionalFormatting sqref="M175">
    <cfRule type="containsText" dxfId="165" priority="87" operator="containsText" text="NÃO RESIDENTE">
      <formula>NOT(ISERROR(SEARCH("NÃO RESIDENTE",M175)))</formula>
    </cfRule>
  </conditionalFormatting>
  <conditionalFormatting sqref="AB157">
    <cfRule type="duplicateValues" dxfId="164" priority="188"/>
  </conditionalFormatting>
  <conditionalFormatting sqref="AB187 AB157 AB1:AB13 AB160:AB161 AB171 AB17:AB21 AB134:AB138 AB80 AB202:AB1048576 AB196:AB200 AB97:AB98 AB103:AB104 AB107 AB140:AB151 AB153:AB155 AB90 AB29:AB33 AB60:AB61 AB69:AB72 AB112 AB114 AB45:AB47 AB109:AB110 AB119:AB129 AB35:AB36 AB131">
    <cfRule type="duplicateValues" dxfId="163" priority="485"/>
  </conditionalFormatting>
  <conditionalFormatting sqref="AB201">
    <cfRule type="duplicateValues" dxfId="162" priority="181"/>
  </conditionalFormatting>
  <conditionalFormatting sqref="AD1:AD1048576">
    <cfRule type="duplicateValues" dxfId="161" priority="5"/>
  </conditionalFormatting>
  <conditionalFormatting sqref="AD16">
    <cfRule type="duplicateValues" dxfId="160" priority="24"/>
  </conditionalFormatting>
  <conditionalFormatting sqref="AD26">
    <cfRule type="duplicateValues" dxfId="159" priority="29"/>
  </conditionalFormatting>
  <conditionalFormatting sqref="AD37">
    <cfRule type="duplicateValues" dxfId="158" priority="50"/>
  </conditionalFormatting>
  <conditionalFormatting sqref="AD41">
    <cfRule type="duplicateValues" dxfId="157" priority="58"/>
  </conditionalFormatting>
  <conditionalFormatting sqref="AD43">
    <cfRule type="duplicateValues" dxfId="156" priority="53"/>
  </conditionalFormatting>
  <conditionalFormatting sqref="AD44">
    <cfRule type="duplicateValues" dxfId="155" priority="26"/>
  </conditionalFormatting>
  <conditionalFormatting sqref="AD48">
    <cfRule type="duplicateValues" dxfId="154" priority="23"/>
  </conditionalFormatting>
  <conditionalFormatting sqref="AD50">
    <cfRule type="duplicateValues" dxfId="153" priority="30"/>
  </conditionalFormatting>
  <conditionalFormatting sqref="AD54">
    <cfRule type="duplicateValues" dxfId="152" priority="60"/>
  </conditionalFormatting>
  <conditionalFormatting sqref="AD55">
    <cfRule type="duplicateValues" dxfId="151" priority="57"/>
  </conditionalFormatting>
  <conditionalFormatting sqref="AD59">
    <cfRule type="duplicateValues" dxfId="150" priority="59"/>
  </conditionalFormatting>
  <conditionalFormatting sqref="AD77">
    <cfRule type="duplicateValues" dxfId="149" priority="61"/>
  </conditionalFormatting>
  <conditionalFormatting sqref="AD102">
    <cfRule type="duplicateValues" dxfId="148" priority="47"/>
  </conditionalFormatting>
  <conditionalFormatting sqref="AD130">
    <cfRule type="duplicateValues" dxfId="147" priority="28"/>
  </conditionalFormatting>
  <conditionalFormatting sqref="AD179:AD180">
    <cfRule type="duplicateValues" dxfId="146" priority="27"/>
  </conditionalFormatting>
  <conditionalFormatting sqref="AE130">
    <cfRule type="containsText" dxfId="145" priority="33" operator="containsText" text="NÃO RESIDENTE">
      <formula>NOT(ISERROR(SEARCH("NÃO RESIDENTE",AE130)))</formula>
    </cfRule>
  </conditionalFormatting>
  <conditionalFormatting sqref="AE132:AE133">
    <cfRule type="containsText" dxfId="144" priority="174" operator="containsText" text="NÃO RESIDENTE">
      <formula>NOT(ISERROR(SEARCH("NÃO RESIDENTE",AE132)))</formula>
    </cfRule>
  </conditionalFormatting>
  <conditionalFormatting sqref="AE156">
    <cfRule type="containsText" dxfId="143" priority="173" operator="containsText" text="NÃO RESIDENTE">
      <formula>NOT(ISERROR(SEARCH("NÃO RESIDENTE",AE156)))</formula>
    </cfRule>
  </conditionalFormatting>
  <conditionalFormatting sqref="AE162:AE165">
    <cfRule type="containsText" dxfId="142" priority="169" operator="containsText" text="NÃO RESIDENTE">
      <formula>NOT(ISERROR(SEARCH("NÃO RESIDENTE",AE162)))</formula>
    </cfRule>
  </conditionalFormatting>
  <conditionalFormatting sqref="AE167:AE170">
    <cfRule type="containsText" dxfId="141" priority="167" operator="containsText" text="NÃO RESIDENTE">
      <formula>NOT(ISERROR(SEARCH("NÃO RESIDENTE",AE167)))</formula>
    </cfRule>
  </conditionalFormatting>
  <conditionalFormatting sqref="AE185:AE186">
    <cfRule type="containsText" dxfId="140" priority="165" operator="containsText" text="NÃO RESIDENTE">
      <formula>NOT(ISERROR(SEARCH("NÃO RESIDENTE",AE185)))</formula>
    </cfRule>
  </conditionalFormatting>
  <conditionalFormatting sqref="AE193">
    <cfRule type="containsText" dxfId="139" priority="164" operator="containsText" text="NÃO RESIDENTE">
      <formula>NOT(ISERROR(SEARCH("NÃO RESIDENTE",AE193)))</formula>
    </cfRule>
  </conditionalFormatting>
  <conditionalFormatting sqref="AE1:AF12 AE13 AE73 AE74:AF78 AE78:AE79 AE80:AF93 AE94:AE96 AE97:AF98 AE99:AE101 AE102:AF105 AE106 AE107:AF129 AE131:AF131 AE134:AF138 AE139 AE140:AF148 AE149 AE150:AF150 AE151:AE152 AE153:AF155 AE157:AF157 AE158:AE159 AE160:AF161 AE166:AF166 AE187:AF192 AE194:AF194 AE195 AE196:AF1048576">
    <cfRule type="containsText" dxfId="138" priority="194" operator="containsText" text="NÃO RESIDENTE">
      <formula>NOT(ISERROR(SEARCH("NÃO RESIDENTE",AE1)))</formula>
    </cfRule>
  </conditionalFormatting>
  <conditionalFormatting sqref="AE15:AF15 AF16 AE17:AF72">
    <cfRule type="containsText" dxfId="137" priority="63" operator="containsText" text="NÃO RESIDENTE">
      <formula>NOT(ISERROR(SEARCH("NÃO RESIDENTE",AE15)))</formula>
    </cfRule>
  </conditionalFormatting>
  <conditionalFormatting sqref="AE171:AF184">
    <cfRule type="containsText" dxfId="136" priority="88" operator="containsText" text="NÃO RESIDENTE">
      <formula>NOT(ISERROR(SEARCH("NÃO RESIDENTE",AE171)))</formula>
    </cfRule>
  </conditionalFormatting>
  <conditionalFormatting sqref="AP1:AP25 AP48:AP49 AP27:AP46 AP51:AP117 AP192:AP1048576 AP119:AP189">
    <cfRule type="duplicateValues" dxfId="135" priority="73"/>
  </conditionalFormatting>
  <conditionalFormatting sqref="AP14:AP25 AP48:AP49 AP27:AP46 AP51:AP117 AP192:AP200 AP119:AP189">
    <cfRule type="duplicateValues" dxfId="134" priority="131"/>
  </conditionalFormatting>
  <conditionalFormatting sqref="AP16">
    <cfRule type="duplicateValues" dxfId="133" priority="16"/>
  </conditionalFormatting>
  <conditionalFormatting sqref="AP26">
    <cfRule type="duplicateValues" dxfId="132" priority="14"/>
  </conditionalFormatting>
  <conditionalFormatting sqref="AP34">
    <cfRule type="duplicateValues" dxfId="131" priority="31"/>
  </conditionalFormatting>
  <conditionalFormatting sqref="AP38">
    <cfRule type="duplicateValues" dxfId="130" priority="71"/>
  </conditionalFormatting>
  <conditionalFormatting sqref="AP39:AP40 AP42">
    <cfRule type="duplicateValues" dxfId="129" priority="66"/>
  </conditionalFormatting>
  <conditionalFormatting sqref="AP41">
    <cfRule type="duplicateValues" dxfId="128" priority="37"/>
  </conditionalFormatting>
  <conditionalFormatting sqref="AP47">
    <cfRule type="duplicateValues" dxfId="127" priority="15"/>
  </conditionalFormatting>
  <conditionalFormatting sqref="AP49">
    <cfRule type="duplicateValues" dxfId="126" priority="65"/>
  </conditionalFormatting>
  <conditionalFormatting sqref="AP50">
    <cfRule type="duplicateValues" dxfId="125" priority="13"/>
  </conditionalFormatting>
  <conditionalFormatting sqref="AP51">
    <cfRule type="duplicateValues" dxfId="124" priority="115"/>
  </conditionalFormatting>
  <conditionalFormatting sqref="AP53:AP54">
    <cfRule type="duplicateValues" dxfId="123" priority="130"/>
  </conditionalFormatting>
  <conditionalFormatting sqref="AP56:AP57 AP59">
    <cfRule type="duplicateValues" dxfId="122" priority="610"/>
  </conditionalFormatting>
  <conditionalFormatting sqref="AP64:AP65">
    <cfRule type="duplicateValues" dxfId="121" priority="78"/>
  </conditionalFormatting>
  <conditionalFormatting sqref="AP64:AP68">
    <cfRule type="duplicateValues" dxfId="120" priority="385"/>
  </conditionalFormatting>
  <conditionalFormatting sqref="AP66">
    <cfRule type="duplicateValues" dxfId="119" priority="79"/>
  </conditionalFormatting>
  <conditionalFormatting sqref="AP67">
    <cfRule type="duplicateValues" dxfId="118" priority="387"/>
  </conditionalFormatting>
  <conditionalFormatting sqref="AP73:AP74">
    <cfRule type="duplicateValues" dxfId="117" priority="38"/>
  </conditionalFormatting>
  <conditionalFormatting sqref="AP73:AP77">
    <cfRule type="duplicateValues" dxfId="116" priority="545"/>
  </conditionalFormatting>
  <conditionalFormatting sqref="AP76:AP77">
    <cfRule type="duplicateValues" dxfId="115" priority="43"/>
  </conditionalFormatting>
  <conditionalFormatting sqref="AP79">
    <cfRule type="duplicateValues" dxfId="114" priority="64"/>
  </conditionalFormatting>
  <conditionalFormatting sqref="AP82">
    <cfRule type="duplicateValues" dxfId="113" priority="123"/>
  </conditionalFormatting>
  <conditionalFormatting sqref="AP86:AP87">
    <cfRule type="duplicateValues" dxfId="112" priority="128"/>
  </conditionalFormatting>
  <conditionalFormatting sqref="AP89">
    <cfRule type="duplicateValues" dxfId="111" priority="122"/>
  </conditionalFormatting>
  <conditionalFormatting sqref="AP91">
    <cfRule type="duplicateValues" dxfId="110" priority="77"/>
  </conditionalFormatting>
  <conditionalFormatting sqref="AP91:AP93">
    <cfRule type="duplicateValues" dxfId="109" priority="72"/>
  </conditionalFormatting>
  <conditionalFormatting sqref="AP92">
    <cfRule type="duplicateValues" dxfId="108" priority="76"/>
  </conditionalFormatting>
  <conditionalFormatting sqref="AP102">
    <cfRule type="duplicateValues" dxfId="107" priority="36"/>
  </conditionalFormatting>
  <conditionalFormatting sqref="AP105">
    <cfRule type="duplicateValues" dxfId="106" priority="121"/>
  </conditionalFormatting>
  <conditionalFormatting sqref="AP106">
    <cfRule type="duplicateValues" dxfId="105" priority="127"/>
  </conditionalFormatting>
  <conditionalFormatting sqref="AP111">
    <cfRule type="duplicateValues" dxfId="104" priority="120"/>
  </conditionalFormatting>
  <conditionalFormatting sqref="AP113">
    <cfRule type="duplicateValues" dxfId="103" priority="111"/>
  </conditionalFormatting>
  <conditionalFormatting sqref="AP115:AP117">
    <cfRule type="duplicateValues" dxfId="102" priority="25"/>
  </conditionalFormatting>
  <conditionalFormatting sqref="AP118">
    <cfRule type="duplicateValues" dxfId="101" priority="10"/>
  </conditionalFormatting>
  <conditionalFormatting sqref="AP149">
    <cfRule type="duplicateValues" dxfId="100" priority="116"/>
  </conditionalFormatting>
  <conditionalFormatting sqref="AP151">
    <cfRule type="duplicateValues" dxfId="99" priority="134"/>
  </conditionalFormatting>
  <conditionalFormatting sqref="AP152">
    <cfRule type="duplicateValues" dxfId="98" priority="126"/>
  </conditionalFormatting>
  <conditionalFormatting sqref="AP159 AP99:AP101 AP73 AP93:AP96 AP22:AP25 AP27:AP28">
    <cfRule type="duplicateValues" dxfId="97" priority="133"/>
  </conditionalFormatting>
  <conditionalFormatting sqref="AP166">
    <cfRule type="duplicateValues" dxfId="96" priority="74"/>
  </conditionalFormatting>
  <conditionalFormatting sqref="AP168">
    <cfRule type="duplicateValues" dxfId="95" priority="75"/>
  </conditionalFormatting>
  <conditionalFormatting sqref="AP172:AP174">
    <cfRule type="duplicateValues" dxfId="94" priority="125"/>
  </conditionalFormatting>
  <conditionalFormatting sqref="AP174">
    <cfRule type="duplicateValues" dxfId="93" priority="84"/>
  </conditionalFormatting>
  <conditionalFormatting sqref="AP178:AP184">
    <cfRule type="duplicateValues" dxfId="92" priority="117"/>
  </conditionalFormatting>
  <conditionalFormatting sqref="AP182:AP184">
    <cfRule type="duplicateValues" dxfId="91" priority="68"/>
  </conditionalFormatting>
  <conditionalFormatting sqref="AP184">
    <cfRule type="duplicateValues" dxfId="90" priority="67"/>
  </conditionalFormatting>
  <conditionalFormatting sqref="AP188:AP189">
    <cfRule type="duplicateValues" dxfId="89" priority="119"/>
  </conditionalFormatting>
  <conditionalFormatting sqref="AP190">
    <cfRule type="duplicateValues" dxfId="88" priority="11"/>
  </conditionalFormatting>
  <conditionalFormatting sqref="AP191">
    <cfRule type="duplicateValues" dxfId="87" priority="12"/>
  </conditionalFormatting>
  <conditionalFormatting sqref="AP192">
    <cfRule type="duplicateValues" dxfId="86" priority="112"/>
  </conditionalFormatting>
  <conditionalFormatting sqref="AP193:AP194">
    <cfRule type="duplicateValues" dxfId="85" priority="113"/>
  </conditionalFormatting>
  <conditionalFormatting sqref="AP202:AP1048576 AP1:AP13 AP134:AP138 AP17:AP21 AP97:AP98 AP160:AP162 AP196:AP200 AP153:AP158 AP80:AP81 AP107:AP110 AP84:AP85 AP112 AP140:AP148 AP150 AP194 AP114 AP90 AP60:AP62 AP165:AP171 AP185:AP187 AP29:AP33 AP103:AP104 AP55 AP69:AP74 AP35:AP37 AP43:AP46 AP117 AP48 AP119:AP131 AP176:AP177">
    <cfRule type="duplicateValues" dxfId="84" priority="182"/>
  </conditionalFormatting>
  <conditionalFormatting sqref="AV182:AW182">
    <cfRule type="cellIs" dxfId="83" priority="54" operator="between">
      <formula>36526</formula>
      <formula>402133</formula>
    </cfRule>
  </conditionalFormatting>
  <conditionalFormatting sqref="AY1:AY12 AY393:AY1048576">
    <cfRule type="cellIs" dxfId="82" priority="20" operator="greaterThan">
      <formula>43831</formula>
    </cfRule>
  </conditionalFormatting>
  <conditionalFormatting sqref="AY1:AY12">
    <cfRule type="cellIs" dxfId="81" priority="265" operator="between">
      <formula>36526</formula>
      <formula>402133</formula>
    </cfRule>
  </conditionalFormatting>
  <conditionalFormatting sqref="AY14:AY46 AY48:AY62 AY64:AY75 AY77:AY103 AY105:AY110 AY112:AY131 AY134:AY138 AY140:AY148 AY150 AY153:AY155 AY157 AY160:AY161 AY171 AY185 AY196:AY223">
    <cfRule type="cellIs" dxfId="80" priority="17" operator="between">
      <formula>36526</formula>
      <formula>402133</formula>
    </cfRule>
  </conditionalFormatting>
  <conditionalFormatting sqref="AY14:AY46 AY48:AY110">
    <cfRule type="cellIs" dxfId="79" priority="6" operator="greaterThan">
      <formula>43831</formula>
    </cfRule>
  </conditionalFormatting>
  <conditionalFormatting sqref="AY112:AY174">
    <cfRule type="cellIs" dxfId="78" priority="19" operator="greaterThan">
      <formula>43831</formula>
    </cfRule>
  </conditionalFormatting>
  <conditionalFormatting sqref="AY176:AY223">
    <cfRule type="cellIs" dxfId="77" priority="1" operator="greaterThan">
      <formula>43831</formula>
    </cfRule>
  </conditionalFormatting>
  <conditionalFormatting sqref="AY190">
    <cfRule type="cellIs" dxfId="76" priority="2" operator="between">
      <formula>36526</formula>
      <formula>402133</formula>
    </cfRule>
  </conditionalFormatting>
  <conditionalFormatting sqref="AY393:AY1048576">
    <cfRule type="cellIs" dxfId="75" priority="137" operator="between">
      <formula>36526</formula>
      <formula>402133</formula>
    </cfRule>
  </conditionalFormatting>
  <conditionalFormatting sqref="AZ35">
    <cfRule type="cellIs" dxfId="74" priority="42" operator="between">
      <formula>36526</formula>
      <formula>402133</formula>
    </cfRule>
  </conditionalFormatting>
  <conditionalFormatting sqref="AZ93">
    <cfRule type="cellIs" dxfId="73" priority="41" operator="between">
      <formula>36526</formula>
      <formula>402133</formula>
    </cfRule>
  </conditionalFormatting>
  <conditionalFormatting sqref="AZ174">
    <cfRule type="cellIs" dxfId="72" priority="40" operator="between">
      <formula>36526</formula>
      <formula>402133</formula>
    </cfRule>
  </conditionalFormatting>
  <conditionalFormatting sqref="BD1:BD1048576">
    <cfRule type="cellIs" dxfId="71" priority="249" operator="equal">
      <formula>"INDENIZAÇÃO"</formula>
    </cfRule>
    <cfRule type="cellIs" dxfId="70" priority="250" operator="equal">
      <formula>"AA"</formula>
    </cfRule>
  </conditionalFormatting>
  <conditionalFormatting sqref="BD14:BE14">
    <cfRule type="cellIs" dxfId="69" priority="22" operator="equal">
      <formula>"FINALIZADO"</formula>
    </cfRule>
  </conditionalFormatting>
  <conditionalFormatting sqref="BD15:BE222">
    <cfRule type="cellIs" dxfId="68" priority="277" operator="equal">
      <formula>"FINALIZADO"</formula>
    </cfRule>
  </conditionalFormatting>
  <conditionalFormatting sqref="BE14:BE222 BB1:BB13 BB15:BB1048576">
    <cfRule type="containsText" dxfId="67" priority="276" operator="containsText" text="FINALIZADO">
      <formula>NOT(ISERROR(SEARCH("FINALIZADO",BB1)))</formula>
    </cfRule>
  </conditionalFormatting>
  <conditionalFormatting sqref="BE14:BE222">
    <cfRule type="beginsWith" dxfId="66" priority="274" operator="beginsWith" text="FI">
      <formula>LEFT(BE14,LEN("FI"))="FI"</formula>
    </cfRule>
  </conditionalFormatting>
  <dataValidations count="1">
    <dataValidation allowBlank="1" showInputMessage="1" showErrorMessage="1" sqref="C202:C222 AA187:AA222 AN149:AO149 AL106:AO106 AO151 AO51:AO52 AA112:AA185 AN193:AO193 BI132:BJ133 BI139:BJ139 BI156:BJ156 BI185:BJ186 BI169:BJ170 BI162:BJ165 BL132:BL133 BL139 BL156 BL158:BL159 BL162:BL170 BL185:BL186 AN68:AO68 AN194:AN222 AN113:AO113 BI158:BJ159 AO168 P86:P88 BM175 BI68:BJ68 BL72 BL82 BI105:BJ106 BI149:BJ149 BI195:BJ195 BL89 BI94:BJ96 BI99:BJ101 BI151:BJ152 BI172:BJ173 BL176:BL183 BL51 BL53 BL68 BL94:BL96 BL99:BL101 BL105 BL149 BL151:BL152 BL172:BL173 AY175:AY223 BI113:BJ113 AN69:AN105 BK169:BK174 BI15:BJ15 AN107:AN112 AJ14:AJ222 AA43:AA78 BK195:BK222 BL113 BI184 O15:O222 AA103:AA110 AA80:AA101 BI194:BK194 BK36:BK45 BI46:BL46 BL75 BL60:BL62 BJ45 BI91:BJ92 BI166:BK168 BI176:BJ183 BI22:BJ25 BL15 BL91:BL92 BI34:BK35 BI49 BI93 BI174 B14:B222 BL86 D14:E222 AN150:AN192 AL107:AM116 AO47 AL51:AL105 AN118:AO118 A14:A227 AN119:AN148 BI82:BJ82 BI89:BJ89 BI86:BJ86 AA15:AA36 AM118:AM222 AL117:AL222 AL49 AM15:AM105 AL15:AL46 BA116:BA117 BL56:BL57 BI75:BJ75 BI51:BJ63 AN114:AN117 AQ44:AR50 BI73:BK73 BI36:BJ37 AY112:AY117 AU51:AX117 AN15:AN67 AQ112:AT117 AQ15:AR42 AQ51:AT110 BL24:BL25 AQ176:AX222 AQ118:AZ174 BI41:BJ43 AZ175:BA175 BK15:BK33 BK47:BK72 AZ15:AZ117 BI192:BJ193 BK74:BK165 BL192:BL195 BI188:BJ189 BL188:BL189 BK176:BK193 BC14:BC222 AS15:AX50 AZ176:AZ222 AP175:AX175 AY14:AY110" xr:uid="{42DBC0A4-72CF-48C5-9B14-5B05F91E4FAB}"/>
  </dataValidations>
  <hyperlinks>
    <hyperlink ref="Q17" r:id="rId1" xr:uid="{80E2A636-7A7A-4792-B05E-F329427EA3C7}"/>
    <hyperlink ref="Q29" r:id="rId2" xr:uid="{9BD96CA0-A765-43C9-95E9-B53C57259D6C}"/>
    <hyperlink ref="AP139" r:id="rId3" xr:uid="{05E65DBD-8384-487F-8506-51D786372B62}"/>
    <hyperlink ref="AP163" r:id="rId4" xr:uid="{FB5D7E24-DFEC-480B-9B34-578CAB9EB99A}"/>
    <hyperlink ref="AP164" r:id="rId5" xr:uid="{1DB6A2D2-8E85-4C03-B856-C7EB860335C1}"/>
    <hyperlink ref="AP169" r:id="rId6" xr:uid="{DD0ADE23-7D89-4FBC-A367-4ABCF9F6AFA5}"/>
    <hyperlink ref="AP170" r:id="rId7" xr:uid="{CFEB8191-DF8A-4A9F-9FBC-13742A656E54}"/>
    <hyperlink ref="AP183" r:id="rId8" xr:uid="{A8D564EA-9E44-428A-8653-3F2A35F16B49}"/>
    <hyperlink ref="Q151" r:id="rId9" xr:uid="{37018137-13E5-47C3-BC13-18DEA79E0EA9}"/>
    <hyperlink ref="Q150" r:id="rId10" xr:uid="{D0D9A89D-0627-4801-A008-389DD2AF8BAF}"/>
    <hyperlink ref="J45" r:id="rId11" display="Ivanilda Pereira de Souza" xr:uid="{7EBD54F5-C8C9-4E8D-8296-887D64ED3D22}"/>
    <hyperlink ref="AB45" r:id="rId12" display="Ivanilda Pereira de Souza" xr:uid="{F9E598D1-F84A-4707-B7B8-9B2D6349BA81}"/>
    <hyperlink ref="AP72" r:id="rId13" xr:uid="{1E6A6481-8026-4E80-A9A7-FBC3B09E36E7}"/>
    <hyperlink ref="AP113" r:id="rId14" xr:uid="{7900AC89-CC55-4CE9-BFCD-E6C72A83D4A1}"/>
    <hyperlink ref="AP187" r:id="rId15" xr:uid="{277F3D47-2E21-40F5-BBEB-659A81934053}"/>
    <hyperlink ref="AP132" r:id="rId16" xr:uid="{C0E3E4F1-E0AE-48F8-90F6-664D09FE992A}"/>
    <hyperlink ref="Q75" r:id="rId17" xr:uid="{23476497-AC66-4CEB-BB8A-DE9512EAE545}"/>
    <hyperlink ref="AP36" r:id="rId18" xr:uid="{786E09ED-46B2-4EB4-91E7-3EB99B11DAD7}"/>
    <hyperlink ref="AP42" r:id="rId19" xr:uid="{6BCF5311-992B-4CD1-B9E1-ABCE573D517F}"/>
    <hyperlink ref="AP179" r:id="rId20" xr:uid="{8F8A1FDC-934D-4BCE-B1E4-4BAC24AC22C2}"/>
    <hyperlink ref="AP180" r:id="rId21" xr:uid="{44E59CD4-E1DD-4A03-A2B2-D20E8B4BCAEA}"/>
    <hyperlink ref="AP181" r:id="rId22" xr:uid="{251DC9A9-CB67-4522-86E2-4D38ACC09372}"/>
    <hyperlink ref="Q104" r:id="rId23" xr:uid="{86D9980A-8E19-4400-97C3-C1B2AB3D1EF0}"/>
    <hyperlink ref="Q116" r:id="rId24" xr:uid="{B176A912-3C96-454C-A743-55E0B53A53B2}"/>
  </hyperlinks>
  <pageMargins left="0.511811024" right="0.511811024" top="0.78740157499999996" bottom="0.78740157499999996" header="0.31496062000000002" footer="0.31496062000000002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1011"/>
  <sheetViews>
    <sheetView workbookViewId="0">
      <selection activeCell="A4" sqref="A4:D5"/>
    </sheetView>
  </sheetViews>
  <sheetFormatPr defaultColWidth="9.140625" defaultRowHeight="20.25" customHeight="1"/>
  <cols>
    <col min="1" max="1" width="29.28515625" style="105" bestFit="1" customWidth="1"/>
    <col min="2" max="2" width="21.7109375" style="105" bestFit="1" customWidth="1"/>
    <col min="3" max="3" width="58.7109375" style="105" customWidth="1"/>
    <col min="4" max="4" width="47.28515625" style="105" bestFit="1" customWidth="1"/>
    <col min="5" max="5" width="30.7109375" style="105" bestFit="1" customWidth="1"/>
    <col min="6" max="6" width="12.28515625" style="105" bestFit="1" customWidth="1"/>
    <col min="7" max="7" width="25.85546875" style="105" customWidth="1"/>
    <col min="8" max="8" width="11.85546875" style="105" bestFit="1" customWidth="1"/>
    <col min="9" max="9" width="22.5703125" style="105" customWidth="1"/>
    <col min="10" max="10" width="26" style="105" bestFit="1" customWidth="1"/>
    <col min="11" max="14" width="9.140625" style="105"/>
    <col min="15" max="15" width="3.140625" style="105" bestFit="1" customWidth="1"/>
    <col min="16" max="16" width="118.85546875" style="105" bestFit="1" customWidth="1"/>
    <col min="17" max="16384" width="9.140625" style="105"/>
  </cols>
  <sheetData>
    <row r="2" spans="1:8" ht="20.25" customHeight="1">
      <c r="E2" s="211" t="s">
        <v>96</v>
      </c>
    </row>
    <row r="3" spans="1:8" ht="20.25" customHeight="1">
      <c r="E3" s="211" t="s">
        <v>61</v>
      </c>
      <c r="F3" s="99" t="s">
        <v>924</v>
      </c>
      <c r="H3" s="15" t="s">
        <v>925</v>
      </c>
    </row>
    <row r="4" spans="1:8" ht="20.25" customHeight="1">
      <c r="A4" s="209" t="s">
        <v>39</v>
      </c>
      <c r="B4" s="209" t="s">
        <v>43</v>
      </c>
      <c r="C4" s="210" t="s">
        <v>47</v>
      </c>
      <c r="D4" s="211" t="s">
        <v>61</v>
      </c>
      <c r="E4" s="211" t="s">
        <v>926</v>
      </c>
      <c r="F4" s="100" t="s">
        <v>927</v>
      </c>
      <c r="H4" s="15" t="s">
        <v>928</v>
      </c>
    </row>
    <row r="5" spans="1:8" ht="20.25" customHeight="1">
      <c r="A5" s="286" t="s">
        <v>99</v>
      </c>
      <c r="B5" s="283" t="s">
        <v>245</v>
      </c>
      <c r="C5" s="283" t="s">
        <v>246</v>
      </c>
      <c r="D5" s="287">
        <v>46259</v>
      </c>
      <c r="F5" s="99" t="s">
        <v>929</v>
      </c>
      <c r="H5" s="15" t="s">
        <v>930</v>
      </c>
    </row>
    <row r="6" spans="1:8" ht="20.25" customHeight="1">
      <c r="A6" s="286"/>
      <c r="B6" s="283"/>
      <c r="C6" s="283"/>
      <c r="D6" s="287"/>
      <c r="F6" s="99" t="s">
        <v>931</v>
      </c>
      <c r="H6" s="15" t="s">
        <v>932</v>
      </c>
    </row>
    <row r="7" spans="1:8" ht="20.25" customHeight="1">
      <c r="A7" s="286"/>
      <c r="B7" s="283"/>
      <c r="C7" s="283"/>
      <c r="D7" s="287"/>
      <c r="F7" s="99" t="s">
        <v>933</v>
      </c>
      <c r="H7" s="15" t="s">
        <v>934</v>
      </c>
    </row>
    <row r="8" spans="1:8" ht="20.25" customHeight="1">
      <c r="A8" s="286"/>
      <c r="B8" s="283"/>
      <c r="C8" s="283"/>
      <c r="D8" s="287"/>
      <c r="F8" s="99" t="s">
        <v>935</v>
      </c>
      <c r="H8" s="15" t="s">
        <v>936</v>
      </c>
    </row>
    <row r="9" spans="1:8" ht="20.25" customHeight="1">
      <c r="A9" s="286"/>
      <c r="B9" s="283"/>
      <c r="C9" s="283"/>
      <c r="D9" s="287"/>
      <c r="F9" s="99" t="s">
        <v>937</v>
      </c>
      <c r="H9" s="15" t="s">
        <v>938</v>
      </c>
    </row>
    <row r="10" spans="1:8" ht="20.25" customHeight="1">
      <c r="A10" s="286"/>
      <c r="B10" s="283"/>
      <c r="C10" s="301"/>
      <c r="D10" s="287"/>
      <c r="F10" s="99" t="s">
        <v>939</v>
      </c>
      <c r="H10" s="15" t="s">
        <v>940</v>
      </c>
    </row>
    <row r="11" spans="1:8" ht="20.25" customHeight="1">
      <c r="A11" s="286"/>
      <c r="B11" s="283"/>
      <c r="C11" s="283"/>
      <c r="D11" s="287"/>
      <c r="F11" s="99" t="s">
        <v>941</v>
      </c>
      <c r="H11" s="15" t="s">
        <v>942</v>
      </c>
    </row>
    <row r="12" spans="1:8" ht="20.25" customHeight="1">
      <c r="A12" s="286"/>
      <c r="B12" s="284"/>
      <c r="C12" s="283"/>
      <c r="D12" s="287"/>
      <c r="F12" s="102" t="s">
        <v>943</v>
      </c>
      <c r="H12" s="15" t="s">
        <v>939</v>
      </c>
    </row>
    <row r="13" spans="1:8" ht="20.25" customHeight="1">
      <c r="A13" s="286"/>
      <c r="B13" s="283"/>
      <c r="C13" s="283"/>
      <c r="D13" s="287"/>
    </row>
    <row r="14" spans="1:8" ht="20.25" customHeight="1">
      <c r="A14" s="286" t="s">
        <v>99</v>
      </c>
      <c r="B14" s="283" t="s">
        <v>502</v>
      </c>
      <c r="C14" s="283" t="s">
        <v>503</v>
      </c>
      <c r="D14" s="287">
        <v>46183</v>
      </c>
      <c r="F14" s="99" t="s">
        <v>944</v>
      </c>
      <c r="H14" s="15" t="s">
        <v>945</v>
      </c>
    </row>
    <row r="15" spans="1:8" ht="20.25" customHeight="1">
      <c r="A15" s="286" t="s">
        <v>99</v>
      </c>
      <c r="B15" s="283" t="s">
        <v>509</v>
      </c>
      <c r="C15" s="286" t="s">
        <v>514</v>
      </c>
      <c r="D15" s="287">
        <v>46183</v>
      </c>
      <c r="F15" s="99" t="s">
        <v>942</v>
      </c>
      <c r="H15" s="15" t="s">
        <v>946</v>
      </c>
    </row>
    <row r="16" spans="1:8" ht="20.25" customHeight="1">
      <c r="A16" s="286"/>
      <c r="B16" s="283"/>
      <c r="C16" s="283"/>
      <c r="D16" s="299"/>
      <c r="F16" s="99" t="s">
        <v>930</v>
      </c>
      <c r="H16" s="15" t="s">
        <v>931</v>
      </c>
    </row>
    <row r="17" spans="1:8" ht="20.25" customHeight="1">
      <c r="A17" s="260"/>
      <c r="B17" s="261"/>
      <c r="C17" s="261"/>
      <c r="D17" s="262"/>
      <c r="F17" s="99" t="s">
        <v>928</v>
      </c>
      <c r="H17" s="15" t="s">
        <v>947</v>
      </c>
    </row>
    <row r="18" spans="1:8" ht="20.25" customHeight="1">
      <c r="A18" s="207"/>
      <c r="B18" s="257"/>
      <c r="C18" s="257"/>
      <c r="D18" s="259"/>
      <c r="F18" s="99" t="s">
        <v>925</v>
      </c>
      <c r="H18" s="15" t="s">
        <v>948</v>
      </c>
    </row>
    <row r="19" spans="1:8" ht="20.25" customHeight="1">
      <c r="A19" s="207"/>
      <c r="B19" s="257"/>
      <c r="C19" s="207"/>
      <c r="D19" s="259"/>
      <c r="F19" s="99" t="s">
        <v>947</v>
      </c>
      <c r="H19" s="15" t="s">
        <v>949</v>
      </c>
    </row>
    <row r="20" spans="1:8" ht="20.25" customHeight="1">
      <c r="A20" s="207" t="s">
        <v>99</v>
      </c>
      <c r="B20" s="257" t="s">
        <v>684</v>
      </c>
      <c r="C20" s="207" t="s">
        <v>688</v>
      </c>
      <c r="D20" s="259">
        <v>45915</v>
      </c>
      <c r="F20" s="99" t="s">
        <v>950</v>
      </c>
      <c r="H20" s="15" t="s">
        <v>951</v>
      </c>
    </row>
    <row r="21" spans="1:8" ht="20.25" customHeight="1">
      <c r="A21" s="207" t="s">
        <v>99</v>
      </c>
      <c r="B21" s="257" t="s">
        <v>692</v>
      </c>
      <c r="C21" s="257" t="s">
        <v>693</v>
      </c>
      <c r="D21" s="259">
        <v>45915</v>
      </c>
      <c r="F21" s="99" t="s">
        <v>952</v>
      </c>
      <c r="H21" s="15" t="s">
        <v>953</v>
      </c>
    </row>
    <row r="22" spans="1:8" ht="20.25" customHeight="1">
      <c r="A22" s="207" t="s">
        <v>99</v>
      </c>
      <c r="B22" s="257" t="s">
        <v>721</v>
      </c>
      <c r="C22" s="257" t="s">
        <v>722</v>
      </c>
      <c r="D22" s="259">
        <v>45915</v>
      </c>
      <c r="F22" s="99" t="s">
        <v>954</v>
      </c>
      <c r="H22" s="15" t="s">
        <v>929</v>
      </c>
    </row>
    <row r="23" spans="1:8" ht="20.25" customHeight="1">
      <c r="A23" s="207" t="s">
        <v>99</v>
      </c>
      <c r="B23" s="257" t="s">
        <v>784</v>
      </c>
      <c r="C23" s="257" t="s">
        <v>785</v>
      </c>
      <c r="D23" s="259">
        <v>45915</v>
      </c>
      <c r="F23" s="99" t="s">
        <v>955</v>
      </c>
      <c r="H23" s="15" t="s">
        <v>956</v>
      </c>
    </row>
    <row r="24" spans="1:8" ht="20.25" customHeight="1">
      <c r="A24" s="207" t="s">
        <v>99</v>
      </c>
      <c r="B24" s="257" t="s">
        <v>789</v>
      </c>
      <c r="C24" s="257" t="s">
        <v>790</v>
      </c>
      <c r="D24" s="259">
        <v>45915</v>
      </c>
      <c r="F24" s="99" t="s">
        <v>957</v>
      </c>
      <c r="H24" s="15" t="s">
        <v>944</v>
      </c>
    </row>
    <row r="25" spans="1:8" ht="20.25" customHeight="1">
      <c r="A25" s="207" t="s">
        <v>99</v>
      </c>
      <c r="B25" s="257" t="s">
        <v>804</v>
      </c>
      <c r="C25" s="257" t="s">
        <v>805</v>
      </c>
      <c r="D25" s="259">
        <v>45915</v>
      </c>
      <c r="F25" s="99" t="s">
        <v>958</v>
      </c>
      <c r="H25" s="15" t="s">
        <v>959</v>
      </c>
    </row>
    <row r="26" spans="1:8" ht="20.25" customHeight="1">
      <c r="A26" s="207" t="s">
        <v>99</v>
      </c>
      <c r="B26" s="257" t="s">
        <v>809</v>
      </c>
      <c r="C26" s="257" t="s">
        <v>810</v>
      </c>
      <c r="D26" s="259">
        <v>45916</v>
      </c>
      <c r="F26" s="99" t="s">
        <v>960</v>
      </c>
      <c r="H26" s="15" t="s">
        <v>954</v>
      </c>
    </row>
    <row r="27" spans="1:8" ht="20.25" customHeight="1">
      <c r="A27" s="207" t="s">
        <v>99</v>
      </c>
      <c r="B27" s="257" t="s">
        <v>851</v>
      </c>
      <c r="C27" s="257" t="s">
        <v>852</v>
      </c>
      <c r="D27" s="259">
        <v>45915</v>
      </c>
      <c r="F27" s="99" t="s">
        <v>961</v>
      </c>
      <c r="H27" s="15" t="s">
        <v>941</v>
      </c>
    </row>
    <row r="28" spans="1:8" ht="20.25" customHeight="1">
      <c r="A28" s="207" t="s">
        <v>99</v>
      </c>
      <c r="B28" s="257" t="s">
        <v>861</v>
      </c>
      <c r="C28" s="257" t="s">
        <v>862</v>
      </c>
      <c r="D28" s="259">
        <v>45915</v>
      </c>
      <c r="F28" s="99" t="s">
        <v>962</v>
      </c>
      <c r="H28" s="15" t="s">
        <v>927</v>
      </c>
    </row>
    <row r="29" spans="1:8" ht="20.25" customHeight="1">
      <c r="A29" s="207" t="s">
        <v>99</v>
      </c>
      <c r="B29" s="257" t="s">
        <v>866</v>
      </c>
      <c r="C29" s="257" t="s">
        <v>867</v>
      </c>
      <c r="D29" s="259">
        <v>45915</v>
      </c>
      <c r="F29" s="99" t="s">
        <v>953</v>
      </c>
      <c r="H29" s="15" t="s">
        <v>963</v>
      </c>
    </row>
    <row r="30" spans="1:8" ht="20.25" customHeight="1">
      <c r="A30" s="207" t="s">
        <v>99</v>
      </c>
      <c r="B30" s="257" t="s">
        <v>882</v>
      </c>
      <c r="C30" s="257" t="s">
        <v>883</v>
      </c>
      <c r="D30" s="259">
        <v>45915</v>
      </c>
      <c r="F30" s="99" t="s">
        <v>964</v>
      </c>
      <c r="H30" s="15" t="s">
        <v>965</v>
      </c>
    </row>
    <row r="31" spans="1:8" ht="20.25" customHeight="1">
      <c r="A31" s="207" t="s">
        <v>99</v>
      </c>
      <c r="B31" s="257" t="s">
        <v>901</v>
      </c>
      <c r="C31" s="257" t="s">
        <v>902</v>
      </c>
      <c r="D31" s="259">
        <v>45917</v>
      </c>
      <c r="F31" s="99" t="s">
        <v>949</v>
      </c>
      <c r="H31" s="15" t="s">
        <v>966</v>
      </c>
    </row>
    <row r="32" spans="1:8" ht="20.25" customHeight="1">
      <c r="A32" s="194"/>
      <c r="B32" s="115"/>
      <c r="C32" s="184"/>
      <c r="D32" s="178"/>
      <c r="F32" s="99" t="s">
        <v>967</v>
      </c>
      <c r="H32" s="15" t="s">
        <v>968</v>
      </c>
    </row>
    <row r="33" spans="1:8" ht="20.25" customHeight="1">
      <c r="A33" s="114"/>
      <c r="B33" s="114"/>
      <c r="C33" s="116"/>
      <c r="D33" s="142"/>
      <c r="F33" s="99" t="s">
        <v>938</v>
      </c>
      <c r="H33" s="15" t="s">
        <v>967</v>
      </c>
    </row>
    <row r="34" spans="1:8" ht="20.25" customHeight="1">
      <c r="A34" s="114"/>
      <c r="B34" s="114"/>
      <c r="C34" s="116"/>
      <c r="D34" s="142"/>
      <c r="F34" s="99" t="s">
        <v>959</v>
      </c>
      <c r="H34" s="15" t="s">
        <v>955</v>
      </c>
    </row>
    <row r="35" spans="1:8" ht="20.25" customHeight="1">
      <c r="A35" s="114"/>
      <c r="B35" s="114"/>
      <c r="C35" s="114"/>
      <c r="D35" s="142"/>
      <c r="F35" s="99" t="s">
        <v>956</v>
      </c>
      <c r="H35" s="15" t="s">
        <v>961</v>
      </c>
    </row>
    <row r="36" spans="1:8" ht="20.25" customHeight="1">
      <c r="A36" s="171"/>
      <c r="B36" s="171"/>
      <c r="C36" s="171"/>
      <c r="D36" s="142"/>
      <c r="F36" s="99" t="s">
        <v>969</v>
      </c>
      <c r="H36" s="15" t="s">
        <v>970</v>
      </c>
    </row>
    <row r="37" spans="1:8" ht="20.25" customHeight="1">
      <c r="A37" s="114"/>
      <c r="B37" s="114"/>
      <c r="C37" s="116"/>
      <c r="D37" s="142"/>
      <c r="F37" s="99" t="s">
        <v>970</v>
      </c>
      <c r="H37" s="106" t="s">
        <v>971</v>
      </c>
    </row>
    <row r="38" spans="1:8" ht="20.25" customHeight="1">
      <c r="A38" s="169"/>
      <c r="B38" s="169"/>
      <c r="C38" s="170"/>
      <c r="D38" s="137"/>
      <c r="F38" s="99" t="s">
        <v>972</v>
      </c>
      <c r="H38" s="106" t="s">
        <v>950</v>
      </c>
    </row>
    <row r="39" spans="1:8" ht="20.25" customHeight="1">
      <c r="A39" s="163"/>
      <c r="B39" s="163"/>
      <c r="C39" s="164"/>
      <c r="D39" s="142"/>
      <c r="F39" s="99" t="s">
        <v>973</v>
      </c>
      <c r="H39" s="106" t="s">
        <v>974</v>
      </c>
    </row>
    <row r="40" spans="1:8" ht="20.25" customHeight="1">
      <c r="A40" s="163"/>
      <c r="B40" s="163"/>
      <c r="C40" s="164"/>
      <c r="D40" s="142"/>
      <c r="F40" s="99" t="s">
        <v>946</v>
      </c>
      <c r="H40" s="106" t="s">
        <v>975</v>
      </c>
    </row>
    <row r="41" spans="1:8" ht="20.25" customHeight="1">
      <c r="A41" s="163"/>
      <c r="B41" s="163"/>
      <c r="C41" s="164"/>
      <c r="D41" s="142"/>
      <c r="F41" s="99" t="s">
        <v>976</v>
      </c>
      <c r="H41" s="106" t="s">
        <v>977</v>
      </c>
    </row>
    <row r="42" spans="1:8" ht="20.25" customHeight="1">
      <c r="A42" s="163" t="s">
        <v>978</v>
      </c>
      <c r="B42" s="163" t="s">
        <v>979</v>
      </c>
      <c r="C42" s="164" t="s">
        <v>980</v>
      </c>
      <c r="D42" s="142">
        <v>44840</v>
      </c>
      <c r="F42" s="99" t="s">
        <v>981</v>
      </c>
      <c r="H42" s="106" t="s">
        <v>958</v>
      </c>
    </row>
    <row r="43" spans="1:8" ht="20.25" customHeight="1">
      <c r="A43" s="163" t="s">
        <v>978</v>
      </c>
      <c r="B43" s="163" t="s">
        <v>982</v>
      </c>
      <c r="C43" s="164" t="s">
        <v>983</v>
      </c>
      <c r="D43" s="137"/>
      <c r="F43" s="99" t="s">
        <v>984</v>
      </c>
      <c r="H43" s="106" t="s">
        <v>985</v>
      </c>
    </row>
    <row r="44" spans="1:8" ht="20.25" customHeight="1">
      <c r="A44" s="163" t="s">
        <v>978</v>
      </c>
      <c r="B44" s="163" t="s">
        <v>986</v>
      </c>
      <c r="C44" s="164" t="s">
        <v>987</v>
      </c>
      <c r="D44" s="137"/>
      <c r="F44" s="99" t="s">
        <v>988</v>
      </c>
      <c r="H44" s="106" t="s">
        <v>989</v>
      </c>
    </row>
    <row r="45" spans="1:8" ht="20.25" customHeight="1">
      <c r="A45" s="163" t="s">
        <v>978</v>
      </c>
      <c r="B45" s="163" t="s">
        <v>990</v>
      </c>
      <c r="C45" s="164" t="s">
        <v>991</v>
      </c>
      <c r="D45" s="137"/>
      <c r="F45" s="99" t="s">
        <v>992</v>
      </c>
      <c r="H45" s="106" t="s">
        <v>924</v>
      </c>
    </row>
    <row r="46" spans="1:8" ht="20.25" customHeight="1">
      <c r="A46" s="163" t="s">
        <v>978</v>
      </c>
      <c r="B46" s="163" t="s">
        <v>993</v>
      </c>
      <c r="C46" s="164" t="s">
        <v>994</v>
      </c>
      <c r="D46" s="142">
        <v>44992</v>
      </c>
      <c r="F46" s="99" t="s">
        <v>995</v>
      </c>
      <c r="H46" s="106" t="s">
        <v>976</v>
      </c>
    </row>
    <row r="47" spans="1:8" ht="20.25" customHeight="1">
      <c r="A47" s="163" t="s">
        <v>978</v>
      </c>
      <c r="B47" s="163" t="s">
        <v>996</v>
      </c>
      <c r="C47" s="163" t="s">
        <v>997</v>
      </c>
      <c r="D47" s="162">
        <v>45013</v>
      </c>
      <c r="F47" s="99" t="s">
        <v>998</v>
      </c>
      <c r="H47" s="106" t="s">
        <v>988</v>
      </c>
    </row>
    <row r="48" spans="1:8" ht="20.25" customHeight="1">
      <c r="A48" s="163" t="s">
        <v>978</v>
      </c>
      <c r="B48" s="163" t="s">
        <v>999</v>
      </c>
      <c r="C48" s="163" t="s">
        <v>1000</v>
      </c>
      <c r="D48" s="162">
        <v>45013</v>
      </c>
      <c r="F48" s="102" t="s">
        <v>936</v>
      </c>
      <c r="H48" s="15" t="s">
        <v>992</v>
      </c>
    </row>
    <row r="49" spans="1:8" ht="20.25" customHeight="1">
      <c r="A49" s="163" t="s">
        <v>978</v>
      </c>
      <c r="B49" s="163" t="s">
        <v>1001</v>
      </c>
      <c r="C49" s="164" t="s">
        <v>1002</v>
      </c>
      <c r="D49" s="137" t="s">
        <v>24</v>
      </c>
      <c r="F49" s="99" t="s">
        <v>1003</v>
      </c>
      <c r="H49" s="15" t="s">
        <v>1004</v>
      </c>
    </row>
    <row r="50" spans="1:8" ht="20.25" customHeight="1">
      <c r="A50" s="163" t="s">
        <v>978</v>
      </c>
      <c r="B50" s="163" t="s">
        <v>1005</v>
      </c>
      <c r="C50" s="164" t="s">
        <v>1006</v>
      </c>
      <c r="D50" s="162">
        <v>45013</v>
      </c>
      <c r="F50" s="99" t="s">
        <v>934</v>
      </c>
      <c r="H50" s="15" t="s">
        <v>972</v>
      </c>
    </row>
    <row r="51" spans="1:8" ht="20.25" customHeight="1">
      <c r="A51" s="163" t="s">
        <v>978</v>
      </c>
      <c r="B51" s="163" t="s">
        <v>1007</v>
      </c>
      <c r="C51" s="163" t="s">
        <v>1008</v>
      </c>
      <c r="D51" s="137" t="s">
        <v>24</v>
      </c>
      <c r="F51" s="102" t="s">
        <v>985</v>
      </c>
      <c r="H51" s="15" t="s">
        <v>1009</v>
      </c>
    </row>
    <row r="52" spans="1:8" ht="20.25" customHeight="1">
      <c r="A52" s="163" t="s">
        <v>978</v>
      </c>
      <c r="B52" s="163" t="s">
        <v>1010</v>
      </c>
      <c r="C52" s="163" t="s">
        <v>1011</v>
      </c>
      <c r="D52" s="137" t="s">
        <v>24</v>
      </c>
      <c r="F52" s="99" t="s">
        <v>951</v>
      </c>
      <c r="H52" s="15" t="s">
        <v>933</v>
      </c>
    </row>
    <row r="53" spans="1:8" ht="20.25" customHeight="1">
      <c r="A53" s="163" t="s">
        <v>978</v>
      </c>
      <c r="B53" s="163" t="s">
        <v>1012</v>
      </c>
      <c r="C53" s="163" t="s">
        <v>1013</v>
      </c>
      <c r="D53" s="142">
        <v>44840</v>
      </c>
      <c r="F53" s="99" t="s">
        <v>975</v>
      </c>
      <c r="H53" s="15" t="s">
        <v>935</v>
      </c>
    </row>
    <row r="54" spans="1:8" ht="20.25" customHeight="1">
      <c r="A54" s="163" t="s">
        <v>978</v>
      </c>
      <c r="B54" s="163" t="s">
        <v>1014</v>
      </c>
      <c r="C54" s="163" t="s">
        <v>1015</v>
      </c>
      <c r="D54" s="142">
        <v>44816</v>
      </c>
      <c r="F54" s="102" t="s">
        <v>1016</v>
      </c>
      <c r="H54" s="15" t="s">
        <v>995</v>
      </c>
    </row>
    <row r="55" spans="1:8" ht="20.25" customHeight="1">
      <c r="A55" s="163" t="s">
        <v>978</v>
      </c>
      <c r="B55" s="163" t="s">
        <v>1017</v>
      </c>
      <c r="C55" s="163" t="s">
        <v>1018</v>
      </c>
      <c r="D55" s="137"/>
      <c r="F55" s="99" t="s">
        <v>1009</v>
      </c>
      <c r="H55" s="15" t="s">
        <v>1019</v>
      </c>
    </row>
    <row r="56" spans="1:8" ht="20.25" customHeight="1">
      <c r="A56" s="163" t="s">
        <v>978</v>
      </c>
      <c r="B56" s="163" t="s">
        <v>1020</v>
      </c>
      <c r="C56" s="163" t="s">
        <v>1021</v>
      </c>
      <c r="D56" s="142">
        <v>44840</v>
      </c>
      <c r="F56" s="99" t="s">
        <v>940</v>
      </c>
      <c r="H56" s="15" t="s">
        <v>1022</v>
      </c>
    </row>
    <row r="57" spans="1:8" ht="20.25" customHeight="1">
      <c r="A57" s="163" t="s">
        <v>978</v>
      </c>
      <c r="B57" s="163" t="s">
        <v>1023</v>
      </c>
      <c r="C57" s="164" t="s">
        <v>1024</v>
      </c>
      <c r="D57" s="142">
        <v>44862</v>
      </c>
      <c r="F57" s="103" t="s">
        <v>932</v>
      </c>
      <c r="H57" s="15" t="s">
        <v>998</v>
      </c>
    </row>
    <row r="58" spans="1:8" ht="20.25" customHeight="1">
      <c r="A58" s="163" t="s">
        <v>978</v>
      </c>
      <c r="B58" s="163" t="s">
        <v>1025</v>
      </c>
      <c r="C58" s="163" t="s">
        <v>1026</v>
      </c>
      <c r="D58" s="137" t="s">
        <v>24</v>
      </c>
      <c r="F58" s="99" t="s">
        <v>963</v>
      </c>
      <c r="H58" s="15" t="s">
        <v>1027</v>
      </c>
    </row>
    <row r="59" spans="1:8" ht="20.25" customHeight="1">
      <c r="A59" s="163" t="s">
        <v>978</v>
      </c>
      <c r="B59" s="163" t="s">
        <v>1028</v>
      </c>
      <c r="C59" s="163" t="s">
        <v>1029</v>
      </c>
      <c r="D59" s="142">
        <v>44840</v>
      </c>
      <c r="F59" s="99" t="s">
        <v>1027</v>
      </c>
      <c r="H59" s="15" t="s">
        <v>981</v>
      </c>
    </row>
    <row r="60" spans="1:8" ht="20.25" customHeight="1">
      <c r="A60" s="163" t="s">
        <v>978</v>
      </c>
      <c r="B60" s="163" t="s">
        <v>1030</v>
      </c>
      <c r="C60" s="163" t="s">
        <v>1031</v>
      </c>
      <c r="D60" s="142">
        <v>44889</v>
      </c>
      <c r="F60" s="99" t="s">
        <v>945</v>
      </c>
      <c r="H60" s="15" t="s">
        <v>1003</v>
      </c>
    </row>
    <row r="61" spans="1:8" ht="20.25" customHeight="1">
      <c r="A61" s="163" t="s">
        <v>978</v>
      </c>
      <c r="B61" s="163" t="s">
        <v>1032</v>
      </c>
      <c r="C61" s="163" t="s">
        <v>1033</v>
      </c>
      <c r="D61" s="142">
        <v>44922</v>
      </c>
      <c r="F61" s="101" t="s">
        <v>971</v>
      </c>
      <c r="H61" s="15" t="s">
        <v>964</v>
      </c>
    </row>
    <row r="62" spans="1:8" ht="20.25" customHeight="1">
      <c r="A62" s="163" t="s">
        <v>978</v>
      </c>
      <c r="B62" s="163" t="s">
        <v>1034</v>
      </c>
      <c r="C62" s="163" t="s">
        <v>1035</v>
      </c>
      <c r="D62" s="142">
        <v>44961</v>
      </c>
      <c r="F62" s="99" t="s">
        <v>974</v>
      </c>
      <c r="H62" s="15" t="s">
        <v>937</v>
      </c>
    </row>
    <row r="63" spans="1:8" ht="20.25" customHeight="1">
      <c r="A63" s="163" t="s">
        <v>978</v>
      </c>
      <c r="B63" s="163" t="s">
        <v>1036</v>
      </c>
      <c r="C63" s="163" t="s">
        <v>1037</v>
      </c>
      <c r="D63" s="142">
        <v>44840</v>
      </c>
      <c r="F63" s="99" t="s">
        <v>965</v>
      </c>
      <c r="H63" s="15" t="s">
        <v>952</v>
      </c>
    </row>
    <row r="64" spans="1:8" ht="20.25" customHeight="1">
      <c r="A64" s="163" t="s">
        <v>978</v>
      </c>
      <c r="B64" s="163" t="s">
        <v>1038</v>
      </c>
      <c r="C64" s="163" t="s">
        <v>1039</v>
      </c>
      <c r="D64" s="142">
        <v>44869</v>
      </c>
      <c r="F64" s="99" t="s">
        <v>968</v>
      </c>
    </row>
    <row r="65" spans="1:6" ht="20.25" customHeight="1">
      <c r="A65" s="163" t="s">
        <v>978</v>
      </c>
      <c r="B65" s="163" t="s">
        <v>1040</v>
      </c>
      <c r="C65" s="163" t="s">
        <v>1041</v>
      </c>
      <c r="D65" s="142">
        <v>44840</v>
      </c>
      <c r="F65" s="104" t="s">
        <v>1004</v>
      </c>
    </row>
    <row r="66" spans="1:6" ht="20.25" customHeight="1">
      <c r="A66" s="163" t="s">
        <v>978</v>
      </c>
      <c r="B66" s="163" t="s">
        <v>1042</v>
      </c>
      <c r="C66" s="163" t="s">
        <v>1043</v>
      </c>
      <c r="D66" s="142">
        <v>44840</v>
      </c>
      <c r="F66" s="104" t="s">
        <v>1019</v>
      </c>
    </row>
    <row r="67" spans="1:6" ht="20.25" customHeight="1">
      <c r="A67" s="163" t="s">
        <v>978</v>
      </c>
      <c r="B67" s="163" t="s">
        <v>1044</v>
      </c>
      <c r="C67" s="163" t="s">
        <v>1045</v>
      </c>
      <c r="D67" s="142">
        <v>44869</v>
      </c>
    </row>
    <row r="68" spans="1:6" ht="20.25" customHeight="1">
      <c r="A68" s="163" t="s">
        <v>978</v>
      </c>
      <c r="B68" s="163" t="s">
        <v>1046</v>
      </c>
      <c r="C68" s="163" t="s">
        <v>1047</v>
      </c>
      <c r="D68" s="142">
        <v>44840</v>
      </c>
    </row>
    <row r="69" spans="1:6" ht="20.25" customHeight="1">
      <c r="A69" s="163" t="s">
        <v>978</v>
      </c>
      <c r="B69" s="163" t="s">
        <v>1048</v>
      </c>
      <c r="C69" s="163" t="s">
        <v>1049</v>
      </c>
      <c r="D69" s="142">
        <v>44840</v>
      </c>
    </row>
    <row r="70" spans="1:6" ht="20.25" customHeight="1">
      <c r="A70" s="163" t="s">
        <v>978</v>
      </c>
      <c r="B70" s="163" t="s">
        <v>1050</v>
      </c>
      <c r="C70" s="163" t="s">
        <v>1051</v>
      </c>
      <c r="D70" s="142">
        <v>44840</v>
      </c>
    </row>
    <row r="71" spans="1:6" ht="20.25" customHeight="1">
      <c r="A71" s="163" t="s">
        <v>978</v>
      </c>
      <c r="B71" s="163" t="s">
        <v>1052</v>
      </c>
      <c r="C71" s="163" t="s">
        <v>1053</v>
      </c>
      <c r="D71" s="142">
        <v>44840</v>
      </c>
    </row>
    <row r="72" spans="1:6" ht="20.25" customHeight="1">
      <c r="A72" s="163" t="s">
        <v>978</v>
      </c>
      <c r="B72" s="163" t="s">
        <v>1054</v>
      </c>
      <c r="C72" s="163" t="s">
        <v>1055</v>
      </c>
      <c r="D72" s="137" t="s">
        <v>24</v>
      </c>
    </row>
    <row r="73" spans="1:6" ht="20.25" customHeight="1">
      <c r="A73" s="163" t="s">
        <v>978</v>
      </c>
      <c r="B73" s="163" t="s">
        <v>1056</v>
      </c>
      <c r="C73" s="163" t="s">
        <v>1057</v>
      </c>
      <c r="D73" s="142">
        <v>44853</v>
      </c>
    </row>
    <row r="74" spans="1:6" ht="20.25" customHeight="1">
      <c r="A74" s="163" t="s">
        <v>978</v>
      </c>
      <c r="B74" s="163" t="s">
        <v>1058</v>
      </c>
      <c r="C74" s="163" t="s">
        <v>1059</v>
      </c>
      <c r="D74" s="148">
        <v>45148</v>
      </c>
    </row>
    <row r="75" spans="1:6" ht="20.25" customHeight="1">
      <c r="A75" s="163" t="s">
        <v>978</v>
      </c>
      <c r="B75" s="163" t="s">
        <v>1060</v>
      </c>
      <c r="C75" s="164" t="s">
        <v>1061</v>
      </c>
      <c r="D75" s="137"/>
    </row>
    <row r="76" spans="1:6" ht="20.25" customHeight="1">
      <c r="A76" s="163" t="s">
        <v>978</v>
      </c>
      <c r="B76" s="163" t="s">
        <v>1062</v>
      </c>
      <c r="C76" s="163" t="s">
        <v>1063</v>
      </c>
      <c r="D76" s="162">
        <v>45013</v>
      </c>
    </row>
    <row r="77" spans="1:6" ht="20.25" customHeight="1">
      <c r="A77" s="163" t="s">
        <v>978</v>
      </c>
      <c r="B77" s="163" t="s">
        <v>1064</v>
      </c>
      <c r="C77" s="163" t="s">
        <v>1065</v>
      </c>
      <c r="D77" s="142">
        <v>44961</v>
      </c>
    </row>
    <row r="78" spans="1:6" ht="20.25" customHeight="1">
      <c r="A78" s="163" t="s">
        <v>978</v>
      </c>
      <c r="B78" s="163" t="s">
        <v>1066</v>
      </c>
      <c r="C78" s="163" t="s">
        <v>1067</v>
      </c>
      <c r="D78" s="142">
        <v>44923</v>
      </c>
    </row>
    <row r="79" spans="1:6" ht="20.25" customHeight="1">
      <c r="A79" s="163" t="s">
        <v>978</v>
      </c>
      <c r="B79" s="163" t="s">
        <v>1068</v>
      </c>
      <c r="C79" s="163" t="s">
        <v>1069</v>
      </c>
      <c r="D79" s="162">
        <v>45013</v>
      </c>
    </row>
    <row r="80" spans="1:6" ht="20.25" customHeight="1">
      <c r="A80" s="163" t="s">
        <v>978</v>
      </c>
      <c r="B80" s="163" t="s">
        <v>1070</v>
      </c>
      <c r="C80" s="163" t="s">
        <v>1071</v>
      </c>
      <c r="D80" s="148">
        <v>45148</v>
      </c>
    </row>
    <row r="81" spans="1:4" ht="20.25" customHeight="1">
      <c r="A81" s="163" t="s">
        <v>978</v>
      </c>
      <c r="B81" s="163" t="s">
        <v>1072</v>
      </c>
      <c r="C81" s="163" t="s">
        <v>1073</v>
      </c>
      <c r="D81" s="145"/>
    </row>
    <row r="82" spans="1:4" ht="20.25" customHeight="1">
      <c r="A82" s="163" t="s">
        <v>978</v>
      </c>
      <c r="B82" s="163" t="s">
        <v>1074</v>
      </c>
      <c r="C82" s="163" t="s">
        <v>1075</v>
      </c>
      <c r="D82" s="137"/>
    </row>
    <row r="83" spans="1:4" ht="20.25" customHeight="1">
      <c r="A83" s="163" t="s">
        <v>978</v>
      </c>
      <c r="B83" s="163" t="s">
        <v>1076</v>
      </c>
      <c r="C83" s="163" t="s">
        <v>1077</v>
      </c>
      <c r="D83" s="145"/>
    </row>
    <row r="84" spans="1:4" ht="20.25" customHeight="1">
      <c r="A84" s="163" t="s">
        <v>978</v>
      </c>
      <c r="B84" s="163" t="s">
        <v>1078</v>
      </c>
      <c r="C84" s="163" t="s">
        <v>1079</v>
      </c>
      <c r="D84" s="145"/>
    </row>
    <row r="85" spans="1:4" ht="20.25" customHeight="1">
      <c r="A85" s="163" t="s">
        <v>978</v>
      </c>
      <c r="B85" s="163" t="s">
        <v>1080</v>
      </c>
      <c r="C85" s="163" t="s">
        <v>1081</v>
      </c>
      <c r="D85" s="137"/>
    </row>
    <row r="86" spans="1:4" ht="20.25" customHeight="1">
      <c r="A86" s="163" t="s">
        <v>978</v>
      </c>
      <c r="B86" s="163" t="s">
        <v>1082</v>
      </c>
      <c r="C86" s="163" t="s">
        <v>1083</v>
      </c>
      <c r="D86" s="137"/>
    </row>
    <row r="87" spans="1:4" ht="20.25" customHeight="1">
      <c r="A87" s="163" t="s">
        <v>978</v>
      </c>
      <c r="B87" s="163" t="s">
        <v>1084</v>
      </c>
      <c r="C87" s="163" t="s">
        <v>1085</v>
      </c>
      <c r="D87" s="149"/>
    </row>
    <row r="88" spans="1:4" ht="20.25" customHeight="1">
      <c r="A88" s="163" t="s">
        <v>978</v>
      </c>
      <c r="B88" s="163" t="s">
        <v>1086</v>
      </c>
      <c r="C88" s="163" t="s">
        <v>1087</v>
      </c>
      <c r="D88" s="142">
        <v>45056</v>
      </c>
    </row>
    <row r="89" spans="1:4" ht="20.25" customHeight="1">
      <c r="A89" s="163" t="s">
        <v>978</v>
      </c>
      <c r="B89" s="163" t="s">
        <v>1088</v>
      </c>
      <c r="C89" s="163" t="s">
        <v>1089</v>
      </c>
      <c r="D89" s="162">
        <v>45013</v>
      </c>
    </row>
    <row r="90" spans="1:4" ht="20.25" customHeight="1">
      <c r="A90" s="163" t="s">
        <v>978</v>
      </c>
      <c r="B90" s="163" t="s">
        <v>1090</v>
      </c>
      <c r="C90" s="163" t="s">
        <v>1091</v>
      </c>
      <c r="D90" s="142">
        <v>45097</v>
      </c>
    </row>
    <row r="91" spans="1:4" ht="20.25" customHeight="1">
      <c r="A91" s="163" t="s">
        <v>978</v>
      </c>
      <c r="B91" s="163" t="s">
        <v>1092</v>
      </c>
      <c r="C91" s="163" t="s">
        <v>1093</v>
      </c>
      <c r="D91" s="142">
        <v>44816</v>
      </c>
    </row>
    <row r="92" spans="1:4" ht="20.25" customHeight="1">
      <c r="A92" s="163" t="s">
        <v>978</v>
      </c>
      <c r="B92" s="163" t="s">
        <v>1094</v>
      </c>
      <c r="C92" s="163" t="s">
        <v>1095</v>
      </c>
      <c r="D92" s="137"/>
    </row>
    <row r="93" spans="1:4" ht="20.25" customHeight="1">
      <c r="A93" s="163" t="s">
        <v>978</v>
      </c>
      <c r="B93" s="163" t="s">
        <v>1096</v>
      </c>
      <c r="C93" s="163" t="s">
        <v>1097</v>
      </c>
      <c r="D93" s="137" t="s">
        <v>24</v>
      </c>
    </row>
    <row r="94" spans="1:4" ht="20.25" customHeight="1">
      <c r="A94" s="163" t="s">
        <v>978</v>
      </c>
      <c r="B94" s="163" t="s">
        <v>1098</v>
      </c>
      <c r="C94" s="163" t="s">
        <v>1099</v>
      </c>
      <c r="D94" s="137"/>
    </row>
    <row r="95" spans="1:4" ht="20.25" customHeight="1">
      <c r="A95" s="163" t="s">
        <v>978</v>
      </c>
      <c r="B95" s="163" t="s">
        <v>1100</v>
      </c>
      <c r="C95" s="163" t="s">
        <v>1101</v>
      </c>
      <c r="D95" s="137"/>
    </row>
    <row r="96" spans="1:4" ht="20.25" customHeight="1">
      <c r="A96" s="163" t="s">
        <v>978</v>
      </c>
      <c r="B96" s="163" t="s">
        <v>1102</v>
      </c>
      <c r="C96" s="163" t="s">
        <v>1103</v>
      </c>
      <c r="D96" s="142">
        <v>44877</v>
      </c>
    </row>
    <row r="97" spans="1:4" ht="20.25" customHeight="1">
      <c r="A97" s="163" t="s">
        <v>978</v>
      </c>
      <c r="B97" s="163" t="s">
        <v>1104</v>
      </c>
      <c r="C97" s="163" t="s">
        <v>1105</v>
      </c>
      <c r="D97" s="142">
        <v>44876</v>
      </c>
    </row>
    <row r="98" spans="1:4" ht="20.25" customHeight="1">
      <c r="A98" s="163" t="s">
        <v>978</v>
      </c>
      <c r="B98" s="163" t="s">
        <v>1106</v>
      </c>
      <c r="C98" s="163" t="s">
        <v>1107</v>
      </c>
      <c r="D98" s="142">
        <v>44910</v>
      </c>
    </row>
    <row r="99" spans="1:4" ht="20.25" customHeight="1">
      <c r="A99" s="163" t="s">
        <v>978</v>
      </c>
      <c r="B99" s="163" t="s">
        <v>1108</v>
      </c>
      <c r="C99" s="163" t="s">
        <v>1109</v>
      </c>
      <c r="D99" s="148">
        <v>45148</v>
      </c>
    </row>
    <row r="100" spans="1:4" ht="20.25" customHeight="1">
      <c r="A100" s="163" t="s">
        <v>978</v>
      </c>
      <c r="B100" s="163" t="s">
        <v>1110</v>
      </c>
      <c r="C100" s="163" t="s">
        <v>1111</v>
      </c>
      <c r="D100" s="148">
        <v>45065</v>
      </c>
    </row>
    <row r="101" spans="1:4" ht="20.25" customHeight="1">
      <c r="A101" s="163" t="s">
        <v>978</v>
      </c>
      <c r="B101" s="163" t="s">
        <v>1112</v>
      </c>
      <c r="C101" s="163" t="s">
        <v>1113</v>
      </c>
      <c r="D101" s="148">
        <v>45049</v>
      </c>
    </row>
    <row r="102" spans="1:4" ht="20.25" customHeight="1">
      <c r="A102" s="163" t="s">
        <v>978</v>
      </c>
      <c r="B102" s="163" t="s">
        <v>1114</v>
      </c>
      <c r="C102" s="163" t="s">
        <v>1115</v>
      </c>
      <c r="D102" s="148">
        <v>45065</v>
      </c>
    </row>
    <row r="103" spans="1:4" ht="20.25" customHeight="1">
      <c r="A103" s="163" t="s">
        <v>978</v>
      </c>
      <c r="B103" s="163" t="s">
        <v>1116</v>
      </c>
      <c r="C103" s="163" t="s">
        <v>1117</v>
      </c>
      <c r="D103" s="142">
        <v>44922</v>
      </c>
    </row>
    <row r="104" spans="1:4" ht="20.25" customHeight="1">
      <c r="A104" s="163" t="s">
        <v>978</v>
      </c>
      <c r="B104" s="163" t="s">
        <v>1118</v>
      </c>
      <c r="C104" s="163" t="s">
        <v>1119</v>
      </c>
      <c r="D104" s="142">
        <v>44961</v>
      </c>
    </row>
    <row r="105" spans="1:4" ht="20.25" customHeight="1">
      <c r="A105" s="163" t="s">
        <v>978</v>
      </c>
      <c r="B105" s="163" t="s">
        <v>1120</v>
      </c>
      <c r="C105" s="163" t="s">
        <v>1121</v>
      </c>
      <c r="D105" s="137" t="s">
        <v>24</v>
      </c>
    </row>
    <row r="106" spans="1:4" ht="20.25" customHeight="1">
      <c r="A106" s="163" t="s">
        <v>978</v>
      </c>
      <c r="B106" s="163" t="s">
        <v>1122</v>
      </c>
      <c r="C106" s="163" t="s">
        <v>1123</v>
      </c>
      <c r="D106" s="148">
        <v>45049</v>
      </c>
    </row>
    <row r="107" spans="1:4" ht="20.25" customHeight="1">
      <c r="A107" s="163" t="s">
        <v>978</v>
      </c>
      <c r="B107" s="288" t="s">
        <v>1124</v>
      </c>
      <c r="C107" s="289" t="s">
        <v>1125</v>
      </c>
      <c r="D107" s="137" t="s">
        <v>24</v>
      </c>
    </row>
    <row r="108" spans="1:4" ht="20.25" customHeight="1">
      <c r="A108" s="163" t="s">
        <v>978</v>
      </c>
      <c r="B108" s="288" t="s">
        <v>1126</v>
      </c>
      <c r="C108" s="165" t="s">
        <v>1127</v>
      </c>
      <c r="D108" s="137" t="s">
        <v>24</v>
      </c>
    </row>
    <row r="109" spans="1:4" ht="20.25" customHeight="1">
      <c r="B109" s="166"/>
      <c r="C109" s="167"/>
      <c r="D109" s="137" t="s">
        <v>24</v>
      </c>
    </row>
    <row r="110" spans="1:4" ht="20.25" customHeight="1">
      <c r="B110" s="109"/>
      <c r="C110" s="168"/>
      <c r="D110" s="142">
        <v>44910</v>
      </c>
    </row>
    <row r="111" spans="1:4" ht="20.25" customHeight="1">
      <c r="B111" s="109"/>
      <c r="C111" s="168"/>
      <c r="D111" s="142">
        <v>44840</v>
      </c>
    </row>
    <row r="112" spans="1:4" ht="20.25" customHeight="1">
      <c r="B112" s="109"/>
      <c r="C112" s="168"/>
      <c r="D112" s="137" t="s">
        <v>24</v>
      </c>
    </row>
    <row r="113" spans="2:4" ht="20.25" customHeight="1">
      <c r="B113" s="109"/>
      <c r="C113" s="168"/>
      <c r="D113" s="137" t="s">
        <v>24</v>
      </c>
    </row>
    <row r="114" spans="2:4" ht="20.25" customHeight="1">
      <c r="B114" s="109"/>
      <c r="C114" s="168"/>
      <c r="D114" s="142">
        <v>44877</v>
      </c>
    </row>
    <row r="115" spans="2:4" ht="20.25" customHeight="1">
      <c r="B115" s="109"/>
      <c r="C115" s="168"/>
      <c r="D115" s="137" t="s">
        <v>24</v>
      </c>
    </row>
    <row r="116" spans="2:4" ht="20.25" customHeight="1">
      <c r="B116" s="109"/>
      <c r="D116" s="137" t="s">
        <v>24</v>
      </c>
    </row>
    <row r="117" spans="2:4" ht="20.25" customHeight="1">
      <c r="B117" s="109"/>
      <c r="D117" s="142">
        <v>44840</v>
      </c>
    </row>
    <row r="118" spans="2:4" ht="20.25" customHeight="1">
      <c r="B118" s="109"/>
      <c r="D118" s="137" t="s">
        <v>24</v>
      </c>
    </row>
    <row r="119" spans="2:4" ht="20.25" customHeight="1">
      <c r="B119" s="109"/>
      <c r="D119" s="137" t="s">
        <v>24</v>
      </c>
    </row>
    <row r="120" spans="2:4" ht="20.25" customHeight="1">
      <c r="B120" s="109"/>
      <c r="D120" s="137" t="s">
        <v>24</v>
      </c>
    </row>
    <row r="121" spans="2:4" ht="20.25" customHeight="1">
      <c r="B121" s="109"/>
      <c r="D121" s="137" t="s">
        <v>24</v>
      </c>
    </row>
    <row r="122" spans="2:4" ht="20.25" customHeight="1">
      <c r="B122" s="120" t="s">
        <v>1128</v>
      </c>
      <c r="D122" s="137" t="s">
        <v>24</v>
      </c>
    </row>
    <row r="123" spans="2:4" ht="20.25" customHeight="1">
      <c r="B123" s="120" t="s">
        <v>979</v>
      </c>
      <c r="D123" s="137" t="s">
        <v>24</v>
      </c>
    </row>
    <row r="124" spans="2:4" ht="20.25" customHeight="1">
      <c r="B124" s="109" t="s">
        <v>1129</v>
      </c>
      <c r="D124" s="137" t="s">
        <v>24</v>
      </c>
    </row>
    <row r="125" spans="2:4" ht="20.25" customHeight="1">
      <c r="B125" s="109" t="s">
        <v>1130</v>
      </c>
      <c r="D125" s="137" t="s">
        <v>24</v>
      </c>
    </row>
    <row r="126" spans="2:4" ht="20.25" customHeight="1">
      <c r="B126" s="109" t="s">
        <v>1131</v>
      </c>
      <c r="D126" s="137" t="s">
        <v>24</v>
      </c>
    </row>
    <row r="127" spans="2:4" ht="20.25" customHeight="1">
      <c r="B127" s="109" t="s">
        <v>1132</v>
      </c>
      <c r="D127" s="137"/>
    </row>
    <row r="128" spans="2:4" ht="20.25" customHeight="1">
      <c r="B128" s="109" t="s">
        <v>1133</v>
      </c>
      <c r="D128" s="137"/>
    </row>
    <row r="129" spans="2:4" ht="20.25" customHeight="1">
      <c r="B129" s="109" t="s">
        <v>1134</v>
      </c>
      <c r="D129" s="162">
        <v>45013</v>
      </c>
    </row>
    <row r="130" spans="2:4" ht="20.25" customHeight="1">
      <c r="B130" s="109" t="s">
        <v>1135</v>
      </c>
      <c r="D130" s="162">
        <v>45013</v>
      </c>
    </row>
    <row r="131" spans="2:4" ht="20.25" customHeight="1">
      <c r="B131" s="109" t="s">
        <v>1136</v>
      </c>
      <c r="D131" s="137" t="s">
        <v>24</v>
      </c>
    </row>
    <row r="132" spans="2:4" ht="20.25" customHeight="1">
      <c r="B132" s="120" t="s">
        <v>982</v>
      </c>
      <c r="D132" s="137" t="s">
        <v>24</v>
      </c>
    </row>
    <row r="133" spans="2:4" ht="20.25" customHeight="1">
      <c r="B133" s="109" t="s">
        <v>1137</v>
      </c>
      <c r="D133" s="142">
        <v>44853</v>
      </c>
    </row>
    <row r="134" spans="2:4" ht="20.25" customHeight="1">
      <c r="B134" s="109" t="s">
        <v>1138</v>
      </c>
      <c r="D134" s="142">
        <v>44840</v>
      </c>
    </row>
    <row r="135" spans="2:4" ht="20.25" customHeight="1">
      <c r="B135" s="109" t="s">
        <v>1139</v>
      </c>
      <c r="D135" s="142">
        <v>44840</v>
      </c>
    </row>
    <row r="136" spans="2:4" ht="20.25" customHeight="1">
      <c r="B136" s="109" t="s">
        <v>1140</v>
      </c>
      <c r="D136" s="144"/>
    </row>
    <row r="137" spans="2:4" ht="20.25" customHeight="1">
      <c r="B137" s="120" t="s">
        <v>986</v>
      </c>
      <c r="D137" s="142">
        <v>44910</v>
      </c>
    </row>
    <row r="138" spans="2:4" ht="20.25" customHeight="1">
      <c r="B138" s="109" t="s">
        <v>1141</v>
      </c>
      <c r="D138" s="142">
        <v>44961</v>
      </c>
    </row>
    <row r="139" spans="2:4" ht="20.25" customHeight="1">
      <c r="B139" s="109" t="s">
        <v>1142</v>
      </c>
      <c r="D139" s="137" t="s">
        <v>24</v>
      </c>
    </row>
    <row r="140" spans="2:4" ht="20.25" customHeight="1">
      <c r="B140" s="109" t="s">
        <v>1143</v>
      </c>
      <c r="D140" s="137" t="s">
        <v>24</v>
      </c>
    </row>
    <row r="141" spans="2:4" ht="20.25" customHeight="1">
      <c r="B141" s="120" t="s">
        <v>990</v>
      </c>
      <c r="D141" s="142">
        <v>44862</v>
      </c>
    </row>
    <row r="142" spans="2:4" ht="20.25" customHeight="1">
      <c r="B142" s="109" t="s">
        <v>1144</v>
      </c>
      <c r="D142" s="142">
        <v>44877</v>
      </c>
    </row>
    <row r="143" spans="2:4" ht="20.25" customHeight="1">
      <c r="B143" s="109" t="s">
        <v>1145</v>
      </c>
      <c r="D143" s="142">
        <v>44840</v>
      </c>
    </row>
    <row r="144" spans="2:4" ht="20.25" customHeight="1">
      <c r="B144" s="120" t="s">
        <v>993</v>
      </c>
      <c r="D144" s="137" t="s">
        <v>24</v>
      </c>
    </row>
    <row r="145" spans="2:4" ht="20.25" customHeight="1">
      <c r="B145" s="109" t="s">
        <v>996</v>
      </c>
      <c r="D145" s="142">
        <v>44840</v>
      </c>
    </row>
    <row r="146" spans="2:4" ht="20.25" customHeight="1">
      <c r="B146" s="109" t="s">
        <v>1146</v>
      </c>
      <c r="D146" s="137" t="s">
        <v>24</v>
      </c>
    </row>
    <row r="147" spans="2:4" ht="20.25" customHeight="1">
      <c r="B147" s="109" t="s">
        <v>1147</v>
      </c>
      <c r="D147" s="137" t="s">
        <v>24</v>
      </c>
    </row>
    <row r="148" spans="2:4" ht="20.25" customHeight="1">
      <c r="B148" s="109" t="s">
        <v>1148</v>
      </c>
      <c r="D148" s="142">
        <v>44840</v>
      </c>
    </row>
    <row r="149" spans="2:4" ht="20.25" customHeight="1">
      <c r="B149" s="109" t="s">
        <v>1149</v>
      </c>
      <c r="D149" s="142">
        <v>44877</v>
      </c>
    </row>
    <row r="150" spans="2:4" ht="20.25" customHeight="1">
      <c r="B150" s="109" t="s">
        <v>1150</v>
      </c>
      <c r="D150" s="142">
        <v>44890</v>
      </c>
    </row>
    <row r="151" spans="2:4" ht="20.25" customHeight="1">
      <c r="B151" s="109" t="s">
        <v>1151</v>
      </c>
      <c r="D151" s="142">
        <v>45013</v>
      </c>
    </row>
    <row r="152" spans="2:4" ht="20.25" customHeight="1">
      <c r="B152" s="109" t="s">
        <v>1152</v>
      </c>
      <c r="D152" s="142">
        <v>45013</v>
      </c>
    </row>
    <row r="153" spans="2:4" ht="20.25" customHeight="1">
      <c r="B153" s="109" t="s">
        <v>1153</v>
      </c>
      <c r="D153" s="142"/>
    </row>
    <row r="154" spans="2:4" ht="20.25" customHeight="1">
      <c r="B154" s="109" t="s">
        <v>1154</v>
      </c>
      <c r="D154" s="142"/>
    </row>
    <row r="155" spans="2:4" ht="20.25" customHeight="1">
      <c r="B155" s="109" t="s">
        <v>1155</v>
      </c>
      <c r="D155" s="152"/>
    </row>
    <row r="156" spans="2:4" ht="20.25" customHeight="1">
      <c r="B156" s="109" t="s">
        <v>1156</v>
      </c>
      <c r="D156" s="152"/>
    </row>
    <row r="157" spans="2:4" ht="20.25" customHeight="1">
      <c r="B157" s="109" t="s">
        <v>1157</v>
      </c>
      <c r="D157" s="152"/>
    </row>
    <row r="158" spans="2:4" ht="20.25" customHeight="1">
      <c r="B158" s="120" t="s">
        <v>999</v>
      </c>
      <c r="D158" s="152"/>
    </row>
    <row r="159" spans="2:4" ht="20.25" customHeight="1">
      <c r="B159" s="109" t="s">
        <v>1158</v>
      </c>
      <c r="D159" s="152"/>
    </row>
    <row r="160" spans="2:4" ht="20.25" customHeight="1">
      <c r="B160" s="120" t="s">
        <v>1001</v>
      </c>
      <c r="D160" s="152"/>
    </row>
    <row r="161" spans="2:4" ht="20.25" customHeight="1">
      <c r="B161" s="109" t="s">
        <v>1159</v>
      </c>
      <c r="D161" s="148">
        <v>45105</v>
      </c>
    </row>
    <row r="162" spans="2:4" ht="20.25" customHeight="1">
      <c r="B162" s="109" t="s">
        <v>1160</v>
      </c>
      <c r="D162" s="149"/>
    </row>
    <row r="163" spans="2:4" ht="20.25" customHeight="1">
      <c r="B163" s="109" t="s">
        <v>1161</v>
      </c>
      <c r="D163" s="152"/>
    </row>
    <row r="164" spans="2:4" ht="20.25" customHeight="1">
      <c r="B164" s="109" t="s">
        <v>1162</v>
      </c>
      <c r="D164" s="152"/>
    </row>
    <row r="165" spans="2:4" ht="20.25" customHeight="1">
      <c r="B165" s="109" t="s">
        <v>1163</v>
      </c>
      <c r="D165" s="152"/>
    </row>
    <row r="166" spans="2:4" ht="20.25" customHeight="1">
      <c r="B166" s="109" t="s">
        <v>1164</v>
      </c>
      <c r="D166" s="148">
        <v>45105</v>
      </c>
    </row>
    <row r="167" spans="2:4" ht="20.25" customHeight="1">
      <c r="B167" s="109" t="s">
        <v>1165</v>
      </c>
      <c r="D167" s="152"/>
    </row>
    <row r="168" spans="2:4" ht="20.25" customHeight="1">
      <c r="B168" s="109" t="s">
        <v>1166</v>
      </c>
      <c r="D168" s="152"/>
    </row>
    <row r="169" spans="2:4" ht="20.25" customHeight="1">
      <c r="B169" s="109" t="s">
        <v>1167</v>
      </c>
      <c r="D169" s="148">
        <v>45049</v>
      </c>
    </row>
    <row r="170" spans="2:4" ht="20.25" customHeight="1">
      <c r="B170" s="109" t="s">
        <v>1168</v>
      </c>
      <c r="D170" s="152"/>
    </row>
    <row r="171" spans="2:4" ht="20.25" customHeight="1">
      <c r="B171" s="109" t="s">
        <v>1005</v>
      </c>
      <c r="D171" s="152"/>
    </row>
    <row r="172" spans="2:4" ht="20.25" customHeight="1">
      <c r="B172" s="109" t="s">
        <v>1169</v>
      </c>
      <c r="D172" s="152"/>
    </row>
    <row r="173" spans="2:4" ht="20.25" customHeight="1">
      <c r="B173" s="109" t="s">
        <v>1170</v>
      </c>
      <c r="D173" s="152"/>
    </row>
    <row r="174" spans="2:4" ht="20.25" customHeight="1">
      <c r="B174" s="109" t="s">
        <v>1171</v>
      </c>
      <c r="D174" s="152"/>
    </row>
    <row r="175" spans="2:4" ht="20.25" customHeight="1">
      <c r="B175" s="109" t="s">
        <v>1172</v>
      </c>
      <c r="D175" s="142">
        <v>45056</v>
      </c>
    </row>
    <row r="176" spans="2:4" ht="20.25" customHeight="1">
      <c r="B176" s="109" t="s">
        <v>1173</v>
      </c>
      <c r="D176" s="142">
        <v>45056</v>
      </c>
    </row>
    <row r="177" spans="2:4" ht="20.25" customHeight="1">
      <c r="B177" s="108" t="s">
        <v>1174</v>
      </c>
      <c r="D177" s="142">
        <v>45056</v>
      </c>
    </row>
    <row r="178" spans="2:4" ht="20.25" customHeight="1">
      <c r="B178" s="109" t="s">
        <v>1175</v>
      </c>
      <c r="D178" s="152"/>
    </row>
    <row r="179" spans="2:4" ht="20.25" customHeight="1">
      <c r="B179" s="109" t="s">
        <v>1007</v>
      </c>
      <c r="D179" s="152"/>
    </row>
    <row r="180" spans="2:4" ht="20.25" customHeight="1">
      <c r="B180" s="109" t="s">
        <v>1176</v>
      </c>
      <c r="D180" s="152"/>
    </row>
    <row r="181" spans="2:4" ht="20.25" customHeight="1">
      <c r="B181" s="109" t="s">
        <v>1177</v>
      </c>
      <c r="D181" s="152"/>
    </row>
    <row r="182" spans="2:4" ht="20.25" customHeight="1">
      <c r="B182" s="109" t="s">
        <v>1178</v>
      </c>
      <c r="D182" s="152"/>
    </row>
    <row r="183" spans="2:4" ht="20.25" customHeight="1">
      <c r="B183" s="109" t="s">
        <v>1179</v>
      </c>
      <c r="D183" s="152"/>
    </row>
    <row r="184" spans="2:4" ht="20.25" customHeight="1">
      <c r="B184" s="120" t="s">
        <v>1010</v>
      </c>
      <c r="D184" s="152"/>
    </row>
    <row r="185" spans="2:4" ht="20.25" customHeight="1">
      <c r="B185" s="109" t="s">
        <v>1180</v>
      </c>
      <c r="D185" s="152"/>
    </row>
    <row r="186" spans="2:4" ht="20.25" customHeight="1">
      <c r="B186" s="109" t="s">
        <v>1181</v>
      </c>
      <c r="D186" s="152"/>
    </row>
    <row r="187" spans="2:4" ht="20.25" customHeight="1">
      <c r="B187" s="109" t="s">
        <v>1182</v>
      </c>
      <c r="D187" s="149"/>
    </row>
    <row r="188" spans="2:4" ht="20.25" customHeight="1">
      <c r="B188" s="109" t="s">
        <v>1183</v>
      </c>
      <c r="D188" s="142">
        <v>45056</v>
      </c>
    </row>
    <row r="189" spans="2:4" ht="20.25" customHeight="1">
      <c r="B189" s="109" t="s">
        <v>1184</v>
      </c>
      <c r="D189" s="148">
        <v>45148</v>
      </c>
    </row>
    <row r="190" spans="2:4" ht="20.25" customHeight="1">
      <c r="B190" s="109" t="s">
        <v>1185</v>
      </c>
      <c r="D190" s="145"/>
    </row>
    <row r="191" spans="2:4" ht="20.25" customHeight="1">
      <c r="B191" s="109" t="s">
        <v>1012</v>
      </c>
      <c r="D191" s="145"/>
    </row>
    <row r="192" spans="2:4" ht="20.25" customHeight="1">
      <c r="B192" s="109" t="s">
        <v>1186</v>
      </c>
      <c r="D192" s="145"/>
    </row>
    <row r="193" spans="2:4" ht="20.25" customHeight="1">
      <c r="B193" s="109" t="s">
        <v>1187</v>
      </c>
      <c r="D193" s="145"/>
    </row>
    <row r="194" spans="2:4" ht="20.25" customHeight="1">
      <c r="B194" s="109" t="s">
        <v>1188</v>
      </c>
      <c r="D194" s="145"/>
    </row>
    <row r="195" spans="2:4" ht="20.25" customHeight="1">
      <c r="B195" s="109" t="s">
        <v>1189</v>
      </c>
      <c r="D195" s="145"/>
    </row>
    <row r="196" spans="2:4" ht="20.25" customHeight="1">
      <c r="B196" s="109" t="s">
        <v>1190</v>
      </c>
      <c r="D196" s="145"/>
    </row>
    <row r="197" spans="2:4" ht="20.25" customHeight="1">
      <c r="B197" s="109" t="s">
        <v>1191</v>
      </c>
      <c r="D197" s="145"/>
    </row>
    <row r="198" spans="2:4" ht="20.25" customHeight="1">
      <c r="B198" s="109" t="s">
        <v>1014</v>
      </c>
      <c r="D198" s="145"/>
    </row>
    <row r="199" spans="2:4" ht="20.25" customHeight="1">
      <c r="B199" s="109" t="s">
        <v>1017</v>
      </c>
      <c r="D199" s="145"/>
    </row>
    <row r="200" spans="2:4" ht="20.25" customHeight="1">
      <c r="B200" s="109" t="s">
        <v>1192</v>
      </c>
      <c r="D200" s="145"/>
    </row>
    <row r="201" spans="2:4" ht="20.25" customHeight="1">
      <c r="B201" s="109" t="s">
        <v>1193</v>
      </c>
      <c r="D201" s="145"/>
    </row>
    <row r="202" spans="2:4" ht="20.25" customHeight="1">
      <c r="B202" s="109" t="s">
        <v>1194</v>
      </c>
      <c r="D202" s="145"/>
    </row>
    <row r="203" spans="2:4" ht="20.25" customHeight="1">
      <c r="B203" s="120" t="s">
        <v>1020</v>
      </c>
      <c r="D203" s="145"/>
    </row>
    <row r="204" spans="2:4" ht="20.25" customHeight="1">
      <c r="B204" s="109" t="s">
        <v>1195</v>
      </c>
      <c r="D204" s="145"/>
    </row>
    <row r="205" spans="2:4" ht="20.25" customHeight="1">
      <c r="B205" s="109" t="s">
        <v>1196</v>
      </c>
      <c r="D205" s="145"/>
    </row>
    <row r="206" spans="2:4" ht="20.25" customHeight="1">
      <c r="B206" s="109" t="s">
        <v>1197</v>
      </c>
      <c r="D206" s="145"/>
    </row>
    <row r="207" spans="2:4" ht="20.25" customHeight="1">
      <c r="B207" s="109" t="s">
        <v>1198</v>
      </c>
      <c r="D207" s="145"/>
    </row>
    <row r="208" spans="2:4" ht="20.25" customHeight="1">
      <c r="B208" s="109" t="s">
        <v>1199</v>
      </c>
      <c r="D208" s="145"/>
    </row>
    <row r="209" spans="2:4" ht="20.25" customHeight="1">
      <c r="B209" s="109" t="s">
        <v>1200</v>
      </c>
      <c r="D209" s="148">
        <v>45105</v>
      </c>
    </row>
    <row r="210" spans="2:4" ht="20.25" customHeight="1">
      <c r="B210" s="109" t="s">
        <v>1201</v>
      </c>
      <c r="D210" s="142">
        <v>44992</v>
      </c>
    </row>
    <row r="211" spans="2:4" ht="20.25" customHeight="1">
      <c r="B211" s="120" t="s">
        <v>1023</v>
      </c>
      <c r="D211" s="142">
        <v>45056</v>
      </c>
    </row>
    <row r="212" spans="2:4" ht="20.25" customHeight="1">
      <c r="B212" s="109" t="s">
        <v>1202</v>
      </c>
      <c r="D212" s="142">
        <v>44992</v>
      </c>
    </row>
    <row r="213" spans="2:4" ht="20.25" customHeight="1">
      <c r="B213" s="109" t="s">
        <v>1203</v>
      </c>
      <c r="D213" s="142">
        <v>45056</v>
      </c>
    </row>
    <row r="214" spans="2:4" ht="20.25" customHeight="1">
      <c r="B214" s="109" t="s">
        <v>1204</v>
      </c>
      <c r="D214" s="151">
        <v>45111</v>
      </c>
    </row>
    <row r="215" spans="2:4" ht="20.25" customHeight="1">
      <c r="B215" s="109" t="s">
        <v>1205</v>
      </c>
      <c r="D215" s="142">
        <v>45056</v>
      </c>
    </row>
    <row r="216" spans="2:4" ht="20.25" customHeight="1">
      <c r="B216" s="120" t="s">
        <v>1206</v>
      </c>
      <c r="D216" s="145"/>
    </row>
    <row r="217" spans="2:4" ht="20.25" customHeight="1">
      <c r="B217" s="109" t="s">
        <v>1207</v>
      </c>
      <c r="D217" s="145"/>
    </row>
    <row r="218" spans="2:4" ht="20.25" customHeight="1">
      <c r="B218" s="109" t="s">
        <v>1208</v>
      </c>
      <c r="D218" s="142">
        <v>45056</v>
      </c>
    </row>
    <row r="219" spans="2:4" ht="20.25" customHeight="1">
      <c r="B219" s="109" t="s">
        <v>1209</v>
      </c>
      <c r="D219" s="142">
        <v>45056</v>
      </c>
    </row>
    <row r="220" spans="2:4" ht="20.25" customHeight="1">
      <c r="B220" s="109" t="s">
        <v>1210</v>
      </c>
      <c r="D220" s="142">
        <v>45056</v>
      </c>
    </row>
    <row r="221" spans="2:4" ht="20.25" customHeight="1">
      <c r="B221" s="109" t="s">
        <v>1211</v>
      </c>
      <c r="D221" s="142">
        <v>45097</v>
      </c>
    </row>
    <row r="222" spans="2:4" ht="20.25" customHeight="1">
      <c r="B222" s="109" t="s">
        <v>1212</v>
      </c>
      <c r="D222" s="151">
        <v>45111</v>
      </c>
    </row>
    <row r="223" spans="2:4" ht="20.25" customHeight="1">
      <c r="B223" s="109" t="s">
        <v>1213</v>
      </c>
      <c r="D223" s="151">
        <v>45111</v>
      </c>
    </row>
    <row r="224" spans="2:4" ht="20.25" customHeight="1">
      <c r="B224" s="109" t="s">
        <v>1214</v>
      </c>
      <c r="D224" s="151">
        <v>45111</v>
      </c>
    </row>
    <row r="225" spans="2:4" ht="20.25" customHeight="1">
      <c r="B225" s="109" t="s">
        <v>1215</v>
      </c>
      <c r="D225" s="142">
        <v>45097</v>
      </c>
    </row>
    <row r="226" spans="2:4" ht="20.25" customHeight="1">
      <c r="B226" s="109" t="s">
        <v>1216</v>
      </c>
      <c r="D226" s="151">
        <v>45111</v>
      </c>
    </row>
    <row r="227" spans="2:4" ht="20.25" customHeight="1">
      <c r="B227" s="109" t="s">
        <v>1217</v>
      </c>
      <c r="D227" s="151">
        <v>45111</v>
      </c>
    </row>
    <row r="228" spans="2:4" ht="20.25" customHeight="1">
      <c r="B228" s="109" t="s">
        <v>1218</v>
      </c>
      <c r="D228" s="142">
        <v>45097</v>
      </c>
    </row>
    <row r="229" spans="2:4" ht="20.25" customHeight="1">
      <c r="B229" s="109" t="s">
        <v>1025</v>
      </c>
      <c r="D229" s="142">
        <v>45097</v>
      </c>
    </row>
    <row r="230" spans="2:4" ht="20.25" customHeight="1">
      <c r="B230" s="109" t="s">
        <v>1219</v>
      </c>
      <c r="D230" s="142">
        <v>45097</v>
      </c>
    </row>
    <row r="231" spans="2:4" ht="20.25" customHeight="1">
      <c r="B231" s="109" t="s">
        <v>1220</v>
      </c>
      <c r="D231" s="149"/>
    </row>
    <row r="232" spans="2:4" ht="20.25" customHeight="1">
      <c r="B232" s="109" t="s">
        <v>1221</v>
      </c>
      <c r="D232" s="151">
        <v>45111</v>
      </c>
    </row>
    <row r="233" spans="2:4" ht="20.25" customHeight="1">
      <c r="B233" s="109" t="s">
        <v>1222</v>
      </c>
      <c r="D233" s="142">
        <v>45097</v>
      </c>
    </row>
    <row r="234" spans="2:4" ht="20.25" customHeight="1">
      <c r="B234" s="109" t="s">
        <v>1223</v>
      </c>
      <c r="D234" s="148">
        <v>45148</v>
      </c>
    </row>
    <row r="235" spans="2:4" ht="20.25" customHeight="1">
      <c r="B235" s="109" t="s">
        <v>1224</v>
      </c>
      <c r="D235" s="151">
        <v>45111</v>
      </c>
    </row>
    <row r="236" spans="2:4" ht="20.25" customHeight="1">
      <c r="B236" s="109" t="s">
        <v>1225</v>
      </c>
      <c r="D236" s="152"/>
    </row>
    <row r="237" spans="2:4" ht="20.25" customHeight="1">
      <c r="B237" s="109" t="s">
        <v>1226</v>
      </c>
      <c r="D237" s="142">
        <v>44992</v>
      </c>
    </row>
    <row r="238" spans="2:4" ht="20.25" customHeight="1">
      <c r="B238" s="109" t="s">
        <v>1227</v>
      </c>
      <c r="D238" s="142">
        <v>45097</v>
      </c>
    </row>
    <row r="239" spans="2:4" ht="20.25" customHeight="1">
      <c r="B239" s="109" t="s">
        <v>1228</v>
      </c>
      <c r="D239" s="142">
        <v>45097</v>
      </c>
    </row>
    <row r="240" spans="2:4" ht="20.25" customHeight="1">
      <c r="B240" s="109" t="s">
        <v>1229</v>
      </c>
      <c r="D240" s="142">
        <v>45097</v>
      </c>
    </row>
    <row r="241" spans="2:4" ht="20.25" customHeight="1">
      <c r="B241" s="109" t="s">
        <v>1230</v>
      </c>
      <c r="D241" s="152"/>
    </row>
    <row r="242" spans="2:4" ht="20.25" customHeight="1">
      <c r="B242" s="109" t="s">
        <v>1231</v>
      </c>
      <c r="D242" s="152"/>
    </row>
    <row r="243" spans="2:4" ht="20.25" customHeight="1">
      <c r="B243" s="109" t="s">
        <v>1232</v>
      </c>
      <c r="D243" s="142">
        <v>45097</v>
      </c>
    </row>
    <row r="244" spans="2:4" ht="20.25" customHeight="1">
      <c r="B244" s="109" t="s">
        <v>1233</v>
      </c>
      <c r="D244" s="142">
        <v>45097</v>
      </c>
    </row>
    <row r="245" spans="2:4" ht="20.25" customHeight="1">
      <c r="B245" s="109" t="s">
        <v>1234</v>
      </c>
      <c r="D245" s="151">
        <v>45111</v>
      </c>
    </row>
    <row r="246" spans="2:4" ht="20.25" customHeight="1">
      <c r="B246" s="109" t="s">
        <v>1235</v>
      </c>
      <c r="D246" s="142">
        <v>44961</v>
      </c>
    </row>
    <row r="247" spans="2:4" ht="20.25" customHeight="1">
      <c r="B247" s="109" t="s">
        <v>1236</v>
      </c>
      <c r="D247" s="142">
        <v>45097</v>
      </c>
    </row>
    <row r="248" spans="2:4" ht="20.25" customHeight="1">
      <c r="B248" s="109" t="s">
        <v>1237</v>
      </c>
      <c r="D248" s="148">
        <v>45148</v>
      </c>
    </row>
    <row r="249" spans="2:4" ht="20.25" customHeight="1">
      <c r="B249" s="109" t="s">
        <v>1238</v>
      </c>
      <c r="D249" s="151">
        <v>45111</v>
      </c>
    </row>
    <row r="250" spans="2:4" ht="20.25" customHeight="1">
      <c r="B250" s="109" t="s">
        <v>1239</v>
      </c>
      <c r="D250" s="152"/>
    </row>
    <row r="251" spans="2:4" ht="20.25" customHeight="1">
      <c r="B251" s="109" t="s">
        <v>1240</v>
      </c>
      <c r="D251" s="152"/>
    </row>
    <row r="252" spans="2:4" ht="20.25" customHeight="1">
      <c r="B252" s="109" t="s">
        <v>1241</v>
      </c>
      <c r="D252" s="152"/>
    </row>
    <row r="253" spans="2:4" ht="20.25" customHeight="1">
      <c r="B253" s="109" t="s">
        <v>1242</v>
      </c>
      <c r="D253" s="142">
        <v>45097</v>
      </c>
    </row>
    <row r="254" spans="2:4" ht="20.25" customHeight="1">
      <c r="B254" s="109" t="s">
        <v>1243</v>
      </c>
      <c r="D254" s="148">
        <v>45148</v>
      </c>
    </row>
    <row r="255" spans="2:4" ht="20.25" customHeight="1">
      <c r="B255" s="109" t="s">
        <v>1244</v>
      </c>
      <c r="D255" s="151">
        <v>45111</v>
      </c>
    </row>
    <row r="256" spans="2:4" ht="20.25" customHeight="1">
      <c r="B256" s="109" t="s">
        <v>1245</v>
      </c>
      <c r="D256" s="148">
        <v>45148</v>
      </c>
    </row>
    <row r="257" spans="2:4" ht="20.25" customHeight="1">
      <c r="B257" s="109" t="s">
        <v>1246</v>
      </c>
      <c r="D257" s="148">
        <v>45148</v>
      </c>
    </row>
    <row r="258" spans="2:4" ht="20.25" customHeight="1">
      <c r="B258" s="109" t="s">
        <v>1028</v>
      </c>
      <c r="D258" s="142">
        <v>45097</v>
      </c>
    </row>
    <row r="259" spans="2:4" ht="20.25" customHeight="1">
      <c r="B259" s="109" t="s">
        <v>1247</v>
      </c>
      <c r="D259" s="152"/>
    </row>
    <row r="260" spans="2:4" ht="20.25" customHeight="1">
      <c r="B260" s="109" t="s">
        <v>1248</v>
      </c>
      <c r="D260" s="151">
        <v>45111</v>
      </c>
    </row>
    <row r="261" spans="2:4" ht="20.25" customHeight="1">
      <c r="B261" s="109" t="s">
        <v>1249</v>
      </c>
      <c r="D261" s="151">
        <v>45111</v>
      </c>
    </row>
    <row r="262" spans="2:4" ht="20.25" customHeight="1">
      <c r="B262" s="109" t="s">
        <v>1250</v>
      </c>
      <c r="D262" s="142">
        <v>45097</v>
      </c>
    </row>
    <row r="263" spans="2:4" ht="20.25" customHeight="1">
      <c r="B263" s="109" t="s">
        <v>1030</v>
      </c>
      <c r="D263" s="151">
        <v>45111</v>
      </c>
    </row>
    <row r="264" spans="2:4" ht="20.25" customHeight="1">
      <c r="B264" s="109" t="s">
        <v>1251</v>
      </c>
      <c r="D264" s="151">
        <v>45111</v>
      </c>
    </row>
    <row r="265" spans="2:4" ht="20.25" customHeight="1">
      <c r="B265" s="109" t="s">
        <v>1252</v>
      </c>
      <c r="D265" s="142">
        <v>45097</v>
      </c>
    </row>
    <row r="266" spans="2:4" ht="20.25" customHeight="1">
      <c r="B266" s="109" t="s">
        <v>1253</v>
      </c>
      <c r="D266" s="142">
        <v>44992</v>
      </c>
    </row>
    <row r="267" spans="2:4" ht="20.25" customHeight="1">
      <c r="B267" s="109" t="s">
        <v>1254</v>
      </c>
      <c r="D267" s="177"/>
    </row>
    <row r="268" spans="2:4" ht="20.25" customHeight="1">
      <c r="B268" s="109" t="s">
        <v>1032</v>
      </c>
      <c r="D268" s="152"/>
    </row>
    <row r="269" spans="2:4" ht="20.25" customHeight="1">
      <c r="B269" s="109" t="s">
        <v>1034</v>
      </c>
      <c r="D269" s="151">
        <v>45111</v>
      </c>
    </row>
    <row r="270" spans="2:4" ht="20.25" customHeight="1">
      <c r="B270" s="109" t="s">
        <v>1036</v>
      </c>
      <c r="D270" s="152"/>
    </row>
    <row r="271" spans="2:4" ht="20.25" customHeight="1">
      <c r="B271" s="109" t="s">
        <v>1255</v>
      </c>
      <c r="D271" s="149"/>
    </row>
    <row r="272" spans="2:4" ht="20.25" customHeight="1">
      <c r="B272" s="109" t="s">
        <v>1256</v>
      </c>
      <c r="D272" s="152"/>
    </row>
    <row r="273" spans="2:4" ht="20.25" customHeight="1">
      <c r="B273" s="109" t="s">
        <v>1257</v>
      </c>
      <c r="D273" s="152"/>
    </row>
    <row r="274" spans="2:4" ht="20.25" customHeight="1">
      <c r="B274" s="109" t="s">
        <v>1258</v>
      </c>
      <c r="D274" s="148">
        <v>45105</v>
      </c>
    </row>
    <row r="275" spans="2:4" ht="20.25" customHeight="1">
      <c r="B275" s="109" t="s">
        <v>1259</v>
      </c>
      <c r="D275" s="142">
        <v>44992</v>
      </c>
    </row>
    <row r="276" spans="2:4" ht="20.25" customHeight="1">
      <c r="B276" s="109" t="s">
        <v>1260</v>
      </c>
      <c r="D276" s="148">
        <v>45148</v>
      </c>
    </row>
    <row r="277" spans="2:4" ht="20.25" customHeight="1">
      <c r="B277" s="109" t="s">
        <v>1261</v>
      </c>
      <c r="D277" s="137"/>
    </row>
    <row r="278" spans="2:4" ht="20.25" customHeight="1">
      <c r="B278" s="109" t="s">
        <v>1262</v>
      </c>
      <c r="D278" s="177"/>
    </row>
    <row r="279" spans="2:4" ht="20.25" customHeight="1">
      <c r="B279" s="109" t="s">
        <v>1263</v>
      </c>
      <c r="D279" s="177"/>
    </row>
    <row r="280" spans="2:4" ht="20.25" customHeight="1">
      <c r="B280" s="109" t="s">
        <v>1038</v>
      </c>
      <c r="D280" s="142">
        <v>45097</v>
      </c>
    </row>
    <row r="281" spans="2:4" ht="20.25" customHeight="1">
      <c r="B281" s="109" t="s">
        <v>1264</v>
      </c>
      <c r="D281" s="148">
        <v>45105</v>
      </c>
    </row>
    <row r="282" spans="2:4" ht="20.25" customHeight="1">
      <c r="B282" s="109" t="s">
        <v>1265</v>
      </c>
      <c r="D282" s="142">
        <v>45097</v>
      </c>
    </row>
    <row r="283" spans="2:4" ht="20.25" customHeight="1">
      <c r="B283" s="109" t="s">
        <v>1266</v>
      </c>
      <c r="D283" s="142">
        <v>44992</v>
      </c>
    </row>
    <row r="284" spans="2:4" ht="20.25" customHeight="1">
      <c r="B284" s="109" t="s">
        <v>1040</v>
      </c>
      <c r="D284" s="152"/>
    </row>
    <row r="285" spans="2:4" ht="20.25" customHeight="1">
      <c r="B285" s="109" t="s">
        <v>1267</v>
      </c>
      <c r="D285" s="152"/>
    </row>
    <row r="286" spans="2:4" ht="20.25" customHeight="1">
      <c r="B286" s="109" t="s">
        <v>1268</v>
      </c>
      <c r="D286" s="152"/>
    </row>
    <row r="287" spans="2:4" ht="20.25" customHeight="1">
      <c r="B287" s="109" t="s">
        <v>1269</v>
      </c>
      <c r="D287" s="148">
        <v>45105</v>
      </c>
    </row>
    <row r="288" spans="2:4" ht="20.25" customHeight="1">
      <c r="B288" s="109" t="s">
        <v>1270</v>
      </c>
      <c r="D288" s="148">
        <v>45105</v>
      </c>
    </row>
    <row r="289" spans="2:4" ht="20.25" customHeight="1">
      <c r="B289" s="109" t="s">
        <v>1271</v>
      </c>
      <c r="D289" s="148">
        <v>45148</v>
      </c>
    </row>
    <row r="290" spans="2:4" ht="20.25" customHeight="1">
      <c r="B290" s="109" t="s">
        <v>1042</v>
      </c>
      <c r="D290" s="148">
        <v>45148</v>
      </c>
    </row>
    <row r="291" spans="2:4" ht="20.25" customHeight="1">
      <c r="B291" s="109" t="s">
        <v>1044</v>
      </c>
      <c r="D291" s="148">
        <v>45148</v>
      </c>
    </row>
    <row r="292" spans="2:4" ht="20.25" customHeight="1">
      <c r="B292" s="109" t="s">
        <v>1046</v>
      </c>
      <c r="D292" s="177"/>
    </row>
    <row r="293" spans="2:4" ht="20.25" customHeight="1">
      <c r="B293" s="109" t="s">
        <v>1048</v>
      </c>
      <c r="D293" s="152"/>
    </row>
    <row r="294" spans="2:4" ht="20.25" customHeight="1">
      <c r="B294" s="109" t="s">
        <v>1050</v>
      </c>
      <c r="D294" s="152"/>
    </row>
    <row r="295" spans="2:4" ht="20.25" customHeight="1">
      <c r="B295" s="109" t="s">
        <v>1272</v>
      </c>
      <c r="D295" s="152"/>
    </row>
    <row r="296" spans="2:4" ht="20.25" customHeight="1">
      <c r="B296" s="109" t="s">
        <v>1273</v>
      </c>
      <c r="D296" s="152"/>
    </row>
    <row r="297" spans="2:4" ht="20.25" customHeight="1">
      <c r="B297" s="109" t="s">
        <v>1052</v>
      </c>
      <c r="D297" s="152"/>
    </row>
    <row r="298" spans="2:4" ht="20.25" customHeight="1">
      <c r="B298" s="109" t="s">
        <v>1054</v>
      </c>
      <c r="D298" s="152"/>
    </row>
    <row r="299" spans="2:4" ht="20.25" customHeight="1">
      <c r="B299" s="109" t="s">
        <v>1274</v>
      </c>
      <c r="D299" s="152"/>
    </row>
    <row r="300" spans="2:4" ht="20.25" customHeight="1">
      <c r="B300" s="109" t="s">
        <v>1275</v>
      </c>
      <c r="D300" s="137" t="s">
        <v>24</v>
      </c>
    </row>
    <row r="301" spans="2:4" ht="20.25" customHeight="1">
      <c r="B301" s="109" t="s">
        <v>1276</v>
      </c>
      <c r="D301" s="152"/>
    </row>
    <row r="302" spans="2:4" ht="20.25" customHeight="1">
      <c r="B302" s="108" t="s">
        <v>1277</v>
      </c>
      <c r="D302" s="151">
        <v>45111</v>
      </c>
    </row>
    <row r="303" spans="2:4" ht="20.25" customHeight="1">
      <c r="B303" s="109" t="s">
        <v>1278</v>
      </c>
      <c r="D303" s="151">
        <v>45111</v>
      </c>
    </row>
    <row r="304" spans="2:4" ht="20.25" customHeight="1">
      <c r="B304" s="109" t="s">
        <v>1279</v>
      </c>
      <c r="D304" s="151">
        <v>45111</v>
      </c>
    </row>
    <row r="305" spans="2:4" ht="20.25" customHeight="1">
      <c r="B305" s="109" t="s">
        <v>1280</v>
      </c>
      <c r="D305" s="152"/>
    </row>
    <row r="306" spans="2:4" ht="20.25" customHeight="1">
      <c r="B306" s="109" t="s">
        <v>1281</v>
      </c>
      <c r="D306" s="142">
        <v>45097</v>
      </c>
    </row>
    <row r="307" spans="2:4" ht="20.25" customHeight="1">
      <c r="B307" s="109" t="s">
        <v>1282</v>
      </c>
      <c r="D307" s="152"/>
    </row>
    <row r="308" spans="2:4" ht="20.25" customHeight="1">
      <c r="B308" s="109" t="s">
        <v>1283</v>
      </c>
      <c r="D308" s="152"/>
    </row>
    <row r="309" spans="2:4" ht="20.25" customHeight="1">
      <c r="B309" s="109" t="s">
        <v>1284</v>
      </c>
      <c r="D309" s="152"/>
    </row>
    <row r="310" spans="2:4" ht="20.25" customHeight="1">
      <c r="B310" s="109" t="s">
        <v>1285</v>
      </c>
      <c r="D310" s="151">
        <v>45111</v>
      </c>
    </row>
    <row r="311" spans="2:4" ht="20.25" customHeight="1">
      <c r="B311" s="109" t="s">
        <v>1286</v>
      </c>
      <c r="D311" s="151">
        <v>45111</v>
      </c>
    </row>
    <row r="312" spans="2:4" ht="20.25" customHeight="1">
      <c r="B312" s="109" t="s">
        <v>1287</v>
      </c>
      <c r="D312" s="149"/>
    </row>
    <row r="313" spans="2:4" ht="20.25" customHeight="1">
      <c r="B313" s="109" t="s">
        <v>1288</v>
      </c>
      <c r="D313" s="148" t="s">
        <v>24</v>
      </c>
    </row>
    <row r="314" spans="2:4" ht="20.25" customHeight="1">
      <c r="B314" s="109" t="s">
        <v>1289</v>
      </c>
      <c r="D314" s="152"/>
    </row>
    <row r="315" spans="2:4" ht="20.25" customHeight="1">
      <c r="B315" s="109" t="s">
        <v>1290</v>
      </c>
      <c r="D315" s="151">
        <v>45111</v>
      </c>
    </row>
    <row r="316" spans="2:4" ht="20.25" customHeight="1">
      <c r="B316" s="109" t="s">
        <v>929</v>
      </c>
      <c r="D316" s="152"/>
    </row>
    <row r="317" spans="2:4" ht="20.25" customHeight="1">
      <c r="B317" s="109" t="s">
        <v>944</v>
      </c>
      <c r="D317" s="151">
        <v>45111</v>
      </c>
    </row>
    <row r="318" spans="2:4" ht="20.25" customHeight="1">
      <c r="B318" s="109" t="s">
        <v>1291</v>
      </c>
      <c r="D318" s="152"/>
    </row>
    <row r="319" spans="2:4" ht="20.25" customHeight="1">
      <c r="B319" s="109" t="s">
        <v>1292</v>
      </c>
      <c r="D319" s="152"/>
    </row>
    <row r="320" spans="2:4" ht="20.25" customHeight="1">
      <c r="B320" s="109" t="s">
        <v>1293</v>
      </c>
      <c r="D320" s="148" t="s">
        <v>24</v>
      </c>
    </row>
    <row r="321" spans="2:4" ht="20.25" customHeight="1">
      <c r="B321" s="109" t="s">
        <v>1294</v>
      </c>
      <c r="D321" s="148" t="s">
        <v>24</v>
      </c>
    </row>
    <row r="322" spans="2:4" ht="20.25" customHeight="1">
      <c r="B322" s="109" t="s">
        <v>1295</v>
      </c>
      <c r="D322" s="148">
        <v>45105</v>
      </c>
    </row>
    <row r="323" spans="2:4" ht="20.25" customHeight="1">
      <c r="B323" s="109" t="s">
        <v>1296</v>
      </c>
      <c r="D323" s="152"/>
    </row>
    <row r="324" spans="2:4" ht="20.25" customHeight="1">
      <c r="B324" s="109" t="s">
        <v>1297</v>
      </c>
      <c r="D324" s="152"/>
    </row>
    <row r="325" spans="2:4" ht="20.25" customHeight="1">
      <c r="B325" s="109" t="s">
        <v>1298</v>
      </c>
      <c r="D325" s="149"/>
    </row>
    <row r="326" spans="2:4" ht="20.25" customHeight="1">
      <c r="B326" s="109" t="s">
        <v>1299</v>
      </c>
      <c r="D326" s="152"/>
    </row>
    <row r="327" spans="2:4" ht="20.25" customHeight="1">
      <c r="B327" s="109" t="s">
        <v>1300</v>
      </c>
      <c r="D327" s="142">
        <v>44961</v>
      </c>
    </row>
    <row r="328" spans="2:4" ht="20.25" customHeight="1">
      <c r="B328" s="109" t="s">
        <v>1301</v>
      </c>
      <c r="D328" s="152"/>
    </row>
    <row r="329" spans="2:4" ht="20.25" customHeight="1">
      <c r="B329" s="109" t="s">
        <v>1302</v>
      </c>
      <c r="D329" s="152"/>
    </row>
    <row r="330" spans="2:4" ht="20.25" customHeight="1">
      <c r="B330" s="109" t="s">
        <v>1303</v>
      </c>
      <c r="D330" s="152"/>
    </row>
    <row r="331" spans="2:4" ht="20.25" customHeight="1">
      <c r="B331" s="109" t="s">
        <v>942</v>
      </c>
      <c r="D331" s="148">
        <v>45148</v>
      </c>
    </row>
    <row r="332" spans="2:4" ht="20.25" customHeight="1">
      <c r="B332" s="120" t="s">
        <v>1304</v>
      </c>
      <c r="D332" s="152"/>
    </row>
    <row r="333" spans="2:4" ht="20.25" customHeight="1">
      <c r="B333" s="120" t="s">
        <v>1056</v>
      </c>
      <c r="D333" s="142">
        <v>45097</v>
      </c>
    </row>
    <row r="334" spans="2:4" ht="20.25" customHeight="1">
      <c r="B334" s="109" t="s">
        <v>1305</v>
      </c>
      <c r="D334" s="148">
        <v>45105</v>
      </c>
    </row>
    <row r="335" spans="2:4" ht="20.25" customHeight="1">
      <c r="B335" s="109" t="s">
        <v>1306</v>
      </c>
      <c r="D335" s="152"/>
    </row>
    <row r="336" spans="2:4" ht="20.25" customHeight="1">
      <c r="B336" s="109" t="s">
        <v>1307</v>
      </c>
      <c r="D336" s="152"/>
    </row>
    <row r="337" spans="2:4" ht="20.25" customHeight="1">
      <c r="B337" s="109" t="s">
        <v>1308</v>
      </c>
      <c r="D337" s="152"/>
    </row>
    <row r="338" spans="2:4" ht="20.25" customHeight="1">
      <c r="B338" s="109" t="s">
        <v>1309</v>
      </c>
      <c r="D338" s="142">
        <v>45097</v>
      </c>
    </row>
    <row r="339" spans="2:4" ht="20.25" customHeight="1">
      <c r="B339" s="109" t="s">
        <v>1310</v>
      </c>
      <c r="D339" s="152"/>
    </row>
    <row r="340" spans="2:4" ht="20.25" customHeight="1">
      <c r="B340" s="109" t="s">
        <v>1311</v>
      </c>
      <c r="D340" s="152"/>
    </row>
    <row r="341" spans="2:4" ht="20.25" customHeight="1">
      <c r="B341" s="109" t="s">
        <v>1312</v>
      </c>
      <c r="D341" s="152"/>
    </row>
    <row r="342" spans="2:4" ht="20.25" customHeight="1">
      <c r="B342" s="109" t="s">
        <v>1313</v>
      </c>
      <c r="D342" s="152"/>
    </row>
    <row r="343" spans="2:4" ht="20.25" customHeight="1">
      <c r="B343" s="120" t="s">
        <v>1314</v>
      </c>
      <c r="D343" s="152"/>
    </row>
    <row r="344" spans="2:4" ht="20.25" customHeight="1">
      <c r="B344" s="109" t="s">
        <v>930</v>
      </c>
      <c r="D344" s="152"/>
    </row>
    <row r="345" spans="2:4" ht="20.25" customHeight="1">
      <c r="B345" s="109" t="s">
        <v>1315</v>
      </c>
      <c r="D345" s="152"/>
    </row>
    <row r="346" spans="2:4" ht="20.25" customHeight="1">
      <c r="B346" s="120" t="s">
        <v>1316</v>
      </c>
      <c r="D346" s="152"/>
    </row>
    <row r="347" spans="2:4" ht="20.25" customHeight="1">
      <c r="B347" s="109" t="s">
        <v>1317</v>
      </c>
      <c r="D347" s="152"/>
    </row>
    <row r="348" spans="2:4" ht="20.25" customHeight="1">
      <c r="B348" s="109" t="s">
        <v>1318</v>
      </c>
      <c r="D348" s="152"/>
    </row>
    <row r="349" spans="2:4" ht="20.25" customHeight="1">
      <c r="B349" s="109" t="s">
        <v>1319</v>
      </c>
      <c r="D349" s="151">
        <v>45111</v>
      </c>
    </row>
    <row r="350" spans="2:4" ht="20.25" customHeight="1">
      <c r="B350" s="109" t="s">
        <v>1320</v>
      </c>
      <c r="D350" s="152"/>
    </row>
    <row r="351" spans="2:4" ht="20.25" customHeight="1">
      <c r="B351" s="109" t="s">
        <v>1321</v>
      </c>
      <c r="D351" s="137" t="s">
        <v>24</v>
      </c>
    </row>
    <row r="352" spans="2:4" ht="20.25" customHeight="1">
      <c r="B352" s="109" t="s">
        <v>1322</v>
      </c>
      <c r="D352" s="152"/>
    </row>
    <row r="353" spans="2:4" ht="20.25" customHeight="1">
      <c r="B353" s="109" t="s">
        <v>928</v>
      </c>
      <c r="D353" s="152"/>
    </row>
    <row r="354" spans="2:4" ht="20.25" customHeight="1">
      <c r="B354" s="109" t="s">
        <v>1323</v>
      </c>
      <c r="D354" s="152"/>
    </row>
    <row r="355" spans="2:4" ht="20.25" customHeight="1">
      <c r="B355" s="109" t="s">
        <v>1324</v>
      </c>
      <c r="D355" s="152"/>
    </row>
    <row r="356" spans="2:4" ht="20.25" customHeight="1">
      <c r="B356" s="109" t="s">
        <v>1325</v>
      </c>
      <c r="D356" s="152"/>
    </row>
    <row r="357" spans="2:4" ht="20.25" customHeight="1">
      <c r="B357" s="109" t="s">
        <v>1326</v>
      </c>
      <c r="D357" s="152"/>
    </row>
    <row r="358" spans="2:4" ht="20.25" customHeight="1">
      <c r="B358" s="109" t="s">
        <v>925</v>
      </c>
      <c r="D358" s="152"/>
    </row>
    <row r="359" spans="2:4" ht="20.25" customHeight="1">
      <c r="B359" s="120" t="s">
        <v>1058</v>
      </c>
      <c r="D359" s="152"/>
    </row>
    <row r="360" spans="2:4" ht="20.25" customHeight="1">
      <c r="B360" s="109" t="s">
        <v>1327</v>
      </c>
      <c r="D360" s="152"/>
    </row>
    <row r="361" spans="2:4" ht="20.25" customHeight="1">
      <c r="B361" s="109" t="s">
        <v>1328</v>
      </c>
      <c r="D361" s="152"/>
    </row>
    <row r="362" spans="2:4" ht="20.25" customHeight="1">
      <c r="B362" s="109" t="s">
        <v>1329</v>
      </c>
      <c r="D362" s="152"/>
    </row>
    <row r="363" spans="2:4" ht="20.25" customHeight="1">
      <c r="B363" s="109" t="s">
        <v>1330</v>
      </c>
      <c r="D363" s="152"/>
    </row>
    <row r="364" spans="2:4" ht="20.25" customHeight="1">
      <c r="B364" s="109" t="s">
        <v>1331</v>
      </c>
      <c r="D364" s="152"/>
    </row>
    <row r="365" spans="2:4" ht="20.25" customHeight="1">
      <c r="B365" s="109" t="s">
        <v>1332</v>
      </c>
      <c r="D365" s="152"/>
    </row>
    <row r="366" spans="2:4" ht="20.25" customHeight="1">
      <c r="B366" s="120" t="s">
        <v>1060</v>
      </c>
      <c r="D366" s="152"/>
    </row>
    <row r="367" spans="2:4" ht="20.25" customHeight="1">
      <c r="B367" s="120" t="s">
        <v>1333</v>
      </c>
      <c r="D367" s="152"/>
    </row>
    <row r="368" spans="2:4" ht="20.25" customHeight="1">
      <c r="B368" s="109" t="s">
        <v>1334</v>
      </c>
      <c r="D368" s="152"/>
    </row>
    <row r="369" spans="2:4" ht="20.25" customHeight="1">
      <c r="B369" s="109" t="s">
        <v>1335</v>
      </c>
      <c r="D369" s="152"/>
    </row>
    <row r="370" spans="2:4" ht="20.25" customHeight="1">
      <c r="B370" s="109" t="s">
        <v>948</v>
      </c>
      <c r="D370" s="152"/>
    </row>
    <row r="371" spans="2:4" ht="20.25" customHeight="1">
      <c r="B371" s="109" t="s">
        <v>1336</v>
      </c>
      <c r="D371" s="152"/>
    </row>
    <row r="372" spans="2:4" ht="20.25" customHeight="1">
      <c r="B372" s="109" t="s">
        <v>1337</v>
      </c>
      <c r="D372" s="152"/>
    </row>
    <row r="373" spans="2:4" ht="20.25" customHeight="1">
      <c r="B373" s="109" t="s">
        <v>1338</v>
      </c>
      <c r="D373" s="152"/>
    </row>
    <row r="374" spans="2:4" ht="20.25" customHeight="1">
      <c r="B374" s="109" t="s">
        <v>1339</v>
      </c>
      <c r="D374" s="152"/>
    </row>
    <row r="375" spans="2:4" ht="20.25" customHeight="1">
      <c r="B375" s="109" t="s">
        <v>1340</v>
      </c>
      <c r="D375" s="152"/>
    </row>
    <row r="376" spans="2:4" ht="20.25" customHeight="1">
      <c r="B376" s="120" t="s">
        <v>1341</v>
      </c>
      <c r="D376" s="152"/>
    </row>
    <row r="377" spans="2:4" ht="20.25" customHeight="1">
      <c r="B377" s="120" t="s">
        <v>1342</v>
      </c>
      <c r="D377" s="152"/>
    </row>
    <row r="378" spans="2:4" ht="20.25" customHeight="1">
      <c r="B378" s="109" t="s">
        <v>1343</v>
      </c>
      <c r="D378" s="152"/>
    </row>
    <row r="379" spans="2:4" ht="20.25" customHeight="1">
      <c r="B379" s="109" t="s">
        <v>947</v>
      </c>
      <c r="D379" s="148">
        <v>45148</v>
      </c>
    </row>
    <row r="380" spans="2:4" ht="20.25" customHeight="1">
      <c r="B380" s="120" t="s">
        <v>1344</v>
      </c>
      <c r="D380" s="153"/>
    </row>
    <row r="381" spans="2:4" ht="20.25" customHeight="1">
      <c r="B381" s="109" t="s">
        <v>1345</v>
      </c>
      <c r="D381" s="145"/>
    </row>
    <row r="382" spans="2:4" ht="20.25" customHeight="1">
      <c r="B382" s="109" t="s">
        <v>1346</v>
      </c>
      <c r="D382" s="177"/>
    </row>
    <row r="383" spans="2:4" ht="20.25" customHeight="1">
      <c r="B383" s="109" t="s">
        <v>1347</v>
      </c>
      <c r="D383" s="142">
        <v>44961</v>
      </c>
    </row>
    <row r="384" spans="2:4" ht="20.25" customHeight="1">
      <c r="B384" s="109" t="s">
        <v>1348</v>
      </c>
      <c r="D384" s="142">
        <v>44992</v>
      </c>
    </row>
    <row r="385" spans="2:4" ht="20.25" customHeight="1">
      <c r="B385" s="109" t="s">
        <v>1349</v>
      </c>
      <c r="D385" s="148">
        <v>45105</v>
      </c>
    </row>
    <row r="386" spans="2:4" ht="20.25" customHeight="1">
      <c r="B386" s="109" t="s">
        <v>950</v>
      </c>
      <c r="D386" s="142">
        <v>44961</v>
      </c>
    </row>
    <row r="387" spans="2:4" ht="20.25" customHeight="1">
      <c r="B387" s="109" t="s">
        <v>1350</v>
      </c>
      <c r="D387" s="142">
        <v>44961</v>
      </c>
    </row>
    <row r="388" spans="2:4" ht="20.25" customHeight="1">
      <c r="B388" s="109" t="s">
        <v>1351</v>
      </c>
      <c r="D388" s="152"/>
    </row>
    <row r="389" spans="2:4" ht="20.25" customHeight="1">
      <c r="B389" s="109" t="s">
        <v>1352</v>
      </c>
      <c r="D389" s="142">
        <v>44992</v>
      </c>
    </row>
    <row r="390" spans="2:4" ht="20.25" customHeight="1">
      <c r="B390" s="109" t="s">
        <v>1353</v>
      </c>
      <c r="D390" s="142">
        <v>44961</v>
      </c>
    </row>
    <row r="391" spans="2:4" ht="20.25" customHeight="1">
      <c r="B391" s="109" t="s">
        <v>1354</v>
      </c>
      <c r="D391" s="142">
        <v>44961</v>
      </c>
    </row>
    <row r="392" spans="2:4" ht="20.25" customHeight="1">
      <c r="B392" s="109" t="s">
        <v>1062</v>
      </c>
      <c r="D392" s="142">
        <v>44961</v>
      </c>
    </row>
    <row r="393" spans="2:4" ht="20.25" customHeight="1">
      <c r="B393" s="109" t="s">
        <v>1064</v>
      </c>
      <c r="D393" s="142">
        <v>44961</v>
      </c>
    </row>
    <row r="394" spans="2:4" ht="20.25" customHeight="1">
      <c r="B394" s="109" t="s">
        <v>1066</v>
      </c>
      <c r="D394" s="152"/>
    </row>
    <row r="395" spans="2:4" ht="20.25" customHeight="1">
      <c r="B395" s="109" t="s">
        <v>1068</v>
      </c>
      <c r="D395" s="142">
        <v>44961</v>
      </c>
    </row>
    <row r="396" spans="2:4" ht="20.25" customHeight="1">
      <c r="B396" s="109" t="s">
        <v>1355</v>
      </c>
      <c r="D396" s="152"/>
    </row>
    <row r="397" spans="2:4" ht="20.25" customHeight="1">
      <c r="B397" s="109" t="s">
        <v>1356</v>
      </c>
      <c r="D397" s="152"/>
    </row>
    <row r="398" spans="2:4" ht="20.25" customHeight="1">
      <c r="B398" s="109" t="s">
        <v>1357</v>
      </c>
      <c r="D398" s="148">
        <v>45106</v>
      </c>
    </row>
    <row r="399" spans="2:4" ht="20.25" customHeight="1">
      <c r="B399" s="109" t="s">
        <v>1358</v>
      </c>
      <c r="D399" s="152"/>
    </row>
    <row r="400" spans="2:4" ht="20.25" customHeight="1">
      <c r="B400" s="109" t="s">
        <v>1359</v>
      </c>
      <c r="D400" s="148">
        <v>45105</v>
      </c>
    </row>
    <row r="401" spans="2:4" ht="20.25" customHeight="1">
      <c r="B401" s="109" t="s">
        <v>1360</v>
      </c>
      <c r="D401" s="148">
        <v>45148</v>
      </c>
    </row>
    <row r="402" spans="2:4" ht="20.25" customHeight="1">
      <c r="B402" s="109" t="s">
        <v>952</v>
      </c>
      <c r="D402" s="152"/>
    </row>
    <row r="403" spans="2:4" ht="20.25" customHeight="1">
      <c r="B403" s="109" t="s">
        <v>1361</v>
      </c>
      <c r="D403" s="152"/>
    </row>
    <row r="404" spans="2:4" ht="20.25" customHeight="1">
      <c r="B404" s="109" t="s">
        <v>1362</v>
      </c>
      <c r="D404" s="148">
        <v>45105</v>
      </c>
    </row>
    <row r="405" spans="2:4" ht="20.25" customHeight="1">
      <c r="B405" s="109" t="s">
        <v>1363</v>
      </c>
      <c r="D405" s="137" t="s">
        <v>24</v>
      </c>
    </row>
    <row r="406" spans="2:4" ht="20.25" customHeight="1">
      <c r="B406" s="109" t="s">
        <v>1364</v>
      </c>
      <c r="D406" s="148">
        <v>45148</v>
      </c>
    </row>
    <row r="407" spans="2:4" ht="20.25" customHeight="1">
      <c r="B407" s="109" t="s">
        <v>1365</v>
      </c>
      <c r="D407" s="152"/>
    </row>
    <row r="408" spans="2:4" ht="20.25" customHeight="1">
      <c r="B408" s="120" t="s">
        <v>1070</v>
      </c>
      <c r="D408" s="177"/>
    </row>
    <row r="409" spans="2:4" ht="20.25" customHeight="1">
      <c r="B409" s="109" t="s">
        <v>1072</v>
      </c>
      <c r="D409" s="148">
        <v>45148</v>
      </c>
    </row>
    <row r="410" spans="2:4" ht="20.25" customHeight="1">
      <c r="B410" s="109" t="s">
        <v>1366</v>
      </c>
      <c r="D410" s="148">
        <v>45148</v>
      </c>
    </row>
    <row r="411" spans="2:4" ht="20.25" customHeight="1">
      <c r="B411" s="109" t="s">
        <v>1367</v>
      </c>
      <c r="D411" s="148">
        <v>45148</v>
      </c>
    </row>
    <row r="412" spans="2:4" ht="20.25" customHeight="1">
      <c r="B412" s="109" t="s">
        <v>1368</v>
      </c>
      <c r="D412" s="149"/>
    </row>
    <row r="413" spans="2:4" ht="20.25" customHeight="1">
      <c r="B413" s="109" t="s">
        <v>1369</v>
      </c>
      <c r="D413" s="148">
        <v>45148</v>
      </c>
    </row>
    <row r="414" spans="2:4" ht="20.25" customHeight="1">
      <c r="B414" s="109" t="s">
        <v>1370</v>
      </c>
      <c r="D414" s="148">
        <v>45148</v>
      </c>
    </row>
    <row r="415" spans="2:4" ht="20.25" customHeight="1">
      <c r="B415" s="109" t="s">
        <v>954</v>
      </c>
      <c r="D415" s="148">
        <v>45148</v>
      </c>
    </row>
    <row r="416" spans="2:4" ht="20.25" customHeight="1">
      <c r="B416" s="109" t="s">
        <v>1371</v>
      </c>
      <c r="D416" s="148">
        <v>45105</v>
      </c>
    </row>
    <row r="417" spans="2:4" ht="20.25" customHeight="1">
      <c r="B417" s="109" t="s">
        <v>1372</v>
      </c>
      <c r="D417" s="142">
        <v>44961</v>
      </c>
    </row>
    <row r="418" spans="2:4" ht="20.25" customHeight="1">
      <c r="B418" s="109" t="s">
        <v>1373</v>
      </c>
      <c r="D418" s="142">
        <v>44961</v>
      </c>
    </row>
    <row r="419" spans="2:4" ht="20.25" customHeight="1">
      <c r="B419" s="109" t="s">
        <v>1374</v>
      </c>
      <c r="D419" s="142">
        <v>44992</v>
      </c>
    </row>
    <row r="420" spans="2:4" ht="20.25" customHeight="1">
      <c r="B420" s="109" t="s">
        <v>1375</v>
      </c>
      <c r="D420" s="142">
        <v>44992</v>
      </c>
    </row>
    <row r="421" spans="2:4" ht="20.25" customHeight="1">
      <c r="B421" s="109" t="s">
        <v>1376</v>
      </c>
      <c r="D421" s="152"/>
    </row>
    <row r="422" spans="2:4" ht="20.25" customHeight="1">
      <c r="B422" s="109" t="s">
        <v>1377</v>
      </c>
      <c r="D422" s="152"/>
    </row>
    <row r="423" spans="2:4" ht="20.25" customHeight="1">
      <c r="B423" s="120" t="s">
        <v>1378</v>
      </c>
      <c r="D423" s="152"/>
    </row>
    <row r="424" spans="2:4" ht="20.25" customHeight="1">
      <c r="B424" s="120" t="s">
        <v>1379</v>
      </c>
      <c r="D424" s="148">
        <v>45105</v>
      </c>
    </row>
    <row r="425" spans="2:4" ht="20.25" customHeight="1">
      <c r="B425" s="109" t="s">
        <v>1380</v>
      </c>
      <c r="D425" s="142">
        <v>44961</v>
      </c>
    </row>
    <row r="426" spans="2:4" ht="20.25" customHeight="1">
      <c r="B426" s="109" t="s">
        <v>1381</v>
      </c>
      <c r="D426" s="142">
        <v>44961</v>
      </c>
    </row>
    <row r="427" spans="2:4" ht="20.25" customHeight="1">
      <c r="B427" s="109" t="s">
        <v>1382</v>
      </c>
      <c r="D427" s="148">
        <v>45105</v>
      </c>
    </row>
    <row r="428" spans="2:4" ht="20.25" customHeight="1">
      <c r="B428" s="109" t="s">
        <v>1383</v>
      </c>
      <c r="D428" s="142">
        <v>44961</v>
      </c>
    </row>
    <row r="429" spans="2:4" ht="20.25" customHeight="1">
      <c r="B429" s="109" t="s">
        <v>1384</v>
      </c>
      <c r="D429" s="148">
        <v>45105</v>
      </c>
    </row>
    <row r="430" spans="2:4" ht="20.25" customHeight="1">
      <c r="B430" s="109" t="s">
        <v>1385</v>
      </c>
      <c r="D430" s="142">
        <v>44961</v>
      </c>
    </row>
    <row r="431" spans="2:4" ht="20.25" customHeight="1">
      <c r="B431" s="109" t="s">
        <v>1386</v>
      </c>
      <c r="D431" s="152"/>
    </row>
    <row r="432" spans="2:4" ht="20.25" customHeight="1">
      <c r="B432" s="109" t="s">
        <v>1387</v>
      </c>
      <c r="D432" s="152"/>
    </row>
    <row r="433" spans="2:4" ht="20.25" customHeight="1">
      <c r="B433" s="109" t="s">
        <v>1074</v>
      </c>
      <c r="D433" s="142">
        <v>44992</v>
      </c>
    </row>
    <row r="434" spans="2:4" ht="20.25" customHeight="1">
      <c r="B434" s="109" t="s">
        <v>1388</v>
      </c>
      <c r="D434" s="152"/>
    </row>
    <row r="435" spans="2:4" ht="20.25" customHeight="1">
      <c r="B435" s="109" t="s">
        <v>1389</v>
      </c>
      <c r="D435" s="152"/>
    </row>
    <row r="436" spans="2:4" ht="20.25" customHeight="1">
      <c r="B436" s="109" t="s">
        <v>1390</v>
      </c>
      <c r="D436" s="148">
        <v>45148</v>
      </c>
    </row>
    <row r="437" spans="2:4" ht="20.25" customHeight="1">
      <c r="B437" s="109" t="s">
        <v>1391</v>
      </c>
      <c r="D437" s="142">
        <v>44889</v>
      </c>
    </row>
    <row r="438" spans="2:4" ht="20.25" customHeight="1">
      <c r="B438" s="109" t="s">
        <v>1392</v>
      </c>
      <c r="D438" s="142">
        <v>44889</v>
      </c>
    </row>
    <row r="439" spans="2:4" ht="20.25" customHeight="1">
      <c r="B439" s="109" t="s">
        <v>1393</v>
      </c>
      <c r="D439" s="142">
        <v>44992</v>
      </c>
    </row>
    <row r="440" spans="2:4" ht="20.25" customHeight="1">
      <c r="B440" s="109" t="s">
        <v>1394</v>
      </c>
      <c r="D440" s="151">
        <v>45111</v>
      </c>
    </row>
    <row r="441" spans="2:4" ht="20.25" customHeight="1">
      <c r="B441" s="109" t="s">
        <v>1395</v>
      </c>
      <c r="D441" s="137" t="s">
        <v>24</v>
      </c>
    </row>
    <row r="442" spans="2:4" ht="20.25" customHeight="1">
      <c r="B442" s="109" t="s">
        <v>955</v>
      </c>
      <c r="D442" s="137" t="s">
        <v>24</v>
      </c>
    </row>
    <row r="443" spans="2:4" ht="20.25" customHeight="1">
      <c r="B443" s="109" t="s">
        <v>1396</v>
      </c>
      <c r="D443" s="137" t="s">
        <v>24</v>
      </c>
    </row>
    <row r="444" spans="2:4" ht="20.25" customHeight="1">
      <c r="B444" s="109" t="s">
        <v>1397</v>
      </c>
      <c r="D444" s="152"/>
    </row>
    <row r="445" spans="2:4" ht="20.25" customHeight="1">
      <c r="B445" s="109" t="s">
        <v>1398</v>
      </c>
      <c r="D445" s="152"/>
    </row>
    <row r="446" spans="2:4" ht="20.25" customHeight="1">
      <c r="B446" s="109" t="s">
        <v>1399</v>
      </c>
      <c r="D446" s="152"/>
    </row>
    <row r="447" spans="2:4" ht="20.25" customHeight="1">
      <c r="B447" s="109" t="s">
        <v>1400</v>
      </c>
      <c r="D447" s="152"/>
    </row>
    <row r="448" spans="2:4" ht="20.25" customHeight="1">
      <c r="B448" s="109" t="s">
        <v>957</v>
      </c>
      <c r="D448" s="142">
        <v>44816</v>
      </c>
    </row>
    <row r="449" spans="2:4" ht="20.25" customHeight="1">
      <c r="B449" s="109" t="s">
        <v>1401</v>
      </c>
      <c r="D449" s="142">
        <v>44910</v>
      </c>
    </row>
    <row r="450" spans="2:4" ht="20.25" customHeight="1">
      <c r="B450" s="109" t="s">
        <v>1402</v>
      </c>
      <c r="D450" s="142">
        <v>44816</v>
      </c>
    </row>
    <row r="451" spans="2:4" ht="20.25" customHeight="1">
      <c r="B451" s="109" t="s">
        <v>1403</v>
      </c>
      <c r="D451" s="137" t="s">
        <v>24</v>
      </c>
    </row>
    <row r="452" spans="2:4" ht="20.25" customHeight="1">
      <c r="B452" s="109" t="s">
        <v>1404</v>
      </c>
      <c r="D452" s="142">
        <v>44923</v>
      </c>
    </row>
    <row r="453" spans="2:4" ht="20.25" customHeight="1">
      <c r="B453" s="109" t="s">
        <v>958</v>
      </c>
      <c r="D453" s="137"/>
    </row>
    <row r="454" spans="2:4" ht="20.25" customHeight="1">
      <c r="B454" s="109" t="s">
        <v>1405</v>
      </c>
      <c r="D454" s="142">
        <v>45013</v>
      </c>
    </row>
    <row r="455" spans="2:4" ht="20.25" customHeight="1">
      <c r="B455" s="109" t="s">
        <v>1406</v>
      </c>
      <c r="D455" s="142">
        <v>44923</v>
      </c>
    </row>
    <row r="456" spans="2:4" ht="20.25" customHeight="1">
      <c r="B456" s="109" t="s">
        <v>960</v>
      </c>
      <c r="D456" s="142">
        <v>44923</v>
      </c>
    </row>
    <row r="457" spans="2:4" ht="20.25" customHeight="1">
      <c r="B457" s="109" t="s">
        <v>961</v>
      </c>
      <c r="D457" s="142">
        <v>44816</v>
      </c>
    </row>
    <row r="458" spans="2:4" ht="20.25" customHeight="1">
      <c r="B458" s="109" t="s">
        <v>1076</v>
      </c>
      <c r="D458" s="137" t="s">
        <v>24</v>
      </c>
    </row>
    <row r="459" spans="2:4" ht="20.25" customHeight="1">
      <c r="B459" s="109" t="s">
        <v>1407</v>
      </c>
      <c r="D459" s="137" t="s">
        <v>24</v>
      </c>
    </row>
    <row r="460" spans="2:4" ht="20.25" customHeight="1">
      <c r="B460" s="109" t="s">
        <v>962</v>
      </c>
      <c r="D460" s="142">
        <v>44816</v>
      </c>
    </row>
    <row r="461" spans="2:4" ht="20.25" customHeight="1">
      <c r="B461" s="109" t="s">
        <v>1408</v>
      </c>
      <c r="D461" s="142">
        <v>44816</v>
      </c>
    </row>
    <row r="462" spans="2:4" ht="20.25" customHeight="1">
      <c r="B462" s="109" t="s">
        <v>953</v>
      </c>
      <c r="D462" s="142">
        <v>44816</v>
      </c>
    </row>
    <row r="463" spans="2:4" ht="20.25" customHeight="1">
      <c r="B463" s="109" t="s">
        <v>1409</v>
      </c>
      <c r="D463" s="137" t="s">
        <v>24</v>
      </c>
    </row>
    <row r="464" spans="2:4" ht="20.25" customHeight="1">
      <c r="B464" s="109" t="s">
        <v>1410</v>
      </c>
      <c r="D464" s="162">
        <v>45034</v>
      </c>
    </row>
    <row r="465" spans="2:4" ht="20.25" customHeight="1">
      <c r="B465" s="109" t="s">
        <v>1411</v>
      </c>
      <c r="D465" s="142">
        <v>44992</v>
      </c>
    </row>
    <row r="466" spans="2:4" ht="20.25" customHeight="1">
      <c r="B466" s="109" t="s">
        <v>1412</v>
      </c>
      <c r="D466" s="142">
        <v>44992</v>
      </c>
    </row>
    <row r="467" spans="2:4" ht="20.25" customHeight="1">
      <c r="B467" s="109" t="s">
        <v>964</v>
      </c>
      <c r="D467" s="162">
        <v>45034</v>
      </c>
    </row>
    <row r="468" spans="2:4" ht="20.25" customHeight="1">
      <c r="B468" s="109" t="s">
        <v>1413</v>
      </c>
      <c r="D468" s="137" t="s">
        <v>24</v>
      </c>
    </row>
    <row r="469" spans="2:4" ht="20.25" customHeight="1">
      <c r="B469" s="109" t="s">
        <v>1414</v>
      </c>
      <c r="D469" s="137" t="s">
        <v>24</v>
      </c>
    </row>
    <row r="470" spans="2:4" ht="20.25" customHeight="1">
      <c r="B470" s="109" t="s">
        <v>949</v>
      </c>
      <c r="D470" s="137" t="s">
        <v>24</v>
      </c>
    </row>
    <row r="471" spans="2:4" ht="20.25" customHeight="1">
      <c r="B471" s="109" t="s">
        <v>967</v>
      </c>
      <c r="D471" s="142">
        <v>44862</v>
      </c>
    </row>
    <row r="472" spans="2:4" ht="20.25" customHeight="1">
      <c r="B472" s="120" t="s">
        <v>938</v>
      </c>
      <c r="D472" s="137" t="s">
        <v>24</v>
      </c>
    </row>
    <row r="473" spans="2:4" ht="20.25" customHeight="1">
      <c r="B473" s="109" t="s">
        <v>1415</v>
      </c>
      <c r="D473" s="142">
        <v>44862</v>
      </c>
    </row>
    <row r="474" spans="2:4" ht="20.25" customHeight="1">
      <c r="B474" s="109" t="s">
        <v>959</v>
      </c>
      <c r="D474" s="162">
        <v>45040</v>
      </c>
    </row>
    <row r="475" spans="2:4" ht="20.25" customHeight="1">
      <c r="B475" s="109" t="s">
        <v>956</v>
      </c>
      <c r="D475" s="137" t="s">
        <v>24</v>
      </c>
    </row>
    <row r="476" spans="2:4" ht="20.25" customHeight="1">
      <c r="B476" s="109" t="s">
        <v>1416</v>
      </c>
      <c r="D476" s="137" t="s">
        <v>24</v>
      </c>
    </row>
    <row r="477" spans="2:4" ht="20.25" customHeight="1">
      <c r="B477" s="109" t="s">
        <v>1417</v>
      </c>
      <c r="D477" s="137" t="s">
        <v>24</v>
      </c>
    </row>
    <row r="478" spans="2:4" ht="20.25" customHeight="1">
      <c r="B478" s="109" t="s">
        <v>1418</v>
      </c>
      <c r="D478" s="137" t="s">
        <v>24</v>
      </c>
    </row>
    <row r="479" spans="2:4" ht="20.25" customHeight="1">
      <c r="B479" s="109" t="s">
        <v>1419</v>
      </c>
      <c r="D479" s="142">
        <v>44910</v>
      </c>
    </row>
    <row r="480" spans="2:4" ht="20.25" customHeight="1">
      <c r="B480" s="109" t="s">
        <v>969</v>
      </c>
      <c r="D480" s="162">
        <v>45034</v>
      </c>
    </row>
    <row r="481" spans="2:4" ht="20.25" customHeight="1">
      <c r="B481" s="109" t="s">
        <v>1420</v>
      </c>
      <c r="D481" s="142">
        <v>44923</v>
      </c>
    </row>
    <row r="482" spans="2:4" ht="20.25" customHeight="1">
      <c r="B482" s="109" t="s">
        <v>970</v>
      </c>
      <c r="D482" s="142">
        <v>44816</v>
      </c>
    </row>
    <row r="483" spans="2:4" ht="20.25" customHeight="1">
      <c r="B483" s="109" t="s">
        <v>972</v>
      </c>
      <c r="D483" s="142">
        <v>44925</v>
      </c>
    </row>
    <row r="484" spans="2:4" ht="20.25" customHeight="1">
      <c r="B484" s="109" t="s">
        <v>1421</v>
      </c>
      <c r="D484" s="142">
        <v>44816</v>
      </c>
    </row>
    <row r="485" spans="2:4" ht="20.25" customHeight="1">
      <c r="B485" s="109" t="s">
        <v>1422</v>
      </c>
      <c r="D485" s="142">
        <v>44816</v>
      </c>
    </row>
    <row r="486" spans="2:4" ht="20.25" customHeight="1">
      <c r="B486" s="109" t="s">
        <v>1423</v>
      </c>
      <c r="D486" s="142">
        <v>44816</v>
      </c>
    </row>
    <row r="487" spans="2:4" ht="20.25" customHeight="1">
      <c r="B487" s="109" t="s">
        <v>1424</v>
      </c>
      <c r="D487" s="148">
        <v>45065</v>
      </c>
    </row>
    <row r="488" spans="2:4" ht="20.25" customHeight="1">
      <c r="B488" s="109" t="s">
        <v>1425</v>
      </c>
      <c r="D488" s="148">
        <v>45148</v>
      </c>
    </row>
    <row r="489" spans="2:4" ht="20.25" customHeight="1">
      <c r="B489" s="109" t="s">
        <v>1426</v>
      </c>
      <c r="D489" s="142">
        <v>44922</v>
      </c>
    </row>
    <row r="490" spans="2:4" ht="20.25" customHeight="1">
      <c r="B490" s="109" t="s">
        <v>1427</v>
      </c>
      <c r="D490" s="142">
        <v>44910</v>
      </c>
    </row>
    <row r="491" spans="2:4" ht="20.25" customHeight="1">
      <c r="B491" s="109" t="s">
        <v>1428</v>
      </c>
      <c r="D491" s="142">
        <v>44816</v>
      </c>
    </row>
    <row r="492" spans="2:4" ht="20.25" customHeight="1">
      <c r="B492" s="109" t="s">
        <v>1429</v>
      </c>
      <c r="D492" s="142">
        <v>44816</v>
      </c>
    </row>
    <row r="493" spans="2:4" ht="20.25" customHeight="1">
      <c r="B493" s="109" t="s">
        <v>1430</v>
      </c>
      <c r="D493" s="142">
        <v>44816</v>
      </c>
    </row>
    <row r="494" spans="2:4" ht="20.25" customHeight="1">
      <c r="B494" s="109" t="s">
        <v>1431</v>
      </c>
      <c r="D494" s="142">
        <v>44816</v>
      </c>
    </row>
    <row r="495" spans="2:4" ht="20.25" customHeight="1">
      <c r="B495" s="109" t="s">
        <v>1432</v>
      </c>
      <c r="D495" s="142">
        <v>44923</v>
      </c>
    </row>
    <row r="496" spans="2:4" ht="20.25" customHeight="1">
      <c r="B496" s="109" t="s">
        <v>1433</v>
      </c>
      <c r="D496" s="152"/>
    </row>
    <row r="497" spans="2:4" ht="20.25" customHeight="1">
      <c r="B497" s="109" t="s">
        <v>1434</v>
      </c>
      <c r="D497" s="183" t="s">
        <v>24</v>
      </c>
    </row>
    <row r="498" spans="2:4" ht="20.25" customHeight="1">
      <c r="B498" s="109" t="s">
        <v>1435</v>
      </c>
      <c r="D498" s="183" t="s">
        <v>24</v>
      </c>
    </row>
    <row r="499" spans="2:4" ht="20.25" customHeight="1">
      <c r="B499" s="109" t="s">
        <v>1436</v>
      </c>
      <c r="D499" s="162">
        <v>45013</v>
      </c>
    </row>
    <row r="500" spans="2:4" ht="20.25" customHeight="1">
      <c r="B500" s="109" t="s">
        <v>1437</v>
      </c>
      <c r="D500" s="142">
        <v>44889</v>
      </c>
    </row>
    <row r="501" spans="2:4" ht="20.25" customHeight="1">
      <c r="B501" s="109" t="s">
        <v>1438</v>
      </c>
      <c r="D501" s="144"/>
    </row>
    <row r="502" spans="2:4" ht="20.25" customHeight="1">
      <c r="B502" s="109" t="s">
        <v>1439</v>
      </c>
      <c r="D502" s="142">
        <v>44877</v>
      </c>
    </row>
    <row r="503" spans="2:4" ht="20.25" customHeight="1">
      <c r="B503" s="109" t="s">
        <v>1440</v>
      </c>
      <c r="D503" s="137" t="s">
        <v>24</v>
      </c>
    </row>
    <row r="504" spans="2:4" ht="20.25" customHeight="1">
      <c r="B504" s="109" t="s">
        <v>1441</v>
      </c>
      <c r="D504" s="137" t="s">
        <v>24</v>
      </c>
    </row>
    <row r="505" spans="2:4" ht="20.25" customHeight="1">
      <c r="B505" s="109" t="s">
        <v>1442</v>
      </c>
      <c r="D505" s="137" t="s">
        <v>24</v>
      </c>
    </row>
    <row r="506" spans="2:4" ht="20.25" customHeight="1">
      <c r="B506" s="109" t="s">
        <v>1443</v>
      </c>
      <c r="D506" s="137" t="s">
        <v>24</v>
      </c>
    </row>
    <row r="507" spans="2:4" ht="20.25" customHeight="1">
      <c r="B507" s="109" t="s">
        <v>1444</v>
      </c>
      <c r="D507" s="142">
        <v>44889</v>
      </c>
    </row>
    <row r="508" spans="2:4" ht="20.25" customHeight="1">
      <c r="B508" s="109" t="s">
        <v>1445</v>
      </c>
      <c r="D508" s="142">
        <v>44862</v>
      </c>
    </row>
    <row r="509" spans="2:4" ht="20.25" customHeight="1">
      <c r="B509" s="109" t="s">
        <v>1446</v>
      </c>
      <c r="D509" s="142">
        <v>44869</v>
      </c>
    </row>
    <row r="510" spans="2:4" ht="20.25" customHeight="1">
      <c r="B510" s="109" t="s">
        <v>1447</v>
      </c>
      <c r="D510" s="137" t="s">
        <v>24</v>
      </c>
    </row>
    <row r="511" spans="2:4" ht="20.25" customHeight="1">
      <c r="B511" s="109" t="s">
        <v>1448</v>
      </c>
      <c r="D511" s="137" t="s">
        <v>24</v>
      </c>
    </row>
    <row r="512" spans="2:4" ht="20.25" customHeight="1">
      <c r="B512" s="109" t="s">
        <v>1449</v>
      </c>
      <c r="D512" s="137" t="s">
        <v>24</v>
      </c>
    </row>
    <row r="513" spans="2:4" ht="20.25" customHeight="1">
      <c r="B513" s="109" t="s">
        <v>973</v>
      </c>
      <c r="D513" s="162">
        <v>45014</v>
      </c>
    </row>
    <row r="514" spans="2:4" ht="20.25" customHeight="1">
      <c r="B514" s="109" t="s">
        <v>946</v>
      </c>
      <c r="D514" s="148">
        <v>45065</v>
      </c>
    </row>
    <row r="515" spans="2:4" ht="20.25" customHeight="1">
      <c r="B515" s="109" t="s">
        <v>1450</v>
      </c>
      <c r="D515" s="142">
        <v>45056</v>
      </c>
    </row>
    <row r="516" spans="2:4" ht="20.25" customHeight="1">
      <c r="B516" s="109" t="s">
        <v>1451</v>
      </c>
      <c r="D516" s="148">
        <v>45049</v>
      </c>
    </row>
    <row r="517" spans="2:4" ht="20.25" customHeight="1">
      <c r="B517" s="109" t="s">
        <v>1452</v>
      </c>
      <c r="D517" s="142">
        <v>45056</v>
      </c>
    </row>
    <row r="518" spans="2:4" ht="20.25" customHeight="1">
      <c r="B518" s="109" t="s">
        <v>976</v>
      </c>
      <c r="D518" s="137" t="s">
        <v>24</v>
      </c>
    </row>
    <row r="519" spans="2:4" ht="20.25" customHeight="1">
      <c r="B519" s="109" t="s">
        <v>1453</v>
      </c>
      <c r="D519" s="142">
        <v>44862</v>
      </c>
    </row>
    <row r="520" spans="2:4" ht="20.25" customHeight="1">
      <c r="B520" s="109" t="s">
        <v>1454</v>
      </c>
      <c r="D520" s="142">
        <v>44910</v>
      </c>
    </row>
    <row r="521" spans="2:4" ht="20.25" customHeight="1">
      <c r="B521" s="109" t="s">
        <v>1455</v>
      </c>
      <c r="D521" s="137" t="s">
        <v>24</v>
      </c>
    </row>
    <row r="522" spans="2:4" ht="20.25" customHeight="1">
      <c r="B522" s="109" t="s">
        <v>1456</v>
      </c>
      <c r="D522" s="137" t="s">
        <v>24</v>
      </c>
    </row>
    <row r="523" spans="2:4" ht="20.25" customHeight="1">
      <c r="B523" s="109" t="s">
        <v>1457</v>
      </c>
      <c r="D523" s="142">
        <v>44890</v>
      </c>
    </row>
    <row r="524" spans="2:4" ht="20.25" customHeight="1">
      <c r="B524" s="109" t="s">
        <v>1078</v>
      </c>
      <c r="D524" s="142">
        <v>44869</v>
      </c>
    </row>
    <row r="525" spans="2:4" ht="20.25" customHeight="1">
      <c r="B525" s="109" t="s">
        <v>1458</v>
      </c>
      <c r="D525" s="142">
        <v>44867</v>
      </c>
    </row>
    <row r="526" spans="2:4" ht="20.25" customHeight="1">
      <c r="B526" s="109" t="s">
        <v>1459</v>
      </c>
      <c r="D526" s="137" t="s">
        <v>24</v>
      </c>
    </row>
    <row r="527" spans="2:4" ht="20.25" customHeight="1">
      <c r="B527" s="109" t="s">
        <v>981</v>
      </c>
      <c r="D527" s="137" t="s">
        <v>24</v>
      </c>
    </row>
    <row r="528" spans="2:4" ht="20.25" customHeight="1">
      <c r="B528" s="120" t="s">
        <v>1460</v>
      </c>
      <c r="D528" s="137" t="s">
        <v>24</v>
      </c>
    </row>
    <row r="529" spans="2:4" ht="20.25" customHeight="1">
      <c r="B529" s="109" t="s">
        <v>1461</v>
      </c>
      <c r="D529" s="148">
        <v>45049</v>
      </c>
    </row>
    <row r="530" spans="2:4" ht="20.25" customHeight="1">
      <c r="B530" s="109" t="s">
        <v>1462</v>
      </c>
      <c r="D530" s="142">
        <v>44923</v>
      </c>
    </row>
    <row r="531" spans="2:4" ht="20.25" customHeight="1">
      <c r="B531" s="109" t="s">
        <v>1463</v>
      </c>
      <c r="D531" s="137" t="s">
        <v>24</v>
      </c>
    </row>
    <row r="532" spans="2:4" ht="20.25" customHeight="1">
      <c r="B532" s="109" t="s">
        <v>984</v>
      </c>
      <c r="D532" s="142">
        <v>44877</v>
      </c>
    </row>
    <row r="533" spans="2:4" ht="20.25" customHeight="1">
      <c r="B533" s="109" t="s">
        <v>1464</v>
      </c>
      <c r="D533" s="142">
        <v>44862</v>
      </c>
    </row>
    <row r="534" spans="2:4" ht="20.25" customHeight="1">
      <c r="B534" s="120" t="s">
        <v>1465</v>
      </c>
      <c r="D534" s="142">
        <v>44862</v>
      </c>
    </row>
    <row r="535" spans="2:4" ht="20.25" customHeight="1">
      <c r="B535" s="109" t="s">
        <v>1466</v>
      </c>
      <c r="D535" s="137" t="s">
        <v>24</v>
      </c>
    </row>
    <row r="536" spans="2:4" ht="20.25" customHeight="1">
      <c r="B536" s="109" t="s">
        <v>1467</v>
      </c>
      <c r="D536" s="142">
        <v>44889</v>
      </c>
    </row>
    <row r="537" spans="2:4" ht="20.25" customHeight="1">
      <c r="B537" s="109" t="s">
        <v>988</v>
      </c>
      <c r="D537" s="137" t="s">
        <v>24</v>
      </c>
    </row>
    <row r="538" spans="2:4" ht="20.25" customHeight="1">
      <c r="B538" s="109" t="s">
        <v>1468</v>
      </c>
      <c r="D538" s="137" t="s">
        <v>24</v>
      </c>
    </row>
    <row r="539" spans="2:4" ht="20.25" customHeight="1">
      <c r="B539" s="109" t="s">
        <v>1469</v>
      </c>
      <c r="D539" s="137" t="s">
        <v>24</v>
      </c>
    </row>
    <row r="540" spans="2:4" ht="20.25" customHeight="1">
      <c r="B540" s="109" t="s">
        <v>1470</v>
      </c>
      <c r="D540" s="142">
        <v>44862</v>
      </c>
    </row>
    <row r="541" spans="2:4" ht="20.25" customHeight="1">
      <c r="B541" s="109" t="s">
        <v>1471</v>
      </c>
      <c r="D541" s="142">
        <v>44862</v>
      </c>
    </row>
    <row r="542" spans="2:4" ht="20.25" customHeight="1">
      <c r="B542" s="109" t="s">
        <v>1472</v>
      </c>
      <c r="D542" s="142">
        <v>44889</v>
      </c>
    </row>
    <row r="543" spans="2:4" ht="20.25" customHeight="1">
      <c r="B543" s="109" t="s">
        <v>1080</v>
      </c>
      <c r="D543" s="142">
        <v>44869</v>
      </c>
    </row>
    <row r="544" spans="2:4" ht="20.25" customHeight="1">
      <c r="B544" s="109" t="s">
        <v>1473</v>
      </c>
      <c r="D544" s="150">
        <v>45013</v>
      </c>
    </row>
    <row r="545" spans="2:4" ht="20.25" customHeight="1">
      <c r="B545" s="109" t="s">
        <v>1474</v>
      </c>
      <c r="D545" s="150">
        <v>45013</v>
      </c>
    </row>
    <row r="546" spans="2:4" ht="20.25" customHeight="1">
      <c r="B546" s="109" t="s">
        <v>1475</v>
      </c>
      <c r="D546" s="142">
        <v>44816</v>
      </c>
    </row>
    <row r="547" spans="2:4" ht="20.25" customHeight="1">
      <c r="B547" s="109" t="s">
        <v>1476</v>
      </c>
      <c r="D547" s="137" t="s">
        <v>24</v>
      </c>
    </row>
    <row r="548" spans="2:4" ht="20.25" customHeight="1">
      <c r="B548" s="109" t="s">
        <v>1477</v>
      </c>
      <c r="D548" s="137" t="s">
        <v>24</v>
      </c>
    </row>
    <row r="549" spans="2:4" ht="20.25" customHeight="1">
      <c r="B549" s="109" t="s">
        <v>1478</v>
      </c>
      <c r="D549" s="137" t="s">
        <v>24</v>
      </c>
    </row>
    <row r="550" spans="2:4" ht="20.25" customHeight="1">
      <c r="B550" s="109" t="s">
        <v>1479</v>
      </c>
      <c r="D550" s="137" t="s">
        <v>24</v>
      </c>
    </row>
    <row r="551" spans="2:4" ht="20.25" customHeight="1">
      <c r="B551" s="109" t="s">
        <v>1082</v>
      </c>
      <c r="D551" s="137" t="s">
        <v>24</v>
      </c>
    </row>
    <row r="552" spans="2:4" ht="20.25" customHeight="1">
      <c r="B552" s="109" t="s">
        <v>1084</v>
      </c>
      <c r="D552" s="137" t="s">
        <v>24</v>
      </c>
    </row>
    <row r="553" spans="2:4" ht="20.25" customHeight="1">
      <c r="B553" s="109" t="s">
        <v>1480</v>
      </c>
      <c r="D553" s="137" t="s">
        <v>24</v>
      </c>
    </row>
    <row r="554" spans="2:4" ht="20.25" customHeight="1">
      <c r="B554" s="109" t="s">
        <v>1481</v>
      </c>
      <c r="D554" s="137" t="s">
        <v>24</v>
      </c>
    </row>
    <row r="555" spans="2:4" ht="20.25" customHeight="1">
      <c r="B555" s="109" t="s">
        <v>1482</v>
      </c>
      <c r="D555" s="142">
        <v>44869</v>
      </c>
    </row>
    <row r="556" spans="2:4" ht="20.25" customHeight="1">
      <c r="B556" s="109" t="s">
        <v>1483</v>
      </c>
      <c r="D556" s="142">
        <v>44862</v>
      </c>
    </row>
    <row r="557" spans="2:4" ht="20.25" customHeight="1">
      <c r="B557" s="109" t="s">
        <v>1086</v>
      </c>
      <c r="D557" s="142">
        <v>44869</v>
      </c>
    </row>
    <row r="558" spans="2:4" ht="20.25" customHeight="1">
      <c r="B558" s="109" t="s">
        <v>1484</v>
      </c>
      <c r="D558" s="137" t="s">
        <v>24</v>
      </c>
    </row>
    <row r="559" spans="2:4" ht="20.25" customHeight="1">
      <c r="B559" s="109" t="s">
        <v>1485</v>
      </c>
      <c r="D559" s="137" t="s">
        <v>24</v>
      </c>
    </row>
    <row r="560" spans="2:4" ht="20.25" customHeight="1">
      <c r="B560" s="109" t="s">
        <v>1486</v>
      </c>
      <c r="D560" s="137" t="s">
        <v>24</v>
      </c>
    </row>
    <row r="561" spans="2:4" ht="20.25" customHeight="1">
      <c r="B561" s="109" t="s">
        <v>1487</v>
      </c>
      <c r="D561" s="142">
        <v>44889</v>
      </c>
    </row>
    <row r="562" spans="2:4" ht="20.25" customHeight="1">
      <c r="B562" s="109" t="s">
        <v>1488</v>
      </c>
      <c r="D562" s="142">
        <v>44910</v>
      </c>
    </row>
    <row r="563" spans="2:4" ht="20.25" customHeight="1">
      <c r="B563" s="109" t="s">
        <v>1489</v>
      </c>
      <c r="D563" s="142">
        <v>44869</v>
      </c>
    </row>
    <row r="564" spans="2:4" ht="20.25" customHeight="1">
      <c r="B564" s="109" t="s">
        <v>1490</v>
      </c>
      <c r="D564" s="142">
        <v>44889</v>
      </c>
    </row>
    <row r="565" spans="2:4" ht="20.25" customHeight="1">
      <c r="B565" s="109" t="s">
        <v>1491</v>
      </c>
      <c r="D565" s="142">
        <v>44910</v>
      </c>
    </row>
    <row r="566" spans="2:4" ht="20.25" customHeight="1">
      <c r="B566" s="109" t="s">
        <v>1492</v>
      </c>
      <c r="D566" s="142">
        <v>44889</v>
      </c>
    </row>
    <row r="567" spans="2:4" ht="20.25" customHeight="1">
      <c r="B567" s="109" t="s">
        <v>1493</v>
      </c>
      <c r="D567" s="142">
        <v>44910</v>
      </c>
    </row>
    <row r="568" spans="2:4" ht="20.25" customHeight="1">
      <c r="B568" s="109" t="s">
        <v>1494</v>
      </c>
      <c r="D568" s="142">
        <v>44877</v>
      </c>
    </row>
    <row r="569" spans="2:4" ht="20.25" customHeight="1">
      <c r="B569" s="109" t="s">
        <v>992</v>
      </c>
      <c r="D569" s="142">
        <v>44862</v>
      </c>
    </row>
    <row r="570" spans="2:4" ht="20.25" customHeight="1">
      <c r="B570" s="109" t="s">
        <v>1495</v>
      </c>
      <c r="D570" s="137" t="s">
        <v>24</v>
      </c>
    </row>
    <row r="571" spans="2:4" ht="20.25" customHeight="1">
      <c r="B571" s="109" t="s">
        <v>1496</v>
      </c>
      <c r="D571" s="137" t="s">
        <v>24</v>
      </c>
    </row>
    <row r="572" spans="2:4" ht="20.25" customHeight="1">
      <c r="B572" s="109" t="s">
        <v>1497</v>
      </c>
      <c r="D572" s="137" t="s">
        <v>24</v>
      </c>
    </row>
    <row r="573" spans="2:4" ht="20.25" customHeight="1">
      <c r="B573" s="109" t="s">
        <v>1498</v>
      </c>
      <c r="D573" s="137" t="s">
        <v>24</v>
      </c>
    </row>
    <row r="574" spans="2:4" ht="20.25" customHeight="1">
      <c r="B574" s="109" t="s">
        <v>1499</v>
      </c>
      <c r="D574" s="142">
        <v>44816</v>
      </c>
    </row>
    <row r="575" spans="2:4" ht="20.25" customHeight="1">
      <c r="B575" s="109" t="s">
        <v>1500</v>
      </c>
      <c r="D575" s="142">
        <v>44961</v>
      </c>
    </row>
    <row r="576" spans="2:4" ht="20.25" customHeight="1">
      <c r="B576" s="109" t="s">
        <v>1501</v>
      </c>
      <c r="D576" s="137" t="s">
        <v>24</v>
      </c>
    </row>
    <row r="577" spans="2:4" ht="20.25" customHeight="1">
      <c r="B577" s="109" t="s">
        <v>1502</v>
      </c>
      <c r="D577" s="142">
        <v>44889</v>
      </c>
    </row>
    <row r="578" spans="2:4" ht="20.25" customHeight="1">
      <c r="B578" s="109" t="s">
        <v>995</v>
      </c>
      <c r="D578" s="142">
        <v>44816</v>
      </c>
    </row>
    <row r="579" spans="2:4" ht="20.25" customHeight="1">
      <c r="B579" s="109" t="s">
        <v>1503</v>
      </c>
      <c r="D579" s="142">
        <v>44961</v>
      </c>
    </row>
    <row r="580" spans="2:4" ht="20.25" customHeight="1">
      <c r="B580" s="109" t="s">
        <v>1504</v>
      </c>
      <c r="D580" s="142">
        <v>44910</v>
      </c>
    </row>
    <row r="581" spans="2:4" ht="20.25" customHeight="1">
      <c r="B581" s="109" t="s">
        <v>1505</v>
      </c>
      <c r="D581" s="142">
        <v>44889</v>
      </c>
    </row>
    <row r="582" spans="2:4" ht="20.25" customHeight="1">
      <c r="B582" s="113" t="s">
        <v>1506</v>
      </c>
      <c r="D582" s="142">
        <v>44816</v>
      </c>
    </row>
    <row r="583" spans="2:4" ht="20.25" customHeight="1">
      <c r="B583" s="109" t="s">
        <v>1507</v>
      </c>
      <c r="D583" s="142">
        <v>44889</v>
      </c>
    </row>
    <row r="584" spans="2:4" ht="20.25" customHeight="1">
      <c r="B584" s="109" t="s">
        <v>1508</v>
      </c>
      <c r="D584" s="142">
        <v>44816</v>
      </c>
    </row>
    <row r="585" spans="2:4" ht="20.25" customHeight="1">
      <c r="B585" s="109" t="s">
        <v>1509</v>
      </c>
      <c r="D585" s="137" t="s">
        <v>24</v>
      </c>
    </row>
    <row r="586" spans="2:4" ht="20.25" customHeight="1">
      <c r="B586" s="109" t="s">
        <v>1510</v>
      </c>
      <c r="D586" s="137" t="s">
        <v>24</v>
      </c>
    </row>
    <row r="587" spans="2:4" ht="20.25" customHeight="1">
      <c r="B587" s="109" t="s">
        <v>1088</v>
      </c>
      <c r="D587" s="137" t="s">
        <v>24</v>
      </c>
    </row>
    <row r="588" spans="2:4" ht="20.25" customHeight="1">
      <c r="B588" s="109" t="s">
        <v>1090</v>
      </c>
      <c r="D588" s="142">
        <v>44889</v>
      </c>
    </row>
    <row r="589" spans="2:4" ht="20.25" customHeight="1">
      <c r="B589" s="109" t="s">
        <v>1511</v>
      </c>
      <c r="D589" s="137" t="s">
        <v>24</v>
      </c>
    </row>
    <row r="590" spans="2:4" ht="20.25" customHeight="1">
      <c r="B590" s="109" t="s">
        <v>1092</v>
      </c>
      <c r="D590" s="137" t="s">
        <v>24</v>
      </c>
    </row>
    <row r="591" spans="2:4" ht="20.25" customHeight="1">
      <c r="B591" s="109" t="s">
        <v>1512</v>
      </c>
      <c r="D591" s="142">
        <v>44889</v>
      </c>
    </row>
    <row r="592" spans="2:4" ht="20.25" customHeight="1">
      <c r="B592" s="109" t="s">
        <v>1513</v>
      </c>
      <c r="D592" s="142">
        <v>44889</v>
      </c>
    </row>
    <row r="593" spans="2:4" ht="20.25" customHeight="1">
      <c r="B593" s="109" t="s">
        <v>1514</v>
      </c>
      <c r="D593" s="142"/>
    </row>
    <row r="594" spans="2:4" ht="20.25" customHeight="1">
      <c r="B594" s="109" t="s">
        <v>1515</v>
      </c>
      <c r="D594" s="142">
        <v>45097</v>
      </c>
    </row>
    <row r="595" spans="2:4" ht="20.25" customHeight="1">
      <c r="B595" s="109" t="s">
        <v>998</v>
      </c>
      <c r="D595" s="142">
        <v>44910</v>
      </c>
    </row>
    <row r="596" spans="2:4" ht="20.25" customHeight="1">
      <c r="B596" s="108" t="s">
        <v>936</v>
      </c>
      <c r="D596" s="142">
        <v>44923</v>
      </c>
    </row>
    <row r="597" spans="2:4" ht="20.25" customHeight="1">
      <c r="B597" s="109" t="s">
        <v>1516</v>
      </c>
      <c r="D597" s="142">
        <v>44923</v>
      </c>
    </row>
    <row r="598" spans="2:4" ht="20.25" customHeight="1">
      <c r="B598" s="109" t="s">
        <v>1517</v>
      </c>
      <c r="D598" s="142">
        <v>44910</v>
      </c>
    </row>
    <row r="599" spans="2:4" ht="20.25" customHeight="1">
      <c r="B599" s="109" t="s">
        <v>1518</v>
      </c>
      <c r="D599" s="142">
        <v>44910</v>
      </c>
    </row>
    <row r="600" spans="2:4" ht="20.25" customHeight="1">
      <c r="B600" s="109" t="s">
        <v>1003</v>
      </c>
      <c r="D600" s="137" t="s">
        <v>24</v>
      </c>
    </row>
    <row r="601" spans="2:4" ht="20.25" customHeight="1">
      <c r="B601" s="109" t="s">
        <v>1519</v>
      </c>
      <c r="D601" s="142">
        <v>44923</v>
      </c>
    </row>
    <row r="602" spans="2:4" ht="20.25" customHeight="1">
      <c r="B602" s="109" t="s">
        <v>1520</v>
      </c>
      <c r="D602" s="142">
        <v>44910</v>
      </c>
    </row>
    <row r="603" spans="2:4" ht="20.25" customHeight="1">
      <c r="B603" s="109" t="s">
        <v>934</v>
      </c>
      <c r="D603" s="142">
        <v>44923</v>
      </c>
    </row>
    <row r="604" spans="2:4" ht="20.25" customHeight="1">
      <c r="B604" s="109" t="s">
        <v>1521</v>
      </c>
      <c r="D604" s="142">
        <v>44910</v>
      </c>
    </row>
    <row r="605" spans="2:4" ht="20.25" customHeight="1">
      <c r="B605" s="109" t="s">
        <v>1094</v>
      </c>
      <c r="D605" s="142">
        <v>44910</v>
      </c>
    </row>
    <row r="606" spans="2:4" ht="20.25" customHeight="1">
      <c r="B606" s="109" t="s">
        <v>1096</v>
      </c>
      <c r="D606" s="142">
        <v>44869</v>
      </c>
    </row>
    <row r="607" spans="2:4" ht="20.25" customHeight="1">
      <c r="B607" s="109" t="s">
        <v>1522</v>
      </c>
      <c r="D607" s="142">
        <v>44869</v>
      </c>
    </row>
    <row r="608" spans="2:4" ht="20.25" customHeight="1">
      <c r="B608" s="109" t="s">
        <v>1523</v>
      </c>
      <c r="D608" s="142">
        <v>44876</v>
      </c>
    </row>
    <row r="609" spans="2:4" ht="20.25" customHeight="1">
      <c r="B609" s="108" t="s">
        <v>985</v>
      </c>
      <c r="D609" s="137" t="s">
        <v>24</v>
      </c>
    </row>
    <row r="610" spans="2:4" ht="20.25" customHeight="1">
      <c r="B610" s="109" t="s">
        <v>1524</v>
      </c>
      <c r="D610" s="142">
        <v>44869</v>
      </c>
    </row>
    <row r="611" spans="2:4" ht="20.25" customHeight="1">
      <c r="B611" s="109" t="s">
        <v>1525</v>
      </c>
      <c r="D611" s="137" t="s">
        <v>24</v>
      </c>
    </row>
    <row r="612" spans="2:4" ht="20.25" customHeight="1">
      <c r="B612" s="109" t="s">
        <v>1526</v>
      </c>
      <c r="D612" s="137" t="s">
        <v>24</v>
      </c>
    </row>
    <row r="613" spans="2:4" ht="20.25" customHeight="1">
      <c r="B613" s="109" t="s">
        <v>1527</v>
      </c>
      <c r="D613" s="137" t="s">
        <v>24</v>
      </c>
    </row>
    <row r="614" spans="2:4" ht="20.25" customHeight="1">
      <c r="B614" s="109" t="s">
        <v>1098</v>
      </c>
      <c r="D614" s="137" t="s">
        <v>24</v>
      </c>
    </row>
    <row r="615" spans="2:4" ht="20.25" customHeight="1">
      <c r="B615" s="109" t="s">
        <v>1528</v>
      </c>
      <c r="D615" s="137" t="s">
        <v>24</v>
      </c>
    </row>
    <row r="616" spans="2:4" ht="20.25" customHeight="1">
      <c r="B616" s="109" t="s">
        <v>1529</v>
      </c>
      <c r="D616" s="137" t="s">
        <v>24</v>
      </c>
    </row>
    <row r="617" spans="2:4" ht="20.25" customHeight="1">
      <c r="B617" s="109" t="s">
        <v>1530</v>
      </c>
      <c r="D617" s="137" t="s">
        <v>24</v>
      </c>
    </row>
    <row r="618" spans="2:4" ht="20.25" customHeight="1">
      <c r="B618" s="109" t="s">
        <v>1531</v>
      </c>
      <c r="D618" s="137" t="s">
        <v>24</v>
      </c>
    </row>
    <row r="619" spans="2:4" ht="20.25" customHeight="1">
      <c r="B619" s="109" t="s">
        <v>1532</v>
      </c>
      <c r="D619" s="137" t="s">
        <v>24</v>
      </c>
    </row>
    <row r="620" spans="2:4" ht="20.25" customHeight="1">
      <c r="B620" s="109" t="s">
        <v>1533</v>
      </c>
      <c r="D620" s="137" t="s">
        <v>24</v>
      </c>
    </row>
    <row r="621" spans="2:4" ht="20.25" customHeight="1">
      <c r="B621" s="109" t="s">
        <v>1534</v>
      </c>
      <c r="D621" s="137" t="s">
        <v>24</v>
      </c>
    </row>
    <row r="622" spans="2:4" ht="20.25" customHeight="1">
      <c r="B622" s="109" t="s">
        <v>1535</v>
      </c>
      <c r="D622" s="137" t="s">
        <v>24</v>
      </c>
    </row>
    <row r="623" spans="2:4" ht="20.25" customHeight="1">
      <c r="B623" s="109" t="s">
        <v>1536</v>
      </c>
      <c r="D623" s="137" t="s">
        <v>24</v>
      </c>
    </row>
    <row r="624" spans="2:4" ht="20.25" customHeight="1">
      <c r="B624" s="109" t="s">
        <v>1537</v>
      </c>
      <c r="D624" s="142">
        <v>44910</v>
      </c>
    </row>
    <row r="625" spans="2:4" ht="20.25" customHeight="1">
      <c r="B625" s="109" t="s">
        <v>951</v>
      </c>
      <c r="D625" s="137" t="s">
        <v>24</v>
      </c>
    </row>
    <row r="626" spans="2:4" ht="20.25" customHeight="1">
      <c r="B626" s="109" t="s">
        <v>1538</v>
      </c>
      <c r="D626" s="142">
        <v>44910</v>
      </c>
    </row>
    <row r="627" spans="2:4" ht="20.25" customHeight="1">
      <c r="B627" s="109" t="s">
        <v>1539</v>
      </c>
      <c r="D627" s="137" t="s">
        <v>24</v>
      </c>
    </row>
    <row r="628" spans="2:4" ht="20.25" customHeight="1">
      <c r="B628" s="109" t="s">
        <v>1540</v>
      </c>
      <c r="D628" s="142">
        <v>44910</v>
      </c>
    </row>
    <row r="629" spans="2:4" ht="20.25" customHeight="1">
      <c r="B629" s="109" t="s">
        <v>1541</v>
      </c>
      <c r="D629" s="137" t="s">
        <v>24</v>
      </c>
    </row>
    <row r="630" spans="2:4" ht="20.25" customHeight="1">
      <c r="B630" s="113" t="s">
        <v>1542</v>
      </c>
      <c r="D630" s="137" t="s">
        <v>24</v>
      </c>
    </row>
    <row r="631" spans="2:4" ht="20.25" customHeight="1">
      <c r="B631" s="109" t="s">
        <v>1543</v>
      </c>
      <c r="D631" s="137" t="s">
        <v>24</v>
      </c>
    </row>
    <row r="632" spans="2:4" ht="20.25" customHeight="1">
      <c r="B632" s="109" t="s">
        <v>1544</v>
      </c>
      <c r="D632" s="137" t="s">
        <v>24</v>
      </c>
    </row>
    <row r="633" spans="2:4" ht="20.25" customHeight="1">
      <c r="B633" s="109" t="s">
        <v>975</v>
      </c>
      <c r="D633" s="148">
        <v>45065</v>
      </c>
    </row>
    <row r="634" spans="2:4" ht="20.25" customHeight="1">
      <c r="B634" s="109" t="s">
        <v>1545</v>
      </c>
      <c r="D634" s="148">
        <v>45148</v>
      </c>
    </row>
    <row r="635" spans="2:4" ht="20.25" customHeight="1">
      <c r="B635" s="109" t="s">
        <v>1546</v>
      </c>
      <c r="D635" s="142">
        <v>44910</v>
      </c>
    </row>
    <row r="636" spans="2:4" ht="20.25" customHeight="1">
      <c r="B636" s="109" t="s">
        <v>1547</v>
      </c>
      <c r="D636" s="162">
        <v>45040</v>
      </c>
    </row>
    <row r="637" spans="2:4" ht="20.25" customHeight="1">
      <c r="B637" s="109" t="s">
        <v>1548</v>
      </c>
      <c r="D637" s="137" t="s">
        <v>24</v>
      </c>
    </row>
    <row r="638" spans="2:4" ht="20.25" customHeight="1">
      <c r="B638" s="109" t="s">
        <v>1549</v>
      </c>
      <c r="D638" s="148">
        <v>45065</v>
      </c>
    </row>
    <row r="639" spans="2:4" ht="20.25" customHeight="1">
      <c r="B639" s="109" t="s">
        <v>1550</v>
      </c>
      <c r="D639" s="137" t="s">
        <v>24</v>
      </c>
    </row>
    <row r="640" spans="2:4" ht="20.25" customHeight="1">
      <c r="B640" s="109" t="s">
        <v>1551</v>
      </c>
      <c r="D640" s="162">
        <v>45040</v>
      </c>
    </row>
    <row r="641" spans="2:4" ht="20.25" customHeight="1">
      <c r="B641" s="109" t="s">
        <v>1552</v>
      </c>
      <c r="D641" s="142">
        <v>44923</v>
      </c>
    </row>
    <row r="642" spans="2:4" ht="20.25" customHeight="1">
      <c r="B642" s="109" t="s">
        <v>1553</v>
      </c>
      <c r="D642" s="148">
        <v>45065</v>
      </c>
    </row>
    <row r="643" spans="2:4" ht="20.25" customHeight="1">
      <c r="B643" s="109" t="s">
        <v>1554</v>
      </c>
      <c r="D643" s="137" t="s">
        <v>24</v>
      </c>
    </row>
    <row r="644" spans="2:4" ht="20.25" customHeight="1">
      <c r="B644" s="109" t="s">
        <v>1555</v>
      </c>
      <c r="D644" s="137" t="s">
        <v>24</v>
      </c>
    </row>
    <row r="645" spans="2:4" ht="20.25" customHeight="1">
      <c r="B645" s="109" t="s">
        <v>1556</v>
      </c>
      <c r="D645" s="142">
        <v>44910</v>
      </c>
    </row>
    <row r="646" spans="2:4" ht="20.25" customHeight="1">
      <c r="B646" s="109" t="s">
        <v>1557</v>
      </c>
      <c r="D646" s="142">
        <v>44923</v>
      </c>
    </row>
    <row r="647" spans="2:4" ht="20.25" customHeight="1">
      <c r="B647" s="109" t="s">
        <v>1558</v>
      </c>
      <c r="D647" s="142">
        <v>44910</v>
      </c>
    </row>
    <row r="648" spans="2:4" ht="20.25" customHeight="1">
      <c r="B648" s="108" t="s">
        <v>1016</v>
      </c>
      <c r="D648" s="142">
        <v>44869</v>
      </c>
    </row>
    <row r="649" spans="2:4" ht="20.25" customHeight="1">
      <c r="B649" s="109" t="s">
        <v>1559</v>
      </c>
      <c r="D649" s="142">
        <v>44910</v>
      </c>
    </row>
    <row r="650" spans="2:4" ht="20.25" customHeight="1">
      <c r="B650" s="109" t="s">
        <v>1560</v>
      </c>
      <c r="D650" s="137"/>
    </row>
    <row r="651" spans="2:4" ht="20.25" customHeight="1">
      <c r="B651" s="109" t="s">
        <v>1561</v>
      </c>
      <c r="D651" s="142">
        <v>44910</v>
      </c>
    </row>
    <row r="652" spans="2:4" ht="20.25" customHeight="1">
      <c r="B652" s="109" t="s">
        <v>1100</v>
      </c>
      <c r="D652" s="137" t="s">
        <v>24</v>
      </c>
    </row>
    <row r="653" spans="2:4" ht="20.25" customHeight="1">
      <c r="B653" s="109" t="s">
        <v>1562</v>
      </c>
      <c r="D653" s="142">
        <v>44923</v>
      </c>
    </row>
    <row r="654" spans="2:4" ht="20.25" customHeight="1">
      <c r="B654" s="109" t="s">
        <v>1563</v>
      </c>
      <c r="D654" s="142">
        <v>44910</v>
      </c>
    </row>
    <row r="655" spans="2:4" ht="20.25" customHeight="1">
      <c r="B655" s="109" t="s">
        <v>1564</v>
      </c>
      <c r="D655" s="142">
        <v>44910</v>
      </c>
    </row>
    <row r="656" spans="2:4" ht="20.25" customHeight="1">
      <c r="B656" s="109" t="s">
        <v>1565</v>
      </c>
      <c r="D656" s="137"/>
    </row>
    <row r="657" spans="2:4" ht="20.25" customHeight="1">
      <c r="B657" s="109" t="s">
        <v>1566</v>
      </c>
      <c r="D657" s="152"/>
    </row>
    <row r="658" spans="2:4" ht="20.25" customHeight="1">
      <c r="B658" s="109" t="s">
        <v>1009</v>
      </c>
      <c r="D658" s="152"/>
    </row>
    <row r="659" spans="2:4" ht="20.25" customHeight="1">
      <c r="B659" s="109" t="s">
        <v>1567</v>
      </c>
      <c r="D659" s="152"/>
    </row>
    <row r="660" spans="2:4" ht="20.25" customHeight="1">
      <c r="B660" s="109" t="s">
        <v>1568</v>
      </c>
      <c r="D660" s="152"/>
    </row>
    <row r="661" spans="2:4" ht="20.25" customHeight="1">
      <c r="B661" s="109" t="s">
        <v>1569</v>
      </c>
      <c r="D661" s="152"/>
    </row>
    <row r="662" spans="2:4" ht="20.25" customHeight="1">
      <c r="B662" s="109" t="s">
        <v>1570</v>
      </c>
      <c r="D662" s="152"/>
    </row>
    <row r="663" spans="2:4" ht="20.25" customHeight="1">
      <c r="B663" s="109" t="s">
        <v>1571</v>
      </c>
      <c r="D663" s="152"/>
    </row>
    <row r="664" spans="2:4" ht="20.25" customHeight="1">
      <c r="B664" s="109" t="s">
        <v>940</v>
      </c>
      <c r="D664" s="152"/>
    </row>
    <row r="665" spans="2:4" ht="20.25" customHeight="1">
      <c r="B665" s="109" t="s">
        <v>1572</v>
      </c>
      <c r="D665" s="152"/>
    </row>
    <row r="666" spans="2:4" ht="20.25" customHeight="1">
      <c r="B666" s="109" t="s">
        <v>1573</v>
      </c>
      <c r="D666" s="152"/>
    </row>
    <row r="667" spans="2:4" ht="20.25" customHeight="1">
      <c r="B667" s="113" t="s">
        <v>1574</v>
      </c>
      <c r="D667" s="152"/>
    </row>
    <row r="668" spans="2:4" ht="20.25" customHeight="1">
      <c r="B668" s="109" t="s">
        <v>1575</v>
      </c>
      <c r="D668" s="152"/>
    </row>
    <row r="669" spans="2:4" ht="20.25" customHeight="1">
      <c r="B669" s="109" t="s">
        <v>1576</v>
      </c>
      <c r="D669" s="152"/>
    </row>
    <row r="670" spans="2:4" ht="20.25" customHeight="1">
      <c r="B670" s="113" t="s">
        <v>932</v>
      </c>
      <c r="D670" s="152"/>
    </row>
    <row r="671" spans="2:4" ht="20.25" customHeight="1">
      <c r="B671" s="109" t="s">
        <v>1577</v>
      </c>
      <c r="D671" s="152"/>
    </row>
    <row r="672" spans="2:4" ht="20.25" customHeight="1">
      <c r="B672" s="109" t="s">
        <v>1578</v>
      </c>
      <c r="D672" s="152"/>
    </row>
    <row r="673" spans="2:4" ht="20.25" customHeight="1">
      <c r="B673" s="109" t="s">
        <v>1579</v>
      </c>
      <c r="D673" s="152"/>
    </row>
    <row r="674" spans="2:4" ht="20.25" customHeight="1">
      <c r="B674" s="109" t="s">
        <v>1580</v>
      </c>
      <c r="D674" s="152"/>
    </row>
    <row r="675" spans="2:4" ht="20.25" customHeight="1">
      <c r="B675" s="113" t="s">
        <v>1581</v>
      </c>
      <c r="D675" s="152"/>
    </row>
    <row r="676" spans="2:4" ht="20.25" customHeight="1">
      <c r="B676" s="109" t="s">
        <v>1582</v>
      </c>
      <c r="D676" s="152"/>
    </row>
    <row r="677" spans="2:4" ht="20.25" customHeight="1">
      <c r="B677" s="109" t="s">
        <v>1583</v>
      </c>
      <c r="D677" s="152"/>
    </row>
    <row r="678" spans="2:4" ht="20.25" customHeight="1">
      <c r="B678" s="120" t="s">
        <v>1102</v>
      </c>
      <c r="D678" s="152"/>
    </row>
    <row r="679" spans="2:4" ht="20.25" customHeight="1">
      <c r="B679" s="113" t="s">
        <v>1584</v>
      </c>
      <c r="D679" s="137" t="s">
        <v>24</v>
      </c>
    </row>
    <row r="680" spans="2:4" ht="20.25" customHeight="1">
      <c r="B680" s="109" t="s">
        <v>1585</v>
      </c>
      <c r="D680" s="137" t="s">
        <v>24</v>
      </c>
    </row>
    <row r="681" spans="2:4" ht="20.25" customHeight="1">
      <c r="B681" s="109" t="s">
        <v>1104</v>
      </c>
      <c r="D681" s="137" t="s">
        <v>24</v>
      </c>
    </row>
    <row r="682" spans="2:4" ht="20.25" customHeight="1">
      <c r="B682" s="109" t="s">
        <v>1106</v>
      </c>
      <c r="D682" s="152" t="s">
        <v>24</v>
      </c>
    </row>
    <row r="683" spans="2:4" ht="20.25" customHeight="1">
      <c r="B683" s="109" t="s">
        <v>1586</v>
      </c>
      <c r="D683" s="152"/>
    </row>
    <row r="684" spans="2:4" ht="20.25" customHeight="1">
      <c r="B684" s="109" t="s">
        <v>1108</v>
      </c>
      <c r="D684" s="152"/>
    </row>
    <row r="685" spans="2:4" ht="20.25" customHeight="1">
      <c r="B685" s="109" t="s">
        <v>1587</v>
      </c>
      <c r="D685" s="152"/>
    </row>
    <row r="686" spans="2:4" ht="20.25" customHeight="1">
      <c r="B686" s="109" t="s">
        <v>1588</v>
      </c>
      <c r="D686" s="152"/>
    </row>
    <row r="687" spans="2:4" ht="20.25" customHeight="1">
      <c r="B687" s="109" t="s">
        <v>963</v>
      </c>
      <c r="D687" s="152"/>
    </row>
    <row r="688" spans="2:4" ht="20.25" customHeight="1">
      <c r="B688" s="109" t="s">
        <v>1027</v>
      </c>
      <c r="D688" s="152"/>
    </row>
    <row r="689" spans="2:4" ht="20.25" customHeight="1">
      <c r="B689" s="109" t="s">
        <v>1589</v>
      </c>
      <c r="D689" s="152"/>
    </row>
    <row r="690" spans="2:4" ht="20.25" customHeight="1">
      <c r="B690" s="109" t="s">
        <v>1590</v>
      </c>
      <c r="D690" s="152"/>
    </row>
    <row r="691" spans="2:4" ht="20.25" customHeight="1">
      <c r="B691" s="109" t="s">
        <v>1591</v>
      </c>
      <c r="D691" s="152"/>
    </row>
    <row r="692" spans="2:4" ht="20.25" customHeight="1">
      <c r="B692" s="109" t="s">
        <v>1592</v>
      </c>
      <c r="D692" s="152"/>
    </row>
    <row r="693" spans="2:4" ht="20.25" customHeight="1">
      <c r="B693" s="109" t="s">
        <v>1593</v>
      </c>
      <c r="D693" s="152"/>
    </row>
    <row r="694" spans="2:4" ht="20.25" customHeight="1">
      <c r="B694" s="109" t="s">
        <v>1594</v>
      </c>
      <c r="D694" s="152"/>
    </row>
    <row r="695" spans="2:4" ht="20.25" customHeight="1">
      <c r="B695" s="109" t="s">
        <v>1595</v>
      </c>
      <c r="D695" s="152"/>
    </row>
    <row r="696" spans="2:4" ht="20.25" customHeight="1">
      <c r="B696" s="109" t="s">
        <v>1110</v>
      </c>
      <c r="D696" s="152"/>
    </row>
    <row r="697" spans="2:4" ht="20.25" customHeight="1">
      <c r="B697" s="109" t="s">
        <v>1596</v>
      </c>
      <c r="D697" s="152"/>
    </row>
    <row r="698" spans="2:4" ht="20.25" customHeight="1">
      <c r="B698" s="109" t="s">
        <v>1597</v>
      </c>
      <c r="D698" s="162">
        <v>45040</v>
      </c>
    </row>
    <row r="699" spans="2:4" ht="20.25" customHeight="1">
      <c r="B699" s="109" t="s">
        <v>1598</v>
      </c>
      <c r="D699" s="152"/>
    </row>
    <row r="700" spans="2:4" ht="20.25" customHeight="1">
      <c r="B700" s="109" t="s">
        <v>1599</v>
      </c>
      <c r="D700" s="152"/>
    </row>
    <row r="701" spans="2:4" ht="20.25" customHeight="1">
      <c r="B701" s="109" t="s">
        <v>1600</v>
      </c>
      <c r="D701" s="137"/>
    </row>
    <row r="702" spans="2:4" ht="20.25" customHeight="1">
      <c r="B702" s="109" t="s">
        <v>1601</v>
      </c>
      <c r="D702" s="152"/>
    </row>
    <row r="703" spans="2:4" ht="20.25" customHeight="1">
      <c r="B703" s="109" t="s">
        <v>1602</v>
      </c>
      <c r="D703" s="152"/>
    </row>
    <row r="704" spans="2:4" ht="20.25" customHeight="1">
      <c r="B704" s="109" t="s">
        <v>1603</v>
      </c>
      <c r="D704" s="142">
        <v>44922</v>
      </c>
    </row>
    <row r="705" spans="2:4" ht="20.25" customHeight="1">
      <c r="B705" s="109" t="s">
        <v>1604</v>
      </c>
      <c r="D705" s="152"/>
    </row>
    <row r="706" spans="2:4" ht="20.25" customHeight="1">
      <c r="B706" s="109" t="s">
        <v>1605</v>
      </c>
      <c r="D706" s="152"/>
    </row>
    <row r="707" spans="2:4" ht="20.25" customHeight="1">
      <c r="B707" s="109" t="s">
        <v>1606</v>
      </c>
      <c r="D707" s="152"/>
    </row>
    <row r="708" spans="2:4" ht="20.25" customHeight="1">
      <c r="B708" s="109" t="s">
        <v>1607</v>
      </c>
      <c r="D708" s="152"/>
    </row>
    <row r="709" spans="2:4" ht="20.25" customHeight="1">
      <c r="B709" s="109" t="s">
        <v>945</v>
      </c>
      <c r="D709" s="152" t="s">
        <v>24</v>
      </c>
    </row>
    <row r="710" spans="2:4" ht="20.25" customHeight="1">
      <c r="B710" s="109" t="s">
        <v>1608</v>
      </c>
      <c r="D710" s="152" t="s">
        <v>24</v>
      </c>
    </row>
    <row r="711" spans="2:4" ht="20.25" customHeight="1">
      <c r="B711" s="109" t="s">
        <v>1609</v>
      </c>
      <c r="D711" s="152"/>
    </row>
    <row r="712" spans="2:4" ht="20.25" customHeight="1">
      <c r="B712" s="109" t="s">
        <v>1610</v>
      </c>
      <c r="D712" s="152" t="s">
        <v>24</v>
      </c>
    </row>
    <row r="713" spans="2:4" ht="20.25" customHeight="1">
      <c r="B713" s="109" t="s">
        <v>1611</v>
      </c>
      <c r="D713" s="152"/>
    </row>
    <row r="714" spans="2:4" ht="20.25" customHeight="1">
      <c r="B714" s="109" t="s">
        <v>1612</v>
      </c>
      <c r="D714" s="152"/>
    </row>
    <row r="715" spans="2:4" ht="20.25" customHeight="1">
      <c r="B715" s="109" t="s">
        <v>1613</v>
      </c>
      <c r="D715" s="152"/>
    </row>
    <row r="716" spans="2:4" ht="20.25" customHeight="1">
      <c r="B716" s="109" t="s">
        <v>1614</v>
      </c>
      <c r="D716" s="137" t="s">
        <v>24</v>
      </c>
    </row>
    <row r="717" spans="2:4" ht="20.25" customHeight="1">
      <c r="B717" s="109" t="s">
        <v>1615</v>
      </c>
      <c r="D717" s="162">
        <v>45040</v>
      </c>
    </row>
    <row r="718" spans="2:4" ht="20.25" customHeight="1">
      <c r="B718" s="109" t="s">
        <v>1616</v>
      </c>
      <c r="D718" s="152"/>
    </row>
    <row r="719" spans="2:4" ht="20.25" customHeight="1">
      <c r="B719" s="109" t="s">
        <v>1617</v>
      </c>
      <c r="D719" s="137" t="s">
        <v>24</v>
      </c>
    </row>
    <row r="720" spans="2:4" ht="20.25" customHeight="1">
      <c r="B720" s="109" t="s">
        <v>1618</v>
      </c>
      <c r="D720" s="148">
        <v>45148</v>
      </c>
    </row>
    <row r="721" spans="2:4" ht="20.25" customHeight="1">
      <c r="B721" s="109" t="s">
        <v>1619</v>
      </c>
      <c r="D721" s="152"/>
    </row>
    <row r="722" spans="2:4" ht="20.25" customHeight="1">
      <c r="B722" s="109" t="s">
        <v>1620</v>
      </c>
      <c r="D722" s="148">
        <v>45049</v>
      </c>
    </row>
    <row r="723" spans="2:4" ht="20.25" customHeight="1">
      <c r="B723" s="109" t="s">
        <v>1621</v>
      </c>
      <c r="D723" s="137" t="s">
        <v>24</v>
      </c>
    </row>
    <row r="724" spans="2:4" ht="20.25" customHeight="1">
      <c r="B724" s="109" t="s">
        <v>1622</v>
      </c>
      <c r="D724" s="152" t="s">
        <v>24</v>
      </c>
    </row>
    <row r="725" spans="2:4" ht="20.25" customHeight="1">
      <c r="B725" s="109" t="s">
        <v>1623</v>
      </c>
      <c r="D725" s="152"/>
    </row>
    <row r="726" spans="2:4" ht="20.25" customHeight="1">
      <c r="B726" s="109" t="s">
        <v>1624</v>
      </c>
      <c r="D726" s="152"/>
    </row>
    <row r="727" spans="2:4" ht="20.25" customHeight="1">
      <c r="B727" s="109" t="s">
        <v>1625</v>
      </c>
      <c r="D727" s="148">
        <v>45049</v>
      </c>
    </row>
    <row r="728" spans="2:4" ht="20.25" customHeight="1">
      <c r="B728" s="109" t="s">
        <v>1626</v>
      </c>
      <c r="D728" s="142">
        <v>45058</v>
      </c>
    </row>
    <row r="729" spans="2:4" ht="20.25" customHeight="1">
      <c r="B729" s="109" t="s">
        <v>1627</v>
      </c>
      <c r="D729" s="152"/>
    </row>
    <row r="730" spans="2:4" ht="20.25" customHeight="1">
      <c r="B730" s="109" t="s">
        <v>1628</v>
      </c>
      <c r="D730" s="162">
        <v>45040</v>
      </c>
    </row>
    <row r="731" spans="2:4" ht="20.25" customHeight="1">
      <c r="B731" s="109" t="s">
        <v>1629</v>
      </c>
      <c r="D731" s="152"/>
    </row>
    <row r="732" spans="2:4" ht="20.25" customHeight="1">
      <c r="B732" s="109" t="s">
        <v>1630</v>
      </c>
      <c r="D732" s="137" t="s">
        <v>24</v>
      </c>
    </row>
    <row r="733" spans="2:4" ht="20.25" customHeight="1">
      <c r="B733" s="109" t="s">
        <v>1631</v>
      </c>
      <c r="D733" s="152"/>
    </row>
    <row r="734" spans="2:4" ht="20.25" customHeight="1">
      <c r="B734" s="109" t="s">
        <v>1632</v>
      </c>
      <c r="D734" s="152"/>
    </row>
    <row r="735" spans="2:4" ht="20.25" customHeight="1">
      <c r="B735" s="109" t="s">
        <v>1633</v>
      </c>
      <c r="D735" s="152"/>
    </row>
    <row r="736" spans="2:4" ht="20.25" customHeight="1">
      <c r="B736" s="109" t="s">
        <v>1634</v>
      </c>
      <c r="D736" s="137" t="s">
        <v>24</v>
      </c>
    </row>
    <row r="737" spans="2:4" ht="20.25" customHeight="1">
      <c r="B737" s="109" t="s">
        <v>1635</v>
      </c>
      <c r="D737" s="152"/>
    </row>
    <row r="738" spans="2:4" ht="20.25" customHeight="1">
      <c r="B738" s="109" t="s">
        <v>1636</v>
      </c>
      <c r="D738" s="152"/>
    </row>
    <row r="739" spans="2:4" ht="20.25" customHeight="1">
      <c r="B739" s="109" t="s">
        <v>1637</v>
      </c>
      <c r="D739" s="152"/>
    </row>
    <row r="740" spans="2:4" ht="20.25" customHeight="1">
      <c r="B740" s="109" t="s">
        <v>1638</v>
      </c>
      <c r="D740" s="137" t="s">
        <v>24</v>
      </c>
    </row>
    <row r="741" spans="2:4" ht="20.25" customHeight="1">
      <c r="B741" s="109" t="s">
        <v>1639</v>
      </c>
      <c r="D741" s="137" t="s">
        <v>24</v>
      </c>
    </row>
    <row r="742" spans="2:4" ht="20.25" customHeight="1">
      <c r="B742" s="109" t="s">
        <v>1640</v>
      </c>
      <c r="D742" s="152"/>
    </row>
    <row r="743" spans="2:4" ht="20.25" customHeight="1">
      <c r="B743" s="109" t="s">
        <v>1641</v>
      </c>
      <c r="D743" s="137" t="s">
        <v>24</v>
      </c>
    </row>
    <row r="744" spans="2:4" ht="20.25" customHeight="1">
      <c r="B744" s="109" t="s">
        <v>1642</v>
      </c>
      <c r="D744" s="152"/>
    </row>
    <row r="745" spans="2:4" ht="20.25" customHeight="1">
      <c r="B745" s="109" t="s">
        <v>1643</v>
      </c>
      <c r="D745" s="152"/>
    </row>
    <row r="746" spans="2:4" ht="20.25" customHeight="1">
      <c r="B746" s="109" t="s">
        <v>1644</v>
      </c>
      <c r="D746" s="137" t="s">
        <v>24</v>
      </c>
    </row>
    <row r="747" spans="2:4" ht="20.25" customHeight="1">
      <c r="B747" s="109" t="s">
        <v>1645</v>
      </c>
      <c r="D747" s="162">
        <v>45040</v>
      </c>
    </row>
    <row r="748" spans="2:4" ht="20.25" customHeight="1">
      <c r="B748" s="109" t="s">
        <v>1646</v>
      </c>
      <c r="D748" s="152"/>
    </row>
    <row r="749" spans="2:4" ht="20.25" customHeight="1">
      <c r="B749" s="109" t="s">
        <v>1112</v>
      </c>
      <c r="D749" s="137" t="s">
        <v>24</v>
      </c>
    </row>
    <row r="750" spans="2:4" ht="20.25" customHeight="1">
      <c r="B750" s="109" t="s">
        <v>1647</v>
      </c>
      <c r="D750" s="142">
        <v>44923</v>
      </c>
    </row>
    <row r="751" spans="2:4" ht="20.25" customHeight="1">
      <c r="B751" s="109" t="s">
        <v>1648</v>
      </c>
      <c r="D751" s="152"/>
    </row>
    <row r="752" spans="2:4" ht="20.25" customHeight="1">
      <c r="B752" s="109" t="s">
        <v>1649</v>
      </c>
      <c r="D752" s="142">
        <v>44877</v>
      </c>
    </row>
    <row r="753" spans="2:4" ht="20.25" customHeight="1">
      <c r="B753" s="109" t="s">
        <v>1650</v>
      </c>
      <c r="D753" s="152"/>
    </row>
    <row r="754" spans="2:4" ht="20.25" customHeight="1">
      <c r="B754" s="109" t="s">
        <v>1651</v>
      </c>
      <c r="D754" s="152"/>
    </row>
    <row r="755" spans="2:4" ht="20.25" customHeight="1">
      <c r="B755" s="109" t="s">
        <v>1652</v>
      </c>
      <c r="D755" s="162">
        <v>45040</v>
      </c>
    </row>
    <row r="756" spans="2:4" ht="20.25" customHeight="1">
      <c r="B756" s="109" t="s">
        <v>1653</v>
      </c>
      <c r="D756" s="137" t="s">
        <v>24</v>
      </c>
    </row>
    <row r="757" spans="2:4" ht="20.25" customHeight="1">
      <c r="B757" s="111" t="s">
        <v>971</v>
      </c>
      <c r="D757" s="152"/>
    </row>
    <row r="758" spans="2:4" ht="20.25" customHeight="1">
      <c r="B758" s="109" t="s">
        <v>1114</v>
      </c>
      <c r="D758" s="152"/>
    </row>
    <row r="759" spans="2:4" ht="20.25" customHeight="1">
      <c r="B759" s="109" t="s">
        <v>1654</v>
      </c>
      <c r="D759" s="152"/>
    </row>
    <row r="760" spans="2:4" ht="20.25" customHeight="1">
      <c r="B760" s="109" t="s">
        <v>1655</v>
      </c>
      <c r="D760" s="152"/>
    </row>
    <row r="761" spans="2:4" ht="20.25" customHeight="1">
      <c r="B761" s="109" t="s">
        <v>1116</v>
      </c>
      <c r="D761" s="152"/>
    </row>
    <row r="762" spans="2:4" ht="20.25" customHeight="1">
      <c r="B762" s="109" t="s">
        <v>1656</v>
      </c>
      <c r="D762" s="152"/>
    </row>
    <row r="763" spans="2:4" ht="20.25" customHeight="1">
      <c r="B763" s="109" t="s">
        <v>1657</v>
      </c>
      <c r="D763" s="152"/>
    </row>
    <row r="764" spans="2:4" ht="20.25" customHeight="1">
      <c r="B764" s="120" t="s">
        <v>1118</v>
      </c>
      <c r="D764" s="152"/>
    </row>
    <row r="765" spans="2:4" ht="20.25" customHeight="1">
      <c r="B765" s="109" t="s">
        <v>1658</v>
      </c>
      <c r="D765" s="152"/>
    </row>
    <row r="766" spans="2:4" ht="20.25" customHeight="1">
      <c r="B766" s="109" t="s">
        <v>1659</v>
      </c>
      <c r="D766" s="152"/>
    </row>
    <row r="767" spans="2:4" ht="20.25" customHeight="1">
      <c r="B767" s="109" t="s">
        <v>1660</v>
      </c>
      <c r="D767" s="148">
        <v>45049</v>
      </c>
    </row>
    <row r="768" spans="2:4" ht="20.25" customHeight="1">
      <c r="B768" s="109" t="s">
        <v>1661</v>
      </c>
      <c r="D768" s="162">
        <v>45040</v>
      </c>
    </row>
    <row r="769" spans="2:4" ht="20.25" customHeight="1">
      <c r="B769" s="109" t="s">
        <v>1662</v>
      </c>
      <c r="D769" s="152"/>
    </row>
    <row r="770" spans="2:4" ht="20.25" customHeight="1">
      <c r="B770" s="109" t="s">
        <v>1663</v>
      </c>
      <c r="D770" s="152"/>
    </row>
    <row r="771" spans="2:4" ht="20.25" customHeight="1">
      <c r="B771" s="112" t="s">
        <v>1664</v>
      </c>
      <c r="D771" s="137" t="s">
        <v>24</v>
      </c>
    </row>
    <row r="772" spans="2:4" ht="20.25" customHeight="1">
      <c r="B772" s="109" t="s">
        <v>1665</v>
      </c>
      <c r="D772" s="152"/>
    </row>
    <row r="773" spans="2:4" ht="20.25" customHeight="1">
      <c r="B773" s="109" t="s">
        <v>1666</v>
      </c>
      <c r="D773" s="152"/>
    </row>
    <row r="774" spans="2:4" ht="20.25" customHeight="1">
      <c r="B774" s="109" t="s">
        <v>1667</v>
      </c>
      <c r="D774" s="152"/>
    </row>
    <row r="775" spans="2:4" ht="20.25" customHeight="1">
      <c r="B775" s="109" t="s">
        <v>1668</v>
      </c>
      <c r="D775" s="152"/>
    </row>
    <row r="776" spans="2:4" ht="20.25" customHeight="1">
      <c r="B776" s="109" t="s">
        <v>1669</v>
      </c>
      <c r="D776" s="152"/>
    </row>
    <row r="777" spans="2:4" ht="20.25" customHeight="1">
      <c r="B777" s="109" t="s">
        <v>1670</v>
      </c>
      <c r="D777" s="152"/>
    </row>
    <row r="778" spans="2:4" ht="20.25" customHeight="1">
      <c r="B778" s="109" t="s">
        <v>1671</v>
      </c>
      <c r="D778" s="137" t="s">
        <v>24</v>
      </c>
    </row>
    <row r="779" spans="2:4" ht="20.25" customHeight="1">
      <c r="B779" s="109" t="s">
        <v>1672</v>
      </c>
      <c r="D779" s="148">
        <v>45105</v>
      </c>
    </row>
    <row r="780" spans="2:4" ht="20.25" customHeight="1">
      <c r="B780" s="109" t="s">
        <v>1673</v>
      </c>
      <c r="D780" s="162">
        <v>45040</v>
      </c>
    </row>
    <row r="781" spans="2:4" ht="20.25" customHeight="1">
      <c r="B781" s="109" t="s">
        <v>1674</v>
      </c>
      <c r="D781" s="152"/>
    </row>
    <row r="782" spans="2:4" ht="20.25" customHeight="1">
      <c r="B782" s="109" t="s">
        <v>1675</v>
      </c>
      <c r="D782" s="137" t="s">
        <v>24</v>
      </c>
    </row>
    <row r="783" spans="2:4" ht="20.25" customHeight="1">
      <c r="B783" s="109" t="s">
        <v>1676</v>
      </c>
      <c r="D783" s="137" t="s">
        <v>24</v>
      </c>
    </row>
    <row r="784" spans="2:4" ht="20.25" customHeight="1">
      <c r="B784" s="109" t="s">
        <v>1677</v>
      </c>
      <c r="D784" s="152"/>
    </row>
    <row r="785" spans="2:4" ht="20.25" customHeight="1">
      <c r="B785" s="109" t="s">
        <v>1678</v>
      </c>
      <c r="D785" s="152"/>
    </row>
    <row r="786" spans="2:4" ht="20.25" customHeight="1">
      <c r="B786" s="109" t="s">
        <v>1679</v>
      </c>
      <c r="D786" s="152"/>
    </row>
    <row r="787" spans="2:4" ht="20.25" customHeight="1">
      <c r="B787" s="109" t="s">
        <v>974</v>
      </c>
      <c r="D787" s="137" t="s">
        <v>24</v>
      </c>
    </row>
    <row r="788" spans="2:4" ht="20.25" customHeight="1">
      <c r="B788" s="109" t="s">
        <v>965</v>
      </c>
      <c r="D788" s="152"/>
    </row>
    <row r="789" spans="2:4" ht="20.25" customHeight="1">
      <c r="B789" s="109" t="s">
        <v>1680</v>
      </c>
      <c r="D789" s="142">
        <v>44910</v>
      </c>
    </row>
    <row r="790" spans="2:4" ht="20.25" customHeight="1">
      <c r="B790" s="109" t="s">
        <v>1681</v>
      </c>
      <c r="D790" s="152"/>
    </row>
    <row r="791" spans="2:4" ht="20.25" customHeight="1">
      <c r="B791" s="109" t="s">
        <v>1682</v>
      </c>
      <c r="D791" s="137" t="s">
        <v>24</v>
      </c>
    </row>
    <row r="792" spans="2:4" ht="20.25" customHeight="1">
      <c r="B792" s="109" t="s">
        <v>1683</v>
      </c>
      <c r="D792" s="152"/>
    </row>
    <row r="793" spans="2:4" ht="20.25" customHeight="1">
      <c r="B793" s="109" t="s">
        <v>1684</v>
      </c>
      <c r="D793" s="152"/>
    </row>
    <row r="794" spans="2:4" ht="20.25" customHeight="1">
      <c r="B794" s="109" t="s">
        <v>1685</v>
      </c>
      <c r="D794" s="152"/>
    </row>
    <row r="795" spans="2:4" ht="20.25" customHeight="1">
      <c r="B795" s="109" t="s">
        <v>1686</v>
      </c>
      <c r="D795" s="152"/>
    </row>
    <row r="796" spans="2:4" ht="20.25" customHeight="1">
      <c r="B796" s="109" t="s">
        <v>1687</v>
      </c>
      <c r="D796" s="162">
        <v>45040</v>
      </c>
    </row>
    <row r="797" spans="2:4" ht="20.25" customHeight="1">
      <c r="B797" s="109" t="s">
        <v>1688</v>
      </c>
      <c r="D797" s="162">
        <v>45040</v>
      </c>
    </row>
    <row r="798" spans="2:4" ht="20.25" customHeight="1">
      <c r="B798" s="109" t="s">
        <v>1689</v>
      </c>
      <c r="D798" s="152"/>
    </row>
    <row r="799" spans="2:4" ht="20.25" customHeight="1">
      <c r="B799" s="109" t="s">
        <v>1690</v>
      </c>
      <c r="D799" s="152"/>
    </row>
    <row r="800" spans="2:4" ht="20.25" customHeight="1">
      <c r="B800" s="109" t="s">
        <v>1691</v>
      </c>
      <c r="D800" s="162">
        <v>45040</v>
      </c>
    </row>
    <row r="801" spans="2:4" ht="20.25" customHeight="1">
      <c r="B801" s="109" t="s">
        <v>1692</v>
      </c>
      <c r="D801" s="142">
        <v>44890</v>
      </c>
    </row>
    <row r="802" spans="2:4" ht="20.25" customHeight="1">
      <c r="B802" s="109" t="s">
        <v>1693</v>
      </c>
      <c r="D802" s="152"/>
    </row>
    <row r="803" spans="2:4" ht="20.25" customHeight="1">
      <c r="B803" s="109" t="s">
        <v>1694</v>
      </c>
      <c r="D803" s="162">
        <v>45040</v>
      </c>
    </row>
    <row r="804" spans="2:4" ht="20.25" customHeight="1">
      <c r="B804" s="109" t="s">
        <v>1695</v>
      </c>
      <c r="D804" s="149"/>
    </row>
    <row r="805" spans="2:4" ht="20.25" customHeight="1">
      <c r="B805" s="109" t="s">
        <v>1696</v>
      </c>
      <c r="D805" s="152"/>
    </row>
    <row r="806" spans="2:4" ht="20.25" customHeight="1">
      <c r="B806" s="109" t="s">
        <v>1697</v>
      </c>
      <c r="D806" s="162">
        <v>45040</v>
      </c>
    </row>
    <row r="807" spans="2:4" ht="20.25" customHeight="1">
      <c r="B807" s="109" t="s">
        <v>1698</v>
      </c>
      <c r="D807" s="152"/>
    </row>
    <row r="808" spans="2:4" ht="20.25" customHeight="1">
      <c r="B808" s="109" t="s">
        <v>1699</v>
      </c>
      <c r="D808" s="152"/>
    </row>
    <row r="809" spans="2:4" ht="20.25" customHeight="1">
      <c r="B809" s="109" t="s">
        <v>1700</v>
      </c>
      <c r="D809" s="162">
        <v>45040</v>
      </c>
    </row>
    <row r="810" spans="2:4" ht="20.25" customHeight="1">
      <c r="B810" s="109" t="s">
        <v>1701</v>
      </c>
      <c r="D810" s="142">
        <v>44922</v>
      </c>
    </row>
    <row r="811" spans="2:4" ht="20.25" customHeight="1">
      <c r="B811" s="109" t="s">
        <v>1702</v>
      </c>
      <c r="D811" s="152"/>
    </row>
    <row r="812" spans="2:4" ht="20.25" customHeight="1">
      <c r="B812" s="109" t="s">
        <v>1703</v>
      </c>
      <c r="D812" s="152"/>
    </row>
    <row r="813" spans="2:4" ht="20.25" customHeight="1">
      <c r="B813" s="109" t="s">
        <v>1704</v>
      </c>
      <c r="D813" s="137" t="s">
        <v>24</v>
      </c>
    </row>
    <row r="814" spans="2:4" ht="20.25" customHeight="1">
      <c r="B814" s="109" t="s">
        <v>1705</v>
      </c>
      <c r="D814" s="142">
        <v>45056</v>
      </c>
    </row>
    <row r="815" spans="2:4" ht="20.25" customHeight="1">
      <c r="B815" s="109" t="s">
        <v>1120</v>
      </c>
      <c r="D815" s="152"/>
    </row>
    <row r="816" spans="2:4" ht="20.25" customHeight="1">
      <c r="B816" s="109" t="s">
        <v>1122</v>
      </c>
      <c r="D816" s="137" t="s">
        <v>24</v>
      </c>
    </row>
    <row r="817" spans="2:4" ht="20.25" customHeight="1">
      <c r="B817" s="109" t="s">
        <v>1706</v>
      </c>
      <c r="D817" s="152" t="s">
        <v>24</v>
      </c>
    </row>
    <row r="818" spans="2:4" ht="20.25" customHeight="1">
      <c r="B818" s="109" t="s">
        <v>1707</v>
      </c>
      <c r="D818" s="137" t="s">
        <v>24</v>
      </c>
    </row>
    <row r="819" spans="2:4" ht="20.25" customHeight="1">
      <c r="B819" s="109" t="s">
        <v>1708</v>
      </c>
      <c r="D819" s="152"/>
    </row>
    <row r="820" spans="2:4" ht="20.25" customHeight="1">
      <c r="B820" s="109" t="s">
        <v>1709</v>
      </c>
      <c r="D820" s="152"/>
    </row>
    <row r="821" spans="2:4" ht="20.25" customHeight="1">
      <c r="B821" s="109" t="s">
        <v>1710</v>
      </c>
      <c r="D821" s="152"/>
    </row>
    <row r="822" spans="2:4" ht="20.25" customHeight="1">
      <c r="B822" s="109" t="s">
        <v>1711</v>
      </c>
      <c r="D822" s="152"/>
    </row>
    <row r="823" spans="2:4" ht="20.25" customHeight="1">
      <c r="B823" s="109" t="s">
        <v>1712</v>
      </c>
      <c r="D823" s="152"/>
    </row>
    <row r="824" spans="2:4" ht="20.25" customHeight="1">
      <c r="B824" s="109" t="s">
        <v>1713</v>
      </c>
      <c r="D824" s="152"/>
    </row>
    <row r="825" spans="2:4" ht="20.25" customHeight="1">
      <c r="B825" s="109" t="s">
        <v>1714</v>
      </c>
      <c r="D825" s="152"/>
    </row>
    <row r="826" spans="2:4" ht="20.25" customHeight="1">
      <c r="B826" s="109" t="s">
        <v>1715</v>
      </c>
      <c r="D826" s="152"/>
    </row>
    <row r="827" spans="2:4" ht="20.25" customHeight="1">
      <c r="B827" s="109" t="s">
        <v>1716</v>
      </c>
      <c r="D827" s="152"/>
    </row>
    <row r="828" spans="2:4" ht="20.25" customHeight="1">
      <c r="B828" s="109" t="s">
        <v>1717</v>
      </c>
      <c r="D828" s="152"/>
    </row>
    <row r="829" spans="2:4" ht="20.25" customHeight="1">
      <c r="B829" s="109" t="s">
        <v>1718</v>
      </c>
      <c r="D829" s="137" t="s">
        <v>24</v>
      </c>
    </row>
    <row r="830" spans="2:4" ht="20.25" customHeight="1">
      <c r="B830" s="109" t="s">
        <v>1719</v>
      </c>
      <c r="D830" s="137" t="s">
        <v>24</v>
      </c>
    </row>
    <row r="831" spans="2:4" ht="20.25" customHeight="1">
      <c r="B831" s="109" t="s">
        <v>1720</v>
      </c>
      <c r="D831" s="137" t="s">
        <v>24</v>
      </c>
    </row>
    <row r="832" spans="2:4" ht="20.25" customHeight="1">
      <c r="B832" s="109" t="s">
        <v>1721</v>
      </c>
      <c r="D832" s="153"/>
    </row>
    <row r="833" spans="2:4" ht="20.25" customHeight="1">
      <c r="B833" s="109" t="s">
        <v>1722</v>
      </c>
      <c r="D833" s="152"/>
    </row>
    <row r="834" spans="2:4" ht="20.25" customHeight="1">
      <c r="B834" s="109" t="s">
        <v>1723</v>
      </c>
      <c r="D834" s="152"/>
    </row>
    <row r="835" spans="2:4" ht="20.25" customHeight="1">
      <c r="B835" s="109" t="s">
        <v>1724</v>
      </c>
      <c r="D835" s="152"/>
    </row>
    <row r="836" spans="2:4" ht="20.25" customHeight="1">
      <c r="B836" s="109" t="s">
        <v>1725</v>
      </c>
      <c r="D836" s="152"/>
    </row>
    <row r="837" spans="2:4" ht="20.25" customHeight="1">
      <c r="B837" s="110" t="s">
        <v>1726</v>
      </c>
      <c r="D837" s="152"/>
    </row>
    <row r="838" spans="2:4" ht="20.25" customHeight="1">
      <c r="B838" s="110" t="s">
        <v>1727</v>
      </c>
      <c r="D838" s="152"/>
    </row>
    <row r="839" spans="2:4" ht="20.25" customHeight="1">
      <c r="B839" s="109" t="s">
        <v>968</v>
      </c>
      <c r="D839" s="152"/>
    </row>
    <row r="840" spans="2:4" ht="20.25" customHeight="1">
      <c r="B840" s="110" t="s">
        <v>1728</v>
      </c>
      <c r="D840" s="152"/>
    </row>
    <row r="841" spans="2:4" ht="20.25" customHeight="1">
      <c r="B841" s="110" t="s">
        <v>1729</v>
      </c>
      <c r="D841" s="152"/>
    </row>
    <row r="842" spans="2:4" ht="20.25" customHeight="1">
      <c r="B842" s="110" t="s">
        <v>1730</v>
      </c>
      <c r="D842" s="152"/>
    </row>
    <row r="843" spans="2:4" ht="20.25" customHeight="1">
      <c r="B843" s="110" t="s">
        <v>1731</v>
      </c>
      <c r="D843" s="152"/>
    </row>
    <row r="844" spans="2:4" ht="20.25" customHeight="1">
      <c r="B844" s="110" t="s">
        <v>1732</v>
      </c>
      <c r="D844" s="152"/>
    </row>
    <row r="845" spans="2:4" ht="20.25" customHeight="1">
      <c r="B845" s="110" t="s">
        <v>1733</v>
      </c>
      <c r="D845" s="152"/>
    </row>
    <row r="846" spans="2:4" ht="20.25" customHeight="1">
      <c r="B846" s="110" t="s">
        <v>1734</v>
      </c>
      <c r="D846" s="152"/>
    </row>
    <row r="847" spans="2:4" ht="20.25" customHeight="1">
      <c r="B847" s="110" t="s">
        <v>1735</v>
      </c>
      <c r="D847" s="152"/>
    </row>
    <row r="848" spans="2:4" ht="20.25" customHeight="1">
      <c r="B848" s="110" t="s">
        <v>1736</v>
      </c>
      <c r="D848" s="152"/>
    </row>
    <row r="849" spans="2:4" ht="20.25" customHeight="1">
      <c r="B849" s="110" t="s">
        <v>1737</v>
      </c>
      <c r="D849" s="152"/>
    </row>
    <row r="850" spans="2:4" ht="20.25" customHeight="1">
      <c r="B850" s="110" t="s">
        <v>1738</v>
      </c>
      <c r="D850" s="152"/>
    </row>
    <row r="851" spans="2:4" ht="20.25" customHeight="1">
      <c r="B851" s="110" t="s">
        <v>1739</v>
      </c>
      <c r="D851" s="152"/>
    </row>
    <row r="852" spans="2:4" ht="20.25" customHeight="1">
      <c r="B852" s="110" t="s">
        <v>1740</v>
      </c>
      <c r="D852" s="152"/>
    </row>
    <row r="853" spans="2:4" ht="20.25" customHeight="1">
      <c r="B853" s="110" t="s">
        <v>1741</v>
      </c>
      <c r="D853" s="152"/>
    </row>
    <row r="854" spans="2:4" ht="20.25" customHeight="1">
      <c r="B854" s="110" t="s">
        <v>1742</v>
      </c>
      <c r="D854" s="152"/>
    </row>
    <row r="855" spans="2:4" ht="20.25" customHeight="1">
      <c r="B855" s="110" t="s">
        <v>1743</v>
      </c>
      <c r="D855" s="152"/>
    </row>
    <row r="856" spans="2:4" ht="20.25" customHeight="1">
      <c r="B856" s="110" t="s">
        <v>1744</v>
      </c>
      <c r="D856" s="152"/>
    </row>
    <row r="857" spans="2:4" ht="20.25" customHeight="1">
      <c r="B857" s="110" t="s">
        <v>1745</v>
      </c>
      <c r="D857" s="152"/>
    </row>
    <row r="858" spans="2:4" ht="20.25" customHeight="1">
      <c r="B858" s="110" t="s">
        <v>1746</v>
      </c>
      <c r="D858" s="152"/>
    </row>
    <row r="859" spans="2:4" ht="20.25" customHeight="1">
      <c r="B859" s="110" t="s">
        <v>1747</v>
      </c>
      <c r="D859" s="152"/>
    </row>
    <row r="860" spans="2:4" ht="20.25" customHeight="1">
      <c r="B860" s="110" t="s">
        <v>1748</v>
      </c>
      <c r="D860" s="152"/>
    </row>
    <row r="861" spans="2:4" ht="20.25" customHeight="1">
      <c r="B861" s="110" t="s">
        <v>1749</v>
      </c>
      <c r="D861" s="152"/>
    </row>
    <row r="862" spans="2:4" ht="20.25" customHeight="1">
      <c r="B862" s="110" t="s">
        <v>1750</v>
      </c>
      <c r="D862" s="152"/>
    </row>
    <row r="863" spans="2:4" ht="20.25" customHeight="1">
      <c r="B863" s="110" t="s">
        <v>1751</v>
      </c>
      <c r="D863" s="152"/>
    </row>
    <row r="864" spans="2:4" ht="20.25" customHeight="1">
      <c r="B864" s="110" t="s">
        <v>1752</v>
      </c>
      <c r="D864" s="152"/>
    </row>
    <row r="865" spans="2:4" ht="20.25" customHeight="1">
      <c r="B865" s="110" t="s">
        <v>1753</v>
      </c>
      <c r="D865" s="152"/>
    </row>
    <row r="866" spans="2:4" ht="20.25" customHeight="1">
      <c r="B866" s="110" t="s">
        <v>1754</v>
      </c>
      <c r="D866" s="137" t="s">
        <v>24</v>
      </c>
    </row>
    <row r="867" spans="2:4" ht="20.25" customHeight="1">
      <c r="B867" s="110" t="s">
        <v>1755</v>
      </c>
      <c r="D867" s="152"/>
    </row>
    <row r="868" spans="2:4" ht="20.25" customHeight="1">
      <c r="B868" s="110" t="s">
        <v>1004</v>
      </c>
      <c r="D868" s="152"/>
    </row>
    <row r="869" spans="2:4" ht="20.25" customHeight="1">
      <c r="B869" s="110" t="s">
        <v>1124</v>
      </c>
      <c r="D869" s="152"/>
    </row>
    <row r="870" spans="2:4" ht="20.25" customHeight="1">
      <c r="B870" s="110" t="s">
        <v>1756</v>
      </c>
      <c r="D870" s="152"/>
    </row>
    <row r="871" spans="2:4" ht="20.25" customHeight="1">
      <c r="B871" s="110" t="s">
        <v>1757</v>
      </c>
      <c r="D871" s="148">
        <v>45065</v>
      </c>
    </row>
    <row r="872" spans="2:4" ht="20.25" customHeight="1">
      <c r="B872" s="110" t="s">
        <v>1019</v>
      </c>
      <c r="D872" s="137" t="s">
        <v>24</v>
      </c>
    </row>
    <row r="873" spans="2:4" ht="20.25" customHeight="1">
      <c r="B873" s="110" t="s">
        <v>1758</v>
      </c>
      <c r="D873" s="148">
        <v>45148</v>
      </c>
    </row>
    <row r="874" spans="2:4" ht="20.25" customHeight="1">
      <c r="B874" s="110" t="s">
        <v>1759</v>
      </c>
      <c r="D874" s="137" t="s">
        <v>24</v>
      </c>
    </row>
    <row r="875" spans="2:4" ht="20.25" customHeight="1">
      <c r="B875" s="110" t="s">
        <v>1126</v>
      </c>
      <c r="D875" s="137" t="s">
        <v>24</v>
      </c>
    </row>
    <row r="876" spans="2:4" ht="20.25" customHeight="1">
      <c r="B876" s="111"/>
      <c r="D876" s="152"/>
    </row>
    <row r="877" spans="2:4" ht="20.25" customHeight="1">
      <c r="B877" s="111"/>
      <c r="D877" s="152"/>
    </row>
    <row r="878" spans="2:4" ht="20.25" customHeight="1">
      <c r="B878" s="111"/>
      <c r="D878" s="152"/>
    </row>
    <row r="879" spans="2:4" ht="20.25" customHeight="1">
      <c r="B879" s="111"/>
      <c r="D879" s="142">
        <v>44910</v>
      </c>
    </row>
    <row r="880" spans="2:4" ht="20.25" customHeight="1">
      <c r="B880" s="111"/>
      <c r="D880" s="148">
        <v>45065</v>
      </c>
    </row>
    <row r="881" spans="2:4" ht="20.25" customHeight="1">
      <c r="B881" s="111"/>
      <c r="D881" s="137" t="s">
        <v>24</v>
      </c>
    </row>
    <row r="882" spans="2:4" ht="20.25" customHeight="1">
      <c r="B882" s="111"/>
      <c r="D882" s="137" t="s">
        <v>24</v>
      </c>
    </row>
    <row r="883" spans="2:4" ht="20.25" customHeight="1">
      <c r="B883" s="111"/>
      <c r="D883" s="148">
        <v>45049</v>
      </c>
    </row>
    <row r="884" spans="2:4" ht="20.25" customHeight="1">
      <c r="B884" s="111"/>
      <c r="D884" s="152"/>
    </row>
    <row r="885" spans="2:4" ht="20.25" customHeight="1">
      <c r="B885" s="111"/>
      <c r="D885" s="137" t="s">
        <v>24</v>
      </c>
    </row>
    <row r="886" spans="2:4" ht="20.25" customHeight="1">
      <c r="B886" s="111"/>
      <c r="D886" s="162">
        <v>45040</v>
      </c>
    </row>
    <row r="887" spans="2:4" ht="20.25" customHeight="1">
      <c r="B887" s="111"/>
      <c r="D887" s="152"/>
    </row>
    <row r="888" spans="2:4" ht="20.25" customHeight="1">
      <c r="B888" s="111"/>
      <c r="D888" s="152"/>
    </row>
    <row r="889" spans="2:4" ht="20.25" customHeight="1">
      <c r="B889" s="111"/>
      <c r="D889" s="152"/>
    </row>
    <row r="890" spans="2:4" ht="20.25" customHeight="1">
      <c r="B890" s="111"/>
      <c r="D890" s="152"/>
    </row>
    <row r="891" spans="2:4" ht="20.25" customHeight="1">
      <c r="B891" s="111"/>
      <c r="D891" s="152"/>
    </row>
    <row r="892" spans="2:4" ht="20.25" customHeight="1">
      <c r="B892" s="111"/>
      <c r="D892" s="152"/>
    </row>
    <row r="893" spans="2:4" ht="20.25" customHeight="1">
      <c r="B893" s="111"/>
      <c r="D893" s="152"/>
    </row>
    <row r="894" spans="2:4" ht="20.25" customHeight="1">
      <c r="B894" s="111"/>
      <c r="D894" s="152"/>
    </row>
    <row r="895" spans="2:4" ht="20.25" customHeight="1">
      <c r="B895" s="111"/>
      <c r="D895" s="152"/>
    </row>
    <row r="896" spans="2:4" ht="20.25" customHeight="1">
      <c r="B896" s="111"/>
      <c r="D896" s="152"/>
    </row>
    <row r="897" spans="2:4" ht="20.25" customHeight="1">
      <c r="B897" s="111"/>
      <c r="D897" s="152"/>
    </row>
    <row r="898" spans="2:4" ht="20.25" customHeight="1">
      <c r="B898" s="111"/>
      <c r="D898" s="152"/>
    </row>
    <row r="899" spans="2:4" ht="20.25" customHeight="1">
      <c r="B899" s="111"/>
      <c r="D899" s="137" t="s">
        <v>24</v>
      </c>
    </row>
    <row r="900" spans="2:4" ht="20.25" customHeight="1">
      <c r="B900" s="111"/>
      <c r="D900" s="152"/>
    </row>
    <row r="901" spans="2:4" ht="20.25" customHeight="1">
      <c r="B901" s="111"/>
      <c r="D901" s="152"/>
    </row>
    <row r="902" spans="2:4" ht="20.25" customHeight="1">
      <c r="B902" s="111"/>
      <c r="D902" s="152"/>
    </row>
    <row r="903" spans="2:4" ht="20.25" customHeight="1">
      <c r="B903" s="111"/>
      <c r="D903" s="152"/>
    </row>
    <row r="904" spans="2:4" ht="20.25" customHeight="1">
      <c r="B904" s="111"/>
      <c r="D904" s="152"/>
    </row>
    <row r="905" spans="2:4" ht="20.25" customHeight="1">
      <c r="B905" s="111"/>
      <c r="D905" s="152"/>
    </row>
    <row r="906" spans="2:4" ht="20.25" customHeight="1">
      <c r="B906" s="111"/>
      <c r="D906" s="152"/>
    </row>
    <row r="907" spans="2:4" ht="20.25" customHeight="1">
      <c r="B907" s="111"/>
      <c r="D907" s="152"/>
    </row>
    <row r="908" spans="2:4" ht="20.25" customHeight="1">
      <c r="B908" s="111"/>
      <c r="D908" s="152"/>
    </row>
    <row r="909" spans="2:4" ht="20.25" customHeight="1">
      <c r="B909" s="111"/>
      <c r="D909" s="152"/>
    </row>
    <row r="910" spans="2:4" ht="20.25" customHeight="1">
      <c r="B910" s="111"/>
      <c r="D910" s="152"/>
    </row>
    <row r="911" spans="2:4" ht="20.25" customHeight="1">
      <c r="B911" s="111"/>
      <c r="D911" s="152"/>
    </row>
    <row r="912" spans="2:4" ht="20.25" customHeight="1">
      <c r="B912" s="111"/>
      <c r="D912" s="152"/>
    </row>
    <row r="913" spans="2:4" ht="20.25" customHeight="1">
      <c r="B913" s="111"/>
      <c r="D913" s="152"/>
    </row>
    <row r="914" spans="2:4" ht="20.25" customHeight="1">
      <c r="B914" s="111"/>
      <c r="D914" s="152"/>
    </row>
    <row r="915" spans="2:4" ht="20.25" customHeight="1">
      <c r="B915" s="111"/>
      <c r="D915" s="152"/>
    </row>
    <row r="916" spans="2:4" ht="20.25" customHeight="1">
      <c r="B916" s="111"/>
      <c r="D916" s="152"/>
    </row>
    <row r="917" spans="2:4" ht="20.25" customHeight="1">
      <c r="B917" s="111"/>
      <c r="D917" s="152"/>
    </row>
    <row r="918" spans="2:4" ht="20.25" customHeight="1">
      <c r="B918" s="111"/>
      <c r="D918" s="152"/>
    </row>
    <row r="919" spans="2:4" ht="20.25" customHeight="1">
      <c r="B919" s="111"/>
      <c r="D919" s="152"/>
    </row>
    <row r="920" spans="2:4" ht="20.25" customHeight="1">
      <c r="B920" s="111"/>
      <c r="D920" s="152"/>
    </row>
    <row r="921" spans="2:4" ht="20.25" customHeight="1">
      <c r="B921" s="111"/>
      <c r="D921" s="152"/>
    </row>
    <row r="922" spans="2:4" ht="20.25" customHeight="1">
      <c r="B922" s="111"/>
      <c r="D922" s="152"/>
    </row>
    <row r="923" spans="2:4" ht="20.25" customHeight="1">
      <c r="B923" s="111"/>
      <c r="D923" s="152"/>
    </row>
    <row r="924" spans="2:4" ht="20.25" customHeight="1">
      <c r="B924" s="111"/>
      <c r="D924" s="152"/>
    </row>
    <row r="925" spans="2:4" ht="20.25" customHeight="1">
      <c r="B925" s="111"/>
      <c r="D925" s="152"/>
    </row>
    <row r="926" spans="2:4" ht="20.25" customHeight="1">
      <c r="B926" s="111"/>
      <c r="D926" s="152"/>
    </row>
    <row r="927" spans="2:4" ht="20.25" customHeight="1">
      <c r="B927" s="111"/>
      <c r="D927" s="152"/>
    </row>
    <row r="928" spans="2:4" ht="20.25" customHeight="1">
      <c r="B928" s="111"/>
      <c r="D928" s="152"/>
    </row>
    <row r="929" spans="2:4" ht="20.25" customHeight="1">
      <c r="B929" s="111"/>
      <c r="D929" s="152"/>
    </row>
    <row r="930" spans="2:4" ht="20.25" customHeight="1">
      <c r="B930" s="111"/>
      <c r="D930" s="152"/>
    </row>
    <row r="931" spans="2:4" ht="20.25" customHeight="1">
      <c r="B931" s="111"/>
      <c r="D931" s="152"/>
    </row>
    <row r="932" spans="2:4" ht="20.25" customHeight="1">
      <c r="B932" s="111"/>
      <c r="D932" s="152"/>
    </row>
    <row r="933" spans="2:4" ht="20.25" customHeight="1">
      <c r="B933" s="107"/>
      <c r="D933" s="152"/>
    </row>
    <row r="934" spans="2:4" ht="20.25" customHeight="1">
      <c r="B934" s="107"/>
      <c r="D934" s="152"/>
    </row>
    <row r="935" spans="2:4" ht="20.25" customHeight="1">
      <c r="B935" s="107"/>
      <c r="D935" s="152"/>
    </row>
    <row r="936" spans="2:4" ht="20.25" customHeight="1">
      <c r="B936" s="107"/>
      <c r="D936" s="137" t="s">
        <v>24</v>
      </c>
    </row>
    <row r="937" spans="2:4" ht="20.25" customHeight="1">
      <c r="B937" s="107"/>
      <c r="D937" s="137" t="s">
        <v>24</v>
      </c>
    </row>
    <row r="938" spans="2:4" ht="20.25" customHeight="1">
      <c r="B938" s="107"/>
      <c r="D938" s="152"/>
    </row>
    <row r="939" spans="2:4" ht="20.25" customHeight="1">
      <c r="B939" s="107"/>
      <c r="D939" s="152"/>
    </row>
    <row r="940" spans="2:4" ht="20.25" customHeight="1">
      <c r="B940" s="107"/>
      <c r="D940" s="152"/>
    </row>
    <row r="941" spans="2:4" ht="20.25" customHeight="1">
      <c r="B941" s="107"/>
      <c r="D941" s="152"/>
    </row>
    <row r="942" spans="2:4" ht="20.25" customHeight="1">
      <c r="B942" s="107"/>
      <c r="D942" s="152"/>
    </row>
    <row r="943" spans="2:4" ht="20.25" customHeight="1">
      <c r="B943" s="107"/>
      <c r="D943" s="152"/>
    </row>
    <row r="944" spans="2:4" ht="20.25" customHeight="1">
      <c r="B944" s="107"/>
      <c r="D944" s="152"/>
    </row>
    <row r="945" spans="2:4" ht="20.25" customHeight="1">
      <c r="B945" s="107"/>
      <c r="D945" s="152"/>
    </row>
    <row r="946" spans="2:4" ht="20.25" customHeight="1">
      <c r="B946" s="107"/>
      <c r="D946" s="152"/>
    </row>
    <row r="947" spans="2:4" ht="20.25" customHeight="1">
      <c r="B947" s="107"/>
      <c r="D947" s="152"/>
    </row>
    <row r="948" spans="2:4" ht="20.25" customHeight="1">
      <c r="B948" s="107"/>
      <c r="D948" s="137" t="s">
        <v>24</v>
      </c>
    </row>
    <row r="949" spans="2:4" ht="20.25" customHeight="1">
      <c r="B949" s="107"/>
      <c r="D949" s="137" t="s">
        <v>24</v>
      </c>
    </row>
    <row r="950" spans="2:4" ht="20.25" customHeight="1">
      <c r="B950" s="107"/>
      <c r="D950" s="152"/>
    </row>
    <row r="951" spans="2:4" ht="20.25" customHeight="1">
      <c r="B951" s="107"/>
      <c r="D951" s="152"/>
    </row>
    <row r="952" spans="2:4" ht="20.25" customHeight="1">
      <c r="B952" s="107"/>
      <c r="D952" s="152"/>
    </row>
    <row r="953" spans="2:4" ht="20.25" customHeight="1">
      <c r="B953" s="107"/>
      <c r="D953" s="152"/>
    </row>
    <row r="954" spans="2:4" ht="20.25" customHeight="1">
      <c r="B954" s="107"/>
      <c r="D954" s="148">
        <v>45049</v>
      </c>
    </row>
    <row r="955" spans="2:4" ht="20.25" customHeight="1">
      <c r="B955" s="107"/>
      <c r="D955" s="152"/>
    </row>
    <row r="956" spans="2:4" ht="20.25" customHeight="1">
      <c r="B956" s="107"/>
      <c r="D956" s="152"/>
    </row>
    <row r="957" spans="2:4" ht="20.25" customHeight="1">
      <c r="B957" s="107"/>
      <c r="D957" s="152"/>
    </row>
    <row r="958" spans="2:4" ht="20.25" customHeight="1">
      <c r="B958" s="107"/>
      <c r="D958" s="152"/>
    </row>
    <row r="959" spans="2:4" ht="20.25" customHeight="1">
      <c r="B959" s="107"/>
      <c r="D959" s="152"/>
    </row>
    <row r="960" spans="2:4" ht="20.25" customHeight="1">
      <c r="B960" s="107"/>
      <c r="D960" s="152"/>
    </row>
    <row r="961" spans="2:4" ht="20.25" customHeight="1">
      <c r="B961" s="107"/>
      <c r="D961" s="152"/>
    </row>
    <row r="962" spans="2:4" ht="20.25" customHeight="1">
      <c r="B962" s="107"/>
      <c r="D962" s="152"/>
    </row>
    <row r="963" spans="2:4" ht="20.25" customHeight="1">
      <c r="B963" s="107"/>
      <c r="D963" s="152"/>
    </row>
    <row r="964" spans="2:4" ht="20.25" customHeight="1">
      <c r="B964" s="107"/>
      <c r="D964" s="152"/>
    </row>
    <row r="965" spans="2:4" ht="20.25" customHeight="1">
      <c r="B965" s="107"/>
      <c r="D965" s="152"/>
    </row>
    <row r="966" spans="2:4" ht="20.25" customHeight="1">
      <c r="B966" s="107"/>
      <c r="D966" s="152"/>
    </row>
    <row r="967" spans="2:4" ht="20.25" customHeight="1">
      <c r="B967" s="107"/>
      <c r="D967" s="152"/>
    </row>
    <row r="968" spans="2:4" ht="20.25" customHeight="1">
      <c r="B968" s="107"/>
      <c r="D968" s="152"/>
    </row>
    <row r="969" spans="2:4" ht="20.25" customHeight="1">
      <c r="B969" s="107"/>
      <c r="D969" s="152"/>
    </row>
    <row r="970" spans="2:4" ht="20.25" customHeight="1">
      <c r="B970" s="107"/>
      <c r="D970" s="152"/>
    </row>
    <row r="971" spans="2:4" ht="20.25" customHeight="1">
      <c r="B971" s="107"/>
      <c r="D971" s="152"/>
    </row>
    <row r="972" spans="2:4" ht="20.25" customHeight="1">
      <c r="B972" s="107"/>
      <c r="D972" s="142">
        <v>44961</v>
      </c>
    </row>
    <row r="973" spans="2:4" ht="20.25" customHeight="1">
      <c r="B973" s="107"/>
      <c r="D973" s="152"/>
    </row>
    <row r="974" spans="2:4" ht="20.25" customHeight="1">
      <c r="D974" s="152"/>
    </row>
    <row r="975" spans="2:4" ht="20.25" customHeight="1">
      <c r="D975" s="152"/>
    </row>
    <row r="976" spans="2:4" ht="20.25" customHeight="1">
      <c r="D976" s="152"/>
    </row>
    <row r="977" spans="4:4" ht="20.25" customHeight="1">
      <c r="D977" s="152"/>
    </row>
    <row r="978" spans="4:4" ht="20.25" customHeight="1">
      <c r="D978" s="152"/>
    </row>
    <row r="979" spans="4:4" ht="20.25" customHeight="1">
      <c r="D979" s="152"/>
    </row>
    <row r="980" spans="4:4" ht="20.25" customHeight="1">
      <c r="D980" s="152"/>
    </row>
    <row r="981" spans="4:4" ht="20.25" customHeight="1">
      <c r="D981" s="152"/>
    </row>
    <row r="982" spans="4:4" ht="20.25" customHeight="1">
      <c r="D982" s="152"/>
    </row>
    <row r="983" spans="4:4" ht="20.25" customHeight="1">
      <c r="D983" s="152"/>
    </row>
    <row r="984" spans="4:4" ht="20.25" customHeight="1">
      <c r="D984" s="152"/>
    </row>
    <row r="985" spans="4:4" ht="20.25" customHeight="1">
      <c r="D985" s="152"/>
    </row>
    <row r="986" spans="4:4" ht="20.25" customHeight="1">
      <c r="D986" s="152"/>
    </row>
    <row r="987" spans="4:4" ht="20.25" customHeight="1">
      <c r="D987" s="152"/>
    </row>
    <row r="988" spans="4:4" ht="20.25" customHeight="1">
      <c r="D988" s="152"/>
    </row>
    <row r="989" spans="4:4" ht="20.25" customHeight="1">
      <c r="D989" s="152"/>
    </row>
    <row r="990" spans="4:4" ht="20.25" customHeight="1">
      <c r="D990" s="152"/>
    </row>
    <row r="991" spans="4:4" ht="20.25" customHeight="1">
      <c r="D991" s="152"/>
    </row>
    <row r="992" spans="4:4" ht="20.25" customHeight="1">
      <c r="D992" s="152"/>
    </row>
    <row r="993" spans="4:4" ht="20.25" customHeight="1">
      <c r="D993" s="152"/>
    </row>
    <row r="994" spans="4:4" ht="20.25" customHeight="1">
      <c r="D994" s="152"/>
    </row>
    <row r="995" spans="4:4" ht="20.25" customHeight="1">
      <c r="D995" s="152"/>
    </row>
    <row r="996" spans="4:4" ht="20.25" customHeight="1">
      <c r="D996" s="152"/>
    </row>
    <row r="997" spans="4:4" ht="20.25" customHeight="1">
      <c r="D997" s="152"/>
    </row>
    <row r="998" spans="4:4" ht="20.25" customHeight="1">
      <c r="D998" s="152"/>
    </row>
    <row r="999" spans="4:4" ht="20.25" customHeight="1">
      <c r="D999" s="152"/>
    </row>
    <row r="1000" spans="4:4" ht="20.25" customHeight="1">
      <c r="D1000" s="142">
        <v>44961</v>
      </c>
    </row>
    <row r="1001" spans="4:4" ht="20.25" customHeight="1">
      <c r="D1001" s="148">
        <v>45105</v>
      </c>
    </row>
    <row r="1002" spans="4:4" ht="20.25" customHeight="1">
      <c r="D1002" s="148">
        <v>45105</v>
      </c>
    </row>
    <row r="1003" spans="4:4" ht="20.25" customHeight="1">
      <c r="D1003" s="152"/>
    </row>
    <row r="1004" spans="4:4" ht="20.25" customHeight="1">
      <c r="D1004" s="137" t="s">
        <v>24</v>
      </c>
    </row>
    <row r="1005" spans="4:4" ht="20.25" customHeight="1">
      <c r="D1005" s="142">
        <v>44961</v>
      </c>
    </row>
    <row r="1006" spans="4:4" ht="20.25" customHeight="1">
      <c r="D1006" s="152"/>
    </row>
    <row r="1007" spans="4:4" ht="20.25" customHeight="1">
      <c r="D1007" s="137" t="s">
        <v>24</v>
      </c>
    </row>
    <row r="1008" spans="4:4" ht="20.25" customHeight="1">
      <c r="D1008" s="152"/>
    </row>
    <row r="1009" spans="4:4" ht="20.25" customHeight="1">
      <c r="D1009" s="179"/>
    </row>
    <row r="1010" spans="4:4" ht="20.25" customHeight="1">
      <c r="D1010" s="152"/>
    </row>
    <row r="1011" spans="4:4" ht="20.25" customHeight="1">
      <c r="D1011" s="152"/>
    </row>
  </sheetData>
  <conditionalFormatting sqref="B5">
    <cfRule type="duplicateValues" dxfId="65" priority="2"/>
  </conditionalFormatting>
  <conditionalFormatting sqref="B6:B10">
    <cfRule type="duplicateValues" dxfId="64" priority="703"/>
  </conditionalFormatting>
  <conditionalFormatting sqref="B11:B16">
    <cfRule type="duplicateValues" dxfId="63" priority="645"/>
  </conditionalFormatting>
  <conditionalFormatting sqref="B17:B31">
    <cfRule type="duplicateValues" dxfId="62" priority="227"/>
  </conditionalFormatting>
  <conditionalFormatting sqref="C5">
    <cfRule type="duplicateValues" dxfId="61" priority="1"/>
  </conditionalFormatting>
  <conditionalFormatting sqref="C19:C20">
    <cfRule type="duplicateValues" dxfId="60" priority="47"/>
  </conditionalFormatting>
  <conditionalFormatting sqref="F3:F4 F6:F8">
    <cfRule type="duplicateValues" dxfId="59" priority="669"/>
  </conditionalFormatting>
  <conditionalFormatting sqref="F3:F4 F6:F12">
    <cfRule type="duplicateValues" dxfId="58" priority="672"/>
    <cfRule type="duplicateValues" dxfId="57" priority="673"/>
    <cfRule type="duplicateValues" dxfId="56" priority="674"/>
    <cfRule type="duplicateValues" dxfId="55" priority="675"/>
  </conditionalFormatting>
  <conditionalFormatting sqref="F6:F8">
    <cfRule type="duplicateValues" dxfId="54" priority="684"/>
  </conditionalFormatting>
  <conditionalFormatting sqref="F6:F12">
    <cfRule type="duplicateValues" dxfId="53" priority="686"/>
    <cfRule type="duplicateValues" dxfId="52" priority="687"/>
    <cfRule type="duplicateValues" dxfId="51" priority="688"/>
    <cfRule type="duplicateValues" dxfId="50" priority="689"/>
    <cfRule type="duplicateValues" dxfId="49" priority="690"/>
    <cfRule type="duplicateValues" dxfId="48" priority="691"/>
  </conditionalFormatting>
  <conditionalFormatting sqref="F14:F66 F3:F12 H14:H63 H3:H12">
    <cfRule type="duplicateValues" dxfId="47" priority="221"/>
  </conditionalFormatting>
  <dataValidations count="1">
    <dataValidation allowBlank="1" showInputMessage="1" showErrorMessage="1" sqref="F4:F5 B109:B140 D211:D233 B38:B44 D88:D98 D303:D305 D270 D632:D633 D345:D347 D298:D301 D309 D663 D611 D511 D449:D451 D534 D660 D125:D160 D508 D506 D567:D571 D613 D615 D622 D667 D647 D562 D587:D591 D316 D1006 D769 D578:D585 D748 D110:D120 D311:D313 D327:D330 D464:D468 D575:D576 D383:D384 D389:D393 D431 D283:D284 D731 D444:D446 D395 D122:D123 D470:D475 D628 D524 D564:D565 D494 D549:D555 D341 D273 D50:D73 D418:D421 D478:D484 D434 D973 D665 D729 D107:D108 D255 D437:D440 D756 D258:D267 D386:D387 D325 D170:D171 D81:D86 D798 D699 D75:D79 D807 D545:D546 D518 D500 D514 D781 D718 D804 D516 D815 D103:D105 D595 D287 D293:D296 D174:D188 D167:D168 D887 D318 D235:D247 D635:D638 D640:D642 D190:D209 D426:D427 D429 D350 D307 D339 D334 D249:D253 D162:D165 D281 F10:F12 A5:A108 D5:D48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1760</v>
      </c>
      <c r="B1" s="5" t="s">
        <v>1761</v>
      </c>
      <c r="C1" s="5" t="s">
        <v>1762</v>
      </c>
      <c r="D1" s="5" t="s">
        <v>1763</v>
      </c>
      <c r="E1" s="5" t="s">
        <v>1764</v>
      </c>
      <c r="F1" s="5" t="s">
        <v>1765</v>
      </c>
      <c r="G1" s="5" t="s">
        <v>1766</v>
      </c>
      <c r="H1" s="5" t="s">
        <v>1767</v>
      </c>
      <c r="I1" s="5" t="s">
        <v>1768</v>
      </c>
      <c r="J1" s="5" t="s">
        <v>1769</v>
      </c>
    </row>
    <row r="2" spans="1:10">
      <c r="A2" s="1" t="s">
        <v>1770</v>
      </c>
      <c r="B2" s="3" t="s">
        <v>1771</v>
      </c>
      <c r="C2" s="3">
        <v>1</v>
      </c>
      <c r="D2" s="3">
        <v>101</v>
      </c>
      <c r="E2" s="24" t="s">
        <v>1772</v>
      </c>
      <c r="F2" s="3" t="s">
        <v>1773</v>
      </c>
      <c r="G2" s="3" t="s">
        <v>15</v>
      </c>
      <c r="H2" s="3" t="s">
        <v>15</v>
      </c>
      <c r="I2" s="3" t="s">
        <v>1774</v>
      </c>
      <c r="J2" s="3" t="s">
        <v>1775</v>
      </c>
    </row>
    <row r="3" spans="1:10">
      <c r="A3" s="1" t="s">
        <v>1776</v>
      </c>
      <c r="B3" s="3" t="s">
        <v>1777</v>
      </c>
      <c r="C3" s="3">
        <v>2</v>
      </c>
      <c r="D3" s="3">
        <v>102</v>
      </c>
      <c r="E3" s="3" t="s">
        <v>1778</v>
      </c>
      <c r="F3" s="6" t="s">
        <v>1779</v>
      </c>
      <c r="G3" s="3" t="s">
        <v>1780</v>
      </c>
      <c r="H3" s="3" t="s">
        <v>1781</v>
      </c>
      <c r="I3" s="3" t="s">
        <v>1782</v>
      </c>
      <c r="J3" s="3" t="s">
        <v>1783</v>
      </c>
    </row>
    <row r="4" spans="1:10">
      <c r="A4" s="1" t="s">
        <v>1784</v>
      </c>
      <c r="B4" s="3" t="s">
        <v>1785</v>
      </c>
      <c r="C4" s="3">
        <v>3</v>
      </c>
      <c r="D4" s="3">
        <v>103</v>
      </c>
      <c r="E4" s="3" t="s">
        <v>1786</v>
      </c>
      <c r="F4" s="3" t="s">
        <v>1787</v>
      </c>
      <c r="G4" s="3" t="s">
        <v>1788</v>
      </c>
      <c r="H4" s="3" t="s">
        <v>1789</v>
      </c>
      <c r="I4" s="3" t="s">
        <v>1790</v>
      </c>
      <c r="J4" s="3" t="s">
        <v>1789</v>
      </c>
    </row>
    <row r="5" spans="1:10">
      <c r="A5" s="1" t="s">
        <v>1791</v>
      </c>
      <c r="B5" s="3" t="s">
        <v>1792</v>
      </c>
      <c r="C5" s="3">
        <v>4</v>
      </c>
      <c r="D5" s="3">
        <v>104</v>
      </c>
      <c r="E5" s="3" t="s">
        <v>1783</v>
      </c>
      <c r="F5" s="3" t="s">
        <v>1793</v>
      </c>
      <c r="G5" s="3" t="s">
        <v>1794</v>
      </c>
      <c r="H5" s="3" t="s">
        <v>1795</v>
      </c>
      <c r="I5" s="3" t="s">
        <v>1789</v>
      </c>
    </row>
    <row r="6" spans="1:10">
      <c r="A6" s="1" t="s">
        <v>1796</v>
      </c>
      <c r="B6" s="3" t="s">
        <v>1797</v>
      </c>
      <c r="C6" s="3">
        <v>5</v>
      </c>
      <c r="D6" s="3">
        <v>201</v>
      </c>
      <c r="E6" s="3" t="s">
        <v>1798</v>
      </c>
      <c r="G6" s="3" t="s">
        <v>1799</v>
      </c>
      <c r="H6" s="3" t="s">
        <v>1800</v>
      </c>
      <c r="I6" s="3" t="s">
        <v>1801</v>
      </c>
    </row>
    <row r="7" spans="1:10">
      <c r="A7" s="1" t="s">
        <v>1802</v>
      </c>
      <c r="B7" s="3" t="s">
        <v>1803</v>
      </c>
      <c r="C7" s="3">
        <v>6</v>
      </c>
      <c r="D7" s="3">
        <v>202</v>
      </c>
      <c r="E7" s="3" t="s">
        <v>1804</v>
      </c>
      <c r="G7" s="3" t="s">
        <v>1805</v>
      </c>
      <c r="I7" s="3" t="s">
        <v>1806</v>
      </c>
    </row>
    <row r="8" spans="1:10">
      <c r="A8" s="1" t="s">
        <v>1807</v>
      </c>
      <c r="B8" s="3" t="s">
        <v>1808</v>
      </c>
      <c r="C8" s="3">
        <v>7</v>
      </c>
      <c r="D8" s="3">
        <v>203</v>
      </c>
      <c r="E8" s="3" t="s">
        <v>1809</v>
      </c>
      <c r="G8" s="3"/>
      <c r="I8" s="3" t="s">
        <v>1810</v>
      </c>
    </row>
    <row r="9" spans="1:10">
      <c r="A9" s="1" t="s">
        <v>1811</v>
      </c>
      <c r="B9" s="3" t="s">
        <v>1812</v>
      </c>
      <c r="C9" s="3">
        <v>8</v>
      </c>
      <c r="D9" s="3">
        <v>204</v>
      </c>
      <c r="E9" s="3" t="s">
        <v>1813</v>
      </c>
    </row>
    <row r="10" spans="1:10">
      <c r="A10" s="1" t="s">
        <v>1814</v>
      </c>
      <c r="B10" s="3" t="s">
        <v>1815</v>
      </c>
      <c r="C10" s="3">
        <v>9</v>
      </c>
      <c r="D10" s="3">
        <v>301</v>
      </c>
      <c r="E10" s="3" t="s">
        <v>1816</v>
      </c>
    </row>
    <row r="11" spans="1:10">
      <c r="A11" s="1" t="s">
        <v>1817</v>
      </c>
      <c r="B11" s="3" t="s">
        <v>1818</v>
      </c>
      <c r="C11" s="3">
        <v>10</v>
      </c>
      <c r="D11" s="3">
        <v>302</v>
      </c>
      <c r="E11" s="3" t="s">
        <v>1819</v>
      </c>
    </row>
    <row r="12" spans="1:10">
      <c r="A12" s="1" t="s">
        <v>1820</v>
      </c>
      <c r="B12" s="3" t="s">
        <v>1821</v>
      </c>
      <c r="C12" s="3">
        <v>11</v>
      </c>
      <c r="D12" s="3">
        <v>303</v>
      </c>
      <c r="E12" s="24" t="s">
        <v>1822</v>
      </c>
    </row>
    <row r="13" spans="1:10">
      <c r="A13" s="1" t="s">
        <v>1823</v>
      </c>
      <c r="B13" s="3" t="s">
        <v>1824</v>
      </c>
      <c r="C13" s="3">
        <v>12</v>
      </c>
      <c r="D13" s="3">
        <v>304</v>
      </c>
      <c r="E13" t="s">
        <v>1825</v>
      </c>
    </row>
    <row r="14" spans="1:10">
      <c r="A14" s="1" t="s">
        <v>1826</v>
      </c>
      <c r="B14" s="3" t="s">
        <v>1827</v>
      </c>
      <c r="C14" s="3">
        <v>13</v>
      </c>
      <c r="D14" s="3">
        <v>401</v>
      </c>
      <c r="E14" s="3" t="s">
        <v>1828</v>
      </c>
    </row>
    <row r="15" spans="1:10">
      <c r="A15" s="1" t="s">
        <v>1829</v>
      </c>
      <c r="B15" s="3" t="s">
        <v>1830</v>
      </c>
      <c r="C15" s="3">
        <v>14</v>
      </c>
      <c r="D15" s="3">
        <v>402</v>
      </c>
      <c r="E15" s="3" t="s">
        <v>1787</v>
      </c>
    </row>
    <row r="16" spans="1:10">
      <c r="A16" s="1" t="s">
        <v>1831</v>
      </c>
      <c r="C16" s="3">
        <v>15</v>
      </c>
      <c r="D16" s="3">
        <v>403</v>
      </c>
      <c r="E16" s="3" t="s">
        <v>1832</v>
      </c>
    </row>
    <row r="17" spans="1:7">
      <c r="A17" s="1" t="s">
        <v>1833</v>
      </c>
      <c r="C17" s="3"/>
      <c r="D17" s="3">
        <v>404</v>
      </c>
      <c r="E17" s="3" t="s">
        <v>1834</v>
      </c>
    </row>
    <row r="18" spans="1:7">
      <c r="A18" s="1" t="s">
        <v>1835</v>
      </c>
      <c r="C18" s="3"/>
      <c r="D18" s="3">
        <v>501</v>
      </c>
      <c r="E18" s="3" t="s">
        <v>1836</v>
      </c>
    </row>
    <row r="19" spans="1:7">
      <c r="A19" s="1" t="s">
        <v>1837</v>
      </c>
      <c r="D19" s="3">
        <v>502</v>
      </c>
      <c r="E19" s="3" t="s">
        <v>1838</v>
      </c>
    </row>
    <row r="20" spans="1:7">
      <c r="A20" s="1" t="s">
        <v>1839</v>
      </c>
      <c r="D20" s="3">
        <v>503</v>
      </c>
      <c r="E20" s="3" t="s">
        <v>1840</v>
      </c>
    </row>
    <row r="21" spans="1:7">
      <c r="A21" s="1" t="s">
        <v>1841</v>
      </c>
      <c r="D21" s="3">
        <v>504</v>
      </c>
      <c r="E21" s="3" t="s">
        <v>1775</v>
      </c>
    </row>
    <row r="22" spans="1:7">
      <c r="A22" s="1" t="s">
        <v>1842</v>
      </c>
      <c r="E22" s="3" t="s">
        <v>1843</v>
      </c>
      <c r="G22" s="3"/>
    </row>
    <row r="23" spans="1:7">
      <c r="A23" s="1" t="s">
        <v>1844</v>
      </c>
      <c r="E23" s="3" t="s">
        <v>1845</v>
      </c>
    </row>
    <row r="24" spans="1:7">
      <c r="A24" s="1" t="s">
        <v>1846</v>
      </c>
    </row>
    <row r="25" spans="1:7">
      <c r="A25" s="1" t="s">
        <v>1847</v>
      </c>
      <c r="G25" s="5"/>
    </row>
    <row r="26" spans="1:7">
      <c r="A26" s="1" t="s">
        <v>1848</v>
      </c>
      <c r="G26" s="3"/>
    </row>
    <row r="27" spans="1:7">
      <c r="A27" s="1" t="s">
        <v>1849</v>
      </c>
      <c r="G27" s="3"/>
    </row>
    <row r="28" spans="1:7">
      <c r="A28" s="1" t="s">
        <v>1850</v>
      </c>
      <c r="G28" s="3"/>
    </row>
    <row r="29" spans="1:7">
      <c r="A29" s="1" t="s">
        <v>1851</v>
      </c>
      <c r="G29" s="3"/>
    </row>
    <row r="30" spans="1:7">
      <c r="A30" s="1" t="s">
        <v>1852</v>
      </c>
      <c r="G30" s="3"/>
    </row>
    <row r="31" spans="1:7">
      <c r="A31" s="1" t="s">
        <v>1853</v>
      </c>
    </row>
    <row r="32" spans="1:7">
      <c r="A32" s="1" t="s">
        <v>1854</v>
      </c>
    </row>
    <row r="33" spans="1:1">
      <c r="A33" s="1" t="s">
        <v>1855</v>
      </c>
    </row>
    <row r="34" spans="1:1">
      <c r="A34" s="1" t="s">
        <v>1856</v>
      </c>
    </row>
    <row r="35" spans="1:1">
      <c r="A35" s="1" t="s">
        <v>1857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1858</v>
      </c>
      <c r="B1" s="56" t="s">
        <v>1859</v>
      </c>
    </row>
    <row r="2" spans="1:3" ht="24.95" customHeight="1">
      <c r="A2" s="57" t="s">
        <v>1771</v>
      </c>
      <c r="B2" s="57" t="e">
        <f>COUNTIF(#REF!,'QUANT COND'!A2)</f>
        <v>#REF!</v>
      </c>
    </row>
    <row r="3" spans="1:3" ht="24.95" customHeight="1">
      <c r="A3" s="57" t="s">
        <v>1777</v>
      </c>
      <c r="B3" s="57" t="e">
        <f>COUNTIF(#REF!,'QUANT COND'!A3)</f>
        <v>#REF!</v>
      </c>
    </row>
    <row r="4" spans="1:3" ht="24.95" customHeight="1">
      <c r="A4" s="57" t="s">
        <v>1785</v>
      </c>
      <c r="B4" s="57" t="e">
        <f>COUNTIF(#REF!,'QUANT COND'!A4)</f>
        <v>#REF!</v>
      </c>
      <c r="C4" s="55"/>
    </row>
    <row r="5" spans="1:3" ht="24.95" customHeight="1">
      <c r="A5" s="57" t="s">
        <v>1792</v>
      </c>
      <c r="B5" s="57" t="e">
        <f>COUNTIF(#REF!,'QUANT COND'!A5)</f>
        <v>#REF!</v>
      </c>
    </row>
    <row r="6" spans="1:3" ht="24.95" customHeight="1">
      <c r="A6" s="57" t="s">
        <v>1797</v>
      </c>
      <c r="B6" s="57" t="e">
        <f>COUNTIF(#REF!,'QUANT COND'!A6)</f>
        <v>#REF!</v>
      </c>
    </row>
    <row r="7" spans="1:3" ht="24.95" customHeight="1">
      <c r="A7" s="57" t="s">
        <v>1803</v>
      </c>
      <c r="B7" s="57" t="e">
        <f>COUNTIF(#REF!,'QUANT COND'!A7)</f>
        <v>#REF!</v>
      </c>
    </row>
    <row r="8" spans="1:3" ht="24.95" customHeight="1">
      <c r="A8" s="57" t="s">
        <v>1808</v>
      </c>
      <c r="B8" s="57" t="e">
        <f>COUNTIF(#REF!,'QUANT COND'!A8)</f>
        <v>#REF!</v>
      </c>
    </row>
    <row r="9" spans="1:3" ht="24.95" customHeight="1">
      <c r="A9" s="57" t="s">
        <v>1812</v>
      </c>
      <c r="B9" s="57" t="e">
        <f>COUNTIF(#REF!,'QUANT COND'!A9)</f>
        <v>#REF!</v>
      </c>
    </row>
    <row r="10" spans="1:3" ht="24.95" customHeight="1">
      <c r="A10" s="57" t="s">
        <v>1815</v>
      </c>
      <c r="B10" s="57" t="e">
        <f>COUNTIF(#REF!,'QUANT COND'!A10)</f>
        <v>#REF!</v>
      </c>
    </row>
    <row r="11" spans="1:3" ht="24.95" customHeight="1">
      <c r="A11" s="57" t="s">
        <v>1818</v>
      </c>
      <c r="B11" s="57" t="e">
        <f>COUNTIF(#REF!,'QUANT COND'!A11)</f>
        <v>#REF!</v>
      </c>
    </row>
    <row r="12" spans="1:3" ht="24.95" customHeight="1">
      <c r="A12" s="57" t="s">
        <v>1821</v>
      </c>
      <c r="B12" s="57" t="e">
        <f>COUNTIF(#REF!,'QUANT COND'!A12)</f>
        <v>#REF!</v>
      </c>
    </row>
    <row r="13" spans="1:3" ht="24.95" customHeight="1">
      <c r="A13" s="57" t="s">
        <v>1824</v>
      </c>
      <c r="B13" s="57" t="e">
        <f>COUNTIF(#REF!,'QUANT COND'!A13)</f>
        <v>#REF!</v>
      </c>
    </row>
    <row r="14" spans="1:3" ht="24.95" customHeight="1">
      <c r="A14" s="57" t="s">
        <v>1827</v>
      </c>
      <c r="B14" s="57" t="e">
        <f>COUNTIF(#REF!,'QUANT COND'!A14)</f>
        <v>#REF!</v>
      </c>
    </row>
    <row r="15" spans="1:3" ht="24.95" customHeight="1">
      <c r="A15" s="57" t="s">
        <v>1830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316" t="s">
        <v>1860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8"/>
    </row>
    <row r="2" spans="1:27" ht="50.25" customHeight="1">
      <c r="A2" s="7" t="s">
        <v>47</v>
      </c>
      <c r="B2" s="7" t="s">
        <v>49</v>
      </c>
      <c r="C2" s="7" t="s">
        <v>1861</v>
      </c>
      <c r="D2" s="12" t="s">
        <v>49</v>
      </c>
      <c r="E2" s="63" t="s">
        <v>1862</v>
      </c>
      <c r="F2" s="63" t="s">
        <v>1863</v>
      </c>
      <c r="G2" s="64" t="s">
        <v>1864</v>
      </c>
      <c r="H2" s="64" t="s">
        <v>1865</v>
      </c>
      <c r="I2" s="41" t="s">
        <v>1866</v>
      </c>
      <c r="J2" s="42" t="s">
        <v>1863</v>
      </c>
      <c r="K2" s="41" t="s">
        <v>1865</v>
      </c>
      <c r="L2" s="53" t="s">
        <v>1867</v>
      </c>
      <c r="M2" s="53" t="s">
        <v>1868</v>
      </c>
      <c r="O2" s="65" t="s">
        <v>1869</v>
      </c>
      <c r="P2" s="66" t="s">
        <v>1859</v>
      </c>
      <c r="Q2" s="66" t="s">
        <v>1870</v>
      </c>
      <c r="R2" s="66" t="s">
        <v>1871</v>
      </c>
      <c r="S2" s="66" t="s">
        <v>1872</v>
      </c>
      <c r="T2" s="43" t="s">
        <v>1873</v>
      </c>
      <c r="Y2" s="45" t="s">
        <v>1874</v>
      </c>
      <c r="Z2" s="45" t="s">
        <v>1875</v>
      </c>
      <c r="AA2" s="44" t="s">
        <v>1876</v>
      </c>
    </row>
    <row r="3" spans="1:27">
      <c r="A3" s="13" t="s">
        <v>1877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1773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1878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1879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1880</v>
      </c>
      <c r="Y4" s="24">
        <v>1517</v>
      </c>
      <c r="Z4" s="24">
        <v>1427</v>
      </c>
      <c r="AA4" s="24">
        <v>1559</v>
      </c>
    </row>
    <row r="5" spans="1:27">
      <c r="A5" s="71" t="s">
        <v>1881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1773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1882</v>
      </c>
      <c r="Y5" s="24">
        <v>73</v>
      </c>
      <c r="Z5" s="24">
        <v>79</v>
      </c>
      <c r="AA5" s="24">
        <v>28</v>
      </c>
    </row>
    <row r="6" spans="1:27">
      <c r="A6" s="71" t="s">
        <v>1883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1884</v>
      </c>
      <c r="Y6" s="24">
        <v>36</v>
      </c>
      <c r="Z6" s="24">
        <v>32</v>
      </c>
      <c r="AA6" s="24">
        <v>11</v>
      </c>
    </row>
    <row r="7" spans="1:27">
      <c r="A7" s="29" t="s">
        <v>1885</v>
      </c>
      <c r="B7" s="67"/>
      <c r="C7" s="18" t="s">
        <v>1886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1887</v>
      </c>
      <c r="Y7" s="24">
        <v>224</v>
      </c>
      <c r="Z7" s="24">
        <v>275</v>
      </c>
      <c r="AA7" s="24">
        <v>17</v>
      </c>
    </row>
    <row r="8" spans="1:27">
      <c r="A8" s="71" t="s">
        <v>1888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1773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1889</v>
      </c>
      <c r="B9" s="67">
        <v>98058690597</v>
      </c>
      <c r="C9" s="72"/>
      <c r="D9" s="69"/>
      <c r="E9" s="9">
        <v>423</v>
      </c>
      <c r="F9" s="25">
        <v>43182</v>
      </c>
      <c r="G9" s="70" t="s">
        <v>1773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1890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1891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1892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1773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1893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1894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1773</v>
      </c>
      <c r="H14" s="25">
        <v>42921</v>
      </c>
      <c r="I14" s="8"/>
      <c r="J14" s="8"/>
      <c r="K14" s="8"/>
      <c r="L14" s="9" t="s">
        <v>1895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1896</v>
      </c>
      <c r="B15" s="67">
        <v>38772276860</v>
      </c>
      <c r="C15" s="18" t="s">
        <v>1897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1898</v>
      </c>
      <c r="B16" s="67">
        <v>21538837846</v>
      </c>
      <c r="C16" s="72" t="s">
        <v>1899</v>
      </c>
      <c r="D16" s="69">
        <v>94203180520</v>
      </c>
      <c r="E16" s="9">
        <v>810</v>
      </c>
      <c r="F16" s="25">
        <v>42915</v>
      </c>
      <c r="G16" s="70" t="s">
        <v>1773</v>
      </c>
      <c r="H16" s="25">
        <v>42921</v>
      </c>
      <c r="I16" s="8"/>
      <c r="J16" s="8"/>
      <c r="K16" s="8"/>
      <c r="L16" s="9" t="s">
        <v>1895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1900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1901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1773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1902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1779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1903</v>
      </c>
      <c r="B20" s="67">
        <v>18419589802</v>
      </c>
      <c r="C20" s="18" t="s">
        <v>1886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1904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1905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1773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1906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1773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1907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1773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1908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1909</v>
      </c>
      <c r="B26" s="67"/>
      <c r="C26" s="18" t="s">
        <v>1886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1910</v>
      </c>
      <c r="B27" s="67">
        <v>25894152810</v>
      </c>
      <c r="C27" s="72" t="s">
        <v>1911</v>
      </c>
      <c r="D27" s="69">
        <v>8263008808</v>
      </c>
      <c r="E27" s="9">
        <v>292</v>
      </c>
      <c r="F27" s="25">
        <v>43168</v>
      </c>
      <c r="G27" s="70" t="s">
        <v>1773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1912</v>
      </c>
      <c r="B28" s="67">
        <v>43026389587</v>
      </c>
      <c r="C28" s="72" t="s">
        <v>1913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1914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1779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1915</v>
      </c>
      <c r="B30" s="67">
        <v>36531080809</v>
      </c>
      <c r="C30" s="72" t="s">
        <v>1916</v>
      </c>
      <c r="D30" s="69">
        <v>22485483892</v>
      </c>
      <c r="E30" s="9">
        <v>1489</v>
      </c>
      <c r="F30" s="25">
        <v>43038</v>
      </c>
      <c r="G30" s="70" t="s">
        <v>1773</v>
      </c>
      <c r="H30" s="9"/>
      <c r="I30" s="8"/>
      <c r="J30" s="8"/>
      <c r="K30" s="8"/>
      <c r="L30" s="9" t="s">
        <v>1917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1918</v>
      </c>
      <c r="B31" s="67">
        <v>28147186819</v>
      </c>
      <c r="C31" s="72" t="s">
        <v>1919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1920</v>
      </c>
      <c r="B32" s="67">
        <v>37559228860</v>
      </c>
      <c r="C32" s="72" t="s">
        <v>1921</v>
      </c>
      <c r="D32" s="69">
        <v>28072024892</v>
      </c>
      <c r="E32" s="9">
        <v>1555</v>
      </c>
      <c r="F32" s="25">
        <v>43049</v>
      </c>
      <c r="G32" s="9" t="s">
        <v>1773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1922</v>
      </c>
      <c r="B33" s="67">
        <v>23635229822</v>
      </c>
      <c r="C33" s="72" t="s">
        <v>1923</v>
      </c>
      <c r="D33" s="69">
        <v>21668057875</v>
      </c>
      <c r="E33" s="9">
        <v>262</v>
      </c>
      <c r="F33" s="25">
        <v>43160</v>
      </c>
      <c r="G33" s="70" t="s">
        <v>1773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1924</v>
      </c>
      <c r="B34" s="67"/>
      <c r="C34" s="29" t="s">
        <v>1886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1925</v>
      </c>
      <c r="B35" s="67">
        <v>40902634844</v>
      </c>
      <c r="C35" s="72" t="s">
        <v>1926</v>
      </c>
      <c r="D35" s="69">
        <v>23795007895</v>
      </c>
      <c r="E35" s="9">
        <v>117</v>
      </c>
      <c r="F35" s="25">
        <v>43117</v>
      </c>
      <c r="G35" s="70" t="s">
        <v>1773</v>
      </c>
      <c r="H35" s="25">
        <v>43151</v>
      </c>
      <c r="I35" s="8"/>
      <c r="J35" s="8"/>
      <c r="K35" s="8"/>
      <c r="L35" s="9" t="s">
        <v>1927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1928</v>
      </c>
      <c r="B36" s="67">
        <v>39615629898</v>
      </c>
      <c r="C36" s="72" t="s">
        <v>1929</v>
      </c>
      <c r="D36" s="69">
        <v>43328275894</v>
      </c>
      <c r="E36" s="9">
        <v>423</v>
      </c>
      <c r="F36" s="25">
        <v>43182</v>
      </c>
      <c r="G36" s="70" t="s">
        <v>1773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1930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1931</v>
      </c>
      <c r="B38" s="67"/>
      <c r="C38" s="29" t="s">
        <v>1932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1933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1773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1934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1773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1935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1773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1936</v>
      </c>
      <c r="B42" s="67">
        <v>10201704412</v>
      </c>
      <c r="C42" s="72" t="s">
        <v>1937</v>
      </c>
      <c r="D42" s="69">
        <v>33674895811</v>
      </c>
      <c r="E42" s="9">
        <v>262</v>
      </c>
      <c r="F42" s="25">
        <v>43160</v>
      </c>
      <c r="G42" s="70" t="s">
        <v>1773</v>
      </c>
      <c r="H42" s="25">
        <v>43164</v>
      </c>
      <c r="I42" s="8"/>
      <c r="J42" s="8"/>
      <c r="K42" s="8"/>
      <c r="L42" s="9">
        <v>255</v>
      </c>
      <c r="M42" s="8"/>
      <c r="O42" s="66" t="s">
        <v>1938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1939</v>
      </c>
      <c r="B43" s="67">
        <v>35271487873</v>
      </c>
      <c r="C43" s="68" t="s">
        <v>1940</v>
      </c>
      <c r="D43" s="69">
        <v>557351502</v>
      </c>
      <c r="E43" s="9">
        <v>1128</v>
      </c>
      <c r="F43" s="25">
        <v>42972</v>
      </c>
      <c r="G43" s="70" t="s">
        <v>1773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1941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1773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1942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1943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1773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1944</v>
      </c>
      <c r="B47" s="67">
        <v>31801479895</v>
      </c>
      <c r="C47" s="72" t="s">
        <v>1945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1946</v>
      </c>
      <c r="B48" s="67">
        <v>28638653824</v>
      </c>
      <c r="C48" s="72" t="s">
        <v>1947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1948</v>
      </c>
      <c r="B49" s="67">
        <v>17766101807</v>
      </c>
      <c r="C49" s="72" t="s">
        <v>1949</v>
      </c>
      <c r="D49" s="69">
        <v>31993041842</v>
      </c>
      <c r="E49" s="9">
        <v>1824</v>
      </c>
      <c r="F49" s="25">
        <v>43091</v>
      </c>
      <c r="G49" s="70" t="s">
        <v>1773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1950</v>
      </c>
      <c r="B50" s="67">
        <v>17902799840</v>
      </c>
      <c r="C50" s="72" t="s">
        <v>1951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1952</v>
      </c>
      <c r="B51" s="67">
        <v>49122403892</v>
      </c>
      <c r="C51" s="75" t="s">
        <v>1953</v>
      </c>
      <c r="D51" s="69">
        <v>1478139560</v>
      </c>
      <c r="E51" s="9">
        <v>608</v>
      </c>
      <c r="F51" s="25">
        <v>43012</v>
      </c>
      <c r="G51" s="70" t="s">
        <v>1773</v>
      </c>
      <c r="H51" s="25">
        <v>43024</v>
      </c>
      <c r="I51" s="8"/>
      <c r="J51" s="8"/>
      <c r="K51" s="8"/>
      <c r="L51" s="8"/>
      <c r="M51" s="8"/>
      <c r="O51" s="315" t="s">
        <v>1954</v>
      </c>
      <c r="P51" s="315"/>
      <c r="Q51" s="315"/>
      <c r="R51" s="315"/>
      <c r="S51" s="315"/>
      <c r="T51" s="315"/>
      <c r="U51" s="315"/>
    </row>
    <row r="52" spans="1:21">
      <c r="A52" s="13" t="s">
        <v>1955</v>
      </c>
      <c r="B52" s="67">
        <v>37534302854</v>
      </c>
      <c r="C52" s="71" t="s">
        <v>1956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1957</v>
      </c>
      <c r="B53" s="67">
        <v>14699996841</v>
      </c>
      <c r="C53" s="68" t="s">
        <v>1958</v>
      </c>
      <c r="D53" s="69">
        <v>15089706883</v>
      </c>
      <c r="E53" s="9">
        <v>1128</v>
      </c>
      <c r="F53" s="25">
        <v>42972</v>
      </c>
      <c r="G53" s="70" t="s">
        <v>1773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1959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1960</v>
      </c>
      <c r="B55" s="67">
        <v>40396239838</v>
      </c>
      <c r="C55" s="72" t="s">
        <v>1961</v>
      </c>
      <c r="D55" s="69">
        <v>39420747883</v>
      </c>
      <c r="E55" s="9">
        <v>262</v>
      </c>
      <c r="F55" s="25">
        <v>43160</v>
      </c>
      <c r="G55" s="70" t="s">
        <v>1773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1962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1773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1963</v>
      </c>
      <c r="B57" s="67">
        <v>38781151802</v>
      </c>
      <c r="C57" s="18" t="s">
        <v>1886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1964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1965</v>
      </c>
      <c r="B59" s="67">
        <v>2428277219</v>
      </c>
      <c r="C59" s="72" t="s">
        <v>1966</v>
      </c>
      <c r="D59" s="69">
        <v>909805229</v>
      </c>
      <c r="E59" s="9">
        <v>810</v>
      </c>
      <c r="F59" s="25">
        <v>42915</v>
      </c>
      <c r="G59" s="70" t="s">
        <v>1773</v>
      </c>
      <c r="H59" s="25">
        <v>42921</v>
      </c>
      <c r="I59" s="8"/>
      <c r="J59" s="8"/>
      <c r="K59" s="8"/>
      <c r="L59" s="9" t="s">
        <v>1895</v>
      </c>
      <c r="M59" s="8"/>
    </row>
    <row r="60" spans="1:21">
      <c r="A60" s="71" t="s">
        <v>1967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1968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1773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1969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1970</v>
      </c>
      <c r="B63" s="67">
        <v>3722493889</v>
      </c>
      <c r="C63" s="72" t="s">
        <v>1971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1972</v>
      </c>
      <c r="B64" s="67">
        <v>14519340845</v>
      </c>
      <c r="C64" s="72" t="s">
        <v>1973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1974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1975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1976</v>
      </c>
      <c r="B67" s="67">
        <v>36392955879</v>
      </c>
      <c r="C67" s="72" t="s">
        <v>1977</v>
      </c>
      <c r="D67" s="69">
        <v>5242864346</v>
      </c>
      <c r="E67" s="9">
        <v>117</v>
      </c>
      <c r="F67" s="25">
        <v>43117</v>
      </c>
      <c r="G67" s="70" t="s">
        <v>1773</v>
      </c>
      <c r="H67" s="25">
        <v>43151</v>
      </c>
      <c r="I67" s="8"/>
      <c r="J67" s="8"/>
      <c r="K67" s="8"/>
      <c r="L67" s="9" t="s">
        <v>1927</v>
      </c>
      <c r="M67" s="8"/>
    </row>
    <row r="68" spans="1:13">
      <c r="A68" s="71" t="s">
        <v>1978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1773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1979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1980</v>
      </c>
      <c r="B70" s="67">
        <v>9882942490</v>
      </c>
      <c r="C70" s="18" t="s">
        <v>1981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1982</v>
      </c>
      <c r="B71" s="67">
        <v>14777572870</v>
      </c>
      <c r="C71" s="72" t="s">
        <v>1983</v>
      </c>
      <c r="D71" s="69">
        <v>12874739898</v>
      </c>
      <c r="E71" s="9">
        <v>1824</v>
      </c>
      <c r="F71" s="25">
        <v>43091</v>
      </c>
      <c r="G71" s="70" t="s">
        <v>1773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1984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1985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1773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1986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1773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1987</v>
      </c>
      <c r="B75" s="67">
        <v>26940268855</v>
      </c>
      <c r="C75" s="18" t="s">
        <v>1988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1989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1773</v>
      </c>
      <c r="H76" s="9"/>
      <c r="I76" s="8"/>
      <c r="J76" s="8"/>
      <c r="K76" s="8"/>
      <c r="L76" s="9" t="s">
        <v>1917</v>
      </c>
      <c r="M76" s="8"/>
    </row>
    <row r="77" spans="1:13">
      <c r="A77" s="15" t="s">
        <v>1990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1773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1991</v>
      </c>
      <c r="B78" s="67">
        <v>42352732808</v>
      </c>
      <c r="C78" s="72" t="s">
        <v>1992</v>
      </c>
      <c r="D78" s="69">
        <v>281893373</v>
      </c>
      <c r="E78" s="9">
        <v>1214</v>
      </c>
      <c r="F78" s="25">
        <v>42989</v>
      </c>
      <c r="G78" s="70" t="s">
        <v>1773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1993</v>
      </c>
      <c r="B79" s="67">
        <v>13480043801</v>
      </c>
      <c r="C79" s="18" t="s">
        <v>1994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1995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1773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1996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1773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1997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1773</v>
      </c>
      <c r="H82" s="9"/>
      <c r="I82" s="8"/>
      <c r="J82" s="8"/>
      <c r="K82" s="8"/>
      <c r="L82" s="9">
        <v>232</v>
      </c>
      <c r="M82" s="8"/>
    </row>
    <row r="83" spans="1:13">
      <c r="A83" s="18" t="s">
        <v>1998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1999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2000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2001</v>
      </c>
      <c r="B86" s="67">
        <v>43053250802</v>
      </c>
      <c r="C86" s="68" t="s">
        <v>2002</v>
      </c>
      <c r="D86" s="69">
        <v>35893147880</v>
      </c>
      <c r="E86" s="9">
        <v>1128</v>
      </c>
      <c r="F86" s="25">
        <v>42972</v>
      </c>
      <c r="G86" s="70" t="s">
        <v>1773</v>
      </c>
      <c r="H86" s="9"/>
      <c r="I86" s="8"/>
      <c r="J86" s="8"/>
      <c r="K86" s="8"/>
      <c r="L86" s="8"/>
      <c r="M86" s="8"/>
    </row>
    <row r="87" spans="1:13">
      <c r="A87" s="71" t="s">
        <v>2003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1773</v>
      </c>
      <c r="H87" s="9"/>
      <c r="I87" s="8"/>
      <c r="J87" s="8"/>
      <c r="K87" s="8"/>
      <c r="L87" s="9">
        <v>318</v>
      </c>
      <c r="M87" s="8"/>
    </row>
    <row r="88" spans="1:13">
      <c r="A88" s="73" t="s">
        <v>2004</v>
      </c>
      <c r="B88" s="67">
        <v>33617584837</v>
      </c>
      <c r="C88" s="72" t="s">
        <v>2005</v>
      </c>
      <c r="D88" s="69">
        <v>26520094862</v>
      </c>
      <c r="E88" s="9">
        <v>608</v>
      </c>
      <c r="F88" s="25">
        <v>43012</v>
      </c>
      <c r="G88" s="70" t="s">
        <v>1773</v>
      </c>
      <c r="H88" s="9"/>
      <c r="I88" s="8"/>
      <c r="J88" s="8"/>
      <c r="K88" s="8"/>
      <c r="L88" s="8"/>
      <c r="M88" s="8"/>
    </row>
    <row r="89" spans="1:13">
      <c r="A89" s="14" t="s">
        <v>2006</v>
      </c>
      <c r="B89" s="67">
        <v>38168161858</v>
      </c>
      <c r="C89" s="72" t="s">
        <v>2007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2008</v>
      </c>
      <c r="B90" s="67">
        <v>38728353862</v>
      </c>
      <c r="C90" s="72" t="s">
        <v>2009</v>
      </c>
      <c r="D90" s="69">
        <v>37650358828</v>
      </c>
      <c r="E90" s="9">
        <v>1417</v>
      </c>
      <c r="F90" s="25">
        <v>43017</v>
      </c>
      <c r="G90" s="70" t="s">
        <v>1773</v>
      </c>
      <c r="H90" s="9"/>
      <c r="I90" s="8"/>
      <c r="J90" s="8"/>
      <c r="K90" s="8"/>
      <c r="L90" s="9" t="s">
        <v>2010</v>
      </c>
      <c r="M90" s="8"/>
    </row>
    <row r="91" spans="1:13">
      <c r="A91" s="15" t="s">
        <v>2011</v>
      </c>
      <c r="B91" s="67">
        <v>29479419858</v>
      </c>
      <c r="C91" s="72" t="s">
        <v>2012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2013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2014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1773</v>
      </c>
      <c r="H93" s="9"/>
      <c r="I93" s="8"/>
      <c r="J93" s="8"/>
      <c r="K93" s="8"/>
      <c r="L93" s="8"/>
      <c r="M93" s="8"/>
    </row>
    <row r="94" spans="1:13">
      <c r="A94" s="15" t="s">
        <v>2015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1773</v>
      </c>
      <c r="H94" s="9"/>
      <c r="I94" s="8"/>
      <c r="J94" s="8"/>
      <c r="K94" s="8"/>
      <c r="L94" s="9">
        <v>232</v>
      </c>
      <c r="M94" s="8"/>
    </row>
    <row r="95" spans="1:13">
      <c r="A95" s="72" t="s">
        <v>2016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2017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1773</v>
      </c>
      <c r="H96" s="9"/>
      <c r="I96" s="8"/>
      <c r="J96" s="8"/>
      <c r="K96" s="8"/>
      <c r="L96" s="9" t="s">
        <v>1917</v>
      </c>
      <c r="M96" s="8"/>
    </row>
    <row r="97" spans="1:13">
      <c r="A97" s="71" t="s">
        <v>2018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1773</v>
      </c>
      <c r="H97" s="9"/>
      <c r="I97" s="8"/>
      <c r="J97" s="8"/>
      <c r="K97" s="8"/>
      <c r="L97" s="8"/>
      <c r="M97" s="8"/>
    </row>
    <row r="98" spans="1:13">
      <c r="A98" s="29" t="s">
        <v>2019</v>
      </c>
      <c r="B98" s="67">
        <v>3317260505</v>
      </c>
      <c r="C98" s="29" t="s">
        <v>2020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2021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1773</v>
      </c>
      <c r="H99" s="9"/>
      <c r="I99" s="8"/>
      <c r="J99" s="8"/>
      <c r="K99" s="8"/>
      <c r="L99" s="8"/>
      <c r="M99" s="8"/>
    </row>
    <row r="100" spans="1:13">
      <c r="A100" s="15" t="s">
        <v>2022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1773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2023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1773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2024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1773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2025</v>
      </c>
      <c r="B103" s="67"/>
      <c r="C103" s="18" t="s">
        <v>1886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2026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1773</v>
      </c>
      <c r="H104" s="9"/>
      <c r="I104" s="8"/>
      <c r="J104" s="8"/>
      <c r="K104" s="8"/>
      <c r="L104" s="8"/>
      <c r="M104" s="8"/>
    </row>
    <row r="105" spans="1:13">
      <c r="A105" s="71" t="s">
        <v>2027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1773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2028</v>
      </c>
      <c r="B106" s="67">
        <v>40823037827</v>
      </c>
      <c r="C106" s="72" t="s">
        <v>2029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2030</v>
      </c>
      <c r="B107" s="67">
        <v>54215625491</v>
      </c>
      <c r="C107" s="18" t="s">
        <v>2031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2032</v>
      </c>
      <c r="B108" s="67">
        <v>8424740807</v>
      </c>
      <c r="C108" s="18" t="s">
        <v>1886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2033</v>
      </c>
      <c r="B109" s="67">
        <v>78495857472</v>
      </c>
      <c r="C109" s="72" t="s">
        <v>2034</v>
      </c>
      <c r="D109" s="69">
        <v>148572863</v>
      </c>
      <c r="E109" s="9">
        <v>1752</v>
      </c>
      <c r="F109" s="25">
        <v>43051</v>
      </c>
      <c r="G109" s="70" t="s">
        <v>1773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2035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2036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1773</v>
      </c>
      <c r="H111" s="9"/>
      <c r="I111" s="8"/>
      <c r="J111" s="8"/>
      <c r="K111" s="8"/>
      <c r="L111" s="8"/>
      <c r="M111" s="8"/>
    </row>
    <row r="112" spans="1:13">
      <c r="A112" s="71" t="s">
        <v>2037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2038</v>
      </c>
      <c r="B113" s="67">
        <v>44444325860</v>
      </c>
      <c r="C113" s="72" t="s">
        <v>2039</v>
      </c>
      <c r="D113" s="69">
        <v>36636133805</v>
      </c>
      <c r="E113" s="9">
        <v>292</v>
      </c>
      <c r="F113" s="25">
        <v>43168</v>
      </c>
      <c r="G113" s="70" t="s">
        <v>1773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2040</v>
      </c>
      <c r="B114" s="67">
        <v>39701017862</v>
      </c>
      <c r="C114" s="72" t="s">
        <v>2041</v>
      </c>
      <c r="D114" s="69">
        <v>38933316892</v>
      </c>
      <c r="E114" s="9">
        <v>1350</v>
      </c>
      <c r="F114" s="25">
        <v>43006</v>
      </c>
      <c r="G114" s="70" t="s">
        <v>1773</v>
      </c>
      <c r="H114" s="9"/>
      <c r="I114" s="8"/>
      <c r="J114" s="8"/>
      <c r="K114" s="8"/>
      <c r="L114" s="8"/>
      <c r="M114" s="8"/>
    </row>
    <row r="115" spans="1:13">
      <c r="A115" s="71" t="s">
        <v>2042</v>
      </c>
      <c r="B115" s="67">
        <v>40003107809</v>
      </c>
      <c r="C115" s="72" t="s">
        <v>2043</v>
      </c>
      <c r="D115" s="69">
        <v>37929345823</v>
      </c>
      <c r="E115" s="9">
        <v>262</v>
      </c>
      <c r="F115" s="25">
        <v>43160</v>
      </c>
      <c r="G115" s="70" t="s">
        <v>1773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2044</v>
      </c>
      <c r="B116" s="67">
        <v>38786146831</v>
      </c>
      <c r="C116" s="29" t="s">
        <v>2045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2046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1787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2047</v>
      </c>
      <c r="B118" s="67">
        <v>3486705598</v>
      </c>
      <c r="C118" s="72" t="s">
        <v>2048</v>
      </c>
      <c r="D118" s="69">
        <v>3581817551</v>
      </c>
      <c r="E118" s="9">
        <v>1752</v>
      </c>
      <c r="F118" s="25">
        <v>43051</v>
      </c>
      <c r="G118" s="70" t="s">
        <v>1773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2049</v>
      </c>
      <c r="B119" s="67">
        <v>37051125893</v>
      </c>
      <c r="C119" s="72" t="s">
        <v>2050</v>
      </c>
      <c r="D119" s="69">
        <v>4303791458</v>
      </c>
      <c r="E119" s="9">
        <v>292</v>
      </c>
      <c r="F119" s="25">
        <v>43168</v>
      </c>
      <c r="G119" s="9" t="s">
        <v>1773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2051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2052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2053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1773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2054</v>
      </c>
      <c r="B123" s="67">
        <v>33879586845</v>
      </c>
      <c r="C123" s="77" t="s">
        <v>2055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2056</v>
      </c>
      <c r="M123" s="8"/>
    </row>
    <row r="124" spans="1:13">
      <c r="A124" s="72" t="s">
        <v>2057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2058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2059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1773</v>
      </c>
      <c r="H126" s="9"/>
      <c r="I126" s="8"/>
      <c r="J126" s="8"/>
      <c r="K126" s="8"/>
      <c r="L126" s="8"/>
      <c r="M126" s="8"/>
    </row>
    <row r="127" spans="1:13">
      <c r="A127" s="72" t="s">
        <v>2060</v>
      </c>
      <c r="B127" s="67">
        <v>15401963807</v>
      </c>
      <c r="C127" s="72" t="s">
        <v>2061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2062</v>
      </c>
      <c r="B128" s="67">
        <v>2022016351</v>
      </c>
      <c r="C128" s="72" t="s">
        <v>2063</v>
      </c>
      <c r="D128" s="69">
        <v>84914270315</v>
      </c>
      <c r="E128" s="9">
        <v>1106</v>
      </c>
      <c r="F128" s="25">
        <v>42965</v>
      </c>
      <c r="G128" s="70" t="s">
        <v>1773</v>
      </c>
      <c r="H128" s="9"/>
      <c r="I128" s="8"/>
      <c r="J128" s="8"/>
      <c r="K128" s="8"/>
      <c r="L128" s="8"/>
      <c r="M128" s="8"/>
    </row>
    <row r="129" spans="1:13">
      <c r="A129" s="71" t="s">
        <v>2064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2065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2066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1773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2067</v>
      </c>
      <c r="B132" s="67">
        <v>1860886558</v>
      </c>
      <c r="C132" s="72" t="s">
        <v>2068</v>
      </c>
      <c r="D132" s="69">
        <v>35132798845</v>
      </c>
      <c r="E132" s="9">
        <v>229</v>
      </c>
      <c r="F132" s="25">
        <v>43151</v>
      </c>
      <c r="G132" s="70" t="s">
        <v>1773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2069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1773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2070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2071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2072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1773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2073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1773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2074</v>
      </c>
      <c r="B138" s="67">
        <v>42262731845</v>
      </c>
      <c r="C138" s="72" t="s">
        <v>2075</v>
      </c>
      <c r="D138" s="69">
        <v>34728432840</v>
      </c>
      <c r="E138" s="9">
        <v>1824</v>
      </c>
      <c r="F138" s="25">
        <v>43091</v>
      </c>
      <c r="G138" s="70" t="s">
        <v>1773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2076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1773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2077</v>
      </c>
      <c r="B140" s="67">
        <v>41446773892</v>
      </c>
      <c r="C140" s="72" t="s">
        <v>2078</v>
      </c>
      <c r="D140" s="69">
        <v>38180353850</v>
      </c>
      <c r="E140" s="9">
        <v>292</v>
      </c>
      <c r="F140" s="25">
        <v>43168</v>
      </c>
      <c r="G140" s="9" t="s">
        <v>1773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2079</v>
      </c>
      <c r="B141" s="67">
        <v>1436459354</v>
      </c>
      <c r="C141" s="72" t="s">
        <v>2080</v>
      </c>
      <c r="D141" s="69">
        <v>4149263310</v>
      </c>
      <c r="E141" s="9">
        <v>229</v>
      </c>
      <c r="F141" s="25">
        <v>43151</v>
      </c>
      <c r="G141" s="70" t="s">
        <v>1773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2081</v>
      </c>
      <c r="B142" s="67">
        <v>39953063818</v>
      </c>
      <c r="C142" s="29" t="s">
        <v>2082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2083</v>
      </c>
      <c r="B143" s="80">
        <v>15371893873</v>
      </c>
      <c r="C143" s="81" t="s">
        <v>2084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2085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1773</v>
      </c>
      <c r="H144" s="9"/>
      <c r="I144" s="8"/>
      <c r="J144" s="8"/>
      <c r="K144" s="8"/>
      <c r="L144" s="9" t="s">
        <v>1895</v>
      </c>
      <c r="M144" s="8"/>
    </row>
    <row r="145" spans="1:13">
      <c r="A145" s="73" t="s">
        <v>2086</v>
      </c>
      <c r="B145" s="67">
        <v>50773453334</v>
      </c>
      <c r="C145" s="72" t="s">
        <v>2087</v>
      </c>
      <c r="D145" s="69">
        <v>51551365391</v>
      </c>
      <c r="E145" s="9">
        <v>1106</v>
      </c>
      <c r="F145" s="25">
        <v>42965</v>
      </c>
      <c r="G145" s="70" t="s">
        <v>1779</v>
      </c>
      <c r="H145" s="9"/>
      <c r="I145" s="8"/>
      <c r="J145" s="8"/>
      <c r="K145" s="8"/>
      <c r="L145" s="8"/>
      <c r="M145" s="8"/>
    </row>
    <row r="146" spans="1:13">
      <c r="A146" s="71" t="s">
        <v>2088</v>
      </c>
      <c r="B146" s="67">
        <v>37805884803</v>
      </c>
      <c r="C146" s="72" t="s">
        <v>2089</v>
      </c>
      <c r="D146" s="69">
        <v>35792474842</v>
      </c>
      <c r="E146" s="9">
        <v>262</v>
      </c>
      <c r="F146" s="25">
        <v>43160</v>
      </c>
      <c r="G146" s="9" t="s">
        <v>1773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2090</v>
      </c>
      <c r="B147" s="67">
        <v>38072219804</v>
      </c>
      <c r="C147" s="72" t="s">
        <v>2091</v>
      </c>
      <c r="D147" s="69">
        <v>37125330800</v>
      </c>
      <c r="E147" s="9">
        <v>292</v>
      </c>
      <c r="F147" s="25">
        <v>43168</v>
      </c>
      <c r="G147" s="70" t="s">
        <v>1773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2092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1773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2093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2094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1773</v>
      </c>
      <c r="H150" s="9"/>
      <c r="I150" s="8"/>
      <c r="J150" s="8"/>
      <c r="K150" s="8"/>
      <c r="L150" s="8"/>
      <c r="M150" s="8"/>
    </row>
    <row r="151" spans="1:13">
      <c r="A151" s="72" t="s">
        <v>2095</v>
      </c>
      <c r="B151" s="67">
        <v>31476352879</v>
      </c>
      <c r="C151" s="72" t="s">
        <v>2096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2097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1773</v>
      </c>
      <c r="H152" s="9"/>
      <c r="I152" s="8"/>
      <c r="J152" s="8"/>
      <c r="K152" s="8"/>
      <c r="L152" s="8"/>
      <c r="M152" s="8"/>
    </row>
    <row r="153" spans="1:13">
      <c r="A153" s="71" t="s">
        <v>2098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1773</v>
      </c>
      <c r="H153" s="9"/>
      <c r="I153" s="8"/>
      <c r="J153" s="8"/>
      <c r="K153" s="8"/>
      <c r="L153" s="8"/>
      <c r="M153" s="8"/>
    </row>
    <row r="154" spans="1:13">
      <c r="A154" s="71" t="s">
        <v>2099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2100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2101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2102</v>
      </c>
      <c r="B157" s="67">
        <v>86665944468</v>
      </c>
      <c r="C157" s="72" t="s">
        <v>2103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2104</v>
      </c>
      <c r="B158" s="67">
        <v>39747831805</v>
      </c>
      <c r="C158" s="72" t="s">
        <v>2105</v>
      </c>
      <c r="D158" s="69">
        <v>1202056458</v>
      </c>
      <c r="E158" s="9">
        <v>292</v>
      </c>
      <c r="F158" s="25">
        <v>43168</v>
      </c>
      <c r="G158" s="70" t="s">
        <v>1773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2106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1773</v>
      </c>
      <c r="H159" s="9"/>
      <c r="I159" s="8"/>
      <c r="J159" s="8"/>
      <c r="K159" s="8"/>
      <c r="L159" s="8"/>
      <c r="M159" s="8"/>
    </row>
    <row r="160" spans="1:13">
      <c r="A160" s="29" t="s">
        <v>2107</v>
      </c>
      <c r="B160" s="67"/>
      <c r="C160" s="29" t="s">
        <v>2108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2109</v>
      </c>
      <c r="B161" s="67">
        <v>38107907884</v>
      </c>
      <c r="C161" s="72" t="s">
        <v>2110</v>
      </c>
      <c r="D161" s="69">
        <v>8669747685</v>
      </c>
      <c r="E161" s="9">
        <v>117</v>
      </c>
      <c r="F161" s="25">
        <v>43117</v>
      </c>
      <c r="G161" s="70" t="s">
        <v>1773</v>
      </c>
      <c r="H161" s="9"/>
      <c r="I161" s="8"/>
      <c r="J161" s="8"/>
      <c r="K161" s="8"/>
      <c r="L161" s="9" t="s">
        <v>1927</v>
      </c>
      <c r="M161" s="8"/>
    </row>
    <row r="162" spans="1:13">
      <c r="A162" s="29" t="s">
        <v>2111</v>
      </c>
      <c r="B162" s="67">
        <v>24759436880</v>
      </c>
      <c r="C162" s="29" t="s">
        <v>2112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2113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1773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2114</v>
      </c>
      <c r="B164" s="67">
        <v>22537971892</v>
      </c>
      <c r="C164" s="29" t="s">
        <v>2115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2116</v>
      </c>
      <c r="B165" s="67">
        <v>31362502812</v>
      </c>
      <c r="C165" s="72" t="s">
        <v>2117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2118</v>
      </c>
      <c r="B166" s="67">
        <v>4625640539</v>
      </c>
      <c r="C166" s="18" t="s">
        <v>2119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2120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1773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2121</v>
      </c>
      <c r="B168" s="67">
        <v>22234108802</v>
      </c>
      <c r="C168" s="72" t="s">
        <v>2122</v>
      </c>
      <c r="D168" s="69"/>
      <c r="E168" s="9"/>
      <c r="F168" s="25"/>
      <c r="G168" s="70" t="s">
        <v>1773</v>
      </c>
      <c r="H168" s="9"/>
      <c r="I168" s="8"/>
      <c r="J168" s="8"/>
      <c r="K168" s="8"/>
      <c r="L168" s="8"/>
      <c r="M168" s="8"/>
    </row>
    <row r="169" spans="1:13">
      <c r="A169" s="30" t="s">
        <v>2123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2124</v>
      </c>
      <c r="B170" s="67">
        <v>182316599</v>
      </c>
      <c r="C170" s="72" t="s">
        <v>2125</v>
      </c>
      <c r="D170" s="69">
        <v>73673560549</v>
      </c>
      <c r="E170" s="9">
        <v>292</v>
      </c>
      <c r="F170" s="25">
        <v>43168</v>
      </c>
      <c r="G170" s="9" t="s">
        <v>1773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2126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1773</v>
      </c>
      <c r="H171" s="9"/>
      <c r="I171" s="8">
        <v>117</v>
      </c>
      <c r="J171" s="26">
        <v>43117</v>
      </c>
      <c r="K171" s="26">
        <v>43151</v>
      </c>
      <c r="L171" s="9" t="s">
        <v>2010</v>
      </c>
      <c r="M171" s="26"/>
    </row>
    <row r="172" spans="1:13">
      <c r="A172" s="71" t="s">
        <v>2127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1773</v>
      </c>
      <c r="H172" s="9"/>
      <c r="I172" s="8"/>
      <c r="J172" s="8"/>
      <c r="K172" s="8"/>
      <c r="L172" s="8"/>
      <c r="M172" s="8"/>
    </row>
    <row r="173" spans="1:13">
      <c r="A173" s="71" t="s">
        <v>2128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1773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2129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2130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1773</v>
      </c>
      <c r="H175" s="9"/>
      <c r="I175" s="8"/>
      <c r="J175" s="8"/>
      <c r="K175" s="8"/>
      <c r="L175" s="8"/>
      <c r="M175" s="8"/>
    </row>
    <row r="176" spans="1:13">
      <c r="A176" s="71" t="s">
        <v>2131</v>
      </c>
      <c r="B176" s="67">
        <v>36777190899</v>
      </c>
      <c r="C176" s="72" t="s">
        <v>2132</v>
      </c>
      <c r="D176" s="69">
        <v>37104057854</v>
      </c>
      <c r="E176" s="9">
        <v>810</v>
      </c>
      <c r="F176" s="25">
        <v>42915</v>
      </c>
      <c r="G176" s="70" t="s">
        <v>1773</v>
      </c>
      <c r="H176" s="9"/>
      <c r="I176" s="8"/>
      <c r="J176" s="8"/>
      <c r="K176" s="8"/>
      <c r="L176" s="9" t="s">
        <v>1895</v>
      </c>
      <c r="M176" s="8"/>
    </row>
    <row r="177" spans="1:13">
      <c r="A177" s="15" t="s">
        <v>2133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1773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2134</v>
      </c>
      <c r="B178" s="67">
        <v>32428102877</v>
      </c>
      <c r="C178" s="72" t="s">
        <v>2135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2136</v>
      </c>
      <c r="B179" s="67">
        <v>28640229821</v>
      </c>
      <c r="C179" s="72" t="s">
        <v>2137</v>
      </c>
      <c r="D179" s="69">
        <v>7752420808</v>
      </c>
      <c r="E179" s="9">
        <v>1106</v>
      </c>
      <c r="F179" s="25">
        <v>42965</v>
      </c>
      <c r="G179" s="70" t="s">
        <v>1773</v>
      </c>
      <c r="H179" s="9"/>
      <c r="I179" s="8"/>
      <c r="J179" s="8"/>
      <c r="K179" s="8"/>
      <c r="L179" s="8"/>
      <c r="M179" s="8"/>
    </row>
    <row r="180" spans="1:13">
      <c r="A180" s="77" t="s">
        <v>2138</v>
      </c>
      <c r="B180" s="67">
        <v>38122976808</v>
      </c>
      <c r="C180" s="29" t="s">
        <v>2139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2140</v>
      </c>
      <c r="B181" s="67">
        <v>41494645882</v>
      </c>
      <c r="C181" s="72" t="s">
        <v>2141</v>
      </c>
      <c r="D181" s="69">
        <v>23413130862</v>
      </c>
      <c r="E181" s="9">
        <v>1824</v>
      </c>
      <c r="F181" s="25">
        <v>43091</v>
      </c>
      <c r="G181" s="70" t="s">
        <v>1773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2142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1773</v>
      </c>
      <c r="H182" s="9"/>
      <c r="I182" s="8"/>
      <c r="J182" s="8"/>
      <c r="K182" s="8"/>
      <c r="L182" s="8"/>
      <c r="M182" s="8"/>
    </row>
    <row r="183" spans="1:13">
      <c r="A183" s="71" t="s">
        <v>2143</v>
      </c>
      <c r="B183" s="67">
        <v>32882437846</v>
      </c>
      <c r="C183" s="77" t="s">
        <v>2144</v>
      </c>
      <c r="D183" s="69" t="s">
        <v>2145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2146</v>
      </c>
      <c r="B184" s="67">
        <v>40733908802</v>
      </c>
      <c r="C184" s="72" t="s">
        <v>2147</v>
      </c>
      <c r="D184" s="69"/>
      <c r="E184" s="9">
        <v>1128</v>
      </c>
      <c r="F184" s="25">
        <v>42972</v>
      </c>
      <c r="G184" s="70" t="s">
        <v>1773</v>
      </c>
      <c r="H184" s="9"/>
      <c r="I184" s="8"/>
      <c r="J184" s="8"/>
      <c r="K184" s="8"/>
      <c r="L184" s="8"/>
      <c r="M184" s="8"/>
    </row>
    <row r="185" spans="1:13">
      <c r="A185" s="71" t="s">
        <v>2148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2149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1773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2150</v>
      </c>
      <c r="B187" s="67">
        <v>32321499877</v>
      </c>
      <c r="C187" s="72" t="s">
        <v>2151</v>
      </c>
      <c r="D187" s="69">
        <v>4788348373</v>
      </c>
      <c r="E187" s="9">
        <v>292</v>
      </c>
      <c r="F187" s="25">
        <v>43168</v>
      </c>
      <c r="G187" s="70" t="s">
        <v>1773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2152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1773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2153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1773</v>
      </c>
      <c r="H189" s="9"/>
      <c r="I189" s="8"/>
      <c r="J189" s="8"/>
      <c r="K189" s="8"/>
      <c r="L189" s="8"/>
      <c r="M189" s="8"/>
    </row>
    <row r="190" spans="1:13">
      <c r="A190" s="71" t="s">
        <v>2154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1787</v>
      </c>
      <c r="H190" s="9"/>
      <c r="I190" s="8"/>
      <c r="J190" s="8"/>
      <c r="K190" s="8"/>
      <c r="L190" s="9" t="s">
        <v>2155</v>
      </c>
      <c r="M190" s="8"/>
    </row>
    <row r="191" spans="1:13">
      <c r="A191" s="13" t="s">
        <v>2156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1773</v>
      </c>
      <c r="H191" s="9"/>
      <c r="I191" s="8"/>
      <c r="J191" s="8"/>
      <c r="K191" s="8"/>
      <c r="L191" s="8"/>
      <c r="M191" s="8"/>
    </row>
    <row r="192" spans="1:13">
      <c r="A192" s="14" t="s">
        <v>2157</v>
      </c>
      <c r="B192" s="67">
        <v>16700300835</v>
      </c>
      <c r="C192" s="72" t="s">
        <v>2158</v>
      </c>
      <c r="D192" s="69">
        <v>28699951809</v>
      </c>
      <c r="E192" s="9">
        <v>262</v>
      </c>
      <c r="F192" s="25">
        <v>43160</v>
      </c>
      <c r="G192" s="70" t="s">
        <v>1773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2159</v>
      </c>
      <c r="B193" s="67">
        <v>33595120817</v>
      </c>
      <c r="C193" s="68" t="s">
        <v>2160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2161</v>
      </c>
      <c r="B194" s="67">
        <v>40386203873</v>
      </c>
      <c r="C194" s="68" t="s">
        <v>2162</v>
      </c>
      <c r="D194" s="69">
        <v>27988479822</v>
      </c>
      <c r="E194" s="9">
        <v>1128</v>
      </c>
      <c r="F194" s="25">
        <v>42972</v>
      </c>
      <c r="G194" s="70" t="s">
        <v>1773</v>
      </c>
      <c r="H194" s="9"/>
      <c r="I194" s="8"/>
      <c r="J194" s="8"/>
      <c r="K194" s="8"/>
      <c r="L194" s="8"/>
      <c r="M194" s="8"/>
    </row>
    <row r="195" spans="1:13">
      <c r="A195" s="71" t="s">
        <v>2163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2164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2165</v>
      </c>
      <c r="B197" s="67">
        <v>23473254851</v>
      </c>
      <c r="C197" s="72" t="s">
        <v>2166</v>
      </c>
      <c r="D197" s="69">
        <v>32944503898</v>
      </c>
      <c r="E197" s="9">
        <v>85</v>
      </c>
      <c r="F197" s="25">
        <v>43109</v>
      </c>
      <c r="G197" s="70" t="s">
        <v>1773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2167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1773</v>
      </c>
      <c r="H198" s="9"/>
      <c r="I198" s="8"/>
      <c r="J198" s="8"/>
      <c r="K198" s="8"/>
      <c r="L198" s="8"/>
      <c r="M198" s="8"/>
    </row>
    <row r="199" spans="1:13">
      <c r="A199" s="15" t="s">
        <v>2168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1773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2169</v>
      </c>
      <c r="B200" s="67">
        <v>2218915871</v>
      </c>
      <c r="C200" s="72" t="s">
        <v>2170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2171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2172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2173</v>
      </c>
      <c r="B203" s="67">
        <v>31793836825</v>
      </c>
      <c r="C203" s="72" t="s">
        <v>2174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2175</v>
      </c>
      <c r="B204" s="67">
        <v>41307266843</v>
      </c>
      <c r="C204" s="18" t="s">
        <v>2176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2177</v>
      </c>
      <c r="B205" s="67">
        <v>96683295549</v>
      </c>
      <c r="C205" s="72"/>
      <c r="D205" s="69"/>
      <c r="E205" s="9"/>
      <c r="F205" s="25"/>
      <c r="G205" s="70" t="s">
        <v>1773</v>
      </c>
      <c r="H205" s="9"/>
      <c r="I205" s="8"/>
      <c r="J205" s="8"/>
      <c r="K205" s="8"/>
      <c r="L205" s="8"/>
      <c r="M205" s="8"/>
    </row>
    <row r="206" spans="1:13">
      <c r="A206" s="15" t="s">
        <v>2178</v>
      </c>
      <c r="B206" s="67">
        <v>18965913888</v>
      </c>
      <c r="C206" s="72" t="s">
        <v>2179</v>
      </c>
      <c r="D206" s="69">
        <v>30385646801</v>
      </c>
      <c r="E206" s="9">
        <v>117</v>
      </c>
      <c r="F206" s="25">
        <v>43117</v>
      </c>
      <c r="G206" s="70" t="s">
        <v>1773</v>
      </c>
      <c r="H206" s="9"/>
      <c r="I206" s="8"/>
      <c r="J206" s="8"/>
      <c r="K206" s="8"/>
      <c r="L206" s="9" t="s">
        <v>1927</v>
      </c>
      <c r="M206" s="8"/>
    </row>
    <row r="207" spans="1:13">
      <c r="A207" s="29" t="s">
        <v>2180</v>
      </c>
      <c r="B207" s="67">
        <v>52371501875</v>
      </c>
      <c r="C207" s="18" t="s">
        <v>1886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2181</v>
      </c>
      <c r="B208" s="67"/>
      <c r="C208" s="18" t="s">
        <v>1886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2182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2183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2184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1779</v>
      </c>
      <c r="H211" s="9"/>
      <c r="I211" s="8"/>
      <c r="J211" s="8"/>
      <c r="K211" s="8"/>
      <c r="L211" s="8"/>
      <c r="M211" s="8"/>
    </row>
    <row r="212" spans="1:13">
      <c r="A212" s="14" t="s">
        <v>2185</v>
      </c>
      <c r="B212" s="67">
        <v>25897391840</v>
      </c>
      <c r="C212" s="72" t="s">
        <v>2186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2187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2188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2189</v>
      </c>
      <c r="B215" s="67">
        <v>32841222810</v>
      </c>
      <c r="C215" s="72" t="s">
        <v>2190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2191</v>
      </c>
      <c r="B216" s="67">
        <v>32242692860</v>
      </c>
      <c r="C216" s="72" t="s">
        <v>2192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2193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2194</v>
      </c>
      <c r="B218" s="67">
        <v>35157366892</v>
      </c>
      <c r="C218" s="72" t="s">
        <v>2195</v>
      </c>
      <c r="D218" s="69">
        <v>7540659440</v>
      </c>
      <c r="E218" s="9">
        <v>262</v>
      </c>
      <c r="F218" s="25">
        <v>43160</v>
      </c>
      <c r="G218" s="70" t="s">
        <v>1773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2196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1773</v>
      </c>
      <c r="H219" s="70"/>
      <c r="I219" s="8"/>
      <c r="J219" s="8"/>
      <c r="K219" s="8"/>
      <c r="L219" s="8"/>
      <c r="M219" s="8"/>
    </row>
    <row r="220" spans="1:13">
      <c r="A220" s="15" t="s">
        <v>2197</v>
      </c>
      <c r="B220" s="67">
        <v>86052484594</v>
      </c>
      <c r="C220" s="72" t="s">
        <v>2198</v>
      </c>
      <c r="D220" s="69">
        <v>5551698556</v>
      </c>
      <c r="E220" s="9">
        <v>117</v>
      </c>
      <c r="F220" s="25">
        <v>43117</v>
      </c>
      <c r="G220" s="70" t="s">
        <v>1773</v>
      </c>
      <c r="H220" s="70"/>
      <c r="I220" s="8"/>
      <c r="J220" s="8"/>
      <c r="K220" s="8"/>
      <c r="L220" s="9" t="s">
        <v>1927</v>
      </c>
      <c r="M220" s="8"/>
    </row>
    <row r="221" spans="1:13">
      <c r="A221" s="15" t="s">
        <v>2199</v>
      </c>
      <c r="B221" s="67">
        <v>32193061874</v>
      </c>
      <c r="C221" s="72" t="s">
        <v>2200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2201</v>
      </c>
      <c r="B222" s="67">
        <v>32729382810</v>
      </c>
      <c r="C222" s="29" t="s">
        <v>2202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2203</v>
      </c>
      <c r="B223" s="67">
        <v>32554462879</v>
      </c>
      <c r="C223" s="72" t="s">
        <v>2204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2205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2206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2207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2208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1773</v>
      </c>
      <c r="H227" s="70"/>
      <c r="I227" s="8"/>
      <c r="J227" s="8"/>
      <c r="K227" s="8"/>
      <c r="L227" s="9" t="s">
        <v>1895</v>
      </c>
      <c r="M227" s="8"/>
    </row>
    <row r="228" spans="1:13">
      <c r="A228" s="72" t="s">
        <v>2209</v>
      </c>
      <c r="B228" s="67">
        <v>39961258878</v>
      </c>
      <c r="C228" s="72" t="s">
        <v>2210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2211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2212</v>
      </c>
      <c r="B230" s="67">
        <v>35719819878</v>
      </c>
      <c r="C230" s="72" t="s">
        <v>2213</v>
      </c>
      <c r="D230" s="69">
        <v>11407737473</v>
      </c>
      <c r="E230" s="9">
        <v>1214</v>
      </c>
      <c r="F230" s="25">
        <v>42989</v>
      </c>
      <c r="G230" s="70" t="s">
        <v>1773</v>
      </c>
      <c r="H230" s="70"/>
      <c r="I230" s="8"/>
      <c r="J230" s="8"/>
      <c r="K230" s="8"/>
      <c r="L230" s="8"/>
      <c r="M230" s="8"/>
    </row>
    <row r="231" spans="1:13">
      <c r="A231" s="13" t="s">
        <v>2214</v>
      </c>
      <c r="B231" s="67">
        <v>45813645829</v>
      </c>
      <c r="C231" s="68" t="s">
        <v>2215</v>
      </c>
      <c r="D231" s="69">
        <v>40890894841</v>
      </c>
      <c r="E231" s="9">
        <v>1752</v>
      </c>
      <c r="F231" s="25">
        <v>43051</v>
      </c>
      <c r="G231" s="70" t="s">
        <v>1773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2216</v>
      </c>
      <c r="B232" s="67">
        <v>43811085824</v>
      </c>
      <c r="C232" s="15" t="s">
        <v>2217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2218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2056</v>
      </c>
      <c r="M233" s="8"/>
    </row>
    <row r="234" spans="1:13">
      <c r="A234" s="29" t="s">
        <v>2219</v>
      </c>
      <c r="B234" s="67"/>
      <c r="C234" s="18" t="s">
        <v>1886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2220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2221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1773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2222</v>
      </c>
      <c r="B237" s="67">
        <v>86221152593</v>
      </c>
      <c r="C237" s="72" t="s">
        <v>2223</v>
      </c>
      <c r="D237" s="69">
        <v>3688414560</v>
      </c>
      <c r="E237" s="9">
        <v>1214</v>
      </c>
      <c r="F237" s="25">
        <v>42989</v>
      </c>
      <c r="G237" s="70" t="s">
        <v>1773</v>
      </c>
      <c r="H237" s="70"/>
      <c r="I237" s="8"/>
      <c r="J237" s="8"/>
      <c r="K237" s="8"/>
      <c r="L237" s="8"/>
      <c r="M237" s="8"/>
    </row>
    <row r="238" spans="1:13">
      <c r="A238" s="15" t="s">
        <v>2224</v>
      </c>
      <c r="B238" s="67">
        <v>5918222456</v>
      </c>
      <c r="C238" s="72" t="s">
        <v>2225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2226</v>
      </c>
      <c r="B239" s="67">
        <v>37239200809</v>
      </c>
      <c r="C239" s="72" t="s">
        <v>2227</v>
      </c>
      <c r="D239" s="69">
        <v>36014828869</v>
      </c>
      <c r="E239" s="9">
        <v>1350</v>
      </c>
      <c r="F239" s="25">
        <v>43006</v>
      </c>
      <c r="G239" s="70" t="s">
        <v>1773</v>
      </c>
      <c r="H239" s="70"/>
      <c r="I239" s="8"/>
      <c r="J239" s="8"/>
      <c r="K239" s="8"/>
      <c r="L239" s="8"/>
      <c r="M239" s="8"/>
    </row>
    <row r="240" spans="1:13">
      <c r="A240" s="71" t="s">
        <v>2228</v>
      </c>
      <c r="B240" s="67">
        <v>6620279813</v>
      </c>
      <c r="C240" s="72" t="s">
        <v>2229</v>
      </c>
      <c r="D240" s="69">
        <v>18461089855</v>
      </c>
      <c r="E240" s="9">
        <v>1824</v>
      </c>
      <c r="F240" s="25">
        <v>43091</v>
      </c>
      <c r="G240" s="70" t="s">
        <v>1773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2230</v>
      </c>
      <c r="B241" s="67">
        <v>11805424874</v>
      </c>
      <c r="C241" s="77" t="s">
        <v>2231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2232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1773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2233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1773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2234</v>
      </c>
      <c r="B244" s="67">
        <v>34001342871</v>
      </c>
      <c r="C244" s="18" t="s">
        <v>2235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2236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1773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2237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2238</v>
      </c>
      <c r="B247" s="67">
        <v>1308082533</v>
      </c>
      <c r="C247" s="72" t="s">
        <v>2239</v>
      </c>
      <c r="D247" s="69">
        <v>73690139520</v>
      </c>
      <c r="E247" s="9">
        <v>262</v>
      </c>
      <c r="F247" s="25">
        <v>43160</v>
      </c>
      <c r="G247" s="70" t="s">
        <v>1773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2240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1773</v>
      </c>
      <c r="H248" s="70"/>
      <c r="I248" s="8"/>
      <c r="J248" s="8"/>
      <c r="K248" s="8"/>
      <c r="L248" s="9" t="s">
        <v>1927</v>
      </c>
      <c r="M248" s="8"/>
    </row>
    <row r="249" spans="1:13">
      <c r="A249" s="71" t="s">
        <v>2241</v>
      </c>
      <c r="B249" s="67">
        <v>4068496846</v>
      </c>
      <c r="C249" s="72" t="s">
        <v>2242</v>
      </c>
      <c r="D249" s="69">
        <v>26922524896</v>
      </c>
      <c r="E249" s="9">
        <v>1752</v>
      </c>
      <c r="F249" s="25">
        <v>43051</v>
      </c>
      <c r="G249" s="70" t="s">
        <v>1773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2243</v>
      </c>
      <c r="B250" s="67">
        <v>92175163849</v>
      </c>
      <c r="C250" s="72" t="s">
        <v>2244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2245</v>
      </c>
      <c r="B251" s="67">
        <v>76906388304</v>
      </c>
      <c r="C251" s="18" t="s">
        <v>2246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2247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1773</v>
      </c>
      <c r="H252" s="70"/>
      <c r="I252" s="8"/>
      <c r="J252" s="8"/>
      <c r="K252" s="8"/>
      <c r="L252" s="9" t="s">
        <v>1927</v>
      </c>
      <c r="M252" s="8"/>
    </row>
    <row r="253" spans="1:13">
      <c r="A253" s="71" t="s">
        <v>2248</v>
      </c>
      <c r="B253" s="67">
        <v>2925106323</v>
      </c>
      <c r="C253" s="72" t="s">
        <v>2249</v>
      </c>
      <c r="D253" s="69">
        <v>16131378851</v>
      </c>
      <c r="E253" s="9">
        <v>1214</v>
      </c>
      <c r="F253" s="25">
        <v>42989</v>
      </c>
      <c r="G253" s="70" t="s">
        <v>1773</v>
      </c>
      <c r="H253" s="70"/>
      <c r="I253" s="8"/>
      <c r="J253" s="8"/>
      <c r="K253" s="8"/>
      <c r="L253" s="8"/>
      <c r="M253" s="8"/>
    </row>
    <row r="254" spans="1:13">
      <c r="A254" s="13" t="s">
        <v>2250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1773</v>
      </c>
      <c r="H254" s="70"/>
      <c r="I254" s="8"/>
      <c r="J254" s="8"/>
      <c r="K254" s="8"/>
      <c r="L254" s="8"/>
      <c r="M254" s="8"/>
    </row>
    <row r="255" spans="1:13">
      <c r="A255" s="13" t="s">
        <v>2251</v>
      </c>
      <c r="B255" s="67">
        <v>30871120895</v>
      </c>
      <c r="C255" s="68" t="s">
        <v>2252</v>
      </c>
      <c r="D255" s="69">
        <v>7635106457</v>
      </c>
      <c r="E255" s="9">
        <v>1241</v>
      </c>
      <c r="F255" s="25">
        <v>42992</v>
      </c>
      <c r="G255" s="70" t="s">
        <v>1773</v>
      </c>
      <c r="H255" s="70"/>
      <c r="I255" s="8"/>
      <c r="J255" s="8"/>
      <c r="K255" s="8"/>
      <c r="L255" s="8"/>
      <c r="M255" s="8"/>
    </row>
    <row r="256" spans="1:13">
      <c r="A256" s="71" t="s">
        <v>2253</v>
      </c>
      <c r="B256" s="67">
        <v>32016102837</v>
      </c>
      <c r="C256" s="72" t="s">
        <v>2254</v>
      </c>
      <c r="D256" s="69">
        <v>25077406553</v>
      </c>
      <c r="E256" s="9">
        <v>292</v>
      </c>
      <c r="F256" s="25">
        <v>43168</v>
      </c>
      <c r="G256" s="70" t="s">
        <v>1773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2255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2256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2257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2258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1773</v>
      </c>
      <c r="H260" s="70"/>
      <c r="I260" s="8"/>
      <c r="J260" s="8"/>
      <c r="K260" s="8"/>
      <c r="L260" s="9" t="s">
        <v>2259</v>
      </c>
      <c r="M260" s="8"/>
    </row>
    <row r="261" spans="1:13">
      <c r="A261" s="15" t="s">
        <v>2260</v>
      </c>
      <c r="B261" s="67">
        <v>18856620847</v>
      </c>
      <c r="C261" s="72" t="s">
        <v>2261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2262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2263</v>
      </c>
      <c r="B263" s="67">
        <v>2766966382</v>
      </c>
      <c r="C263" s="72" t="s">
        <v>2264</v>
      </c>
      <c r="D263" s="69">
        <v>2385838303</v>
      </c>
      <c r="E263" s="9">
        <v>262</v>
      </c>
      <c r="F263" s="25">
        <v>43160</v>
      </c>
      <c r="G263" s="70" t="s">
        <v>1773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2265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2266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1773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2267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1773</v>
      </c>
      <c r="H266" s="70"/>
      <c r="I266" s="8"/>
      <c r="J266" s="8"/>
      <c r="K266" s="8"/>
      <c r="L266" s="8"/>
      <c r="M266" s="8"/>
    </row>
    <row r="267" spans="1:13">
      <c r="A267" s="71" t="s">
        <v>2268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1773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2269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1773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2270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1773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2271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2272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1773</v>
      </c>
      <c r="H271" s="70"/>
      <c r="I271" s="8"/>
      <c r="J271" s="8"/>
      <c r="K271" s="8"/>
      <c r="L271" s="9" t="s">
        <v>1917</v>
      </c>
      <c r="M271" s="8"/>
    </row>
    <row r="272" spans="1:13">
      <c r="A272" s="71" t="s">
        <v>2273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2274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1773</v>
      </c>
      <c r="H273" s="70"/>
      <c r="I273" s="8"/>
      <c r="J273" s="8"/>
      <c r="K273" s="8"/>
      <c r="L273" s="9" t="s">
        <v>1917</v>
      </c>
      <c r="M273" s="8"/>
    </row>
    <row r="274" spans="1:13">
      <c r="A274" s="71" t="s">
        <v>2275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1773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2276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2277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1773</v>
      </c>
      <c r="H276" s="70"/>
      <c r="I276" s="8"/>
      <c r="J276" s="8"/>
      <c r="K276" s="8"/>
      <c r="L276" s="9" t="s">
        <v>1895</v>
      </c>
      <c r="M276" s="8"/>
    </row>
    <row r="277" spans="1:13">
      <c r="A277" s="13" t="s">
        <v>2278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2279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1773</v>
      </c>
      <c r="H278" s="70"/>
      <c r="I278" s="8"/>
      <c r="J278" s="8"/>
      <c r="K278" s="8"/>
      <c r="L278" s="8"/>
      <c r="M278" s="8"/>
    </row>
    <row r="279" spans="1:13">
      <c r="A279" s="71" t="s">
        <v>2280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2281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1773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2282</v>
      </c>
      <c r="B281" s="67">
        <v>5261128838</v>
      </c>
      <c r="C281" s="72" t="s">
        <v>2283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2284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2285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2286</v>
      </c>
      <c r="B284" s="67"/>
      <c r="C284" s="29" t="s">
        <v>1886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2287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1773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2288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2289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1773</v>
      </c>
      <c r="H287" s="70"/>
      <c r="I287" s="8"/>
      <c r="J287" s="8"/>
      <c r="K287" s="8"/>
      <c r="L287" s="8"/>
      <c r="M287" s="8"/>
    </row>
    <row r="288" spans="1:13">
      <c r="A288" s="15" t="s">
        <v>2290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1773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2291</v>
      </c>
      <c r="B289" s="67">
        <v>80117694304</v>
      </c>
      <c r="C289" s="72" t="s">
        <v>2292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2293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2294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2295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2296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2297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1773</v>
      </c>
      <c r="H294" s="70"/>
      <c r="I294" s="8"/>
      <c r="J294" s="8"/>
      <c r="K294" s="8"/>
      <c r="L294" s="8"/>
      <c r="M294" s="8"/>
    </row>
    <row r="295" spans="1:13">
      <c r="A295" s="71" t="s">
        <v>2298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1773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2299</v>
      </c>
      <c r="B296" s="67">
        <v>34227913888</v>
      </c>
      <c r="C296" s="72" t="s">
        <v>2300</v>
      </c>
      <c r="D296" s="69">
        <v>22306586896</v>
      </c>
      <c r="E296" s="9">
        <v>1214</v>
      </c>
      <c r="F296" s="25">
        <v>42989</v>
      </c>
      <c r="G296" s="70" t="s">
        <v>1773</v>
      </c>
      <c r="H296" s="70"/>
      <c r="I296" s="8"/>
      <c r="J296" s="8"/>
      <c r="K296" s="8"/>
      <c r="L296" s="8"/>
      <c r="M296" s="8"/>
    </row>
    <row r="297" spans="1:13">
      <c r="A297" s="71" t="s">
        <v>2301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1773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2302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1779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2303</v>
      </c>
      <c r="B299" s="67">
        <v>33547844827</v>
      </c>
      <c r="C299" s="72" t="s">
        <v>2304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2305</v>
      </c>
      <c r="B300" s="67"/>
      <c r="C300" s="18" t="s">
        <v>1886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2306</v>
      </c>
      <c r="B301" s="67">
        <v>5212801842</v>
      </c>
      <c r="C301" s="72" t="s">
        <v>2307</v>
      </c>
      <c r="D301" s="69">
        <v>7101207880</v>
      </c>
      <c r="E301" s="9">
        <v>262</v>
      </c>
      <c r="F301" s="25">
        <v>43160</v>
      </c>
      <c r="G301" s="70" t="s">
        <v>1773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2308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1773</v>
      </c>
      <c r="H302" s="9"/>
      <c r="I302" s="8"/>
      <c r="J302" s="8"/>
      <c r="K302" s="8"/>
      <c r="L302" s="9" t="s">
        <v>1895</v>
      </c>
      <c r="M302" s="8"/>
    </row>
    <row r="303" spans="1:13">
      <c r="A303" s="71" t="s">
        <v>2309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1773</v>
      </c>
      <c r="H303" s="9"/>
      <c r="I303" s="8"/>
      <c r="J303" s="8"/>
      <c r="K303" s="8"/>
      <c r="L303" s="8"/>
      <c r="M303" s="8"/>
    </row>
    <row r="304" spans="1:13">
      <c r="A304" s="29" t="s">
        <v>2310</v>
      </c>
      <c r="B304" s="67"/>
      <c r="C304" s="29" t="s">
        <v>2311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2312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1773</v>
      </c>
      <c r="H305" s="9"/>
      <c r="I305" s="8"/>
      <c r="J305" s="8"/>
      <c r="K305" s="8"/>
      <c r="L305" s="8"/>
      <c r="M305" s="8"/>
    </row>
    <row r="306" spans="1:13">
      <c r="A306" s="29" t="s">
        <v>2313</v>
      </c>
      <c r="B306" s="67">
        <v>43257974833</v>
      </c>
      <c r="C306" s="18" t="s">
        <v>1886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2314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1773</v>
      </c>
      <c r="H307" s="9"/>
      <c r="I307" s="8"/>
      <c r="J307" s="8"/>
      <c r="K307" s="8"/>
      <c r="L307" s="8"/>
      <c r="M307" s="8"/>
    </row>
    <row r="308" spans="1:13">
      <c r="A308" s="71" t="s">
        <v>2315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2316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1773</v>
      </c>
      <c r="H309" s="9"/>
      <c r="I309" s="8"/>
      <c r="J309" s="8"/>
      <c r="K309" s="8"/>
      <c r="L309" s="9" t="s">
        <v>1895</v>
      </c>
      <c r="M309" s="8"/>
    </row>
    <row r="310" spans="1:13">
      <c r="A310" s="13" t="s">
        <v>2317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1773</v>
      </c>
      <c r="H310" s="9"/>
      <c r="I310" s="8"/>
      <c r="J310" s="8"/>
      <c r="K310" s="8"/>
      <c r="L310" s="8"/>
      <c r="M310" s="8"/>
    </row>
    <row r="311" spans="1:13">
      <c r="A311" s="72" t="s">
        <v>2318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1773</v>
      </c>
      <c r="H311" s="9"/>
      <c r="I311" s="8"/>
      <c r="J311" s="8"/>
      <c r="K311" s="8"/>
      <c r="L311" s="9" t="s">
        <v>1917</v>
      </c>
      <c r="M311" s="8"/>
    </row>
    <row r="312" spans="1:13">
      <c r="A312" s="18" t="s">
        <v>2319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2320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1773</v>
      </c>
      <c r="H313" s="9"/>
      <c r="I313" s="8"/>
      <c r="J313" s="8"/>
      <c r="K313" s="8"/>
      <c r="L313" s="8"/>
      <c r="M313" s="8"/>
    </row>
    <row r="314" spans="1:13">
      <c r="A314" s="15" t="s">
        <v>2321</v>
      </c>
      <c r="B314" s="67">
        <v>56647751300</v>
      </c>
      <c r="C314" s="72" t="s">
        <v>2322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2323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1773</v>
      </c>
      <c r="H315" s="9"/>
      <c r="I315" s="8"/>
      <c r="J315" s="8"/>
      <c r="K315" s="8"/>
      <c r="L315" s="9" t="s">
        <v>1917</v>
      </c>
      <c r="M315" s="8"/>
    </row>
    <row r="316" spans="1:13">
      <c r="A316" s="71" t="s">
        <v>2324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2325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1773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2326</v>
      </c>
      <c r="B318" s="67">
        <v>42049249802</v>
      </c>
      <c r="C318" s="72" t="s">
        <v>2327</v>
      </c>
      <c r="D318" s="69">
        <v>22669338844</v>
      </c>
      <c r="E318" s="9">
        <v>1267</v>
      </c>
      <c r="F318" s="25">
        <v>42998</v>
      </c>
      <c r="G318" s="70" t="s">
        <v>1773</v>
      </c>
      <c r="H318" s="9"/>
      <c r="I318" s="8"/>
      <c r="J318" s="8"/>
      <c r="K318" s="8"/>
      <c r="L318" s="8"/>
      <c r="M318" s="8"/>
    </row>
    <row r="319" spans="1:13">
      <c r="A319" s="71" t="s">
        <v>2328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1773</v>
      </c>
      <c r="H319" s="9"/>
      <c r="I319" s="8"/>
      <c r="J319" s="8"/>
      <c r="K319" s="8"/>
      <c r="L319" s="8"/>
      <c r="M319" s="8"/>
    </row>
    <row r="320" spans="1:13">
      <c r="A320" s="14" t="s">
        <v>2329</v>
      </c>
      <c r="B320" s="67">
        <v>1863847502</v>
      </c>
      <c r="C320" s="72" t="s">
        <v>2330</v>
      </c>
      <c r="D320" s="69">
        <v>1636882579</v>
      </c>
      <c r="E320" s="9">
        <v>292</v>
      </c>
      <c r="F320" s="25">
        <v>43168</v>
      </c>
      <c r="G320" s="70" t="s">
        <v>1773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2331</v>
      </c>
      <c r="B321" s="67">
        <v>24759459820</v>
      </c>
      <c r="C321" s="18" t="s">
        <v>2332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2333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1773</v>
      </c>
      <c r="H322" s="9"/>
      <c r="I322" s="8"/>
      <c r="J322" s="8"/>
      <c r="K322" s="8"/>
      <c r="L322" s="9" t="s">
        <v>2155</v>
      </c>
      <c r="M322" s="8"/>
    </row>
    <row r="323" spans="1:13">
      <c r="A323" s="29" t="s">
        <v>2334</v>
      </c>
      <c r="B323" s="67"/>
      <c r="C323" s="18" t="s">
        <v>1886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2335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1773</v>
      </c>
      <c r="H324" s="9"/>
      <c r="I324" s="8"/>
      <c r="J324" s="8"/>
      <c r="K324" s="8"/>
      <c r="L324" s="8"/>
      <c r="M324" s="8"/>
    </row>
    <row r="325" spans="1:13">
      <c r="A325" s="71" t="s">
        <v>2336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2337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1773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2338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2339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2340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1773</v>
      </c>
      <c r="H329" s="9"/>
      <c r="I329" s="8"/>
      <c r="J329" s="8"/>
      <c r="K329" s="8"/>
      <c r="L329" s="8"/>
      <c r="M329" s="8"/>
    </row>
    <row r="330" spans="1:13">
      <c r="A330" s="71" t="s">
        <v>2341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1773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2342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1773</v>
      </c>
      <c r="H331" s="9"/>
      <c r="I331" s="8"/>
      <c r="J331" s="8"/>
      <c r="K331" s="8"/>
      <c r="L331" s="8"/>
      <c r="M331" s="8"/>
    </row>
    <row r="332" spans="1:13">
      <c r="A332" s="71" t="s">
        <v>2343</v>
      </c>
      <c r="B332" s="67">
        <v>43830821816</v>
      </c>
      <c r="C332" s="72" t="s">
        <v>2344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2345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1787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2346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2347</v>
      </c>
      <c r="B335" s="67">
        <v>26501719879</v>
      </c>
      <c r="C335" s="75" t="s">
        <v>2348</v>
      </c>
      <c r="D335" s="69">
        <v>26502973876</v>
      </c>
      <c r="E335" s="9">
        <v>1106</v>
      </c>
      <c r="F335" s="25">
        <v>42965</v>
      </c>
      <c r="G335" s="70" t="s">
        <v>1773</v>
      </c>
      <c r="H335" s="9"/>
      <c r="I335" s="8"/>
      <c r="J335" s="8"/>
      <c r="K335" s="8"/>
      <c r="L335" s="8"/>
      <c r="M335" s="8"/>
    </row>
    <row r="336" spans="1:13">
      <c r="A336" s="13" t="s">
        <v>2349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1773</v>
      </c>
      <c r="H336" s="9"/>
      <c r="I336" s="8"/>
      <c r="J336" s="8"/>
      <c r="K336" s="8"/>
      <c r="L336" s="8"/>
      <c r="M336" s="8"/>
    </row>
    <row r="337" spans="1:13">
      <c r="A337" s="14" t="s">
        <v>2350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2351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1773</v>
      </c>
      <c r="H338" s="9"/>
      <c r="I338" s="8"/>
      <c r="J338" s="8"/>
      <c r="K338" s="8"/>
      <c r="L338" s="8"/>
      <c r="M338" s="8"/>
    </row>
    <row r="339" spans="1:13">
      <c r="A339" s="71" t="s">
        <v>2352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2353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2354</v>
      </c>
      <c r="B341" s="67">
        <v>33603802829</v>
      </c>
      <c r="C341" s="72" t="s">
        <v>2355</v>
      </c>
      <c r="D341" s="69">
        <v>26302620813</v>
      </c>
      <c r="E341" s="9">
        <v>1262</v>
      </c>
      <c r="F341" s="25">
        <v>42997</v>
      </c>
      <c r="G341" s="70" t="s">
        <v>1773</v>
      </c>
      <c r="H341" s="9"/>
      <c r="I341" s="8"/>
      <c r="J341" s="8"/>
      <c r="K341" s="8"/>
      <c r="L341" s="8"/>
      <c r="M341" s="8"/>
    </row>
    <row r="342" spans="1:13">
      <c r="A342" s="13" t="s">
        <v>2356</v>
      </c>
      <c r="B342" s="67">
        <v>23802013824</v>
      </c>
      <c r="C342" s="72" t="s">
        <v>2357</v>
      </c>
      <c r="D342" s="69">
        <v>23099249890</v>
      </c>
      <c r="E342" s="9">
        <v>1489</v>
      </c>
      <c r="F342" s="25">
        <v>43038</v>
      </c>
      <c r="G342" s="70" t="s">
        <v>1773</v>
      </c>
      <c r="H342" s="9"/>
      <c r="I342" s="8"/>
      <c r="J342" s="8"/>
      <c r="K342" s="8"/>
      <c r="L342" s="9" t="s">
        <v>1917</v>
      </c>
      <c r="M342" s="8"/>
    </row>
    <row r="343" spans="1:13">
      <c r="A343" s="71" t="s">
        <v>2358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2359</v>
      </c>
      <c r="B344" s="67">
        <v>39348497847</v>
      </c>
      <c r="C344" s="72" t="s">
        <v>2360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2361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1773</v>
      </c>
      <c r="H345" s="9"/>
      <c r="I345" s="8"/>
      <c r="J345" s="8"/>
      <c r="K345" s="8"/>
      <c r="L345" s="9" t="s">
        <v>1917</v>
      </c>
      <c r="M345" s="8"/>
    </row>
    <row r="346" spans="1:13">
      <c r="A346" s="71" t="s">
        <v>2362</v>
      </c>
      <c r="B346" s="67">
        <v>46102945832</v>
      </c>
      <c r="C346" s="72" t="s">
        <v>2363</v>
      </c>
      <c r="D346" s="69">
        <v>48110319890</v>
      </c>
      <c r="E346" s="9">
        <v>262</v>
      </c>
      <c r="F346" s="25">
        <v>43160</v>
      </c>
      <c r="G346" s="70" t="s">
        <v>1773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2364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1773</v>
      </c>
      <c r="H347" s="9"/>
      <c r="I347" s="8"/>
      <c r="J347" s="8"/>
      <c r="K347" s="8"/>
      <c r="L347" s="8"/>
      <c r="M347" s="8"/>
    </row>
    <row r="348" spans="1:13">
      <c r="A348" s="71" t="s">
        <v>2365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2366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1787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2367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1773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2368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2369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1773</v>
      </c>
      <c r="H352" s="9"/>
      <c r="I352" s="8"/>
      <c r="J352" s="8"/>
      <c r="K352" s="8"/>
      <c r="L352" s="8"/>
      <c r="M352" s="8"/>
    </row>
    <row r="353" spans="1:13">
      <c r="A353" s="13" t="s">
        <v>2370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1773</v>
      </c>
      <c r="H353" s="9"/>
      <c r="I353" s="8"/>
      <c r="J353" s="8"/>
      <c r="K353" s="8"/>
      <c r="L353" s="9" t="s">
        <v>2010</v>
      </c>
      <c r="M353" s="8"/>
    </row>
    <row r="354" spans="1:13">
      <c r="A354" s="15" t="s">
        <v>2371</v>
      </c>
      <c r="B354" s="67">
        <v>37738978805</v>
      </c>
      <c r="C354" s="15" t="s">
        <v>2372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2373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2374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2375</v>
      </c>
      <c r="B357" s="67">
        <v>37439665813</v>
      </c>
      <c r="C357" s="72" t="s">
        <v>2376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2056</v>
      </c>
      <c r="M357" s="8"/>
    </row>
    <row r="358" spans="1:13">
      <c r="A358" s="15" t="s">
        <v>2377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2378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2379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1773</v>
      </c>
      <c r="H360" s="9"/>
      <c r="I360" s="8"/>
      <c r="J360" s="8"/>
      <c r="K360" s="8"/>
      <c r="L360" s="9" t="s">
        <v>2259</v>
      </c>
      <c r="M360" s="8"/>
    </row>
    <row r="361" spans="1:13">
      <c r="A361" s="15" t="s">
        <v>2380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2381</v>
      </c>
      <c r="B362" s="67">
        <v>39263170860</v>
      </c>
      <c r="C362" s="72" t="s">
        <v>2382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2383</v>
      </c>
      <c r="B363" s="67">
        <v>17803665829</v>
      </c>
      <c r="C363" s="72" t="s">
        <v>2384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2385</v>
      </c>
      <c r="B364" s="67">
        <v>39996489884</v>
      </c>
      <c r="C364" s="72" t="s">
        <v>2386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2387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1773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2388</v>
      </c>
      <c r="B366" s="67">
        <v>36210371876</v>
      </c>
      <c r="C366" s="72" t="s">
        <v>2389</v>
      </c>
      <c r="D366" s="69">
        <v>32340716837</v>
      </c>
      <c r="E366" s="9">
        <v>229</v>
      </c>
      <c r="F366" s="25">
        <v>43151</v>
      </c>
      <c r="G366" s="70" t="s">
        <v>1773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2390</v>
      </c>
      <c r="B367" s="67">
        <v>42016007850</v>
      </c>
      <c r="C367" s="72" t="s">
        <v>2391</v>
      </c>
      <c r="D367" s="69">
        <v>35228090843</v>
      </c>
      <c r="E367" s="9">
        <v>810</v>
      </c>
      <c r="F367" s="25">
        <v>42915</v>
      </c>
      <c r="G367" s="70" t="s">
        <v>1773</v>
      </c>
      <c r="H367" s="9"/>
      <c r="I367" s="8"/>
      <c r="J367" s="8"/>
      <c r="K367" s="8"/>
      <c r="L367" s="9" t="s">
        <v>1895</v>
      </c>
      <c r="M367" s="8"/>
    </row>
    <row r="368" spans="1:13">
      <c r="A368" s="14" t="s">
        <v>2392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1773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2393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1773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2394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1773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2395</v>
      </c>
      <c r="B371" s="67">
        <v>34350558802</v>
      </c>
      <c r="C371" s="18" t="s">
        <v>2396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2397</v>
      </c>
      <c r="B372" s="67">
        <v>41502336839</v>
      </c>
      <c r="C372" s="77" t="s">
        <v>2398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2399</v>
      </c>
      <c r="B373" s="67">
        <v>38156943880</v>
      </c>
      <c r="C373" s="72" t="s">
        <v>2400</v>
      </c>
      <c r="D373" s="69">
        <v>35830934884</v>
      </c>
      <c r="E373" s="9">
        <v>262</v>
      </c>
      <c r="F373" s="25">
        <v>43160</v>
      </c>
      <c r="G373" s="70" t="s">
        <v>1773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2401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1773</v>
      </c>
      <c r="H374" s="9"/>
      <c r="I374" s="8"/>
      <c r="J374" s="8"/>
      <c r="K374" s="8"/>
      <c r="L374" s="9" t="s">
        <v>1895</v>
      </c>
      <c r="M374" s="8"/>
    </row>
    <row r="375" spans="1:13">
      <c r="A375" s="71" t="s">
        <v>2402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1773</v>
      </c>
      <c r="H375" s="9"/>
      <c r="I375" s="8"/>
      <c r="J375" s="8"/>
      <c r="K375" s="8"/>
      <c r="L375" s="8"/>
      <c r="M375" s="8"/>
    </row>
    <row r="376" spans="1:13">
      <c r="A376" s="71" t="s">
        <v>2403</v>
      </c>
      <c r="B376" s="67" t="s">
        <v>2404</v>
      </c>
      <c r="C376" s="73" t="s">
        <v>2405</v>
      </c>
      <c r="D376" s="69" t="s">
        <v>2406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2407</v>
      </c>
      <c r="B377" s="67">
        <v>41104888858</v>
      </c>
      <c r="C377" s="72" t="s">
        <v>2408</v>
      </c>
      <c r="D377" s="69">
        <v>35714357884</v>
      </c>
      <c r="E377" s="9">
        <v>810</v>
      </c>
      <c r="F377" s="25">
        <v>42915</v>
      </c>
      <c r="G377" s="70" t="s">
        <v>1773</v>
      </c>
      <c r="H377" s="9"/>
      <c r="I377" s="8"/>
      <c r="J377" s="8"/>
      <c r="K377" s="8"/>
      <c r="L377" s="9" t="s">
        <v>1895</v>
      </c>
      <c r="M377" s="8"/>
    </row>
    <row r="378" spans="1:13">
      <c r="A378" s="71" t="s">
        <v>2409</v>
      </c>
      <c r="B378" s="67">
        <v>34954516846</v>
      </c>
      <c r="C378" s="72" t="s">
        <v>2410</v>
      </c>
      <c r="D378" s="69">
        <v>18356312825</v>
      </c>
      <c r="E378" s="9">
        <v>1824</v>
      </c>
      <c r="F378" s="25">
        <v>43091</v>
      </c>
      <c r="G378" s="70" t="s">
        <v>1787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2411</v>
      </c>
      <c r="B379" s="67"/>
      <c r="C379" s="29" t="s">
        <v>2412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2413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1773</v>
      </c>
      <c r="H380" s="9"/>
      <c r="I380" s="8"/>
      <c r="J380" s="8"/>
      <c r="K380" s="8"/>
      <c r="L380" s="8"/>
      <c r="M380" s="8"/>
    </row>
    <row r="381" spans="1:13">
      <c r="A381" s="13" t="s">
        <v>2414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1773</v>
      </c>
      <c r="H381" s="9"/>
      <c r="I381" s="8"/>
      <c r="J381" s="8"/>
      <c r="K381" s="8"/>
      <c r="L381" s="9" t="s">
        <v>1917</v>
      </c>
      <c r="M381" s="8"/>
    </row>
    <row r="382" spans="1:13">
      <c r="A382" s="71" t="s">
        <v>2415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2416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1773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2417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1773</v>
      </c>
      <c r="H384" s="9"/>
      <c r="I384" s="8"/>
      <c r="J384" s="8"/>
      <c r="K384" s="8"/>
      <c r="L384" s="9" t="s">
        <v>1917</v>
      </c>
      <c r="M384" s="8"/>
    </row>
    <row r="385" spans="1:13">
      <c r="A385" s="15" t="s">
        <v>2418</v>
      </c>
      <c r="B385" s="67">
        <v>33239238802</v>
      </c>
      <c r="C385" s="72" t="s">
        <v>2419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2420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2421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1773</v>
      </c>
      <c r="H387" s="9"/>
      <c r="I387" s="8"/>
      <c r="J387" s="8"/>
      <c r="K387" s="8"/>
      <c r="L387" s="8"/>
      <c r="M387" s="8"/>
    </row>
    <row r="388" spans="1:13">
      <c r="A388" s="71" t="s">
        <v>2422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1779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2423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1773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2424</v>
      </c>
      <c r="B390" s="67">
        <v>13486189816</v>
      </c>
      <c r="C390" s="72" t="s">
        <v>2425</v>
      </c>
      <c r="D390" s="69">
        <v>15745057858</v>
      </c>
      <c r="E390" s="9">
        <v>262</v>
      </c>
      <c r="F390" s="25">
        <v>43160</v>
      </c>
      <c r="G390" s="70" t="s">
        <v>1773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2426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1773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2427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1773</v>
      </c>
      <c r="H392" s="9"/>
      <c r="I392" s="8"/>
      <c r="J392" s="8"/>
      <c r="K392" s="8"/>
      <c r="L392" s="8"/>
      <c r="M392" s="8"/>
    </row>
    <row r="393" spans="1:13">
      <c r="A393" s="71" t="s">
        <v>2428</v>
      </c>
      <c r="B393" s="67">
        <v>29672702884</v>
      </c>
      <c r="C393" s="72" t="s">
        <v>2429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2430</v>
      </c>
      <c r="B394" s="67"/>
      <c r="C394" s="29" t="s">
        <v>1886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2431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1773</v>
      </c>
      <c r="H395" s="9"/>
      <c r="I395" s="8"/>
      <c r="J395" s="8"/>
      <c r="K395" s="8"/>
      <c r="L395" s="8"/>
      <c r="M395" s="8"/>
    </row>
    <row r="396" spans="1:13">
      <c r="A396" s="15" t="s">
        <v>2432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1773</v>
      </c>
      <c r="H396" s="9"/>
      <c r="I396" s="8"/>
      <c r="J396" s="8"/>
      <c r="K396" s="8"/>
      <c r="L396" s="9" t="s">
        <v>1927</v>
      </c>
      <c r="M396" s="8"/>
    </row>
    <row r="397" spans="1:13">
      <c r="A397" s="15" t="s">
        <v>2433</v>
      </c>
      <c r="B397" s="67">
        <v>7030224582</v>
      </c>
      <c r="C397" s="72" t="s">
        <v>2434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2435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1773</v>
      </c>
      <c r="H398" s="9"/>
      <c r="I398" s="8"/>
      <c r="J398" s="8"/>
      <c r="K398" s="8"/>
      <c r="L398" s="8"/>
      <c r="M398" s="8"/>
    </row>
    <row r="399" spans="1:13">
      <c r="A399" s="72" t="s">
        <v>2436</v>
      </c>
      <c r="B399" s="67">
        <v>39783437895</v>
      </c>
      <c r="C399" s="72" t="s">
        <v>2437</v>
      </c>
      <c r="D399" s="69">
        <v>12062296754</v>
      </c>
      <c r="E399" s="9">
        <v>292</v>
      </c>
      <c r="F399" s="25">
        <v>43168</v>
      </c>
      <c r="G399" s="9" t="s">
        <v>1773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2438</v>
      </c>
      <c r="B400" s="67">
        <v>41759713864</v>
      </c>
      <c r="C400" s="72" t="s">
        <v>2439</v>
      </c>
      <c r="D400" s="69">
        <v>38653116877</v>
      </c>
      <c r="E400" s="9">
        <v>1824</v>
      </c>
      <c r="F400" s="25">
        <v>43091</v>
      </c>
      <c r="G400" s="70" t="s">
        <v>1773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2440</v>
      </c>
      <c r="B401" s="67">
        <v>37686754839</v>
      </c>
      <c r="C401" s="72" t="s">
        <v>2441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2442</v>
      </c>
      <c r="B402" s="67"/>
      <c r="C402" s="29" t="s">
        <v>2443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2444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1773</v>
      </c>
      <c r="H403" s="9"/>
      <c r="I403" s="8"/>
      <c r="J403" s="8"/>
      <c r="K403" s="8"/>
      <c r="L403" s="8"/>
      <c r="M403" s="8"/>
    </row>
    <row r="404" spans="1:13">
      <c r="A404" s="71" t="s">
        <v>2445</v>
      </c>
      <c r="B404" s="67">
        <v>44864217874</v>
      </c>
      <c r="C404" s="72" t="s">
        <v>2446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2447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1773</v>
      </c>
      <c r="H405" s="9"/>
      <c r="I405" s="8"/>
      <c r="J405" s="8"/>
      <c r="K405" s="8"/>
      <c r="L405" s="9" t="s">
        <v>2010</v>
      </c>
      <c r="M405" s="8"/>
    </row>
    <row r="406" spans="1:13">
      <c r="A406" s="15" t="s">
        <v>2448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1773</v>
      </c>
      <c r="H406" s="9"/>
      <c r="I406" s="8"/>
      <c r="J406" s="8"/>
      <c r="K406" s="8"/>
      <c r="L406" s="9" t="s">
        <v>1927</v>
      </c>
      <c r="M406" s="8"/>
    </row>
    <row r="407" spans="1:13">
      <c r="A407" s="13" t="s">
        <v>2449</v>
      </c>
      <c r="B407" s="67">
        <v>1329442512</v>
      </c>
      <c r="C407" s="68" t="s">
        <v>2450</v>
      </c>
      <c r="D407" s="69">
        <v>1320825516</v>
      </c>
      <c r="E407" s="9">
        <v>1214</v>
      </c>
      <c r="F407" s="25">
        <v>42989</v>
      </c>
      <c r="G407" s="70" t="s">
        <v>1773</v>
      </c>
      <c r="H407" s="9"/>
      <c r="I407" s="8"/>
      <c r="J407" s="8"/>
      <c r="K407" s="8"/>
      <c r="L407" s="8"/>
      <c r="M407" s="8"/>
    </row>
    <row r="408" spans="1:13">
      <c r="A408" s="71" t="s">
        <v>2451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2452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2453</v>
      </c>
      <c r="B410" s="67"/>
      <c r="C410" s="29" t="s">
        <v>1886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2454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1773</v>
      </c>
      <c r="H411" s="9"/>
      <c r="I411" s="8"/>
      <c r="J411" s="8"/>
      <c r="K411" s="8"/>
      <c r="L411" s="8"/>
      <c r="M411" s="8"/>
    </row>
    <row r="412" spans="1:13">
      <c r="A412" s="71" t="s">
        <v>2455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1773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2456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2457</v>
      </c>
      <c r="B414" s="67">
        <v>93440340520</v>
      </c>
      <c r="C414" s="68" t="s">
        <v>2458</v>
      </c>
      <c r="D414" s="69">
        <v>8858333845</v>
      </c>
      <c r="E414" s="9">
        <v>1267</v>
      </c>
      <c r="F414" s="25">
        <v>42998</v>
      </c>
      <c r="G414" s="70" t="s">
        <v>1773</v>
      </c>
      <c r="H414" s="9"/>
      <c r="I414" s="8"/>
      <c r="J414" s="8"/>
      <c r="K414" s="8"/>
      <c r="L414" s="8"/>
      <c r="M414" s="8"/>
    </row>
    <row r="415" spans="1:13">
      <c r="A415" s="29" t="s">
        <v>2459</v>
      </c>
      <c r="B415" s="67">
        <v>21947877801</v>
      </c>
      <c r="C415" s="29" t="s">
        <v>2460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2461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1773</v>
      </c>
      <c r="H416" s="9"/>
      <c r="I416" s="8"/>
      <c r="J416" s="8"/>
      <c r="K416" s="8"/>
      <c r="L416" s="8"/>
      <c r="M416" s="8"/>
    </row>
    <row r="417" spans="1:13">
      <c r="A417" s="71" t="s">
        <v>2462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1773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2463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1773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2464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1773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2465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1773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2466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2467</v>
      </c>
      <c r="B422" s="67">
        <v>11163355810</v>
      </c>
      <c r="C422" s="72" t="s">
        <v>2468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2469</v>
      </c>
      <c r="B423" s="67">
        <v>12870537859</v>
      </c>
      <c r="C423" s="72" t="s">
        <v>2470</v>
      </c>
      <c r="D423" s="69">
        <v>59856912849</v>
      </c>
      <c r="E423" s="9">
        <v>1417</v>
      </c>
      <c r="F423" s="25">
        <v>43017</v>
      </c>
      <c r="G423" s="70" t="s">
        <v>1773</v>
      </c>
      <c r="H423" s="9"/>
      <c r="I423" s="8"/>
      <c r="J423" s="8"/>
      <c r="K423" s="8"/>
      <c r="L423" s="9" t="s">
        <v>2010</v>
      </c>
      <c r="M423" s="8"/>
    </row>
    <row r="424" spans="1:13">
      <c r="A424" s="14" t="s">
        <v>2471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1773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2472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2473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1773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2474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1773</v>
      </c>
      <c r="H427" s="9"/>
      <c r="I427" s="8"/>
      <c r="J427" s="8"/>
      <c r="K427" s="8"/>
      <c r="L427" s="8"/>
      <c r="M427" s="8"/>
    </row>
    <row r="428" spans="1:13">
      <c r="A428" s="15" t="s">
        <v>2475</v>
      </c>
      <c r="B428" s="67">
        <v>34133269888</v>
      </c>
      <c r="C428" s="72" t="s">
        <v>2476</v>
      </c>
      <c r="D428" s="69">
        <v>35360635860</v>
      </c>
      <c r="E428" s="9">
        <v>1824</v>
      </c>
      <c r="F428" s="25">
        <v>43091</v>
      </c>
      <c r="G428" s="70" t="s">
        <v>1773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2477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1773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2478</v>
      </c>
      <c r="B430" s="67">
        <v>26370314846</v>
      </c>
      <c r="C430" s="72" t="s">
        <v>2479</v>
      </c>
      <c r="D430" s="69">
        <v>26923862809</v>
      </c>
      <c r="E430" s="9">
        <v>117</v>
      </c>
      <c r="F430" s="25">
        <v>43117</v>
      </c>
      <c r="G430" s="70" t="s">
        <v>1773</v>
      </c>
      <c r="H430" s="9"/>
      <c r="I430" s="8"/>
      <c r="J430" s="8"/>
      <c r="K430" s="8"/>
      <c r="L430" s="9" t="s">
        <v>1927</v>
      </c>
      <c r="M430" s="8"/>
    </row>
    <row r="431" spans="1:13">
      <c r="A431" s="71" t="s">
        <v>2480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2481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1773</v>
      </c>
      <c r="H432" s="9"/>
      <c r="I432" s="8"/>
      <c r="J432" s="8"/>
      <c r="K432" s="8"/>
      <c r="L432" s="8"/>
      <c r="M432" s="8"/>
    </row>
    <row r="433" spans="1:13">
      <c r="A433" s="71" t="s">
        <v>2482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1773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2483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1773</v>
      </c>
      <c r="H434" s="9"/>
      <c r="I434" s="8"/>
      <c r="J434" s="8"/>
      <c r="K434" s="8"/>
      <c r="L434" s="8"/>
      <c r="M434" s="8"/>
    </row>
    <row r="435" spans="1:13">
      <c r="A435" s="71" t="s">
        <v>2484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1773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2485</v>
      </c>
      <c r="B436" s="67"/>
      <c r="C436" s="29" t="s">
        <v>1886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2486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1787</v>
      </c>
      <c r="H437" s="9"/>
      <c r="I437" s="8"/>
      <c r="J437" s="8"/>
      <c r="K437" s="8"/>
      <c r="L437" s="9" t="s">
        <v>1927</v>
      </c>
      <c r="M437" s="8"/>
    </row>
    <row r="438" spans="1:13">
      <c r="A438" s="71" t="s">
        <v>2487</v>
      </c>
      <c r="B438" s="67">
        <v>28413241847</v>
      </c>
      <c r="C438" s="72" t="s">
        <v>2488</v>
      </c>
      <c r="D438" s="69">
        <v>14661915895</v>
      </c>
      <c r="E438" s="9">
        <v>810</v>
      </c>
      <c r="F438" s="25">
        <v>42915</v>
      </c>
      <c r="G438" s="70" t="s">
        <v>1773</v>
      </c>
      <c r="H438" s="9"/>
      <c r="I438" s="8"/>
      <c r="J438" s="8"/>
      <c r="K438" s="8"/>
      <c r="L438" s="9" t="s">
        <v>1895</v>
      </c>
      <c r="M438" s="8"/>
    </row>
    <row r="439" spans="1:13">
      <c r="A439" s="15" t="s">
        <v>2489</v>
      </c>
      <c r="B439" s="67">
        <v>12898733806</v>
      </c>
      <c r="C439" s="72" t="s">
        <v>2490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2491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1773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2492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2493</v>
      </c>
      <c r="B442" s="67">
        <v>667192328</v>
      </c>
      <c r="C442" s="29" t="s">
        <v>2494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2495</v>
      </c>
      <c r="B443" s="67">
        <v>3474339443</v>
      </c>
      <c r="C443" s="72" t="s">
        <v>2496</v>
      </c>
      <c r="D443" s="69">
        <v>58073604515</v>
      </c>
      <c r="E443" s="9">
        <v>810</v>
      </c>
      <c r="F443" s="25">
        <v>42915</v>
      </c>
      <c r="G443" s="70" t="s">
        <v>1773</v>
      </c>
      <c r="H443" s="9"/>
      <c r="I443" s="8"/>
      <c r="J443" s="8"/>
      <c r="K443" s="8"/>
      <c r="L443" s="9" t="s">
        <v>1895</v>
      </c>
      <c r="M443" s="8"/>
    </row>
    <row r="444" spans="1:13">
      <c r="A444" s="71" t="s">
        <v>2497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1773</v>
      </c>
      <c r="H444" s="9"/>
      <c r="I444" s="8"/>
      <c r="J444" s="8"/>
      <c r="K444" s="8"/>
      <c r="L444" s="8"/>
      <c r="M444" s="8"/>
    </row>
    <row r="445" spans="1:13">
      <c r="A445" s="14" t="s">
        <v>2498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2499</v>
      </c>
      <c r="B446" s="67">
        <v>70014140349</v>
      </c>
      <c r="C446" s="72" t="s">
        <v>2500</v>
      </c>
      <c r="D446" s="69">
        <v>16412436863</v>
      </c>
      <c r="E446" s="9">
        <v>1262</v>
      </c>
      <c r="F446" s="25">
        <v>42997</v>
      </c>
      <c r="G446" s="70" t="s">
        <v>1773</v>
      </c>
      <c r="H446" s="9"/>
      <c r="I446" s="8"/>
      <c r="J446" s="8"/>
      <c r="K446" s="8"/>
      <c r="L446" s="8"/>
      <c r="M446" s="8"/>
    </row>
    <row r="447" spans="1:13">
      <c r="A447" s="71" t="s">
        <v>2501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2502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1773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2503</v>
      </c>
      <c r="B449" s="67">
        <v>42230945807</v>
      </c>
      <c r="C449" s="29" t="s">
        <v>2504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2505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1773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2506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1773</v>
      </c>
      <c r="H451" s="9"/>
      <c r="I451" s="8"/>
      <c r="J451" s="8"/>
      <c r="K451" s="8"/>
      <c r="L451" s="8"/>
      <c r="M451" s="8"/>
    </row>
    <row r="452" spans="1:13">
      <c r="A452" s="13" t="s">
        <v>2507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1773</v>
      </c>
      <c r="H452" s="9"/>
      <c r="I452" s="8"/>
      <c r="J452" s="8"/>
      <c r="K452" s="8"/>
      <c r="L452" s="9" t="s">
        <v>1917</v>
      </c>
      <c r="M452" s="8"/>
    </row>
    <row r="453" spans="1:13">
      <c r="A453" s="71" t="s">
        <v>2508</v>
      </c>
      <c r="B453" s="67">
        <v>7380335456</v>
      </c>
      <c r="C453" s="72" t="s">
        <v>2509</v>
      </c>
      <c r="D453" s="69">
        <v>7548744439</v>
      </c>
      <c r="E453" s="9">
        <v>810</v>
      </c>
      <c r="F453" s="25">
        <v>42915</v>
      </c>
      <c r="G453" s="70" t="s">
        <v>1773</v>
      </c>
      <c r="H453" s="9"/>
      <c r="I453" s="8"/>
      <c r="J453" s="8"/>
      <c r="K453" s="8"/>
      <c r="L453" s="9" t="s">
        <v>1895</v>
      </c>
      <c r="M453" s="8"/>
    </row>
    <row r="454" spans="1:13">
      <c r="A454" s="18" t="s">
        <v>2510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2511</v>
      </c>
      <c r="B455" s="67">
        <v>38529900847</v>
      </c>
      <c r="C455" s="72" t="s">
        <v>2512</v>
      </c>
      <c r="D455" s="69">
        <v>36056823830</v>
      </c>
      <c r="E455" s="9">
        <v>262</v>
      </c>
      <c r="F455" s="25">
        <v>43160</v>
      </c>
      <c r="G455" s="70" t="s">
        <v>1773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2513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1773</v>
      </c>
      <c r="H456" s="9"/>
      <c r="I456" s="8"/>
      <c r="J456" s="8"/>
      <c r="K456" s="8"/>
      <c r="L456" s="9" t="s">
        <v>2010</v>
      </c>
      <c r="M456" s="8"/>
    </row>
    <row r="457" spans="1:13">
      <c r="A457" s="13" t="s">
        <v>2514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1773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2515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1773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2516</v>
      </c>
      <c r="B459" s="67">
        <v>11806390817</v>
      </c>
      <c r="C459" s="72" t="s">
        <v>2517</v>
      </c>
      <c r="D459" s="69">
        <v>6924399860</v>
      </c>
      <c r="E459" s="9">
        <v>85</v>
      </c>
      <c r="F459" s="25">
        <v>43109</v>
      </c>
      <c r="G459" s="70" t="s">
        <v>1773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2518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2519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1773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2520</v>
      </c>
      <c r="B462" s="67">
        <v>32734621835</v>
      </c>
      <c r="C462" s="77" t="s">
        <v>2521</v>
      </c>
      <c r="D462" s="69" t="s">
        <v>2522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2523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1773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2524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2525</v>
      </c>
      <c r="B465" s="67">
        <v>31367730805</v>
      </c>
      <c r="C465" s="68" t="s">
        <v>2526</v>
      </c>
      <c r="D465" s="69">
        <v>39532354867</v>
      </c>
      <c r="E465" s="9">
        <v>1350</v>
      </c>
      <c r="F465" s="25">
        <v>43006</v>
      </c>
      <c r="G465" s="70" t="s">
        <v>1773</v>
      </c>
      <c r="H465" s="9"/>
      <c r="I465" s="8"/>
      <c r="J465" s="8"/>
      <c r="K465" s="8"/>
      <c r="L465" s="8"/>
      <c r="M465" s="8"/>
    </row>
    <row r="466" spans="1:13">
      <c r="A466" s="71" t="s">
        <v>2527</v>
      </c>
      <c r="B466" s="67">
        <v>5579867611</v>
      </c>
      <c r="C466" s="72" t="s">
        <v>2528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2529</v>
      </c>
      <c r="B467" s="67">
        <v>17118545813</v>
      </c>
      <c r="C467" s="72" t="s">
        <v>2530</v>
      </c>
      <c r="D467" s="69">
        <v>29932279803</v>
      </c>
      <c r="E467" s="9">
        <v>262</v>
      </c>
      <c r="F467" s="25">
        <v>43160</v>
      </c>
      <c r="G467" s="70" t="s">
        <v>1773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2531</v>
      </c>
      <c r="B468" s="67">
        <v>35031003855</v>
      </c>
      <c r="C468" s="72" t="s">
        <v>2532</v>
      </c>
      <c r="D468" s="69">
        <v>41246529840</v>
      </c>
      <c r="E468" s="9">
        <v>1422</v>
      </c>
      <c r="F468" s="25">
        <v>43018</v>
      </c>
      <c r="G468" s="70" t="s">
        <v>1773</v>
      </c>
      <c r="H468" s="9"/>
      <c r="I468" s="8"/>
      <c r="J468" s="8"/>
      <c r="K468" s="8"/>
      <c r="L468" s="8"/>
      <c r="M468" s="8"/>
    </row>
    <row r="469" spans="1:13">
      <c r="A469" s="32" t="s">
        <v>2533</v>
      </c>
      <c r="B469" s="67">
        <v>17803718884</v>
      </c>
      <c r="C469" s="32" t="s">
        <v>2534</v>
      </c>
      <c r="D469" s="69">
        <v>364628880</v>
      </c>
      <c r="E469" s="9">
        <v>1570</v>
      </c>
      <c r="F469" s="25">
        <v>43077</v>
      </c>
      <c r="G469" s="70" t="s">
        <v>1773</v>
      </c>
      <c r="H469" s="9"/>
      <c r="I469" s="8"/>
      <c r="J469" s="8"/>
      <c r="K469" s="8"/>
      <c r="L469" s="8"/>
      <c r="M469" s="8"/>
    </row>
    <row r="470" spans="1:13">
      <c r="A470" s="71" t="s">
        <v>2535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1773</v>
      </c>
      <c r="H470" s="9"/>
      <c r="I470" s="8"/>
      <c r="J470" s="8"/>
      <c r="K470" s="8"/>
      <c r="L470" s="9" t="s">
        <v>1927</v>
      </c>
      <c r="M470" s="8"/>
    </row>
    <row r="471" spans="1:13">
      <c r="A471" s="13" t="s">
        <v>2536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1773</v>
      </c>
      <c r="H471" s="9"/>
      <c r="I471" s="8"/>
      <c r="J471" s="8"/>
      <c r="K471" s="8"/>
      <c r="L471" s="8"/>
      <c r="M471" s="8"/>
    </row>
    <row r="472" spans="1:13">
      <c r="A472" s="71" t="s">
        <v>2537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1773</v>
      </c>
      <c r="H472" s="9"/>
      <c r="I472" s="8"/>
      <c r="J472" s="8"/>
      <c r="K472" s="8"/>
      <c r="L472" s="8"/>
      <c r="M472" s="8"/>
    </row>
    <row r="473" spans="1:13">
      <c r="A473" s="29" t="s">
        <v>2538</v>
      </c>
      <c r="B473" s="67">
        <v>22740303831</v>
      </c>
      <c r="C473" s="18" t="s">
        <v>1886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2539</v>
      </c>
      <c r="B474" s="67">
        <v>35482535800</v>
      </c>
      <c r="C474" s="72" t="s">
        <v>2540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2541</v>
      </c>
      <c r="B475" s="67">
        <v>22213116806</v>
      </c>
      <c r="C475" s="72" t="s">
        <v>2542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2543</v>
      </c>
      <c r="B476" s="67">
        <v>22168840814</v>
      </c>
      <c r="C476" s="29" t="s">
        <v>2544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2545</v>
      </c>
      <c r="B477" s="67">
        <v>30609785818</v>
      </c>
      <c r="C477" s="18" t="s">
        <v>2546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2547</v>
      </c>
      <c r="B478" s="67">
        <v>18515704897</v>
      </c>
      <c r="C478" s="18" t="s">
        <v>1886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2548</v>
      </c>
      <c r="B479" s="67">
        <v>14683022800</v>
      </c>
      <c r="C479" s="72" t="s">
        <v>2549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2550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2551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1773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2552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2553</v>
      </c>
      <c r="B483" s="67"/>
      <c r="C483" s="29" t="s">
        <v>1886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2554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1773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2555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1773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2556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1773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2557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1773</v>
      </c>
      <c r="H487" s="9"/>
      <c r="I487" s="8"/>
      <c r="J487" s="8"/>
      <c r="K487" s="8"/>
      <c r="L487" s="9" t="s">
        <v>1917</v>
      </c>
      <c r="M487" s="8"/>
    </row>
    <row r="488" spans="1:13">
      <c r="A488" s="13" t="s">
        <v>2558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1773</v>
      </c>
      <c r="H488" s="9"/>
      <c r="I488" s="8"/>
      <c r="J488" s="8"/>
      <c r="K488" s="8"/>
      <c r="L488" s="8"/>
      <c r="M488" s="8"/>
    </row>
    <row r="489" spans="1:13">
      <c r="A489" s="71" t="s">
        <v>2559</v>
      </c>
      <c r="B489" s="67">
        <v>36664921855</v>
      </c>
      <c r="C489" s="72" t="s">
        <v>2560</v>
      </c>
      <c r="D489" s="69">
        <v>28495923823</v>
      </c>
      <c r="E489" s="9">
        <v>117</v>
      </c>
      <c r="F489" s="25">
        <v>43117</v>
      </c>
      <c r="G489" s="70" t="s">
        <v>1779</v>
      </c>
      <c r="H489" s="9"/>
      <c r="I489" s="8"/>
      <c r="J489" s="8"/>
      <c r="K489" s="8"/>
      <c r="L489" s="9" t="s">
        <v>1927</v>
      </c>
      <c r="M489" s="8"/>
    </row>
    <row r="490" spans="1:13">
      <c r="A490" s="79" t="s">
        <v>2561</v>
      </c>
      <c r="B490" s="80">
        <v>22561317854</v>
      </c>
      <c r="C490" s="81" t="s">
        <v>2562</v>
      </c>
      <c r="D490" s="82">
        <v>26718748803</v>
      </c>
      <c r="E490" s="47">
        <v>1106</v>
      </c>
      <c r="F490" s="48">
        <v>42965</v>
      </c>
      <c r="G490" s="83" t="s">
        <v>1779</v>
      </c>
      <c r="H490" s="47"/>
      <c r="I490" s="49"/>
      <c r="J490" s="49"/>
      <c r="K490" s="49"/>
      <c r="L490" s="49"/>
      <c r="M490" s="49"/>
    </row>
    <row r="491" spans="1:13">
      <c r="A491" s="15" t="s">
        <v>2563</v>
      </c>
      <c r="B491" s="67">
        <v>34870463857</v>
      </c>
      <c r="C491" s="72" t="s">
        <v>2564</v>
      </c>
      <c r="D491" s="69">
        <v>7049816531</v>
      </c>
      <c r="E491" s="9">
        <v>292</v>
      </c>
      <c r="F491" s="25">
        <v>43168</v>
      </c>
      <c r="G491" s="70" t="s">
        <v>1773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2565</v>
      </c>
      <c r="B492" s="67">
        <v>35225854885</v>
      </c>
      <c r="C492" s="72" t="s">
        <v>2566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2567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1773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2568</v>
      </c>
      <c r="B494" s="67">
        <v>35929092826</v>
      </c>
      <c r="C494" s="72" t="s">
        <v>2569</v>
      </c>
      <c r="D494" s="69">
        <v>29462804893</v>
      </c>
      <c r="E494" s="9">
        <v>1267</v>
      </c>
      <c r="F494" s="25">
        <v>42998</v>
      </c>
      <c r="G494" s="70" t="s">
        <v>1773</v>
      </c>
      <c r="H494" s="9"/>
      <c r="I494" s="8"/>
      <c r="J494" s="8"/>
      <c r="K494" s="8"/>
      <c r="L494" s="8"/>
      <c r="M494" s="8"/>
    </row>
    <row r="495" spans="1:13">
      <c r="A495" s="71" t="s">
        <v>2570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2571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2572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2573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1773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2574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1787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2575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2576</v>
      </c>
      <c r="B501" s="67">
        <v>24660726886</v>
      </c>
      <c r="C501" s="72" t="s">
        <v>2577</v>
      </c>
      <c r="D501" s="69">
        <v>96400951504</v>
      </c>
      <c r="E501" s="9">
        <v>292</v>
      </c>
      <c r="F501" s="25">
        <v>43168</v>
      </c>
      <c r="G501" s="70" t="s">
        <v>1779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2578</v>
      </c>
      <c r="B502" s="69">
        <v>27863381827</v>
      </c>
      <c r="C502" s="71" t="s">
        <v>2579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2580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1773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2581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2582</v>
      </c>
      <c r="B505" s="67">
        <v>25856034821</v>
      </c>
      <c r="C505" s="72" t="s">
        <v>2583</v>
      </c>
      <c r="D505" s="69">
        <v>74821083353</v>
      </c>
      <c r="E505" s="9">
        <v>810</v>
      </c>
      <c r="F505" s="25">
        <v>42915</v>
      </c>
      <c r="G505" s="70" t="s">
        <v>1773</v>
      </c>
      <c r="H505" s="9"/>
      <c r="I505" s="8"/>
      <c r="J505" s="8"/>
      <c r="K505" s="8"/>
      <c r="L505" s="9" t="s">
        <v>1895</v>
      </c>
      <c r="M505" s="8"/>
    </row>
    <row r="506" spans="1:13">
      <c r="A506" s="71" t="s">
        <v>2584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2056</v>
      </c>
      <c r="M506" s="8"/>
    </row>
    <row r="507" spans="1:13">
      <c r="A507" s="71" t="s">
        <v>2585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2586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2056</v>
      </c>
      <c r="M508" s="8"/>
    </row>
    <row r="509" spans="1:13">
      <c r="A509" s="29" t="s">
        <v>2587</v>
      </c>
      <c r="B509" s="67">
        <v>4802267843</v>
      </c>
      <c r="C509" s="29" t="s">
        <v>2588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2589</v>
      </c>
      <c r="B510" s="67">
        <v>6672502807</v>
      </c>
      <c r="C510" s="72" t="s">
        <v>2590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2056</v>
      </c>
      <c r="M510" s="8"/>
    </row>
    <row r="511" spans="1:13">
      <c r="A511" s="18" t="s">
        <v>2591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2592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2593</v>
      </c>
      <c r="B513" s="67">
        <v>37233245843</v>
      </c>
      <c r="C513" s="29" t="s">
        <v>2594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2595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2596</v>
      </c>
      <c r="B515" s="67">
        <v>33456412835</v>
      </c>
      <c r="C515" s="72" t="s">
        <v>2597</v>
      </c>
      <c r="D515" s="69">
        <v>9387669882</v>
      </c>
      <c r="E515" s="9">
        <v>229</v>
      </c>
      <c r="F515" s="25">
        <v>43151</v>
      </c>
      <c r="G515" s="70" t="s">
        <v>1787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2598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1773</v>
      </c>
      <c r="H516" s="9"/>
      <c r="I516" s="8"/>
      <c r="J516" s="8"/>
      <c r="K516" s="8"/>
      <c r="L516" s="8"/>
      <c r="M516" s="8"/>
    </row>
    <row r="517" spans="1:13">
      <c r="A517" s="72" t="s">
        <v>2599</v>
      </c>
      <c r="B517" s="67">
        <v>10317452894</v>
      </c>
      <c r="C517" s="72" t="s">
        <v>2600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2601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1773</v>
      </c>
      <c r="H518" s="9"/>
      <c r="I518" s="8"/>
      <c r="J518" s="8"/>
      <c r="K518" s="8"/>
      <c r="L518" s="8"/>
      <c r="M518" s="8"/>
    </row>
    <row r="519" spans="1:13">
      <c r="A519" s="29" t="s">
        <v>2602</v>
      </c>
      <c r="B519" s="67"/>
      <c r="C519" s="29" t="s">
        <v>2603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2604</v>
      </c>
      <c r="B520" s="67">
        <v>42782953591</v>
      </c>
      <c r="C520" s="72" t="s">
        <v>2605</v>
      </c>
      <c r="D520" s="69">
        <v>53921186587</v>
      </c>
      <c r="E520" s="9">
        <v>85</v>
      </c>
      <c r="F520" s="25">
        <v>43109</v>
      </c>
      <c r="G520" s="70" t="s">
        <v>1773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2606</v>
      </c>
      <c r="B521" s="67">
        <v>3086762896</v>
      </c>
      <c r="C521" s="72" t="s">
        <v>2607</v>
      </c>
      <c r="D521" s="69">
        <v>89632877853</v>
      </c>
      <c r="E521" s="9">
        <v>810</v>
      </c>
      <c r="F521" s="25">
        <v>42915</v>
      </c>
      <c r="G521" s="70" t="s">
        <v>1773</v>
      </c>
      <c r="H521" s="9"/>
      <c r="I521" s="8"/>
      <c r="J521" s="8"/>
      <c r="K521" s="8"/>
      <c r="L521" s="9" t="s">
        <v>1895</v>
      </c>
      <c r="M521" s="8"/>
    </row>
    <row r="522" spans="1:13">
      <c r="A522" s="71" t="s">
        <v>2608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1773</v>
      </c>
      <c r="H522" s="9"/>
      <c r="I522" s="8"/>
      <c r="J522" s="8"/>
      <c r="K522" s="8"/>
      <c r="L522" s="8"/>
      <c r="M522" s="8"/>
    </row>
    <row r="523" spans="1:13">
      <c r="A523" s="13" t="s">
        <v>2609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1773</v>
      </c>
      <c r="H523" s="9"/>
      <c r="I523" s="8"/>
      <c r="J523" s="8"/>
      <c r="K523" s="8"/>
      <c r="L523" s="9" t="s">
        <v>2010</v>
      </c>
      <c r="M523" s="8"/>
    </row>
    <row r="524" spans="1:13">
      <c r="A524" s="33" t="s">
        <v>2610</v>
      </c>
      <c r="B524" s="67">
        <v>22624049843</v>
      </c>
      <c r="C524" s="32" t="s">
        <v>2611</v>
      </c>
      <c r="D524" s="69">
        <v>32978302801</v>
      </c>
      <c r="E524" s="9">
        <v>1570</v>
      </c>
      <c r="F524" s="25">
        <v>43077</v>
      </c>
      <c r="G524" s="70" t="s">
        <v>1773</v>
      </c>
      <c r="H524" s="9"/>
      <c r="I524" s="8"/>
      <c r="J524" s="8"/>
      <c r="K524" s="8"/>
      <c r="L524" s="8"/>
      <c r="M524" s="8"/>
    </row>
    <row r="525" spans="1:13">
      <c r="A525" s="15" t="s">
        <v>2612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2613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1773</v>
      </c>
      <c r="H526" s="9"/>
      <c r="I526" s="8"/>
      <c r="J526" s="8"/>
      <c r="K526" s="8"/>
      <c r="L526" s="9" t="s">
        <v>1917</v>
      </c>
      <c r="M526" s="8"/>
    </row>
    <row r="527" spans="1:13">
      <c r="A527" s="71" t="s">
        <v>2614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1773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2615</v>
      </c>
      <c r="B528" s="67">
        <v>27112847869</v>
      </c>
      <c r="C528" s="72" t="s">
        <v>2616</v>
      </c>
      <c r="D528" s="69">
        <v>37782363420</v>
      </c>
      <c r="E528" s="9">
        <v>1106</v>
      </c>
      <c r="F528" s="25">
        <v>42965</v>
      </c>
      <c r="G528" s="70" t="s">
        <v>1773</v>
      </c>
      <c r="H528" s="9"/>
      <c r="I528" s="8"/>
      <c r="J528" s="8"/>
      <c r="K528" s="8"/>
      <c r="L528" s="8"/>
      <c r="M528" s="8"/>
    </row>
    <row r="529" spans="1:13">
      <c r="A529" s="15" t="s">
        <v>2617</v>
      </c>
      <c r="B529" s="67">
        <v>32811648895</v>
      </c>
      <c r="C529" s="72" t="s">
        <v>2618</v>
      </c>
      <c r="D529" s="69">
        <v>25428395818</v>
      </c>
      <c r="E529" s="9">
        <v>85</v>
      </c>
      <c r="F529" s="25">
        <v>43109</v>
      </c>
      <c r="G529" s="70" t="s">
        <v>1773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2619</v>
      </c>
      <c r="B530" s="67">
        <v>12811159835</v>
      </c>
      <c r="C530" s="72" t="s">
        <v>2620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2621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2622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2623</v>
      </c>
      <c r="B533" s="67">
        <v>83941010468</v>
      </c>
      <c r="C533" s="18" t="s">
        <v>2624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2625</v>
      </c>
      <c r="B534" s="67">
        <v>43152462808</v>
      </c>
      <c r="C534" s="29" t="s">
        <v>2626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2627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2628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1773</v>
      </c>
      <c r="H536" s="9"/>
      <c r="I536" s="8"/>
      <c r="J536" s="8"/>
      <c r="K536" s="8"/>
      <c r="L536" s="8"/>
      <c r="M536" s="8"/>
    </row>
    <row r="537" spans="1:13">
      <c r="A537" s="29" t="s">
        <v>2629</v>
      </c>
      <c r="B537" s="67"/>
      <c r="C537" s="18" t="s">
        <v>1886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2630</v>
      </c>
      <c r="B538" s="67">
        <v>41249931886</v>
      </c>
      <c r="C538" s="72" t="s">
        <v>2631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2632</v>
      </c>
      <c r="B539" s="67">
        <v>34361118809</v>
      </c>
      <c r="C539" s="72" t="s">
        <v>2633</v>
      </c>
      <c r="D539" s="69">
        <v>14784595813</v>
      </c>
      <c r="E539" s="9">
        <v>85</v>
      </c>
      <c r="F539" s="25">
        <v>43109</v>
      </c>
      <c r="G539" s="70" t="s">
        <v>1773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2634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1773</v>
      </c>
      <c r="H540" s="9"/>
      <c r="I540" s="8"/>
      <c r="J540" s="8"/>
      <c r="K540" s="8"/>
      <c r="L540" s="9" t="s">
        <v>2259</v>
      </c>
      <c r="M540" s="8"/>
    </row>
    <row r="541" spans="1:13">
      <c r="A541" s="71" t="s">
        <v>2635</v>
      </c>
      <c r="B541" s="67">
        <v>45469747875</v>
      </c>
      <c r="C541" s="72" t="s">
        <v>2636</v>
      </c>
      <c r="D541" s="69">
        <v>39042679816</v>
      </c>
      <c r="E541" s="9">
        <v>117</v>
      </c>
      <c r="F541" s="25">
        <v>43117</v>
      </c>
      <c r="G541" s="70" t="s">
        <v>1773</v>
      </c>
      <c r="H541" s="9"/>
      <c r="I541" s="8"/>
      <c r="J541" s="8"/>
      <c r="K541" s="8"/>
      <c r="L541" s="9" t="s">
        <v>1927</v>
      </c>
      <c r="M541" s="8"/>
    </row>
    <row r="542" spans="1:13">
      <c r="A542" s="71" t="s">
        <v>2637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2638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1773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2639</v>
      </c>
      <c r="B544" s="67">
        <v>33199855822</v>
      </c>
      <c r="C544" s="18" t="s">
        <v>2640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2641</v>
      </c>
      <c r="B545" s="67">
        <v>32878318870</v>
      </c>
      <c r="C545" s="18" t="s">
        <v>2642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2643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1773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2644</v>
      </c>
      <c r="B547" s="67">
        <v>31328839800</v>
      </c>
      <c r="C547" s="72" t="s">
        <v>2645</v>
      </c>
      <c r="D547" s="69">
        <v>13482435898</v>
      </c>
      <c r="E547" s="9">
        <v>262</v>
      </c>
      <c r="F547" s="25">
        <v>43160</v>
      </c>
      <c r="G547" s="70" t="s">
        <v>1773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2646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1773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2647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1773</v>
      </c>
      <c r="H549" s="9"/>
      <c r="I549" s="8"/>
      <c r="J549" s="8"/>
      <c r="K549" s="8"/>
      <c r="L549" s="9" t="s">
        <v>1927</v>
      </c>
      <c r="M549" s="8"/>
    </row>
    <row r="550" spans="1:13">
      <c r="A550" s="73" t="s">
        <v>2648</v>
      </c>
      <c r="B550" s="67">
        <v>33311756843</v>
      </c>
      <c r="C550" s="72" t="s">
        <v>2649</v>
      </c>
      <c r="D550" s="69">
        <v>31561945811</v>
      </c>
      <c r="E550" s="9">
        <v>1106</v>
      </c>
      <c r="F550" s="25">
        <v>42965</v>
      </c>
      <c r="G550" s="70" t="s">
        <v>1773</v>
      </c>
      <c r="H550" s="9"/>
      <c r="I550" s="8"/>
      <c r="J550" s="8"/>
      <c r="K550" s="8"/>
      <c r="L550" s="8"/>
      <c r="M550" s="8"/>
    </row>
    <row r="551" spans="1:13">
      <c r="A551" s="71" t="s">
        <v>2650</v>
      </c>
      <c r="B551" s="67" t="s">
        <v>2651</v>
      </c>
      <c r="C551" s="77" t="s">
        <v>2652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2653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1773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2654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1773</v>
      </c>
      <c r="H553" s="9"/>
      <c r="I553" s="8"/>
      <c r="J553" s="8"/>
      <c r="K553" s="8"/>
      <c r="L553" s="8"/>
      <c r="M553" s="8"/>
    </row>
    <row r="554" spans="1:13">
      <c r="A554" s="29" t="s">
        <v>2655</v>
      </c>
      <c r="B554" s="67"/>
      <c r="C554" s="18" t="s">
        <v>1886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2656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1773</v>
      </c>
      <c r="H555" s="9"/>
      <c r="I555" s="8"/>
      <c r="J555" s="8"/>
      <c r="K555" s="8"/>
      <c r="L555" s="8"/>
      <c r="M555" s="8"/>
    </row>
    <row r="556" spans="1:13">
      <c r="A556" s="13" t="s">
        <v>2657</v>
      </c>
      <c r="B556" s="67">
        <v>37608246847</v>
      </c>
      <c r="C556" s="68" t="s">
        <v>2658</v>
      </c>
      <c r="D556" s="69">
        <v>27976942875</v>
      </c>
      <c r="E556" s="9">
        <v>608</v>
      </c>
      <c r="F556" s="25">
        <v>43012</v>
      </c>
      <c r="G556" s="70" t="s">
        <v>1773</v>
      </c>
      <c r="H556" s="9"/>
      <c r="I556" s="8"/>
      <c r="J556" s="8"/>
      <c r="K556" s="8"/>
      <c r="L556" s="8"/>
      <c r="M556" s="8"/>
    </row>
    <row r="557" spans="1:13">
      <c r="A557" s="14" t="s">
        <v>2659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2660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2661</v>
      </c>
      <c r="B559" s="67">
        <v>39990709866</v>
      </c>
      <c r="C559" s="72" t="s">
        <v>2662</v>
      </c>
      <c r="D559" s="69">
        <v>46936249850</v>
      </c>
      <c r="E559" s="9">
        <v>229</v>
      </c>
      <c r="F559" s="25">
        <v>43151</v>
      </c>
      <c r="G559" s="70" t="s">
        <v>1773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2663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2664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1773</v>
      </c>
      <c r="H561" s="9"/>
      <c r="I561" s="8"/>
      <c r="J561" s="8"/>
      <c r="K561" s="8"/>
      <c r="L561" s="8"/>
      <c r="M561" s="8"/>
    </row>
    <row r="562" spans="1:13">
      <c r="A562" s="71" t="s">
        <v>2665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1773</v>
      </c>
      <c r="H562" s="9"/>
      <c r="I562" s="8"/>
      <c r="J562" s="8"/>
      <c r="K562" s="8"/>
      <c r="L562" s="9" t="s">
        <v>1895</v>
      </c>
      <c r="M562" s="8"/>
    </row>
    <row r="563" spans="1:13">
      <c r="A563" s="71" t="s">
        <v>2666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2667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2668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1773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2669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2670</v>
      </c>
      <c r="B567" s="67">
        <v>9056201867</v>
      </c>
      <c r="C567" s="72" t="s">
        <v>2671</v>
      </c>
      <c r="D567" s="69">
        <v>59754605815</v>
      </c>
      <c r="E567" s="9">
        <v>810</v>
      </c>
      <c r="F567" s="25">
        <v>42915</v>
      </c>
      <c r="G567" s="70" t="s">
        <v>1773</v>
      </c>
      <c r="H567" s="9"/>
      <c r="I567" s="8"/>
      <c r="J567" s="8"/>
      <c r="K567" s="8"/>
      <c r="L567" s="9" t="s">
        <v>1895</v>
      </c>
      <c r="M567" s="8"/>
    </row>
    <row r="568" spans="1:13">
      <c r="A568" s="71" t="s">
        <v>2672</v>
      </c>
      <c r="B568" s="67">
        <v>4434698656</v>
      </c>
      <c r="C568" s="72" t="s">
        <v>2673</v>
      </c>
      <c r="D568" s="69">
        <v>75851300400</v>
      </c>
      <c r="E568" s="9">
        <v>810</v>
      </c>
      <c r="F568" s="25">
        <v>42915</v>
      </c>
      <c r="G568" s="70" t="s">
        <v>1773</v>
      </c>
      <c r="H568" s="9"/>
      <c r="I568" s="8"/>
      <c r="J568" s="8"/>
      <c r="K568" s="8"/>
      <c r="L568" s="9" t="s">
        <v>1895</v>
      </c>
      <c r="M568" s="8"/>
    </row>
    <row r="569" spans="1:13">
      <c r="A569" s="71" t="s">
        <v>2674</v>
      </c>
      <c r="B569" s="67">
        <v>27030279824</v>
      </c>
      <c r="C569" s="72" t="s">
        <v>2675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2676</v>
      </c>
      <c r="B570" s="67">
        <v>30478760884</v>
      </c>
      <c r="C570" s="77" t="s">
        <v>2677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2678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1773</v>
      </c>
      <c r="H571" s="76">
        <v>43213</v>
      </c>
      <c r="I571" s="8"/>
      <c r="J571" s="8"/>
      <c r="K571" s="8"/>
      <c r="L571" s="9" t="s">
        <v>1895</v>
      </c>
      <c r="M571" s="8"/>
    </row>
    <row r="572" spans="1:13">
      <c r="A572" s="71" t="s">
        <v>2679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1773</v>
      </c>
      <c r="H572" s="76">
        <v>43213</v>
      </c>
      <c r="I572" s="8"/>
      <c r="J572" s="8"/>
      <c r="K572" s="8"/>
      <c r="L572" s="9" t="s">
        <v>2010</v>
      </c>
      <c r="M572" s="8"/>
    </row>
    <row r="573" spans="1:13">
      <c r="A573" s="72" t="s">
        <v>2680</v>
      </c>
      <c r="B573" s="67">
        <v>16583214806</v>
      </c>
      <c r="C573" s="72" t="s">
        <v>2681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2682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2683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1773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2684</v>
      </c>
      <c r="B576" s="67">
        <v>6882969639</v>
      </c>
      <c r="C576" s="29" t="s">
        <v>2685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2686</v>
      </c>
      <c r="B577" s="67">
        <v>22449339892</v>
      </c>
      <c r="C577" s="29" t="s">
        <v>2687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2688</v>
      </c>
      <c r="B578" s="67"/>
      <c r="C578" s="18" t="s">
        <v>1886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2689</v>
      </c>
      <c r="B579" s="67">
        <v>22854740831</v>
      </c>
      <c r="C579" s="72" t="s">
        <v>2690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2691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2692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1773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2693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1773</v>
      </c>
      <c r="H582" s="9"/>
      <c r="I582" s="8"/>
      <c r="J582" s="8"/>
      <c r="K582" s="8"/>
      <c r="L582" s="9" t="s">
        <v>1895</v>
      </c>
      <c r="M582" s="8"/>
    </row>
    <row r="583" spans="1:13">
      <c r="A583" s="71" t="s">
        <v>2694</v>
      </c>
      <c r="B583" s="67">
        <v>47110994848</v>
      </c>
      <c r="C583" s="71" t="s">
        <v>2695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2696</v>
      </c>
      <c r="B584" s="67">
        <v>39353276845</v>
      </c>
      <c r="C584" s="72" t="s">
        <v>2697</v>
      </c>
      <c r="D584" s="69">
        <v>33343612847</v>
      </c>
      <c r="E584" s="9">
        <v>1417</v>
      </c>
      <c r="F584" s="25">
        <v>43017</v>
      </c>
      <c r="G584" s="70" t="s">
        <v>1779</v>
      </c>
      <c r="H584" s="9"/>
      <c r="I584" s="8"/>
      <c r="J584" s="8"/>
      <c r="K584" s="8"/>
      <c r="L584" s="9" t="s">
        <v>2010</v>
      </c>
      <c r="M584" s="8"/>
    </row>
    <row r="585" spans="1:13">
      <c r="A585" s="13" t="s">
        <v>2698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1773</v>
      </c>
      <c r="H585" s="9"/>
      <c r="I585" s="8"/>
      <c r="J585" s="8"/>
      <c r="K585" s="8"/>
      <c r="L585" s="8"/>
      <c r="M585" s="8"/>
    </row>
    <row r="586" spans="1:13">
      <c r="A586" s="13" t="s">
        <v>2699</v>
      </c>
      <c r="B586" s="67">
        <v>39937482801</v>
      </c>
      <c r="C586" s="68" t="s">
        <v>2700</v>
      </c>
      <c r="D586" s="69">
        <v>36243454860</v>
      </c>
      <c r="E586" s="9">
        <v>1128</v>
      </c>
      <c r="F586" s="25">
        <v>42972</v>
      </c>
      <c r="G586" s="70" t="s">
        <v>1773</v>
      </c>
      <c r="H586" s="9"/>
      <c r="I586" s="8"/>
      <c r="J586" s="8"/>
      <c r="K586" s="8"/>
      <c r="L586" s="8"/>
      <c r="M586" s="8"/>
    </row>
    <row r="587" spans="1:13">
      <c r="A587" s="13" t="s">
        <v>2701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1773</v>
      </c>
      <c r="H587" s="9"/>
      <c r="I587" s="8"/>
      <c r="J587" s="8"/>
      <c r="K587" s="8"/>
      <c r="L587" s="8"/>
      <c r="M587" s="8"/>
    </row>
    <row r="588" spans="1:13">
      <c r="A588" s="71" t="s">
        <v>2702</v>
      </c>
      <c r="B588" s="67">
        <v>4090078466</v>
      </c>
      <c r="C588" s="72" t="s">
        <v>2703</v>
      </c>
      <c r="D588" s="69">
        <v>31135278806</v>
      </c>
      <c r="E588" s="9">
        <v>1555</v>
      </c>
      <c r="F588" s="25">
        <v>43049</v>
      </c>
      <c r="G588" s="70" t="s">
        <v>1779</v>
      </c>
      <c r="H588" s="9"/>
      <c r="I588" s="8"/>
      <c r="J588" s="8"/>
      <c r="K588" s="8"/>
      <c r="L588" s="9" t="s">
        <v>2155</v>
      </c>
      <c r="M588" s="8"/>
    </row>
    <row r="589" spans="1:13">
      <c r="A589" s="72" t="s">
        <v>2704</v>
      </c>
      <c r="B589" s="67">
        <v>22857706855</v>
      </c>
      <c r="C589" s="72" t="s">
        <v>2705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2706</v>
      </c>
      <c r="B590" s="67">
        <v>30278629873</v>
      </c>
      <c r="C590" s="72" t="s">
        <v>2707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2708</v>
      </c>
      <c r="B591" s="67"/>
      <c r="C591" s="29" t="s">
        <v>2709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2710</v>
      </c>
      <c r="B592" s="67">
        <v>35569130896</v>
      </c>
      <c r="C592" s="72" t="s">
        <v>2711</v>
      </c>
      <c r="D592" s="69">
        <v>34252178878</v>
      </c>
      <c r="E592" s="9">
        <v>262</v>
      </c>
      <c r="F592" s="25">
        <v>43160</v>
      </c>
      <c r="G592" s="9" t="s">
        <v>1773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2712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1773</v>
      </c>
      <c r="H593" s="9"/>
      <c r="I593" s="8"/>
      <c r="J593" s="8"/>
      <c r="K593" s="8"/>
      <c r="L593" s="8"/>
      <c r="M593" s="8"/>
    </row>
    <row r="594" spans="1:13">
      <c r="A594" s="71" t="s">
        <v>2713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1773</v>
      </c>
      <c r="H594" s="9"/>
      <c r="I594" s="8"/>
      <c r="J594" s="8"/>
      <c r="K594" s="8"/>
      <c r="L594" s="9" t="s">
        <v>2155</v>
      </c>
      <c r="M594" s="8"/>
    </row>
    <row r="595" spans="1:13">
      <c r="A595" s="72" t="s">
        <v>2714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2715</v>
      </c>
      <c r="B596" s="67">
        <v>5704186580</v>
      </c>
      <c r="C596" s="72" t="s">
        <v>2716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2717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1773</v>
      </c>
      <c r="H597" s="9"/>
      <c r="I597" s="8"/>
      <c r="J597" s="8"/>
      <c r="K597" s="8"/>
      <c r="L597" s="8"/>
      <c r="M597" s="8"/>
    </row>
    <row r="598" spans="1:13">
      <c r="A598" s="13" t="s">
        <v>2718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1773</v>
      </c>
      <c r="H598" s="9"/>
      <c r="I598" s="8"/>
      <c r="J598" s="8"/>
      <c r="K598" s="8"/>
      <c r="L598" s="8"/>
      <c r="M598" s="8"/>
    </row>
    <row r="599" spans="1:13">
      <c r="A599" s="71" t="s">
        <v>2719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2720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1773</v>
      </c>
      <c r="H600" s="9"/>
      <c r="I600" s="8"/>
      <c r="J600" s="8"/>
      <c r="K600" s="8"/>
      <c r="L600" s="8"/>
      <c r="M600" s="8"/>
    </row>
    <row r="601" spans="1:13">
      <c r="A601" s="71" t="s">
        <v>2721</v>
      </c>
      <c r="B601" s="67">
        <v>38453816808</v>
      </c>
      <c r="C601" s="72" t="s">
        <v>2722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2723</v>
      </c>
      <c r="B602" s="67">
        <v>46366084882</v>
      </c>
      <c r="C602" s="18" t="s">
        <v>1886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2724</v>
      </c>
      <c r="B603" s="67"/>
      <c r="C603" s="18" t="s">
        <v>1886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2725</v>
      </c>
      <c r="B604" s="67">
        <v>40415212898</v>
      </c>
      <c r="C604" s="72" t="s">
        <v>2726</v>
      </c>
      <c r="D604" s="69">
        <v>35522659882</v>
      </c>
      <c r="E604" s="9">
        <v>262</v>
      </c>
      <c r="F604" s="25">
        <v>43160</v>
      </c>
      <c r="G604" s="70" t="s">
        <v>1773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2727</v>
      </c>
      <c r="B605" s="67">
        <v>41957432810</v>
      </c>
      <c r="C605" s="72" t="s">
        <v>2728</v>
      </c>
      <c r="D605" s="69">
        <v>22992085855</v>
      </c>
      <c r="E605" s="9">
        <v>1824</v>
      </c>
      <c r="F605" s="25">
        <v>43091</v>
      </c>
      <c r="G605" s="70" t="s">
        <v>1773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2729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1773</v>
      </c>
      <c r="H606" s="9"/>
      <c r="I606" s="8"/>
      <c r="J606" s="8"/>
      <c r="K606" s="8"/>
      <c r="L606" s="9" t="s">
        <v>1927</v>
      </c>
      <c r="M606" s="8"/>
    </row>
    <row r="607" spans="1:13">
      <c r="A607" s="15" t="s">
        <v>2730</v>
      </c>
      <c r="B607" s="67">
        <v>36252717886</v>
      </c>
      <c r="C607" s="72" t="s">
        <v>2731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2732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1773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2733</v>
      </c>
      <c r="B609" s="67">
        <v>23436019844</v>
      </c>
      <c r="C609" s="72" t="s">
        <v>2734</v>
      </c>
      <c r="D609" s="69">
        <v>35927095852</v>
      </c>
      <c r="E609" s="9">
        <v>810</v>
      </c>
      <c r="F609" s="25">
        <v>42915</v>
      </c>
      <c r="G609" s="70" t="s">
        <v>1773</v>
      </c>
      <c r="H609" s="9"/>
      <c r="I609" s="8"/>
      <c r="J609" s="8"/>
      <c r="K609" s="8"/>
      <c r="L609" s="9" t="s">
        <v>1895</v>
      </c>
      <c r="M609" s="8"/>
    </row>
    <row r="610" spans="1:13">
      <c r="A610" s="71" t="s">
        <v>2735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1773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2736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1773</v>
      </c>
      <c r="H611" s="9"/>
      <c r="I611" s="8"/>
      <c r="J611" s="8"/>
      <c r="K611" s="8"/>
      <c r="L611" s="8"/>
      <c r="M611" s="8"/>
    </row>
    <row r="612" spans="1:13">
      <c r="A612" s="71" t="s">
        <v>2737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1773</v>
      </c>
      <c r="H612" s="9"/>
      <c r="I612" s="8"/>
      <c r="J612" s="8"/>
      <c r="K612" s="8"/>
      <c r="L612" s="8"/>
      <c r="M612" s="8"/>
    </row>
    <row r="613" spans="1:13">
      <c r="A613" s="71" t="s">
        <v>2738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2739</v>
      </c>
      <c r="B614" s="67">
        <v>32114645819</v>
      </c>
      <c r="C614" s="72" t="s">
        <v>2740</v>
      </c>
      <c r="D614" s="69">
        <v>33183764857</v>
      </c>
      <c r="E614" s="9">
        <v>810</v>
      </c>
      <c r="F614" s="25">
        <v>42915</v>
      </c>
      <c r="G614" s="70" t="s">
        <v>1773</v>
      </c>
      <c r="H614" s="9"/>
      <c r="I614" s="8"/>
      <c r="J614" s="8"/>
      <c r="K614" s="8"/>
      <c r="L614" s="9" t="s">
        <v>1895</v>
      </c>
      <c r="M614" s="8"/>
    </row>
    <row r="615" spans="1:13">
      <c r="A615" s="29" t="s">
        <v>2741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2742</v>
      </c>
      <c r="B616" s="67">
        <v>4836720508</v>
      </c>
      <c r="C616" s="18" t="s">
        <v>2743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2744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1773</v>
      </c>
      <c r="H617" s="9"/>
      <c r="I617" s="8"/>
      <c r="J617" s="8"/>
      <c r="K617" s="8"/>
      <c r="L617" s="8"/>
      <c r="M617" s="8"/>
    </row>
    <row r="618" spans="1:13">
      <c r="A618" s="29" t="s">
        <v>2745</v>
      </c>
      <c r="B618" s="67">
        <v>42187654800</v>
      </c>
      <c r="C618" s="29" t="s">
        <v>2746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2747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1773</v>
      </c>
      <c r="H619" s="9"/>
      <c r="I619" s="8"/>
      <c r="J619" s="8"/>
      <c r="K619" s="8"/>
      <c r="L619" s="9" t="s">
        <v>2259</v>
      </c>
      <c r="M619" s="8"/>
    </row>
    <row r="620" spans="1:13">
      <c r="A620" s="71" t="s">
        <v>2748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2749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2750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2751</v>
      </c>
      <c r="B623" s="67">
        <v>1283631504</v>
      </c>
      <c r="C623" s="72" t="s">
        <v>2752</v>
      </c>
      <c r="D623" s="69">
        <v>62180886349</v>
      </c>
      <c r="E623" s="9">
        <v>1824</v>
      </c>
      <c r="F623" s="25">
        <v>43091</v>
      </c>
      <c r="G623" s="70" t="s">
        <v>1773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2753</v>
      </c>
      <c r="B624" s="67">
        <v>5389709527</v>
      </c>
      <c r="C624" s="86" t="s">
        <v>2754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2755</v>
      </c>
      <c r="B625" s="67">
        <v>1262412528</v>
      </c>
      <c r="C625" s="68" t="s">
        <v>2756</v>
      </c>
      <c r="D625" s="69">
        <v>3045815502</v>
      </c>
      <c r="E625" s="9">
        <v>1241</v>
      </c>
      <c r="F625" s="25">
        <v>42992</v>
      </c>
      <c r="G625" s="70" t="s">
        <v>1773</v>
      </c>
      <c r="H625" s="9"/>
      <c r="I625" s="8"/>
      <c r="J625" s="8"/>
      <c r="K625" s="8"/>
      <c r="L625" s="8"/>
      <c r="M625" s="8"/>
    </row>
    <row r="626" spans="1:13">
      <c r="A626" s="71" t="s">
        <v>2757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2056</v>
      </c>
      <c r="M626" s="8"/>
    </row>
    <row r="627" spans="1:13">
      <c r="A627" s="71" t="s">
        <v>2758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1981</v>
      </c>
      <c r="B628" s="67">
        <v>9704111460</v>
      </c>
      <c r="C628" s="72" t="s">
        <v>2759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2760</v>
      </c>
      <c r="B629" s="67">
        <v>41653576855</v>
      </c>
      <c r="C629" s="72" t="s">
        <v>2761</v>
      </c>
      <c r="D629" s="69">
        <v>33219880894</v>
      </c>
      <c r="E629" s="9">
        <v>1439</v>
      </c>
      <c r="F629" s="25">
        <v>43025</v>
      </c>
      <c r="G629" s="70" t="s">
        <v>1773</v>
      </c>
      <c r="H629" s="9"/>
      <c r="I629" s="8"/>
      <c r="J629" s="8"/>
      <c r="K629" s="8"/>
      <c r="L629" s="9" t="s">
        <v>2259</v>
      </c>
      <c r="M629" s="8"/>
    </row>
    <row r="630" spans="1:13">
      <c r="A630" s="71" t="s">
        <v>2762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1773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2763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1773</v>
      </c>
      <c r="H631" s="9"/>
      <c r="I631" s="8"/>
      <c r="J631" s="8"/>
      <c r="K631" s="8"/>
      <c r="L631" s="9" t="s">
        <v>1895</v>
      </c>
      <c r="M631" s="8"/>
    </row>
    <row r="632" spans="1:13">
      <c r="A632" s="29" t="s">
        <v>2764</v>
      </c>
      <c r="B632" s="67">
        <v>29065742875</v>
      </c>
      <c r="C632" s="29" t="s">
        <v>2765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2766</v>
      </c>
      <c r="B633" s="67">
        <v>39491305867</v>
      </c>
      <c r="C633" s="72" t="s">
        <v>2767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2768</v>
      </c>
      <c r="B634" s="67">
        <v>35049140846</v>
      </c>
      <c r="C634" s="18" t="s">
        <v>2769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2770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1773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2771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2056</v>
      </c>
      <c r="M636" s="8"/>
    </row>
    <row r="637" spans="1:13">
      <c r="A637" s="71" t="s">
        <v>2772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1773</v>
      </c>
      <c r="H637" s="9"/>
      <c r="I637" s="8"/>
      <c r="J637" s="8"/>
      <c r="K637" s="8"/>
      <c r="L637" s="8"/>
      <c r="M637" s="8"/>
    </row>
    <row r="638" spans="1:13">
      <c r="A638" s="18" t="s">
        <v>2773</v>
      </c>
      <c r="B638" s="67"/>
      <c r="C638" s="18" t="s">
        <v>2774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2775</v>
      </c>
      <c r="B639" s="67">
        <v>198674503</v>
      </c>
      <c r="C639" s="18" t="s">
        <v>2776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2777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2778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2779</v>
      </c>
      <c r="B642" s="67">
        <v>28074733858</v>
      </c>
      <c r="C642" s="72" t="s">
        <v>2780</v>
      </c>
      <c r="D642" s="69">
        <v>18033766867</v>
      </c>
      <c r="E642" s="9">
        <v>810</v>
      </c>
      <c r="F642" s="25">
        <v>42915</v>
      </c>
      <c r="G642" s="70" t="s">
        <v>1773</v>
      </c>
      <c r="H642" s="9"/>
      <c r="I642" s="8"/>
      <c r="J642" s="8"/>
      <c r="K642" s="8"/>
      <c r="L642" s="9" t="s">
        <v>1895</v>
      </c>
      <c r="M642" s="8"/>
    </row>
    <row r="643" spans="1:13">
      <c r="A643" s="71" t="s">
        <v>2781</v>
      </c>
      <c r="B643" s="67">
        <v>41583475800</v>
      </c>
      <c r="C643" s="72" t="s">
        <v>2782</v>
      </c>
      <c r="D643" s="69">
        <v>47688665817</v>
      </c>
      <c r="E643" s="9">
        <v>810</v>
      </c>
      <c r="F643" s="25">
        <v>42915</v>
      </c>
      <c r="G643" s="70" t="s">
        <v>1773</v>
      </c>
      <c r="H643" s="9"/>
      <c r="I643" s="8"/>
      <c r="J643" s="8"/>
      <c r="K643" s="8"/>
      <c r="L643" s="9" t="s">
        <v>1895</v>
      </c>
      <c r="M643" s="8"/>
    </row>
    <row r="644" spans="1:13">
      <c r="A644" s="71" t="s">
        <v>2783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1773</v>
      </c>
      <c r="H644" s="9"/>
      <c r="I644" s="8"/>
      <c r="J644" s="8"/>
      <c r="K644" s="8"/>
      <c r="L644" s="9" t="s">
        <v>1895</v>
      </c>
      <c r="M644" s="8"/>
    </row>
    <row r="645" spans="1:13">
      <c r="A645" s="13" t="s">
        <v>2784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1773</v>
      </c>
      <c r="H645" s="9"/>
      <c r="I645" s="8"/>
      <c r="J645" s="8"/>
      <c r="K645" s="8"/>
      <c r="L645" s="8"/>
      <c r="M645" s="8"/>
    </row>
    <row r="646" spans="1:13">
      <c r="A646" s="29" t="s">
        <v>2785</v>
      </c>
      <c r="B646" s="67"/>
      <c r="C646" s="18" t="s">
        <v>1886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2786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1773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2787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1773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2788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2789</v>
      </c>
      <c r="B650" s="67">
        <v>80234836334</v>
      </c>
      <c r="C650" s="72" t="s">
        <v>2790</v>
      </c>
      <c r="D650" s="69">
        <v>22522250841</v>
      </c>
      <c r="E650" s="9">
        <v>1267</v>
      </c>
      <c r="F650" s="25">
        <v>42998</v>
      </c>
      <c r="G650" s="70" t="s">
        <v>1773</v>
      </c>
      <c r="H650" s="9"/>
      <c r="I650" s="8"/>
      <c r="J650" s="8"/>
      <c r="K650" s="8"/>
      <c r="L650" s="8"/>
      <c r="M650" s="8"/>
    </row>
    <row r="651" spans="1:13">
      <c r="A651" s="71" t="s">
        <v>2791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1773</v>
      </c>
      <c r="H651" s="9"/>
      <c r="I651" s="8"/>
      <c r="J651" s="8"/>
      <c r="K651" s="8"/>
      <c r="L651" s="8"/>
      <c r="M651" s="8"/>
    </row>
    <row r="652" spans="1:13">
      <c r="A652" s="71" t="s">
        <v>2792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1773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2793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2794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1773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2795</v>
      </c>
      <c r="B655" s="67">
        <v>7385460895</v>
      </c>
      <c r="C655" s="72" t="s">
        <v>2796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2797</v>
      </c>
      <c r="B656" s="67">
        <v>31828009814</v>
      </c>
      <c r="C656" s="18" t="s">
        <v>2798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2799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1773</v>
      </c>
      <c r="H657" s="9"/>
      <c r="I657" s="8"/>
      <c r="J657" s="8"/>
      <c r="K657" s="8"/>
      <c r="L657" s="8"/>
      <c r="M657" s="8"/>
    </row>
    <row r="658" spans="1:13">
      <c r="A658" s="71" t="s">
        <v>2800</v>
      </c>
      <c r="B658" s="67">
        <v>15090098840</v>
      </c>
      <c r="C658" s="72" t="s">
        <v>2801</v>
      </c>
      <c r="D658" s="69">
        <v>3376233845</v>
      </c>
      <c r="E658" s="9">
        <v>1752</v>
      </c>
      <c r="F658" s="25">
        <v>43051</v>
      </c>
      <c r="G658" s="70" t="s">
        <v>1773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2802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1773</v>
      </c>
      <c r="H659" s="9"/>
      <c r="I659" s="8"/>
      <c r="J659" s="8"/>
      <c r="K659" s="8"/>
      <c r="L659" s="8"/>
      <c r="M659" s="8"/>
    </row>
    <row r="660" spans="1:13">
      <c r="A660" s="71" t="s">
        <v>2803</v>
      </c>
      <c r="B660" s="67">
        <v>30652965865</v>
      </c>
      <c r="C660" s="72" t="s">
        <v>2804</v>
      </c>
      <c r="D660" s="69">
        <v>23330127813</v>
      </c>
      <c r="E660" s="9">
        <v>1214</v>
      </c>
      <c r="F660" s="25">
        <v>42989</v>
      </c>
      <c r="G660" s="70" t="s">
        <v>1773</v>
      </c>
      <c r="H660" s="9"/>
      <c r="I660" s="8"/>
      <c r="J660" s="8"/>
      <c r="K660" s="8"/>
      <c r="L660" s="8"/>
      <c r="M660" s="8"/>
    </row>
    <row r="661" spans="1:13">
      <c r="A661" s="14" t="s">
        <v>2805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1773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2806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2807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1773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2808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2056</v>
      </c>
      <c r="M664" s="8"/>
    </row>
    <row r="665" spans="1:13">
      <c r="A665" s="71" t="s">
        <v>2809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1773</v>
      </c>
      <c r="H665" s="9"/>
      <c r="I665" s="8"/>
      <c r="J665" s="8"/>
      <c r="K665" s="8"/>
      <c r="L665" s="8"/>
      <c r="M665" s="8"/>
    </row>
    <row r="666" spans="1:13">
      <c r="A666" s="13" t="s">
        <v>2810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1773</v>
      </c>
      <c r="H666" s="9"/>
      <c r="I666" s="8"/>
      <c r="J666" s="8"/>
      <c r="K666" s="8"/>
      <c r="L666" s="8"/>
      <c r="M666" s="8"/>
    </row>
    <row r="667" spans="1:13">
      <c r="A667" s="71" t="s">
        <v>2811</v>
      </c>
      <c r="B667" s="67">
        <v>39898491825</v>
      </c>
      <c r="C667" s="72" t="s">
        <v>2812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2813</v>
      </c>
      <c r="B668" s="67">
        <v>96629428587</v>
      </c>
      <c r="C668" s="29" t="s">
        <v>2814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2815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1773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2816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1773</v>
      </c>
      <c r="H670" s="9"/>
      <c r="I670" s="8"/>
      <c r="J670" s="8"/>
      <c r="K670" s="8"/>
      <c r="L670" s="8"/>
      <c r="M670" s="8"/>
    </row>
    <row r="671" spans="1:13">
      <c r="A671" s="14" t="s">
        <v>2817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2818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1773</v>
      </c>
      <c r="H672" s="9"/>
      <c r="I672" s="8"/>
      <c r="J672" s="8"/>
      <c r="K672" s="8"/>
      <c r="L672" s="9" t="s">
        <v>2010</v>
      </c>
      <c r="M672" s="8"/>
    </row>
    <row r="673" spans="1:13">
      <c r="A673" s="71" t="s">
        <v>2819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1773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2820</v>
      </c>
      <c r="B674" s="67">
        <v>11438313810</v>
      </c>
      <c r="C674" s="72" t="s">
        <v>2821</v>
      </c>
      <c r="D674" s="69">
        <v>11400812844</v>
      </c>
      <c r="E674" s="9">
        <v>292</v>
      </c>
      <c r="F674" s="25">
        <v>43168</v>
      </c>
      <c r="G674" s="70" t="s">
        <v>1773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2822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2823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1773</v>
      </c>
      <c r="H676" s="9"/>
      <c r="I676" s="8"/>
      <c r="J676" s="8"/>
      <c r="K676" s="8"/>
      <c r="L676" s="8"/>
      <c r="M676" s="8"/>
    </row>
    <row r="677" spans="1:13">
      <c r="A677" s="14" t="s">
        <v>2824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1773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2825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2826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2827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1773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2828</v>
      </c>
      <c r="B681" s="34">
        <v>31970473894</v>
      </c>
      <c r="C681" s="17" t="s">
        <v>2829</v>
      </c>
      <c r="D681" s="35">
        <v>22945039885</v>
      </c>
      <c r="E681" s="36">
        <v>1128</v>
      </c>
      <c r="F681" s="37">
        <v>42972</v>
      </c>
      <c r="G681" s="38" t="s">
        <v>1773</v>
      </c>
      <c r="H681" s="9"/>
      <c r="I681" s="8"/>
      <c r="J681" s="8"/>
      <c r="K681" s="8"/>
      <c r="L681" s="8"/>
      <c r="M681" s="8"/>
    </row>
    <row r="682" spans="1:13">
      <c r="A682" s="72" t="s">
        <v>2830</v>
      </c>
      <c r="B682" s="67">
        <v>29486419850</v>
      </c>
      <c r="C682" s="72" t="s">
        <v>2831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2832</v>
      </c>
      <c r="B683" s="67">
        <v>73699993272</v>
      </c>
      <c r="C683" s="72" t="s">
        <v>2833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2834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1773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2835</v>
      </c>
      <c r="B685" s="67">
        <v>34833459817</v>
      </c>
      <c r="C685" s="68" t="s">
        <v>2836</v>
      </c>
      <c r="D685" s="69">
        <v>32077064870</v>
      </c>
      <c r="E685" s="9">
        <v>1128</v>
      </c>
      <c r="F685" s="25">
        <v>42972</v>
      </c>
      <c r="G685" s="70" t="s">
        <v>1773</v>
      </c>
      <c r="H685" s="9"/>
      <c r="I685" s="8"/>
      <c r="J685" s="8"/>
      <c r="K685" s="8"/>
      <c r="L685" s="8"/>
      <c r="M685" s="8"/>
    </row>
    <row r="686" spans="1:13">
      <c r="A686" s="13" t="s">
        <v>2837</v>
      </c>
      <c r="B686" s="67">
        <v>15203953880</v>
      </c>
      <c r="C686" s="72" t="s">
        <v>2838</v>
      </c>
      <c r="D686" s="69">
        <v>16339364810</v>
      </c>
      <c r="E686" s="9">
        <v>229</v>
      </c>
      <c r="F686" s="25">
        <v>43151</v>
      </c>
      <c r="G686" s="70" t="s">
        <v>1779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2839</v>
      </c>
      <c r="B687" s="67">
        <v>23891239882</v>
      </c>
      <c r="C687" s="72" t="s">
        <v>2840</v>
      </c>
      <c r="D687" s="69">
        <v>22474449892</v>
      </c>
      <c r="E687" s="9">
        <v>1555</v>
      </c>
      <c r="F687" s="25">
        <v>43049</v>
      </c>
      <c r="G687" s="70" t="s">
        <v>1773</v>
      </c>
      <c r="H687" s="9"/>
      <c r="I687" s="8"/>
      <c r="J687" s="8"/>
      <c r="K687" s="8"/>
      <c r="L687" s="9" t="s">
        <v>2155</v>
      </c>
      <c r="M687" s="8"/>
    </row>
    <row r="688" spans="1:13">
      <c r="A688" s="15" t="s">
        <v>2841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1773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2842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1773</v>
      </c>
      <c r="H689" s="9"/>
      <c r="I689" s="8"/>
      <c r="J689" s="8"/>
      <c r="K689" s="8"/>
      <c r="L689" s="9" t="s">
        <v>1895</v>
      </c>
      <c r="M689" s="8"/>
    </row>
    <row r="690" spans="1:13">
      <c r="A690" s="72" t="s">
        <v>2843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2056</v>
      </c>
      <c r="M690" s="8"/>
    </row>
    <row r="691" spans="1:13">
      <c r="A691" s="13" t="s">
        <v>2844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1773</v>
      </c>
      <c r="H691" s="9"/>
      <c r="I691" s="8"/>
      <c r="J691" s="8"/>
      <c r="K691" s="8"/>
      <c r="L691" s="8"/>
      <c r="M691" s="8"/>
    </row>
    <row r="692" spans="1:13">
      <c r="A692" s="30" t="s">
        <v>2845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2846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1773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2847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2848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1773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2849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1779</v>
      </c>
      <c r="H696" s="9"/>
      <c r="I696" s="8"/>
      <c r="J696" s="8"/>
      <c r="K696" s="8"/>
      <c r="L696" s="8"/>
      <c r="M696" s="8"/>
    </row>
    <row r="697" spans="1:13">
      <c r="A697" s="71" t="s">
        <v>2850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1773</v>
      </c>
      <c r="H697" s="9"/>
      <c r="I697" s="8"/>
      <c r="J697" s="8"/>
      <c r="K697" s="8"/>
      <c r="L697" s="8"/>
      <c r="M697" s="8"/>
    </row>
    <row r="698" spans="1:13">
      <c r="A698" s="71" t="s">
        <v>2851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1773</v>
      </c>
      <c r="H698" s="9"/>
      <c r="I698" s="8"/>
      <c r="J698" s="8"/>
      <c r="K698" s="8"/>
      <c r="L698" s="9" t="s">
        <v>1895</v>
      </c>
      <c r="M698" s="8"/>
    </row>
    <row r="699" spans="1:13">
      <c r="A699" s="71" t="s">
        <v>2852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2853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1773</v>
      </c>
      <c r="H700" s="9"/>
      <c r="I700" s="8"/>
      <c r="J700" s="8"/>
      <c r="K700" s="8"/>
      <c r="L700" s="9" t="s">
        <v>1917</v>
      </c>
      <c r="M700" s="8"/>
    </row>
    <row r="701" spans="1:13">
      <c r="A701" s="71" t="s">
        <v>2854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2855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2856</v>
      </c>
      <c r="B703" s="67">
        <v>25698933820</v>
      </c>
      <c r="C703" s="72" t="s">
        <v>2857</v>
      </c>
      <c r="D703" s="69">
        <v>14047433837</v>
      </c>
      <c r="E703" s="9">
        <v>810</v>
      </c>
      <c r="F703" s="25">
        <v>42915</v>
      </c>
      <c r="G703" s="70" t="s">
        <v>1773</v>
      </c>
      <c r="H703" s="76">
        <v>43213</v>
      </c>
      <c r="I703" s="8"/>
      <c r="J703" s="8"/>
      <c r="K703" s="8"/>
      <c r="L703" s="9" t="s">
        <v>1895</v>
      </c>
      <c r="M703" s="8"/>
    </row>
    <row r="704" spans="1:13">
      <c r="A704" s="71" t="s">
        <v>2858</v>
      </c>
      <c r="B704" s="67">
        <v>34806644315</v>
      </c>
      <c r="C704" s="72" t="s">
        <v>2859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2860</v>
      </c>
      <c r="B705" s="67">
        <v>33189488886</v>
      </c>
      <c r="C705" s="72" t="s">
        <v>2861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2862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1773</v>
      </c>
      <c r="H706" s="76">
        <v>43213</v>
      </c>
      <c r="I706" s="8"/>
      <c r="J706" s="8"/>
      <c r="K706" s="8"/>
      <c r="L706" s="9" t="s">
        <v>1895</v>
      </c>
      <c r="M706" s="8"/>
    </row>
    <row r="707" spans="1:13">
      <c r="A707" s="71" t="s">
        <v>2863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1773</v>
      </c>
      <c r="H707" s="76">
        <v>43213</v>
      </c>
      <c r="I707" s="8"/>
      <c r="J707" s="8"/>
      <c r="K707" s="8"/>
      <c r="L707" s="9" t="s">
        <v>2155</v>
      </c>
      <c r="M707" s="8"/>
    </row>
    <row r="708" spans="1:13">
      <c r="A708" s="13" t="s">
        <v>2864</v>
      </c>
      <c r="B708" s="67">
        <v>28390636549</v>
      </c>
      <c r="C708" s="72" t="s">
        <v>2865</v>
      </c>
      <c r="D708" s="69">
        <v>49042904534</v>
      </c>
      <c r="E708" s="9">
        <v>1343</v>
      </c>
      <c r="F708" s="25">
        <v>43004</v>
      </c>
      <c r="G708" s="70" t="s">
        <v>1773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2866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2867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1773</v>
      </c>
      <c r="H710" s="76">
        <v>43213</v>
      </c>
      <c r="I710" s="8"/>
      <c r="J710" s="8"/>
      <c r="K710" s="8"/>
      <c r="L710" s="9" t="s">
        <v>1895</v>
      </c>
      <c r="M710" s="8"/>
    </row>
    <row r="711" spans="1:13">
      <c r="A711" s="71" t="s">
        <v>2868</v>
      </c>
      <c r="B711" s="67">
        <v>27863123534</v>
      </c>
      <c r="C711" s="72" t="s">
        <v>2869</v>
      </c>
      <c r="D711" s="69">
        <v>33480142800</v>
      </c>
      <c r="E711" s="9">
        <v>1214</v>
      </c>
      <c r="F711" s="25">
        <v>42989</v>
      </c>
      <c r="G711" s="70" t="s">
        <v>1773</v>
      </c>
      <c r="H711" s="9"/>
      <c r="I711" s="8"/>
      <c r="J711" s="8"/>
      <c r="K711" s="8"/>
      <c r="L711" s="8"/>
      <c r="M711" s="8"/>
    </row>
    <row r="712" spans="1:13">
      <c r="A712" s="72" t="s">
        <v>2870</v>
      </c>
      <c r="B712" s="67">
        <v>39454972804</v>
      </c>
      <c r="C712" s="72" t="s">
        <v>2871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2872</v>
      </c>
      <c r="B713" s="67"/>
      <c r="C713" s="29" t="s">
        <v>2873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2874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1773</v>
      </c>
      <c r="H714" s="9"/>
      <c r="I714" s="8"/>
      <c r="J714" s="8"/>
      <c r="K714" s="8"/>
      <c r="L714" s="8"/>
      <c r="M714" s="8"/>
    </row>
    <row r="715" spans="1:13">
      <c r="A715" s="15" t="s">
        <v>2875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1773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2876</v>
      </c>
      <c r="B716" s="67">
        <v>17810014803</v>
      </c>
      <c r="C716" s="72" t="s">
        <v>2877</v>
      </c>
      <c r="D716" s="69">
        <v>28934526807</v>
      </c>
      <c r="E716" s="9">
        <v>292</v>
      </c>
      <c r="F716" s="25">
        <v>43168</v>
      </c>
      <c r="G716" s="9" t="s">
        <v>1773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2878</v>
      </c>
      <c r="B717" s="67">
        <v>724258574</v>
      </c>
      <c r="C717" s="72" t="s">
        <v>2879</v>
      </c>
      <c r="D717" s="69">
        <v>18303361856</v>
      </c>
      <c r="E717" s="9">
        <v>262</v>
      </c>
      <c r="F717" s="25">
        <v>43160</v>
      </c>
      <c r="G717" s="70" t="s">
        <v>1773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2880</v>
      </c>
      <c r="B718" s="67">
        <v>37453999863</v>
      </c>
      <c r="C718" s="72" t="s">
        <v>2881</v>
      </c>
      <c r="D718" s="69"/>
      <c r="E718" s="9">
        <v>1241</v>
      </c>
      <c r="F718" s="25">
        <v>42992</v>
      </c>
      <c r="G718" s="70" t="s">
        <v>1773</v>
      </c>
      <c r="H718" s="9"/>
      <c r="I718" s="8"/>
      <c r="J718" s="8"/>
      <c r="K718" s="8"/>
      <c r="L718" s="8"/>
      <c r="M718" s="8"/>
    </row>
    <row r="719" spans="1:13">
      <c r="A719" s="71" t="s">
        <v>2882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2883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1773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2884</v>
      </c>
      <c r="B721" s="67">
        <v>30308539850</v>
      </c>
      <c r="C721" s="72" t="s">
        <v>2885</v>
      </c>
      <c r="D721" s="69">
        <v>84739517434</v>
      </c>
      <c r="E721" s="9">
        <v>810</v>
      </c>
      <c r="F721" s="25">
        <v>42915</v>
      </c>
      <c r="G721" s="70" t="s">
        <v>1773</v>
      </c>
      <c r="H721" s="9"/>
      <c r="I721" s="8"/>
      <c r="J721" s="8"/>
      <c r="K721" s="8"/>
      <c r="L721" s="9" t="s">
        <v>1895</v>
      </c>
      <c r="M721" s="8"/>
    </row>
    <row r="722" spans="1:13">
      <c r="A722" s="71" t="s">
        <v>2886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2887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2888</v>
      </c>
      <c r="B724" s="67">
        <v>21716687845</v>
      </c>
      <c r="C724" s="15" t="s">
        <v>2889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2890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1773</v>
      </c>
      <c r="H725" s="9"/>
      <c r="I725" s="8"/>
      <c r="J725" s="8"/>
      <c r="K725" s="8"/>
      <c r="L725" s="8"/>
      <c r="M725" s="8"/>
    </row>
    <row r="726" spans="1:13">
      <c r="A726" s="14" t="s">
        <v>2891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1773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2892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1773</v>
      </c>
      <c r="H727" s="9"/>
      <c r="I727" s="8"/>
      <c r="J727" s="8"/>
      <c r="K727" s="8"/>
      <c r="L727" s="9" t="s">
        <v>2010</v>
      </c>
      <c r="M727" s="8"/>
    </row>
    <row r="728" spans="1:13">
      <c r="A728" s="14" t="s">
        <v>2893</v>
      </c>
      <c r="B728" s="67">
        <v>99658925553</v>
      </c>
      <c r="C728" s="72" t="s">
        <v>2894</v>
      </c>
      <c r="D728" s="69">
        <v>99610108504</v>
      </c>
      <c r="E728" s="9">
        <v>262</v>
      </c>
      <c r="F728" s="25">
        <v>43160</v>
      </c>
      <c r="G728" s="70" t="s">
        <v>1773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2895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1773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2896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1773</v>
      </c>
      <c r="H730" s="9"/>
      <c r="I730" s="8"/>
      <c r="J730" s="8"/>
      <c r="K730" s="8"/>
      <c r="L730" s="8"/>
      <c r="M730" s="8"/>
    </row>
    <row r="731" spans="1:13">
      <c r="A731" s="29" t="s">
        <v>2897</v>
      </c>
      <c r="B731" s="67"/>
      <c r="C731" s="18" t="s">
        <v>1886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2898</v>
      </c>
      <c r="B732" s="67">
        <v>25905224870</v>
      </c>
      <c r="C732" s="68" t="s">
        <v>2899</v>
      </c>
      <c r="D732" s="69">
        <v>36185256304</v>
      </c>
      <c r="E732" s="9">
        <v>1824</v>
      </c>
      <c r="F732" s="25">
        <v>43091</v>
      </c>
      <c r="G732" s="70" t="s">
        <v>1773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2900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1773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2901</v>
      </c>
      <c r="B734" s="67">
        <v>33160363856</v>
      </c>
      <c r="C734" s="72" t="s">
        <v>2902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2903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1773</v>
      </c>
      <c r="H735" s="9"/>
      <c r="I735" s="8"/>
      <c r="J735" s="8"/>
      <c r="K735" s="8"/>
      <c r="L735" s="9" t="s">
        <v>2010</v>
      </c>
      <c r="M735" s="8"/>
    </row>
    <row r="736" spans="1:13">
      <c r="A736" s="15" t="s">
        <v>2904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1773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2905</v>
      </c>
      <c r="B737" s="67">
        <v>71752722434</v>
      </c>
      <c r="C737" s="18" t="s">
        <v>1886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2906</v>
      </c>
      <c r="B738" s="67">
        <v>8590565890</v>
      </c>
      <c r="C738" s="72" t="s">
        <v>2907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2056</v>
      </c>
      <c r="M738" s="8"/>
    </row>
    <row r="739" spans="1:13">
      <c r="A739" s="71" t="s">
        <v>2908</v>
      </c>
      <c r="B739" s="67">
        <v>35556660883</v>
      </c>
      <c r="C739" s="72" t="s">
        <v>2909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2910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2911</v>
      </c>
      <c r="B741" s="67">
        <v>25905305870</v>
      </c>
      <c r="C741" s="72" t="s">
        <v>2912</v>
      </c>
      <c r="D741" s="69">
        <v>11480794830</v>
      </c>
      <c r="E741" s="9">
        <v>1267</v>
      </c>
      <c r="F741" s="25">
        <v>42998</v>
      </c>
      <c r="G741" s="70" t="s">
        <v>1773</v>
      </c>
      <c r="H741" s="9"/>
      <c r="I741" s="8"/>
      <c r="J741" s="8"/>
      <c r="K741" s="8"/>
      <c r="L741" s="8"/>
      <c r="M741" s="8"/>
    </row>
    <row r="742" spans="1:13">
      <c r="A742" s="71" t="s">
        <v>2913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2914</v>
      </c>
      <c r="B743" s="67">
        <v>18360141800</v>
      </c>
      <c r="C743" s="72" t="s">
        <v>2915</v>
      </c>
      <c r="D743" s="69">
        <v>48201979591</v>
      </c>
      <c r="E743" s="9">
        <v>117</v>
      </c>
      <c r="F743" s="25">
        <v>43117</v>
      </c>
      <c r="G743" s="70" t="s">
        <v>1773</v>
      </c>
      <c r="H743" s="9"/>
      <c r="I743" s="8"/>
      <c r="J743" s="8"/>
      <c r="K743" s="8"/>
      <c r="L743" s="9" t="s">
        <v>1927</v>
      </c>
      <c r="M743" s="8"/>
    </row>
    <row r="744" spans="1:13">
      <c r="A744" s="15" t="s">
        <v>2916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1927</v>
      </c>
      <c r="M744" s="8"/>
    </row>
    <row r="745" spans="1:13">
      <c r="A745" s="71" t="s">
        <v>2917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2918</v>
      </c>
      <c r="B746" s="67">
        <v>36613647829</v>
      </c>
      <c r="C746" s="72" t="s">
        <v>2919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2920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1773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2921</v>
      </c>
      <c r="B748" s="67">
        <v>25332480881</v>
      </c>
      <c r="C748" s="18" t="s">
        <v>1886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2922</v>
      </c>
      <c r="B749" s="67">
        <v>16365042809</v>
      </c>
      <c r="C749" s="72" t="s">
        <v>2923</v>
      </c>
      <c r="D749" s="69">
        <v>26488933850</v>
      </c>
      <c r="E749" s="9">
        <v>117</v>
      </c>
      <c r="F749" s="25">
        <v>43117</v>
      </c>
      <c r="G749" s="70" t="s">
        <v>1773</v>
      </c>
      <c r="H749" s="25">
        <v>43151</v>
      </c>
      <c r="I749" s="8"/>
      <c r="J749" s="8"/>
      <c r="K749" s="8"/>
      <c r="L749" s="9" t="s">
        <v>1927</v>
      </c>
      <c r="M749" s="8"/>
    </row>
    <row r="750" spans="1:13">
      <c r="A750" s="15" t="s">
        <v>2924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1773</v>
      </c>
      <c r="H750" s="25">
        <v>43151</v>
      </c>
      <c r="I750" s="8"/>
      <c r="J750" s="8"/>
      <c r="K750" s="8"/>
      <c r="L750" s="9" t="s">
        <v>1927</v>
      </c>
      <c r="M750" s="8"/>
    </row>
    <row r="751" spans="1:13">
      <c r="A751" s="71" t="s">
        <v>2925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2926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1779</v>
      </c>
      <c r="H752" s="9"/>
      <c r="I752" s="8"/>
      <c r="J752" s="8"/>
      <c r="K752" s="8"/>
      <c r="L752" s="8"/>
      <c r="M752" s="8"/>
    </row>
    <row r="753" spans="1:13">
      <c r="A753" s="71" t="s">
        <v>2927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1773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2928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1773</v>
      </c>
      <c r="H754" s="9"/>
      <c r="I754" s="8"/>
      <c r="J754" s="8"/>
      <c r="K754" s="8"/>
      <c r="L754" s="8"/>
      <c r="M754" s="8"/>
    </row>
    <row r="755" spans="1:13">
      <c r="A755" s="29" t="s">
        <v>2929</v>
      </c>
      <c r="B755" s="67"/>
      <c r="C755" s="18" t="s">
        <v>1886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2930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2931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1773</v>
      </c>
      <c r="H757" s="9"/>
      <c r="I757" s="8"/>
      <c r="J757" s="8"/>
      <c r="K757" s="8"/>
      <c r="L757" s="8"/>
      <c r="M757" s="8"/>
    </row>
    <row r="758" spans="1:13">
      <c r="A758" s="71" t="s">
        <v>2932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2933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1895</v>
      </c>
      <c r="M759" s="8"/>
    </row>
    <row r="760" spans="1:13">
      <c r="A760" s="71" t="s">
        <v>2934</v>
      </c>
      <c r="B760" s="67">
        <v>41756319847</v>
      </c>
      <c r="C760" s="72" t="s">
        <v>2935</v>
      </c>
      <c r="D760" s="69">
        <v>28780799817</v>
      </c>
      <c r="E760" s="9">
        <v>1489</v>
      </c>
      <c r="F760" s="25">
        <v>43038</v>
      </c>
      <c r="G760" s="70" t="s">
        <v>1787</v>
      </c>
      <c r="H760" s="9"/>
      <c r="I760" s="8"/>
      <c r="J760" s="8"/>
      <c r="K760" s="8"/>
      <c r="L760" s="9" t="s">
        <v>1917</v>
      </c>
      <c r="M760" s="8"/>
    </row>
    <row r="761" spans="1:13">
      <c r="A761" s="71" t="s">
        <v>2936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1773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2937</v>
      </c>
      <c r="B762" s="67"/>
      <c r="C762" s="29" t="s">
        <v>1886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2938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2939</v>
      </c>
      <c r="B764" s="67">
        <v>39762019873</v>
      </c>
      <c r="C764" s="68" t="s">
        <v>2940</v>
      </c>
      <c r="D764" s="69">
        <v>28639452890</v>
      </c>
      <c r="E764" s="9">
        <v>1128</v>
      </c>
      <c r="F764" s="25">
        <v>42972</v>
      </c>
      <c r="G764" s="70" t="s">
        <v>1773</v>
      </c>
      <c r="H764" s="9"/>
      <c r="I764" s="8"/>
      <c r="J764" s="8"/>
      <c r="K764" s="8"/>
      <c r="L764" s="8"/>
      <c r="M764" s="8"/>
    </row>
    <row r="765" spans="1:13">
      <c r="A765" s="71" t="s">
        <v>2941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1773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2942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2943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1773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2944</v>
      </c>
      <c r="B768" s="67">
        <v>21914504828</v>
      </c>
      <c r="C768" s="72" t="s">
        <v>2945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2946</v>
      </c>
      <c r="B769" s="67">
        <v>11259745830</v>
      </c>
      <c r="C769" s="72" t="s">
        <v>2947</v>
      </c>
      <c r="D769" s="69">
        <v>49121901368</v>
      </c>
      <c r="E769" s="9">
        <v>262</v>
      </c>
      <c r="F769" s="25">
        <v>43160</v>
      </c>
      <c r="G769" s="70" t="s">
        <v>1773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2948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1773</v>
      </c>
      <c r="H770" s="9"/>
      <c r="I770" s="8"/>
      <c r="J770" s="8"/>
      <c r="K770" s="8"/>
      <c r="L770" s="8"/>
      <c r="M770" s="8"/>
    </row>
    <row r="771" spans="1:13">
      <c r="A771" s="72" t="s">
        <v>2949</v>
      </c>
      <c r="B771" s="67">
        <v>22547591839</v>
      </c>
      <c r="C771" s="72" t="s">
        <v>2950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2951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2952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2953</v>
      </c>
      <c r="B774" s="67">
        <v>9881940400</v>
      </c>
      <c r="C774" s="72" t="s">
        <v>2954</v>
      </c>
      <c r="D774" s="69">
        <v>1778905501</v>
      </c>
      <c r="E774" s="9">
        <v>262</v>
      </c>
      <c r="F774" s="25">
        <v>43160</v>
      </c>
      <c r="G774" s="70" t="s">
        <v>1779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2955</v>
      </c>
      <c r="B775" s="67">
        <v>18240627889</v>
      </c>
      <c r="C775" s="77" t="s">
        <v>2956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2957</v>
      </c>
      <c r="B776" s="67">
        <v>34715955890</v>
      </c>
      <c r="C776" s="72" t="s">
        <v>2958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2959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1773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2960</v>
      </c>
      <c r="B778" s="67">
        <v>2413902490</v>
      </c>
      <c r="C778" s="77" t="s">
        <v>2961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2962</v>
      </c>
      <c r="B779" s="67">
        <v>30558706894</v>
      </c>
      <c r="C779" s="72" t="s">
        <v>2963</v>
      </c>
      <c r="D779" s="69">
        <v>87700352372</v>
      </c>
      <c r="E779" s="9">
        <v>810</v>
      </c>
      <c r="F779" s="25">
        <v>42915</v>
      </c>
      <c r="G779" s="70" t="s">
        <v>1773</v>
      </c>
      <c r="H779" s="9"/>
      <c r="I779" s="8"/>
      <c r="J779" s="8"/>
      <c r="K779" s="8"/>
      <c r="L779" s="9" t="s">
        <v>1895</v>
      </c>
      <c r="M779" s="8"/>
    </row>
    <row r="780" spans="1:13">
      <c r="A780" s="71" t="s">
        <v>2964</v>
      </c>
      <c r="B780" s="67">
        <v>27926471836</v>
      </c>
      <c r="C780" s="72" t="s">
        <v>2965</v>
      </c>
      <c r="D780" s="69">
        <v>2210309484</v>
      </c>
      <c r="E780" s="9">
        <v>1439</v>
      </c>
      <c r="F780" s="25">
        <v>43025</v>
      </c>
      <c r="G780" s="70" t="s">
        <v>1779</v>
      </c>
      <c r="H780" s="9"/>
      <c r="I780" s="8"/>
      <c r="J780" s="8"/>
      <c r="K780" s="8"/>
      <c r="L780" s="9" t="s">
        <v>2259</v>
      </c>
      <c r="M780" s="8"/>
    </row>
    <row r="781" spans="1:13">
      <c r="A781" s="15" t="s">
        <v>2966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1773</v>
      </c>
      <c r="H781" s="9"/>
      <c r="I781" s="8"/>
      <c r="J781" s="8"/>
      <c r="K781" s="8"/>
      <c r="L781" s="9" t="s">
        <v>1927</v>
      </c>
      <c r="M781" s="8"/>
    </row>
    <row r="782" spans="1:13">
      <c r="A782" s="71" t="s">
        <v>2967</v>
      </c>
      <c r="B782" s="67">
        <v>47361352391</v>
      </c>
      <c r="C782" s="72" t="s">
        <v>2968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2969</v>
      </c>
      <c r="B783" s="67">
        <v>32763223826</v>
      </c>
      <c r="C783" s="72" t="s">
        <v>2970</v>
      </c>
      <c r="D783" s="69">
        <v>27936363807</v>
      </c>
      <c r="E783" s="9">
        <v>608</v>
      </c>
      <c r="F783" s="25">
        <v>43012</v>
      </c>
      <c r="G783" s="70" t="s">
        <v>1773</v>
      </c>
      <c r="H783" s="9"/>
      <c r="I783" s="8"/>
      <c r="J783" s="8"/>
      <c r="K783" s="8"/>
      <c r="L783" s="8"/>
      <c r="M783" s="8"/>
    </row>
    <row r="784" spans="1:13">
      <c r="A784" s="18" t="s">
        <v>2971</v>
      </c>
      <c r="B784" s="67"/>
      <c r="C784" s="18" t="s">
        <v>2972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2973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1773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2974</v>
      </c>
      <c r="B786" s="67">
        <v>39068600869</v>
      </c>
      <c r="C786" s="72"/>
      <c r="D786" s="69"/>
      <c r="E786" s="9"/>
      <c r="F786" s="25"/>
      <c r="G786" s="70" t="s">
        <v>1773</v>
      </c>
      <c r="H786" s="9"/>
      <c r="I786" s="8"/>
      <c r="J786" s="8"/>
      <c r="K786" s="8"/>
      <c r="L786" s="8"/>
      <c r="M786" s="8"/>
    </row>
    <row r="787" spans="1:13">
      <c r="A787" s="29" t="s">
        <v>2975</v>
      </c>
      <c r="B787" s="67">
        <v>31875471847</v>
      </c>
      <c r="C787" s="18" t="s">
        <v>2976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2977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2978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2979</v>
      </c>
      <c r="B790" s="67">
        <v>11634805844</v>
      </c>
      <c r="C790" s="29" t="s">
        <v>1886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2980</v>
      </c>
      <c r="B791" s="67">
        <v>39485124856</v>
      </c>
      <c r="C791" s="72" t="s">
        <v>2981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2982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2983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2984</v>
      </c>
      <c r="B794" s="67">
        <v>32221516877</v>
      </c>
      <c r="C794" s="72" t="s">
        <v>2985</v>
      </c>
      <c r="D794" s="69">
        <v>18338419800</v>
      </c>
      <c r="E794" s="9">
        <v>1752</v>
      </c>
      <c r="F794" s="25">
        <v>43051</v>
      </c>
      <c r="G794" s="70" t="s">
        <v>1773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2986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2987</v>
      </c>
      <c r="B796" s="67">
        <v>43951626810</v>
      </c>
      <c r="C796" s="72" t="s">
        <v>2988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2989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2990</v>
      </c>
      <c r="B798" s="67">
        <v>40840895836</v>
      </c>
      <c r="C798" s="72" t="s">
        <v>2991</v>
      </c>
      <c r="D798" s="69">
        <v>39329913890</v>
      </c>
      <c r="E798" s="9">
        <v>1106</v>
      </c>
      <c r="F798" s="25">
        <v>42965</v>
      </c>
      <c r="G798" s="70" t="s">
        <v>1773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2992</v>
      </c>
      <c r="B799" s="67">
        <v>30969194809</v>
      </c>
      <c r="C799" s="72" t="s">
        <v>2993</v>
      </c>
      <c r="D799" s="69">
        <v>13013456876</v>
      </c>
      <c r="E799" s="9">
        <v>810</v>
      </c>
      <c r="F799" s="25">
        <v>42915</v>
      </c>
      <c r="G799" s="70" t="s">
        <v>1773</v>
      </c>
      <c r="H799" s="76">
        <v>43213</v>
      </c>
      <c r="I799" s="8"/>
      <c r="J799" s="8"/>
      <c r="K799" s="8"/>
      <c r="L799" s="9" t="s">
        <v>1895</v>
      </c>
      <c r="M799" s="8"/>
    </row>
    <row r="800" spans="1:13">
      <c r="A800" s="71" t="s">
        <v>2994</v>
      </c>
      <c r="B800" s="67">
        <v>33186484855</v>
      </c>
      <c r="C800" s="77" t="s">
        <v>2995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2996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1773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2997</v>
      </c>
      <c r="B802" s="67">
        <v>27298776819</v>
      </c>
      <c r="C802" s="72" t="s">
        <v>2998</v>
      </c>
      <c r="D802" s="69">
        <v>31387900544</v>
      </c>
      <c r="E802" s="9">
        <v>229</v>
      </c>
      <c r="F802" s="25">
        <v>43151</v>
      </c>
      <c r="G802" s="70" t="s">
        <v>1773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2999</v>
      </c>
      <c r="B803" s="67">
        <v>28802120811</v>
      </c>
      <c r="C803" s="72" t="s">
        <v>3000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3001</v>
      </c>
      <c r="B804" s="67">
        <v>34581351898</v>
      </c>
      <c r="C804" s="18" t="s">
        <v>3002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3003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3004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1773</v>
      </c>
      <c r="H806" s="9"/>
      <c r="I806" s="8"/>
      <c r="J806" s="8"/>
      <c r="K806" s="8"/>
      <c r="L806" s="8"/>
      <c r="M806" s="8"/>
    </row>
    <row r="807" spans="1:13">
      <c r="A807" s="29" t="s">
        <v>3005</v>
      </c>
      <c r="B807" s="67"/>
      <c r="C807" s="29" t="s">
        <v>1886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3006</v>
      </c>
      <c r="B808" s="67">
        <v>40324052391</v>
      </c>
      <c r="C808" s="72" t="s">
        <v>3007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3008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1773</v>
      </c>
      <c r="H809" s="9"/>
      <c r="I809" s="8"/>
      <c r="J809" s="8"/>
      <c r="K809" s="8"/>
      <c r="L809" s="9" t="s">
        <v>1895</v>
      </c>
      <c r="M809" s="8"/>
    </row>
    <row r="810" spans="1:13">
      <c r="A810" s="71" t="s">
        <v>3009</v>
      </c>
      <c r="B810" s="67">
        <v>29022777847</v>
      </c>
      <c r="C810" s="72" t="s">
        <v>3010</v>
      </c>
      <c r="D810" s="69">
        <v>33430349400</v>
      </c>
      <c r="E810" s="9">
        <v>262</v>
      </c>
      <c r="F810" s="25">
        <v>43160</v>
      </c>
      <c r="G810" s="70" t="s">
        <v>1773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3011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1773</v>
      </c>
      <c r="H811" s="9"/>
      <c r="I811" s="8"/>
      <c r="J811" s="8"/>
      <c r="K811" s="8"/>
      <c r="L811" s="8"/>
      <c r="M811" s="8"/>
    </row>
    <row r="812" spans="1:13">
      <c r="A812" s="71" t="s">
        <v>3012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3013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1773</v>
      </c>
      <c r="H813" s="9"/>
      <c r="I813" s="8"/>
      <c r="J813" s="8"/>
      <c r="K813" s="8"/>
      <c r="L813" s="8"/>
      <c r="M813" s="8"/>
    </row>
    <row r="814" spans="1:13">
      <c r="A814" s="71" t="s">
        <v>3014</v>
      </c>
      <c r="B814" s="67">
        <v>43523026865</v>
      </c>
      <c r="C814" s="72" t="s">
        <v>3015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3016</v>
      </c>
      <c r="B815" s="67"/>
      <c r="C815" s="29" t="s">
        <v>1886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3017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1773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3018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1773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3019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1773</v>
      </c>
      <c r="H818" s="9"/>
      <c r="I818" s="8"/>
      <c r="J818" s="8"/>
      <c r="K818" s="8"/>
      <c r="L818" s="9" t="s">
        <v>1895</v>
      </c>
      <c r="M818" s="8"/>
    </row>
    <row r="819" spans="1:13">
      <c r="A819" s="71" t="s">
        <v>3020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3021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3022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1773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3023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1773</v>
      </c>
      <c r="H822" s="9"/>
      <c r="I822" s="8"/>
      <c r="J822" s="8"/>
      <c r="K822" s="8"/>
      <c r="L822" s="8"/>
      <c r="M822" s="8"/>
    </row>
    <row r="823" spans="1:13">
      <c r="A823" s="71" t="s">
        <v>3024</v>
      </c>
      <c r="B823" s="67">
        <v>5102923480</v>
      </c>
      <c r="C823" s="72" t="s">
        <v>3025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3026</v>
      </c>
      <c r="B824" s="67">
        <v>7268622406</v>
      </c>
      <c r="C824" s="72" t="s">
        <v>3027</v>
      </c>
      <c r="D824" s="69">
        <v>40507630874</v>
      </c>
      <c r="E824" s="9">
        <v>1267</v>
      </c>
      <c r="F824" s="25">
        <v>42998</v>
      </c>
      <c r="G824" s="70" t="s">
        <v>1773</v>
      </c>
      <c r="H824" s="9"/>
      <c r="I824" s="8"/>
      <c r="J824" s="8"/>
      <c r="K824" s="8"/>
      <c r="L824" s="8"/>
      <c r="M824" s="8"/>
    </row>
    <row r="825" spans="1:13">
      <c r="A825" s="71" t="s">
        <v>3028</v>
      </c>
      <c r="B825" s="67" t="s">
        <v>3029</v>
      </c>
      <c r="C825" s="77" t="s">
        <v>3030</v>
      </c>
      <c r="D825" s="69" t="s">
        <v>3031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3032</v>
      </c>
      <c r="B826" s="67"/>
      <c r="C826" s="29" t="s">
        <v>1886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3033</v>
      </c>
      <c r="B827" s="67">
        <v>31429224827</v>
      </c>
      <c r="C827" s="72" t="s">
        <v>3034</v>
      </c>
      <c r="D827" s="69">
        <v>27263725894</v>
      </c>
      <c r="E827" s="9">
        <v>292</v>
      </c>
      <c r="F827" s="25">
        <v>43168</v>
      </c>
      <c r="G827" s="70" t="s">
        <v>1779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3035</v>
      </c>
      <c r="B828" s="67">
        <v>3753540420</v>
      </c>
      <c r="C828" s="72" t="s">
        <v>2972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3036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3037</v>
      </c>
      <c r="B830" s="67">
        <v>36723660803</v>
      </c>
      <c r="C830" s="72" t="s">
        <v>3038</v>
      </c>
      <c r="D830" s="69">
        <v>32763586899</v>
      </c>
      <c r="E830" s="9">
        <v>608</v>
      </c>
      <c r="F830" s="25">
        <v>43012</v>
      </c>
      <c r="G830" s="70" t="s">
        <v>1773</v>
      </c>
      <c r="H830" s="9"/>
      <c r="I830" s="8"/>
      <c r="J830" s="8"/>
      <c r="K830" s="8"/>
      <c r="L830" s="8"/>
      <c r="M830" s="8"/>
    </row>
    <row r="831" spans="1:13">
      <c r="A831" s="13" t="s">
        <v>3039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1773</v>
      </c>
      <c r="H831" s="9"/>
      <c r="I831" s="8"/>
      <c r="J831" s="8"/>
      <c r="K831" s="8"/>
      <c r="L831" s="8"/>
      <c r="M831" s="8"/>
    </row>
    <row r="832" spans="1:13">
      <c r="A832" s="72" t="s">
        <v>3040</v>
      </c>
      <c r="B832" s="67">
        <v>166405462</v>
      </c>
      <c r="C832" s="15" t="s">
        <v>3041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3042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1773</v>
      </c>
      <c r="H833" s="9"/>
      <c r="I833" s="8"/>
      <c r="J833" s="8"/>
      <c r="K833" s="8"/>
      <c r="L833" s="9" t="s">
        <v>1895</v>
      </c>
      <c r="M833" s="8"/>
    </row>
    <row r="834" spans="1:13">
      <c r="A834" s="15" t="s">
        <v>3043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1773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3044</v>
      </c>
      <c r="B835" s="67">
        <v>13621159835</v>
      </c>
      <c r="C835" s="72" t="s">
        <v>3045</v>
      </c>
      <c r="D835" s="69">
        <v>35124170867</v>
      </c>
      <c r="E835" s="9">
        <v>229</v>
      </c>
      <c r="F835" s="25">
        <v>43151</v>
      </c>
      <c r="G835" s="70" t="s">
        <v>1773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3046</v>
      </c>
      <c r="B836" s="67">
        <v>34649647878</v>
      </c>
      <c r="C836" s="72" t="s">
        <v>3047</v>
      </c>
      <c r="D836" s="69">
        <v>17811429802</v>
      </c>
      <c r="E836" s="9">
        <v>810</v>
      </c>
      <c r="F836" s="25">
        <v>42915</v>
      </c>
      <c r="G836" s="70" t="s">
        <v>1773</v>
      </c>
      <c r="H836" s="9"/>
      <c r="I836" s="8"/>
      <c r="J836" s="8"/>
      <c r="K836" s="8"/>
      <c r="L836" s="9" t="s">
        <v>1895</v>
      </c>
      <c r="M836" s="8"/>
    </row>
    <row r="837" spans="1:13">
      <c r="A837" s="71" t="s">
        <v>3048</v>
      </c>
      <c r="B837" s="67">
        <v>25809517846</v>
      </c>
      <c r="C837" s="73" t="s">
        <v>3049</v>
      </c>
      <c r="D837" s="69">
        <v>68856830434</v>
      </c>
      <c r="E837" s="9">
        <v>292</v>
      </c>
      <c r="F837" s="25">
        <v>43168</v>
      </c>
      <c r="G837" s="70" t="s">
        <v>1779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3050</v>
      </c>
      <c r="B838" s="67">
        <v>6952730435</v>
      </c>
      <c r="C838" s="72" t="s">
        <v>3051</v>
      </c>
      <c r="D838" s="69">
        <v>8004608477</v>
      </c>
      <c r="E838" s="9">
        <v>810</v>
      </c>
      <c r="F838" s="25">
        <v>42915</v>
      </c>
      <c r="G838" s="70" t="s">
        <v>1773</v>
      </c>
      <c r="H838" s="9"/>
      <c r="I838" s="8"/>
      <c r="J838" s="8"/>
      <c r="K838" s="8"/>
      <c r="L838" s="9" t="s">
        <v>1895</v>
      </c>
      <c r="M838" s="8"/>
    </row>
    <row r="839" spans="1:13">
      <c r="A839" s="71" t="s">
        <v>3052</v>
      </c>
      <c r="B839" s="67">
        <v>23440697800</v>
      </c>
      <c r="C839" s="72" t="s">
        <v>3053</v>
      </c>
      <c r="D839" s="69">
        <v>93690177553</v>
      </c>
      <c r="E839" s="9">
        <v>292</v>
      </c>
      <c r="F839" s="25">
        <v>43168</v>
      </c>
      <c r="G839" s="70" t="s">
        <v>1773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3054</v>
      </c>
      <c r="B840" s="67">
        <v>93567421549</v>
      </c>
      <c r="C840" s="72" t="s">
        <v>3055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3056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3057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1773</v>
      </c>
      <c r="H842" s="9"/>
      <c r="I842" s="8"/>
      <c r="J842" s="8"/>
      <c r="K842" s="8"/>
      <c r="L842" s="9" t="s">
        <v>1927</v>
      </c>
      <c r="M842" s="8"/>
    </row>
    <row r="843" spans="1:13">
      <c r="A843" s="71" t="s">
        <v>3058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1773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3059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3060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1773</v>
      </c>
      <c r="H845" s="9"/>
      <c r="I845" s="8"/>
      <c r="J845" s="8"/>
      <c r="K845" s="8"/>
      <c r="L845" s="9" t="s">
        <v>1927</v>
      </c>
      <c r="M845" s="8"/>
    </row>
    <row r="846" spans="1:13">
      <c r="A846" s="71" t="s">
        <v>3061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1773</v>
      </c>
      <c r="H846" s="9"/>
      <c r="I846" s="8"/>
      <c r="J846" s="8"/>
      <c r="K846" s="8"/>
      <c r="L846" s="9" t="s">
        <v>2010</v>
      </c>
      <c r="M846" s="8"/>
    </row>
    <row r="847" spans="1:13">
      <c r="A847" s="71" t="s">
        <v>3062</v>
      </c>
      <c r="B847" s="67">
        <v>10762166843</v>
      </c>
      <c r="C847" s="72" t="s">
        <v>3063</v>
      </c>
      <c r="D847" s="69">
        <v>18471490811</v>
      </c>
      <c r="E847" s="9">
        <v>1752</v>
      </c>
      <c r="F847" s="25">
        <v>43051</v>
      </c>
      <c r="G847" s="83" t="s">
        <v>1773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3064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3065</v>
      </c>
      <c r="B849" s="67">
        <v>38988535863</v>
      </c>
      <c r="C849" s="72" t="s">
        <v>3066</v>
      </c>
      <c r="D849" s="69">
        <v>34543536886</v>
      </c>
      <c r="E849" s="9">
        <v>1555</v>
      </c>
      <c r="F849" s="25">
        <v>43049</v>
      </c>
      <c r="G849" s="70" t="s">
        <v>1773</v>
      </c>
      <c r="H849" s="9"/>
      <c r="I849" s="8"/>
      <c r="J849" s="8"/>
      <c r="K849" s="8"/>
      <c r="L849" s="9" t="s">
        <v>2155</v>
      </c>
      <c r="M849" s="8"/>
    </row>
    <row r="850" spans="1:13">
      <c r="A850" s="71" t="s">
        <v>3067</v>
      </c>
      <c r="B850" s="67">
        <v>81902581334</v>
      </c>
      <c r="C850" s="72" t="s">
        <v>3068</v>
      </c>
      <c r="D850" s="69">
        <v>42305020368</v>
      </c>
      <c r="E850" s="9">
        <v>1752</v>
      </c>
      <c r="F850" s="25">
        <v>43051</v>
      </c>
      <c r="G850" s="70" t="s">
        <v>1773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3069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3070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1773</v>
      </c>
      <c r="H852" s="9"/>
      <c r="I852" s="8"/>
      <c r="J852" s="8"/>
      <c r="K852" s="8"/>
      <c r="L852" s="8"/>
      <c r="M852" s="8"/>
    </row>
    <row r="853" spans="1:13">
      <c r="A853" s="72" t="s">
        <v>3071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1773</v>
      </c>
      <c r="H853" s="9"/>
      <c r="I853" s="8"/>
      <c r="J853" s="8"/>
      <c r="K853" s="8"/>
      <c r="L853" s="8"/>
      <c r="M853" s="8"/>
    </row>
    <row r="854" spans="1:13">
      <c r="A854" s="15" t="s">
        <v>3072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3073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1773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3074</v>
      </c>
      <c r="B856" s="67">
        <v>36135801520</v>
      </c>
      <c r="C856" s="15" t="s">
        <v>3075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3076</v>
      </c>
      <c r="B857" s="67">
        <v>43231450802</v>
      </c>
      <c r="C857" s="72" t="s">
        <v>3077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3078</v>
      </c>
      <c r="B858" s="67">
        <v>38163601817</v>
      </c>
      <c r="C858" s="72" t="s">
        <v>3079</v>
      </c>
      <c r="D858" s="69">
        <v>36840584836</v>
      </c>
      <c r="E858" s="9">
        <v>292</v>
      </c>
      <c r="F858" s="25">
        <v>43168</v>
      </c>
      <c r="G858" s="70" t="s">
        <v>1773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3080</v>
      </c>
      <c r="B859" s="67">
        <v>40853154805</v>
      </c>
      <c r="C859" s="72" t="s">
        <v>3081</v>
      </c>
      <c r="D859" s="69">
        <v>23596403804</v>
      </c>
      <c r="E859" s="9">
        <v>229</v>
      </c>
      <c r="F859" s="25">
        <v>43151</v>
      </c>
      <c r="G859" s="70" t="s">
        <v>1773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3082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1773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3083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3084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1773</v>
      </c>
      <c r="H862" s="9"/>
      <c r="I862" s="8"/>
      <c r="J862" s="8"/>
      <c r="K862" s="8"/>
      <c r="L862" s="9" t="s">
        <v>2155</v>
      </c>
      <c r="M862" s="8"/>
    </row>
    <row r="863" spans="1:13">
      <c r="A863" s="14" t="s">
        <v>3085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1773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3086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1773</v>
      </c>
      <c r="H864" s="9"/>
      <c r="I864" s="8"/>
      <c r="J864" s="8"/>
      <c r="K864" s="8"/>
      <c r="L864" s="8"/>
      <c r="M864" s="8"/>
    </row>
    <row r="865" spans="1:13">
      <c r="A865" s="71" t="s">
        <v>3087</v>
      </c>
      <c r="B865" s="67">
        <v>30708968805</v>
      </c>
      <c r="C865" s="72" t="s">
        <v>3088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3089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3090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1773</v>
      </c>
      <c r="H867" s="9"/>
      <c r="I867" s="8"/>
      <c r="J867" s="8"/>
      <c r="K867" s="8"/>
      <c r="L867" s="9" t="s">
        <v>1895</v>
      </c>
      <c r="M867" s="8"/>
    </row>
    <row r="868" spans="1:13">
      <c r="A868" s="71" t="s">
        <v>3091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3092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1773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3093</v>
      </c>
      <c r="B870" s="67">
        <v>41379878829</v>
      </c>
      <c r="C870" s="72" t="s">
        <v>3094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3095</v>
      </c>
      <c r="B871" s="67">
        <v>31471499863</v>
      </c>
      <c r="C871" s="72" t="s">
        <v>3096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3097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1773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3098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1773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3099</v>
      </c>
      <c r="B874" s="67">
        <v>27878860866</v>
      </c>
      <c r="C874" s="72" t="s">
        <v>3100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3101</v>
      </c>
      <c r="B875" s="67">
        <v>25002291813</v>
      </c>
      <c r="C875" s="72" t="s">
        <v>3102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3103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3104</v>
      </c>
      <c r="B877" s="67"/>
      <c r="C877" s="29" t="s">
        <v>3105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3106</v>
      </c>
      <c r="B878" s="67">
        <v>7205116589</v>
      </c>
      <c r="C878" s="72" t="s">
        <v>3107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3108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3109</v>
      </c>
      <c r="B880" s="67">
        <v>82084602491</v>
      </c>
      <c r="C880" s="72" t="s">
        <v>3110</v>
      </c>
      <c r="D880" s="69">
        <v>74937758420</v>
      </c>
      <c r="E880" s="9">
        <v>292</v>
      </c>
      <c r="F880" s="25">
        <v>43168</v>
      </c>
      <c r="G880" s="9" t="s">
        <v>1773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3111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3112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3113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1773</v>
      </c>
      <c r="H883" s="9"/>
      <c r="I883" s="8"/>
      <c r="J883" s="8"/>
      <c r="K883" s="8"/>
      <c r="L883" s="8"/>
      <c r="M883" s="8"/>
    </row>
    <row r="884" spans="1:13">
      <c r="A884" s="13" t="s">
        <v>3114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1773</v>
      </c>
      <c r="H884" s="9"/>
      <c r="I884" s="8"/>
      <c r="J884" s="8"/>
      <c r="K884" s="8"/>
      <c r="L884" s="8"/>
      <c r="M884" s="8"/>
    </row>
    <row r="885" spans="1:13">
      <c r="A885" s="71" t="s">
        <v>3115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3116</v>
      </c>
      <c r="B886" s="67">
        <v>63234904553</v>
      </c>
      <c r="C886" s="68" t="s">
        <v>3117</v>
      </c>
      <c r="D886" s="69">
        <v>1193464870</v>
      </c>
      <c r="E886" s="9">
        <v>1128</v>
      </c>
      <c r="F886" s="25">
        <v>42972</v>
      </c>
      <c r="G886" s="70" t="s">
        <v>1773</v>
      </c>
      <c r="H886" s="9"/>
      <c r="I886" s="8"/>
      <c r="J886" s="8"/>
      <c r="K886" s="8"/>
      <c r="L886" s="8"/>
      <c r="M886" s="8"/>
    </row>
    <row r="887" spans="1:13">
      <c r="A887" s="71" t="s">
        <v>3118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3119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3120</v>
      </c>
      <c r="B889" s="67">
        <v>30967680808</v>
      </c>
      <c r="C889" s="18" t="s">
        <v>3121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3122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1773</v>
      </c>
      <c r="H890" s="9"/>
      <c r="I890" s="8"/>
      <c r="J890" s="8"/>
      <c r="K890" s="8"/>
      <c r="L890" s="9" t="s">
        <v>1895</v>
      </c>
      <c r="M890" s="8"/>
    </row>
    <row r="891" spans="1:13">
      <c r="A891" s="15" t="s">
        <v>3123</v>
      </c>
      <c r="B891" s="67">
        <v>3570397696</v>
      </c>
      <c r="C891" s="72" t="s">
        <v>3124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3125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3126</v>
      </c>
      <c r="B893" s="67">
        <v>1170658547</v>
      </c>
      <c r="C893" s="72" t="s">
        <v>3127</v>
      </c>
      <c r="D893" s="69">
        <v>2695281560</v>
      </c>
      <c r="E893" s="9">
        <v>1824</v>
      </c>
      <c r="F893" s="25">
        <v>43091</v>
      </c>
      <c r="G893" s="70" t="s">
        <v>1779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3128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1773</v>
      </c>
      <c r="H894" s="9"/>
      <c r="I894" s="8"/>
      <c r="J894" s="8"/>
      <c r="K894" s="8"/>
      <c r="L894" s="9" t="s">
        <v>1895</v>
      </c>
      <c r="M894" s="8"/>
    </row>
    <row r="895" spans="1:13">
      <c r="A895" s="71" t="s">
        <v>3129</v>
      </c>
      <c r="B895" s="67">
        <v>29927032811</v>
      </c>
      <c r="C895" s="72" t="s">
        <v>3130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3131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3132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1773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3133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1773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3134</v>
      </c>
      <c r="B899" s="67">
        <v>37064427877</v>
      </c>
      <c r="C899" s="68" t="s">
        <v>3135</v>
      </c>
      <c r="D899" s="69">
        <v>34881680854</v>
      </c>
      <c r="E899" s="9">
        <v>1128</v>
      </c>
      <c r="F899" s="25">
        <v>42972</v>
      </c>
      <c r="G899" s="70" t="s">
        <v>1773</v>
      </c>
      <c r="H899" s="9"/>
      <c r="I899" s="8"/>
      <c r="J899" s="8"/>
      <c r="K899" s="8"/>
      <c r="L899" s="8"/>
      <c r="M899" s="8"/>
    </row>
    <row r="900" spans="1:13">
      <c r="A900" s="15" t="s">
        <v>3136</v>
      </c>
      <c r="B900" s="67">
        <v>34712023821</v>
      </c>
      <c r="C900" s="72" t="s">
        <v>3137</v>
      </c>
      <c r="D900" s="69">
        <v>80700918868</v>
      </c>
      <c r="E900" s="9">
        <v>117</v>
      </c>
      <c r="F900" s="25">
        <v>43117</v>
      </c>
      <c r="G900" s="70" t="s">
        <v>1773</v>
      </c>
      <c r="H900" s="9"/>
      <c r="I900" s="8"/>
      <c r="J900" s="8"/>
      <c r="K900" s="8"/>
      <c r="L900" s="9" t="s">
        <v>1927</v>
      </c>
      <c r="M900" s="8"/>
    </row>
    <row r="901" spans="1:13">
      <c r="A901" s="71" t="s">
        <v>3138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1773</v>
      </c>
      <c r="H901" s="9"/>
      <c r="I901" s="8"/>
      <c r="J901" s="8"/>
      <c r="K901" s="8"/>
      <c r="L901" s="9" t="s">
        <v>1895</v>
      </c>
      <c r="M901" s="8"/>
    </row>
    <row r="902" spans="1:13">
      <c r="A902" s="71" t="s">
        <v>3139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3140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1773</v>
      </c>
      <c r="H903" s="9"/>
      <c r="I903" s="8"/>
      <c r="J903" s="8"/>
      <c r="K903" s="8"/>
      <c r="L903" s="8"/>
      <c r="M903" s="8"/>
    </row>
    <row r="904" spans="1:13">
      <c r="A904" s="72" t="s">
        <v>3141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1773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3142</v>
      </c>
      <c r="B905" s="67">
        <v>42517278865</v>
      </c>
      <c r="C905" s="72" t="s">
        <v>3143</v>
      </c>
      <c r="D905" s="69">
        <v>45677965863</v>
      </c>
      <c r="E905" s="9">
        <v>117</v>
      </c>
      <c r="F905" s="25">
        <v>43117</v>
      </c>
      <c r="G905" s="70" t="s">
        <v>1773</v>
      </c>
      <c r="H905" s="9"/>
      <c r="I905" s="8"/>
      <c r="J905" s="8"/>
      <c r="K905" s="8"/>
      <c r="L905" s="9" t="s">
        <v>1927</v>
      </c>
      <c r="M905" s="8"/>
    </row>
    <row r="906" spans="1:13">
      <c r="A906" s="18" t="s">
        <v>3144</v>
      </c>
      <c r="B906" s="67">
        <v>34053574897</v>
      </c>
      <c r="C906" s="8" t="s">
        <v>3145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3146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1773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3147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1773</v>
      </c>
      <c r="H908" s="9"/>
      <c r="I908" s="8"/>
      <c r="J908" s="8"/>
      <c r="K908" s="8"/>
      <c r="L908" s="8"/>
      <c r="M908" s="8"/>
    </row>
    <row r="909" spans="1:13">
      <c r="A909" s="71" t="s">
        <v>3148</v>
      </c>
      <c r="B909" s="67">
        <v>32391122802</v>
      </c>
      <c r="C909" s="72" t="s">
        <v>3149</v>
      </c>
      <c r="D909" s="69">
        <v>21653624825</v>
      </c>
      <c r="E909" s="9">
        <v>262</v>
      </c>
      <c r="F909" s="25">
        <v>43160</v>
      </c>
      <c r="G909" s="9" t="s">
        <v>1773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3150</v>
      </c>
      <c r="B910" s="67"/>
      <c r="C910" s="29" t="s">
        <v>3151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3152</v>
      </c>
      <c r="B911" s="67">
        <v>39641812858</v>
      </c>
      <c r="C911" s="72" t="s">
        <v>3153</v>
      </c>
      <c r="D911" s="69">
        <v>23425114859</v>
      </c>
      <c r="E911" s="9">
        <v>262</v>
      </c>
      <c r="F911" s="25">
        <v>43160</v>
      </c>
      <c r="G911" s="70" t="s">
        <v>1773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3154</v>
      </c>
      <c r="B912" s="67">
        <v>7664892481</v>
      </c>
      <c r="C912" s="72" t="s">
        <v>3155</v>
      </c>
      <c r="D912" s="69">
        <v>37120937804</v>
      </c>
      <c r="E912" s="9">
        <v>1570</v>
      </c>
      <c r="F912" s="25">
        <v>43077</v>
      </c>
      <c r="G912" s="70" t="s">
        <v>1773</v>
      </c>
      <c r="H912" s="9"/>
      <c r="I912" s="8"/>
      <c r="J912" s="8"/>
      <c r="K912" s="8"/>
      <c r="L912" s="8"/>
      <c r="M912" s="8"/>
    </row>
    <row r="913" spans="1:13">
      <c r="A913" s="71" t="s">
        <v>3156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1773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3157</v>
      </c>
      <c r="B914" s="67">
        <v>35535310883</v>
      </c>
      <c r="C914" s="72" t="s">
        <v>3158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3159</v>
      </c>
      <c r="B915" s="67">
        <v>40993785867</v>
      </c>
      <c r="C915" s="72" t="s">
        <v>3160</v>
      </c>
      <c r="D915" s="69">
        <v>39284894883</v>
      </c>
      <c r="E915" s="9">
        <v>262</v>
      </c>
      <c r="F915" s="25">
        <v>43160</v>
      </c>
      <c r="G915" s="70" t="s">
        <v>1773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3161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1773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3162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1773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3163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1773</v>
      </c>
      <c r="H918" s="9"/>
      <c r="I918" s="8"/>
      <c r="J918" s="8"/>
      <c r="K918" s="8"/>
      <c r="L918" s="8"/>
      <c r="M918" s="8"/>
    </row>
    <row r="919" spans="1:13">
      <c r="A919" s="71" t="s">
        <v>3164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1773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3165</v>
      </c>
      <c r="B920" s="67">
        <v>39485589816</v>
      </c>
      <c r="C920" s="72" t="s">
        <v>3166</v>
      </c>
      <c r="D920" s="69">
        <v>6884648589</v>
      </c>
      <c r="E920" s="9">
        <v>85</v>
      </c>
      <c r="F920" s="25">
        <v>43109</v>
      </c>
      <c r="G920" s="70" t="s">
        <v>1773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3167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3168</v>
      </c>
      <c r="B922" s="67">
        <v>39454700804</v>
      </c>
      <c r="C922" s="72" t="s">
        <v>3169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3170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3171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3172</v>
      </c>
      <c r="B925" s="67">
        <v>19681993810</v>
      </c>
      <c r="C925" s="72" t="s">
        <v>3173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3174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1773</v>
      </c>
      <c r="H926" s="9"/>
      <c r="I926" s="8"/>
      <c r="J926" s="8"/>
      <c r="K926" s="8"/>
      <c r="L926" s="9" t="s">
        <v>1895</v>
      </c>
      <c r="M926" s="8"/>
    </row>
    <row r="927" spans="1:13">
      <c r="A927" s="71" t="s">
        <v>3175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3176</v>
      </c>
      <c r="B928" s="67">
        <v>32424255881</v>
      </c>
      <c r="C928" s="72" t="s">
        <v>3177</v>
      </c>
      <c r="D928" s="69">
        <v>4615874596</v>
      </c>
      <c r="E928" s="9">
        <v>229</v>
      </c>
      <c r="F928" s="25">
        <v>43151</v>
      </c>
      <c r="G928" s="70" t="s">
        <v>1773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3178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1773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3179</v>
      </c>
      <c r="B930" s="67">
        <v>77663551591</v>
      </c>
      <c r="C930" s="72" t="s">
        <v>3180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3181</v>
      </c>
      <c r="B931" s="67">
        <v>30768670837</v>
      </c>
      <c r="C931" s="72" t="s">
        <v>3182</v>
      </c>
      <c r="D931" s="69">
        <v>17858599860</v>
      </c>
      <c r="E931" s="9">
        <v>810</v>
      </c>
      <c r="F931" s="25">
        <v>42915</v>
      </c>
      <c r="G931" s="70" t="s">
        <v>1773</v>
      </c>
      <c r="H931" s="9"/>
      <c r="I931" s="8"/>
      <c r="J931" s="8"/>
      <c r="K931" s="8"/>
      <c r="L931" s="9" t="s">
        <v>1895</v>
      </c>
      <c r="M931" s="8"/>
    </row>
    <row r="932" spans="1:13">
      <c r="A932" s="71" t="s">
        <v>3183</v>
      </c>
      <c r="B932" s="67">
        <v>40801562864</v>
      </c>
      <c r="C932" s="72" t="s">
        <v>3184</v>
      </c>
      <c r="D932" s="69">
        <v>40630792879</v>
      </c>
      <c r="E932" s="9">
        <v>117</v>
      </c>
      <c r="F932" s="25">
        <v>43117</v>
      </c>
      <c r="G932" s="70" t="s">
        <v>1779</v>
      </c>
      <c r="H932" s="9"/>
      <c r="I932" s="8"/>
      <c r="J932" s="8"/>
      <c r="K932" s="8"/>
      <c r="L932" s="9" t="s">
        <v>1927</v>
      </c>
      <c r="M932" s="8"/>
    </row>
    <row r="933" spans="1:13">
      <c r="A933" s="71" t="s">
        <v>3185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1773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3186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1773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3187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3188</v>
      </c>
      <c r="B936" s="67">
        <v>33897782847</v>
      </c>
      <c r="C936" s="72" t="s">
        <v>3189</v>
      </c>
      <c r="D936" s="69">
        <v>22207136876</v>
      </c>
      <c r="E936" s="9">
        <v>1267</v>
      </c>
      <c r="F936" s="25">
        <v>42998</v>
      </c>
      <c r="G936" s="70" t="s">
        <v>1773</v>
      </c>
      <c r="H936" s="9"/>
      <c r="I936" s="8"/>
      <c r="J936" s="8"/>
      <c r="K936" s="8"/>
      <c r="L936" s="8"/>
      <c r="M936" s="8"/>
    </row>
    <row r="937" spans="1:13">
      <c r="A937" s="72" t="s">
        <v>3190</v>
      </c>
      <c r="B937" s="67">
        <v>31219124885</v>
      </c>
      <c r="C937" s="72" t="s">
        <v>3191</v>
      </c>
      <c r="D937" s="69">
        <v>53808967315</v>
      </c>
      <c r="E937" s="9">
        <v>292</v>
      </c>
      <c r="F937" s="25">
        <v>43168</v>
      </c>
      <c r="G937" s="70" t="s">
        <v>1773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3192</v>
      </c>
      <c r="B938" s="67">
        <v>32332935851</v>
      </c>
      <c r="C938" s="18" t="s">
        <v>3193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3194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3195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1787</v>
      </c>
      <c r="H940" s="47"/>
      <c r="I940" s="49"/>
      <c r="J940" s="49"/>
      <c r="K940" s="49"/>
      <c r="L940" s="9" t="s">
        <v>1927</v>
      </c>
      <c r="M940" s="49"/>
    </row>
    <row r="941" spans="1:13">
      <c r="A941" s="71" t="s">
        <v>3196</v>
      </c>
      <c r="B941" s="67">
        <v>35124692804</v>
      </c>
      <c r="C941" s="72" t="s">
        <v>3197</v>
      </c>
      <c r="D941" s="69">
        <v>17091274814</v>
      </c>
      <c r="E941" s="9">
        <v>262</v>
      </c>
      <c r="F941" s="25">
        <v>43160</v>
      </c>
      <c r="G941" s="70" t="s">
        <v>1773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3198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3199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3200</v>
      </c>
      <c r="B944" s="67">
        <v>35271393895</v>
      </c>
      <c r="C944" s="72" t="s">
        <v>3201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3202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1773</v>
      </c>
      <c r="H945" s="9"/>
      <c r="I945" s="8"/>
      <c r="J945" s="8"/>
      <c r="K945" s="8"/>
      <c r="L945" s="8"/>
      <c r="M945" s="8"/>
    </row>
    <row r="946" spans="1:13">
      <c r="A946" s="15" t="s">
        <v>3203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2056</v>
      </c>
      <c r="M946" s="8"/>
    </row>
    <row r="947" spans="1:13">
      <c r="A947" s="71" t="s">
        <v>3204</v>
      </c>
      <c r="B947" s="67">
        <v>899199399</v>
      </c>
      <c r="C947" s="72" t="s">
        <v>3205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3206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1773</v>
      </c>
      <c r="H948" s="9"/>
      <c r="I948" s="8"/>
      <c r="J948" s="8"/>
      <c r="K948" s="8"/>
      <c r="L948" s="9" t="s">
        <v>1895</v>
      </c>
      <c r="M948" s="8"/>
    </row>
    <row r="949" spans="1:13">
      <c r="A949" s="15" t="s">
        <v>3207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3208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1773</v>
      </c>
      <c r="H950" s="9"/>
      <c r="I950" s="8"/>
      <c r="J950" s="8"/>
      <c r="K950" s="8"/>
      <c r="L950" s="8"/>
      <c r="M950" s="8"/>
    </row>
    <row r="951" spans="1:13">
      <c r="A951" s="15" t="s">
        <v>3209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1779</v>
      </c>
      <c r="H951" s="9"/>
      <c r="I951" s="8"/>
      <c r="J951" s="8"/>
      <c r="K951" s="8"/>
      <c r="L951" s="9" t="s">
        <v>1927</v>
      </c>
      <c r="M951" s="8"/>
    </row>
    <row r="952" spans="1:13">
      <c r="A952" s="15" t="s">
        <v>3210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1773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3211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1773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3212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1773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3213</v>
      </c>
      <c r="B955" s="67">
        <v>19584308890</v>
      </c>
      <c r="C955" s="72" t="s">
        <v>3214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3215</v>
      </c>
      <c r="B956" s="67">
        <v>3220872441</v>
      </c>
      <c r="C956" s="72" t="s">
        <v>3216</v>
      </c>
      <c r="D956" s="69">
        <v>11805166808</v>
      </c>
      <c r="E956" s="9">
        <v>810</v>
      </c>
      <c r="F956" s="25">
        <v>42915</v>
      </c>
      <c r="G956" s="70" t="s">
        <v>1773</v>
      </c>
      <c r="H956" s="9"/>
      <c r="I956" s="8"/>
      <c r="J956" s="8"/>
      <c r="K956" s="8"/>
      <c r="L956" s="9" t="s">
        <v>1895</v>
      </c>
      <c r="M956" s="8"/>
    </row>
    <row r="957" spans="1:13">
      <c r="A957" s="73" t="s">
        <v>3217</v>
      </c>
      <c r="B957" s="67">
        <v>29773950832</v>
      </c>
      <c r="C957" s="72" t="s">
        <v>3218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3219</v>
      </c>
      <c r="B958" s="78" t="s">
        <v>3220</v>
      </c>
      <c r="C958" s="72" t="s">
        <v>3221</v>
      </c>
      <c r="D958" s="69">
        <v>84102780300</v>
      </c>
      <c r="E958" s="9">
        <v>292</v>
      </c>
      <c r="F958" s="25">
        <v>43168</v>
      </c>
      <c r="G958" s="9" t="s">
        <v>1773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3222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1773</v>
      </c>
      <c r="H959" s="9"/>
      <c r="I959" s="8"/>
      <c r="J959" s="8"/>
      <c r="K959" s="8"/>
      <c r="L959" s="8"/>
      <c r="M959" s="8"/>
    </row>
    <row r="960" spans="1:13">
      <c r="A960" s="71" t="s">
        <v>3223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3224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1773</v>
      </c>
      <c r="H961" s="9"/>
      <c r="I961" s="8"/>
      <c r="J961" s="8"/>
      <c r="K961" s="8"/>
      <c r="L961" s="8"/>
      <c r="M961" s="8"/>
    </row>
    <row r="962" spans="1:13">
      <c r="A962" s="71" t="s">
        <v>3225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1773</v>
      </c>
      <c r="H962" s="9"/>
      <c r="I962" s="8"/>
      <c r="J962" s="8"/>
      <c r="K962" s="8"/>
      <c r="L962" s="9" t="s">
        <v>2155</v>
      </c>
      <c r="M962" s="8"/>
    </row>
    <row r="963" spans="1:13">
      <c r="A963" s="15" t="s">
        <v>3226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1773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3227</v>
      </c>
      <c r="B964" s="67">
        <v>46248420300</v>
      </c>
      <c r="C964" s="72" t="s">
        <v>3228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3229</v>
      </c>
      <c r="B965" s="67">
        <v>84090294304</v>
      </c>
      <c r="C965" s="72" t="s">
        <v>3230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3231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3232</v>
      </c>
      <c r="B967" s="67">
        <v>918071313</v>
      </c>
      <c r="C967" s="72" t="s">
        <v>3233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3234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1773</v>
      </c>
      <c r="H968" s="9"/>
      <c r="I968" s="8"/>
      <c r="J968" s="8"/>
      <c r="K968" s="8"/>
      <c r="L968" s="9" t="s">
        <v>1927</v>
      </c>
      <c r="M968" s="8"/>
    </row>
    <row r="969" spans="1:13">
      <c r="A969" s="71" t="s">
        <v>3235</v>
      </c>
      <c r="B969" s="67">
        <v>86465651300</v>
      </c>
      <c r="C969" s="72" t="s">
        <v>3236</v>
      </c>
      <c r="D969" s="69">
        <v>7091216792</v>
      </c>
      <c r="E969" s="9">
        <v>1350</v>
      </c>
      <c r="F969" s="25">
        <v>43006</v>
      </c>
      <c r="G969" s="70" t="s">
        <v>1773</v>
      </c>
      <c r="H969" s="9"/>
      <c r="I969" s="8"/>
      <c r="J969" s="8"/>
      <c r="K969" s="8"/>
      <c r="L969" s="8"/>
      <c r="M969" s="8"/>
    </row>
    <row r="970" spans="1:13">
      <c r="A970" s="72" t="s">
        <v>3237</v>
      </c>
      <c r="B970" s="67">
        <v>22893362893</v>
      </c>
      <c r="C970" s="72" t="s">
        <v>3238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3239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1773</v>
      </c>
      <c r="H971" s="9"/>
      <c r="I971" s="8"/>
      <c r="J971" s="8"/>
      <c r="K971" s="8"/>
      <c r="L971" s="9" t="s">
        <v>2010</v>
      </c>
      <c r="M971" s="8"/>
    </row>
    <row r="972" spans="1:13">
      <c r="A972" s="29" t="s">
        <v>3240</v>
      </c>
      <c r="B972" s="67">
        <v>9964640854</v>
      </c>
      <c r="C972" s="18" t="s">
        <v>1886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3241</v>
      </c>
      <c r="B973" s="67">
        <v>46593499854</v>
      </c>
      <c r="C973" s="29" t="s">
        <v>3242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3243</v>
      </c>
      <c r="B974" s="67">
        <v>34412339807</v>
      </c>
      <c r="C974" s="72" t="s">
        <v>3244</v>
      </c>
      <c r="D974" s="69">
        <v>30849792860</v>
      </c>
      <c r="E974" s="9">
        <v>1824</v>
      </c>
      <c r="F974" s="25">
        <v>43091</v>
      </c>
      <c r="G974" s="70" t="s">
        <v>1773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3245</v>
      </c>
      <c r="B975" s="67">
        <v>63905825449</v>
      </c>
      <c r="C975" s="72" t="s">
        <v>3246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3247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1773</v>
      </c>
      <c r="H976" s="9"/>
      <c r="I976" s="8"/>
      <c r="J976" s="8"/>
      <c r="K976" s="8"/>
      <c r="L976" s="9" t="s">
        <v>1895</v>
      </c>
      <c r="M976" s="8"/>
    </row>
    <row r="977" spans="1:13">
      <c r="A977" s="71" t="s">
        <v>3248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1773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3249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1773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3250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1773</v>
      </c>
      <c r="H979" s="9"/>
      <c r="I979" s="8"/>
      <c r="J979" s="8"/>
      <c r="K979" s="8"/>
      <c r="L979" s="9" t="s">
        <v>1895</v>
      </c>
      <c r="M979" s="8"/>
    </row>
    <row r="980" spans="1:13">
      <c r="A980" s="18" t="s">
        <v>3251</v>
      </c>
      <c r="B980" s="67">
        <v>18473037812</v>
      </c>
      <c r="C980" s="18" t="s">
        <v>3252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3253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3254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1773</v>
      </c>
      <c r="H982" s="9"/>
      <c r="I982" s="8"/>
      <c r="J982" s="8"/>
      <c r="K982" s="8"/>
      <c r="L982" s="8"/>
      <c r="M982" s="8"/>
    </row>
    <row r="983" spans="1:13">
      <c r="A983" s="71" t="s">
        <v>3255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3256</v>
      </c>
      <c r="B984" s="67">
        <v>30458696889</v>
      </c>
      <c r="C984" s="68" t="s">
        <v>3257</v>
      </c>
      <c r="D984" s="69">
        <v>25196748814</v>
      </c>
      <c r="E984" s="9">
        <v>1267</v>
      </c>
      <c r="F984" s="25">
        <v>42998</v>
      </c>
      <c r="G984" s="70" t="s">
        <v>1779</v>
      </c>
      <c r="H984" s="9"/>
      <c r="I984" s="8"/>
      <c r="J984" s="8"/>
      <c r="K984" s="8"/>
      <c r="L984" s="8"/>
      <c r="M984" s="8"/>
    </row>
    <row r="985" spans="1:13">
      <c r="A985" s="71" t="s">
        <v>3258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1773</v>
      </c>
      <c r="H985" s="9"/>
      <c r="I985" s="8"/>
      <c r="J985" s="8"/>
      <c r="K985" s="8"/>
      <c r="L985" s="8"/>
      <c r="M985" s="8"/>
    </row>
    <row r="986" spans="1:13">
      <c r="A986" s="29" t="s">
        <v>3259</v>
      </c>
      <c r="B986" s="67"/>
      <c r="C986" s="29" t="s">
        <v>3260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3261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3262</v>
      </c>
      <c r="B988" s="67" t="s">
        <v>3263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3264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3265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3266</v>
      </c>
      <c r="B991" s="67"/>
      <c r="C991" s="18" t="s">
        <v>1886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3267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3268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3269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1773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3270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3271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1773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3272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3273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3274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3275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1773</v>
      </c>
      <c r="H1000" s="9"/>
      <c r="I1000" s="8"/>
      <c r="J1000" s="8"/>
      <c r="K1000" s="8"/>
      <c r="L1000" s="8"/>
      <c r="M1000" s="8"/>
    </row>
    <row r="1001" spans="1:13">
      <c r="A1001" s="15" t="s">
        <v>3276</v>
      </c>
      <c r="B1001" s="67">
        <v>39651975334</v>
      </c>
      <c r="C1001" s="72" t="s">
        <v>3277</v>
      </c>
      <c r="D1001" s="69">
        <v>35104799808</v>
      </c>
      <c r="E1001" s="9">
        <v>229</v>
      </c>
      <c r="F1001" s="25">
        <v>43151</v>
      </c>
      <c r="G1001" s="70" t="s">
        <v>1773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3278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1773</v>
      </c>
      <c r="H1002" s="9"/>
      <c r="I1002" s="8"/>
      <c r="J1002" s="8"/>
      <c r="K1002" s="8"/>
      <c r="L1002" s="8"/>
      <c r="M1002" s="8"/>
    </row>
    <row r="1003" spans="1:13">
      <c r="A1003" s="71" t="s">
        <v>3279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1773</v>
      </c>
      <c r="H1003" s="9"/>
      <c r="I1003" s="8"/>
      <c r="J1003" s="8"/>
      <c r="K1003" s="8"/>
      <c r="L1003" s="8"/>
      <c r="M1003" s="8"/>
    </row>
    <row r="1004" spans="1:13">
      <c r="A1004" s="14" t="s">
        <v>3280</v>
      </c>
      <c r="B1004" s="67">
        <v>46226383801</v>
      </c>
      <c r="C1004" s="72" t="s">
        <v>3281</v>
      </c>
      <c r="D1004" s="69">
        <v>46166460821</v>
      </c>
      <c r="E1004" s="9">
        <v>292</v>
      </c>
      <c r="F1004" s="25">
        <v>43168</v>
      </c>
      <c r="G1004" s="70" t="s">
        <v>1773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3282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1773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3283</v>
      </c>
      <c r="B1006" s="67">
        <v>37051448803</v>
      </c>
      <c r="C1006" s="72" t="s">
        <v>3284</v>
      </c>
      <c r="D1006" s="69">
        <v>22442223813</v>
      </c>
      <c r="E1006" s="9">
        <v>1489</v>
      </c>
      <c r="F1006" s="25">
        <v>43038</v>
      </c>
      <c r="G1006" s="70" t="s">
        <v>1773</v>
      </c>
      <c r="H1006" s="9"/>
      <c r="I1006" s="8"/>
      <c r="J1006" s="8"/>
      <c r="K1006" s="8"/>
      <c r="L1006" s="9" t="s">
        <v>1917</v>
      </c>
      <c r="M1006" s="8"/>
    </row>
    <row r="1007" spans="1:13">
      <c r="A1007" s="71" t="s">
        <v>3285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3286</v>
      </c>
      <c r="B1008" s="67">
        <v>50092450865</v>
      </c>
      <c r="C1008" s="72" t="s">
        <v>3287</v>
      </c>
      <c r="D1008" s="69">
        <v>34366320827</v>
      </c>
      <c r="E1008" s="9">
        <v>608</v>
      </c>
      <c r="F1008" s="25">
        <v>43012</v>
      </c>
      <c r="G1008" s="70" t="s">
        <v>1773</v>
      </c>
      <c r="H1008" s="9"/>
      <c r="I1008" s="8"/>
      <c r="J1008" s="8"/>
      <c r="K1008" s="8"/>
      <c r="L1008" s="8"/>
      <c r="M1008" s="8"/>
    </row>
    <row r="1009" spans="1:13">
      <c r="A1009" s="71" t="s">
        <v>3288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1773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3289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1773</v>
      </c>
      <c r="H1010" s="9"/>
      <c r="I1010" s="8"/>
      <c r="J1010" s="8"/>
      <c r="K1010" s="8"/>
      <c r="L1010" s="8"/>
      <c r="M1010" s="8"/>
    </row>
    <row r="1011" spans="1:13">
      <c r="A1011" s="15" t="s">
        <v>3290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1773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3291</v>
      </c>
      <c r="B1012" s="67">
        <v>36501110807</v>
      </c>
      <c r="C1012" s="72" t="s">
        <v>3292</v>
      </c>
      <c r="D1012" s="69">
        <v>36592467860</v>
      </c>
      <c r="E1012" s="9">
        <v>262</v>
      </c>
      <c r="F1012" s="25">
        <v>43160</v>
      </c>
      <c r="G1012" s="70" t="s">
        <v>1773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3293</v>
      </c>
      <c r="B1013" s="67">
        <v>34470374822</v>
      </c>
      <c r="C1013" s="29" t="s">
        <v>3294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3295</v>
      </c>
      <c r="B1014" s="67">
        <v>40814125883</v>
      </c>
      <c r="C1014" s="72" t="s">
        <v>3296</v>
      </c>
      <c r="D1014" s="69">
        <v>27095684898</v>
      </c>
      <c r="E1014" s="9">
        <v>810</v>
      </c>
      <c r="F1014" s="25">
        <v>42915</v>
      </c>
      <c r="G1014" s="70" t="s">
        <v>1773</v>
      </c>
      <c r="H1014" s="9"/>
      <c r="I1014" s="8"/>
      <c r="J1014" s="8"/>
      <c r="K1014" s="8"/>
      <c r="L1014" s="9" t="s">
        <v>1895</v>
      </c>
      <c r="M1014" s="8"/>
    </row>
    <row r="1015" spans="1:13">
      <c r="A1015" s="71" t="s">
        <v>3297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3298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1773</v>
      </c>
      <c r="H1016" s="9"/>
      <c r="I1016" s="8"/>
      <c r="J1016" s="8"/>
      <c r="K1016" s="8"/>
      <c r="L1016" s="8"/>
      <c r="M1016" s="8"/>
    </row>
    <row r="1017" spans="1:13">
      <c r="A1017" s="71" t="s">
        <v>3299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3300</v>
      </c>
      <c r="B1018" s="67"/>
      <c r="C1018" s="18" t="s">
        <v>1886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3301</v>
      </c>
      <c r="B1019" s="67">
        <v>26492754808</v>
      </c>
      <c r="C1019" s="9" t="s">
        <v>1886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3302</v>
      </c>
      <c r="B1020" s="67">
        <v>526417595</v>
      </c>
      <c r="C1020" s="72" t="s">
        <v>3303</v>
      </c>
      <c r="D1020" s="69">
        <v>25810630847</v>
      </c>
      <c r="E1020" s="9">
        <v>262</v>
      </c>
      <c r="F1020" s="25">
        <v>43160</v>
      </c>
      <c r="G1020" s="9" t="s">
        <v>1773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3304</v>
      </c>
      <c r="B1021" s="67">
        <v>26362064852</v>
      </c>
      <c r="C1021" s="77" t="s">
        <v>3305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2056</v>
      </c>
      <c r="M1021" s="8"/>
    </row>
    <row r="1022" spans="1:13">
      <c r="A1022" s="71" t="s">
        <v>3306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1773</v>
      </c>
      <c r="H1022" s="9"/>
      <c r="I1022" s="8"/>
      <c r="J1022" s="8"/>
      <c r="K1022" s="8"/>
      <c r="L1022" s="9" t="s">
        <v>1917</v>
      </c>
      <c r="M1022" s="8"/>
    </row>
    <row r="1023" spans="1:13">
      <c r="A1023" s="71" t="s">
        <v>3307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1773</v>
      </c>
      <c r="H1023" s="9"/>
      <c r="I1023" s="8"/>
      <c r="J1023" s="8"/>
      <c r="K1023" s="8"/>
      <c r="L1023" s="9" t="s">
        <v>1895</v>
      </c>
      <c r="M1023" s="8"/>
    </row>
    <row r="1024" spans="1:13">
      <c r="A1024" s="71" t="s">
        <v>3308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3309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3310</v>
      </c>
      <c r="B1026" s="67">
        <v>41791708846</v>
      </c>
      <c r="C1026" s="72" t="s">
        <v>3311</v>
      </c>
      <c r="D1026" s="69">
        <v>41003253806</v>
      </c>
      <c r="E1026" s="9">
        <v>262</v>
      </c>
      <c r="F1026" s="25">
        <v>43160</v>
      </c>
      <c r="G1026" s="70" t="s">
        <v>1773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3312</v>
      </c>
      <c r="B1027" s="67"/>
      <c r="C1027" s="29" t="s">
        <v>3313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3314</v>
      </c>
      <c r="B1028" s="67">
        <v>34575373800</v>
      </c>
      <c r="C1028" s="72" t="s">
        <v>3315</v>
      </c>
      <c r="D1028" s="69">
        <v>22427117846</v>
      </c>
      <c r="E1028" s="9">
        <v>1350</v>
      </c>
      <c r="F1028" s="25">
        <v>43006</v>
      </c>
      <c r="G1028" s="70" t="s">
        <v>1773</v>
      </c>
      <c r="H1028" s="9"/>
      <c r="I1028" s="8"/>
      <c r="J1028" s="8"/>
      <c r="K1028" s="8"/>
      <c r="L1028" s="8"/>
      <c r="M1028" s="8"/>
    </row>
    <row r="1029" spans="1:13">
      <c r="A1029" s="71" t="s">
        <v>3316</v>
      </c>
      <c r="B1029" s="67">
        <v>79215262334</v>
      </c>
      <c r="C1029" s="72" t="s">
        <v>3317</v>
      </c>
      <c r="D1029" s="69">
        <v>76370372315</v>
      </c>
      <c r="E1029" s="9">
        <v>1451</v>
      </c>
      <c r="F1029" s="25">
        <v>43027</v>
      </c>
      <c r="G1029" s="70" t="s">
        <v>1779</v>
      </c>
      <c r="H1029" s="9"/>
      <c r="I1029" s="8"/>
      <c r="J1029" s="8"/>
      <c r="K1029" s="8"/>
      <c r="L1029" s="8"/>
      <c r="M1029" s="8"/>
    </row>
    <row r="1030" spans="1:13">
      <c r="A1030" s="13" t="s">
        <v>3318</v>
      </c>
      <c r="B1030" s="67">
        <v>15208922843</v>
      </c>
      <c r="C1030" s="72" t="s">
        <v>3319</v>
      </c>
      <c r="D1030" s="69">
        <v>34068960810</v>
      </c>
      <c r="E1030" s="9">
        <v>229</v>
      </c>
      <c r="F1030" s="25">
        <v>43151</v>
      </c>
      <c r="G1030" s="70" t="s">
        <v>1787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3320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3321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3322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1773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3323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2056</v>
      </c>
      <c r="M1034" s="8"/>
    </row>
    <row r="1035" spans="1:13">
      <c r="A1035" s="71" t="s">
        <v>3324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3325</v>
      </c>
      <c r="B1036" s="67">
        <v>99570467304</v>
      </c>
      <c r="C1036" s="72" t="s">
        <v>3326</v>
      </c>
      <c r="D1036" s="69">
        <v>7702980877</v>
      </c>
      <c r="E1036" s="9">
        <v>229</v>
      </c>
      <c r="F1036" s="25">
        <v>43151</v>
      </c>
      <c r="G1036" s="70" t="s">
        <v>1773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3327</v>
      </c>
      <c r="B1037" s="67">
        <v>18710956549</v>
      </c>
      <c r="C1037" s="72" t="s">
        <v>3328</v>
      </c>
      <c r="D1037" s="69">
        <v>85859141572</v>
      </c>
      <c r="E1037" s="9">
        <v>1417</v>
      </c>
      <c r="F1037" s="25">
        <v>43017</v>
      </c>
      <c r="G1037" s="70" t="s">
        <v>1773</v>
      </c>
      <c r="H1037" s="76">
        <v>43213</v>
      </c>
      <c r="I1037" s="8"/>
      <c r="J1037" s="8"/>
      <c r="K1037" s="8"/>
      <c r="L1037" s="9" t="s">
        <v>2010</v>
      </c>
      <c r="M1037" s="8"/>
    </row>
    <row r="1038" spans="1:13">
      <c r="A1038" s="71" t="s">
        <v>3329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3330</v>
      </c>
      <c r="B1039" s="67">
        <v>42748662890</v>
      </c>
      <c r="C1039" s="18" t="s">
        <v>3331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3332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1773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3333</v>
      </c>
      <c r="B1041" s="67">
        <v>23367537829</v>
      </c>
      <c r="C1041" s="72" t="s">
        <v>3334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3335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1773</v>
      </c>
      <c r="H1042" s="9"/>
      <c r="I1042" s="8"/>
      <c r="J1042" s="8"/>
      <c r="K1042" s="8"/>
      <c r="L1042" s="8"/>
      <c r="M1042" s="8"/>
    </row>
    <row r="1043" spans="1:13">
      <c r="A1043" s="15" t="s">
        <v>3336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3337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1773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3338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1773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3339</v>
      </c>
      <c r="B1046" s="67">
        <v>74603671415</v>
      </c>
      <c r="C1046" s="72" t="s">
        <v>3340</v>
      </c>
      <c r="D1046" s="69">
        <v>28040569885</v>
      </c>
      <c r="E1046" s="9">
        <v>1267</v>
      </c>
      <c r="F1046" s="25">
        <v>42998</v>
      </c>
      <c r="G1046" s="70" t="s">
        <v>1779</v>
      </c>
      <c r="H1046" s="9"/>
      <c r="I1046" s="8"/>
      <c r="J1046" s="8"/>
      <c r="K1046" s="8"/>
      <c r="L1046" s="8"/>
      <c r="M1046" s="8"/>
    </row>
    <row r="1047" spans="1:13">
      <c r="A1047" s="72" t="s">
        <v>3341</v>
      </c>
      <c r="B1047" s="67">
        <v>41590060865</v>
      </c>
      <c r="C1047" s="72" t="s">
        <v>3342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3343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1773</v>
      </c>
      <c r="H1048" s="9"/>
      <c r="I1048" s="8"/>
      <c r="J1048" s="8"/>
      <c r="K1048" s="8"/>
      <c r="L1048" s="9" t="s">
        <v>1895</v>
      </c>
      <c r="M1048" s="8"/>
    </row>
    <row r="1049" spans="1:13">
      <c r="A1049" s="13" t="s">
        <v>3344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1773</v>
      </c>
      <c r="H1049" s="9"/>
      <c r="I1049" s="8"/>
      <c r="J1049" s="8"/>
      <c r="K1049" s="8"/>
      <c r="L1049" s="8"/>
      <c r="M1049" s="8"/>
    </row>
    <row r="1050" spans="1:13">
      <c r="A1050" s="71" t="s">
        <v>3345</v>
      </c>
      <c r="B1050" s="67">
        <v>35741867898</v>
      </c>
      <c r="C1050" s="72" t="s">
        <v>3346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3347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3348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3349</v>
      </c>
      <c r="B1053" s="67">
        <v>27928359820</v>
      </c>
      <c r="C1053" s="72" t="s">
        <v>3350</v>
      </c>
      <c r="D1053" s="69">
        <v>61803766468</v>
      </c>
      <c r="E1053" s="9">
        <v>810</v>
      </c>
      <c r="F1053" s="25">
        <v>42915</v>
      </c>
      <c r="G1053" s="70" t="s">
        <v>1773</v>
      </c>
      <c r="H1053" s="9"/>
      <c r="I1053" s="8"/>
      <c r="J1053" s="8"/>
      <c r="K1053" s="8"/>
      <c r="L1053" s="9" t="s">
        <v>1895</v>
      </c>
      <c r="M1053" s="8"/>
    </row>
    <row r="1054" spans="1:13">
      <c r="A1054" s="71" t="s">
        <v>3351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1773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3352</v>
      </c>
      <c r="B1055" s="67">
        <v>59431920506</v>
      </c>
      <c r="C1055" s="18" t="s">
        <v>1886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3353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1773</v>
      </c>
      <c r="H1056" s="9"/>
      <c r="I1056" s="8"/>
      <c r="J1056" s="8"/>
      <c r="K1056" s="8"/>
      <c r="L1056" s="8"/>
      <c r="M1056" s="8"/>
    </row>
    <row r="1057" spans="1:13">
      <c r="A1057" s="71" t="s">
        <v>3354</v>
      </c>
      <c r="B1057" s="67" t="s">
        <v>3355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3356</v>
      </c>
      <c r="B1058" s="67">
        <v>34366747880</v>
      </c>
      <c r="C1058" s="77" t="s">
        <v>3357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2056</v>
      </c>
      <c r="M1058" s="8"/>
    </row>
    <row r="1059" spans="1:13">
      <c r="A1059" s="71" t="s">
        <v>3358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1773</v>
      </c>
      <c r="H1059" s="9"/>
      <c r="I1059" s="8"/>
      <c r="J1059" s="8"/>
      <c r="K1059" s="8"/>
      <c r="L1059" s="9" t="s">
        <v>1917</v>
      </c>
      <c r="M1059" s="8"/>
    </row>
    <row r="1060" spans="1:13">
      <c r="A1060" s="14" t="s">
        <v>3359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1773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3360</v>
      </c>
      <c r="B1061" s="67">
        <v>19580560811</v>
      </c>
      <c r="C1061" s="68" t="s">
        <v>3361</v>
      </c>
      <c r="D1061" s="69">
        <v>28925414848</v>
      </c>
      <c r="E1061" s="9">
        <v>1359</v>
      </c>
      <c r="F1061" s="25">
        <v>43006</v>
      </c>
      <c r="G1061" s="70" t="s">
        <v>1779</v>
      </c>
      <c r="H1061" s="9"/>
      <c r="I1061" s="8"/>
      <c r="J1061" s="8"/>
      <c r="K1061" s="8"/>
      <c r="L1061" s="8"/>
      <c r="M1061" s="8"/>
    </row>
    <row r="1062" spans="1:13">
      <c r="A1062" s="29" t="s">
        <v>3362</v>
      </c>
      <c r="B1062" s="67">
        <v>34230472838</v>
      </c>
      <c r="C1062" s="9" t="s">
        <v>1886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3363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3364</v>
      </c>
      <c r="B1064" s="67">
        <v>42398811883</v>
      </c>
      <c r="C1064" s="72" t="s">
        <v>3365</v>
      </c>
      <c r="D1064" s="69">
        <v>33876650836</v>
      </c>
      <c r="E1064" s="9">
        <v>117</v>
      </c>
      <c r="F1064" s="25">
        <v>43117</v>
      </c>
      <c r="G1064" s="70" t="s">
        <v>1779</v>
      </c>
      <c r="H1064" s="9"/>
      <c r="I1064" s="8"/>
      <c r="J1064" s="8"/>
      <c r="K1064" s="8"/>
      <c r="L1064" s="9" t="s">
        <v>1927</v>
      </c>
      <c r="M1064" s="8"/>
    </row>
    <row r="1065" spans="1:13">
      <c r="A1065" s="13" t="s">
        <v>3366</v>
      </c>
      <c r="B1065" s="67">
        <v>3876363829</v>
      </c>
      <c r="C1065" s="72" t="s">
        <v>3367</v>
      </c>
      <c r="D1065" s="69">
        <v>9491364847</v>
      </c>
      <c r="E1065" s="9">
        <v>1359</v>
      </c>
      <c r="F1065" s="25">
        <v>43006</v>
      </c>
      <c r="G1065" s="70" t="s">
        <v>1773</v>
      </c>
      <c r="H1065" s="9"/>
      <c r="I1065" s="8"/>
      <c r="J1065" s="8"/>
      <c r="K1065" s="8"/>
      <c r="L1065" s="8"/>
      <c r="M1065" s="8"/>
    </row>
    <row r="1066" spans="1:13">
      <c r="A1066" s="71" t="s">
        <v>3368</v>
      </c>
      <c r="B1066" s="67">
        <v>27340044884</v>
      </c>
      <c r="C1066" s="72" t="s">
        <v>3369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3370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3371</v>
      </c>
      <c r="B1068" s="67">
        <v>38422303892</v>
      </c>
      <c r="C1068" s="72" t="s">
        <v>3372</v>
      </c>
      <c r="D1068" s="69">
        <v>33753889857</v>
      </c>
      <c r="E1068" s="9">
        <v>608</v>
      </c>
      <c r="F1068" s="25">
        <v>43012</v>
      </c>
      <c r="G1068" s="70" t="s">
        <v>1773</v>
      </c>
      <c r="H1068" s="9"/>
      <c r="I1068" s="8"/>
      <c r="J1068" s="8"/>
      <c r="K1068" s="8"/>
      <c r="L1068" s="8"/>
      <c r="M1068" s="8"/>
    </row>
    <row r="1069" spans="1:13">
      <c r="A1069" s="13" t="s">
        <v>3373</v>
      </c>
      <c r="B1069" s="67">
        <v>36171676837</v>
      </c>
      <c r="C1069" s="68" t="s">
        <v>3374</v>
      </c>
      <c r="D1069" s="69">
        <v>1470162580</v>
      </c>
      <c r="E1069" s="9">
        <v>1128</v>
      </c>
      <c r="F1069" s="25">
        <v>42972</v>
      </c>
      <c r="G1069" s="70" t="s">
        <v>1773</v>
      </c>
      <c r="H1069" s="9"/>
      <c r="I1069" s="8"/>
      <c r="J1069" s="8"/>
      <c r="K1069" s="8"/>
      <c r="L1069" s="8"/>
      <c r="M1069" s="8"/>
    </row>
    <row r="1070" spans="1:13">
      <c r="A1070" s="14" t="s">
        <v>3375</v>
      </c>
      <c r="B1070" s="67">
        <v>42047014859</v>
      </c>
      <c r="C1070" s="72" t="s">
        <v>3376</v>
      </c>
      <c r="D1070" s="69">
        <v>9300065424</v>
      </c>
      <c r="E1070" s="9">
        <v>1417</v>
      </c>
      <c r="F1070" s="25">
        <v>43017</v>
      </c>
      <c r="G1070" s="70" t="s">
        <v>1779</v>
      </c>
      <c r="H1070" s="9"/>
      <c r="I1070" s="8"/>
      <c r="J1070" s="8"/>
      <c r="K1070" s="8"/>
      <c r="L1070" s="9" t="s">
        <v>2010</v>
      </c>
      <c r="M1070" s="8"/>
    </row>
    <row r="1071" spans="1:13">
      <c r="A1071" s="29" t="s">
        <v>3377</v>
      </c>
      <c r="B1071" s="67">
        <v>34822545830</v>
      </c>
      <c r="C1071" s="18" t="s">
        <v>1886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3378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3379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1773</v>
      </c>
      <c r="H1073" s="9"/>
      <c r="I1073" s="8"/>
      <c r="J1073" s="8"/>
      <c r="K1073" s="8"/>
      <c r="L1073" s="8"/>
      <c r="M1073" s="8"/>
    </row>
    <row r="1074" spans="1:13">
      <c r="A1074" s="71" t="s">
        <v>3380</v>
      </c>
      <c r="B1074" s="67">
        <v>1737249308</v>
      </c>
      <c r="C1074" s="72" t="s">
        <v>3381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3382</v>
      </c>
      <c r="B1075" s="67">
        <v>3844142576</v>
      </c>
      <c r="C1075" s="72" t="s">
        <v>3383</v>
      </c>
      <c r="D1075" s="69">
        <v>35502503801</v>
      </c>
      <c r="E1075" s="9">
        <v>810</v>
      </c>
      <c r="F1075" s="25">
        <v>42915</v>
      </c>
      <c r="G1075" s="70" t="s">
        <v>1773</v>
      </c>
      <c r="H1075" s="9"/>
      <c r="I1075" s="8"/>
      <c r="J1075" s="8"/>
      <c r="K1075" s="8"/>
      <c r="L1075" s="9" t="s">
        <v>1895</v>
      </c>
      <c r="M1075" s="8"/>
    </row>
    <row r="1076" spans="1:13">
      <c r="A1076" s="71" t="s">
        <v>3384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3385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1773</v>
      </c>
      <c r="H1077" s="9"/>
      <c r="I1077" s="8"/>
      <c r="J1077" s="8"/>
      <c r="K1077" s="8"/>
      <c r="L1077" s="8"/>
      <c r="M1077" s="8"/>
    </row>
    <row r="1078" spans="1:13">
      <c r="A1078" s="30" t="s">
        <v>3386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3387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1773</v>
      </c>
      <c r="H1079" s="9"/>
      <c r="I1079" s="8"/>
      <c r="J1079" s="8"/>
      <c r="K1079" s="8"/>
      <c r="L1079" s="9" t="s">
        <v>1927</v>
      </c>
      <c r="M1079" s="8"/>
    </row>
    <row r="1080" spans="1:13">
      <c r="A1080" s="18" t="s">
        <v>3388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3389</v>
      </c>
      <c r="B1081" s="67">
        <v>44410556843</v>
      </c>
      <c r="C1081" s="72" t="s">
        <v>3390</v>
      </c>
      <c r="D1081" s="69">
        <v>39436457898</v>
      </c>
      <c r="E1081" s="9">
        <v>262</v>
      </c>
      <c r="F1081" s="25">
        <v>43160</v>
      </c>
      <c r="G1081" s="70" t="s">
        <v>1773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3391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1773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3392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3393</v>
      </c>
      <c r="B1084" s="67">
        <v>7838810884</v>
      </c>
      <c r="C1084" s="72" t="s">
        <v>3394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3395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1773</v>
      </c>
      <c r="H1085" s="9"/>
      <c r="I1085" s="8"/>
      <c r="J1085" s="8"/>
      <c r="K1085" s="8"/>
      <c r="L1085" s="8"/>
      <c r="M1085" s="8"/>
    </row>
    <row r="1086" spans="1:13">
      <c r="A1086" s="73" t="s">
        <v>3396</v>
      </c>
      <c r="B1086" s="67">
        <v>18239878857</v>
      </c>
      <c r="C1086" s="72" t="s">
        <v>3397</v>
      </c>
      <c r="D1086" s="69">
        <v>18871709870</v>
      </c>
      <c r="E1086" s="9">
        <v>85</v>
      </c>
      <c r="F1086" s="25">
        <v>43109</v>
      </c>
      <c r="G1086" s="70" t="s">
        <v>1773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3398</v>
      </c>
      <c r="B1087" s="67">
        <v>33213821802</v>
      </c>
      <c r="C1087" s="18" t="s">
        <v>1886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3399</v>
      </c>
      <c r="B1088" s="67">
        <v>39075719833</v>
      </c>
      <c r="C1088" s="72" t="s">
        <v>3400</v>
      </c>
      <c r="D1088" s="69">
        <v>29754975809</v>
      </c>
      <c r="E1088" s="9">
        <v>810</v>
      </c>
      <c r="F1088" s="25">
        <v>42915</v>
      </c>
      <c r="G1088" s="70" t="s">
        <v>1779</v>
      </c>
      <c r="H1088" s="9"/>
      <c r="I1088" s="8"/>
      <c r="J1088" s="8"/>
      <c r="K1088" s="8"/>
      <c r="L1088" s="9" t="s">
        <v>1895</v>
      </c>
      <c r="M1088" s="8"/>
    </row>
    <row r="1089" spans="1:13">
      <c r="A1089" s="71" t="s">
        <v>3401</v>
      </c>
      <c r="B1089" s="67">
        <v>22599824842</v>
      </c>
      <c r="C1089" s="73" t="s">
        <v>3402</v>
      </c>
      <c r="D1089" s="69" t="s">
        <v>3403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3404</v>
      </c>
      <c r="B1090" s="67">
        <v>41719739889</v>
      </c>
      <c r="C1090" s="72" t="s">
        <v>3405</v>
      </c>
      <c r="D1090" s="69">
        <v>35883252800</v>
      </c>
      <c r="E1090" s="9">
        <v>1752</v>
      </c>
      <c r="F1090" s="25">
        <v>43051</v>
      </c>
      <c r="G1090" s="70" t="s">
        <v>1773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3406</v>
      </c>
      <c r="B1091" s="67">
        <v>31524778800</v>
      </c>
      <c r="C1091" s="72" t="s">
        <v>3407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3408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3409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3410</v>
      </c>
      <c r="B1094" s="67">
        <v>6614830376</v>
      </c>
      <c r="C1094" s="72" t="s">
        <v>3411</v>
      </c>
      <c r="D1094" s="69">
        <v>6372277352</v>
      </c>
      <c r="E1094" s="9">
        <v>229</v>
      </c>
      <c r="F1094" s="25">
        <v>43151</v>
      </c>
      <c r="G1094" s="70" t="s">
        <v>1773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3412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3413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1773</v>
      </c>
      <c r="H1096" s="9"/>
      <c r="I1096" s="8"/>
      <c r="J1096" s="8"/>
      <c r="K1096" s="8"/>
      <c r="L1096" s="8"/>
      <c r="M1096" s="8"/>
    </row>
    <row r="1097" spans="1:13">
      <c r="A1097" s="71" t="s">
        <v>3414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3415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1773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3416</v>
      </c>
      <c r="B1099" s="67">
        <v>23047254818</v>
      </c>
      <c r="C1099" s="18" t="s">
        <v>1886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3417</v>
      </c>
      <c r="B1100" s="69">
        <v>15755371504</v>
      </c>
      <c r="C1100" s="71" t="s">
        <v>3418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3419</v>
      </c>
      <c r="B1101" s="67"/>
      <c r="C1101" s="29" t="s">
        <v>1886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3420</v>
      </c>
      <c r="B1102" s="67">
        <v>37975016845</v>
      </c>
      <c r="C1102" s="72" t="s">
        <v>3421</v>
      </c>
      <c r="D1102" s="69">
        <v>31274964865</v>
      </c>
      <c r="E1102" s="9">
        <v>810</v>
      </c>
      <c r="F1102" s="25">
        <v>42915</v>
      </c>
      <c r="G1102" s="70" t="s">
        <v>1773</v>
      </c>
      <c r="H1102" s="9"/>
      <c r="I1102" s="8"/>
      <c r="J1102" s="8"/>
      <c r="K1102" s="8"/>
      <c r="L1102" s="9" t="s">
        <v>1895</v>
      </c>
      <c r="M1102" s="8"/>
    </row>
    <row r="1103" spans="1:13">
      <c r="A1103" s="71" t="s">
        <v>3422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3423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3424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1773</v>
      </c>
      <c r="H1105" s="9"/>
      <c r="I1105" s="8"/>
      <c r="J1105" s="8"/>
      <c r="K1105" s="8"/>
      <c r="L1105" s="9" t="s">
        <v>1927</v>
      </c>
      <c r="M1105" s="8"/>
    </row>
    <row r="1106" spans="1:13">
      <c r="A1106" s="14" t="s">
        <v>3425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1773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3426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3427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1773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3428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3429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3430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1773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3431</v>
      </c>
      <c r="B1112" s="67"/>
      <c r="C1112" s="29" t="s">
        <v>3432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3433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3434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3435</v>
      </c>
      <c r="B1115" s="67">
        <v>31228148899</v>
      </c>
      <c r="C1115" s="18" t="s">
        <v>3436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3437</v>
      </c>
      <c r="B1116" s="67">
        <v>28077309810</v>
      </c>
      <c r="C1116" s="72" t="s">
        <v>3438</v>
      </c>
      <c r="D1116" s="69">
        <v>62568370530</v>
      </c>
      <c r="E1116" s="9">
        <v>229</v>
      </c>
      <c r="F1116" s="25">
        <v>43151</v>
      </c>
      <c r="G1116" s="70" t="s">
        <v>1773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3439</v>
      </c>
      <c r="B1117" s="67">
        <v>43681754845</v>
      </c>
      <c r="C1117" s="72" t="s">
        <v>3440</v>
      </c>
      <c r="D1117" s="69">
        <v>51120226805</v>
      </c>
      <c r="E1117" s="9">
        <v>1555</v>
      </c>
      <c r="F1117" s="25">
        <v>43049</v>
      </c>
      <c r="G1117" s="70" t="s">
        <v>1773</v>
      </c>
      <c r="H1117" s="9"/>
      <c r="I1117" s="8"/>
      <c r="J1117" s="8"/>
      <c r="K1117" s="8"/>
      <c r="L1117" s="9" t="s">
        <v>2155</v>
      </c>
      <c r="M1117" s="8"/>
    </row>
    <row r="1118" spans="1:13">
      <c r="A1118" s="29" t="s">
        <v>3441</v>
      </c>
      <c r="B1118" s="67"/>
      <c r="C1118" s="29" t="s">
        <v>3442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3443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3444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1773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3445</v>
      </c>
      <c r="B1121" s="67">
        <v>44708151870</v>
      </c>
      <c r="C1121" s="88" t="s">
        <v>3446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3447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3448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3449</v>
      </c>
      <c r="B1124" s="67">
        <v>8368671817</v>
      </c>
      <c r="C1124" s="72" t="s">
        <v>3450</v>
      </c>
      <c r="D1124" s="69">
        <v>19184424877</v>
      </c>
      <c r="E1124" s="9">
        <v>292</v>
      </c>
      <c r="F1124" s="25">
        <v>43168</v>
      </c>
      <c r="G1124" s="70" t="s">
        <v>1773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3451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1773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3452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1773</v>
      </c>
      <c r="H1126" s="9"/>
      <c r="I1126" s="8"/>
      <c r="J1126" s="8"/>
      <c r="K1126" s="8"/>
      <c r="L1126" s="9" t="s">
        <v>1895</v>
      </c>
      <c r="M1126" s="8"/>
    </row>
    <row r="1127" spans="1:13">
      <c r="A1127" s="18" t="s">
        <v>3453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3454</v>
      </c>
      <c r="B1128" s="67">
        <v>45127604825</v>
      </c>
      <c r="C1128" s="72" t="s">
        <v>3455</v>
      </c>
      <c r="D1128" s="69" t="s">
        <v>3456</v>
      </c>
      <c r="E1128" s="9">
        <v>229</v>
      </c>
      <c r="F1128" s="25">
        <v>43151</v>
      </c>
      <c r="G1128" s="70" t="s">
        <v>1787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3457</v>
      </c>
      <c r="B1129" s="67">
        <v>42987674856</v>
      </c>
      <c r="C1129" s="72" t="s">
        <v>3458</v>
      </c>
      <c r="D1129" s="69">
        <v>38745840890</v>
      </c>
      <c r="E1129" s="9">
        <v>85</v>
      </c>
      <c r="F1129" s="25">
        <v>43109</v>
      </c>
      <c r="G1129" s="70" t="s">
        <v>1773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3459</v>
      </c>
      <c r="B1130" s="67">
        <v>36406558855</v>
      </c>
      <c r="C1130" s="72" t="s">
        <v>3460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3461</v>
      </c>
      <c r="B1131" s="67">
        <v>22758320843</v>
      </c>
      <c r="C1131" s="72" t="s">
        <v>3462</v>
      </c>
      <c r="D1131" s="69">
        <v>14229403810</v>
      </c>
      <c r="E1131" s="9">
        <v>1752</v>
      </c>
      <c r="F1131" s="25">
        <v>43051</v>
      </c>
      <c r="G1131" s="70" t="s">
        <v>1773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3463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3464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1773</v>
      </c>
      <c r="H1133" s="9"/>
      <c r="I1133" s="8"/>
      <c r="J1133" s="8"/>
      <c r="K1133" s="8"/>
      <c r="L1133" s="8"/>
      <c r="M1133" s="8"/>
    </row>
    <row r="1134" spans="1:13">
      <c r="A1134" s="71" t="s">
        <v>3465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1773</v>
      </c>
      <c r="H1134" s="9"/>
      <c r="I1134" s="8"/>
      <c r="J1134" s="8"/>
      <c r="K1134" s="8"/>
      <c r="L1134" s="8"/>
      <c r="M1134" s="8"/>
    </row>
    <row r="1135" spans="1:13">
      <c r="A1135" s="13" t="s">
        <v>3466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1773</v>
      </c>
      <c r="H1135" s="9"/>
      <c r="I1135" s="8"/>
      <c r="J1135" s="8"/>
      <c r="K1135" s="8"/>
      <c r="L1135" s="8"/>
      <c r="M1135" s="8"/>
    </row>
    <row r="1136" spans="1:13">
      <c r="A1136" s="73" t="s">
        <v>3467</v>
      </c>
      <c r="B1136" s="67">
        <v>32518683810</v>
      </c>
      <c r="C1136" s="72" t="s">
        <v>3468</v>
      </c>
      <c r="D1136" s="69">
        <v>32570919829</v>
      </c>
      <c r="E1136" s="9">
        <v>262</v>
      </c>
      <c r="F1136" s="25">
        <v>43160</v>
      </c>
      <c r="G1136" s="70" t="s">
        <v>1779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3469</v>
      </c>
      <c r="B1137" s="67">
        <v>35723911805</v>
      </c>
      <c r="C1137" s="18" t="s">
        <v>1886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3470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1773</v>
      </c>
      <c r="H1138" s="9"/>
      <c r="I1138" s="8"/>
      <c r="J1138" s="8"/>
      <c r="K1138" s="8"/>
      <c r="L1138" s="8"/>
      <c r="M1138" s="8"/>
    </row>
    <row r="1139" spans="1:13">
      <c r="A1139" s="71" t="s">
        <v>3471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1773</v>
      </c>
      <c r="H1139" s="9"/>
      <c r="I1139" s="8"/>
      <c r="J1139" s="8"/>
      <c r="K1139" s="8"/>
      <c r="L1139" s="8"/>
      <c r="M1139" s="8"/>
    </row>
    <row r="1140" spans="1:13">
      <c r="A1140" s="71" t="s">
        <v>3472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1773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3473</v>
      </c>
      <c r="B1141" s="67">
        <v>9527670667</v>
      </c>
      <c r="C1141" s="18" t="s">
        <v>3474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3475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1773</v>
      </c>
      <c r="H1142" s="9"/>
      <c r="I1142" s="8"/>
      <c r="J1142" s="8"/>
      <c r="K1142" s="8"/>
      <c r="L1142" s="8"/>
      <c r="M1142" s="8"/>
    </row>
    <row r="1143" spans="1:13">
      <c r="A1143" s="51" t="s">
        <v>3476</v>
      </c>
      <c r="B1143" s="80">
        <v>15404916842</v>
      </c>
      <c r="C1143" s="81" t="s">
        <v>3477</v>
      </c>
      <c r="D1143" s="82">
        <v>26437120487</v>
      </c>
      <c r="E1143" s="47">
        <v>1752</v>
      </c>
      <c r="F1143" s="48">
        <v>43051</v>
      </c>
      <c r="G1143" s="83" t="s">
        <v>1787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3478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1773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3479</v>
      </c>
      <c r="B1145" s="67">
        <v>16618981816</v>
      </c>
      <c r="C1145" s="77" t="s">
        <v>3480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3481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1773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3482</v>
      </c>
      <c r="B1147" s="67">
        <v>14396561857</v>
      </c>
      <c r="C1147" s="72" t="s">
        <v>3483</v>
      </c>
      <c r="D1147" s="69">
        <v>26877955854</v>
      </c>
      <c r="E1147" s="9">
        <v>1350</v>
      </c>
      <c r="F1147" s="25">
        <v>43006</v>
      </c>
      <c r="G1147" s="70" t="s">
        <v>1773</v>
      </c>
      <c r="H1147" s="9"/>
      <c r="I1147" s="8"/>
      <c r="J1147" s="8"/>
      <c r="K1147" s="8"/>
      <c r="L1147" s="8"/>
      <c r="M1147" s="8"/>
    </row>
    <row r="1148" spans="1:13">
      <c r="A1148" s="71" t="s">
        <v>3484</v>
      </c>
      <c r="B1148" s="67">
        <v>89014774591</v>
      </c>
      <c r="C1148" s="72" t="s">
        <v>3485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3486</v>
      </c>
      <c r="B1149" s="67">
        <v>36708561883</v>
      </c>
      <c r="C1149" s="72" t="s">
        <v>3487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3488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1773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3489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1773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3490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1773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3491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3492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3493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1773</v>
      </c>
      <c r="H1155" s="9"/>
      <c r="I1155" s="8"/>
      <c r="J1155" s="8"/>
      <c r="K1155" s="8"/>
      <c r="L1155" s="8"/>
      <c r="M1155" s="8"/>
    </row>
    <row r="1156" spans="1:13">
      <c r="A1156" s="71" t="s">
        <v>3494</v>
      </c>
      <c r="B1156" s="67">
        <v>35706404852</v>
      </c>
      <c r="C1156" s="72"/>
      <c r="D1156" s="69"/>
      <c r="E1156" s="9">
        <v>117</v>
      </c>
      <c r="F1156" s="25"/>
      <c r="G1156" s="70" t="s">
        <v>1787</v>
      </c>
      <c r="H1156" s="9"/>
      <c r="I1156" s="8"/>
      <c r="J1156" s="8"/>
      <c r="K1156" s="8"/>
      <c r="L1156" s="8"/>
      <c r="M1156" s="8"/>
    </row>
    <row r="1157" spans="1:13">
      <c r="A1157" s="71" t="s">
        <v>3495</v>
      </c>
      <c r="B1157" s="67">
        <v>2044062348</v>
      </c>
      <c r="C1157" s="72" t="s">
        <v>3496</v>
      </c>
      <c r="D1157" s="69">
        <v>61505005353</v>
      </c>
      <c r="E1157" s="9">
        <v>1214</v>
      </c>
      <c r="F1157" s="25">
        <v>42989</v>
      </c>
      <c r="G1157" s="70" t="s">
        <v>1773</v>
      </c>
      <c r="H1157" s="9"/>
      <c r="I1157" s="8"/>
      <c r="J1157" s="8"/>
      <c r="K1157" s="8"/>
      <c r="L1157" s="8"/>
      <c r="M1157" s="8"/>
    </row>
    <row r="1158" spans="1:13">
      <c r="A1158" s="71" t="s">
        <v>3497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1773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3498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3499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1773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3500</v>
      </c>
      <c r="B1161" s="67">
        <v>11126789801</v>
      </c>
      <c r="C1161" s="72" t="s">
        <v>3501</v>
      </c>
      <c r="D1161" s="69">
        <v>13442330823</v>
      </c>
      <c r="E1161" s="9">
        <v>85</v>
      </c>
      <c r="F1161" s="25">
        <v>43109</v>
      </c>
      <c r="G1161" s="70" t="s">
        <v>1773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3502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1773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3503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1773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3504</v>
      </c>
      <c r="B1164" s="67">
        <v>42134258861</v>
      </c>
      <c r="C1164" s="72" t="s">
        <v>3505</v>
      </c>
      <c r="D1164" s="69">
        <v>36485490817</v>
      </c>
      <c r="E1164" s="9">
        <v>262</v>
      </c>
      <c r="F1164" s="25">
        <v>43160</v>
      </c>
      <c r="G1164" s="9" t="s">
        <v>1773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3506</v>
      </c>
      <c r="B1165" s="67">
        <v>1772681318</v>
      </c>
      <c r="C1165" s="72" t="s">
        <v>3507</v>
      </c>
      <c r="D1165" s="69">
        <v>88109810306</v>
      </c>
      <c r="E1165" s="9">
        <v>85</v>
      </c>
      <c r="F1165" s="25">
        <v>43109</v>
      </c>
      <c r="G1165" s="70" t="s">
        <v>1773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3508</v>
      </c>
      <c r="B1166" s="67">
        <v>88244881291</v>
      </c>
      <c r="C1166" s="72" t="s">
        <v>3509</v>
      </c>
      <c r="D1166" s="69">
        <v>71885609272</v>
      </c>
      <c r="E1166" s="9">
        <v>292</v>
      </c>
      <c r="F1166" s="25">
        <v>43168</v>
      </c>
      <c r="G1166" s="9" t="s">
        <v>1773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3510</v>
      </c>
      <c r="B1167" s="67">
        <v>33535539838</v>
      </c>
      <c r="C1167" s="72" t="s">
        <v>3511</v>
      </c>
      <c r="D1167" s="69">
        <v>19438586830</v>
      </c>
      <c r="E1167" s="9">
        <v>85</v>
      </c>
      <c r="F1167" s="25">
        <v>43109</v>
      </c>
      <c r="G1167" s="70" t="s">
        <v>1773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3512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1773</v>
      </c>
      <c r="H1168" s="9"/>
      <c r="I1168" s="8"/>
      <c r="J1168" s="8"/>
      <c r="K1168" s="8"/>
      <c r="L1168" s="8"/>
      <c r="M1168" s="8"/>
    </row>
    <row r="1169" spans="1:13">
      <c r="A1169" s="71" t="s">
        <v>3513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1773</v>
      </c>
      <c r="H1169" s="9"/>
      <c r="I1169" s="8"/>
      <c r="J1169" s="8"/>
      <c r="K1169" s="8"/>
      <c r="L1169" s="9" t="s">
        <v>1927</v>
      </c>
      <c r="M1169" s="8"/>
    </row>
    <row r="1170" spans="1:13">
      <c r="A1170" s="71" t="s">
        <v>3514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3515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1773</v>
      </c>
      <c r="H1171" s="9"/>
      <c r="I1171" s="8"/>
      <c r="J1171" s="8"/>
      <c r="K1171" s="8"/>
      <c r="L1171" s="9" t="s">
        <v>1895</v>
      </c>
      <c r="M1171" s="8"/>
    </row>
    <row r="1172" spans="1:13">
      <c r="A1172" s="71" t="s">
        <v>3516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1773</v>
      </c>
      <c r="H1172" s="9"/>
      <c r="I1172" s="8"/>
      <c r="J1172" s="8"/>
      <c r="K1172" s="8"/>
      <c r="L1172" s="9" t="s">
        <v>2155</v>
      </c>
      <c r="M1172" s="8"/>
    </row>
    <row r="1173" spans="1:13">
      <c r="A1173" s="72" t="s">
        <v>3517</v>
      </c>
      <c r="B1173" s="67">
        <v>42160981850</v>
      </c>
      <c r="C1173" s="72" t="s">
        <v>3518</v>
      </c>
      <c r="D1173" s="69">
        <v>40077808894</v>
      </c>
      <c r="E1173" s="9">
        <v>608</v>
      </c>
      <c r="F1173" s="25">
        <v>43012</v>
      </c>
      <c r="G1173" s="70" t="s">
        <v>1773</v>
      </c>
      <c r="H1173" s="9"/>
      <c r="I1173" s="8"/>
      <c r="J1173" s="8"/>
      <c r="K1173" s="8"/>
      <c r="L1173" s="8"/>
      <c r="M1173" s="8"/>
    </row>
    <row r="1174" spans="1:13">
      <c r="A1174" s="71" t="s">
        <v>3519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1779</v>
      </c>
      <c r="H1174" s="9"/>
      <c r="I1174" s="8"/>
      <c r="J1174" s="8"/>
      <c r="K1174" s="8"/>
      <c r="L1174" s="8"/>
      <c r="M1174" s="8"/>
    </row>
    <row r="1175" spans="1:13">
      <c r="A1175" s="71" t="s">
        <v>3520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3521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2056</v>
      </c>
      <c r="M1176" s="8"/>
    </row>
    <row r="1177" spans="1:13">
      <c r="A1177" s="29" t="s">
        <v>3522</v>
      </c>
      <c r="B1177" s="67"/>
      <c r="C1177" s="29" t="s">
        <v>3523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3524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3525</v>
      </c>
      <c r="B1179" s="67">
        <v>11754585469</v>
      </c>
      <c r="C1179" s="77" t="s">
        <v>3526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2056</v>
      </c>
      <c r="M1179" s="8"/>
    </row>
    <row r="1180" spans="1:13">
      <c r="A1180" s="29" t="s">
        <v>3527</v>
      </c>
      <c r="B1180" s="67">
        <v>7621874503</v>
      </c>
      <c r="C1180" s="29" t="s">
        <v>3528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3529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1773</v>
      </c>
      <c r="H1181" s="9"/>
      <c r="I1181" s="8"/>
      <c r="J1181" s="8"/>
      <c r="K1181" s="8"/>
      <c r="L1181" s="8"/>
      <c r="M1181" s="8"/>
    </row>
    <row r="1182" spans="1:13">
      <c r="A1182" s="13" t="s">
        <v>3530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1773</v>
      </c>
      <c r="H1182" s="9"/>
      <c r="I1182" s="8"/>
      <c r="J1182" s="8"/>
      <c r="K1182" s="8"/>
      <c r="L1182" s="9" t="s">
        <v>2155</v>
      </c>
      <c r="M1182" s="8"/>
    </row>
    <row r="1183" spans="1:13">
      <c r="A1183" s="29" t="s">
        <v>3531</v>
      </c>
      <c r="B1183" s="67">
        <v>29913700841</v>
      </c>
      <c r="C1183" s="18" t="s">
        <v>1886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3532</v>
      </c>
      <c r="B1184" s="67">
        <v>28907743843</v>
      </c>
      <c r="C1184" s="29" t="s">
        <v>3533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3534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1773</v>
      </c>
      <c r="H1185" s="9"/>
      <c r="I1185" s="8"/>
      <c r="J1185" s="8"/>
      <c r="K1185" s="8"/>
      <c r="L1185" s="9" t="s">
        <v>1895</v>
      </c>
      <c r="M1185" s="8"/>
    </row>
    <row r="1186" spans="1:13">
      <c r="A1186" s="29" t="s">
        <v>3535</v>
      </c>
      <c r="B1186" s="67"/>
      <c r="C1186" s="18" t="s">
        <v>1886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3536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1773</v>
      </c>
      <c r="H1187" s="9"/>
      <c r="I1187" s="8"/>
      <c r="J1187" s="8"/>
      <c r="K1187" s="8"/>
      <c r="L1187" s="9" t="s">
        <v>1895</v>
      </c>
      <c r="M1187" s="8"/>
    </row>
    <row r="1188" spans="1:13">
      <c r="A1188" s="73" t="s">
        <v>3537</v>
      </c>
      <c r="B1188" s="67">
        <v>1198397500</v>
      </c>
      <c r="C1188" s="72" t="s">
        <v>3538</v>
      </c>
      <c r="D1188" s="69">
        <v>87142503572</v>
      </c>
      <c r="E1188" s="9">
        <v>810</v>
      </c>
      <c r="F1188" s="25">
        <v>42915</v>
      </c>
      <c r="G1188" s="70" t="s">
        <v>1773</v>
      </c>
      <c r="H1188" s="9"/>
      <c r="I1188" s="8"/>
      <c r="J1188" s="8"/>
      <c r="K1188" s="8"/>
      <c r="L1188" s="9" t="s">
        <v>1895</v>
      </c>
      <c r="M1188" s="8"/>
    </row>
    <row r="1189" spans="1:13">
      <c r="A1189" s="29" t="s">
        <v>3539</v>
      </c>
      <c r="B1189" s="67">
        <v>17487364852</v>
      </c>
      <c r="C1189" s="29" t="s">
        <v>3540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3541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1773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3542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3543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3544</v>
      </c>
      <c r="B1193" s="67">
        <v>32993187805</v>
      </c>
      <c r="C1193" s="72" t="s">
        <v>3545</v>
      </c>
      <c r="D1193" s="69">
        <v>2605272460</v>
      </c>
      <c r="E1193" s="9">
        <v>1439</v>
      </c>
      <c r="F1193" s="25">
        <v>43025</v>
      </c>
      <c r="G1193" s="70" t="s">
        <v>1773</v>
      </c>
      <c r="H1193" s="9"/>
      <c r="I1193" s="8"/>
      <c r="J1193" s="8"/>
      <c r="K1193" s="8"/>
      <c r="L1193" s="9" t="s">
        <v>2259</v>
      </c>
      <c r="M1193" s="8"/>
    </row>
    <row r="1194" spans="1:13">
      <c r="A1194" s="71" t="s">
        <v>3546</v>
      </c>
      <c r="B1194" s="67">
        <v>33182368885</v>
      </c>
      <c r="C1194" s="77" t="s">
        <v>3547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3548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1773</v>
      </c>
      <c r="H1195" s="9"/>
      <c r="I1195" s="8"/>
      <c r="J1195" s="8"/>
      <c r="K1195" s="8"/>
      <c r="L1195" s="8"/>
      <c r="M1195" s="8"/>
    </row>
    <row r="1196" spans="1:13">
      <c r="A1196" s="71" t="s">
        <v>3549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1773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3550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1773</v>
      </c>
      <c r="H1197" s="9"/>
      <c r="I1197" s="8"/>
      <c r="J1197" s="8"/>
      <c r="K1197" s="8"/>
      <c r="L1197" s="8"/>
      <c r="M1197" s="8"/>
    </row>
    <row r="1198" spans="1:13">
      <c r="A1198" s="71" t="s">
        <v>3551</v>
      </c>
      <c r="B1198" s="67">
        <v>32557609846</v>
      </c>
      <c r="C1198" s="72" t="s">
        <v>3552</v>
      </c>
      <c r="D1198" s="69">
        <v>19150806904</v>
      </c>
      <c r="E1198" s="9">
        <v>1241</v>
      </c>
      <c r="F1198" s="25">
        <v>42992</v>
      </c>
      <c r="G1198" s="70" t="s">
        <v>1773</v>
      </c>
      <c r="H1198" s="9"/>
      <c r="I1198" s="8"/>
      <c r="J1198" s="8"/>
      <c r="K1198" s="8"/>
      <c r="L1198" s="8"/>
      <c r="M1198" s="8"/>
    </row>
    <row r="1199" spans="1:13">
      <c r="A1199" s="13" t="s">
        <v>3553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1773</v>
      </c>
      <c r="H1199" s="9"/>
      <c r="I1199" s="8"/>
      <c r="J1199" s="8"/>
      <c r="K1199" s="8"/>
      <c r="L1199" s="8"/>
      <c r="M1199" s="8"/>
    </row>
    <row r="1200" spans="1:13">
      <c r="A1200" s="14" t="s">
        <v>3554</v>
      </c>
      <c r="B1200" s="67">
        <v>38236980871</v>
      </c>
      <c r="C1200" s="72" t="s">
        <v>3555</v>
      </c>
      <c r="D1200" s="69">
        <v>5177834360</v>
      </c>
      <c r="E1200" s="9">
        <v>262</v>
      </c>
      <c r="F1200" s="25">
        <v>43160</v>
      </c>
      <c r="G1200" s="70" t="s">
        <v>1773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3556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1773</v>
      </c>
      <c r="H1201" s="9"/>
      <c r="I1201" s="8"/>
      <c r="J1201" s="8"/>
      <c r="K1201" s="8"/>
      <c r="L1201" s="9" t="s">
        <v>1895</v>
      </c>
      <c r="M1201" s="8"/>
    </row>
    <row r="1202" spans="1:13">
      <c r="A1202" s="72" t="s">
        <v>3557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3558</v>
      </c>
      <c r="B1203" s="67">
        <v>177446102</v>
      </c>
      <c r="C1203" s="72" t="s">
        <v>3559</v>
      </c>
      <c r="D1203" s="69">
        <v>31301235806</v>
      </c>
      <c r="E1203" s="9">
        <v>229</v>
      </c>
      <c r="F1203" s="25">
        <v>43151</v>
      </c>
      <c r="G1203" s="70" t="s">
        <v>1773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3560</v>
      </c>
      <c r="B1204" s="67"/>
      <c r="C1204" s="29" t="s">
        <v>1886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3561</v>
      </c>
      <c r="B1205" s="67">
        <v>22394984805</v>
      </c>
      <c r="C1205" s="72" t="s">
        <v>3562</v>
      </c>
      <c r="D1205" s="69">
        <v>29161087858</v>
      </c>
      <c r="E1205" s="9">
        <v>1106</v>
      </c>
      <c r="F1205" s="25">
        <v>42965</v>
      </c>
      <c r="G1205" s="70" t="s">
        <v>1773</v>
      </c>
      <c r="H1205" s="9"/>
      <c r="I1205" s="8"/>
      <c r="J1205" s="8"/>
      <c r="K1205" s="8"/>
      <c r="L1205" s="8"/>
      <c r="M1205" s="8"/>
    </row>
    <row r="1206" spans="1:13">
      <c r="A1206" s="13" t="s">
        <v>3563</v>
      </c>
      <c r="B1206" s="67">
        <v>22495577806</v>
      </c>
      <c r="C1206" s="72" t="s">
        <v>3564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3565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3566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3567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1773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3568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3569</v>
      </c>
      <c r="B1211" s="67">
        <v>37304527897</v>
      </c>
      <c r="C1211" s="72" t="s">
        <v>3570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3571</v>
      </c>
      <c r="B1212" s="67">
        <v>11328067807</v>
      </c>
      <c r="C1212" s="72" t="s">
        <v>3572</v>
      </c>
      <c r="D1212" s="69">
        <v>60769793800</v>
      </c>
      <c r="E1212" s="9">
        <v>262</v>
      </c>
      <c r="F1212" s="25">
        <v>43160</v>
      </c>
      <c r="G1212" s="70" t="s">
        <v>1773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3573</v>
      </c>
      <c r="B1213" s="67">
        <v>4007781575</v>
      </c>
      <c r="C1213" s="72" t="s">
        <v>3574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3575</v>
      </c>
      <c r="B1214" s="67">
        <v>38448111842</v>
      </c>
      <c r="C1214" s="72" t="s">
        <v>3576</v>
      </c>
      <c r="D1214" s="69">
        <v>38350911824</v>
      </c>
      <c r="E1214" s="9"/>
      <c r="F1214" s="25"/>
      <c r="G1214" s="70" t="s">
        <v>1773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3577</v>
      </c>
      <c r="B1215" s="67"/>
      <c r="C1215" s="18" t="s">
        <v>1886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3578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1773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3579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1773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3580</v>
      </c>
      <c r="B1218" s="67">
        <v>29040829802</v>
      </c>
      <c r="C1218" s="68" t="s">
        <v>3581</v>
      </c>
      <c r="D1218" s="69">
        <v>17804755864</v>
      </c>
      <c r="E1218" s="9">
        <v>1128</v>
      </c>
      <c r="F1218" s="25">
        <v>42972</v>
      </c>
      <c r="G1218" s="70" t="s">
        <v>1773</v>
      </c>
      <c r="H1218" s="9"/>
      <c r="I1218" s="8"/>
      <c r="J1218" s="8"/>
      <c r="K1218" s="8"/>
      <c r="L1218" s="8"/>
      <c r="M1218" s="8"/>
    </row>
    <row r="1219" spans="1:13">
      <c r="A1219" s="71" t="s">
        <v>3582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3583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1773</v>
      </c>
      <c r="H1220" s="9"/>
      <c r="I1220" s="8"/>
      <c r="J1220" s="8"/>
      <c r="K1220" s="8"/>
      <c r="L1220" s="9" t="s">
        <v>2010</v>
      </c>
      <c r="M1220" s="8"/>
    </row>
    <row r="1221" spans="1:13">
      <c r="A1221" s="14" t="s">
        <v>3584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3585</v>
      </c>
      <c r="B1222" s="67">
        <v>22614376841</v>
      </c>
      <c r="C1222" s="18" t="s">
        <v>1886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3586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3587</v>
      </c>
      <c r="B1224" s="67">
        <v>95023003515</v>
      </c>
      <c r="C1224" s="72" t="s">
        <v>3588</v>
      </c>
      <c r="D1224" s="69">
        <v>2283584507</v>
      </c>
      <c r="E1224" s="9">
        <v>117</v>
      </c>
      <c r="F1224" s="25">
        <v>43117</v>
      </c>
      <c r="G1224" s="70" t="s">
        <v>1773</v>
      </c>
      <c r="H1224" s="9"/>
      <c r="I1224" s="8"/>
      <c r="J1224" s="8"/>
      <c r="K1224" s="8"/>
      <c r="L1224" s="9" t="s">
        <v>1927</v>
      </c>
      <c r="M1224" s="8"/>
    </row>
    <row r="1225" spans="1:13">
      <c r="A1225" s="15" t="s">
        <v>3589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1773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3590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3591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1773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3592</v>
      </c>
      <c r="B1228" s="67">
        <v>40584610807</v>
      </c>
      <c r="C1228" s="72" t="s">
        <v>3593</v>
      </c>
      <c r="D1228" s="69">
        <v>29182543801</v>
      </c>
      <c r="E1228" s="9">
        <v>810</v>
      </c>
      <c r="F1228" s="25">
        <v>42915</v>
      </c>
      <c r="G1228" s="70" t="s">
        <v>1773</v>
      </c>
      <c r="H1228" s="9"/>
      <c r="I1228" s="8"/>
      <c r="J1228" s="8"/>
      <c r="K1228" s="8"/>
      <c r="L1228" s="9" t="s">
        <v>1895</v>
      </c>
      <c r="M1228" s="8"/>
    </row>
    <row r="1229" spans="1:13">
      <c r="A1229" s="71" t="s">
        <v>3594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1773</v>
      </c>
      <c r="H1229" s="9"/>
      <c r="I1229" s="8"/>
      <c r="J1229" s="8"/>
      <c r="K1229" s="8"/>
      <c r="L1229" s="8"/>
      <c r="M1229" s="8"/>
    </row>
    <row r="1230" spans="1:13">
      <c r="A1230" s="18" t="s">
        <v>3595</v>
      </c>
      <c r="B1230" s="67">
        <v>2330650590</v>
      </c>
      <c r="C1230" s="18" t="s">
        <v>2149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3596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2056</v>
      </c>
      <c r="M1231" s="8"/>
    </row>
    <row r="1232" spans="1:13">
      <c r="A1232" s="71" t="s">
        <v>3597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1773</v>
      </c>
      <c r="H1232" s="9"/>
      <c r="I1232" s="8"/>
      <c r="J1232" s="8"/>
      <c r="K1232" s="8"/>
      <c r="L1232" s="8"/>
      <c r="M1232" s="8"/>
    </row>
    <row r="1233" spans="1:13">
      <c r="A1233" s="71" t="s">
        <v>3598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3599</v>
      </c>
      <c r="B1234" s="67">
        <v>35116318826</v>
      </c>
      <c r="C1234" s="72" t="s">
        <v>3600</v>
      </c>
      <c r="D1234" s="69">
        <v>22432837860</v>
      </c>
      <c r="E1234" s="9">
        <v>1824</v>
      </c>
      <c r="F1234" s="25">
        <v>43091</v>
      </c>
      <c r="G1234" s="70" t="s">
        <v>1773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3601</v>
      </c>
      <c r="B1235" s="67">
        <v>40048912808</v>
      </c>
      <c r="C1235" s="72" t="s">
        <v>3602</v>
      </c>
      <c r="D1235" s="69">
        <v>43519054841</v>
      </c>
      <c r="E1235" s="9">
        <v>262</v>
      </c>
      <c r="F1235" s="25">
        <v>43160</v>
      </c>
      <c r="G1235" s="70" t="s">
        <v>1773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3603</v>
      </c>
      <c r="B1236" s="67">
        <v>26016197831</v>
      </c>
      <c r="C1236" s="15" t="s">
        <v>3604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3605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1773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3606</v>
      </c>
      <c r="B1238" s="67">
        <v>40121535878</v>
      </c>
      <c r="C1238" s="72" t="s">
        <v>3607</v>
      </c>
      <c r="D1238" s="69">
        <v>33343601802</v>
      </c>
      <c r="E1238" s="9">
        <v>292</v>
      </c>
      <c r="F1238" s="25">
        <v>43168</v>
      </c>
      <c r="G1238" s="70" t="s">
        <v>1773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3608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1773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3609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1773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3610</v>
      </c>
      <c r="B1241" s="67">
        <v>31029975892</v>
      </c>
      <c r="C1241" s="72" t="s">
        <v>3611</v>
      </c>
      <c r="D1241" s="69">
        <v>36873004472</v>
      </c>
      <c r="E1241" s="9">
        <v>1106</v>
      </c>
      <c r="F1241" s="25">
        <v>42965</v>
      </c>
      <c r="G1241" s="9" t="s">
        <v>1773</v>
      </c>
      <c r="H1241" s="9"/>
      <c r="I1241" s="8"/>
      <c r="J1241" s="8"/>
      <c r="K1241" s="8"/>
      <c r="L1241" s="8"/>
      <c r="M1241" s="8"/>
    </row>
    <row r="1242" spans="1:13">
      <c r="A1242" s="72" t="s">
        <v>3612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1773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3613</v>
      </c>
      <c r="B1243" s="67">
        <v>36051592814</v>
      </c>
      <c r="C1243" s="72" t="s">
        <v>3614</v>
      </c>
      <c r="D1243" s="69">
        <v>13109522847</v>
      </c>
      <c r="E1243" s="9">
        <v>810</v>
      </c>
      <c r="F1243" s="25">
        <v>42915</v>
      </c>
      <c r="G1243" s="70" t="s">
        <v>1773</v>
      </c>
      <c r="H1243" s="9"/>
      <c r="I1243" s="8"/>
      <c r="J1243" s="8"/>
      <c r="K1243" s="8"/>
      <c r="L1243" s="9" t="s">
        <v>1895</v>
      </c>
      <c r="M1243" s="8"/>
    </row>
    <row r="1244" spans="1:13">
      <c r="A1244" s="71" t="s">
        <v>3615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3616</v>
      </c>
      <c r="B1245" s="67">
        <v>28142782820</v>
      </c>
      <c r="C1245" s="18" t="s">
        <v>3617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3618</v>
      </c>
      <c r="B1246" s="67">
        <v>30088939880</v>
      </c>
      <c r="C1246" s="72" t="s">
        <v>3619</v>
      </c>
      <c r="D1246" s="69">
        <v>2051861579</v>
      </c>
      <c r="E1246" s="9">
        <v>292</v>
      </c>
      <c r="F1246" s="25">
        <v>43168</v>
      </c>
      <c r="G1246" s="9" t="s">
        <v>1773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3620</v>
      </c>
      <c r="B1247" s="67">
        <v>11525085476</v>
      </c>
      <c r="C1247" s="72" t="s">
        <v>3621</v>
      </c>
      <c r="D1247" s="69">
        <v>9293576473</v>
      </c>
      <c r="E1247" s="9">
        <v>262</v>
      </c>
      <c r="F1247" s="25">
        <v>43160</v>
      </c>
      <c r="G1247" s="70" t="s">
        <v>1773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3622</v>
      </c>
      <c r="B1248" s="67"/>
      <c r="C1248" s="29" t="s">
        <v>3623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3624</v>
      </c>
      <c r="B1249" s="67">
        <v>31265129843</v>
      </c>
      <c r="C1249" s="68" t="s">
        <v>3625</v>
      </c>
      <c r="D1249" s="69">
        <v>2078435546</v>
      </c>
      <c r="E1249" s="9">
        <v>1241</v>
      </c>
      <c r="F1249" s="25">
        <v>42992</v>
      </c>
      <c r="G1249" s="70" t="s">
        <v>1773</v>
      </c>
      <c r="H1249" s="9"/>
      <c r="I1249" s="8"/>
      <c r="J1249" s="8"/>
      <c r="K1249" s="8"/>
      <c r="L1249" s="8"/>
      <c r="M1249" s="8"/>
    </row>
    <row r="1250" spans="1:13">
      <c r="A1250" s="15" t="s">
        <v>3626</v>
      </c>
      <c r="B1250" s="67">
        <v>22524200817</v>
      </c>
      <c r="C1250" s="72" t="s">
        <v>3627</v>
      </c>
      <c r="D1250" s="69">
        <v>22961531861</v>
      </c>
      <c r="E1250" s="9">
        <v>229</v>
      </c>
      <c r="F1250" s="25">
        <v>43151</v>
      </c>
      <c r="G1250" s="70" t="s">
        <v>1779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3628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1773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3629</v>
      </c>
      <c r="B1252" s="67">
        <v>29736807860</v>
      </c>
      <c r="C1252" s="72" t="s">
        <v>3630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3631</v>
      </c>
      <c r="B1253" s="67">
        <v>4890860398</v>
      </c>
      <c r="C1253" s="72" t="s">
        <v>3632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3633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1773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3634</v>
      </c>
      <c r="B1255" s="67">
        <v>35336343889</v>
      </c>
      <c r="C1255" s="18" t="s">
        <v>3635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3636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2056</v>
      </c>
      <c r="M1256" s="8"/>
    </row>
    <row r="1257" spans="1:13">
      <c r="A1257" s="14" t="s">
        <v>3637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3638</v>
      </c>
      <c r="B1258" s="67">
        <v>39107511809</v>
      </c>
      <c r="C1258" s="72" t="s">
        <v>3639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3640</v>
      </c>
      <c r="B1259" s="67">
        <v>6652314584</v>
      </c>
      <c r="C1259" s="72" t="s">
        <v>3641</v>
      </c>
      <c r="D1259" s="69">
        <v>4945754500</v>
      </c>
      <c r="E1259" s="9">
        <v>85</v>
      </c>
      <c r="F1259" s="25">
        <v>43109</v>
      </c>
      <c r="G1259" s="70" t="s">
        <v>1779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3642</v>
      </c>
      <c r="B1260" s="67">
        <v>43135974847</v>
      </c>
      <c r="C1260" s="73" t="s">
        <v>3643</v>
      </c>
      <c r="D1260" s="69" t="s">
        <v>3644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2056</v>
      </c>
      <c r="M1260" s="8"/>
    </row>
    <row r="1261" spans="1:13">
      <c r="A1261" s="13" t="s">
        <v>3645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1773</v>
      </c>
      <c r="H1261" s="9"/>
      <c r="I1261" s="8"/>
      <c r="J1261" s="8"/>
      <c r="K1261" s="8"/>
      <c r="L1261" s="8"/>
      <c r="M1261" s="8"/>
    </row>
    <row r="1262" spans="1:13">
      <c r="A1262" s="71" t="s">
        <v>3646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2056</v>
      </c>
      <c r="M1262" s="8"/>
    </row>
    <row r="1263" spans="1:13">
      <c r="A1263" s="14" t="s">
        <v>3647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1773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3648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3649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1779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3650</v>
      </c>
      <c r="B1266" s="67">
        <v>1748350943</v>
      </c>
      <c r="C1266" s="72" t="s">
        <v>3651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3652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3653</v>
      </c>
      <c r="B1268" s="67">
        <v>23502610851</v>
      </c>
      <c r="C1268" s="73" t="s">
        <v>3654</v>
      </c>
      <c r="D1268" s="69" t="s">
        <v>3655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3656</v>
      </c>
      <c r="B1269" s="67">
        <v>48857598896</v>
      </c>
      <c r="C1269" s="72" t="s">
        <v>3657</v>
      </c>
      <c r="D1269" s="69">
        <v>36223394896</v>
      </c>
      <c r="E1269" s="9">
        <v>262</v>
      </c>
      <c r="F1269" s="25">
        <v>43160</v>
      </c>
      <c r="G1269" s="46" t="s">
        <v>1779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3658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3659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3660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1773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3661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2056</v>
      </c>
      <c r="M1273" s="8"/>
    </row>
    <row r="1274" spans="1:13">
      <c r="A1274" s="71" t="s">
        <v>3662</v>
      </c>
      <c r="B1274" s="78" t="s">
        <v>3663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3664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1773</v>
      </c>
      <c r="H1275" s="9"/>
      <c r="I1275" s="8"/>
      <c r="J1275" s="8"/>
      <c r="K1275" s="8"/>
      <c r="L1275" s="8"/>
      <c r="M1275" s="8"/>
    </row>
    <row r="1276" spans="1:13">
      <c r="A1276" s="71" t="s">
        <v>3665</v>
      </c>
      <c r="B1276" s="67">
        <v>16354483876</v>
      </c>
      <c r="C1276" s="68" t="s">
        <v>3666</v>
      </c>
      <c r="D1276" s="69">
        <v>2853992845</v>
      </c>
      <c r="E1276" s="9">
        <v>1267</v>
      </c>
      <c r="F1276" s="25">
        <v>42998</v>
      </c>
      <c r="G1276" s="70" t="s">
        <v>1773</v>
      </c>
      <c r="H1276" s="9"/>
      <c r="I1276" s="8"/>
      <c r="J1276" s="8"/>
      <c r="K1276" s="8"/>
      <c r="L1276" s="8"/>
      <c r="M1276" s="8"/>
    </row>
    <row r="1277" spans="1:13">
      <c r="A1277" s="71" t="s">
        <v>3667</v>
      </c>
      <c r="B1277" s="67">
        <v>40753885816</v>
      </c>
      <c r="C1277" s="72" t="s">
        <v>3668</v>
      </c>
      <c r="D1277" s="69">
        <v>35877507850</v>
      </c>
      <c r="E1277" s="9">
        <v>85</v>
      </c>
      <c r="F1277" s="25">
        <v>43109</v>
      </c>
      <c r="G1277" s="70" t="s">
        <v>1773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3669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1773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3670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1773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3671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3672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1773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3673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3674</v>
      </c>
      <c r="B1283" s="67">
        <v>44632196800</v>
      </c>
      <c r="C1283" s="72" t="s">
        <v>3675</v>
      </c>
      <c r="D1283" s="69">
        <v>38901506831</v>
      </c>
      <c r="E1283" s="9">
        <v>1359</v>
      </c>
      <c r="F1283" s="25">
        <v>43006</v>
      </c>
      <c r="G1283" s="9" t="s">
        <v>1773</v>
      </c>
      <c r="H1283" s="9"/>
      <c r="I1283" s="8"/>
      <c r="J1283" s="8"/>
      <c r="K1283" s="8"/>
      <c r="L1283" s="8"/>
      <c r="M1283" s="8"/>
    </row>
    <row r="1284" spans="1:13">
      <c r="A1284" s="18" t="s">
        <v>3676</v>
      </c>
      <c r="B1284" s="67"/>
      <c r="C1284" s="18" t="s">
        <v>3677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3678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1773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3679</v>
      </c>
      <c r="B1286" s="67">
        <v>7354753505</v>
      </c>
      <c r="C1286" s="72" t="s">
        <v>3680</v>
      </c>
      <c r="D1286" s="69">
        <v>26646541876</v>
      </c>
      <c r="E1286" s="9">
        <v>117</v>
      </c>
      <c r="F1286" s="25">
        <v>43117</v>
      </c>
      <c r="G1286" s="70" t="s">
        <v>1773</v>
      </c>
      <c r="H1286" s="9"/>
      <c r="I1286" s="8"/>
      <c r="J1286" s="8"/>
      <c r="K1286" s="8"/>
      <c r="L1286" s="9" t="s">
        <v>1927</v>
      </c>
      <c r="M1286" s="8"/>
    </row>
    <row r="1287" spans="1:13">
      <c r="A1287" s="71" t="s">
        <v>3681</v>
      </c>
      <c r="B1287" s="67">
        <v>45378515890</v>
      </c>
      <c r="C1287" s="72" t="s">
        <v>3682</v>
      </c>
      <c r="D1287" s="69">
        <v>35635754520</v>
      </c>
      <c r="E1287" s="9">
        <v>1752</v>
      </c>
      <c r="F1287" s="25">
        <v>43051</v>
      </c>
      <c r="G1287" s="70" t="s">
        <v>1773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3683</v>
      </c>
      <c r="B1288" s="67">
        <v>41274505844</v>
      </c>
      <c r="C1288" s="18" t="s">
        <v>3684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3685</v>
      </c>
      <c r="B1289" s="67">
        <v>46583836831</v>
      </c>
      <c r="C1289" s="72" t="s">
        <v>3686</v>
      </c>
      <c r="D1289" s="69">
        <v>39199167867</v>
      </c>
      <c r="E1289" s="9">
        <v>292</v>
      </c>
      <c r="F1289" s="25">
        <v>43168</v>
      </c>
      <c r="G1289" s="9" t="s">
        <v>1773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3687</v>
      </c>
      <c r="B1290" s="67"/>
      <c r="C1290" s="29" t="s">
        <v>3688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3689</v>
      </c>
      <c r="B1291" s="67">
        <v>37483362847</v>
      </c>
      <c r="C1291" s="29" t="s">
        <v>3690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3691</v>
      </c>
      <c r="B1292" s="67">
        <v>43663899837</v>
      </c>
      <c r="C1292" s="18" t="s">
        <v>3692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3693</v>
      </c>
      <c r="B1293" s="67">
        <v>39203446850</v>
      </c>
      <c r="C1293" s="72" t="s">
        <v>3694</v>
      </c>
      <c r="D1293" s="69">
        <v>39255518836</v>
      </c>
      <c r="E1293" s="9">
        <v>292</v>
      </c>
      <c r="F1293" s="25">
        <v>43168</v>
      </c>
      <c r="G1293" s="70" t="s">
        <v>1773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3695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3696</v>
      </c>
      <c r="B1295" s="67">
        <v>45722318850</v>
      </c>
      <c r="C1295" s="72" t="s">
        <v>3697</v>
      </c>
      <c r="D1295" s="69">
        <v>61122102313</v>
      </c>
      <c r="E1295" s="9">
        <v>229</v>
      </c>
      <c r="F1295" s="25">
        <v>43151</v>
      </c>
      <c r="G1295" s="70" t="s">
        <v>1773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3698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1773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3699</v>
      </c>
      <c r="B1297" s="67">
        <v>47697684861</v>
      </c>
      <c r="C1297" s="72" t="s">
        <v>3700</v>
      </c>
      <c r="D1297" s="69">
        <v>42642601838</v>
      </c>
      <c r="E1297" s="9">
        <v>229</v>
      </c>
      <c r="F1297" s="25">
        <v>43151</v>
      </c>
      <c r="G1297" s="70" t="s">
        <v>1773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3701</v>
      </c>
      <c r="B1298" s="67">
        <v>97503479515</v>
      </c>
      <c r="C1298" s="15" t="s">
        <v>3702</v>
      </c>
      <c r="D1298" s="69">
        <v>28269015830</v>
      </c>
      <c r="E1298" s="9">
        <v>262</v>
      </c>
      <c r="F1298" s="25">
        <v>43160</v>
      </c>
      <c r="G1298" s="70" t="s">
        <v>1773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3703</v>
      </c>
      <c r="B1299" s="67">
        <v>84327510491</v>
      </c>
      <c r="C1299" s="72" t="s">
        <v>3704</v>
      </c>
      <c r="D1299" s="69">
        <v>17305875856</v>
      </c>
      <c r="E1299" s="9">
        <v>292</v>
      </c>
      <c r="F1299" s="25">
        <v>43168</v>
      </c>
      <c r="G1299" s="70" t="s">
        <v>1773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3705</v>
      </c>
      <c r="B1300" s="67">
        <v>24870791854</v>
      </c>
      <c r="C1300" s="68" t="s">
        <v>3706</v>
      </c>
      <c r="D1300" s="69">
        <v>4398744835</v>
      </c>
      <c r="E1300" s="9">
        <v>1128</v>
      </c>
      <c r="F1300" s="25">
        <v>42972</v>
      </c>
      <c r="G1300" s="70" t="s">
        <v>1773</v>
      </c>
      <c r="H1300" s="9"/>
      <c r="I1300" s="8"/>
      <c r="J1300" s="8"/>
      <c r="K1300" s="8"/>
      <c r="L1300" s="8"/>
      <c r="M1300" s="8"/>
    </row>
    <row r="1301" spans="1:13">
      <c r="A1301" s="71" t="s">
        <v>3707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1773</v>
      </c>
      <c r="H1301" s="9"/>
      <c r="I1301" s="8"/>
      <c r="J1301" s="8"/>
      <c r="K1301" s="8"/>
      <c r="L1301" s="8"/>
      <c r="M1301" s="8"/>
    </row>
    <row r="1302" spans="1:13">
      <c r="A1302" s="29" t="s">
        <v>3708</v>
      </c>
      <c r="B1302" s="67"/>
      <c r="C1302" s="18" t="s">
        <v>1886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3709</v>
      </c>
      <c r="B1303" s="67">
        <v>25533246851</v>
      </c>
      <c r="C1303" s="72" t="s">
        <v>3710</v>
      </c>
      <c r="D1303" s="69">
        <v>2336832836</v>
      </c>
      <c r="E1303" s="9">
        <v>810</v>
      </c>
      <c r="F1303" s="25">
        <v>42915</v>
      </c>
      <c r="G1303" s="70" t="s">
        <v>1773</v>
      </c>
      <c r="H1303" s="9"/>
      <c r="I1303" s="8"/>
      <c r="J1303" s="8"/>
      <c r="K1303" s="8"/>
      <c r="L1303" s="9" t="s">
        <v>1895</v>
      </c>
      <c r="M1303" s="8"/>
    </row>
    <row r="1304" spans="1:13">
      <c r="A1304" s="71" t="s">
        <v>3711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1773</v>
      </c>
      <c r="H1304" s="9"/>
      <c r="I1304" s="8"/>
      <c r="J1304" s="8"/>
      <c r="K1304" s="8"/>
      <c r="L1304" s="8"/>
      <c r="M1304" s="8"/>
    </row>
    <row r="1305" spans="1:13">
      <c r="A1305" s="15" t="s">
        <v>3712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3713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3714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3715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3716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3717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3718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1773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3719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1773</v>
      </c>
      <c r="H1312" s="9"/>
      <c r="I1312" s="8"/>
      <c r="J1312" s="8"/>
      <c r="K1312" s="8"/>
      <c r="L1312" s="8"/>
      <c r="M1312" s="8"/>
    </row>
    <row r="1313" spans="1:13">
      <c r="A1313" s="18" t="s">
        <v>3720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3721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3722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1773</v>
      </c>
      <c r="H1315" s="9"/>
      <c r="I1315" s="8"/>
      <c r="J1315" s="8"/>
      <c r="K1315" s="8"/>
      <c r="L1315" s="9" t="s">
        <v>2010</v>
      </c>
      <c r="M1315" s="8"/>
    </row>
    <row r="1316" spans="1:13">
      <c r="A1316" s="71" t="s">
        <v>3723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1773</v>
      </c>
      <c r="H1316" s="9"/>
      <c r="I1316" s="8"/>
      <c r="J1316" s="8"/>
      <c r="K1316" s="8"/>
      <c r="L1316" s="8"/>
      <c r="M1316" s="8"/>
    </row>
    <row r="1317" spans="1:13">
      <c r="A1317" s="18" t="s">
        <v>3724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3725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1773</v>
      </c>
      <c r="H1318" s="9"/>
      <c r="I1318" s="8"/>
      <c r="J1318" s="8"/>
      <c r="K1318" s="8"/>
      <c r="L1318" s="9" t="s">
        <v>2259</v>
      </c>
      <c r="M1318" s="8"/>
    </row>
    <row r="1319" spans="1:13">
      <c r="A1319" s="15" t="s">
        <v>3726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3727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3728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1773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3729</v>
      </c>
      <c r="B1322" s="67">
        <v>10519320921</v>
      </c>
      <c r="C1322" s="77" t="s">
        <v>3730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3731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1773</v>
      </c>
      <c r="H1323" s="9"/>
      <c r="I1323" s="8"/>
      <c r="J1323" s="8"/>
      <c r="K1323" s="8"/>
      <c r="L1323" s="8"/>
      <c r="M1323" s="8"/>
    </row>
    <row r="1324" spans="1:13">
      <c r="A1324" s="29" t="s">
        <v>3732</v>
      </c>
      <c r="B1324" s="67"/>
      <c r="C1324" s="18" t="s">
        <v>1886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3733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3734</v>
      </c>
      <c r="B1326" s="67"/>
      <c r="C1326" s="29" t="s">
        <v>1886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3735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1773</v>
      </c>
      <c r="H1327" s="9"/>
      <c r="I1327" s="8"/>
      <c r="J1327" s="8"/>
      <c r="K1327" s="8"/>
      <c r="L1327" s="8"/>
      <c r="M1327" s="8"/>
    </row>
    <row r="1328" spans="1:13">
      <c r="A1328" s="71" t="s">
        <v>3736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3737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1773</v>
      </c>
      <c r="H1329" s="9"/>
      <c r="I1329" s="8"/>
      <c r="J1329" s="8"/>
      <c r="K1329" s="8"/>
      <c r="L1329" s="8"/>
      <c r="M1329" s="8"/>
    </row>
    <row r="1330" spans="1:13">
      <c r="A1330" s="15" t="s">
        <v>3738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3739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1773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3740</v>
      </c>
      <c r="B1332" s="67">
        <v>27211072830</v>
      </c>
      <c r="C1332" s="72" t="s">
        <v>3741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3742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3743</v>
      </c>
      <c r="B1334" s="67">
        <v>35197770880</v>
      </c>
      <c r="C1334" s="72" t="s">
        <v>3744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3745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3746</v>
      </c>
      <c r="B1336" s="67">
        <v>35236970857</v>
      </c>
      <c r="C1336" s="68" t="s">
        <v>3747</v>
      </c>
      <c r="D1336" s="69">
        <v>41901199894</v>
      </c>
      <c r="E1336" s="9">
        <v>1417</v>
      </c>
      <c r="F1336" s="25">
        <v>43017</v>
      </c>
      <c r="G1336" s="70" t="s">
        <v>1773</v>
      </c>
      <c r="H1336" s="76">
        <v>43213</v>
      </c>
      <c r="I1336" s="8"/>
      <c r="J1336" s="8"/>
      <c r="K1336" s="8"/>
      <c r="L1336" s="9" t="s">
        <v>2010</v>
      </c>
      <c r="M1336" s="8"/>
    </row>
    <row r="1337" spans="1:13">
      <c r="A1337" s="71" t="s">
        <v>3748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1773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3749</v>
      </c>
      <c r="B1338" s="67"/>
      <c r="C1338" s="29" t="s">
        <v>1886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3750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1773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3751</v>
      </c>
      <c r="B1340" s="67">
        <v>5263835850</v>
      </c>
      <c r="C1340" s="72" t="s">
        <v>3752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3753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1773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3754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1773</v>
      </c>
      <c r="H1342" s="76">
        <v>43213</v>
      </c>
      <c r="I1342" s="8"/>
      <c r="J1342" s="8"/>
      <c r="K1342" s="8"/>
      <c r="L1342" s="9" t="s">
        <v>1927</v>
      </c>
      <c r="M1342" s="8"/>
    </row>
    <row r="1343" spans="1:13">
      <c r="A1343" s="29" t="s">
        <v>3755</v>
      </c>
      <c r="B1343" s="67">
        <v>31148209808</v>
      </c>
      <c r="C1343" s="18" t="s">
        <v>1886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3756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3757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1773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3758</v>
      </c>
      <c r="B1346" s="67">
        <v>85794398507</v>
      </c>
      <c r="C1346" s="72" t="s">
        <v>3759</v>
      </c>
      <c r="D1346" s="69">
        <v>59689188534</v>
      </c>
      <c r="E1346" s="9">
        <v>292</v>
      </c>
      <c r="F1346" s="25">
        <v>43168</v>
      </c>
      <c r="G1346" s="70" t="s">
        <v>1773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3760</v>
      </c>
      <c r="B1347" s="67">
        <v>2770765442</v>
      </c>
      <c r="C1347" s="72" t="s">
        <v>3761</v>
      </c>
      <c r="D1347" s="69">
        <v>24730161866</v>
      </c>
      <c r="E1347" s="9">
        <v>229</v>
      </c>
      <c r="F1347" s="25">
        <v>43151</v>
      </c>
      <c r="G1347" s="70" t="s">
        <v>1773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3762</v>
      </c>
      <c r="B1348" s="67">
        <v>1295044838</v>
      </c>
      <c r="C1348" s="72" t="s">
        <v>3763</v>
      </c>
      <c r="D1348" s="69">
        <v>29976206860</v>
      </c>
      <c r="E1348" s="9">
        <v>485</v>
      </c>
      <c r="F1348" s="25">
        <v>43196</v>
      </c>
      <c r="G1348" s="70" t="s">
        <v>1779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3764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1773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3765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3766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3767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1773</v>
      </c>
      <c r="H1352" s="9"/>
      <c r="I1352" s="8"/>
      <c r="J1352" s="8"/>
      <c r="K1352" s="8"/>
      <c r="L1352" s="8"/>
      <c r="M1352" s="8"/>
    </row>
    <row r="1353" spans="1:13">
      <c r="A1353" s="71" t="s">
        <v>3768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1773</v>
      </c>
      <c r="H1353" s="9"/>
      <c r="I1353" s="8"/>
      <c r="J1353" s="8"/>
      <c r="K1353" s="8"/>
      <c r="L1353" s="8"/>
      <c r="M1353" s="8"/>
    </row>
    <row r="1354" spans="1:13">
      <c r="A1354" s="15" t="s">
        <v>3769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3770</v>
      </c>
      <c r="B1355" s="67">
        <v>75678772520</v>
      </c>
      <c r="C1355" s="72" t="s">
        <v>3771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3772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3773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3774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1773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3775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1773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3776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1773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3777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1773</v>
      </c>
      <c r="H1361" s="9"/>
      <c r="I1361" s="8"/>
      <c r="J1361" s="8"/>
      <c r="K1361" s="8"/>
      <c r="L1361" s="8"/>
      <c r="M1361" s="8"/>
    </row>
    <row r="1362" spans="1:13">
      <c r="A1362" s="29" t="s">
        <v>3778</v>
      </c>
      <c r="B1362" s="67"/>
      <c r="C1362" s="18" t="s">
        <v>1886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3779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3780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3781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1773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3782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1773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3783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3784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1773</v>
      </c>
      <c r="H1368" s="9"/>
      <c r="I1368" s="8"/>
      <c r="J1368" s="8"/>
      <c r="K1368" s="8"/>
      <c r="L1368" s="9" t="s">
        <v>1927</v>
      </c>
      <c r="M1368" s="8"/>
    </row>
    <row r="1369" spans="1:13">
      <c r="A1369" s="29" t="s">
        <v>3785</v>
      </c>
      <c r="B1369" s="67"/>
      <c r="C1369" s="29" t="s">
        <v>1886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3786</v>
      </c>
      <c r="B1370" s="67">
        <v>87915170520</v>
      </c>
      <c r="C1370" s="72" t="s">
        <v>3787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3788</v>
      </c>
      <c r="B1371" s="67">
        <v>30693970855</v>
      </c>
      <c r="C1371" s="72" t="s">
        <v>3789</v>
      </c>
      <c r="D1371" s="69">
        <v>6402681610</v>
      </c>
      <c r="E1371" s="9">
        <v>608</v>
      </c>
      <c r="F1371" s="25">
        <v>43012</v>
      </c>
      <c r="G1371" s="70" t="s">
        <v>1779</v>
      </c>
      <c r="H1371" s="9"/>
      <c r="I1371" s="8"/>
      <c r="J1371" s="8"/>
      <c r="K1371" s="8"/>
      <c r="L1371" s="8"/>
      <c r="M1371" s="8"/>
    </row>
    <row r="1372" spans="1:13">
      <c r="A1372" s="71" t="s">
        <v>3790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3791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3792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3793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1773</v>
      </c>
      <c r="H1375" s="9"/>
      <c r="I1375" s="8"/>
      <c r="J1375" s="8"/>
      <c r="K1375" s="8"/>
      <c r="L1375" s="8"/>
      <c r="M1375" s="8"/>
    </row>
    <row r="1376" spans="1:13">
      <c r="A1376" s="71" t="s">
        <v>3794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1773</v>
      </c>
      <c r="H1376" s="9"/>
      <c r="I1376" s="8"/>
      <c r="J1376" s="8"/>
      <c r="K1376" s="8"/>
      <c r="L1376" s="9" t="s">
        <v>1895</v>
      </c>
      <c r="M1376" s="8"/>
    </row>
    <row r="1377" spans="1:13">
      <c r="A1377" s="71" t="s">
        <v>3795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1773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3796</v>
      </c>
      <c r="B1378" s="78" t="s">
        <v>3797</v>
      </c>
      <c r="C1378" s="72"/>
      <c r="D1378" s="69"/>
      <c r="E1378" s="9">
        <v>292</v>
      </c>
      <c r="F1378" s="25">
        <v>43168</v>
      </c>
      <c r="G1378" s="9" t="s">
        <v>1773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3798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3799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1773</v>
      </c>
      <c r="H1380" s="9"/>
      <c r="I1380" s="8"/>
      <c r="J1380" s="8"/>
      <c r="K1380" s="8"/>
      <c r="L1380" s="8"/>
      <c r="M1380" s="8"/>
    </row>
    <row r="1381" spans="1:13">
      <c r="A1381" s="71" t="s">
        <v>3800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1773</v>
      </c>
      <c r="H1381" s="9"/>
      <c r="I1381" s="8"/>
      <c r="J1381" s="8"/>
      <c r="K1381" s="8"/>
      <c r="L1381" s="9" t="s">
        <v>2155</v>
      </c>
      <c r="M1381" s="8"/>
    </row>
    <row r="1382" spans="1:13">
      <c r="A1382" s="71" t="s">
        <v>3801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3802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3803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1773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3804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1773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3805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1773</v>
      </c>
      <c r="H1386" s="9"/>
      <c r="I1386" s="8"/>
      <c r="J1386" s="8"/>
      <c r="K1386" s="8"/>
      <c r="L1386" s="8"/>
      <c r="M1386" s="8"/>
    </row>
    <row r="1387" spans="1:13">
      <c r="A1387" s="29" t="s">
        <v>3806</v>
      </c>
      <c r="B1387" s="67">
        <v>5753509894</v>
      </c>
      <c r="C1387" s="9" t="s">
        <v>1886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3807</v>
      </c>
      <c r="B1388" s="67"/>
      <c r="C1388" s="18" t="s">
        <v>3808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3809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3810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1773</v>
      </c>
      <c r="H1390" s="9"/>
      <c r="I1390" s="8"/>
      <c r="J1390" s="8"/>
      <c r="K1390" s="8"/>
      <c r="L1390" s="9" t="s">
        <v>1895</v>
      </c>
      <c r="M1390" s="8"/>
    </row>
    <row r="1391" spans="1:13">
      <c r="A1391" s="71" t="s">
        <v>3811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1773</v>
      </c>
      <c r="H1391" s="9"/>
      <c r="I1391" s="8"/>
      <c r="J1391" s="8"/>
      <c r="K1391" s="8"/>
      <c r="L1391" s="9" t="s">
        <v>1895</v>
      </c>
      <c r="M1391" s="8"/>
    </row>
    <row r="1392" spans="1:13">
      <c r="A1392" s="13" t="s">
        <v>3812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1773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3813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1779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3814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3815</v>
      </c>
      <c r="B1395" s="67">
        <v>61260606449</v>
      </c>
      <c r="C1395" s="72" t="s">
        <v>3816</v>
      </c>
      <c r="D1395" s="69">
        <v>73505854468</v>
      </c>
      <c r="E1395" s="9">
        <v>608</v>
      </c>
      <c r="F1395" s="25">
        <v>43012</v>
      </c>
      <c r="G1395" s="70" t="s">
        <v>1773</v>
      </c>
      <c r="H1395" s="9"/>
      <c r="I1395" s="8"/>
      <c r="J1395" s="8"/>
      <c r="K1395" s="8"/>
      <c r="L1395" s="8"/>
      <c r="M1395" s="8"/>
    </row>
    <row r="1396" spans="1:13">
      <c r="A1396" s="71" t="s">
        <v>3817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1773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3818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3819</v>
      </c>
      <c r="B1398" s="67">
        <v>68516274853</v>
      </c>
      <c r="C1398" s="18" t="s">
        <v>1886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3820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1773</v>
      </c>
      <c r="H1399" s="9"/>
      <c r="I1399" s="8"/>
      <c r="J1399" s="8"/>
      <c r="K1399" s="8"/>
      <c r="L1399" s="9" t="s">
        <v>1917</v>
      </c>
      <c r="M1399" s="8"/>
    </row>
    <row r="1400" spans="1:13">
      <c r="A1400" s="15" t="s">
        <v>3821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1773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3822</v>
      </c>
      <c r="B1401" s="67">
        <v>85576492820</v>
      </c>
      <c r="C1401" s="72" t="s">
        <v>3823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3824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3825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1773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3826</v>
      </c>
      <c r="B1404" s="67">
        <v>27903916882</v>
      </c>
      <c r="C1404" s="32" t="s">
        <v>3827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3828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1773</v>
      </c>
      <c r="H1405" s="9"/>
      <c r="I1405" s="8"/>
      <c r="J1405" s="8"/>
      <c r="K1405" s="8"/>
      <c r="L1405" s="9" t="s">
        <v>1917</v>
      </c>
      <c r="M1405" s="8"/>
    </row>
    <row r="1406" spans="1:13">
      <c r="A1406" s="71" t="s">
        <v>3829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1779</v>
      </c>
      <c r="H1406" s="9"/>
      <c r="I1406" s="8"/>
      <c r="J1406" s="8"/>
      <c r="K1406" s="8"/>
      <c r="L1406" s="8"/>
      <c r="M1406" s="8"/>
    </row>
    <row r="1407" spans="1:13">
      <c r="A1407" s="71" t="s">
        <v>3830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1773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3831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1773</v>
      </c>
      <c r="H1408" s="9"/>
      <c r="I1408" s="8"/>
      <c r="J1408" s="8"/>
      <c r="K1408" s="8"/>
      <c r="L1408" s="9" t="s">
        <v>1895</v>
      </c>
      <c r="M1408" s="8"/>
    </row>
    <row r="1409" spans="1:13">
      <c r="A1409" s="15" t="s">
        <v>3832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1773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3833</v>
      </c>
      <c r="B1410" s="67">
        <v>754731863</v>
      </c>
      <c r="C1410" s="72" t="s">
        <v>3834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3835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1773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3836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1773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3837</v>
      </c>
      <c r="B1413" s="67" t="s">
        <v>3838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3839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1773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3840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1773</v>
      </c>
      <c r="H1415" s="9"/>
      <c r="I1415" s="8"/>
      <c r="J1415" s="8"/>
      <c r="K1415" s="8"/>
      <c r="L1415" s="9" t="s">
        <v>1895</v>
      </c>
      <c r="M1415" s="8"/>
    </row>
    <row r="1416" spans="1:13">
      <c r="A1416" s="71" t="s">
        <v>3841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1773</v>
      </c>
      <c r="H1416" s="9"/>
      <c r="I1416" s="8"/>
      <c r="J1416" s="8"/>
      <c r="K1416" s="8"/>
      <c r="L1416" s="8"/>
      <c r="M1416" s="8"/>
    </row>
    <row r="1417" spans="1:13">
      <c r="A1417" s="15" t="s">
        <v>3842</v>
      </c>
      <c r="B1417" s="67">
        <v>32045988880</v>
      </c>
      <c r="C1417" s="72" t="s">
        <v>3843</v>
      </c>
      <c r="D1417" s="69">
        <v>28522432880</v>
      </c>
      <c r="E1417" s="9">
        <v>85</v>
      </c>
      <c r="F1417" s="25">
        <v>43109</v>
      </c>
      <c r="G1417" s="70" t="s">
        <v>1773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3844</v>
      </c>
      <c r="B1418" s="67">
        <v>14692639806</v>
      </c>
      <c r="C1418" s="18" t="s">
        <v>1886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3845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3846</v>
      </c>
      <c r="B1420" s="67">
        <v>25745713801</v>
      </c>
      <c r="C1420" s="29" t="s">
        <v>3847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3848</v>
      </c>
      <c r="B1421" s="67">
        <v>10373973802</v>
      </c>
      <c r="C1421" s="72" t="s">
        <v>3849</v>
      </c>
      <c r="D1421" s="69">
        <v>3613530813</v>
      </c>
      <c r="E1421" s="9">
        <v>1752</v>
      </c>
      <c r="F1421" s="25">
        <v>43051</v>
      </c>
      <c r="G1421" s="70" t="s">
        <v>1773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3850</v>
      </c>
      <c r="B1422" s="67">
        <v>25397304859</v>
      </c>
      <c r="C1422" s="29" t="s">
        <v>3851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3852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3853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1773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3854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3855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3856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1773</v>
      </c>
      <c r="H1427" s="9"/>
      <c r="I1427" s="8"/>
      <c r="J1427" s="8"/>
      <c r="K1427" s="8"/>
      <c r="L1427" s="8"/>
      <c r="M1427" s="8"/>
    </row>
    <row r="1428" spans="1:13">
      <c r="A1428" s="72" t="s">
        <v>3857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1773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3858</v>
      </c>
      <c r="B1429" s="67">
        <v>31115215833</v>
      </c>
      <c r="C1429" s="72" t="s">
        <v>3859</v>
      </c>
      <c r="D1429" s="69">
        <v>54134781515</v>
      </c>
      <c r="E1429" s="9">
        <v>608</v>
      </c>
      <c r="F1429" s="25">
        <v>43012</v>
      </c>
      <c r="G1429" s="70" t="s">
        <v>1773</v>
      </c>
      <c r="H1429" s="9"/>
      <c r="I1429" s="8"/>
      <c r="J1429" s="8"/>
      <c r="K1429" s="8"/>
      <c r="L1429" s="8"/>
      <c r="M1429" s="8"/>
    </row>
    <row r="1430" spans="1:13">
      <c r="A1430" s="15" t="s">
        <v>3860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1773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3861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1773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3862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1773</v>
      </c>
      <c r="H1432" s="9"/>
      <c r="I1432" s="8"/>
      <c r="J1432" s="8"/>
      <c r="K1432" s="8"/>
      <c r="L1432" s="8"/>
      <c r="M1432" s="8"/>
    </row>
    <row r="1433" spans="1:13">
      <c r="A1433" s="71" t="s">
        <v>3863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1773</v>
      </c>
      <c r="H1433" s="9"/>
      <c r="I1433" s="8"/>
      <c r="J1433" s="8"/>
      <c r="K1433" s="8"/>
      <c r="L1433" s="8"/>
      <c r="M1433" s="8"/>
    </row>
    <row r="1434" spans="1:13">
      <c r="A1434" s="71" t="s">
        <v>3864</v>
      </c>
      <c r="B1434" s="67">
        <v>35198444863</v>
      </c>
      <c r="C1434" s="72" t="s">
        <v>3865</v>
      </c>
      <c r="D1434" s="69">
        <v>30956969810</v>
      </c>
      <c r="E1434" s="9">
        <v>1489</v>
      </c>
      <c r="F1434" s="25">
        <v>43038</v>
      </c>
      <c r="G1434" s="70" t="s">
        <v>1773</v>
      </c>
      <c r="H1434" s="9"/>
      <c r="I1434" s="8"/>
      <c r="J1434" s="8"/>
      <c r="K1434" s="8"/>
      <c r="L1434" s="9" t="s">
        <v>1917</v>
      </c>
      <c r="M1434" s="8"/>
    </row>
    <row r="1435" spans="1:13">
      <c r="A1435" s="72" t="s">
        <v>3866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3867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1773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3868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1773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3869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1773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3870</v>
      </c>
      <c r="B1439" s="67">
        <v>1930099517</v>
      </c>
      <c r="C1439" s="68" t="s">
        <v>3871</v>
      </c>
      <c r="D1439" s="69">
        <v>91788226534</v>
      </c>
      <c r="E1439" s="9">
        <v>1752</v>
      </c>
      <c r="F1439" s="25">
        <v>43051</v>
      </c>
      <c r="G1439" s="70" t="s">
        <v>1773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3872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3873</v>
      </c>
      <c r="B1441" s="67">
        <v>31068143819</v>
      </c>
      <c r="C1441" s="72" t="s">
        <v>3874</v>
      </c>
      <c r="D1441" s="69">
        <v>27121002809</v>
      </c>
      <c r="E1441" s="9">
        <v>608</v>
      </c>
      <c r="F1441" s="25">
        <v>43012</v>
      </c>
      <c r="G1441" s="70" t="s">
        <v>1779</v>
      </c>
      <c r="H1441" s="9"/>
      <c r="I1441" s="8"/>
      <c r="J1441" s="8"/>
      <c r="K1441" s="8"/>
      <c r="L1441" s="8"/>
      <c r="M1441" s="8"/>
    </row>
    <row r="1442" spans="1:13">
      <c r="A1442" s="71" t="s">
        <v>3875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1773</v>
      </c>
      <c r="H1442" s="9"/>
      <c r="I1442" s="8"/>
      <c r="J1442" s="8"/>
      <c r="K1442" s="8"/>
      <c r="L1442" s="9" t="s">
        <v>2259</v>
      </c>
      <c r="M1442" s="8"/>
    </row>
    <row r="1443" spans="1:13">
      <c r="A1443" s="15" t="s">
        <v>3876</v>
      </c>
      <c r="B1443" s="67">
        <v>33100600800</v>
      </c>
      <c r="C1443" s="72" t="s">
        <v>3877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3878</v>
      </c>
      <c r="B1444" s="67">
        <v>23284980865</v>
      </c>
      <c r="C1444" s="72" t="s">
        <v>3879</v>
      </c>
      <c r="D1444" s="69">
        <v>8170993792</v>
      </c>
      <c r="E1444" s="9">
        <v>1214</v>
      </c>
      <c r="F1444" s="25">
        <v>42989</v>
      </c>
      <c r="G1444" s="70" t="s">
        <v>1773</v>
      </c>
      <c r="H1444" s="9"/>
      <c r="I1444" s="8"/>
      <c r="J1444" s="8"/>
      <c r="K1444" s="8"/>
      <c r="L1444" s="8"/>
      <c r="M1444" s="8"/>
    </row>
    <row r="1445" spans="1:13">
      <c r="A1445" s="73" t="s">
        <v>3880</v>
      </c>
      <c r="B1445" s="67">
        <v>27235231874</v>
      </c>
      <c r="C1445" s="72" t="s">
        <v>3881</v>
      </c>
      <c r="D1445" s="69">
        <v>36182133520</v>
      </c>
      <c r="E1445" s="9">
        <v>1106</v>
      </c>
      <c r="F1445" s="25">
        <v>42965</v>
      </c>
      <c r="G1445" s="70" t="s">
        <v>1773</v>
      </c>
      <c r="H1445" s="9"/>
      <c r="I1445" s="8"/>
      <c r="J1445" s="8"/>
      <c r="K1445" s="8"/>
      <c r="L1445" s="8"/>
      <c r="M1445" s="8"/>
    </row>
    <row r="1446" spans="1:13">
      <c r="A1446" s="71" t="s">
        <v>3882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3883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1773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3884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3885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3886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3887</v>
      </c>
      <c r="B1451" s="67">
        <v>774242809</v>
      </c>
      <c r="C1451" s="72" t="s">
        <v>3888</v>
      </c>
      <c r="D1451" s="69">
        <v>16619607829</v>
      </c>
      <c r="E1451" s="9">
        <v>1824</v>
      </c>
      <c r="F1451" s="25">
        <v>43091</v>
      </c>
      <c r="G1451" s="70" t="s">
        <v>1773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3889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1773</v>
      </c>
      <c r="H1452" s="9"/>
      <c r="I1452" s="8"/>
      <c r="J1452" s="8"/>
      <c r="K1452" s="8"/>
      <c r="L1452" s="8"/>
      <c r="M1452" s="8"/>
    </row>
    <row r="1453" spans="1:13">
      <c r="A1453" s="71" t="s">
        <v>3890</v>
      </c>
      <c r="B1453" s="67">
        <v>34817829850</v>
      </c>
      <c r="C1453" s="72" t="s">
        <v>3891</v>
      </c>
      <c r="D1453" s="69">
        <v>8025534863</v>
      </c>
      <c r="E1453" s="9">
        <v>1241</v>
      </c>
      <c r="F1453" s="25">
        <v>42992</v>
      </c>
      <c r="G1453" s="70" t="s">
        <v>1787</v>
      </c>
      <c r="H1453" s="9"/>
      <c r="I1453" s="8"/>
      <c r="J1453" s="8"/>
      <c r="K1453" s="8"/>
      <c r="L1453" s="8"/>
      <c r="M1453" s="8"/>
    </row>
    <row r="1454" spans="1:13">
      <c r="A1454" s="71" t="s">
        <v>3892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3893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1773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3894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1773</v>
      </c>
      <c r="H1456" s="9"/>
      <c r="I1456" s="8"/>
      <c r="J1456" s="8"/>
      <c r="K1456" s="8"/>
      <c r="L1456" s="8"/>
      <c r="M1456" s="8"/>
    </row>
    <row r="1457" spans="1:13">
      <c r="A1457" s="71" t="s">
        <v>3895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2056</v>
      </c>
      <c r="M1457" s="8"/>
    </row>
    <row r="1458" spans="1:13">
      <c r="A1458" s="14" t="s">
        <v>3896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1773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3897</v>
      </c>
      <c r="B1459" s="67">
        <v>32547457873</v>
      </c>
      <c r="C1459" s="72" t="s">
        <v>3898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3899</v>
      </c>
      <c r="B1460" s="67">
        <v>16784597800</v>
      </c>
      <c r="C1460" s="72" t="s">
        <v>3900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2947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3901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1773</v>
      </c>
      <c r="H1462" s="9"/>
      <c r="I1462" s="8"/>
      <c r="J1462" s="8"/>
      <c r="K1462" s="8"/>
      <c r="L1462" s="8"/>
      <c r="M1462" s="8"/>
    </row>
    <row r="1463" spans="1:13">
      <c r="A1463" s="71" t="s">
        <v>3902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3903</v>
      </c>
      <c r="B1464" s="67">
        <v>2467378403</v>
      </c>
      <c r="C1464" s="72" t="s">
        <v>3904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3905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3906</v>
      </c>
      <c r="B1466" s="67">
        <v>34247512862</v>
      </c>
      <c r="C1466" s="77" t="s">
        <v>3907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2056</v>
      </c>
      <c r="M1466" s="8"/>
    </row>
    <row r="1467" spans="1:13">
      <c r="A1467" s="71" t="s">
        <v>3908</v>
      </c>
      <c r="B1467" s="67" t="s">
        <v>3909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3910</v>
      </c>
      <c r="B1468" s="67">
        <v>47168211889</v>
      </c>
      <c r="C1468" s="72" t="s">
        <v>3911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3912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1773</v>
      </c>
      <c r="H1469" s="9"/>
      <c r="I1469" s="8"/>
      <c r="J1469" s="8"/>
      <c r="K1469" s="8"/>
      <c r="L1469" s="8"/>
      <c r="M1469" s="8"/>
    </row>
    <row r="1470" spans="1:13">
      <c r="A1470" s="71" t="s">
        <v>3913</v>
      </c>
      <c r="B1470" s="67">
        <v>1532239521</v>
      </c>
      <c r="C1470" s="72" t="s">
        <v>3914</v>
      </c>
      <c r="D1470" s="69">
        <v>37104060804</v>
      </c>
      <c r="E1470" s="9">
        <v>810</v>
      </c>
      <c r="F1470" s="25">
        <v>42915</v>
      </c>
      <c r="G1470" s="70" t="s">
        <v>1773</v>
      </c>
      <c r="H1470" s="9"/>
      <c r="I1470" s="8"/>
      <c r="J1470" s="8"/>
      <c r="K1470" s="8"/>
      <c r="L1470" s="9" t="s">
        <v>1895</v>
      </c>
      <c r="M1470" s="8"/>
    </row>
    <row r="1471" spans="1:13">
      <c r="A1471" s="15" t="s">
        <v>3915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1773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3916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1773</v>
      </c>
      <c r="H1472" s="9"/>
      <c r="I1472" s="8"/>
      <c r="J1472" s="8"/>
      <c r="K1472" s="8"/>
      <c r="L1472" s="9" t="s">
        <v>1895</v>
      </c>
      <c r="M1472" s="8"/>
    </row>
    <row r="1473" spans="1:13">
      <c r="A1473" s="71" t="s">
        <v>3917</v>
      </c>
      <c r="B1473" s="67">
        <v>37117512881</v>
      </c>
      <c r="C1473" s="75" t="s">
        <v>3918</v>
      </c>
      <c r="D1473" s="69">
        <v>39740259871</v>
      </c>
      <c r="E1473" s="9">
        <v>1106</v>
      </c>
      <c r="F1473" s="25">
        <v>42965</v>
      </c>
      <c r="G1473" s="70" t="s">
        <v>1773</v>
      </c>
      <c r="H1473" s="9"/>
      <c r="I1473" s="8"/>
      <c r="J1473" s="8"/>
      <c r="K1473" s="8"/>
      <c r="L1473" s="8"/>
      <c r="M1473" s="8"/>
    </row>
    <row r="1474" spans="1:13">
      <c r="A1474" s="13" t="s">
        <v>3919</v>
      </c>
      <c r="B1474" s="67">
        <v>39967942827</v>
      </c>
      <c r="C1474" s="72" t="s">
        <v>3920</v>
      </c>
      <c r="D1474" s="69">
        <v>32777947848</v>
      </c>
      <c r="E1474" s="9">
        <v>1267</v>
      </c>
      <c r="F1474" s="25">
        <v>42998</v>
      </c>
      <c r="G1474" s="70" t="s">
        <v>1773</v>
      </c>
      <c r="H1474" s="9"/>
      <c r="I1474" s="8"/>
      <c r="J1474" s="8"/>
      <c r="K1474" s="8"/>
      <c r="L1474" s="8"/>
      <c r="M1474" s="8"/>
    </row>
    <row r="1475" spans="1:13">
      <c r="A1475" s="71" t="s">
        <v>3921</v>
      </c>
      <c r="B1475" s="67">
        <v>18464307802</v>
      </c>
      <c r="C1475" s="72" t="s">
        <v>3922</v>
      </c>
      <c r="D1475" s="69">
        <v>13642437842</v>
      </c>
      <c r="E1475" s="9">
        <v>608</v>
      </c>
      <c r="F1475" s="25">
        <v>43012</v>
      </c>
      <c r="G1475" s="70" t="s">
        <v>1779</v>
      </c>
      <c r="H1475" s="9"/>
      <c r="I1475" s="8"/>
      <c r="J1475" s="8"/>
      <c r="K1475" s="8"/>
      <c r="L1475" s="8"/>
      <c r="M1475" s="8"/>
    </row>
    <row r="1476" spans="1:13">
      <c r="A1476" s="71" t="s">
        <v>3923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1773</v>
      </c>
      <c r="H1476" s="9"/>
      <c r="I1476" s="8"/>
      <c r="J1476" s="8"/>
      <c r="K1476" s="8"/>
      <c r="L1476" s="8"/>
      <c r="M1476" s="8"/>
    </row>
    <row r="1477" spans="1:13">
      <c r="A1477" s="71" t="s">
        <v>3924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1773</v>
      </c>
      <c r="H1477" s="9"/>
      <c r="I1477" s="8"/>
      <c r="J1477" s="8"/>
      <c r="K1477" s="8"/>
      <c r="L1477" s="8"/>
      <c r="M1477" s="8"/>
    </row>
    <row r="1478" spans="1:13">
      <c r="A1478" s="71" t="s">
        <v>3925</v>
      </c>
      <c r="B1478" s="67">
        <v>91413168515</v>
      </c>
      <c r="C1478" s="72" t="s">
        <v>3926</v>
      </c>
      <c r="D1478" s="69">
        <v>12713438861</v>
      </c>
      <c r="E1478" s="9">
        <v>810</v>
      </c>
      <c r="F1478" s="25">
        <v>42915</v>
      </c>
      <c r="G1478" s="70" t="s">
        <v>1773</v>
      </c>
      <c r="H1478" s="9"/>
      <c r="I1478" s="8"/>
      <c r="J1478" s="8"/>
      <c r="K1478" s="8"/>
      <c r="L1478" s="9" t="s">
        <v>1895</v>
      </c>
      <c r="M1478" s="8"/>
    </row>
    <row r="1479" spans="1:13">
      <c r="A1479" s="72" t="s">
        <v>3927</v>
      </c>
      <c r="B1479" s="67">
        <v>13554461806</v>
      </c>
      <c r="C1479" s="72" t="s">
        <v>3928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3929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1773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3930</v>
      </c>
      <c r="B1481" s="67">
        <v>23473313882</v>
      </c>
      <c r="C1481" s="72" t="s">
        <v>3931</v>
      </c>
      <c r="D1481" s="69">
        <v>51042797404</v>
      </c>
      <c r="E1481" s="9">
        <v>485</v>
      </c>
      <c r="F1481" s="25">
        <v>43196</v>
      </c>
      <c r="G1481" s="70" t="s">
        <v>1779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3932</v>
      </c>
      <c r="B1482" s="67">
        <v>7753877895</v>
      </c>
      <c r="C1482" s="68" t="s">
        <v>3933</v>
      </c>
      <c r="D1482" s="69">
        <v>66725372872</v>
      </c>
      <c r="E1482" s="9">
        <v>1214</v>
      </c>
      <c r="F1482" s="25">
        <v>42989</v>
      </c>
      <c r="G1482" s="70" t="s">
        <v>1773</v>
      </c>
      <c r="H1482" s="9"/>
      <c r="I1482" s="8"/>
      <c r="J1482" s="8"/>
      <c r="K1482" s="8"/>
      <c r="L1482" s="8"/>
      <c r="M1482" s="8"/>
    </row>
    <row r="1483" spans="1:13">
      <c r="A1483" s="71" t="s">
        <v>3934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3935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1773</v>
      </c>
      <c r="H1484" s="9"/>
      <c r="I1484" s="8"/>
      <c r="J1484" s="8"/>
      <c r="K1484" s="8"/>
      <c r="L1484" s="9" t="s">
        <v>1895</v>
      </c>
      <c r="M1484" s="8"/>
    </row>
    <row r="1485" spans="1:13">
      <c r="A1485" s="71" t="s">
        <v>3936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1773</v>
      </c>
      <c r="H1485" s="9"/>
      <c r="I1485" s="8"/>
      <c r="J1485" s="8"/>
      <c r="K1485" s="8"/>
      <c r="L1485" s="9" t="s">
        <v>1895</v>
      </c>
      <c r="M1485" s="8"/>
    </row>
    <row r="1486" spans="1:13">
      <c r="A1486" s="13" t="s">
        <v>3937</v>
      </c>
      <c r="B1486" s="67">
        <v>40779583850</v>
      </c>
      <c r="C1486" s="68" t="s">
        <v>3938</v>
      </c>
      <c r="D1486" s="69">
        <v>36411481890</v>
      </c>
      <c r="E1486" s="9">
        <v>1343</v>
      </c>
      <c r="F1486" s="25">
        <v>43004</v>
      </c>
      <c r="G1486" s="70" t="s">
        <v>1773</v>
      </c>
      <c r="H1486" s="9"/>
      <c r="I1486" s="8"/>
      <c r="J1486" s="8"/>
      <c r="K1486" s="8"/>
      <c r="L1486" s="8"/>
      <c r="M1486" s="8"/>
    </row>
    <row r="1487" spans="1:13">
      <c r="A1487" s="29" t="s">
        <v>3939</v>
      </c>
      <c r="B1487" s="67"/>
      <c r="C1487" s="29" t="s">
        <v>1886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3940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3941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1773</v>
      </c>
      <c r="H1489" s="9"/>
      <c r="I1489" s="8"/>
      <c r="J1489" s="8"/>
      <c r="K1489" s="8"/>
      <c r="L1489" s="9" t="s">
        <v>1895</v>
      </c>
      <c r="M1489" s="8"/>
    </row>
    <row r="1490" spans="1:13">
      <c r="A1490" s="15" t="s">
        <v>3942</v>
      </c>
      <c r="B1490" s="67">
        <v>45854900866</v>
      </c>
      <c r="C1490" s="72" t="s">
        <v>3943</v>
      </c>
      <c r="D1490" s="69">
        <v>23474048813</v>
      </c>
      <c r="E1490" s="9">
        <v>229</v>
      </c>
      <c r="F1490" s="25">
        <v>43151</v>
      </c>
      <c r="G1490" s="70" t="s">
        <v>1773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3944</v>
      </c>
      <c r="B1491" s="67">
        <v>40870285858</v>
      </c>
      <c r="C1491" s="72" t="s">
        <v>3945</v>
      </c>
      <c r="D1491" s="69">
        <v>39638342854</v>
      </c>
      <c r="E1491" s="9">
        <v>229</v>
      </c>
      <c r="F1491" s="25">
        <v>43151</v>
      </c>
      <c r="G1491" s="70" t="s">
        <v>1787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3946</v>
      </c>
      <c r="B1492" s="67">
        <v>43053164809</v>
      </c>
      <c r="C1492" s="71" t="s">
        <v>3947</v>
      </c>
      <c r="D1492" s="69">
        <v>35649973857</v>
      </c>
      <c r="E1492" s="9">
        <v>292</v>
      </c>
      <c r="F1492" s="25">
        <v>43168</v>
      </c>
      <c r="G1492" s="70" t="s">
        <v>1779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3948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3949</v>
      </c>
      <c r="B1494" s="67">
        <v>34727823829</v>
      </c>
      <c r="C1494" s="72" t="s">
        <v>3950</v>
      </c>
      <c r="D1494" s="69">
        <v>33790197807</v>
      </c>
      <c r="E1494" s="9">
        <v>262</v>
      </c>
      <c r="F1494" s="25">
        <v>43160</v>
      </c>
      <c r="G1494" s="70" t="s">
        <v>1779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3951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3952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1773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3953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3954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1773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3955</v>
      </c>
      <c r="B1499" s="67">
        <v>13576812830</v>
      </c>
      <c r="C1499" s="72" t="s">
        <v>3956</v>
      </c>
      <c r="D1499" s="69">
        <v>1075554845</v>
      </c>
      <c r="E1499" s="9">
        <v>1489</v>
      </c>
      <c r="F1499" s="25">
        <v>43038</v>
      </c>
      <c r="G1499" s="70" t="s">
        <v>1773</v>
      </c>
      <c r="H1499" s="9"/>
      <c r="I1499" s="8"/>
      <c r="J1499" s="8"/>
      <c r="K1499" s="8"/>
      <c r="L1499" s="9" t="s">
        <v>1917</v>
      </c>
      <c r="M1499" s="8"/>
    </row>
    <row r="1500" spans="1:13">
      <c r="A1500" s="71" t="s">
        <v>3957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3958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3959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1773</v>
      </c>
      <c r="H1502" s="9"/>
      <c r="I1502" s="8"/>
      <c r="J1502" s="8"/>
      <c r="K1502" s="8"/>
      <c r="L1502" s="9" t="s">
        <v>1895</v>
      </c>
      <c r="M1502" s="8"/>
    </row>
    <row r="1503" spans="1:13">
      <c r="A1503" s="71" t="s">
        <v>3960</v>
      </c>
      <c r="B1503" s="67">
        <v>42490041800</v>
      </c>
      <c r="C1503" s="71" t="s">
        <v>3961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3962</v>
      </c>
      <c r="B1504" s="67">
        <v>37150144829</v>
      </c>
      <c r="C1504" s="72" t="s">
        <v>3963</v>
      </c>
      <c r="D1504" s="69">
        <v>33420633866</v>
      </c>
      <c r="E1504" s="9">
        <v>1417</v>
      </c>
      <c r="F1504" s="25">
        <v>43017</v>
      </c>
      <c r="G1504" s="70" t="s">
        <v>1787</v>
      </c>
      <c r="H1504" s="9"/>
      <c r="I1504" s="8"/>
      <c r="J1504" s="8"/>
      <c r="K1504" s="8"/>
      <c r="L1504" s="9" t="s">
        <v>2010</v>
      </c>
      <c r="M1504" s="8"/>
    </row>
    <row r="1505" spans="1:13">
      <c r="A1505" s="71" t="s">
        <v>3964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3965</v>
      </c>
      <c r="B1506" s="67">
        <v>95482300544</v>
      </c>
      <c r="C1506" s="72" t="s">
        <v>3966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3967</v>
      </c>
      <c r="B1507" s="67">
        <v>3915987590</v>
      </c>
      <c r="C1507" s="72" t="s">
        <v>3968</v>
      </c>
      <c r="D1507" s="69">
        <v>1733607501</v>
      </c>
      <c r="E1507" s="9">
        <v>85</v>
      </c>
      <c r="F1507" s="25">
        <v>43109</v>
      </c>
      <c r="G1507" s="70" t="s">
        <v>1773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3969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1773</v>
      </c>
      <c r="H1508" s="9"/>
      <c r="I1508" s="8"/>
      <c r="J1508" s="8"/>
      <c r="K1508" s="8"/>
      <c r="L1508" s="9" t="s">
        <v>2259</v>
      </c>
      <c r="M1508" s="8"/>
    </row>
    <row r="1509" spans="1:13">
      <c r="A1509" s="71" t="s">
        <v>3970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1773</v>
      </c>
      <c r="H1509" s="9"/>
      <c r="I1509" s="8"/>
      <c r="J1509" s="8"/>
      <c r="K1509" s="8"/>
      <c r="L1509" s="9" t="s">
        <v>1927</v>
      </c>
      <c r="M1509" s="8"/>
    </row>
    <row r="1510" spans="1:13">
      <c r="A1510" s="29" t="s">
        <v>3971</v>
      </c>
      <c r="B1510" s="67"/>
      <c r="C1510" s="18" t="s">
        <v>1886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3972</v>
      </c>
      <c r="B1511" s="80">
        <v>39490354864</v>
      </c>
      <c r="C1511" s="81" t="s">
        <v>3973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3974</v>
      </c>
      <c r="B1512" s="67">
        <v>36190827829</v>
      </c>
      <c r="C1512" s="72" t="s">
        <v>3975</v>
      </c>
      <c r="D1512" s="69">
        <v>6501914809</v>
      </c>
      <c r="E1512" s="9">
        <v>1489</v>
      </c>
      <c r="F1512" s="25">
        <v>43038</v>
      </c>
      <c r="G1512" s="70" t="s">
        <v>1773</v>
      </c>
      <c r="H1512" s="9"/>
      <c r="I1512" s="8"/>
      <c r="J1512" s="8"/>
      <c r="K1512" s="8"/>
      <c r="L1512" s="9" t="s">
        <v>1917</v>
      </c>
      <c r="M1512" s="8"/>
    </row>
    <row r="1513" spans="1:13">
      <c r="A1513" s="71" t="s">
        <v>3976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1773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3977</v>
      </c>
      <c r="B1514" s="67">
        <v>37978221890</v>
      </c>
      <c r="C1514" s="15" t="s">
        <v>3978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3979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2056</v>
      </c>
      <c r="M1515" s="8"/>
    </row>
    <row r="1516" spans="1:13">
      <c r="A1516" s="71" t="s">
        <v>3980</v>
      </c>
      <c r="B1516" s="67">
        <v>23341671854</v>
      </c>
      <c r="C1516" s="72" t="s">
        <v>3981</v>
      </c>
      <c r="D1516" s="69">
        <v>34413431820</v>
      </c>
      <c r="E1516" s="9">
        <v>810</v>
      </c>
      <c r="F1516" s="25">
        <v>42915</v>
      </c>
      <c r="G1516" s="83" t="s">
        <v>1773</v>
      </c>
      <c r="H1516" s="9"/>
      <c r="I1516" s="8"/>
      <c r="J1516" s="8"/>
      <c r="K1516" s="8"/>
      <c r="L1516" s="9" t="s">
        <v>1895</v>
      </c>
      <c r="M1516" s="8"/>
    </row>
    <row r="1517" spans="1:13">
      <c r="A1517" s="71" t="s">
        <v>3982</v>
      </c>
      <c r="B1517" s="67">
        <v>35934079816</v>
      </c>
      <c r="C1517" s="72" t="s">
        <v>3983</v>
      </c>
      <c r="D1517" s="69">
        <v>2511538512</v>
      </c>
      <c r="E1517" s="9">
        <v>262</v>
      </c>
      <c r="F1517" s="25">
        <v>43160</v>
      </c>
      <c r="G1517" s="70" t="s">
        <v>1773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3984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1773</v>
      </c>
      <c r="H1518" s="9"/>
      <c r="I1518" s="8"/>
      <c r="J1518" s="8"/>
      <c r="K1518" s="8"/>
      <c r="L1518" s="9" t="s">
        <v>1927</v>
      </c>
      <c r="M1518" s="8"/>
    </row>
    <row r="1519" spans="1:13">
      <c r="A1519" s="71" t="s">
        <v>3985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1773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3986</v>
      </c>
      <c r="B1520" s="67">
        <v>37395316819</v>
      </c>
      <c r="C1520" s="72" t="s">
        <v>3987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3988</v>
      </c>
      <c r="B1521" s="80">
        <v>47168651854</v>
      </c>
      <c r="C1521" s="50" t="s">
        <v>3989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3990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3991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1773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3992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1773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3993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3994</v>
      </c>
      <c r="B1526" s="67">
        <v>36776791848</v>
      </c>
      <c r="C1526" s="72" t="s">
        <v>3995</v>
      </c>
      <c r="D1526" s="69">
        <v>23340578869</v>
      </c>
      <c r="E1526" s="9">
        <v>608</v>
      </c>
      <c r="F1526" s="25">
        <v>43012</v>
      </c>
      <c r="G1526" s="70" t="s">
        <v>1773</v>
      </c>
      <c r="H1526" s="9"/>
      <c r="I1526" s="8"/>
      <c r="J1526" s="8"/>
      <c r="K1526" s="8"/>
      <c r="L1526" s="8"/>
      <c r="M1526" s="8"/>
    </row>
    <row r="1527" spans="1:13">
      <c r="A1527" s="71" t="s">
        <v>3996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3997</v>
      </c>
      <c r="B1528" s="67">
        <v>32561817830</v>
      </c>
      <c r="C1528" s="72" t="s">
        <v>3998</v>
      </c>
      <c r="D1528" s="69">
        <v>30328335827</v>
      </c>
      <c r="E1528" s="9">
        <v>1824</v>
      </c>
      <c r="F1528" s="25">
        <v>43091</v>
      </c>
      <c r="G1528" s="70" t="s">
        <v>1779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3999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1773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4000</v>
      </c>
      <c r="B1530" s="67">
        <v>36044847829</v>
      </c>
      <c r="C1530" s="72" t="s">
        <v>4001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4002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4003</v>
      </c>
      <c r="B1532" s="67">
        <v>35070422820</v>
      </c>
      <c r="C1532" s="72" t="s">
        <v>4004</v>
      </c>
      <c r="D1532" s="69">
        <v>24871235831</v>
      </c>
      <c r="E1532" s="9">
        <v>292</v>
      </c>
      <c r="F1532" s="25">
        <v>43168</v>
      </c>
      <c r="G1532" s="70" t="s">
        <v>1773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4005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2056</v>
      </c>
      <c r="M1533" s="8"/>
    </row>
    <row r="1534" spans="1:13">
      <c r="A1534" s="15" t="s">
        <v>4006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4007</v>
      </c>
      <c r="B1535" s="67"/>
      <c r="C1535" s="29" t="s">
        <v>4008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4009</v>
      </c>
      <c r="B1536" s="67">
        <v>47240915840</v>
      </c>
      <c r="C1536" s="72"/>
      <c r="D1536" s="69"/>
      <c r="E1536" s="9"/>
      <c r="F1536" s="25"/>
      <c r="G1536" s="70" t="s">
        <v>1773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4010</v>
      </c>
      <c r="B1537" s="67"/>
      <c r="C1537" s="18" t="s">
        <v>1886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4011</v>
      </c>
      <c r="B1538" s="67">
        <v>42424051895</v>
      </c>
      <c r="C1538" s="72" t="s">
        <v>4012</v>
      </c>
      <c r="D1538" s="69">
        <v>34920392869</v>
      </c>
      <c r="E1538" s="9">
        <v>1214</v>
      </c>
      <c r="F1538" s="25">
        <v>42989</v>
      </c>
      <c r="G1538" s="70" t="s">
        <v>1773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4013</v>
      </c>
      <c r="B1539" s="67">
        <v>45298965873</v>
      </c>
      <c r="C1539" s="18" t="s">
        <v>1886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4014</v>
      </c>
      <c r="B1540" s="67">
        <v>48176009857</v>
      </c>
      <c r="C1540" s="18" t="s">
        <v>1886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4015</v>
      </c>
      <c r="B1541" s="67">
        <v>32645353860</v>
      </c>
      <c r="C1541" s="71" t="s">
        <v>4016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4017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1773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4018</v>
      </c>
      <c r="B1543" s="67">
        <v>34899686897</v>
      </c>
      <c r="C1543" s="72" t="s">
        <v>4019</v>
      </c>
      <c r="D1543" s="69">
        <v>34782852835</v>
      </c>
      <c r="E1543" s="9">
        <v>810</v>
      </c>
      <c r="F1543" s="25">
        <v>42915</v>
      </c>
      <c r="G1543" s="70" t="s">
        <v>1773</v>
      </c>
      <c r="H1543" s="76">
        <v>43213</v>
      </c>
      <c r="I1543" s="8"/>
      <c r="J1543" s="8"/>
      <c r="K1543" s="8"/>
      <c r="L1543" s="9" t="s">
        <v>1895</v>
      </c>
      <c r="M1543" s="8"/>
    </row>
    <row r="1544" spans="1:13">
      <c r="A1544" s="71" t="s">
        <v>4020</v>
      </c>
      <c r="B1544" s="67">
        <v>39778910812</v>
      </c>
      <c r="C1544" s="68" t="s">
        <v>4021</v>
      </c>
      <c r="D1544" s="69">
        <v>34703237806</v>
      </c>
      <c r="E1544" s="9">
        <v>1128</v>
      </c>
      <c r="F1544" s="25">
        <v>42972</v>
      </c>
      <c r="G1544" s="70" t="s">
        <v>1773</v>
      </c>
      <c r="H1544" s="9"/>
      <c r="I1544" s="8"/>
      <c r="J1544" s="8"/>
      <c r="K1544" s="8"/>
      <c r="L1544" s="8"/>
      <c r="M1544" s="8"/>
    </row>
    <row r="1545" spans="1:13">
      <c r="A1545" s="71" t="s">
        <v>4022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2056</v>
      </c>
      <c r="M1545" s="8"/>
    </row>
    <row r="1546" spans="1:13">
      <c r="A1546" s="72" t="s">
        <v>4023</v>
      </c>
      <c r="B1546" s="67">
        <v>22429349884</v>
      </c>
      <c r="C1546" s="72" t="s">
        <v>4024</v>
      </c>
      <c r="D1546" s="69">
        <v>32307277897</v>
      </c>
      <c r="E1546" s="9">
        <v>1417</v>
      </c>
      <c r="F1546" s="25">
        <v>43017</v>
      </c>
      <c r="G1546" s="70" t="s">
        <v>1773</v>
      </c>
      <c r="H1546" s="9"/>
      <c r="I1546" s="8"/>
      <c r="J1546" s="8"/>
      <c r="K1546" s="8"/>
      <c r="L1546" s="9" t="s">
        <v>2010</v>
      </c>
      <c r="M1546" s="8"/>
    </row>
    <row r="1547" spans="1:13">
      <c r="A1547" s="13" t="s">
        <v>4025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1773</v>
      </c>
      <c r="H1547" s="9"/>
      <c r="I1547" s="8"/>
      <c r="J1547" s="8"/>
      <c r="K1547" s="8"/>
      <c r="L1547" s="8"/>
      <c r="M1547" s="8"/>
    </row>
    <row r="1548" spans="1:13">
      <c r="A1548" s="71" t="s">
        <v>4026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2056</v>
      </c>
      <c r="M1548" s="8"/>
    </row>
    <row r="1549" spans="1:13">
      <c r="A1549" s="15" t="s">
        <v>4027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1773</v>
      </c>
      <c r="H1549" s="9"/>
      <c r="I1549" s="8"/>
      <c r="J1549" s="8"/>
      <c r="K1549" s="8"/>
      <c r="L1549" s="9" t="s">
        <v>1927</v>
      </c>
      <c r="M1549" s="8"/>
    </row>
    <row r="1550" spans="1:13">
      <c r="A1550" s="15" t="s">
        <v>4028</v>
      </c>
      <c r="B1550" s="67">
        <v>7081215432</v>
      </c>
      <c r="C1550" s="15" t="s">
        <v>4029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2056</v>
      </c>
      <c r="M1550" s="8"/>
    </row>
    <row r="1551" spans="1:13">
      <c r="A1551" s="71" t="s">
        <v>4030</v>
      </c>
      <c r="B1551" s="67">
        <v>37104895809</v>
      </c>
      <c r="C1551" s="72" t="s">
        <v>4031</v>
      </c>
      <c r="D1551" s="69">
        <v>34256763856</v>
      </c>
      <c r="E1551" s="9">
        <v>1752</v>
      </c>
      <c r="F1551" s="25">
        <v>43051</v>
      </c>
      <c r="G1551" s="70" t="s">
        <v>1787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4032</v>
      </c>
      <c r="B1552" s="67"/>
      <c r="C1552" s="29" t="s">
        <v>1886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4033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2056</v>
      </c>
      <c r="M1553" s="8"/>
    </row>
    <row r="1554" spans="1:13">
      <c r="A1554" s="14" t="s">
        <v>4034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1773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4035</v>
      </c>
      <c r="B1555" s="67">
        <v>45862437835</v>
      </c>
      <c r="C1555" s="72" t="s">
        <v>4036</v>
      </c>
      <c r="D1555" s="69">
        <v>2301226280</v>
      </c>
      <c r="E1555" s="9">
        <v>1752</v>
      </c>
      <c r="F1555" s="25">
        <v>43051</v>
      </c>
      <c r="G1555" s="70" t="s">
        <v>1773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4037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1773</v>
      </c>
      <c r="H1556" s="9"/>
      <c r="I1556" s="8"/>
      <c r="J1556" s="8"/>
      <c r="K1556" s="8"/>
      <c r="L1556" s="8"/>
      <c r="M1556" s="8"/>
    </row>
    <row r="1557" spans="1:13">
      <c r="A1557" s="29" t="s">
        <v>4038</v>
      </c>
      <c r="B1557" s="67"/>
      <c r="C1557" s="29" t="s">
        <v>4039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4040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4041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2056</v>
      </c>
      <c r="M1559" s="8"/>
    </row>
    <row r="1560" spans="1:13">
      <c r="A1560" s="71" t="s">
        <v>4042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1773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4043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1773</v>
      </c>
      <c r="H1561" s="9"/>
      <c r="I1561" s="8"/>
      <c r="J1561" s="8"/>
      <c r="K1561" s="8"/>
      <c r="L1561" s="8"/>
      <c r="M1561" s="8"/>
    </row>
    <row r="1562" spans="1:13">
      <c r="A1562" s="71" t="s">
        <v>4044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1773</v>
      </c>
      <c r="H1562" s="9"/>
      <c r="I1562" s="8"/>
      <c r="J1562" s="8"/>
      <c r="K1562" s="8"/>
      <c r="L1562" s="9" t="s">
        <v>1895</v>
      </c>
      <c r="M1562" s="8"/>
    </row>
    <row r="1563" spans="1:13">
      <c r="A1563" s="15" t="s">
        <v>4045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1773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4046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1773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4047</v>
      </c>
      <c r="B1565" s="67">
        <v>33390811826</v>
      </c>
      <c r="C1565" s="72" t="s">
        <v>4048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4049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1773</v>
      </c>
      <c r="H1566" s="9"/>
      <c r="I1566" s="8"/>
      <c r="J1566" s="8"/>
      <c r="K1566" s="8"/>
      <c r="L1566" s="9" t="s">
        <v>2010</v>
      </c>
      <c r="M1566" s="8"/>
    </row>
    <row r="1567" spans="1:13">
      <c r="A1567" s="29" t="s">
        <v>4050</v>
      </c>
      <c r="B1567" s="67">
        <v>22173656813</v>
      </c>
      <c r="C1567" s="18" t="s">
        <v>1886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4051</v>
      </c>
      <c r="B1568" s="67">
        <v>30690514808</v>
      </c>
      <c r="C1568" s="72" t="s">
        <v>4052</v>
      </c>
      <c r="D1568" s="69">
        <v>22622085818</v>
      </c>
      <c r="E1568" s="9">
        <v>423</v>
      </c>
      <c r="F1568" s="25">
        <v>43182</v>
      </c>
      <c r="G1568" s="9" t="s">
        <v>1773</v>
      </c>
      <c r="H1568" s="9"/>
      <c r="I1568" s="8"/>
      <c r="J1568" s="8"/>
      <c r="K1568" s="8"/>
      <c r="L1568" s="8"/>
      <c r="M1568" s="8"/>
    </row>
    <row r="1569" spans="1:13">
      <c r="A1569" s="71" t="s">
        <v>4053</v>
      </c>
      <c r="B1569" s="67">
        <v>43901748865</v>
      </c>
      <c r="C1569" s="72" t="s">
        <v>4054</v>
      </c>
      <c r="D1569" s="69">
        <v>34818027812</v>
      </c>
      <c r="E1569" s="9">
        <v>1824</v>
      </c>
      <c r="F1569" s="25">
        <v>43091</v>
      </c>
      <c r="G1569" s="70" t="s">
        <v>1773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4055</v>
      </c>
      <c r="B1570" s="67"/>
      <c r="C1570" s="18" t="s">
        <v>1886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4056</v>
      </c>
      <c r="B1571" s="67">
        <v>5212444390</v>
      </c>
      <c r="C1571" s="15" t="s">
        <v>4057</v>
      </c>
      <c r="D1571" s="69">
        <v>2231738350</v>
      </c>
      <c r="E1571" s="9">
        <v>292</v>
      </c>
      <c r="F1571" s="25">
        <v>43168</v>
      </c>
      <c r="G1571" s="70" t="s">
        <v>1773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4058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4059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1773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4060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4061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1773</v>
      </c>
      <c r="H1575" s="9"/>
      <c r="I1575" s="8"/>
      <c r="J1575" s="8"/>
      <c r="K1575" s="8"/>
      <c r="L1575" s="9" t="s">
        <v>1895</v>
      </c>
      <c r="M1575" s="8"/>
    </row>
    <row r="1576" spans="1:13">
      <c r="A1576" s="71" t="s">
        <v>4062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1773</v>
      </c>
      <c r="H1576" s="9"/>
      <c r="I1576" s="8"/>
      <c r="J1576" s="8"/>
      <c r="K1576" s="8"/>
      <c r="L1576" s="8"/>
      <c r="M1576" s="8"/>
    </row>
    <row r="1577" spans="1:13">
      <c r="A1577" s="71" t="s">
        <v>4063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4064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4065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4066</v>
      </c>
      <c r="B1580" s="67">
        <v>88436144520</v>
      </c>
      <c r="C1580" s="29" t="s">
        <v>1886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4067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4068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1773</v>
      </c>
      <c r="H1582" s="9"/>
      <c r="I1582" s="8"/>
      <c r="J1582" s="8"/>
      <c r="K1582" s="8"/>
      <c r="L1582" s="8"/>
      <c r="M1582" s="8"/>
    </row>
    <row r="1583" spans="1:13">
      <c r="A1583" s="72" t="s">
        <v>4069</v>
      </c>
      <c r="B1583" s="67">
        <v>4967493580</v>
      </c>
      <c r="C1583" s="15" t="s">
        <v>4070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4071</v>
      </c>
      <c r="B1584" s="67">
        <v>28043649847</v>
      </c>
      <c r="C1584" s="72" t="s">
        <v>4072</v>
      </c>
      <c r="D1584" s="69">
        <v>37064432870</v>
      </c>
      <c r="E1584" s="9">
        <v>117</v>
      </c>
      <c r="F1584" s="25">
        <v>43117</v>
      </c>
      <c r="G1584" s="70" t="s">
        <v>1773</v>
      </c>
      <c r="H1584" s="9"/>
      <c r="I1584" s="8"/>
      <c r="J1584" s="8"/>
      <c r="K1584" s="8"/>
      <c r="L1584" s="9" t="s">
        <v>1927</v>
      </c>
      <c r="M1584" s="8"/>
    </row>
    <row r="1585" spans="1:13">
      <c r="A1585" s="71" t="s">
        <v>4073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1773</v>
      </c>
      <c r="H1585" s="9"/>
      <c r="I1585" s="8"/>
      <c r="J1585" s="8"/>
      <c r="K1585" s="8"/>
      <c r="L1585" s="9" t="s">
        <v>1895</v>
      </c>
      <c r="M1585" s="8"/>
    </row>
    <row r="1586" spans="1:13">
      <c r="A1586" s="73" t="s">
        <v>4074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1773</v>
      </c>
      <c r="H1586" s="9"/>
      <c r="I1586" s="8"/>
      <c r="J1586" s="8"/>
      <c r="K1586" s="8"/>
      <c r="L1586" s="8"/>
      <c r="M1586" s="8"/>
    </row>
    <row r="1587" spans="1:13">
      <c r="A1587" s="15" t="s">
        <v>4075</v>
      </c>
      <c r="B1587" s="67">
        <v>45671290325</v>
      </c>
      <c r="C1587" s="72" t="s">
        <v>4076</v>
      </c>
      <c r="D1587" s="69">
        <v>13019071895</v>
      </c>
      <c r="E1587" s="9">
        <v>117</v>
      </c>
      <c r="F1587" s="25">
        <v>43117</v>
      </c>
      <c r="G1587" s="70" t="s">
        <v>1787</v>
      </c>
      <c r="H1587" s="9"/>
      <c r="I1587" s="8"/>
      <c r="J1587" s="8"/>
      <c r="K1587" s="8"/>
      <c r="L1587" s="9" t="s">
        <v>1927</v>
      </c>
      <c r="M1587" s="8"/>
    </row>
    <row r="1588" spans="1:13">
      <c r="A1588" s="13" t="s">
        <v>4077</v>
      </c>
      <c r="B1588" s="67">
        <v>7677424864</v>
      </c>
      <c r="C1588" s="72" t="s">
        <v>4078</v>
      </c>
      <c r="D1588" s="69">
        <v>6128186831</v>
      </c>
      <c r="E1588" s="9">
        <v>1570</v>
      </c>
      <c r="F1588" s="25">
        <v>43077</v>
      </c>
      <c r="G1588" s="70" t="s">
        <v>1773</v>
      </c>
      <c r="H1588" s="9"/>
      <c r="I1588" s="8"/>
      <c r="J1588" s="8"/>
      <c r="K1588" s="8"/>
      <c r="L1588" s="8"/>
      <c r="M1588" s="8"/>
    </row>
    <row r="1589" spans="1:13">
      <c r="A1589" s="13" t="s">
        <v>4079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4080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1773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4081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1773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4082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4083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1773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4084</v>
      </c>
      <c r="B1594" s="67"/>
      <c r="C1594" s="29" t="s">
        <v>1886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4085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1773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4086</v>
      </c>
      <c r="B1596" s="67">
        <v>47555303850</v>
      </c>
      <c r="C1596" s="18" t="s">
        <v>1886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4087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1773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4088</v>
      </c>
      <c r="B1598" s="67">
        <v>25966733805</v>
      </c>
      <c r="C1598" s="72" t="s">
        <v>4089</v>
      </c>
      <c r="D1598" s="69">
        <v>19681706854</v>
      </c>
      <c r="E1598" s="9">
        <v>1752</v>
      </c>
      <c r="F1598" s="25">
        <v>43051</v>
      </c>
      <c r="G1598" s="70" t="s">
        <v>1779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4090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1773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4091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1773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4092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4093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1773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4094</v>
      </c>
      <c r="B1603" s="67">
        <v>32448230846</v>
      </c>
      <c r="C1603" s="18" t="s">
        <v>4095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4096</v>
      </c>
      <c r="B1604" s="67">
        <v>56151250559</v>
      </c>
      <c r="C1604" s="18" t="s">
        <v>4097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4098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1773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4099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4100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1773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4101</v>
      </c>
      <c r="B1608" s="67">
        <v>36713930840</v>
      </c>
      <c r="C1608" s="68" t="s">
        <v>4102</v>
      </c>
      <c r="D1608" s="69">
        <v>30171047885</v>
      </c>
      <c r="E1608" s="9">
        <v>1128</v>
      </c>
      <c r="F1608" s="25">
        <v>42972</v>
      </c>
      <c r="G1608" s="70" t="s">
        <v>1773</v>
      </c>
      <c r="H1608" s="9"/>
      <c r="I1608" s="8"/>
      <c r="J1608" s="8"/>
      <c r="K1608" s="8"/>
      <c r="L1608" s="8"/>
      <c r="M1608" s="8"/>
    </row>
    <row r="1609" spans="1:13">
      <c r="A1609" s="29" t="s">
        <v>4103</v>
      </c>
      <c r="B1609" s="67">
        <v>37138221827</v>
      </c>
      <c r="C1609" s="29" t="s">
        <v>4104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4105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1773</v>
      </c>
      <c r="H1610" s="9"/>
      <c r="I1610" s="8"/>
      <c r="J1610" s="8"/>
      <c r="K1610" s="8"/>
      <c r="L1610" s="8"/>
      <c r="M1610" s="8"/>
    </row>
    <row r="1611" spans="1:13">
      <c r="A1611" s="71" t="s">
        <v>4106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1773</v>
      </c>
      <c r="H1611" s="9"/>
      <c r="I1611" s="8"/>
      <c r="J1611" s="8"/>
      <c r="K1611" s="8"/>
      <c r="L1611" s="8"/>
      <c r="M1611" s="8"/>
    </row>
    <row r="1612" spans="1:13">
      <c r="A1612" s="71" t="s">
        <v>4107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1773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4108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4109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1773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4110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1773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4111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1773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4112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4113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1773</v>
      </c>
      <c r="H1618" s="9"/>
      <c r="I1618" s="8"/>
      <c r="J1618" s="8"/>
      <c r="K1618" s="8"/>
      <c r="L1618" s="9" t="s">
        <v>1895</v>
      </c>
      <c r="M1618" s="8"/>
    </row>
    <row r="1619" spans="1:13">
      <c r="A1619" s="71" t="s">
        <v>4114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1773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4115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1773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4116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4117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4118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1773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4119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4120</v>
      </c>
      <c r="B1625" s="67">
        <v>37338189897</v>
      </c>
      <c r="C1625" s="72" t="s">
        <v>4121</v>
      </c>
      <c r="D1625" s="69">
        <v>27359655897</v>
      </c>
      <c r="E1625" s="9">
        <v>1824</v>
      </c>
      <c r="F1625" s="25">
        <v>43091</v>
      </c>
      <c r="G1625" s="70" t="s">
        <v>1773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4122</v>
      </c>
      <c r="B1626" s="67">
        <v>45632601854</v>
      </c>
      <c r="C1626" s="32" t="s">
        <v>4123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2056</v>
      </c>
      <c r="M1626" s="8"/>
    </row>
    <row r="1627" spans="1:13">
      <c r="A1627" s="29" t="s">
        <v>4124</v>
      </c>
      <c r="B1627" s="67"/>
      <c r="C1627" s="29" t="s">
        <v>4125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4126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4127</v>
      </c>
      <c r="B1629" s="67">
        <v>38150547886</v>
      </c>
      <c r="C1629" s="72" t="s">
        <v>4128</v>
      </c>
      <c r="D1629" s="69">
        <v>36270820871</v>
      </c>
      <c r="E1629" s="9">
        <v>262</v>
      </c>
      <c r="F1629" s="25">
        <v>43160</v>
      </c>
      <c r="G1629" s="9" t="s">
        <v>1773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4129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4130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4131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4132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4133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1773</v>
      </c>
      <c r="H1634" s="9"/>
      <c r="I1634" s="8"/>
      <c r="J1634" s="8"/>
      <c r="K1634" s="8"/>
      <c r="L1634" s="8"/>
      <c r="M1634" s="8"/>
    </row>
    <row r="1635" spans="1:13">
      <c r="A1635" s="71" t="s">
        <v>4134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1773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4135</v>
      </c>
      <c r="B1636" s="67">
        <v>44852605858</v>
      </c>
      <c r="C1636" s="15" t="s">
        <v>4136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4137</v>
      </c>
      <c r="B1637" s="67">
        <v>42130610862</v>
      </c>
      <c r="C1637" s="29" t="s">
        <v>4138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4139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1773</v>
      </c>
      <c r="H1638" s="9"/>
      <c r="I1638" s="8"/>
      <c r="J1638" s="8"/>
      <c r="K1638" s="8"/>
      <c r="L1638" s="9" t="s">
        <v>1927</v>
      </c>
      <c r="M1638" s="8"/>
    </row>
    <row r="1639" spans="1:13">
      <c r="A1639" s="15" t="s">
        <v>4140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4141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1773</v>
      </c>
      <c r="H1640" s="9"/>
      <c r="I1640" s="8"/>
      <c r="J1640" s="8"/>
      <c r="K1640" s="8"/>
      <c r="L1640" s="9" t="s">
        <v>1927</v>
      </c>
      <c r="M1640" s="8"/>
    </row>
    <row r="1641" spans="1:13">
      <c r="A1641" s="71" t="s">
        <v>4142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1773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4143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4144</v>
      </c>
      <c r="B1643" s="67">
        <v>25399089858</v>
      </c>
      <c r="C1643" s="18" t="s">
        <v>4145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4146</v>
      </c>
      <c r="B1644" s="67">
        <v>36758489817</v>
      </c>
      <c r="C1644" s="72" t="s">
        <v>4147</v>
      </c>
      <c r="D1644" s="69">
        <v>15602238808</v>
      </c>
      <c r="E1644" s="9">
        <v>117</v>
      </c>
      <c r="F1644" s="25">
        <v>43117</v>
      </c>
      <c r="G1644" s="70" t="s">
        <v>1773</v>
      </c>
      <c r="H1644" s="9"/>
      <c r="I1644" s="8"/>
      <c r="J1644" s="8"/>
      <c r="K1644" s="8"/>
      <c r="L1644" s="9" t="s">
        <v>1927</v>
      </c>
      <c r="M1644" s="8"/>
    </row>
    <row r="1645" spans="1:13">
      <c r="A1645" s="71" t="s">
        <v>4148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1773</v>
      </c>
      <c r="H1645" s="9"/>
      <c r="I1645" s="8"/>
      <c r="J1645" s="8"/>
      <c r="K1645" s="8"/>
      <c r="L1645" s="8"/>
      <c r="M1645" s="8"/>
    </row>
    <row r="1646" spans="1:13">
      <c r="A1646" s="71" t="s">
        <v>4149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4150</v>
      </c>
      <c r="B1647" s="67">
        <v>3051791440</v>
      </c>
      <c r="C1647" s="72" t="s">
        <v>4151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4152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1773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4153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4154</v>
      </c>
      <c r="B1650" s="67">
        <v>8774817841</v>
      </c>
      <c r="C1650" s="18" t="s">
        <v>1886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4155</v>
      </c>
      <c r="B1651" s="67">
        <v>15730438850</v>
      </c>
      <c r="C1651" s="72" t="s">
        <v>4156</v>
      </c>
      <c r="D1651" s="69">
        <v>11253544883</v>
      </c>
      <c r="E1651" s="9">
        <v>1628</v>
      </c>
      <c r="F1651" s="25">
        <v>43077</v>
      </c>
      <c r="G1651" s="70" t="s">
        <v>1773</v>
      </c>
      <c r="H1651" s="9"/>
      <c r="I1651" s="8"/>
      <c r="J1651" s="8"/>
      <c r="K1651" s="8"/>
      <c r="L1651" s="8"/>
      <c r="M1651" s="8"/>
    </row>
    <row r="1652" spans="1:13">
      <c r="A1652" s="72" t="s">
        <v>4157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4158</v>
      </c>
      <c r="B1653" s="67">
        <v>16416601800</v>
      </c>
      <c r="C1653" s="72" t="s">
        <v>4159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4160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4161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1773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4162</v>
      </c>
      <c r="B1656" s="67">
        <v>6595999617</v>
      </c>
      <c r="C1656" s="68" t="s">
        <v>4163</v>
      </c>
      <c r="D1656" s="69">
        <v>9929242430</v>
      </c>
      <c r="E1656" s="9">
        <v>1128</v>
      </c>
      <c r="F1656" s="25">
        <v>42972</v>
      </c>
      <c r="G1656" s="70" t="s">
        <v>1773</v>
      </c>
      <c r="H1656" s="9"/>
      <c r="I1656" s="8"/>
      <c r="J1656" s="8"/>
      <c r="K1656" s="8"/>
      <c r="L1656" s="8"/>
      <c r="M1656" s="8"/>
    </row>
    <row r="1657" spans="1:13">
      <c r="A1657" s="71" t="s">
        <v>4164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1773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4165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4166</v>
      </c>
      <c r="B1659" s="67">
        <v>28785359874</v>
      </c>
      <c r="C1659" s="72" t="s">
        <v>4167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4168</v>
      </c>
      <c r="B1660" s="67">
        <v>36460261890</v>
      </c>
      <c r="C1660" s="72" t="s">
        <v>4169</v>
      </c>
      <c r="D1660" s="69">
        <v>7468402841</v>
      </c>
      <c r="E1660" s="9">
        <v>608</v>
      </c>
      <c r="F1660" s="25">
        <v>43012</v>
      </c>
      <c r="G1660" s="70" t="s">
        <v>1773</v>
      </c>
      <c r="H1660" s="9"/>
      <c r="I1660" s="8"/>
      <c r="J1660" s="8"/>
      <c r="K1660" s="8"/>
      <c r="L1660" s="8"/>
      <c r="M1660" s="8"/>
    </row>
    <row r="1661" spans="1:13">
      <c r="A1661" s="15" t="s">
        <v>4170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1773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4171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1773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4172</v>
      </c>
      <c r="B1663" s="67">
        <v>34385358826</v>
      </c>
      <c r="C1663" s="72" t="s">
        <v>4173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4174</v>
      </c>
      <c r="B1664" s="67">
        <v>24820428870</v>
      </c>
      <c r="C1664" s="72" t="s">
        <v>4175</v>
      </c>
      <c r="D1664" s="69">
        <v>22012255833</v>
      </c>
      <c r="E1664" s="9">
        <v>1417</v>
      </c>
      <c r="F1664" s="25">
        <v>43017</v>
      </c>
      <c r="G1664" s="70" t="s">
        <v>1773</v>
      </c>
      <c r="H1664" s="9"/>
      <c r="I1664" s="8"/>
      <c r="J1664" s="8"/>
      <c r="K1664" s="8"/>
      <c r="L1664" s="9" t="s">
        <v>2010</v>
      </c>
      <c r="M1664" s="8"/>
    </row>
    <row r="1665" spans="1:13">
      <c r="A1665" s="29" t="s">
        <v>4176</v>
      </c>
      <c r="B1665" s="67">
        <v>31148609822</v>
      </c>
      <c r="C1665" s="29" t="s">
        <v>4177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4178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1787</v>
      </c>
      <c r="H1666" s="9"/>
      <c r="I1666" s="8"/>
      <c r="J1666" s="8"/>
      <c r="K1666" s="8"/>
      <c r="L1666" s="9" t="s">
        <v>1927</v>
      </c>
      <c r="M1666" s="8"/>
    </row>
    <row r="1667" spans="1:13">
      <c r="A1667" s="14" t="s">
        <v>4179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4179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1773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4180</v>
      </c>
      <c r="B1669" s="67">
        <v>44772896856</v>
      </c>
      <c r="C1669" s="72" t="s">
        <v>4181</v>
      </c>
      <c r="D1669" s="69">
        <v>39313729873</v>
      </c>
      <c r="E1669" s="9">
        <v>117</v>
      </c>
      <c r="F1669" s="25">
        <v>43117</v>
      </c>
      <c r="G1669" s="70" t="s">
        <v>1773</v>
      </c>
      <c r="H1669" s="9"/>
      <c r="I1669" s="8"/>
      <c r="J1669" s="8"/>
      <c r="K1669" s="8"/>
      <c r="L1669" s="9" t="s">
        <v>1927</v>
      </c>
      <c r="M1669" s="8"/>
    </row>
    <row r="1670" spans="1:13">
      <c r="A1670" s="29" t="s">
        <v>4182</v>
      </c>
      <c r="B1670" s="67">
        <v>28501359840</v>
      </c>
      <c r="C1670" s="29" t="s">
        <v>4183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4184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4185</v>
      </c>
      <c r="B1672" s="67">
        <v>30131142828</v>
      </c>
      <c r="C1672" s="77" t="s">
        <v>4186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4187</v>
      </c>
      <c r="B1673" s="67"/>
      <c r="C1673" s="29" t="s">
        <v>1886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4188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1773</v>
      </c>
      <c r="H1674" s="9"/>
      <c r="I1674" s="8"/>
      <c r="J1674" s="8"/>
      <c r="K1674" s="8"/>
      <c r="L1674" s="8"/>
      <c r="M1674" s="8"/>
    </row>
    <row r="1675" spans="1:13">
      <c r="A1675" s="15" t="s">
        <v>4189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1773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4190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1773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4191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1773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4192</v>
      </c>
      <c r="B1678" s="67">
        <v>30319988805</v>
      </c>
      <c r="C1678" s="29" t="s">
        <v>1886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4193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4194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1773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4195</v>
      </c>
      <c r="B1681" s="67">
        <v>1565236122</v>
      </c>
      <c r="C1681" s="72" t="s">
        <v>4196</v>
      </c>
      <c r="D1681" s="69">
        <v>218506589</v>
      </c>
      <c r="E1681" s="9">
        <v>1241</v>
      </c>
      <c r="F1681" s="25">
        <v>42992</v>
      </c>
      <c r="G1681" s="70" t="s">
        <v>1773</v>
      </c>
      <c r="H1681" s="9"/>
      <c r="I1681" s="8"/>
      <c r="J1681" s="8"/>
      <c r="K1681" s="8"/>
      <c r="L1681" s="8"/>
      <c r="M1681" s="8"/>
    </row>
    <row r="1682" spans="1:13">
      <c r="A1682" s="71" t="s">
        <v>4197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4198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1773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4199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4200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4201</v>
      </c>
      <c r="B1686" s="67">
        <v>28842233803</v>
      </c>
      <c r="C1686" s="72" t="s">
        <v>4202</v>
      </c>
      <c r="D1686" s="69">
        <v>39207708892</v>
      </c>
      <c r="E1686" s="9">
        <v>262</v>
      </c>
      <c r="F1686" s="25">
        <v>43160</v>
      </c>
      <c r="G1686" s="70" t="s">
        <v>1779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4203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1773</v>
      </c>
      <c r="H1687" s="9"/>
      <c r="I1687" s="8"/>
      <c r="J1687" s="8"/>
      <c r="K1687" s="8"/>
      <c r="L1687" s="9" t="s">
        <v>1895</v>
      </c>
      <c r="M1687" s="8"/>
    </row>
    <row r="1688" spans="1:13">
      <c r="A1688" s="71" t="s">
        <v>4204</v>
      </c>
      <c r="B1688" s="67">
        <v>39111957883</v>
      </c>
      <c r="C1688" s="72" t="s">
        <v>4205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4206</v>
      </c>
      <c r="B1689" s="67">
        <v>26763450877</v>
      </c>
      <c r="C1689" s="72" t="s">
        <v>4207</v>
      </c>
      <c r="D1689" s="69">
        <v>23405053803</v>
      </c>
      <c r="E1689" s="9">
        <v>292</v>
      </c>
      <c r="F1689" s="25">
        <v>43168</v>
      </c>
      <c r="G1689" s="70" t="s">
        <v>1773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4208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1773</v>
      </c>
      <c r="H1690" s="9"/>
      <c r="I1690" s="8"/>
      <c r="J1690" s="8"/>
      <c r="K1690" s="8"/>
      <c r="L1690" s="9" t="s">
        <v>1927</v>
      </c>
      <c r="M1690" s="8"/>
    </row>
    <row r="1691" spans="1:13">
      <c r="A1691" s="29" t="s">
        <v>4209</v>
      </c>
      <c r="B1691" s="67">
        <v>41696411831</v>
      </c>
      <c r="C1691" s="29" t="s">
        <v>4210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4211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4212</v>
      </c>
      <c r="B1693" s="67"/>
      <c r="C1693" s="18" t="s">
        <v>1886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4213</v>
      </c>
      <c r="B1694" s="67">
        <v>8946062479</v>
      </c>
      <c r="C1694" s="15" t="s">
        <v>4214</v>
      </c>
      <c r="D1694" s="69">
        <v>9671165460</v>
      </c>
      <c r="E1694" s="9">
        <v>292</v>
      </c>
      <c r="F1694" s="25">
        <v>43168</v>
      </c>
      <c r="G1694" s="70" t="s">
        <v>1779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4215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1773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4216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1773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4217</v>
      </c>
      <c r="B1697" s="67"/>
      <c r="C1697" s="18" t="s">
        <v>1886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4218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1773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4219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4220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4221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4222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4223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4224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4225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4226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1773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4227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1773</v>
      </c>
      <c r="H1707" s="9"/>
      <c r="I1707" s="8"/>
      <c r="J1707" s="8"/>
      <c r="K1707" s="8"/>
      <c r="L1707" s="9" t="s">
        <v>2010</v>
      </c>
      <c r="M1707" s="8"/>
    </row>
    <row r="1708" spans="1:13">
      <c r="A1708" s="13" t="s">
        <v>4228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1773</v>
      </c>
      <c r="H1708" s="9"/>
      <c r="I1708" s="8"/>
      <c r="J1708" s="8"/>
      <c r="K1708" s="8"/>
      <c r="L1708" s="8"/>
      <c r="M1708" s="8"/>
    </row>
    <row r="1709" spans="1:13">
      <c r="A1709" s="71" t="s">
        <v>4229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4230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4231</v>
      </c>
      <c r="B1711" s="67"/>
      <c r="C1711" s="18" t="s">
        <v>1886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4232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1773</v>
      </c>
      <c r="H1712" s="9"/>
      <c r="I1712" s="8"/>
      <c r="J1712" s="8"/>
      <c r="K1712" s="8"/>
      <c r="L1712" s="9" t="s">
        <v>1927</v>
      </c>
      <c r="M1712" s="8"/>
    </row>
    <row r="1713" spans="1:13">
      <c r="A1713" s="71" t="s">
        <v>4233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1773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4234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1773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4235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4236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1773</v>
      </c>
      <c r="H1716" s="9"/>
      <c r="I1716" s="8"/>
      <c r="J1716" s="8"/>
      <c r="K1716" s="8"/>
      <c r="L1716" s="9" t="s">
        <v>1895</v>
      </c>
      <c r="M1716" s="8"/>
    </row>
    <row r="1717" spans="1:13">
      <c r="A1717" s="71" t="s">
        <v>4237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4238</v>
      </c>
      <c r="B1718" s="67">
        <v>26903961810</v>
      </c>
      <c r="C1718" s="72" t="s">
        <v>4239</v>
      </c>
      <c r="D1718" s="69">
        <v>40904229904</v>
      </c>
      <c r="E1718" s="9">
        <v>1555</v>
      </c>
      <c r="F1718" s="25">
        <v>43049</v>
      </c>
      <c r="G1718" s="70" t="s">
        <v>1773</v>
      </c>
      <c r="H1718" s="9"/>
      <c r="I1718" s="8"/>
      <c r="J1718" s="8"/>
      <c r="K1718" s="8"/>
      <c r="L1718" s="9" t="s">
        <v>2155</v>
      </c>
      <c r="M1718" s="8"/>
    </row>
    <row r="1719" spans="1:13">
      <c r="A1719" s="18" t="s">
        <v>4240</v>
      </c>
      <c r="B1719" s="67">
        <v>31611651875</v>
      </c>
      <c r="C1719" s="18" t="s">
        <v>4241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4242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1773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4243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4244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1773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4245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4246</v>
      </c>
      <c r="B1724" s="69">
        <v>22580790802</v>
      </c>
      <c r="C1724" s="71" t="s">
        <v>4247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4248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4249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4250</v>
      </c>
      <c r="B1727" s="69">
        <v>88565386520</v>
      </c>
      <c r="C1727" s="15" t="s">
        <v>4251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4252</v>
      </c>
      <c r="B1728" s="67">
        <v>1147816565</v>
      </c>
      <c r="C1728" s="72" t="s">
        <v>4253</v>
      </c>
      <c r="D1728" s="69">
        <v>24692193883</v>
      </c>
      <c r="E1728" s="9">
        <v>262</v>
      </c>
      <c r="F1728" s="25">
        <v>43160</v>
      </c>
      <c r="G1728" s="70" t="s">
        <v>1773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4254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1773</v>
      </c>
      <c r="H1729" s="9"/>
      <c r="I1729" s="8"/>
      <c r="J1729" s="8"/>
      <c r="K1729" s="8"/>
      <c r="L1729" s="9" t="s">
        <v>1895</v>
      </c>
      <c r="M1729" s="8"/>
    </row>
    <row r="1730" spans="1:13">
      <c r="A1730" s="14" t="s">
        <v>4255</v>
      </c>
      <c r="B1730" s="67">
        <v>7039189402</v>
      </c>
      <c r="C1730" s="72" t="s">
        <v>4256</v>
      </c>
      <c r="D1730" s="69">
        <v>5531291558</v>
      </c>
      <c r="E1730" s="9">
        <v>262</v>
      </c>
      <c r="F1730" s="25">
        <v>43160</v>
      </c>
      <c r="G1730" s="70" t="s">
        <v>1773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4257</v>
      </c>
      <c r="B1731" s="67">
        <v>34602647804</v>
      </c>
      <c r="C1731" s="72" t="s">
        <v>4258</v>
      </c>
      <c r="D1731" s="69">
        <v>27640163870</v>
      </c>
      <c r="E1731" s="9">
        <v>229</v>
      </c>
      <c r="F1731" s="25">
        <v>43151</v>
      </c>
      <c r="G1731" s="70" t="s">
        <v>1773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4259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1773</v>
      </c>
      <c r="H1732" s="9"/>
      <c r="I1732" s="8"/>
      <c r="J1732" s="8"/>
      <c r="K1732" s="8"/>
      <c r="L1732" s="8"/>
      <c r="M1732" s="8"/>
    </row>
    <row r="1733" spans="1:13">
      <c r="A1733" s="71" t="s">
        <v>4260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1773</v>
      </c>
      <c r="H1733" s="9"/>
      <c r="I1733" s="8"/>
      <c r="J1733" s="8"/>
      <c r="K1733" s="8"/>
      <c r="L1733" s="9" t="s">
        <v>2259</v>
      </c>
      <c r="M1733" s="8"/>
    </row>
    <row r="1734" spans="1:13">
      <c r="A1734" s="71" t="s">
        <v>4261</v>
      </c>
      <c r="B1734" s="67">
        <v>4656282570</v>
      </c>
      <c r="C1734" s="72" t="s">
        <v>4262</v>
      </c>
      <c r="D1734" s="69">
        <v>85025780578</v>
      </c>
      <c r="E1734" s="9">
        <v>85</v>
      </c>
      <c r="F1734" s="25">
        <v>43109</v>
      </c>
      <c r="G1734" s="70" t="s">
        <v>1773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4263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4264</v>
      </c>
      <c r="B1736" s="67">
        <v>44808773805</v>
      </c>
      <c r="C1736" s="72" t="s">
        <v>4265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4266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1773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4267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4268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1773</v>
      </c>
      <c r="H1739" s="9"/>
      <c r="I1739" s="8"/>
      <c r="J1739" s="8"/>
      <c r="K1739" s="8"/>
      <c r="L1739" s="9" t="s">
        <v>1895</v>
      </c>
      <c r="M1739" s="8"/>
    </row>
    <row r="1740" spans="1:13">
      <c r="A1740" s="71" t="s">
        <v>4269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1787</v>
      </c>
      <c r="H1740" s="9"/>
      <c r="I1740" s="8"/>
      <c r="J1740" s="8"/>
      <c r="K1740" s="8"/>
      <c r="L1740" s="9" t="s">
        <v>2010</v>
      </c>
      <c r="M1740" s="8"/>
    </row>
    <row r="1741" spans="1:13">
      <c r="A1741" s="15" t="s">
        <v>4270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1773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4271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4272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4273</v>
      </c>
      <c r="B1744" s="67">
        <v>19129440491</v>
      </c>
      <c r="C1744" s="72" t="s">
        <v>4274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4275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1773</v>
      </c>
      <c r="H1745" s="9"/>
      <c r="I1745" s="8"/>
      <c r="J1745" s="8"/>
      <c r="K1745" s="8"/>
      <c r="L1745" s="8"/>
      <c r="M1745" s="8"/>
    </row>
    <row r="1746" spans="1:13">
      <c r="A1746" s="71" t="s">
        <v>4276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1773</v>
      </c>
      <c r="H1746" s="9"/>
      <c r="I1746" s="8"/>
      <c r="J1746" s="8"/>
      <c r="K1746" s="8"/>
      <c r="L1746" s="8"/>
      <c r="M1746" s="8"/>
    </row>
    <row r="1747" spans="1:13">
      <c r="A1747" s="15" t="s">
        <v>4277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1773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4278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1773</v>
      </c>
      <c r="H1748" s="9"/>
      <c r="I1748" s="8"/>
      <c r="J1748" s="8"/>
      <c r="K1748" s="8"/>
      <c r="L1748" s="9" t="s">
        <v>2155</v>
      </c>
      <c r="M1748" s="8"/>
    </row>
    <row r="1749" spans="1:13">
      <c r="A1749" s="13" t="s">
        <v>4279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1773</v>
      </c>
      <c r="H1749" s="9"/>
      <c r="I1749" s="8"/>
      <c r="J1749" s="8"/>
      <c r="K1749" s="8"/>
      <c r="L1749" s="8"/>
      <c r="M1749" s="8"/>
    </row>
    <row r="1750" spans="1:13">
      <c r="A1750" s="71" t="s">
        <v>4280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4281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1773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4282</v>
      </c>
      <c r="B1752" s="67">
        <v>15634351871</v>
      </c>
      <c r="C1752" s="72" t="s">
        <v>4283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4284</v>
      </c>
      <c r="B1753" s="67">
        <v>35994306835</v>
      </c>
      <c r="C1753" s="72" t="s">
        <v>4285</v>
      </c>
      <c r="D1753" s="69">
        <v>25021610880</v>
      </c>
      <c r="E1753" s="9">
        <v>262</v>
      </c>
      <c r="F1753" s="25">
        <v>43160</v>
      </c>
      <c r="G1753" s="70" t="s">
        <v>1773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4286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1773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4287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4288</v>
      </c>
      <c r="B1756" s="67">
        <v>32525046854</v>
      </c>
      <c r="C1756" s="29" t="s">
        <v>1886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4289</v>
      </c>
      <c r="B1757" s="67">
        <v>23704553816</v>
      </c>
      <c r="C1757" s="77" t="s">
        <v>4290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2056</v>
      </c>
      <c r="M1757" s="8"/>
    </row>
    <row r="1758" spans="1:13">
      <c r="A1758" s="71" t="s">
        <v>4291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1773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4292</v>
      </c>
      <c r="B1759" s="67">
        <v>3180351543</v>
      </c>
      <c r="C1759" s="72" t="s">
        <v>4293</v>
      </c>
      <c r="D1759" s="69">
        <v>38259838893</v>
      </c>
      <c r="E1759" s="9">
        <v>1752</v>
      </c>
      <c r="F1759" s="25">
        <v>43051</v>
      </c>
      <c r="G1759" s="70" t="s">
        <v>1773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4294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1773</v>
      </c>
      <c r="H1760" s="9"/>
      <c r="I1760" s="8"/>
      <c r="J1760" s="8"/>
      <c r="K1760" s="8"/>
      <c r="L1760" s="9" t="s">
        <v>1895</v>
      </c>
      <c r="M1760" s="8"/>
    </row>
    <row r="1761" spans="1:13">
      <c r="A1761" s="71" t="s">
        <v>4295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1773</v>
      </c>
      <c r="H1761" s="9"/>
      <c r="I1761" s="8"/>
      <c r="J1761" s="8"/>
      <c r="K1761" s="8"/>
      <c r="L1761" s="8"/>
      <c r="M1761" s="8"/>
    </row>
    <row r="1762" spans="1:13">
      <c r="A1762" s="14" t="s">
        <v>4296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4297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1773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4298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1773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4299</v>
      </c>
      <c r="B1765" s="80">
        <v>27034088896</v>
      </c>
      <c r="C1765" s="81" t="s">
        <v>4300</v>
      </c>
      <c r="D1765" s="82">
        <v>31801530831</v>
      </c>
      <c r="E1765" s="47">
        <v>1267</v>
      </c>
      <c r="F1765" s="48">
        <v>42998</v>
      </c>
      <c r="G1765" s="83" t="s">
        <v>1779</v>
      </c>
      <c r="H1765" s="47"/>
      <c r="I1765" s="49"/>
      <c r="J1765" s="49"/>
      <c r="K1765" s="49"/>
      <c r="L1765" s="49"/>
      <c r="M1765" s="49"/>
    </row>
    <row r="1766" spans="1:13">
      <c r="A1766" s="15" t="s">
        <v>4301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4302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4303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1773</v>
      </c>
      <c r="H1768" s="9"/>
      <c r="I1768" s="8"/>
      <c r="J1768" s="8"/>
      <c r="K1768" s="8"/>
      <c r="L1768" s="8"/>
      <c r="M1768" s="8"/>
    </row>
    <row r="1769" spans="1:13">
      <c r="A1769" s="71" t="s">
        <v>4304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1773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4305</v>
      </c>
      <c r="B1770" s="67">
        <v>13035980861</v>
      </c>
      <c r="C1770" s="72" t="s">
        <v>4306</v>
      </c>
      <c r="D1770" s="69">
        <v>60623608553</v>
      </c>
      <c r="E1770" s="9">
        <v>1752</v>
      </c>
      <c r="F1770" s="25">
        <v>43051</v>
      </c>
      <c r="G1770" s="70" t="s">
        <v>1773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4307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4308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1773</v>
      </c>
      <c r="H1772" s="9"/>
      <c r="I1772" s="8"/>
      <c r="J1772" s="8"/>
      <c r="K1772" s="8"/>
      <c r="L1772" s="9" t="s">
        <v>1895</v>
      </c>
      <c r="M1772" s="8"/>
    </row>
    <row r="1773" spans="1:13">
      <c r="A1773" s="29" t="s">
        <v>4309</v>
      </c>
      <c r="B1773" s="67">
        <v>7965453401</v>
      </c>
      <c r="C1773" s="29" t="s">
        <v>4310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4311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1773</v>
      </c>
      <c r="H1774" s="9"/>
      <c r="I1774" s="8"/>
      <c r="J1774" s="8"/>
      <c r="K1774" s="8"/>
      <c r="L1774" s="8"/>
      <c r="M1774" s="8"/>
    </row>
    <row r="1775" spans="1:13">
      <c r="A1775" s="71" t="s">
        <v>4312</v>
      </c>
      <c r="B1775" s="67">
        <v>29335127850</v>
      </c>
      <c r="C1775" s="68" t="s">
        <v>4313</v>
      </c>
      <c r="D1775" s="69">
        <v>18384225877</v>
      </c>
      <c r="E1775" s="9">
        <v>1214</v>
      </c>
      <c r="F1775" s="25">
        <v>42989</v>
      </c>
      <c r="G1775" s="70" t="s">
        <v>1773</v>
      </c>
      <c r="H1775" s="9"/>
      <c r="I1775" s="8"/>
      <c r="J1775" s="8"/>
      <c r="K1775" s="8"/>
      <c r="L1775" s="8"/>
      <c r="M1775" s="8"/>
    </row>
    <row r="1776" spans="1:13">
      <c r="A1776" s="71" t="s">
        <v>4314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1773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4315</v>
      </c>
      <c r="B1777" s="67">
        <v>22530539880</v>
      </c>
      <c r="C1777" s="72" t="s">
        <v>4316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4317</v>
      </c>
      <c r="B1778" s="67">
        <v>22135571873</v>
      </c>
      <c r="C1778" s="72" t="s">
        <v>4318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4319</v>
      </c>
      <c r="B1779" s="67">
        <v>29928831823</v>
      </c>
      <c r="C1779" s="72" t="s">
        <v>4320</v>
      </c>
      <c r="D1779" s="69">
        <v>9500916428</v>
      </c>
      <c r="E1779" s="9">
        <v>810</v>
      </c>
      <c r="F1779" s="25">
        <v>42915</v>
      </c>
      <c r="G1779" s="70" t="s">
        <v>1773</v>
      </c>
      <c r="H1779" s="9"/>
      <c r="I1779" s="8"/>
      <c r="J1779" s="8"/>
      <c r="K1779" s="8"/>
      <c r="L1779" s="9" t="s">
        <v>1895</v>
      </c>
      <c r="M1779" s="8"/>
    </row>
    <row r="1780" spans="1:13">
      <c r="A1780" s="72" t="s">
        <v>4321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4322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1773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4323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4324</v>
      </c>
      <c r="B1783" s="67"/>
      <c r="C1783" s="29" t="s">
        <v>1886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4325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1773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4326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1773</v>
      </c>
      <c r="H1785" s="9"/>
      <c r="I1785" s="8"/>
      <c r="J1785" s="8"/>
      <c r="K1785" s="8"/>
      <c r="L1785" s="8"/>
      <c r="M1785" s="8"/>
    </row>
    <row r="1786" spans="1:13">
      <c r="A1786" s="71" t="s">
        <v>4327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1773</v>
      </c>
      <c r="H1786" s="9"/>
      <c r="I1786" s="8"/>
      <c r="J1786" s="8"/>
      <c r="K1786" s="8"/>
      <c r="L1786" s="8"/>
      <c r="M1786" s="8"/>
    </row>
    <row r="1787" spans="1:13">
      <c r="A1787" s="71" t="s">
        <v>4328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1773</v>
      </c>
      <c r="H1787" s="9"/>
      <c r="I1787" s="8"/>
      <c r="J1787" s="8"/>
      <c r="K1787" s="8"/>
      <c r="L1787" s="8"/>
      <c r="M1787" s="8"/>
    </row>
    <row r="1788" spans="1:13">
      <c r="A1788" s="71" t="s">
        <v>4329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1773</v>
      </c>
      <c r="H1788" s="9"/>
      <c r="I1788" s="8"/>
      <c r="J1788" s="8"/>
      <c r="K1788" s="8"/>
      <c r="L1788" s="9" t="s">
        <v>1895</v>
      </c>
      <c r="M1788" s="8"/>
    </row>
    <row r="1789" spans="1:13">
      <c r="A1789" s="71" t="s">
        <v>4330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1773</v>
      </c>
      <c r="H1789" s="9"/>
      <c r="I1789" s="8"/>
      <c r="J1789" s="8"/>
      <c r="K1789" s="8"/>
      <c r="L1789" s="8"/>
      <c r="M1789" s="8"/>
    </row>
    <row r="1790" spans="1:13">
      <c r="A1790" s="71" t="s">
        <v>4331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1773</v>
      </c>
      <c r="H1790" s="9"/>
      <c r="I1790" s="8"/>
      <c r="J1790" s="8"/>
      <c r="K1790" s="8"/>
      <c r="L1790" s="8"/>
      <c r="M1790" s="8"/>
    </row>
    <row r="1791" spans="1:13">
      <c r="A1791" s="15" t="s">
        <v>4332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1773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4333</v>
      </c>
      <c r="B1792" s="67">
        <v>29652104825</v>
      </c>
      <c r="C1792" s="68" t="s">
        <v>4334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4335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1773</v>
      </c>
      <c r="H1793" s="9"/>
      <c r="I1793" s="8"/>
      <c r="J1793" s="8"/>
      <c r="K1793" s="8"/>
      <c r="L1793" s="8"/>
      <c r="M1793" s="8"/>
    </row>
    <row r="1794" spans="1:13">
      <c r="A1794" s="14" t="s">
        <v>4336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4337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4338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1773</v>
      </c>
      <c r="H1796" s="9"/>
      <c r="I1796" s="8"/>
      <c r="J1796" s="8"/>
      <c r="K1796" s="8"/>
      <c r="L1796" s="9" t="s">
        <v>2259</v>
      </c>
      <c r="M1796" s="8"/>
    </row>
    <row r="1797" spans="1:13">
      <c r="A1797" s="71" t="s">
        <v>4339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1773</v>
      </c>
      <c r="H1797" s="9"/>
      <c r="I1797" s="8"/>
      <c r="J1797" s="8"/>
      <c r="K1797" s="8"/>
      <c r="L1797" s="8"/>
      <c r="M1797" s="8"/>
    </row>
    <row r="1798" spans="1:13">
      <c r="A1798" s="29" t="s">
        <v>4340</v>
      </c>
      <c r="B1798" s="67">
        <v>6896659890</v>
      </c>
      <c r="C1798" s="29" t="s">
        <v>4341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4342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1773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4343</v>
      </c>
      <c r="B1800" s="67">
        <v>60230380506</v>
      </c>
      <c r="C1800" s="72" t="s">
        <v>4344</v>
      </c>
      <c r="D1800" s="69">
        <v>30853536821</v>
      </c>
      <c r="E1800" s="9">
        <v>1570</v>
      </c>
      <c r="F1800" s="25">
        <v>43051</v>
      </c>
      <c r="G1800" s="70" t="s">
        <v>1779</v>
      </c>
      <c r="H1800" s="9"/>
      <c r="I1800" s="8"/>
      <c r="J1800" s="8"/>
      <c r="K1800" s="8"/>
      <c r="L1800" s="8"/>
      <c r="M1800" s="8"/>
    </row>
    <row r="1801" spans="1:13">
      <c r="A1801" s="14" t="s">
        <v>4345</v>
      </c>
      <c r="B1801" s="67">
        <v>44556393817</v>
      </c>
      <c r="C1801" s="72" t="s">
        <v>4346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4347</v>
      </c>
      <c r="B1802" s="67">
        <v>35780076847</v>
      </c>
      <c r="C1802" s="29" t="s">
        <v>4348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4349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1773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4350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1773</v>
      </c>
      <c r="H1804" s="9"/>
      <c r="I1804" s="8"/>
      <c r="J1804" s="8"/>
      <c r="K1804" s="8"/>
      <c r="L1804" s="8"/>
      <c r="M1804" s="8"/>
    </row>
    <row r="1805" spans="1:13">
      <c r="A1805" s="71" t="s">
        <v>4351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4352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4353</v>
      </c>
      <c r="B1807" s="67">
        <v>8265497806</v>
      </c>
      <c r="C1807" s="18" t="s">
        <v>1886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4354</v>
      </c>
      <c r="B1808" s="67">
        <v>27435732877</v>
      </c>
      <c r="C1808" s="29" t="s">
        <v>1886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4355</v>
      </c>
      <c r="B1809" s="67">
        <v>17620421858</v>
      </c>
      <c r="C1809" s="72" t="s">
        <v>4356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4357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1773</v>
      </c>
      <c r="H1810" s="9"/>
      <c r="I1810" s="8"/>
      <c r="J1810" s="8"/>
      <c r="K1810" s="8"/>
      <c r="L1810" s="8"/>
      <c r="M1810" s="8"/>
    </row>
    <row r="1811" spans="1:13">
      <c r="A1811" s="71" t="s">
        <v>4358</v>
      </c>
      <c r="B1811" s="78" t="s">
        <v>4359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4360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1773</v>
      </c>
      <c r="H1812" s="9"/>
      <c r="I1812" s="8"/>
      <c r="J1812" s="8"/>
      <c r="K1812" s="8"/>
      <c r="L1812" s="8"/>
      <c r="M1812" s="8"/>
    </row>
    <row r="1813" spans="1:13">
      <c r="A1813" s="71" t="s">
        <v>4361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4362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4363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1773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4364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2056</v>
      </c>
      <c r="M1816" s="8"/>
    </row>
    <row r="1817" spans="1:13">
      <c r="A1817" s="14" t="s">
        <v>4365</v>
      </c>
      <c r="B1817" s="67">
        <v>24655581883</v>
      </c>
      <c r="C1817" s="72" t="s">
        <v>4366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4367</v>
      </c>
      <c r="B1818" s="67">
        <v>6455171861</v>
      </c>
      <c r="C1818" s="72" t="s">
        <v>4368</v>
      </c>
      <c r="D1818" s="69">
        <v>34375910534</v>
      </c>
      <c r="E1818" s="9">
        <v>1417</v>
      </c>
      <c r="F1818" s="25">
        <v>43017</v>
      </c>
      <c r="G1818" s="70" t="s">
        <v>1773</v>
      </c>
      <c r="H1818" s="9"/>
      <c r="I1818" s="8"/>
      <c r="J1818" s="8"/>
      <c r="K1818" s="8"/>
      <c r="L1818" s="9" t="s">
        <v>2010</v>
      </c>
      <c r="M1818" s="8"/>
    </row>
    <row r="1819" spans="1:13">
      <c r="A1819" s="71" t="s">
        <v>4369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1773</v>
      </c>
      <c r="H1819" s="9"/>
      <c r="I1819" s="8"/>
      <c r="J1819" s="8"/>
      <c r="K1819" s="8"/>
      <c r="L1819" s="8"/>
      <c r="M1819" s="8"/>
    </row>
    <row r="1820" spans="1:13">
      <c r="A1820" s="71" t="s">
        <v>4370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1773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4371</v>
      </c>
      <c r="B1821" s="67">
        <v>16417318850</v>
      </c>
      <c r="C1821" s="72" t="s">
        <v>4372</v>
      </c>
      <c r="D1821" s="69">
        <v>18195940846</v>
      </c>
      <c r="E1821" s="9">
        <v>810</v>
      </c>
      <c r="F1821" s="25">
        <v>42915</v>
      </c>
      <c r="G1821" s="70" t="s">
        <v>1779</v>
      </c>
      <c r="H1821" s="9"/>
      <c r="I1821" s="8"/>
      <c r="J1821" s="8"/>
      <c r="K1821" s="8"/>
      <c r="L1821" s="9" t="s">
        <v>1895</v>
      </c>
      <c r="M1821" s="8"/>
    </row>
    <row r="1822" spans="1:13">
      <c r="A1822" s="14" t="s">
        <v>4373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1773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4374</v>
      </c>
      <c r="B1823" s="67">
        <v>14369207878</v>
      </c>
      <c r="C1823" s="72" t="s">
        <v>4375</v>
      </c>
      <c r="D1823" s="69">
        <v>7358923421</v>
      </c>
      <c r="E1823" s="9">
        <v>292</v>
      </c>
      <c r="F1823" s="25">
        <v>43168</v>
      </c>
      <c r="G1823" s="9" t="s">
        <v>1773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4376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4376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4377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1773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4378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4379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4380</v>
      </c>
      <c r="B1829" s="67" t="s">
        <v>4381</v>
      </c>
      <c r="C1829" s="72" t="s">
        <v>4382</v>
      </c>
      <c r="D1829" s="69">
        <v>43860821822</v>
      </c>
      <c r="E1829" s="9">
        <v>1752</v>
      </c>
      <c r="F1829" s="25">
        <v>43051</v>
      </c>
      <c r="G1829" s="70" t="s">
        <v>1773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4380</v>
      </c>
      <c r="B1830" s="67"/>
      <c r="C1830" s="18" t="s">
        <v>1886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4383</v>
      </c>
      <c r="B1831" s="67">
        <v>32969576856</v>
      </c>
      <c r="C1831" s="72" t="s">
        <v>4384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4385</v>
      </c>
      <c r="B1832" s="67">
        <v>23651706842</v>
      </c>
      <c r="C1832" s="18" t="s">
        <v>4386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4387</v>
      </c>
      <c r="B1833" s="67"/>
      <c r="C1833" s="29" t="s">
        <v>4388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4389</v>
      </c>
      <c r="B1834" s="67">
        <v>24891699809</v>
      </c>
      <c r="C1834" s="72" t="s">
        <v>4390</v>
      </c>
      <c r="D1834" s="69">
        <v>17610300861</v>
      </c>
      <c r="E1834" s="9">
        <v>262</v>
      </c>
      <c r="F1834" s="25">
        <v>43160</v>
      </c>
      <c r="G1834" s="70" t="s">
        <v>1779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4391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1773</v>
      </c>
      <c r="H1835" s="9"/>
      <c r="I1835" s="8"/>
      <c r="J1835" s="8"/>
      <c r="K1835" s="8"/>
      <c r="L1835" s="8"/>
      <c r="M1835" s="8"/>
    </row>
    <row r="1836" spans="1:13">
      <c r="A1836" s="71" t="s">
        <v>4392</v>
      </c>
      <c r="B1836" s="67">
        <v>79465617687</v>
      </c>
      <c r="C1836" s="77" t="s">
        <v>4393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2056</v>
      </c>
      <c r="M1836" s="8"/>
    </row>
    <row r="1837" spans="1:13">
      <c r="A1837" s="29" t="s">
        <v>4394</v>
      </c>
      <c r="B1837" s="67"/>
      <c r="C1837" s="29" t="s">
        <v>1886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4395</v>
      </c>
      <c r="B1838" s="67" t="s">
        <v>4396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4397</v>
      </c>
      <c r="B1839" s="67">
        <v>8545670893</v>
      </c>
      <c r="C1839" s="18" t="s">
        <v>4398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4397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1773</v>
      </c>
      <c r="H1840" s="9"/>
      <c r="I1840" s="8"/>
      <c r="J1840" s="8"/>
      <c r="K1840" s="8"/>
      <c r="L1840" s="9" t="s">
        <v>1895</v>
      </c>
      <c r="M1840" s="8"/>
    </row>
    <row r="1841" spans="1:13">
      <c r="A1841" s="72" t="s">
        <v>4399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4400</v>
      </c>
      <c r="B1842" s="67"/>
      <c r="C1842" s="29" t="s">
        <v>1886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4401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1773</v>
      </c>
      <c r="H1843" s="9"/>
      <c r="I1843" s="8"/>
      <c r="J1843" s="8"/>
      <c r="K1843" s="8"/>
      <c r="L1843" s="8"/>
      <c r="M1843" s="8"/>
    </row>
    <row r="1844" spans="1:13">
      <c r="A1844" s="72" t="s">
        <v>4402</v>
      </c>
      <c r="B1844" s="69">
        <v>84920157487</v>
      </c>
      <c r="C1844" s="71" t="s">
        <v>4403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4404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4405</v>
      </c>
      <c r="B1846" s="67">
        <v>35331745814</v>
      </c>
      <c r="C1846" s="75" t="s">
        <v>4406</v>
      </c>
      <c r="D1846" s="69">
        <v>33184459837</v>
      </c>
      <c r="E1846" s="9">
        <v>1106</v>
      </c>
      <c r="F1846" s="25">
        <v>42965</v>
      </c>
      <c r="G1846" s="70" t="s">
        <v>1773</v>
      </c>
      <c r="H1846" s="9"/>
      <c r="I1846" s="8"/>
      <c r="J1846" s="8"/>
      <c r="K1846" s="8"/>
      <c r="L1846" s="8"/>
      <c r="M1846" s="8"/>
    </row>
    <row r="1847" spans="1:13">
      <c r="A1847" s="15" t="s">
        <v>4407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1773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4408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4409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1773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4410</v>
      </c>
      <c r="B1850" s="67">
        <v>14686278805</v>
      </c>
      <c r="C1850" s="18" t="s">
        <v>1886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4411</v>
      </c>
      <c r="B1851" s="67">
        <v>14857592851</v>
      </c>
      <c r="C1851" s="72" t="s">
        <v>4412</v>
      </c>
      <c r="D1851" s="69">
        <v>35142215885</v>
      </c>
      <c r="E1851" s="9">
        <v>1106</v>
      </c>
      <c r="F1851" s="25">
        <v>42965</v>
      </c>
      <c r="G1851" s="70" t="s">
        <v>1773</v>
      </c>
      <c r="H1851" s="9"/>
      <c r="I1851" s="8"/>
      <c r="J1851" s="8"/>
      <c r="K1851" s="8"/>
      <c r="L1851" s="8"/>
      <c r="M1851" s="8"/>
    </row>
    <row r="1852" spans="1:13">
      <c r="A1852" s="71" t="s">
        <v>4413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1773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4414</v>
      </c>
      <c r="B1853" s="67">
        <v>35714112857</v>
      </c>
      <c r="C1853" s="72" t="s">
        <v>4415</v>
      </c>
      <c r="D1853" s="69">
        <v>32342783850</v>
      </c>
      <c r="E1853" s="9">
        <v>810</v>
      </c>
      <c r="F1853" s="25">
        <v>42915</v>
      </c>
      <c r="G1853" s="70" t="s">
        <v>1773</v>
      </c>
      <c r="H1853" s="9"/>
      <c r="I1853" s="8"/>
      <c r="J1853" s="8"/>
      <c r="K1853" s="8"/>
      <c r="L1853" s="9" t="s">
        <v>1895</v>
      </c>
      <c r="M1853" s="8"/>
    </row>
    <row r="1854" spans="1:13">
      <c r="A1854" s="15" t="s">
        <v>4416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4417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1773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4418</v>
      </c>
      <c r="B1856" s="67">
        <v>22009621859</v>
      </c>
      <c r="C1856" s="72" t="s">
        <v>4419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4420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1773</v>
      </c>
      <c r="H1857" s="9"/>
      <c r="I1857" s="8"/>
      <c r="J1857" s="8"/>
      <c r="K1857" s="8"/>
      <c r="L1857" s="9" t="s">
        <v>1895</v>
      </c>
      <c r="M1857" s="8"/>
    </row>
    <row r="1858" spans="1:13">
      <c r="A1858" s="71" t="s">
        <v>4421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1773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4422</v>
      </c>
      <c r="B1859" s="67">
        <v>32752183879</v>
      </c>
      <c r="C1859" s="72" t="s">
        <v>4423</v>
      </c>
      <c r="D1859" s="69">
        <v>15202346867</v>
      </c>
      <c r="E1859" s="9">
        <v>85</v>
      </c>
      <c r="F1859" s="25">
        <v>43109</v>
      </c>
      <c r="G1859" s="70" t="s">
        <v>1773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4424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4425</v>
      </c>
      <c r="B1861" s="67">
        <v>13622732873</v>
      </c>
      <c r="C1861" s="68"/>
      <c r="D1861" s="69"/>
      <c r="E1861" s="9"/>
      <c r="F1861" s="25"/>
      <c r="G1861" s="70" t="s">
        <v>1773</v>
      </c>
      <c r="H1861" s="9"/>
      <c r="I1861" s="8"/>
      <c r="J1861" s="8"/>
      <c r="K1861" s="8"/>
      <c r="L1861" s="8"/>
      <c r="M1861" s="8"/>
    </row>
    <row r="1862" spans="1:13">
      <c r="A1862" s="71" t="s">
        <v>4426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4427</v>
      </c>
      <c r="B1863" s="67">
        <v>17094778813</v>
      </c>
      <c r="C1863" s="72" t="s">
        <v>4428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4429</v>
      </c>
      <c r="B1864" s="67"/>
      <c r="C1864" s="72" t="s">
        <v>4430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4431</v>
      </c>
      <c r="B1865" s="67">
        <v>43289674878</v>
      </c>
      <c r="C1865" s="72" t="s">
        <v>4432</v>
      </c>
      <c r="D1865" s="69">
        <v>39726735823</v>
      </c>
      <c r="E1865" s="9">
        <v>810</v>
      </c>
      <c r="F1865" s="25">
        <v>42915</v>
      </c>
      <c r="G1865" s="70" t="s">
        <v>1773</v>
      </c>
      <c r="H1865" s="9"/>
      <c r="I1865" s="8"/>
      <c r="J1865" s="8"/>
      <c r="K1865" s="8"/>
      <c r="L1865" s="9" t="s">
        <v>1895</v>
      </c>
      <c r="M1865" s="8"/>
    </row>
    <row r="1866" spans="1:13">
      <c r="A1866" s="29" t="s">
        <v>4433</v>
      </c>
      <c r="B1866" s="67">
        <v>3778856812</v>
      </c>
      <c r="C1866" s="18" t="s">
        <v>1886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4434</v>
      </c>
      <c r="B1867" s="67">
        <v>36074731888</v>
      </c>
      <c r="C1867" s="29" t="s">
        <v>1886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4435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4436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1773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4437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2056</v>
      </c>
      <c r="M1870" s="8"/>
    </row>
    <row r="1871" spans="1:13">
      <c r="A1871" s="71" t="s">
        <v>4438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4439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1773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4440</v>
      </c>
      <c r="B1873" s="67">
        <v>35885861803</v>
      </c>
      <c r="C1873" s="72" t="s">
        <v>4441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4442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4443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1773</v>
      </c>
      <c r="H1875" s="9"/>
      <c r="I1875" s="8"/>
      <c r="J1875" s="8"/>
      <c r="K1875" s="8"/>
      <c r="L1875" s="9" t="s">
        <v>1895</v>
      </c>
      <c r="M1875" s="8"/>
    </row>
    <row r="1876" spans="1:13">
      <c r="A1876" s="13" t="s">
        <v>4444</v>
      </c>
      <c r="B1876" s="67">
        <v>14888258821</v>
      </c>
      <c r="C1876" s="72" t="s">
        <v>4445</v>
      </c>
      <c r="D1876" s="69">
        <v>9173891827</v>
      </c>
      <c r="E1876" s="9">
        <v>229</v>
      </c>
      <c r="F1876" s="25">
        <v>43151</v>
      </c>
      <c r="G1876" s="70" t="s">
        <v>1773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4446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1773</v>
      </c>
      <c r="H1877" s="9"/>
      <c r="I1877" s="8"/>
      <c r="J1877" s="8"/>
      <c r="K1877" s="8"/>
      <c r="L1877" s="9" t="s">
        <v>2259</v>
      </c>
      <c r="M1877" s="8"/>
    </row>
    <row r="1878" spans="1:13">
      <c r="A1878" s="73" t="s">
        <v>4447</v>
      </c>
      <c r="B1878" s="67">
        <v>36238125870</v>
      </c>
      <c r="C1878" s="72" t="s">
        <v>4448</v>
      </c>
      <c r="D1878" s="69">
        <v>44321368391</v>
      </c>
      <c r="E1878" s="9">
        <v>1106</v>
      </c>
      <c r="F1878" s="25">
        <v>42965</v>
      </c>
      <c r="G1878" s="70" t="s">
        <v>1773</v>
      </c>
      <c r="H1878" s="9"/>
      <c r="I1878" s="8"/>
      <c r="J1878" s="8"/>
      <c r="K1878" s="8"/>
      <c r="L1878" s="8"/>
      <c r="M1878" s="8"/>
    </row>
    <row r="1879" spans="1:13">
      <c r="A1879" s="71" t="s">
        <v>4449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1773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4450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4451</v>
      </c>
      <c r="B1881" s="67">
        <v>25970465836</v>
      </c>
      <c r="C1881" s="29" t="s">
        <v>4452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4453</v>
      </c>
      <c r="B1882" s="67">
        <v>26569869825</v>
      </c>
      <c r="C1882" s="15" t="s">
        <v>4454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4455</v>
      </c>
      <c r="B1883" s="67">
        <v>87835053349</v>
      </c>
      <c r="C1883" s="72" t="s">
        <v>4456</v>
      </c>
      <c r="D1883" s="69">
        <v>18172850840</v>
      </c>
      <c r="E1883" s="9">
        <v>1106</v>
      </c>
      <c r="F1883" s="25">
        <v>42965</v>
      </c>
      <c r="G1883" s="70" t="s">
        <v>1773</v>
      </c>
      <c r="H1883" s="9"/>
      <c r="I1883" s="8"/>
      <c r="J1883" s="8"/>
      <c r="K1883" s="8"/>
      <c r="L1883" s="8"/>
      <c r="M1883" s="8"/>
    </row>
    <row r="1884" spans="1:13">
      <c r="A1884" s="71" t="s">
        <v>4457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2056</v>
      </c>
      <c r="M1884" s="8"/>
    </row>
    <row r="1885" spans="1:13">
      <c r="A1885" s="72" t="s">
        <v>4458</v>
      </c>
      <c r="B1885" s="67">
        <v>32747471810</v>
      </c>
      <c r="C1885" s="72" t="s">
        <v>4459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4460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4461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1773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4462</v>
      </c>
      <c r="B1888" s="67">
        <v>31413965822</v>
      </c>
      <c r="C1888" s="72" t="s">
        <v>4463</v>
      </c>
      <c r="D1888" s="69">
        <v>17486425882</v>
      </c>
      <c r="E1888" s="9">
        <v>1106</v>
      </c>
      <c r="F1888" s="25">
        <v>42965</v>
      </c>
      <c r="G1888" s="70" t="s">
        <v>1773</v>
      </c>
      <c r="H1888" s="9"/>
      <c r="I1888" s="8"/>
      <c r="J1888" s="8"/>
      <c r="K1888" s="8"/>
      <c r="L1888" s="8"/>
      <c r="M1888" s="8"/>
    </row>
    <row r="1889" spans="1:13">
      <c r="A1889" s="33" t="s">
        <v>4464</v>
      </c>
      <c r="B1889" s="67">
        <v>35736302861</v>
      </c>
      <c r="C1889" s="72" t="s">
        <v>4465</v>
      </c>
      <c r="D1889" s="69">
        <v>39355200854</v>
      </c>
      <c r="E1889" s="9">
        <v>229</v>
      </c>
      <c r="F1889" s="25">
        <v>43151</v>
      </c>
      <c r="G1889" s="70" t="s">
        <v>1773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4466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1773</v>
      </c>
      <c r="H1890" s="9"/>
      <c r="I1890" s="8"/>
      <c r="J1890" s="8"/>
      <c r="K1890" s="8"/>
      <c r="L1890" s="8"/>
      <c r="M1890" s="8"/>
    </row>
    <row r="1891" spans="1:13">
      <c r="A1891" s="15" t="s">
        <v>4467</v>
      </c>
      <c r="B1891" s="67">
        <v>16364261825</v>
      </c>
      <c r="C1891" s="72" t="s">
        <v>4468</v>
      </c>
      <c r="D1891" s="69">
        <v>3293003427</v>
      </c>
      <c r="E1891" s="9">
        <v>117</v>
      </c>
      <c r="F1891" s="25">
        <v>43117</v>
      </c>
      <c r="G1891" s="70" t="s">
        <v>1773</v>
      </c>
      <c r="H1891" s="9"/>
      <c r="I1891" s="8"/>
      <c r="J1891" s="8"/>
      <c r="K1891" s="8"/>
      <c r="L1891" s="9" t="s">
        <v>1927</v>
      </c>
      <c r="M1891" s="8"/>
    </row>
    <row r="1892" spans="1:13">
      <c r="A1892" s="84" t="s">
        <v>4469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4470</v>
      </c>
      <c r="B1893" s="67">
        <v>33729129856</v>
      </c>
      <c r="C1893" s="72" t="s">
        <v>4471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4472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1773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4473</v>
      </c>
      <c r="B1895" s="67">
        <v>6579182458</v>
      </c>
      <c r="C1895" s="72" t="s">
        <v>4474</v>
      </c>
      <c r="D1895" s="69">
        <v>7424068490</v>
      </c>
      <c r="E1895" s="9">
        <v>810</v>
      </c>
      <c r="F1895" s="25">
        <v>42915</v>
      </c>
      <c r="G1895" s="70" t="s">
        <v>1773</v>
      </c>
      <c r="H1895" s="9"/>
      <c r="I1895" s="8"/>
      <c r="J1895" s="8"/>
      <c r="K1895" s="8"/>
      <c r="L1895" s="9" t="s">
        <v>1895</v>
      </c>
      <c r="M1895" s="8"/>
    </row>
    <row r="1896" spans="1:13">
      <c r="A1896" s="71" t="s">
        <v>4475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4476</v>
      </c>
      <c r="B1897" s="67">
        <v>65195140553</v>
      </c>
      <c r="C1897" s="29" t="s">
        <v>1886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4477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4477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1773</v>
      </c>
      <c r="H1899" s="9"/>
      <c r="I1899" s="8"/>
      <c r="J1899" s="8"/>
      <c r="K1899" s="8"/>
      <c r="L1899" s="8"/>
      <c r="M1899" s="8"/>
    </row>
    <row r="1900" spans="1:13">
      <c r="A1900" s="71" t="s">
        <v>4478</v>
      </c>
      <c r="B1900" s="67">
        <v>17146759806</v>
      </c>
      <c r="C1900" s="72" t="s">
        <v>4479</v>
      </c>
      <c r="D1900" s="69">
        <v>39095494896</v>
      </c>
      <c r="E1900" s="9">
        <v>1262</v>
      </c>
      <c r="F1900" s="25">
        <v>42997</v>
      </c>
      <c r="G1900" s="70" t="s">
        <v>1779</v>
      </c>
      <c r="H1900" s="9"/>
      <c r="I1900" s="8"/>
      <c r="J1900" s="8"/>
      <c r="K1900" s="8"/>
      <c r="L1900" s="8"/>
      <c r="M1900" s="8"/>
    </row>
    <row r="1901" spans="1:13">
      <c r="A1901" s="13" t="s">
        <v>4480</v>
      </c>
      <c r="B1901" s="67">
        <v>3893020403</v>
      </c>
      <c r="C1901" s="68" t="s">
        <v>4481</v>
      </c>
      <c r="D1901" s="69">
        <v>31615704809</v>
      </c>
      <c r="E1901" s="9">
        <v>1128</v>
      </c>
      <c r="F1901" s="25">
        <v>42972</v>
      </c>
      <c r="G1901" s="70" t="s">
        <v>1773</v>
      </c>
      <c r="H1901" s="9"/>
      <c r="I1901" s="8"/>
      <c r="J1901" s="8"/>
      <c r="K1901" s="8"/>
      <c r="L1901" s="8"/>
      <c r="M1901" s="8"/>
    </row>
    <row r="1902" spans="1:13">
      <c r="A1902" s="73" t="s">
        <v>4482</v>
      </c>
      <c r="B1902" s="67">
        <v>70116695404</v>
      </c>
      <c r="C1902" s="72" t="s">
        <v>4483</v>
      </c>
      <c r="D1902" s="69">
        <v>66319943491</v>
      </c>
      <c r="E1902" s="9">
        <v>1106</v>
      </c>
      <c r="F1902" s="25">
        <v>42965</v>
      </c>
      <c r="G1902" s="70" t="s">
        <v>1773</v>
      </c>
      <c r="H1902" s="9"/>
      <c r="I1902" s="8"/>
      <c r="J1902" s="8"/>
      <c r="K1902" s="8"/>
      <c r="L1902" s="8"/>
      <c r="M1902" s="8"/>
    </row>
    <row r="1903" spans="1:13">
      <c r="A1903" s="29" t="s">
        <v>4484</v>
      </c>
      <c r="B1903" s="67"/>
      <c r="C1903" s="29" t="s">
        <v>4485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4486</v>
      </c>
      <c r="B1904" s="67"/>
      <c r="C1904" s="29" t="s">
        <v>1886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4487</v>
      </c>
      <c r="B1905" s="67"/>
      <c r="C1905" s="29" t="s">
        <v>4488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4489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1773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4490</v>
      </c>
      <c r="B1907" s="67">
        <v>6936214436</v>
      </c>
      <c r="C1907" s="72" t="s">
        <v>4491</v>
      </c>
      <c r="D1907" s="69">
        <v>8583452423</v>
      </c>
      <c r="E1907" s="9">
        <v>85</v>
      </c>
      <c r="F1907" s="25">
        <v>43109</v>
      </c>
      <c r="G1907" s="70" t="s">
        <v>1773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4492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1773</v>
      </c>
      <c r="H1908" s="9"/>
      <c r="I1908" s="8"/>
      <c r="J1908" s="8"/>
      <c r="K1908" s="8"/>
      <c r="L1908" s="9" t="s">
        <v>1895</v>
      </c>
      <c r="M1908" s="8"/>
    </row>
    <row r="1909" spans="1:13">
      <c r="A1909" s="15" t="s">
        <v>4493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1773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4494</v>
      </c>
      <c r="B1910" s="67">
        <v>35264817847</v>
      </c>
      <c r="C1910" s="29" t="s">
        <v>1886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4495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4496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1773</v>
      </c>
      <c r="H1912" s="9"/>
      <c r="I1912" s="8"/>
      <c r="J1912" s="8"/>
      <c r="K1912" s="8"/>
      <c r="L1912" s="8"/>
      <c r="M1912" s="8"/>
    </row>
    <row r="1913" spans="1:13">
      <c r="A1913" s="71" t="s">
        <v>4497</v>
      </c>
      <c r="B1913" s="67">
        <v>90046226591</v>
      </c>
      <c r="C1913" s="72" t="s">
        <v>4498</v>
      </c>
      <c r="D1913" s="69">
        <v>74829505591</v>
      </c>
      <c r="E1913" s="9">
        <v>262</v>
      </c>
      <c r="F1913" s="25">
        <v>43160</v>
      </c>
      <c r="G1913" s="9" t="s">
        <v>1773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4499</v>
      </c>
      <c r="B1914" s="67">
        <v>29871369867</v>
      </c>
      <c r="C1914" s="72" t="s">
        <v>4500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4501</v>
      </c>
      <c r="B1915" s="67">
        <v>26681571883</v>
      </c>
      <c r="C1915" s="71" t="s">
        <v>4502</v>
      </c>
      <c r="D1915" s="69">
        <v>18465693897</v>
      </c>
      <c r="E1915" s="9">
        <v>292</v>
      </c>
      <c r="F1915" s="25">
        <v>43168</v>
      </c>
      <c r="G1915" s="70" t="s">
        <v>1773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4503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4504</v>
      </c>
      <c r="B1917" s="67">
        <v>26526680801</v>
      </c>
      <c r="C1917" s="68" t="s">
        <v>4505</v>
      </c>
      <c r="D1917" s="69">
        <v>7117205631</v>
      </c>
      <c r="E1917" s="9">
        <v>1128</v>
      </c>
      <c r="F1917" s="25">
        <v>42972</v>
      </c>
      <c r="G1917" s="70" t="s">
        <v>1773</v>
      </c>
      <c r="H1917" s="9"/>
      <c r="I1917" s="8"/>
      <c r="J1917" s="8"/>
      <c r="K1917" s="8"/>
      <c r="L1917" s="8"/>
      <c r="M1917" s="8"/>
    </row>
    <row r="1918" spans="1:13">
      <c r="A1918" s="71" t="s">
        <v>4506</v>
      </c>
      <c r="B1918" s="67">
        <v>67285902420</v>
      </c>
      <c r="C1918" s="72" t="s">
        <v>3274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2056</v>
      </c>
      <c r="M1918" s="8"/>
    </row>
    <row r="1919" spans="1:13">
      <c r="A1919" s="29" t="s">
        <v>4507</v>
      </c>
      <c r="B1919" s="67"/>
      <c r="C1919" s="18" t="s">
        <v>1886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4508</v>
      </c>
      <c r="B1920" s="67">
        <v>1097111490</v>
      </c>
      <c r="C1920" s="77" t="s">
        <v>4509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2056</v>
      </c>
      <c r="M1920" s="8"/>
    </row>
    <row r="1921" spans="1:13">
      <c r="A1921" s="71" t="s">
        <v>4510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1773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4511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1773</v>
      </c>
      <c r="H1922" s="9"/>
      <c r="I1922" s="8"/>
      <c r="J1922" s="8"/>
      <c r="K1922" s="8"/>
      <c r="L1922" s="8"/>
      <c r="M1922" s="8"/>
    </row>
    <row r="1923" spans="1:13">
      <c r="A1923" s="71" t="s">
        <v>4512</v>
      </c>
      <c r="B1923" s="67">
        <v>16756911856</v>
      </c>
      <c r="C1923" s="72" t="s">
        <v>4513</v>
      </c>
      <c r="D1923" s="69">
        <v>10411415808</v>
      </c>
      <c r="E1923" s="9">
        <v>1752</v>
      </c>
      <c r="F1923" s="25">
        <v>43051</v>
      </c>
      <c r="G1923" s="70" t="s">
        <v>1773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4514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4515</v>
      </c>
      <c r="B1925" s="67"/>
      <c r="C1925" s="72" t="s">
        <v>4516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4517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1779</v>
      </c>
      <c r="H1926" s="9"/>
      <c r="I1926" s="8"/>
      <c r="J1926" s="8"/>
      <c r="K1926" s="8"/>
      <c r="L1926" s="8"/>
      <c r="M1926" s="8"/>
    </row>
    <row r="1927" spans="1:13">
      <c r="A1927" s="72" t="s">
        <v>4518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4519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1773</v>
      </c>
      <c r="H1928" s="9"/>
      <c r="I1928" s="8"/>
      <c r="J1928" s="8"/>
      <c r="K1928" s="8"/>
      <c r="L1928" s="9" t="s">
        <v>2259</v>
      </c>
      <c r="M1928" s="8"/>
    </row>
    <row r="1929" spans="1:13">
      <c r="A1929" s="29" t="s">
        <v>4520</v>
      </c>
      <c r="B1929" s="67"/>
      <c r="C1929" s="29" t="s">
        <v>1886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4521</v>
      </c>
      <c r="B1930" s="67"/>
      <c r="C1930" s="29" t="s">
        <v>4522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4523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1773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4524</v>
      </c>
      <c r="B1932" s="67">
        <v>30900118830</v>
      </c>
      <c r="C1932" s="72" t="s">
        <v>4525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4526</v>
      </c>
      <c r="B1933" s="67">
        <v>64217299400</v>
      </c>
      <c r="C1933" s="18" t="s">
        <v>4527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4528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4529</v>
      </c>
      <c r="B1935" s="67">
        <v>95875409487</v>
      </c>
      <c r="C1935" s="72" t="s">
        <v>4530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4531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4532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1773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4533</v>
      </c>
      <c r="B1938" s="67">
        <v>26655730325</v>
      </c>
      <c r="C1938" s="72" t="s">
        <v>4534</v>
      </c>
      <c r="D1938" s="69">
        <v>59222891520</v>
      </c>
      <c r="E1938" s="9">
        <v>262</v>
      </c>
      <c r="F1938" s="25">
        <v>43160</v>
      </c>
      <c r="G1938" s="70" t="s">
        <v>1773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4535</v>
      </c>
      <c r="B1939" s="67">
        <v>15696788807</v>
      </c>
      <c r="C1939" s="72" t="s">
        <v>4536</v>
      </c>
      <c r="D1939" s="69">
        <v>4231184801</v>
      </c>
      <c r="E1939" s="9">
        <v>1555</v>
      </c>
      <c r="F1939" s="25">
        <v>43049</v>
      </c>
      <c r="G1939" s="70" t="s">
        <v>1773</v>
      </c>
      <c r="H1939" s="9"/>
      <c r="I1939" s="8"/>
      <c r="J1939" s="8"/>
      <c r="K1939" s="8"/>
      <c r="L1939" s="9" t="s">
        <v>2155</v>
      </c>
      <c r="M1939" s="8"/>
    </row>
    <row r="1940" spans="1:13">
      <c r="A1940" s="71" t="s">
        <v>4537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1779</v>
      </c>
      <c r="H1940" s="9"/>
      <c r="I1940" s="8"/>
      <c r="J1940" s="8"/>
      <c r="K1940" s="8"/>
      <c r="L1940" s="8"/>
      <c r="M1940" s="8"/>
    </row>
    <row r="1941" spans="1:13">
      <c r="A1941" s="71" t="s">
        <v>4538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1773</v>
      </c>
      <c r="H1941" s="9"/>
      <c r="I1941" s="8"/>
      <c r="J1941" s="8"/>
      <c r="K1941" s="8"/>
      <c r="L1941" s="9" t="s">
        <v>1927</v>
      </c>
      <c r="M1941" s="8"/>
    </row>
    <row r="1942" spans="1:13">
      <c r="A1942" s="71" t="s">
        <v>4539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1773</v>
      </c>
      <c r="H1942" s="9"/>
      <c r="I1942" s="8"/>
      <c r="J1942" s="8"/>
      <c r="K1942" s="8"/>
      <c r="L1942" s="8"/>
      <c r="M1942" s="8"/>
    </row>
    <row r="1943" spans="1:13">
      <c r="A1943" s="71" t="s">
        <v>4540</v>
      </c>
      <c r="B1943" s="67">
        <v>1280254688</v>
      </c>
      <c r="C1943" s="72" t="s">
        <v>4541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4542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1773</v>
      </c>
      <c r="H1944" s="9"/>
      <c r="I1944" s="8"/>
      <c r="J1944" s="8"/>
      <c r="K1944" s="8"/>
      <c r="L1944" s="8"/>
      <c r="M1944" s="8"/>
    </row>
    <row r="1945" spans="1:13">
      <c r="A1945" s="15" t="s">
        <v>4543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4544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4545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1773</v>
      </c>
      <c r="H1947" s="9"/>
      <c r="I1947" s="8"/>
      <c r="J1947" s="8"/>
      <c r="K1947" s="8"/>
      <c r="L1947" s="8"/>
      <c r="M1947" s="8"/>
    </row>
    <row r="1948" spans="1:13">
      <c r="A1948" s="14" t="s">
        <v>4546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4546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1773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4546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1773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4547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4548</v>
      </c>
      <c r="B1952" s="67">
        <v>33635659843</v>
      </c>
      <c r="C1952" s="29" t="s">
        <v>4549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4550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1773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4550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2056</v>
      </c>
      <c r="M1954" s="8"/>
    </row>
    <row r="1955" spans="1:13">
      <c r="A1955" s="71" t="s">
        <v>4551</v>
      </c>
      <c r="B1955" s="67">
        <v>36841231880</v>
      </c>
      <c r="C1955" s="77" t="s">
        <v>4552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4553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1773</v>
      </c>
      <c r="H1956" s="9"/>
      <c r="I1956" s="8"/>
      <c r="J1956" s="8"/>
      <c r="K1956" s="8"/>
      <c r="L1956" s="9" t="s">
        <v>1917</v>
      </c>
      <c r="M1956" s="8"/>
    </row>
    <row r="1957" spans="1:13">
      <c r="A1957" s="29" t="s">
        <v>4554</v>
      </c>
      <c r="B1957" s="67"/>
      <c r="C1957" s="29" t="s">
        <v>1886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4555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1773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4556</v>
      </c>
      <c r="B1959" s="67"/>
      <c r="C1959" s="29" t="s">
        <v>4557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4558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4559</v>
      </c>
      <c r="B1961" s="67">
        <v>64404714734</v>
      </c>
      <c r="C1961" s="29" t="s">
        <v>4560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4561</v>
      </c>
      <c r="B1962" s="67">
        <v>29783527878</v>
      </c>
      <c r="C1962" s="29" t="s">
        <v>4562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4563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1773</v>
      </c>
      <c r="H1963" s="9"/>
      <c r="I1963" s="8"/>
      <c r="J1963" s="8"/>
      <c r="K1963" s="8"/>
      <c r="L1963" s="8"/>
      <c r="M1963" s="8"/>
    </row>
    <row r="1964" spans="1:13">
      <c r="A1964" s="18" t="s">
        <v>4564</v>
      </c>
      <c r="B1964" s="67">
        <v>70155356372</v>
      </c>
      <c r="C1964" s="18" t="s">
        <v>4565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4566</v>
      </c>
      <c r="B1965" s="67">
        <v>4350125337</v>
      </c>
      <c r="C1965" s="72" t="s">
        <v>4567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4568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1787</v>
      </c>
      <c r="H1966" s="9"/>
      <c r="I1966" s="8"/>
      <c r="J1966" s="8"/>
      <c r="K1966" s="8"/>
      <c r="L1966" s="9" t="s">
        <v>2010</v>
      </c>
      <c r="M1966" s="8"/>
    </row>
    <row r="1967" spans="1:13">
      <c r="A1967" s="72" t="s">
        <v>4569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1773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4570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4571</v>
      </c>
      <c r="B1969" s="67"/>
      <c r="C1969" s="29" t="s">
        <v>1886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4572</v>
      </c>
      <c r="B1970" s="67">
        <v>49628474812</v>
      </c>
      <c r="C1970" s="72" t="s">
        <v>4573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4574</v>
      </c>
      <c r="B1971" s="67">
        <v>37473032852</v>
      </c>
      <c r="C1971" s="72" t="s">
        <v>4575</v>
      </c>
      <c r="D1971" s="69">
        <v>21894541820</v>
      </c>
      <c r="E1971" s="9">
        <v>1824</v>
      </c>
      <c r="F1971" s="25">
        <v>43091</v>
      </c>
      <c r="G1971" s="70" t="s">
        <v>1787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4576</v>
      </c>
      <c r="B1972" s="67">
        <v>36383878875</v>
      </c>
      <c r="C1972" s="72" t="s">
        <v>4577</v>
      </c>
      <c r="D1972" s="69">
        <v>39907872849</v>
      </c>
      <c r="E1972" s="9">
        <v>117</v>
      </c>
      <c r="F1972" s="25">
        <v>43117</v>
      </c>
      <c r="G1972" s="70" t="s">
        <v>1779</v>
      </c>
      <c r="H1972" s="9"/>
      <c r="I1972" s="8"/>
      <c r="J1972" s="8"/>
      <c r="K1972" s="8"/>
      <c r="L1972" s="9" t="s">
        <v>1927</v>
      </c>
      <c r="M1972" s="8"/>
    </row>
    <row r="1973" spans="1:13">
      <c r="A1973" s="71" t="s">
        <v>4578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1773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4579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1773</v>
      </c>
      <c r="H1974" s="9"/>
      <c r="I1974" s="8"/>
      <c r="J1974" s="8"/>
      <c r="K1974" s="8"/>
      <c r="L1974" s="8"/>
      <c r="M1974" s="8"/>
    </row>
    <row r="1975" spans="1:13">
      <c r="A1975" s="71" t="s">
        <v>4579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1773</v>
      </c>
      <c r="H1975" s="9"/>
      <c r="I1975" s="8"/>
      <c r="J1975" s="8"/>
      <c r="K1975" s="8"/>
      <c r="L1975" s="8"/>
      <c r="M1975" s="8"/>
    </row>
    <row r="1976" spans="1:13">
      <c r="A1976" s="71" t="s">
        <v>4579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1773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4580</v>
      </c>
      <c r="B1977" s="80">
        <v>87102331487</v>
      </c>
      <c r="C1977" s="81" t="s">
        <v>4581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1895</v>
      </c>
      <c r="M1977" s="49"/>
    </row>
    <row r="1978" spans="1:13">
      <c r="A1978" s="15" t="s">
        <v>4582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1773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4583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1773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4584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1773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4585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1773</v>
      </c>
      <c r="H1981" s="9"/>
      <c r="I1981" s="8"/>
      <c r="J1981" s="8"/>
      <c r="K1981" s="8"/>
      <c r="L1981" s="9" t="s">
        <v>1927</v>
      </c>
      <c r="M1981" s="8"/>
    </row>
    <row r="1982" spans="1:13">
      <c r="A1982" s="71" t="s">
        <v>4586</v>
      </c>
      <c r="B1982" s="67">
        <v>18360384886</v>
      </c>
      <c r="C1982" s="72" t="s">
        <v>4587</v>
      </c>
      <c r="D1982" s="69">
        <v>28828648848</v>
      </c>
      <c r="E1982" s="9">
        <v>1214</v>
      </c>
      <c r="F1982" s="25">
        <v>42989</v>
      </c>
      <c r="G1982" s="70" t="s">
        <v>1773</v>
      </c>
      <c r="H1982" s="9"/>
      <c r="I1982" s="8"/>
      <c r="J1982" s="8"/>
      <c r="K1982" s="8"/>
      <c r="L1982" s="8"/>
      <c r="M1982" s="8"/>
    </row>
    <row r="1983" spans="1:13">
      <c r="A1983" s="71" t="s">
        <v>4588</v>
      </c>
      <c r="B1983" s="67">
        <v>8224204812</v>
      </c>
      <c r="C1983" s="72" t="s">
        <v>4589</v>
      </c>
      <c r="D1983" s="69">
        <v>5373139823</v>
      </c>
      <c r="E1983" s="9">
        <v>1752</v>
      </c>
      <c r="F1983" s="25">
        <v>43051</v>
      </c>
      <c r="G1983" s="70" t="s">
        <v>1773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4590</v>
      </c>
      <c r="B1984" s="67">
        <v>61232386200</v>
      </c>
      <c r="C1984" s="72" t="s">
        <v>4591</v>
      </c>
      <c r="D1984" s="69">
        <v>30971900310</v>
      </c>
      <c r="E1984" s="9">
        <v>1267</v>
      </c>
      <c r="F1984" s="25">
        <v>42998</v>
      </c>
      <c r="G1984" s="70" t="s">
        <v>1773</v>
      </c>
      <c r="H1984" s="9"/>
      <c r="I1984" s="8"/>
      <c r="J1984" s="8"/>
      <c r="K1984" s="8"/>
      <c r="L1984" s="8"/>
      <c r="M1984" s="8"/>
    </row>
    <row r="1985" spans="1:13">
      <c r="A1985" s="30" t="s">
        <v>4592</v>
      </c>
      <c r="B1985" s="67">
        <v>68688210420</v>
      </c>
      <c r="C1985" s="32" t="s">
        <v>4593</v>
      </c>
      <c r="D1985" s="69">
        <v>3241531805</v>
      </c>
      <c r="E1985" s="9">
        <v>1570</v>
      </c>
      <c r="F1985" s="25">
        <v>43077</v>
      </c>
      <c r="G1985" s="70" t="s">
        <v>1773</v>
      </c>
      <c r="H1985" s="9"/>
      <c r="I1985" s="8"/>
      <c r="J1985" s="8"/>
      <c r="K1985" s="8"/>
      <c r="L1985" s="8"/>
      <c r="M1985" s="8"/>
    </row>
    <row r="1986" spans="1:13">
      <c r="A1986" s="72" t="s">
        <v>4594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1773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4595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1773</v>
      </c>
      <c r="H1987" s="9"/>
      <c r="I1987" s="8"/>
      <c r="J1987" s="8"/>
      <c r="K1987" s="8"/>
      <c r="L1987" s="8"/>
      <c r="M1987" s="8"/>
    </row>
    <row r="1988" spans="1:13">
      <c r="A1988" s="71" t="s">
        <v>4596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4597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1773</v>
      </c>
      <c r="H1989" s="9"/>
      <c r="I1989" s="8"/>
      <c r="J1989" s="8"/>
      <c r="K1989" s="8"/>
      <c r="L1989" s="9" t="s">
        <v>1895</v>
      </c>
      <c r="M1989" s="8"/>
    </row>
    <row r="1990" spans="1:13">
      <c r="A1990" s="71" t="s">
        <v>4598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1773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4599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4600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4601</v>
      </c>
      <c r="B1993" s="67">
        <v>22566146896</v>
      </c>
      <c r="C1993" s="72" t="s">
        <v>4602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4603</v>
      </c>
      <c r="B1994" s="67">
        <v>27957199836</v>
      </c>
      <c r="C1994" s="72" t="s">
        <v>4604</v>
      </c>
      <c r="D1994" s="69">
        <v>14369564808</v>
      </c>
      <c r="E1994" s="9">
        <v>292</v>
      </c>
      <c r="F1994" s="25">
        <v>43168</v>
      </c>
      <c r="G1994" s="70" t="s">
        <v>1773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4605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1773</v>
      </c>
      <c r="H1995" s="9"/>
      <c r="I1995" s="8"/>
      <c r="J1995" s="8"/>
      <c r="K1995" s="8"/>
      <c r="L1995" s="9" t="s">
        <v>2155</v>
      </c>
      <c r="M1995" s="8"/>
    </row>
    <row r="1996" spans="1:13">
      <c r="A1996" s="18" t="s">
        <v>4606</v>
      </c>
      <c r="B1996" s="67"/>
      <c r="C1996" s="18" t="s">
        <v>4607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4608</v>
      </c>
      <c r="B1997" s="67">
        <v>12723195805</v>
      </c>
      <c r="C1997" s="72" t="s">
        <v>4609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4610</v>
      </c>
      <c r="B1998" s="67">
        <v>15731373833</v>
      </c>
      <c r="C1998" s="75" t="s">
        <v>4611</v>
      </c>
      <c r="D1998" s="69">
        <v>12858074801</v>
      </c>
      <c r="E1998" s="9">
        <v>1106</v>
      </c>
      <c r="F1998" s="25">
        <v>42965</v>
      </c>
      <c r="G1998" s="70" t="s">
        <v>1779</v>
      </c>
      <c r="H1998" s="9"/>
      <c r="I1998" s="8"/>
      <c r="J1998" s="8"/>
      <c r="K1998" s="8"/>
      <c r="L1998" s="8"/>
      <c r="M1998" s="8"/>
    </row>
    <row r="1999" spans="1:13">
      <c r="A1999" s="71" t="s">
        <v>4612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1773</v>
      </c>
      <c r="H1999" s="9"/>
      <c r="I1999" s="8"/>
      <c r="J1999" s="8"/>
      <c r="K1999" s="8"/>
      <c r="L1999" s="9" t="s">
        <v>1895</v>
      </c>
      <c r="M1999" s="8"/>
    </row>
    <row r="2000" spans="1:13">
      <c r="A2000" s="71" t="s">
        <v>4613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4614</v>
      </c>
      <c r="B2001" s="67">
        <v>38402878806</v>
      </c>
      <c r="C2001" s="72" t="s">
        <v>4615</v>
      </c>
      <c r="D2001" s="69">
        <v>23700547862</v>
      </c>
      <c r="E2001" s="9">
        <v>262</v>
      </c>
      <c r="F2001" s="25">
        <v>43160</v>
      </c>
      <c r="G2001" s="9" t="s">
        <v>1773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4616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4617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4618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4619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4620</v>
      </c>
      <c r="B2006" s="67">
        <v>27023833862</v>
      </c>
      <c r="C2006" s="29" t="s">
        <v>4621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4622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4623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1773</v>
      </c>
      <c r="H2008" s="9"/>
      <c r="I2008" s="8"/>
      <c r="J2008" s="8"/>
      <c r="K2008" s="8"/>
      <c r="L2008" s="9" t="s">
        <v>1927</v>
      </c>
      <c r="M2008" s="8"/>
    </row>
    <row r="2009" spans="1:13">
      <c r="A2009" s="71" t="s">
        <v>4624</v>
      </c>
      <c r="B2009" s="67">
        <v>38815800344</v>
      </c>
      <c r="C2009" s="72" t="s">
        <v>4625</v>
      </c>
      <c r="D2009" s="69">
        <v>39085252334</v>
      </c>
      <c r="E2009" s="9">
        <v>85</v>
      </c>
      <c r="F2009" s="25">
        <v>43109</v>
      </c>
      <c r="G2009" s="70" t="s">
        <v>1773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4626</v>
      </c>
      <c r="B2010" s="67">
        <v>36154299826</v>
      </c>
      <c r="C2010" s="72" t="s">
        <v>4627</v>
      </c>
      <c r="D2010" s="69">
        <v>34489273843</v>
      </c>
      <c r="E2010" s="9">
        <v>1267</v>
      </c>
      <c r="F2010" s="25">
        <v>42998</v>
      </c>
      <c r="G2010" s="70" t="s">
        <v>1779</v>
      </c>
      <c r="H2010" s="9"/>
      <c r="I2010" s="8"/>
      <c r="J2010" s="8"/>
      <c r="K2010" s="8"/>
      <c r="L2010" s="8"/>
      <c r="M2010" s="8"/>
    </row>
    <row r="2011" spans="1:13">
      <c r="A2011" s="15" t="s">
        <v>4628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1773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4629</v>
      </c>
      <c r="B2012" s="67"/>
      <c r="C2012" s="18" t="s">
        <v>1886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4630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4631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1773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4632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1773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4633</v>
      </c>
      <c r="B2016" s="67">
        <v>64174182434</v>
      </c>
      <c r="C2016" s="72" t="s">
        <v>4634</v>
      </c>
      <c r="D2016" s="69">
        <v>98105183587</v>
      </c>
      <c r="E2016" s="9">
        <v>262</v>
      </c>
      <c r="F2016" s="25">
        <v>43160</v>
      </c>
      <c r="G2016" s="70" t="s">
        <v>1773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4635</v>
      </c>
      <c r="B2017" s="67">
        <v>4148505485</v>
      </c>
      <c r="C2017" s="29" t="s">
        <v>4636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4637</v>
      </c>
      <c r="B2018" s="67">
        <v>39364828372</v>
      </c>
      <c r="C2018" s="72" t="s">
        <v>4638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4639</v>
      </c>
      <c r="B2019" s="67">
        <v>82046042468</v>
      </c>
      <c r="C2019" s="72" t="s">
        <v>4640</v>
      </c>
      <c r="D2019" s="69">
        <v>88251098491</v>
      </c>
      <c r="E2019" s="9">
        <v>85</v>
      </c>
      <c r="F2019" s="25">
        <v>43109</v>
      </c>
      <c r="G2019" s="70" t="s">
        <v>1773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4641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1773</v>
      </c>
      <c r="H2020" s="9"/>
      <c r="I2020" s="8"/>
      <c r="J2020" s="8"/>
      <c r="K2020" s="8"/>
      <c r="L2020" s="8"/>
      <c r="M2020" s="8"/>
    </row>
    <row r="2021" spans="1:13">
      <c r="A2021" s="14" t="s">
        <v>4642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1773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4643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1773</v>
      </c>
      <c r="H2022" s="9"/>
      <c r="I2022" s="8"/>
      <c r="J2022" s="8"/>
      <c r="K2022" s="8"/>
      <c r="L2022" s="9" t="s">
        <v>2010</v>
      </c>
      <c r="M2022" s="8"/>
    </row>
    <row r="2023" spans="1:13">
      <c r="A2023" s="72" t="s">
        <v>4644</v>
      </c>
      <c r="B2023" s="67">
        <v>37806851836</v>
      </c>
      <c r="C2023" s="72" t="s">
        <v>4645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4646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4647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4648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4649</v>
      </c>
      <c r="B2027" s="67">
        <v>27506021811</v>
      </c>
      <c r="C2027" s="72" t="s">
        <v>4650</v>
      </c>
      <c r="D2027" s="69">
        <v>13130281851</v>
      </c>
      <c r="E2027" s="9">
        <v>810</v>
      </c>
      <c r="F2027" s="25">
        <v>42915</v>
      </c>
      <c r="G2027" s="70" t="s">
        <v>1773</v>
      </c>
      <c r="H2027" s="9"/>
      <c r="I2027" s="8"/>
      <c r="J2027" s="8"/>
      <c r="K2027" s="8"/>
      <c r="L2027" s="9" t="s">
        <v>1895</v>
      </c>
      <c r="M2027" s="8"/>
    </row>
    <row r="2028" spans="1:13">
      <c r="A2028" s="15" t="s">
        <v>4651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1773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4652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1773</v>
      </c>
      <c r="H2029" s="9"/>
      <c r="I2029" s="8"/>
      <c r="J2029" s="8"/>
      <c r="K2029" s="8"/>
      <c r="L2029" s="9" t="s">
        <v>2010</v>
      </c>
      <c r="M2029" s="8"/>
    </row>
    <row r="2030" spans="1:13">
      <c r="A2030" s="15" t="s">
        <v>4653</v>
      </c>
      <c r="B2030" s="67">
        <v>660919346</v>
      </c>
      <c r="C2030" s="72" t="s">
        <v>4654</v>
      </c>
      <c r="D2030" s="69">
        <v>296516384</v>
      </c>
      <c r="E2030" s="9">
        <v>262</v>
      </c>
      <c r="F2030" s="25">
        <v>43160</v>
      </c>
      <c r="G2030" s="70" t="s">
        <v>1779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4655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1773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4656</v>
      </c>
      <c r="B2032" s="67">
        <v>55075746500</v>
      </c>
      <c r="C2032" s="72" t="s">
        <v>4657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4658</v>
      </c>
      <c r="B2033" s="67">
        <v>34549590807</v>
      </c>
      <c r="C2033" s="72" t="s">
        <v>4659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4660</v>
      </c>
      <c r="B2034" s="67"/>
      <c r="C2034" s="18" t="s">
        <v>1886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4661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4662</v>
      </c>
      <c r="B2036" s="67">
        <v>41292199873</v>
      </c>
      <c r="C2036" s="72" t="s">
        <v>4663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4664</v>
      </c>
      <c r="B2037" s="67"/>
      <c r="C2037" s="29" t="s">
        <v>1886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4665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4666</v>
      </c>
      <c r="B2039" s="67">
        <v>42318039860</v>
      </c>
      <c r="C2039" s="72" t="s">
        <v>4667</v>
      </c>
      <c r="D2039" s="69">
        <v>23059375801</v>
      </c>
      <c r="E2039" s="9">
        <v>85</v>
      </c>
      <c r="F2039" s="25">
        <v>43109</v>
      </c>
      <c r="G2039" s="70" t="s">
        <v>1773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4668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1773</v>
      </c>
      <c r="H2040" s="9"/>
      <c r="I2040" s="8"/>
      <c r="J2040" s="8"/>
      <c r="K2040" s="8"/>
      <c r="L2040" s="9" t="s">
        <v>1895</v>
      </c>
      <c r="M2040" s="8"/>
    </row>
    <row r="2041" spans="1:13">
      <c r="A2041" s="71" t="s">
        <v>4669</v>
      </c>
      <c r="B2041" s="67">
        <v>2693234573</v>
      </c>
      <c r="C2041" s="71" t="s">
        <v>4670</v>
      </c>
      <c r="D2041" s="69">
        <v>36131987890</v>
      </c>
      <c r="E2041" s="9">
        <v>292</v>
      </c>
      <c r="F2041" s="25">
        <v>43168</v>
      </c>
      <c r="G2041" s="9" t="s">
        <v>1773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4671</v>
      </c>
      <c r="B2042" s="67">
        <v>19677621807</v>
      </c>
      <c r="C2042" s="72" t="s">
        <v>4672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4673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1773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4674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4675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1773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4676</v>
      </c>
      <c r="B2046" s="67">
        <v>22583603825</v>
      </c>
      <c r="C2046" s="72" t="s">
        <v>4677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4678</v>
      </c>
      <c r="B2047" s="67">
        <v>14858077861</v>
      </c>
      <c r="C2047" s="15" t="s">
        <v>4679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4680</v>
      </c>
      <c r="B2048" s="67">
        <v>32291860879</v>
      </c>
      <c r="C2048" s="29" t="s">
        <v>4681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4682</v>
      </c>
      <c r="B2049" s="67">
        <v>76396126320</v>
      </c>
      <c r="C2049" s="72" t="s">
        <v>4683</v>
      </c>
      <c r="D2049" s="69">
        <v>62133390510</v>
      </c>
      <c r="E2049" s="9">
        <v>1262</v>
      </c>
      <c r="F2049" s="25">
        <v>42997</v>
      </c>
      <c r="G2049" s="70" t="s">
        <v>1773</v>
      </c>
      <c r="H2049" s="9"/>
      <c r="I2049" s="8"/>
      <c r="J2049" s="8"/>
      <c r="K2049" s="8"/>
      <c r="L2049" s="8"/>
      <c r="M2049" s="8"/>
    </row>
    <row r="2050" spans="1:13">
      <c r="A2050" s="14" t="s">
        <v>4684</v>
      </c>
      <c r="B2050" s="67">
        <v>34303186880</v>
      </c>
      <c r="C2050" s="72" t="s">
        <v>4685</v>
      </c>
      <c r="D2050" s="69">
        <v>39695431852</v>
      </c>
      <c r="E2050" s="9">
        <v>1570</v>
      </c>
      <c r="F2050" s="25">
        <v>43077</v>
      </c>
      <c r="G2050" s="70" t="s">
        <v>1773</v>
      </c>
      <c r="H2050" s="9"/>
      <c r="I2050" s="8"/>
      <c r="J2050" s="8"/>
      <c r="K2050" s="8"/>
      <c r="L2050" s="8"/>
      <c r="M2050" s="8"/>
    </row>
    <row r="2051" spans="1:13">
      <c r="A2051" s="18" t="s">
        <v>4686</v>
      </c>
      <c r="B2051" s="67">
        <v>14331980880</v>
      </c>
      <c r="C2051" s="8" t="s">
        <v>4687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4686</v>
      </c>
      <c r="B2052" s="67">
        <v>14331980880</v>
      </c>
      <c r="C2052" s="77" t="s">
        <v>4687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4688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4689</v>
      </c>
      <c r="B2054" s="67"/>
      <c r="C2054" s="29" t="s">
        <v>4690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4691</v>
      </c>
      <c r="B2055" s="67">
        <v>31662836848</v>
      </c>
      <c r="C2055" s="72" t="s">
        <v>4692</v>
      </c>
      <c r="D2055" s="69">
        <v>12871784809</v>
      </c>
      <c r="E2055" s="9">
        <v>1570</v>
      </c>
      <c r="F2055" s="25">
        <v>43077</v>
      </c>
      <c r="G2055" s="70" t="s">
        <v>1773</v>
      </c>
      <c r="H2055" s="9"/>
      <c r="I2055" s="8"/>
      <c r="J2055" s="8"/>
      <c r="K2055" s="8"/>
      <c r="L2055" s="8"/>
      <c r="M2055" s="8"/>
    </row>
    <row r="2056" spans="1:13">
      <c r="A2056" s="14" t="s">
        <v>4693</v>
      </c>
      <c r="B2056" s="67">
        <v>39000389372</v>
      </c>
      <c r="C2056" s="72" t="s">
        <v>4694</v>
      </c>
      <c r="D2056" s="69">
        <v>14683732858</v>
      </c>
      <c r="E2056" s="9">
        <v>1417</v>
      </c>
      <c r="F2056" s="25">
        <v>43017</v>
      </c>
      <c r="G2056" s="70" t="s">
        <v>1773</v>
      </c>
      <c r="H2056" s="9"/>
      <c r="I2056" s="8"/>
      <c r="J2056" s="8"/>
      <c r="K2056" s="8"/>
      <c r="L2056" s="9" t="s">
        <v>2010</v>
      </c>
      <c r="M2056" s="8"/>
    </row>
    <row r="2057" spans="1:13">
      <c r="A2057" s="18" t="s">
        <v>4695</v>
      </c>
      <c r="B2057" s="67">
        <v>10349044856</v>
      </c>
      <c r="C2057" s="18" t="s">
        <v>3966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4696</v>
      </c>
      <c r="B2058" s="67">
        <v>25058845873</v>
      </c>
      <c r="C2058" s="71" t="s">
        <v>4697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4698</v>
      </c>
      <c r="B2059" s="67"/>
      <c r="C2059" s="29" t="s">
        <v>4699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4700</v>
      </c>
      <c r="B2060" s="67">
        <v>5088717431</v>
      </c>
      <c r="C2060" s="72" t="s">
        <v>4701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2056</v>
      </c>
      <c r="M2060" s="8"/>
    </row>
    <row r="2061" spans="1:13">
      <c r="A2061" s="13" t="s">
        <v>4702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1773</v>
      </c>
      <c r="H2061" s="9"/>
      <c r="I2061" s="8"/>
      <c r="J2061" s="8"/>
      <c r="K2061" s="8"/>
      <c r="L2061" s="8"/>
      <c r="M2061" s="8"/>
    </row>
    <row r="2062" spans="1:13">
      <c r="A2062" s="71" t="s">
        <v>4703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4704</v>
      </c>
      <c r="B2063" s="67">
        <v>33517044881</v>
      </c>
      <c r="C2063" s="72" t="s">
        <v>4705</v>
      </c>
      <c r="D2063" s="69">
        <v>28076571847</v>
      </c>
      <c r="E2063" s="9">
        <v>85</v>
      </c>
      <c r="F2063" s="25">
        <v>43109</v>
      </c>
      <c r="G2063" s="93" t="s">
        <v>1779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4706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1773</v>
      </c>
      <c r="H2064" s="9"/>
      <c r="I2064" s="8"/>
      <c r="J2064" s="8"/>
      <c r="K2064" s="8"/>
      <c r="L2064" s="8"/>
      <c r="M2064" s="8"/>
    </row>
    <row r="2065" spans="1:13">
      <c r="A2065" s="71" t="s">
        <v>4707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4708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1773</v>
      </c>
      <c r="H2066" s="9"/>
      <c r="I2066" s="8"/>
      <c r="J2066" s="8"/>
      <c r="K2066" s="8"/>
      <c r="L2066" s="9" t="s">
        <v>2155</v>
      </c>
      <c r="M2066" s="8"/>
    </row>
    <row r="2067" spans="1:13">
      <c r="A2067" s="71" t="s">
        <v>4709</v>
      </c>
      <c r="B2067" s="67">
        <v>16488724843</v>
      </c>
      <c r="C2067" s="73" t="s">
        <v>4710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4711</v>
      </c>
      <c r="B2068" s="67">
        <v>22230898876</v>
      </c>
      <c r="C2068" s="18" t="s">
        <v>1886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4712</v>
      </c>
      <c r="B2069" s="67">
        <v>1218219866</v>
      </c>
      <c r="C2069" s="18" t="s">
        <v>1886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4713</v>
      </c>
      <c r="B2070" s="67">
        <v>75696312772</v>
      </c>
      <c r="C2070" s="77" t="s">
        <v>4714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4715</v>
      </c>
      <c r="B2071" s="67">
        <v>12772099873</v>
      </c>
      <c r="C2071" s="29" t="s">
        <v>4716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4717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2056</v>
      </c>
      <c r="M2072" s="8"/>
    </row>
    <row r="2073" spans="1:13">
      <c r="A2073" s="18" t="s">
        <v>2174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2174</v>
      </c>
      <c r="B2074" s="67">
        <v>40312801491</v>
      </c>
      <c r="C2074" s="72" t="s">
        <v>4718</v>
      </c>
      <c r="D2074" s="69">
        <v>36270235823</v>
      </c>
      <c r="E2074" s="9">
        <v>810</v>
      </c>
      <c r="F2074" s="25">
        <v>42915</v>
      </c>
      <c r="G2074" s="70" t="s">
        <v>1773</v>
      </c>
      <c r="H2074" s="9"/>
      <c r="I2074" s="8"/>
      <c r="J2074" s="8"/>
      <c r="K2074" s="8"/>
      <c r="L2074" s="9" t="s">
        <v>1895</v>
      </c>
      <c r="M2074" s="8"/>
    </row>
    <row r="2075" spans="1:13">
      <c r="A2075" s="71" t="s">
        <v>2174</v>
      </c>
      <c r="B2075" s="67">
        <v>13016641895</v>
      </c>
      <c r="C2075" s="72" t="s">
        <v>4719</v>
      </c>
      <c r="D2075" s="69">
        <v>2681565731</v>
      </c>
      <c r="E2075" s="9">
        <v>810</v>
      </c>
      <c r="F2075" s="25">
        <v>42915</v>
      </c>
      <c r="G2075" s="70" t="s">
        <v>1773</v>
      </c>
      <c r="H2075" s="9"/>
      <c r="I2075" s="8"/>
      <c r="J2075" s="8"/>
      <c r="K2075" s="8"/>
      <c r="L2075" s="9" t="s">
        <v>1895</v>
      </c>
      <c r="M2075" s="8"/>
    </row>
    <row r="2076" spans="1:13">
      <c r="A2076" s="71" t="s">
        <v>4720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4721</v>
      </c>
      <c r="B2077" s="67">
        <v>18472653838</v>
      </c>
      <c r="C2077" s="72" t="s">
        <v>4722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4723</v>
      </c>
      <c r="B2078" s="67"/>
      <c r="C2078" s="18" t="s">
        <v>1886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4724</v>
      </c>
      <c r="B2079" s="67">
        <v>21531362885</v>
      </c>
      <c r="C2079" s="72" t="s">
        <v>4725</v>
      </c>
      <c r="D2079" s="69">
        <v>27454333850</v>
      </c>
      <c r="E2079" s="9">
        <v>117</v>
      </c>
      <c r="F2079" s="25">
        <v>43117</v>
      </c>
      <c r="G2079" s="70" t="s">
        <v>1773</v>
      </c>
      <c r="H2079" s="9"/>
      <c r="I2079" s="8"/>
      <c r="J2079" s="8"/>
      <c r="K2079" s="8"/>
      <c r="L2079" s="9" t="s">
        <v>1927</v>
      </c>
      <c r="M2079" s="8"/>
    </row>
    <row r="2080" spans="1:13">
      <c r="A2080" s="13" t="s">
        <v>4724</v>
      </c>
      <c r="B2080" s="67">
        <v>35537854899</v>
      </c>
      <c r="C2080" s="72" t="s">
        <v>4726</v>
      </c>
      <c r="D2080" s="69">
        <v>35365081897</v>
      </c>
      <c r="E2080" s="9">
        <v>1128</v>
      </c>
      <c r="F2080" s="25">
        <v>42972</v>
      </c>
      <c r="G2080" s="70" t="s">
        <v>1773</v>
      </c>
      <c r="H2080" s="9"/>
      <c r="I2080" s="8"/>
      <c r="J2080" s="8"/>
      <c r="K2080" s="8"/>
      <c r="L2080" s="8"/>
      <c r="M2080" s="8"/>
    </row>
    <row r="2081" spans="1:13">
      <c r="A2081" s="29" t="s">
        <v>4727</v>
      </c>
      <c r="B2081" s="67"/>
      <c r="C2081" s="29" t="s">
        <v>4728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4729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1773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4730</v>
      </c>
      <c r="B2083" s="67">
        <v>35483702840</v>
      </c>
      <c r="C2083" s="72" t="s">
        <v>4731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4732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1773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4733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2056</v>
      </c>
      <c r="M2085" s="8"/>
    </row>
    <row r="2086" spans="1:13">
      <c r="A2086" s="72" t="s">
        <v>4734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4735</v>
      </c>
      <c r="B2087" s="67">
        <v>3322258440</v>
      </c>
      <c r="C2087" s="18" t="s">
        <v>4736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4737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4738</v>
      </c>
      <c r="B2089" s="67"/>
      <c r="C2089" s="18" t="s">
        <v>1886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4739</v>
      </c>
      <c r="B2090" s="67">
        <v>25564758897</v>
      </c>
      <c r="C2090" s="72" t="s">
        <v>4740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4741</v>
      </c>
      <c r="B2091" s="67">
        <v>9722276875</v>
      </c>
      <c r="C2091" s="72" t="s">
        <v>4742</v>
      </c>
      <c r="D2091" s="69">
        <v>7777516825</v>
      </c>
      <c r="E2091" s="9">
        <v>810</v>
      </c>
      <c r="F2091" s="25">
        <v>42915</v>
      </c>
      <c r="G2091" s="70" t="s">
        <v>1773</v>
      </c>
      <c r="H2091" s="9"/>
      <c r="I2091" s="8"/>
      <c r="J2091" s="8"/>
      <c r="K2091" s="8"/>
      <c r="L2091" s="9" t="s">
        <v>1895</v>
      </c>
      <c r="M2091" s="8"/>
    </row>
    <row r="2092" spans="1:13">
      <c r="A2092" s="71" t="s">
        <v>4743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4744</v>
      </c>
      <c r="B2093" s="67">
        <v>27192176893</v>
      </c>
      <c r="C2093" s="68" t="s">
        <v>4745</v>
      </c>
      <c r="D2093" s="69">
        <v>8367664825</v>
      </c>
      <c r="E2093" s="9">
        <v>608</v>
      </c>
      <c r="F2093" s="25">
        <v>43012</v>
      </c>
      <c r="G2093" s="70" t="s">
        <v>1773</v>
      </c>
      <c r="H2093" s="9"/>
      <c r="I2093" s="8"/>
      <c r="J2093" s="8"/>
      <c r="K2093" s="8"/>
      <c r="L2093" s="8"/>
      <c r="M2093" s="8"/>
    </row>
    <row r="2094" spans="1:13">
      <c r="A2094" s="18" t="s">
        <v>4746</v>
      </c>
      <c r="B2094" s="67">
        <v>16514255825</v>
      </c>
      <c r="C2094" s="18" t="s">
        <v>4747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4748</v>
      </c>
      <c r="B2095" s="67">
        <v>4809644324</v>
      </c>
      <c r="C2095" s="72" t="s">
        <v>4749</v>
      </c>
      <c r="D2095" s="69">
        <v>31827963808</v>
      </c>
      <c r="E2095" s="9">
        <v>1214</v>
      </c>
      <c r="F2095" s="25">
        <v>42989</v>
      </c>
      <c r="G2095" s="70" t="s">
        <v>1773</v>
      </c>
      <c r="H2095" s="9"/>
      <c r="I2095" s="8"/>
      <c r="J2095" s="8"/>
      <c r="K2095" s="8"/>
      <c r="L2095" s="8"/>
      <c r="M2095" s="8"/>
    </row>
    <row r="2096" spans="1:13">
      <c r="A2096" s="71" t="s">
        <v>4750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1773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4751</v>
      </c>
      <c r="B2097" s="67">
        <v>11894918428</v>
      </c>
      <c r="C2097" s="72" t="s">
        <v>4752</v>
      </c>
      <c r="D2097" s="69">
        <v>37623185810</v>
      </c>
      <c r="E2097" s="9">
        <v>810</v>
      </c>
      <c r="F2097" s="25">
        <v>42915</v>
      </c>
      <c r="G2097" s="70" t="s">
        <v>1773</v>
      </c>
      <c r="H2097" s="9"/>
      <c r="I2097" s="8"/>
      <c r="J2097" s="8"/>
      <c r="K2097" s="8"/>
      <c r="L2097" s="9" t="s">
        <v>1895</v>
      </c>
      <c r="M2097" s="8"/>
    </row>
    <row r="2098" spans="1:13">
      <c r="A2098" s="15" t="s">
        <v>4753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1773</v>
      </c>
      <c r="H2098" s="9"/>
      <c r="I2098" s="8"/>
      <c r="J2098" s="8"/>
      <c r="K2098" s="8"/>
      <c r="L2098" s="8"/>
      <c r="M2098" s="8"/>
    </row>
    <row r="2099" spans="1:13">
      <c r="A2099" s="72" t="s">
        <v>4754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4755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2056</v>
      </c>
      <c r="M2100" s="8"/>
    </row>
    <row r="2101" spans="1:13">
      <c r="A2101" s="15" t="s">
        <v>4756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4757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1773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4758</v>
      </c>
      <c r="B2103" s="67"/>
      <c r="C2103" s="29" t="s">
        <v>1886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4759</v>
      </c>
      <c r="B2104" s="67">
        <v>4241745377</v>
      </c>
      <c r="C2104" s="72" t="s">
        <v>4760</v>
      </c>
      <c r="D2104" s="69">
        <v>4417028303</v>
      </c>
      <c r="E2104" s="9">
        <v>85</v>
      </c>
      <c r="F2104" s="25">
        <v>43109</v>
      </c>
      <c r="G2104" s="70" t="s">
        <v>1773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4761</v>
      </c>
      <c r="B2105" s="67"/>
      <c r="C2105" s="29" t="s">
        <v>4762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4763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1773</v>
      </c>
      <c r="H2106" s="9"/>
      <c r="I2106" s="8"/>
      <c r="J2106" s="8"/>
      <c r="K2106" s="8"/>
      <c r="L2106" s="8"/>
      <c r="M2106" s="8"/>
    </row>
    <row r="2107" spans="1:13">
      <c r="A2107" s="71" t="s">
        <v>4764</v>
      </c>
      <c r="B2107" s="67">
        <v>2182682708</v>
      </c>
      <c r="C2107" s="72" t="s">
        <v>4765</v>
      </c>
      <c r="D2107" s="69">
        <v>1409950727</v>
      </c>
      <c r="E2107" s="9">
        <v>810</v>
      </c>
      <c r="F2107" s="25">
        <v>42915</v>
      </c>
      <c r="G2107" s="70" t="s">
        <v>1787</v>
      </c>
      <c r="H2107" s="9"/>
      <c r="I2107" s="8"/>
      <c r="J2107" s="8"/>
      <c r="K2107" s="8"/>
      <c r="L2107" s="9" t="s">
        <v>1895</v>
      </c>
      <c r="M2107" s="8"/>
    </row>
    <row r="2108" spans="1:13">
      <c r="A2108" s="71" t="s">
        <v>4766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4767</v>
      </c>
      <c r="B2109" s="67">
        <v>11694151808</v>
      </c>
      <c r="C2109" s="72" t="s">
        <v>4768</v>
      </c>
      <c r="D2109" s="69">
        <v>29721167800</v>
      </c>
      <c r="E2109" s="9">
        <v>485</v>
      </c>
      <c r="F2109" s="25">
        <v>43196</v>
      </c>
      <c r="G2109" s="70" t="s">
        <v>1779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4769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1773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4770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4771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1773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4772</v>
      </c>
      <c r="B2113" s="67">
        <v>24613427843</v>
      </c>
      <c r="C2113" s="72" t="s">
        <v>4773</v>
      </c>
      <c r="D2113" s="69">
        <v>6003706821</v>
      </c>
      <c r="E2113" s="9">
        <v>810</v>
      </c>
      <c r="F2113" s="25">
        <v>42915</v>
      </c>
      <c r="G2113" s="70" t="s">
        <v>1773</v>
      </c>
      <c r="H2113" s="76">
        <v>43213</v>
      </c>
      <c r="I2113" s="8"/>
      <c r="J2113" s="8"/>
      <c r="K2113" s="8"/>
      <c r="L2113" s="9" t="s">
        <v>1895</v>
      </c>
      <c r="M2113" s="8"/>
    </row>
    <row r="2114" spans="1:13">
      <c r="A2114" s="72" t="s">
        <v>4774</v>
      </c>
      <c r="B2114" s="67">
        <v>61234508400</v>
      </c>
      <c r="C2114" s="72" t="s">
        <v>4775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4776</v>
      </c>
      <c r="B2115" s="67"/>
      <c r="C2115" s="18" t="s">
        <v>1886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4777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1773</v>
      </c>
      <c r="H2116" s="76">
        <v>43213</v>
      </c>
      <c r="I2116" s="8"/>
      <c r="J2116" s="8"/>
      <c r="K2116" s="8"/>
      <c r="L2116" s="9" t="s">
        <v>1895</v>
      </c>
      <c r="M2116" s="8"/>
    </row>
    <row r="2117" spans="1:13">
      <c r="A2117" s="71" t="s">
        <v>4778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1787</v>
      </c>
      <c r="H2117" s="76">
        <v>43213</v>
      </c>
      <c r="I2117" s="8"/>
      <c r="J2117" s="8"/>
      <c r="K2117" s="8"/>
      <c r="L2117" s="9" t="s">
        <v>2155</v>
      </c>
      <c r="M2117" s="8"/>
    </row>
    <row r="2118" spans="1:13">
      <c r="A2118" s="71" t="s">
        <v>4779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4780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4781</v>
      </c>
      <c r="B2120" s="67">
        <v>3493507364</v>
      </c>
      <c r="C2120" s="72" t="s">
        <v>4782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4783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1773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4784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1773</v>
      </c>
      <c r="H2122" s="9"/>
      <c r="I2122" s="8"/>
      <c r="J2122" s="8"/>
      <c r="K2122" s="8"/>
      <c r="L2122" s="9" t="s">
        <v>1895</v>
      </c>
      <c r="M2122" s="8"/>
    </row>
    <row r="2123" spans="1:13">
      <c r="A2123" s="71" t="s">
        <v>4785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4786</v>
      </c>
      <c r="B2124" s="67">
        <v>31365484858</v>
      </c>
      <c r="C2124" s="71" t="s">
        <v>4787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4788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1773</v>
      </c>
      <c r="H2125" s="9"/>
      <c r="I2125" s="8"/>
      <c r="J2125" s="8"/>
      <c r="K2125" s="8"/>
      <c r="L2125" s="8"/>
      <c r="M2125" s="8"/>
    </row>
    <row r="2126" spans="1:13">
      <c r="A2126" s="71" t="s">
        <v>4789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1773</v>
      </c>
      <c r="H2126" s="9"/>
      <c r="I2126" s="8"/>
      <c r="J2126" s="8"/>
      <c r="K2126" s="8"/>
      <c r="L2126" s="9" t="s">
        <v>1895</v>
      </c>
      <c r="M2126" s="8"/>
    </row>
    <row r="2127" spans="1:13">
      <c r="A2127" s="14" t="s">
        <v>4790</v>
      </c>
      <c r="B2127" s="67">
        <v>69813043504</v>
      </c>
      <c r="C2127" s="72" t="s">
        <v>4791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4792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4793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1773</v>
      </c>
      <c r="H2129" s="9"/>
      <c r="I2129" s="8"/>
      <c r="J2129" s="8"/>
      <c r="K2129" s="8"/>
      <c r="L2129" s="9" t="s">
        <v>1927</v>
      </c>
      <c r="M2129" s="8"/>
    </row>
    <row r="2130" spans="1:13">
      <c r="A2130" s="18" t="s">
        <v>4794</v>
      </c>
      <c r="B2130" s="67">
        <v>15800175845</v>
      </c>
      <c r="C2130" s="18" t="s">
        <v>4795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4796</v>
      </c>
      <c r="B2131" s="67">
        <v>13018290801</v>
      </c>
      <c r="C2131" s="72" t="s">
        <v>4797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4798</v>
      </c>
      <c r="B2132" s="67">
        <v>61505078318</v>
      </c>
      <c r="C2132" s="18" t="s">
        <v>4799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4800</v>
      </c>
      <c r="B2133" s="67">
        <v>6097323824</v>
      </c>
      <c r="C2133" s="72" t="s">
        <v>4801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4802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1773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4803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1773</v>
      </c>
      <c r="H2135" s="76">
        <v>43213</v>
      </c>
      <c r="I2135" s="8"/>
      <c r="J2135" s="8"/>
      <c r="K2135" s="8"/>
      <c r="L2135" s="9" t="s">
        <v>1895</v>
      </c>
      <c r="M2135" s="8"/>
    </row>
    <row r="2136" spans="1:13">
      <c r="A2136" s="71" t="s">
        <v>4804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1773</v>
      </c>
      <c r="H2136" s="76">
        <v>43213</v>
      </c>
      <c r="I2136" s="8"/>
      <c r="J2136" s="8"/>
      <c r="K2136" s="8"/>
      <c r="L2136" s="9" t="s">
        <v>1895</v>
      </c>
      <c r="M2136" s="8"/>
    </row>
    <row r="2137" spans="1:13">
      <c r="A2137" s="71" t="s">
        <v>4805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1773</v>
      </c>
      <c r="H2137" s="76">
        <v>43213</v>
      </c>
      <c r="I2137" s="8"/>
      <c r="J2137" s="8"/>
      <c r="K2137" s="8"/>
      <c r="L2137" s="9" t="s">
        <v>1895</v>
      </c>
      <c r="M2137" s="8"/>
    </row>
    <row r="2138" spans="1:13">
      <c r="A2138" s="71" t="s">
        <v>4806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4807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1773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4808</v>
      </c>
      <c r="B2140" s="67">
        <v>33005130819</v>
      </c>
      <c r="C2140" s="72" t="s">
        <v>4809</v>
      </c>
      <c r="D2140" s="69">
        <v>29843431820</v>
      </c>
      <c r="E2140" s="9">
        <v>117</v>
      </c>
      <c r="F2140" s="25">
        <v>43117</v>
      </c>
      <c r="G2140" s="70" t="s">
        <v>1773</v>
      </c>
      <c r="H2140" s="76">
        <v>43213</v>
      </c>
      <c r="I2140" s="8"/>
      <c r="J2140" s="8"/>
      <c r="K2140" s="8"/>
      <c r="L2140" s="9" t="s">
        <v>1927</v>
      </c>
      <c r="M2140" s="8"/>
    </row>
    <row r="2141" spans="1:13">
      <c r="A2141" s="71" t="s">
        <v>4810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1773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4811</v>
      </c>
      <c r="B2142" s="67">
        <v>42840674866</v>
      </c>
      <c r="C2142" s="72" t="s">
        <v>4812</v>
      </c>
      <c r="D2142" s="69">
        <v>33066015866</v>
      </c>
      <c r="E2142" s="9">
        <v>117</v>
      </c>
      <c r="F2142" s="25">
        <v>43117</v>
      </c>
      <c r="G2142" s="70" t="s">
        <v>1773</v>
      </c>
      <c r="H2142" s="9"/>
      <c r="I2142" s="8"/>
      <c r="J2142" s="8"/>
      <c r="K2142" s="8"/>
      <c r="L2142" s="9" t="s">
        <v>1927</v>
      </c>
      <c r="M2142" s="8"/>
    </row>
    <row r="2143" spans="1:13">
      <c r="A2143" s="71" t="s">
        <v>4813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4814</v>
      </c>
      <c r="B2144" s="67">
        <v>2312065851</v>
      </c>
      <c r="C2144" s="73" t="s">
        <v>4815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4816</v>
      </c>
      <c r="B2145" s="67">
        <v>48549010472</v>
      </c>
      <c r="C2145" s="72" t="s">
        <v>4817</v>
      </c>
      <c r="D2145" s="69">
        <v>7796014830</v>
      </c>
      <c r="E2145" s="9">
        <v>1267</v>
      </c>
      <c r="F2145" s="25">
        <v>42998</v>
      </c>
      <c r="G2145" s="70" t="s">
        <v>1773</v>
      </c>
      <c r="H2145" s="9"/>
      <c r="I2145" s="8"/>
      <c r="J2145" s="8"/>
      <c r="K2145" s="8"/>
      <c r="L2145" s="8"/>
      <c r="M2145" s="8"/>
    </row>
    <row r="2146" spans="1:13">
      <c r="A2146" s="29" t="s">
        <v>4818</v>
      </c>
      <c r="B2146" s="67"/>
      <c r="C2146" s="18" t="s">
        <v>1886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4818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4819</v>
      </c>
      <c r="B2148" s="67">
        <v>38348922890</v>
      </c>
      <c r="C2148" s="72" t="s">
        <v>4820</v>
      </c>
      <c r="D2148" s="69">
        <v>22580367802</v>
      </c>
      <c r="E2148" s="9">
        <v>810</v>
      </c>
      <c r="F2148" s="25">
        <v>42915</v>
      </c>
      <c r="G2148" s="70" t="s">
        <v>1773</v>
      </c>
      <c r="H2148" s="9"/>
      <c r="I2148" s="8"/>
      <c r="J2148" s="8"/>
      <c r="K2148" s="8"/>
      <c r="L2148" s="9" t="s">
        <v>1895</v>
      </c>
      <c r="M2148" s="8"/>
    </row>
    <row r="2149" spans="1:13">
      <c r="A2149" s="72" t="s">
        <v>4821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1773</v>
      </c>
      <c r="H2149" s="9"/>
      <c r="I2149" s="8"/>
      <c r="J2149" s="8"/>
      <c r="K2149" s="8"/>
      <c r="L2149" s="9" t="s">
        <v>1927</v>
      </c>
      <c r="M2149" s="8"/>
    </row>
    <row r="2150" spans="1:13">
      <c r="A2150" s="71" t="s">
        <v>4822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4823</v>
      </c>
      <c r="B2151" s="67">
        <v>36691354800</v>
      </c>
      <c r="C2151" s="72" t="s">
        <v>4824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4825</v>
      </c>
      <c r="B2152" s="67">
        <v>2599679559</v>
      </c>
      <c r="C2152" s="72" t="s">
        <v>4826</v>
      </c>
      <c r="D2152" s="69">
        <v>99002051549</v>
      </c>
      <c r="E2152" s="9">
        <v>1824</v>
      </c>
      <c r="F2152" s="25">
        <v>43091</v>
      </c>
      <c r="G2152" s="70" t="s">
        <v>1787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4827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4828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1773</v>
      </c>
      <c r="H2154" s="9"/>
      <c r="I2154" s="8"/>
      <c r="J2154" s="8"/>
      <c r="K2154" s="8"/>
      <c r="L2154" s="8"/>
      <c r="M2154" s="8"/>
    </row>
    <row r="2155" spans="1:13">
      <c r="A2155" s="15" t="s">
        <v>4829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1773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4830</v>
      </c>
      <c r="B2156" s="67">
        <v>94813078591</v>
      </c>
      <c r="C2156" s="18" t="s">
        <v>4831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4832</v>
      </c>
      <c r="B2157" s="67">
        <v>6522038846</v>
      </c>
      <c r="C2157" s="72" t="s">
        <v>4833</v>
      </c>
      <c r="D2157" s="69">
        <v>390582808</v>
      </c>
      <c r="E2157" s="9">
        <v>292</v>
      </c>
      <c r="F2157" s="25">
        <v>43168</v>
      </c>
      <c r="G2157" s="70" t="s">
        <v>1773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4834</v>
      </c>
      <c r="B2158" s="67">
        <v>70986847402</v>
      </c>
      <c r="C2158" s="72" t="s">
        <v>4835</v>
      </c>
      <c r="D2158" s="69">
        <v>39640099899</v>
      </c>
      <c r="E2158" s="9">
        <v>229</v>
      </c>
      <c r="F2158" s="25">
        <v>43151</v>
      </c>
      <c r="G2158" s="70" t="s">
        <v>1773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4836</v>
      </c>
      <c r="B2159" s="67">
        <v>37737032878</v>
      </c>
      <c r="C2159" s="72" t="s">
        <v>4837</v>
      </c>
      <c r="D2159" s="69">
        <v>24659778819</v>
      </c>
      <c r="E2159" s="9">
        <v>1417</v>
      </c>
      <c r="F2159" s="25">
        <v>43017</v>
      </c>
      <c r="G2159" s="70" t="s">
        <v>1779</v>
      </c>
      <c r="H2159" s="9"/>
      <c r="I2159" s="8"/>
      <c r="J2159" s="8"/>
      <c r="K2159" s="8"/>
      <c r="L2159" s="9" t="s">
        <v>2010</v>
      </c>
      <c r="M2159" s="8"/>
    </row>
    <row r="2160" spans="1:13">
      <c r="A2160" s="71" t="s">
        <v>4838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4839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1773</v>
      </c>
      <c r="H2161" s="9"/>
      <c r="I2161" s="8"/>
      <c r="J2161" s="8"/>
      <c r="K2161" s="8"/>
      <c r="L2161" s="8"/>
      <c r="M2161" s="8"/>
    </row>
    <row r="2162" spans="1:13">
      <c r="A2162" s="73" t="s">
        <v>4840</v>
      </c>
      <c r="B2162" s="67">
        <v>15716959822</v>
      </c>
      <c r="C2162" s="72" t="s">
        <v>4841</v>
      </c>
      <c r="D2162" s="69">
        <v>10451985877</v>
      </c>
      <c r="E2162" s="9">
        <v>262</v>
      </c>
      <c r="F2162" s="25">
        <v>43160</v>
      </c>
      <c r="G2162" s="70" t="s">
        <v>1773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4842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4843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1773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4844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1773</v>
      </c>
      <c r="H2165" s="9"/>
      <c r="I2165" s="8"/>
      <c r="J2165" s="8"/>
      <c r="K2165" s="8"/>
      <c r="L2165" s="8"/>
      <c r="M2165" s="8"/>
    </row>
    <row r="2166" spans="1:13">
      <c r="A2166" s="71" t="s">
        <v>4845</v>
      </c>
      <c r="B2166" s="67">
        <v>32241408875</v>
      </c>
      <c r="C2166" s="72" t="s">
        <v>4846</v>
      </c>
      <c r="D2166" s="69">
        <v>7164250413</v>
      </c>
      <c r="E2166" s="9">
        <v>1824</v>
      </c>
      <c r="F2166" s="25">
        <v>43091</v>
      </c>
      <c r="G2166" s="70" t="s">
        <v>1773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4847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1773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4848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1773</v>
      </c>
      <c r="H2168" s="9"/>
      <c r="I2168" s="8"/>
      <c r="J2168" s="8"/>
      <c r="K2168" s="8"/>
      <c r="L2168" s="8"/>
      <c r="M2168" s="8"/>
    </row>
    <row r="2169" spans="1:13">
      <c r="A2169" s="72" t="s">
        <v>4849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4850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4851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1773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4852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1773</v>
      </c>
      <c r="H2172" s="9"/>
      <c r="I2172" s="8"/>
      <c r="J2172" s="8"/>
      <c r="K2172" s="8"/>
      <c r="L2172" s="9" t="s">
        <v>2010</v>
      </c>
      <c r="M2172" s="8"/>
    </row>
    <row r="2173" spans="1:13">
      <c r="A2173" s="71" t="s">
        <v>4853</v>
      </c>
      <c r="B2173" s="67">
        <v>8983229870</v>
      </c>
      <c r="C2173" s="72" t="s">
        <v>4854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4855</v>
      </c>
      <c r="B2174" s="67">
        <v>9269199894</v>
      </c>
      <c r="C2174" s="72" t="s">
        <v>4856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4857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1773</v>
      </c>
      <c r="H2175" s="9"/>
      <c r="I2175" s="8"/>
      <c r="J2175" s="8"/>
      <c r="K2175" s="8"/>
      <c r="L2175" s="8"/>
      <c r="M2175" s="8"/>
    </row>
    <row r="2176" spans="1:13">
      <c r="A2176" s="13" t="s">
        <v>4858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1773</v>
      </c>
      <c r="H2176" s="9"/>
      <c r="I2176" s="8"/>
      <c r="J2176" s="8"/>
      <c r="K2176" s="8"/>
      <c r="L2176" s="8"/>
      <c r="M2176" s="8"/>
    </row>
    <row r="2177" spans="1:13">
      <c r="A2177" s="71" t="s">
        <v>4859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1773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4860</v>
      </c>
      <c r="B2178" s="67">
        <v>34641758808</v>
      </c>
      <c r="C2178" s="72" t="s">
        <v>4861</v>
      </c>
      <c r="D2178" s="69">
        <v>30083315802</v>
      </c>
      <c r="E2178" s="9">
        <v>810</v>
      </c>
      <c r="F2178" s="25">
        <v>42915</v>
      </c>
      <c r="G2178" s="70" t="s">
        <v>1773</v>
      </c>
      <c r="H2178" s="9"/>
      <c r="I2178" s="8"/>
      <c r="J2178" s="8"/>
      <c r="K2178" s="8"/>
      <c r="L2178" s="9" t="s">
        <v>1895</v>
      </c>
      <c r="M2178" s="8"/>
    </row>
    <row r="2179" spans="1:13">
      <c r="A2179" s="71" t="s">
        <v>4862</v>
      </c>
      <c r="B2179" s="67">
        <v>1335459383</v>
      </c>
      <c r="C2179" s="71" t="s">
        <v>4863</v>
      </c>
      <c r="D2179" s="69">
        <v>2369426381</v>
      </c>
      <c r="E2179" s="9">
        <v>292</v>
      </c>
      <c r="F2179" s="25">
        <v>43168</v>
      </c>
      <c r="G2179" s="70" t="s">
        <v>1773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4864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1773</v>
      </c>
      <c r="H2180" s="9"/>
      <c r="I2180" s="8"/>
      <c r="J2180" s="8"/>
      <c r="K2180" s="8"/>
      <c r="L2180" s="9" t="s">
        <v>1927</v>
      </c>
      <c r="M2180" s="8"/>
    </row>
    <row r="2181" spans="1:13">
      <c r="A2181" s="71" t="s">
        <v>4865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1773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4866</v>
      </c>
      <c r="B2182" s="67">
        <v>38248770826</v>
      </c>
      <c r="C2182" s="29" t="s">
        <v>4867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4868</v>
      </c>
      <c r="B2183" s="67">
        <v>32857847840</v>
      </c>
      <c r="C2183" s="72" t="s">
        <v>4869</v>
      </c>
      <c r="D2183" s="69">
        <v>33885204886</v>
      </c>
      <c r="E2183" s="9">
        <v>810</v>
      </c>
      <c r="F2183" s="25">
        <v>42915</v>
      </c>
      <c r="G2183" s="70" t="s">
        <v>1773</v>
      </c>
      <c r="H2183" s="9"/>
      <c r="I2183" s="8"/>
      <c r="J2183" s="8"/>
      <c r="K2183" s="8"/>
      <c r="L2183" s="9" t="s">
        <v>1895</v>
      </c>
      <c r="M2183" s="8"/>
    </row>
    <row r="2184" spans="1:13">
      <c r="A2184" s="14" t="s">
        <v>4870</v>
      </c>
      <c r="B2184" s="67">
        <v>25367069827</v>
      </c>
      <c r="C2184" s="72" t="s">
        <v>4871</v>
      </c>
      <c r="D2184" s="69">
        <v>28922275855</v>
      </c>
      <c r="E2184" s="9">
        <v>262</v>
      </c>
      <c r="F2184" s="25">
        <v>43160</v>
      </c>
      <c r="G2184" s="70" t="s">
        <v>1779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4872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1773</v>
      </c>
      <c r="H2185" s="9"/>
      <c r="I2185" s="8"/>
      <c r="J2185" s="8"/>
      <c r="K2185" s="8"/>
      <c r="L2185" s="9" t="s">
        <v>1927</v>
      </c>
      <c r="M2185" s="8"/>
    </row>
    <row r="2186" spans="1:13">
      <c r="A2186" s="71" t="s">
        <v>4873</v>
      </c>
      <c r="B2186" s="67">
        <v>29652533866</v>
      </c>
      <c r="C2186" s="72" t="s">
        <v>4874</v>
      </c>
      <c r="D2186" s="69">
        <v>21898199892</v>
      </c>
      <c r="E2186" s="9">
        <v>1752</v>
      </c>
      <c r="F2186" s="25">
        <v>43051</v>
      </c>
      <c r="G2186" s="70" t="s">
        <v>1773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4875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1773</v>
      </c>
      <c r="H2187" s="9"/>
      <c r="I2187" s="8"/>
      <c r="J2187" s="8"/>
      <c r="K2187" s="8"/>
      <c r="L2187" s="8"/>
      <c r="M2187" s="8"/>
    </row>
    <row r="2188" spans="1:13">
      <c r="A2188" s="14" t="s">
        <v>4876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1773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4877</v>
      </c>
      <c r="B2189" s="67">
        <v>34777966836</v>
      </c>
      <c r="C2189" s="72" t="s">
        <v>4878</v>
      </c>
      <c r="D2189" s="69">
        <v>33600648870</v>
      </c>
      <c r="E2189" s="9">
        <v>117</v>
      </c>
      <c r="F2189" s="25">
        <v>43117</v>
      </c>
      <c r="G2189" s="70" t="s">
        <v>1773</v>
      </c>
      <c r="H2189" s="9"/>
      <c r="I2189" s="8"/>
      <c r="J2189" s="8"/>
      <c r="K2189" s="8"/>
      <c r="L2189" s="9" t="s">
        <v>1927</v>
      </c>
      <c r="M2189" s="8"/>
    </row>
    <row r="2190" spans="1:13">
      <c r="A2190" s="29" t="s">
        <v>4879</v>
      </c>
      <c r="B2190" s="67"/>
      <c r="C2190" s="29" t="s">
        <v>4880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4881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1773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4882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4883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1773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4884</v>
      </c>
      <c r="B2194" s="67">
        <v>27082581840</v>
      </c>
      <c r="C2194" s="77" t="s">
        <v>4885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4886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4887</v>
      </c>
      <c r="B2196" s="67">
        <v>40878539859</v>
      </c>
      <c r="C2196" s="72" t="s">
        <v>4888</v>
      </c>
      <c r="D2196" s="69"/>
      <c r="E2196" s="9">
        <v>1489</v>
      </c>
      <c r="F2196" s="25">
        <v>43038</v>
      </c>
      <c r="G2196" s="70" t="s">
        <v>1773</v>
      </c>
      <c r="H2196" s="9"/>
      <c r="I2196" s="8"/>
      <c r="J2196" s="8"/>
      <c r="K2196" s="8"/>
      <c r="L2196" s="9" t="s">
        <v>1917</v>
      </c>
      <c r="M2196" s="8"/>
    </row>
    <row r="2197" spans="1:13">
      <c r="A2197" s="71" t="s">
        <v>4889</v>
      </c>
      <c r="B2197" s="67">
        <v>35643661802</v>
      </c>
      <c r="C2197" s="68" t="s">
        <v>4890</v>
      </c>
      <c r="D2197" s="69">
        <v>34613571898</v>
      </c>
      <c r="E2197" s="9">
        <v>1128</v>
      </c>
      <c r="F2197" s="25">
        <v>42972</v>
      </c>
      <c r="G2197" s="70" t="s">
        <v>1773</v>
      </c>
      <c r="H2197" s="9"/>
      <c r="I2197" s="8"/>
      <c r="J2197" s="8"/>
      <c r="K2197" s="8"/>
      <c r="L2197" s="8"/>
      <c r="M2197" s="8"/>
    </row>
    <row r="2198" spans="1:13">
      <c r="A2198" s="29" t="s">
        <v>4891</v>
      </c>
      <c r="B2198" s="67">
        <v>89251660549</v>
      </c>
      <c r="C2198" s="18" t="s">
        <v>1886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4892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1773</v>
      </c>
      <c r="H2199" s="9"/>
      <c r="I2199" s="8"/>
      <c r="J2199" s="8"/>
      <c r="K2199" s="8"/>
      <c r="L2199" s="8"/>
      <c r="M2199" s="8"/>
    </row>
    <row r="2200" spans="1:13">
      <c r="A2200" s="13" t="s">
        <v>4893</v>
      </c>
      <c r="B2200" s="67">
        <v>28280731814</v>
      </c>
      <c r="C2200" s="68" t="s">
        <v>4894</v>
      </c>
      <c r="D2200" s="69">
        <v>36523032884</v>
      </c>
      <c r="E2200" s="9">
        <v>1128</v>
      </c>
      <c r="F2200" s="25">
        <v>42972</v>
      </c>
      <c r="G2200" s="70" t="s">
        <v>1773</v>
      </c>
      <c r="H2200" s="9"/>
      <c r="I2200" s="8"/>
      <c r="J2200" s="8"/>
      <c r="K2200" s="8"/>
      <c r="L2200" s="8"/>
      <c r="M2200" s="8"/>
    </row>
    <row r="2201" spans="1:13">
      <c r="A2201" s="71" t="s">
        <v>4895</v>
      </c>
      <c r="B2201" s="67">
        <v>12525223802</v>
      </c>
      <c r="C2201" s="68" t="s">
        <v>4896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4897</v>
      </c>
      <c r="B2202" s="67">
        <v>37014825860</v>
      </c>
      <c r="C2202" s="72" t="s">
        <v>4898</v>
      </c>
      <c r="D2202" s="69">
        <v>38869051870</v>
      </c>
      <c r="E2202" s="9">
        <v>1752</v>
      </c>
      <c r="F2202" s="25">
        <v>43051</v>
      </c>
      <c r="G2202" s="70" t="s">
        <v>1773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4899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1773</v>
      </c>
      <c r="H2203" s="9"/>
      <c r="I2203" s="8"/>
      <c r="J2203" s="8"/>
      <c r="K2203" s="8"/>
      <c r="L2203" s="8"/>
      <c r="M2203" s="8"/>
    </row>
    <row r="2204" spans="1:13">
      <c r="A2204" s="71" t="s">
        <v>4900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1773</v>
      </c>
      <c r="H2204" s="9"/>
      <c r="I2204" s="8"/>
      <c r="J2204" s="8"/>
      <c r="K2204" s="8"/>
      <c r="L2204" s="8"/>
      <c r="M2204" s="8"/>
    </row>
    <row r="2205" spans="1:13">
      <c r="A2205" s="71" t="s">
        <v>4901</v>
      </c>
      <c r="B2205" s="67">
        <v>15095801825</v>
      </c>
      <c r="C2205" s="72" t="s">
        <v>4902</v>
      </c>
      <c r="D2205" s="69">
        <v>16417229831</v>
      </c>
      <c r="E2205" s="9">
        <v>85</v>
      </c>
      <c r="F2205" s="25">
        <v>43109</v>
      </c>
      <c r="G2205" s="70" t="s">
        <v>1773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4903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4904</v>
      </c>
      <c r="B2207" s="67">
        <v>58037845249</v>
      </c>
      <c r="C2207" s="72" t="s">
        <v>4905</v>
      </c>
      <c r="D2207" s="69">
        <v>496500333</v>
      </c>
      <c r="E2207" s="9">
        <v>117</v>
      </c>
      <c r="F2207" s="25">
        <v>43117</v>
      </c>
      <c r="G2207" s="70" t="s">
        <v>1773</v>
      </c>
      <c r="H2207" s="9"/>
      <c r="I2207" s="8"/>
      <c r="J2207" s="8"/>
      <c r="K2207" s="8"/>
      <c r="L2207" s="9" t="s">
        <v>1927</v>
      </c>
      <c r="M2207" s="8"/>
    </row>
    <row r="2208" spans="1:13">
      <c r="A2208" s="84" t="s">
        <v>4906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4907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4908</v>
      </c>
      <c r="B2210" s="67">
        <v>4416847858</v>
      </c>
      <c r="C2210" s="72" t="s">
        <v>4909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4910</v>
      </c>
      <c r="B2211" s="67"/>
      <c r="C2211" s="18" t="s">
        <v>1886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4911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1773</v>
      </c>
      <c r="H2212" s="9"/>
      <c r="I2212" s="8"/>
      <c r="J2212" s="8"/>
      <c r="K2212" s="8"/>
      <c r="L2212" s="8"/>
      <c r="M2212" s="8"/>
    </row>
    <row r="2213" spans="1:13">
      <c r="A2213" s="71" t="s">
        <v>4912</v>
      </c>
      <c r="B2213" s="67">
        <v>35325197800</v>
      </c>
      <c r="C2213" s="72" t="s">
        <v>4913</v>
      </c>
      <c r="D2213" s="69">
        <v>38159378840</v>
      </c>
      <c r="E2213" s="9">
        <v>810</v>
      </c>
      <c r="F2213" s="25">
        <v>42915</v>
      </c>
      <c r="G2213" s="70" t="s">
        <v>1773</v>
      </c>
      <c r="H2213" s="9"/>
      <c r="I2213" s="8"/>
      <c r="J2213" s="8"/>
      <c r="K2213" s="8"/>
      <c r="L2213" s="9" t="s">
        <v>1895</v>
      </c>
      <c r="M2213" s="8"/>
    </row>
    <row r="2214" spans="1:13">
      <c r="A2214" s="71" t="s">
        <v>4914</v>
      </c>
      <c r="B2214" s="67">
        <v>37527821884</v>
      </c>
      <c r="C2214" s="72" t="s">
        <v>4915</v>
      </c>
      <c r="D2214" s="69">
        <v>69447810420</v>
      </c>
      <c r="E2214" s="9">
        <v>262</v>
      </c>
      <c r="F2214" s="25">
        <v>43160</v>
      </c>
      <c r="G2214" s="70" t="s">
        <v>1773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4916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1773</v>
      </c>
      <c r="H2215" s="9"/>
      <c r="I2215" s="8"/>
      <c r="J2215" s="8"/>
      <c r="K2215" s="8"/>
      <c r="L2215" s="9" t="s">
        <v>1927</v>
      </c>
      <c r="M2215" s="8"/>
    </row>
    <row r="2216" spans="1:13">
      <c r="A2216" s="15" t="s">
        <v>4917</v>
      </c>
      <c r="B2216" s="67">
        <v>85281050672</v>
      </c>
      <c r="C2216" s="72" t="s">
        <v>4918</v>
      </c>
      <c r="D2216" s="69">
        <v>5490696664</v>
      </c>
      <c r="E2216" s="9">
        <v>229</v>
      </c>
      <c r="F2216" s="25">
        <v>43151</v>
      </c>
      <c r="G2216" s="70" t="s">
        <v>1773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4919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1773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4920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1779</v>
      </c>
      <c r="H2218" s="9"/>
      <c r="I2218" s="8"/>
      <c r="J2218" s="8"/>
      <c r="K2218" s="8"/>
      <c r="L2218" s="9" t="s">
        <v>1927</v>
      </c>
      <c r="M2218" s="8"/>
    </row>
    <row r="2219" spans="1:13">
      <c r="A2219" s="71" t="s">
        <v>4921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4922</v>
      </c>
      <c r="B2220" s="67">
        <v>27851461820</v>
      </c>
      <c r="C2220" s="72" t="s">
        <v>4923</v>
      </c>
      <c r="D2220" s="69">
        <v>27264565882</v>
      </c>
      <c r="E2220" s="9">
        <v>117</v>
      </c>
      <c r="F2220" s="25">
        <v>43117</v>
      </c>
      <c r="G2220" s="70" t="s">
        <v>1773</v>
      </c>
      <c r="H2220" s="9"/>
      <c r="I2220" s="8"/>
      <c r="J2220" s="8"/>
      <c r="K2220" s="8"/>
      <c r="L2220" s="9" t="s">
        <v>1927</v>
      </c>
      <c r="M2220" s="8"/>
    </row>
    <row r="2221" spans="1:13">
      <c r="A2221" s="71" t="s">
        <v>4924</v>
      </c>
      <c r="B2221" s="67">
        <v>32960731832</v>
      </c>
      <c r="C2221" s="77" t="s">
        <v>4925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4926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4927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1773</v>
      </c>
      <c r="H2223" s="9"/>
      <c r="I2223" s="8"/>
      <c r="J2223" s="8"/>
      <c r="K2223" s="8"/>
      <c r="L2223" s="8"/>
      <c r="M2223" s="8"/>
    </row>
    <row r="2224" spans="1:13">
      <c r="A2224" s="71" t="s">
        <v>4928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1773</v>
      </c>
      <c r="H2224" s="9"/>
      <c r="I2224" s="8"/>
      <c r="J2224" s="8"/>
      <c r="K2224" s="8"/>
      <c r="L2224" s="9" t="s">
        <v>1917</v>
      </c>
      <c r="M2224" s="8"/>
    </row>
    <row r="2225" spans="1:13">
      <c r="A2225" s="71" t="s">
        <v>4929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1773</v>
      </c>
      <c r="H2225" s="9"/>
      <c r="I2225" s="8"/>
      <c r="J2225" s="8"/>
      <c r="K2225" s="8"/>
      <c r="L2225" s="8"/>
      <c r="M2225" s="8"/>
    </row>
    <row r="2226" spans="1:13">
      <c r="A2226" s="71" t="s">
        <v>4930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1773</v>
      </c>
      <c r="H2226" s="9"/>
      <c r="I2226" s="8"/>
      <c r="J2226" s="8"/>
      <c r="K2226" s="8"/>
      <c r="L2226" s="8"/>
      <c r="M2226" s="8"/>
    </row>
    <row r="2227" spans="1:13">
      <c r="A2227" s="29" t="s">
        <v>4931</v>
      </c>
      <c r="B2227" s="67"/>
      <c r="C2227" s="18" t="s">
        <v>1886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4932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1773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4933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1773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4934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4935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1773</v>
      </c>
      <c r="H2231" s="9"/>
      <c r="I2231" s="8"/>
      <c r="J2231" s="8"/>
      <c r="K2231" s="8"/>
      <c r="L2231" s="9" t="s">
        <v>1927</v>
      </c>
      <c r="M2231" s="8"/>
    </row>
    <row r="2232" spans="1:13">
      <c r="A2232" s="14" t="s">
        <v>4936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4937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1773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4938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4939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4940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4941</v>
      </c>
      <c r="B2237" s="67">
        <v>22548549844</v>
      </c>
      <c r="C2237" s="77" t="s">
        <v>4942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4943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1773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4944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1773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4945</v>
      </c>
      <c r="B2240" s="67">
        <v>27757716888</v>
      </c>
      <c r="C2240" s="77" t="s">
        <v>4946</v>
      </c>
      <c r="D2240" s="69" t="s">
        <v>4947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4948</v>
      </c>
      <c r="B2241" s="67">
        <v>30926413880</v>
      </c>
      <c r="C2241" s="72" t="s">
        <v>4949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2056</v>
      </c>
      <c r="M2241" s="8"/>
    </row>
    <row r="2242" spans="1:13">
      <c r="A2242" s="71" t="s">
        <v>4950</v>
      </c>
      <c r="B2242" s="67">
        <v>32954076810</v>
      </c>
      <c r="C2242" s="72" t="s">
        <v>4951</v>
      </c>
      <c r="D2242" s="69">
        <v>82353131468</v>
      </c>
      <c r="E2242" s="9">
        <v>292</v>
      </c>
      <c r="F2242" s="25">
        <v>43168</v>
      </c>
      <c r="G2242" s="70" t="s">
        <v>1773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4952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1779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4953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1773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4954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1773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4955</v>
      </c>
      <c r="B2246" s="67">
        <v>23171032805</v>
      </c>
      <c r="C2246" s="72" t="s">
        <v>4956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4957</v>
      </c>
      <c r="B2247" s="67">
        <v>33375182813</v>
      </c>
      <c r="C2247" s="75" t="s">
        <v>4958</v>
      </c>
      <c r="D2247" s="69">
        <v>30178836800</v>
      </c>
      <c r="E2247" s="9">
        <v>1106</v>
      </c>
      <c r="F2247" s="25">
        <v>42965</v>
      </c>
      <c r="G2247" s="70" t="s">
        <v>1773</v>
      </c>
      <c r="H2247" s="9"/>
      <c r="I2247" s="8"/>
      <c r="J2247" s="8"/>
      <c r="K2247" s="8"/>
      <c r="L2247" s="8"/>
      <c r="M2247" s="8"/>
    </row>
    <row r="2248" spans="1:13">
      <c r="A2248" s="71" t="s">
        <v>4959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1773</v>
      </c>
      <c r="H2248" s="9"/>
      <c r="I2248" s="8"/>
      <c r="J2248" s="8"/>
      <c r="K2248" s="8"/>
      <c r="L2248" s="8"/>
      <c r="M2248" s="8"/>
    </row>
    <row r="2249" spans="1:13">
      <c r="A2249" s="71" t="s">
        <v>4960</v>
      </c>
      <c r="B2249" s="67">
        <v>15712243865</v>
      </c>
      <c r="C2249" s="72" t="s">
        <v>4961</v>
      </c>
      <c r="D2249" s="69">
        <v>501095705</v>
      </c>
      <c r="E2249" s="9">
        <v>1752</v>
      </c>
      <c r="F2249" s="25">
        <v>43051</v>
      </c>
      <c r="G2249" s="70" t="s">
        <v>1773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4962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1773</v>
      </c>
      <c r="H2250" s="9"/>
      <c r="I2250" s="8"/>
      <c r="J2250" s="8"/>
      <c r="K2250" s="8"/>
      <c r="L2250" s="9" t="s">
        <v>1895</v>
      </c>
      <c r="M2250" s="8"/>
    </row>
    <row r="2251" spans="1:13">
      <c r="A2251" s="15" t="s">
        <v>4963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1773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4964</v>
      </c>
      <c r="B2252" s="67">
        <v>22403927899</v>
      </c>
      <c r="C2252" s="72" t="s">
        <v>4965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4966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1773</v>
      </c>
      <c r="H2253" s="9"/>
      <c r="I2253" s="8"/>
      <c r="J2253" s="8"/>
      <c r="K2253" s="8"/>
      <c r="L2253" s="9" t="s">
        <v>1927</v>
      </c>
      <c r="M2253" s="8"/>
    </row>
    <row r="2254" spans="1:13">
      <c r="A2254" s="14" t="s">
        <v>4967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4968</v>
      </c>
      <c r="B2255" s="67">
        <v>32624504800</v>
      </c>
      <c r="C2255" s="72" t="s">
        <v>4969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4970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1773</v>
      </c>
      <c r="H2256" s="9"/>
      <c r="I2256" s="8"/>
      <c r="J2256" s="8"/>
      <c r="K2256" s="8"/>
      <c r="L2256" s="8"/>
      <c r="M2256" s="8"/>
    </row>
    <row r="2257" spans="1:13">
      <c r="A2257" s="71" t="s">
        <v>4971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1779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4972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4973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1773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4974</v>
      </c>
      <c r="B2260" s="67">
        <v>14688456832</v>
      </c>
      <c r="C2260" s="72" t="s">
        <v>4975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4976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1773</v>
      </c>
      <c r="H2261" s="9"/>
      <c r="I2261" s="8"/>
      <c r="J2261" s="8"/>
      <c r="K2261" s="8"/>
      <c r="L2261" s="8"/>
      <c r="M2261" s="8"/>
    </row>
    <row r="2262" spans="1:13">
      <c r="A2262" s="71" t="s">
        <v>4977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1773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4978</v>
      </c>
      <c r="B2263" s="67">
        <v>38726646897</v>
      </c>
      <c r="C2263" s="18" t="s">
        <v>4979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4980</v>
      </c>
      <c r="B2264" s="67">
        <v>45171952876</v>
      </c>
      <c r="C2264" s="29" t="s">
        <v>4981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4982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1773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4983</v>
      </c>
      <c r="B2266" s="67">
        <v>36695082871</v>
      </c>
      <c r="C2266" s="72" t="s">
        <v>4984</v>
      </c>
      <c r="D2266" s="69">
        <v>36736721857</v>
      </c>
      <c r="E2266" s="9">
        <v>1241</v>
      </c>
      <c r="F2266" s="25">
        <v>42992</v>
      </c>
      <c r="G2266" s="70" t="s">
        <v>1773</v>
      </c>
      <c r="H2266" s="9"/>
      <c r="I2266" s="8"/>
      <c r="J2266" s="8"/>
      <c r="K2266" s="8"/>
      <c r="L2266" s="8"/>
      <c r="M2266" s="8"/>
    </row>
    <row r="2267" spans="1:13">
      <c r="A2267" s="13" t="s">
        <v>4985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4986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4987</v>
      </c>
      <c r="B2269" s="67">
        <v>42141950864</v>
      </c>
      <c r="C2269" s="72" t="s">
        <v>4988</v>
      </c>
      <c r="D2269" s="69"/>
      <c r="E2269" s="9">
        <v>1214</v>
      </c>
      <c r="F2269" s="25">
        <v>42989</v>
      </c>
      <c r="G2269" s="70" t="s">
        <v>1773</v>
      </c>
      <c r="H2269" s="9"/>
      <c r="I2269" s="8"/>
      <c r="J2269" s="8"/>
      <c r="K2269" s="8"/>
      <c r="L2269" s="8"/>
      <c r="M2269" s="8"/>
    </row>
    <row r="2270" spans="1:13">
      <c r="A2270" s="15" t="s">
        <v>4989</v>
      </c>
      <c r="B2270" s="67">
        <v>47270275858</v>
      </c>
      <c r="C2270" s="72" t="s">
        <v>4990</v>
      </c>
      <c r="D2270" s="69">
        <v>34861975840</v>
      </c>
      <c r="E2270" s="9">
        <v>1824</v>
      </c>
      <c r="F2270" s="25">
        <v>43091</v>
      </c>
      <c r="G2270" s="70" t="s">
        <v>1773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4991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1773</v>
      </c>
      <c r="H2271" s="9"/>
      <c r="I2271" s="8"/>
      <c r="J2271" s="8"/>
      <c r="K2271" s="8"/>
      <c r="L2271" s="9" t="s">
        <v>1927</v>
      </c>
      <c r="M2271" s="8"/>
    </row>
    <row r="2272" spans="1:13">
      <c r="A2272" s="29" t="s">
        <v>4992</v>
      </c>
      <c r="B2272" s="67">
        <v>22899917838</v>
      </c>
      <c r="C2272" s="18" t="s">
        <v>1886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4993</v>
      </c>
      <c r="B2273" s="67"/>
      <c r="C2273" s="29" t="s">
        <v>1886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4994</v>
      </c>
      <c r="B2274" s="67">
        <v>45477385804</v>
      </c>
      <c r="C2274" s="72" t="s">
        <v>4995</v>
      </c>
      <c r="D2274" s="69">
        <v>40972166866</v>
      </c>
      <c r="E2274" s="9">
        <v>1417</v>
      </c>
      <c r="F2274" s="25">
        <v>43017</v>
      </c>
      <c r="G2274" s="70" t="s">
        <v>1773</v>
      </c>
      <c r="H2274" s="9"/>
      <c r="I2274" s="8"/>
      <c r="J2274" s="8"/>
      <c r="K2274" s="8"/>
      <c r="L2274" s="9" t="s">
        <v>2010</v>
      </c>
      <c r="M2274" s="8"/>
    </row>
    <row r="2275" spans="1:13">
      <c r="A2275" s="71" t="s">
        <v>4996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1773</v>
      </c>
      <c r="H2275" s="9"/>
      <c r="I2275" s="8"/>
      <c r="J2275" s="8"/>
      <c r="K2275" s="8"/>
      <c r="L2275" s="8"/>
      <c r="M2275" s="8"/>
    </row>
    <row r="2276" spans="1:13">
      <c r="A2276" s="29" t="s">
        <v>4997</v>
      </c>
      <c r="B2276" s="67"/>
      <c r="C2276" s="29" t="s">
        <v>4998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4999</v>
      </c>
      <c r="B2277" s="67">
        <v>8990461855</v>
      </c>
      <c r="C2277" s="15" t="s">
        <v>4838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5000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5001</v>
      </c>
      <c r="B2279" s="67"/>
      <c r="C2279" s="29" t="s">
        <v>5002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5003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1773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5004</v>
      </c>
      <c r="B2281" s="67">
        <v>38917984827</v>
      </c>
      <c r="C2281" s="72" t="s">
        <v>5005</v>
      </c>
      <c r="D2281" s="69">
        <v>42231603896</v>
      </c>
      <c r="E2281" s="9">
        <v>229</v>
      </c>
      <c r="F2281" s="25">
        <v>43151</v>
      </c>
      <c r="G2281" s="70" t="s">
        <v>1773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5006</v>
      </c>
      <c r="B2282" s="67">
        <v>37870673889</v>
      </c>
      <c r="C2282" s="72" t="s">
        <v>5007</v>
      </c>
      <c r="D2282" s="69">
        <v>2786569516</v>
      </c>
      <c r="E2282" s="9">
        <v>262</v>
      </c>
      <c r="F2282" s="25">
        <v>43160</v>
      </c>
      <c r="G2282" s="70" t="s">
        <v>1773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5008</v>
      </c>
      <c r="B2283" s="67">
        <v>10441616801</v>
      </c>
      <c r="C2283" s="72" t="s">
        <v>5009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5010</v>
      </c>
      <c r="B2284" s="67">
        <v>11702039811</v>
      </c>
      <c r="C2284" s="32" t="s">
        <v>5011</v>
      </c>
      <c r="D2284" s="69">
        <v>14689396884</v>
      </c>
      <c r="E2284" s="9">
        <v>1350</v>
      </c>
      <c r="F2284" s="25">
        <v>43006</v>
      </c>
      <c r="G2284" s="70" t="s">
        <v>1773</v>
      </c>
      <c r="H2284" s="9"/>
      <c r="I2284" s="8"/>
      <c r="J2284" s="8"/>
      <c r="K2284" s="8"/>
      <c r="L2284" s="8"/>
      <c r="M2284" s="8"/>
    </row>
    <row r="2285" spans="1:13">
      <c r="A2285" s="15" t="s">
        <v>5012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1773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5013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5014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5015</v>
      </c>
      <c r="B2288" s="67">
        <v>46959766842</v>
      </c>
      <c r="C2288" s="72" t="s">
        <v>5016</v>
      </c>
      <c r="D2288" s="69">
        <v>40096022876</v>
      </c>
      <c r="E2288" s="9">
        <v>1350</v>
      </c>
      <c r="F2288" s="25">
        <v>43006</v>
      </c>
      <c r="G2288" s="70" t="s">
        <v>1773</v>
      </c>
      <c r="H2288" s="9"/>
      <c r="I2288" s="8"/>
      <c r="J2288" s="8"/>
      <c r="K2288" s="8"/>
      <c r="L2288" s="8"/>
      <c r="M2288" s="8"/>
    </row>
    <row r="2289" spans="1:13">
      <c r="A2289" s="71" t="s">
        <v>5017</v>
      </c>
      <c r="B2289" s="67">
        <v>15147799869</v>
      </c>
      <c r="C2289" s="72" t="s">
        <v>5018</v>
      </c>
      <c r="D2289" s="69">
        <v>18304595893</v>
      </c>
      <c r="E2289" s="9">
        <v>1824</v>
      </c>
      <c r="F2289" s="25">
        <v>43091</v>
      </c>
      <c r="G2289" s="70" t="s">
        <v>1773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5019</v>
      </c>
      <c r="B2290" s="67">
        <v>29012884802</v>
      </c>
      <c r="C2290" s="72" t="s">
        <v>5020</v>
      </c>
      <c r="D2290" s="69">
        <v>16761377854</v>
      </c>
      <c r="E2290" s="9">
        <v>85</v>
      </c>
      <c r="F2290" s="25">
        <v>43109</v>
      </c>
      <c r="G2290" s="70" t="s">
        <v>1773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5021</v>
      </c>
      <c r="B2291" s="67">
        <v>13009518854</v>
      </c>
      <c r="C2291" s="72" t="s">
        <v>5022</v>
      </c>
      <c r="D2291" s="69">
        <v>59636467749</v>
      </c>
      <c r="E2291" s="9">
        <v>1267</v>
      </c>
      <c r="F2291" s="25">
        <v>42998</v>
      </c>
      <c r="G2291" s="70" t="s">
        <v>1787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5023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5024</v>
      </c>
      <c r="B2293" s="67">
        <v>38605259809</v>
      </c>
      <c r="C2293" s="72" t="s">
        <v>5025</v>
      </c>
      <c r="D2293" s="69">
        <v>1090388519</v>
      </c>
      <c r="E2293" s="9">
        <v>117</v>
      </c>
      <c r="F2293" s="25">
        <v>43117</v>
      </c>
      <c r="G2293" s="70" t="s">
        <v>1773</v>
      </c>
      <c r="H2293" s="9"/>
      <c r="I2293" s="8"/>
      <c r="J2293" s="8"/>
      <c r="K2293" s="8"/>
      <c r="L2293" s="9" t="s">
        <v>1927</v>
      </c>
      <c r="M2293" s="8"/>
    </row>
    <row r="2294" spans="1:13">
      <c r="A2294" s="15" t="s">
        <v>5026</v>
      </c>
      <c r="B2294" s="67">
        <v>9333321810</v>
      </c>
      <c r="C2294" s="72" t="s">
        <v>5027</v>
      </c>
      <c r="D2294" s="69">
        <v>16122645818</v>
      </c>
      <c r="E2294" s="9">
        <v>117</v>
      </c>
      <c r="F2294" s="25">
        <v>43117</v>
      </c>
      <c r="G2294" s="70" t="s">
        <v>1773</v>
      </c>
      <c r="H2294" s="9"/>
      <c r="I2294" s="8"/>
      <c r="J2294" s="8"/>
      <c r="K2294" s="8"/>
      <c r="L2294" s="9" t="s">
        <v>1927</v>
      </c>
      <c r="M2294" s="8"/>
    </row>
    <row r="2295" spans="1:13">
      <c r="A2295" s="71" t="s">
        <v>5028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1773</v>
      </c>
      <c r="H2295" s="9"/>
      <c r="I2295" s="8"/>
      <c r="J2295" s="8"/>
      <c r="K2295" s="8"/>
      <c r="L2295" s="9" t="s">
        <v>1895</v>
      </c>
      <c r="M2295" s="8"/>
    </row>
    <row r="2296" spans="1:13">
      <c r="A2296" s="71" t="s">
        <v>5029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5030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5031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5032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5033</v>
      </c>
      <c r="B2300" s="67">
        <v>35810601839</v>
      </c>
      <c r="C2300" s="18" t="s">
        <v>5034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5035</v>
      </c>
      <c r="B2301" s="67">
        <v>32203433841</v>
      </c>
      <c r="C2301" s="72" t="s">
        <v>5036</v>
      </c>
      <c r="D2301" s="69">
        <v>36256617890</v>
      </c>
      <c r="E2301" s="9">
        <v>810</v>
      </c>
      <c r="F2301" s="25">
        <v>42915</v>
      </c>
      <c r="G2301" s="70" t="s">
        <v>1773</v>
      </c>
      <c r="H2301" s="9"/>
      <c r="I2301" s="8"/>
      <c r="J2301" s="8"/>
      <c r="K2301" s="8"/>
      <c r="L2301" s="9" t="s">
        <v>1895</v>
      </c>
      <c r="M2301" s="8"/>
    </row>
    <row r="2302" spans="1:13">
      <c r="A2302" s="72" t="s">
        <v>5037</v>
      </c>
      <c r="B2302" s="67">
        <v>29816586894</v>
      </c>
      <c r="C2302" s="72" t="s">
        <v>5038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5039</v>
      </c>
      <c r="B2303" s="67">
        <v>3087797545</v>
      </c>
      <c r="C2303" s="71" t="s">
        <v>5040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5041</v>
      </c>
      <c r="B2304" s="67">
        <v>44135110851</v>
      </c>
      <c r="C2304" s="18" t="s">
        <v>5042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5043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1773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5044</v>
      </c>
      <c r="B2306" s="67">
        <v>5416929847</v>
      </c>
      <c r="C2306" s="72" t="s">
        <v>5045</v>
      </c>
      <c r="D2306" s="69">
        <v>69220670887</v>
      </c>
      <c r="E2306" s="9">
        <v>292</v>
      </c>
      <c r="F2306" s="25">
        <v>43168</v>
      </c>
      <c r="G2306" s="70" t="s">
        <v>1779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5046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1773</v>
      </c>
      <c r="H2307" s="70"/>
      <c r="I2307" s="8"/>
      <c r="J2307" s="8"/>
      <c r="K2307" s="8"/>
      <c r="L2307" s="8"/>
      <c r="M2307" s="8"/>
    </row>
    <row r="2308" spans="1:13">
      <c r="A2308" s="71" t="s">
        <v>5047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5048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1773</v>
      </c>
      <c r="H2309" s="70"/>
      <c r="I2309" s="8"/>
      <c r="J2309" s="8"/>
      <c r="K2309" s="8"/>
      <c r="L2309" s="9" t="s">
        <v>2010</v>
      </c>
      <c r="M2309" s="8"/>
    </row>
    <row r="2310" spans="1:13">
      <c r="A2310" s="71" t="s">
        <v>5049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1773</v>
      </c>
      <c r="H2310" s="70"/>
      <c r="I2310" s="8"/>
      <c r="J2310" s="8"/>
      <c r="K2310" s="8"/>
      <c r="L2310" s="8"/>
      <c r="M2310" s="8"/>
    </row>
    <row r="2311" spans="1:13">
      <c r="A2311" s="71" t="s">
        <v>5050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5051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1773</v>
      </c>
      <c r="H2312" s="70"/>
      <c r="I2312" s="8"/>
      <c r="J2312" s="8"/>
      <c r="K2312" s="8"/>
      <c r="L2312" s="8"/>
      <c r="M2312" s="8"/>
    </row>
    <row r="2313" spans="1:13">
      <c r="A2313" s="71" t="s">
        <v>5052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1773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5053</v>
      </c>
      <c r="B2314" s="67">
        <v>60363616373</v>
      </c>
      <c r="C2314" s="72" t="s">
        <v>5054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5055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1773</v>
      </c>
      <c r="H2315" s="70"/>
      <c r="I2315" s="8"/>
      <c r="J2315" s="8"/>
      <c r="K2315" s="8"/>
      <c r="L2315" s="8"/>
      <c r="M2315" s="8"/>
    </row>
    <row r="2316" spans="1:13">
      <c r="A2316" s="29" t="s">
        <v>5056</v>
      </c>
      <c r="B2316" s="67">
        <v>6780677833</v>
      </c>
      <c r="C2316" s="29" t="s">
        <v>5057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5058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5059</v>
      </c>
      <c r="B2318" s="67"/>
      <c r="C2318" s="29" t="s">
        <v>1886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5060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5061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5062</v>
      </c>
      <c r="B2321" s="67"/>
      <c r="C2321" s="18" t="s">
        <v>5063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5064</v>
      </c>
      <c r="B2322" s="67">
        <v>47104776800</v>
      </c>
      <c r="C2322" s="72" t="s">
        <v>5065</v>
      </c>
      <c r="D2322" s="69">
        <v>29524413833</v>
      </c>
      <c r="E2322" s="9">
        <v>117</v>
      </c>
      <c r="F2322" s="25">
        <v>43117</v>
      </c>
      <c r="G2322" s="70" t="s">
        <v>1773</v>
      </c>
      <c r="H2322" s="70"/>
      <c r="I2322" s="8"/>
      <c r="J2322" s="8"/>
      <c r="K2322" s="8"/>
      <c r="L2322" s="9" t="s">
        <v>1927</v>
      </c>
      <c r="M2322" s="8"/>
    </row>
    <row r="2323" spans="1:13">
      <c r="A2323" s="71" t="s">
        <v>5066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1773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5067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1773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5068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5069</v>
      </c>
      <c r="B2326" s="67"/>
      <c r="C2326" s="29" t="s">
        <v>5070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5071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1773</v>
      </c>
      <c r="H2327" s="9"/>
      <c r="I2327" s="8"/>
      <c r="J2327" s="8"/>
      <c r="K2327" s="8"/>
      <c r="L2327" s="9" t="s">
        <v>1927</v>
      </c>
      <c r="M2327" s="8"/>
    </row>
    <row r="2328" spans="1:13">
      <c r="A2328" s="71" t="s">
        <v>5072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5073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5074</v>
      </c>
      <c r="B2330" s="67">
        <v>44920823878</v>
      </c>
      <c r="C2330" s="72" t="s">
        <v>5075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5076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5077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5078</v>
      </c>
      <c r="B2333" s="67">
        <v>8665698809</v>
      </c>
      <c r="C2333" s="72" t="s">
        <v>5079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5080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1773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5081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5082</v>
      </c>
      <c r="B2336" s="67">
        <v>37383675860</v>
      </c>
      <c r="C2336" s="72" t="s">
        <v>5083</v>
      </c>
      <c r="D2336" s="69">
        <v>37457320814</v>
      </c>
      <c r="E2336" s="9">
        <v>1824</v>
      </c>
      <c r="F2336" s="25">
        <v>43091</v>
      </c>
      <c r="G2336" s="70" t="s">
        <v>1773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5084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1773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5085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1773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5086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5087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5088</v>
      </c>
      <c r="B2341" s="67">
        <v>36394093882</v>
      </c>
      <c r="C2341" s="72" t="s">
        <v>5089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5090</v>
      </c>
      <c r="B2342" s="80">
        <v>38327155687</v>
      </c>
      <c r="C2342" s="81" t="s">
        <v>5091</v>
      </c>
      <c r="D2342" s="82">
        <v>20534089879</v>
      </c>
      <c r="E2342" s="47">
        <v>1824</v>
      </c>
      <c r="F2342" s="48">
        <v>43091</v>
      </c>
      <c r="G2342" s="83" t="s">
        <v>1787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5092</v>
      </c>
      <c r="B2343" s="67">
        <v>36553625875</v>
      </c>
      <c r="C2343" s="72" t="s">
        <v>5093</v>
      </c>
      <c r="D2343" s="69">
        <v>34615418850</v>
      </c>
      <c r="E2343" s="9">
        <v>608</v>
      </c>
      <c r="F2343" s="25">
        <v>43012</v>
      </c>
      <c r="G2343" s="70" t="s">
        <v>1773</v>
      </c>
      <c r="H2343" s="9"/>
      <c r="I2343" s="8"/>
      <c r="J2343" s="8"/>
      <c r="K2343" s="8"/>
      <c r="L2343" s="8"/>
      <c r="M2343" s="8"/>
    </row>
    <row r="2344" spans="1:13">
      <c r="A2344" s="71" t="s">
        <v>5094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1773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5095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1773</v>
      </c>
      <c r="H2345" s="9"/>
      <c r="I2345" s="8"/>
      <c r="J2345" s="8"/>
      <c r="K2345" s="8"/>
      <c r="L2345" s="9" t="s">
        <v>1895</v>
      </c>
      <c r="M2345" s="8"/>
    </row>
    <row r="2346" spans="1:13">
      <c r="A2346" s="13" t="s">
        <v>5096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1773</v>
      </c>
      <c r="H2346" s="9"/>
      <c r="I2346" s="8"/>
      <c r="J2346" s="8"/>
      <c r="K2346" s="8"/>
      <c r="L2346" s="9" t="s">
        <v>1917</v>
      </c>
      <c r="M2346" s="8"/>
    </row>
    <row r="2347" spans="1:13">
      <c r="A2347" s="71" t="s">
        <v>5097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5098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1773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5099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1773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5100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1773</v>
      </c>
      <c r="H2350" s="9"/>
      <c r="I2350" s="8"/>
      <c r="J2350" s="8"/>
      <c r="K2350" s="8"/>
      <c r="L2350" s="8"/>
      <c r="M2350" s="8"/>
    </row>
    <row r="2351" spans="1:13">
      <c r="A2351" s="14" t="s">
        <v>5101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1773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5102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5103</v>
      </c>
      <c r="B2353" s="67">
        <v>2267811863</v>
      </c>
      <c r="C2353" s="68" t="s">
        <v>5104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5105</v>
      </c>
      <c r="B2354" s="67">
        <v>4640546726</v>
      </c>
      <c r="C2354" s="72" t="s">
        <v>5106</v>
      </c>
      <c r="D2354" s="69">
        <v>72849215791</v>
      </c>
      <c r="E2354" s="9">
        <v>262</v>
      </c>
      <c r="F2354" s="25">
        <v>43160</v>
      </c>
      <c r="G2354" s="70" t="s">
        <v>1773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5107</v>
      </c>
      <c r="B2355" s="67">
        <v>11862093806</v>
      </c>
      <c r="C2355" s="18" t="s">
        <v>1886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5108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1773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5109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1773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5110</v>
      </c>
      <c r="B2358" s="67">
        <v>12983214842</v>
      </c>
      <c r="C2358" s="72" t="s">
        <v>5111</v>
      </c>
      <c r="D2358" s="69">
        <v>33776403802</v>
      </c>
      <c r="E2358" s="9">
        <v>85</v>
      </c>
      <c r="F2358" s="25">
        <v>43109</v>
      </c>
      <c r="G2358" s="70" t="s">
        <v>1773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5112</v>
      </c>
      <c r="B2359" s="67">
        <v>3343521507</v>
      </c>
      <c r="C2359" s="15" t="s">
        <v>5113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5114</v>
      </c>
      <c r="B2360" s="67">
        <v>41812689500</v>
      </c>
      <c r="C2360" s="72" t="s">
        <v>5115</v>
      </c>
      <c r="D2360" s="69">
        <v>14037047837</v>
      </c>
      <c r="E2360" s="9">
        <v>1106</v>
      </c>
      <c r="F2360" s="25">
        <v>42965</v>
      </c>
      <c r="G2360" s="70" t="s">
        <v>1773</v>
      </c>
      <c r="H2360" s="9"/>
      <c r="I2360" s="8"/>
      <c r="J2360" s="8"/>
      <c r="K2360" s="8"/>
      <c r="L2360" s="8"/>
      <c r="M2360" s="8"/>
    </row>
    <row r="2361" spans="1:13">
      <c r="A2361" s="71" t="s">
        <v>5116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5117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1773</v>
      </c>
      <c r="H2362" s="9"/>
      <c r="I2362" s="8"/>
      <c r="J2362" s="8"/>
      <c r="K2362" s="8"/>
      <c r="L2362" s="9" t="s">
        <v>1895</v>
      </c>
      <c r="M2362" s="8"/>
    </row>
    <row r="2363" spans="1:13">
      <c r="A2363" s="71" t="s">
        <v>5118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5119</v>
      </c>
      <c r="B2364" s="67">
        <v>45479391879</v>
      </c>
      <c r="C2364" s="30" t="s">
        <v>5120</v>
      </c>
      <c r="D2364" s="67">
        <v>35624185820</v>
      </c>
      <c r="E2364" s="9">
        <v>1350</v>
      </c>
      <c r="F2364" s="25">
        <v>43006</v>
      </c>
      <c r="G2364" s="70" t="s">
        <v>1773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5121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1787</v>
      </c>
      <c r="H2365" s="9"/>
      <c r="I2365" s="8"/>
      <c r="J2365" s="8"/>
      <c r="K2365" s="8"/>
      <c r="L2365" s="9" t="s">
        <v>2259</v>
      </c>
      <c r="M2365" s="8"/>
    </row>
    <row r="2366" spans="1:13">
      <c r="A2366" s="15" t="s">
        <v>5122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1773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5123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5124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5125</v>
      </c>
      <c r="B2369" s="67">
        <v>36159577840</v>
      </c>
      <c r="C2369" s="72" t="s">
        <v>5126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5127</v>
      </c>
      <c r="B2370" s="67">
        <v>39308828842</v>
      </c>
      <c r="C2370" s="72" t="s">
        <v>5128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5129</v>
      </c>
      <c r="B2371" s="67">
        <v>6619801897</v>
      </c>
      <c r="C2371" s="29" t="s">
        <v>5130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5131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5132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1773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5133</v>
      </c>
      <c r="B2374" s="67">
        <v>36138056850</v>
      </c>
      <c r="C2374" s="72" t="s">
        <v>5134</v>
      </c>
      <c r="D2374" s="69">
        <v>56721897504</v>
      </c>
      <c r="E2374" s="9">
        <v>262</v>
      </c>
      <c r="F2374" s="25">
        <v>43160</v>
      </c>
      <c r="G2374" s="70" t="s">
        <v>1773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5135</v>
      </c>
      <c r="B2375" s="67">
        <v>22365509878</v>
      </c>
      <c r="C2375" s="72" t="s">
        <v>5136</v>
      </c>
      <c r="D2375" s="69">
        <v>9353681839</v>
      </c>
      <c r="E2375" s="9">
        <v>810</v>
      </c>
      <c r="F2375" s="25">
        <v>42915</v>
      </c>
      <c r="G2375" s="70" t="s">
        <v>1773</v>
      </c>
      <c r="H2375" s="9"/>
      <c r="I2375" s="8"/>
      <c r="J2375" s="8"/>
      <c r="K2375" s="8"/>
      <c r="L2375" s="9" t="s">
        <v>1895</v>
      </c>
      <c r="M2375" s="8"/>
    </row>
    <row r="2376" spans="1:13">
      <c r="A2376" s="72" t="s">
        <v>5137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5138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1773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5139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5140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1773</v>
      </c>
      <c r="H2379" s="9"/>
      <c r="I2379" s="8"/>
      <c r="J2379" s="8"/>
      <c r="K2379" s="8"/>
      <c r="L2379" s="9" t="s">
        <v>2155</v>
      </c>
      <c r="M2379" s="8"/>
    </row>
    <row r="2380" spans="1:13">
      <c r="A2380" s="71" t="s">
        <v>5141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1773</v>
      </c>
      <c r="H2380" s="9"/>
      <c r="I2380" s="8"/>
      <c r="J2380" s="8"/>
      <c r="K2380" s="8"/>
      <c r="L2380" s="9" t="s">
        <v>1927</v>
      </c>
      <c r="M2380" s="8"/>
    </row>
    <row r="2381" spans="1:13">
      <c r="A2381" s="71" t="s">
        <v>5142</v>
      </c>
      <c r="B2381" s="67">
        <v>40878398856</v>
      </c>
      <c r="C2381" s="72" t="s">
        <v>5143</v>
      </c>
      <c r="D2381" s="69">
        <v>73226718568</v>
      </c>
      <c r="E2381" s="9">
        <v>262</v>
      </c>
      <c r="F2381" s="25">
        <v>43160</v>
      </c>
      <c r="G2381" s="70" t="s">
        <v>1773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5144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1773</v>
      </c>
      <c r="H2382" s="9"/>
      <c r="I2382" s="8"/>
      <c r="J2382" s="8"/>
      <c r="K2382" s="8"/>
      <c r="L2382" s="8"/>
      <c r="M2382" s="8"/>
    </row>
    <row r="2383" spans="1:13">
      <c r="A2383" s="13" t="s">
        <v>5145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1773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5146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1773</v>
      </c>
      <c r="H2384" s="9"/>
      <c r="I2384" s="8"/>
      <c r="J2384" s="8"/>
      <c r="K2384" s="8"/>
      <c r="L2384" s="8"/>
      <c r="M2384" s="8"/>
    </row>
    <row r="2385" spans="1:13">
      <c r="A2385" s="71" t="s">
        <v>5147</v>
      </c>
      <c r="B2385" s="67">
        <v>33475393387</v>
      </c>
      <c r="C2385" s="72" t="s">
        <v>5148</v>
      </c>
      <c r="D2385" s="69">
        <v>21580260306</v>
      </c>
      <c r="E2385" s="9">
        <v>292</v>
      </c>
      <c r="F2385" s="25">
        <v>43168</v>
      </c>
      <c r="G2385" s="70" t="s">
        <v>1773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5149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5150</v>
      </c>
      <c r="B2387" s="67">
        <v>15114386816</v>
      </c>
      <c r="C2387" s="29" t="s">
        <v>5151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5152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1773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5153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1773</v>
      </c>
      <c r="H2389" s="9"/>
      <c r="I2389" s="8"/>
      <c r="J2389" s="8"/>
      <c r="K2389" s="8"/>
      <c r="L2389" s="8"/>
      <c r="M2389" s="8"/>
    </row>
    <row r="2390" spans="1:13">
      <c r="A2390" s="71" t="s">
        <v>5154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5155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5156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5157</v>
      </c>
      <c r="B2393" s="67">
        <v>38754982839</v>
      </c>
      <c r="C2393" s="72" t="s">
        <v>5158</v>
      </c>
      <c r="D2393" s="69">
        <v>34941494881</v>
      </c>
      <c r="E2393" s="9">
        <v>85</v>
      </c>
      <c r="F2393" s="25">
        <v>43109</v>
      </c>
      <c r="G2393" s="70" t="s">
        <v>1787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5159</v>
      </c>
      <c r="B2394" s="67">
        <v>33401168819</v>
      </c>
      <c r="C2394" s="72" t="s">
        <v>5160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5161</v>
      </c>
      <c r="B2395" s="67">
        <v>42116294843</v>
      </c>
      <c r="C2395" s="72" t="s">
        <v>5162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5163</v>
      </c>
      <c r="B2396" s="67">
        <v>12648968679</v>
      </c>
      <c r="C2396" s="72" t="s">
        <v>5164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5165</v>
      </c>
      <c r="B2397" s="67">
        <v>34361698899</v>
      </c>
      <c r="C2397" s="72" t="s">
        <v>5166</v>
      </c>
      <c r="D2397" s="69">
        <v>21266025839</v>
      </c>
      <c r="E2397" s="9">
        <v>1489</v>
      </c>
      <c r="F2397" s="25">
        <v>43038</v>
      </c>
      <c r="G2397" s="70" t="s">
        <v>1773</v>
      </c>
      <c r="H2397" s="9"/>
      <c r="I2397" s="8"/>
      <c r="J2397" s="8"/>
      <c r="K2397" s="8"/>
      <c r="L2397" s="9" t="s">
        <v>1917</v>
      </c>
      <c r="M2397" s="8"/>
    </row>
    <row r="2398" spans="1:13">
      <c r="A2398" s="71" t="s">
        <v>5167</v>
      </c>
      <c r="B2398" s="67">
        <v>12835905812</v>
      </c>
      <c r="C2398" s="72" t="s">
        <v>5168</v>
      </c>
      <c r="D2398" s="69">
        <v>26821342890</v>
      </c>
      <c r="E2398" s="9">
        <v>262</v>
      </c>
      <c r="F2398" s="25">
        <v>43160</v>
      </c>
      <c r="G2398" s="70" t="s">
        <v>1779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5169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1773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5170</v>
      </c>
      <c r="B2400" s="67">
        <v>22713517826</v>
      </c>
      <c r="C2400" s="72" t="s">
        <v>5171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5172</v>
      </c>
      <c r="B2401" s="67">
        <v>28467390808</v>
      </c>
      <c r="C2401" s="72" t="s">
        <v>5173</v>
      </c>
      <c r="D2401" s="69">
        <v>90847547</v>
      </c>
      <c r="E2401" s="9">
        <v>810</v>
      </c>
      <c r="F2401" s="25">
        <v>42915</v>
      </c>
      <c r="G2401" s="70" t="s">
        <v>1773</v>
      </c>
      <c r="H2401" s="9"/>
      <c r="I2401" s="8"/>
      <c r="J2401" s="8"/>
      <c r="K2401" s="8"/>
      <c r="L2401" s="9" t="s">
        <v>1895</v>
      </c>
      <c r="M2401" s="8"/>
    </row>
    <row r="2402" spans="1:13">
      <c r="A2402" s="71" t="s">
        <v>5174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1773</v>
      </c>
      <c r="H2402" s="9"/>
      <c r="I2402" s="8"/>
      <c r="J2402" s="8"/>
      <c r="K2402" s="8"/>
      <c r="L2402" s="8"/>
      <c r="M2402" s="8"/>
    </row>
    <row r="2403" spans="1:13">
      <c r="A2403" s="73" t="s">
        <v>5175</v>
      </c>
      <c r="B2403" s="67">
        <v>32033541878</v>
      </c>
      <c r="C2403" s="72" t="s">
        <v>5176</v>
      </c>
      <c r="D2403" s="69">
        <v>19674006877</v>
      </c>
      <c r="E2403" s="9">
        <v>1752</v>
      </c>
      <c r="F2403" s="25">
        <v>43051</v>
      </c>
      <c r="G2403" s="70" t="s">
        <v>1773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5177</v>
      </c>
      <c r="B2404" s="67">
        <v>23241720896</v>
      </c>
      <c r="C2404" s="18" t="s">
        <v>5178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5179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5180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1773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5181</v>
      </c>
      <c r="B2407" s="67">
        <v>1889333360</v>
      </c>
      <c r="C2407" s="72" t="s">
        <v>5182</v>
      </c>
      <c r="D2407" s="69">
        <v>580003302</v>
      </c>
      <c r="E2407" s="9">
        <v>1241</v>
      </c>
      <c r="F2407" s="25">
        <v>42992</v>
      </c>
      <c r="G2407" s="70" t="s">
        <v>1773</v>
      </c>
      <c r="H2407" s="9"/>
      <c r="I2407" s="8"/>
      <c r="J2407" s="8"/>
      <c r="K2407" s="8"/>
      <c r="L2407" s="8"/>
      <c r="M2407" s="8"/>
    </row>
    <row r="2408" spans="1:13">
      <c r="A2408" s="71" t="s">
        <v>5183</v>
      </c>
      <c r="B2408" s="67">
        <v>40321655800</v>
      </c>
      <c r="C2408" s="72" t="s">
        <v>5184</v>
      </c>
      <c r="D2408" s="69">
        <v>37378835803</v>
      </c>
      <c r="E2408" s="9">
        <v>810</v>
      </c>
      <c r="F2408" s="25">
        <v>42915</v>
      </c>
      <c r="G2408" s="70" t="s">
        <v>1773</v>
      </c>
      <c r="H2408" s="9"/>
      <c r="I2408" s="8"/>
      <c r="J2408" s="8"/>
      <c r="K2408" s="8"/>
      <c r="L2408" s="9" t="s">
        <v>1895</v>
      </c>
      <c r="M2408" s="8"/>
    </row>
    <row r="2409" spans="1:13">
      <c r="A2409" s="14" t="s">
        <v>5185</v>
      </c>
      <c r="B2409" s="67">
        <v>5117256557</v>
      </c>
      <c r="C2409" s="72" t="s">
        <v>5186</v>
      </c>
      <c r="D2409" s="69">
        <v>5063737544</v>
      </c>
      <c r="E2409" s="9">
        <v>262</v>
      </c>
      <c r="F2409" s="25">
        <v>43160</v>
      </c>
      <c r="G2409" s="70" t="s">
        <v>1779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5187</v>
      </c>
      <c r="B2410" s="67">
        <v>21863985832</v>
      </c>
      <c r="C2410" s="72" t="s">
        <v>5188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5189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1773</v>
      </c>
      <c r="H2411" s="9"/>
      <c r="I2411" s="8"/>
      <c r="J2411" s="8"/>
      <c r="K2411" s="8"/>
      <c r="L2411" s="9" t="s">
        <v>2010</v>
      </c>
      <c r="M2411" s="8"/>
    </row>
    <row r="2412" spans="1:13">
      <c r="A2412" s="18" t="s">
        <v>5190</v>
      </c>
      <c r="B2412" s="67">
        <v>31694477851</v>
      </c>
      <c r="C2412" s="18" t="s">
        <v>5191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5192</v>
      </c>
      <c r="B2413" s="67">
        <v>14690610827</v>
      </c>
      <c r="C2413" s="72" t="s">
        <v>5193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5194</v>
      </c>
      <c r="B2414" s="67">
        <v>1740803523</v>
      </c>
      <c r="C2414" s="72" t="s">
        <v>5195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5196</v>
      </c>
      <c r="B2415" s="67">
        <v>23328195840</v>
      </c>
      <c r="C2415" s="72" t="s">
        <v>5197</v>
      </c>
      <c r="D2415" s="69">
        <v>770249310</v>
      </c>
      <c r="E2415" s="9">
        <v>810</v>
      </c>
      <c r="F2415" s="25">
        <v>42915</v>
      </c>
      <c r="G2415" s="70" t="s">
        <v>1773</v>
      </c>
      <c r="H2415" s="9"/>
      <c r="I2415" s="8"/>
      <c r="J2415" s="8"/>
      <c r="K2415" s="8"/>
      <c r="L2415" s="9" t="s">
        <v>1895</v>
      </c>
      <c r="M2415" s="8"/>
    </row>
    <row r="2416" spans="1:13">
      <c r="A2416" s="71" t="s">
        <v>5198</v>
      </c>
      <c r="B2416" s="67">
        <v>28082388862</v>
      </c>
      <c r="C2416" s="72" t="s">
        <v>5199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5200</v>
      </c>
      <c r="B2417" s="67">
        <v>43054747867</v>
      </c>
      <c r="C2417" s="29" t="s">
        <v>5201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5202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5203</v>
      </c>
      <c r="B2419" s="67">
        <v>89863704504</v>
      </c>
      <c r="C2419" s="72" t="s">
        <v>5204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5205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5206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1773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5207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5208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1773</v>
      </c>
      <c r="H2423" s="9"/>
      <c r="I2423" s="8"/>
      <c r="J2423" s="8"/>
      <c r="K2423" s="8"/>
      <c r="L2423" s="8"/>
      <c r="M2423" s="8"/>
    </row>
    <row r="2424" spans="1:13">
      <c r="A2424" s="73" t="s">
        <v>5209</v>
      </c>
      <c r="B2424" s="67">
        <v>33538686823</v>
      </c>
      <c r="C2424" s="72" t="s">
        <v>5210</v>
      </c>
      <c r="D2424" s="69">
        <v>37104062858</v>
      </c>
      <c r="E2424" s="9">
        <v>810</v>
      </c>
      <c r="F2424" s="25">
        <v>42915</v>
      </c>
      <c r="G2424" s="9" t="s">
        <v>1773</v>
      </c>
      <c r="H2424" s="9"/>
      <c r="I2424" s="8"/>
      <c r="J2424" s="8"/>
      <c r="K2424" s="8"/>
      <c r="L2424" s="9" t="s">
        <v>1895</v>
      </c>
      <c r="M2424" s="8"/>
    </row>
    <row r="2425" spans="1:13">
      <c r="A2425" s="18" t="s">
        <v>5211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5212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1773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5213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5214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1773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5215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1773</v>
      </c>
      <c r="H2429" s="9"/>
      <c r="I2429" s="8"/>
      <c r="J2429" s="8"/>
      <c r="K2429" s="8"/>
      <c r="L2429" s="8"/>
      <c r="M2429" s="8"/>
    </row>
    <row r="2430" spans="1:13">
      <c r="A2430" s="29" t="s">
        <v>5216</v>
      </c>
      <c r="B2430" s="67"/>
      <c r="C2430" s="29" t="s">
        <v>1886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5217</v>
      </c>
      <c r="B2431" s="67">
        <v>39308964860</v>
      </c>
      <c r="C2431" s="72" t="s">
        <v>5218</v>
      </c>
      <c r="D2431" s="69">
        <v>39308963898</v>
      </c>
      <c r="E2431" s="9">
        <v>229</v>
      </c>
      <c r="F2431" s="25">
        <v>43151</v>
      </c>
      <c r="G2431" s="70" t="s">
        <v>1773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5219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1773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5220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1773</v>
      </c>
      <c r="H2433" s="9"/>
      <c r="I2433" s="8"/>
      <c r="J2433" s="8"/>
      <c r="K2433" s="8"/>
      <c r="L2433" s="8"/>
      <c r="M2433" s="8"/>
    </row>
    <row r="2434" spans="1:13">
      <c r="A2434" s="71" t="s">
        <v>5221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5222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1773</v>
      </c>
      <c r="H2435" s="9"/>
      <c r="I2435" s="8"/>
      <c r="J2435" s="8"/>
      <c r="K2435" s="8"/>
      <c r="L2435" s="8"/>
      <c r="M2435" s="8"/>
    </row>
    <row r="2436" spans="1:13">
      <c r="A2436" s="71" t="s">
        <v>5223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5224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5225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5226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1773</v>
      </c>
      <c r="H2439" s="9"/>
      <c r="I2439" s="8"/>
      <c r="J2439" s="8"/>
      <c r="K2439" s="8"/>
      <c r="L2439" s="9" t="s">
        <v>1927</v>
      </c>
      <c r="M2439" s="8"/>
    </row>
    <row r="2440" spans="1:13">
      <c r="A2440" s="71" t="s">
        <v>5227</v>
      </c>
      <c r="B2440" s="67">
        <v>36344864818</v>
      </c>
      <c r="C2440" s="72" t="s">
        <v>5228</v>
      </c>
      <c r="D2440" s="69">
        <v>35601867810</v>
      </c>
      <c r="E2440" s="9">
        <v>810</v>
      </c>
      <c r="F2440" s="25">
        <v>42915</v>
      </c>
      <c r="G2440" s="70" t="s">
        <v>1773</v>
      </c>
      <c r="H2440" s="9"/>
      <c r="I2440" s="8"/>
      <c r="J2440" s="8"/>
      <c r="K2440" s="8"/>
      <c r="L2440" s="9" t="s">
        <v>1895</v>
      </c>
      <c r="M2440" s="8"/>
    </row>
    <row r="2441" spans="1:13">
      <c r="A2441" s="29" t="s">
        <v>5229</v>
      </c>
      <c r="B2441" s="67"/>
      <c r="C2441" s="29" t="s">
        <v>1886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5230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1773</v>
      </c>
      <c r="H2442" s="9"/>
      <c r="I2442" s="8"/>
      <c r="J2442" s="8"/>
      <c r="K2442" s="8"/>
      <c r="L2442" s="8"/>
      <c r="M2442" s="8"/>
    </row>
    <row r="2443" spans="1:13">
      <c r="A2443" s="73" t="s">
        <v>5231</v>
      </c>
      <c r="B2443" s="67">
        <v>23969560861</v>
      </c>
      <c r="C2443" s="72" t="s">
        <v>5232</v>
      </c>
      <c r="D2443" s="69">
        <v>16141701850</v>
      </c>
      <c r="E2443" s="9">
        <v>1267</v>
      </c>
      <c r="F2443" s="25">
        <v>42998</v>
      </c>
      <c r="G2443" s="70" t="s">
        <v>1773</v>
      </c>
      <c r="H2443" s="9"/>
      <c r="I2443" s="8"/>
      <c r="J2443" s="8"/>
      <c r="K2443" s="8"/>
      <c r="L2443" s="8"/>
      <c r="M2443" s="8"/>
    </row>
    <row r="2444" spans="1:13">
      <c r="A2444" s="71" t="s">
        <v>5233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5234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1773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5235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1773</v>
      </c>
      <c r="H2446" s="9"/>
      <c r="I2446" s="8"/>
      <c r="J2446" s="8"/>
      <c r="K2446" s="8"/>
      <c r="L2446" s="8"/>
      <c r="M2446" s="8"/>
    </row>
    <row r="2447" spans="1:13">
      <c r="A2447" s="72" t="s">
        <v>5236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5237</v>
      </c>
      <c r="B2448" s="67">
        <v>35193151817</v>
      </c>
      <c r="C2448" s="72" t="s">
        <v>5238</v>
      </c>
      <c r="D2448" s="69">
        <v>26084005829</v>
      </c>
      <c r="E2448" s="9">
        <v>229</v>
      </c>
      <c r="F2448" s="25">
        <v>43151</v>
      </c>
      <c r="G2448" s="70" t="s">
        <v>1773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5239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5240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5241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1773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5242</v>
      </c>
      <c r="B2452" s="67">
        <v>34674605857</v>
      </c>
      <c r="C2452" s="72" t="s">
        <v>5243</v>
      </c>
      <c r="D2452" s="69">
        <v>36771603830</v>
      </c>
      <c r="E2452" s="9">
        <v>810</v>
      </c>
      <c r="F2452" s="25">
        <v>42915</v>
      </c>
      <c r="G2452" s="70" t="s">
        <v>1773</v>
      </c>
      <c r="H2452" s="9"/>
      <c r="I2452" s="8"/>
      <c r="J2452" s="8"/>
      <c r="K2452" s="8"/>
      <c r="L2452" s="9" t="s">
        <v>1895</v>
      </c>
      <c r="M2452" s="8"/>
    </row>
    <row r="2453" spans="1:13">
      <c r="A2453" s="71" t="s">
        <v>5244</v>
      </c>
      <c r="B2453" s="67">
        <v>33248807857</v>
      </c>
      <c r="C2453" s="72" t="s">
        <v>5245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5246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1773</v>
      </c>
      <c r="H2454" s="9"/>
      <c r="I2454" s="8"/>
      <c r="J2454" s="8"/>
      <c r="K2454" s="8"/>
      <c r="L2454" s="8"/>
      <c r="M2454" s="8"/>
    </row>
    <row r="2455" spans="1:13">
      <c r="A2455" s="13" t="s">
        <v>5247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1773</v>
      </c>
      <c r="H2455" s="9"/>
      <c r="I2455" s="8"/>
      <c r="J2455" s="8"/>
      <c r="K2455" s="8"/>
      <c r="L2455" s="8"/>
      <c r="M2455" s="8"/>
    </row>
    <row r="2456" spans="1:13">
      <c r="A2456" s="71" t="s">
        <v>5248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5249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1773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5250</v>
      </c>
      <c r="B2458" s="67">
        <v>7143855901</v>
      </c>
      <c r="C2458" s="18" t="s">
        <v>1886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5251</v>
      </c>
      <c r="B2459" s="67"/>
      <c r="C2459" s="29" t="s">
        <v>1886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5252</v>
      </c>
      <c r="B2460" s="67">
        <v>5365375505</v>
      </c>
      <c r="C2460" s="68" t="s">
        <v>5253</v>
      </c>
      <c r="D2460" s="69">
        <v>34658162857</v>
      </c>
      <c r="E2460" s="9">
        <v>1128</v>
      </c>
      <c r="F2460" s="25">
        <v>42972</v>
      </c>
      <c r="G2460" s="70" t="s">
        <v>1773</v>
      </c>
      <c r="H2460" s="9"/>
      <c r="I2460" s="8"/>
      <c r="J2460" s="8"/>
      <c r="K2460" s="8"/>
      <c r="L2460" s="8"/>
      <c r="M2460" s="8"/>
    </row>
    <row r="2461" spans="1:13">
      <c r="A2461" s="18" t="s">
        <v>5254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5255</v>
      </c>
      <c r="B2462" s="67">
        <v>66691990404</v>
      </c>
      <c r="C2462" s="29" t="s">
        <v>5256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5257</v>
      </c>
      <c r="B2463" s="67">
        <v>60347000355</v>
      </c>
      <c r="C2463" s="72" t="s">
        <v>5258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5259</v>
      </c>
      <c r="B2464" s="67">
        <v>37467543808</v>
      </c>
      <c r="C2464" s="72" t="s">
        <v>5260</v>
      </c>
      <c r="D2464" s="69">
        <v>40552745804</v>
      </c>
      <c r="E2464" s="9">
        <v>229</v>
      </c>
      <c r="F2464" s="25">
        <v>43151</v>
      </c>
      <c r="G2464" s="70" t="s">
        <v>1773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5261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5262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5263</v>
      </c>
      <c r="B2467" s="67"/>
      <c r="C2467" s="18" t="s">
        <v>1886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5264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1773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5265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5266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5267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5268</v>
      </c>
      <c r="B2472" s="67"/>
      <c r="C2472" s="18" t="s">
        <v>1886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5269</v>
      </c>
      <c r="B2473" s="67">
        <v>34907942818</v>
      </c>
      <c r="C2473" s="72" t="s">
        <v>5270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5271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5272</v>
      </c>
      <c r="B2475" s="67">
        <v>40642684820</v>
      </c>
      <c r="C2475" s="72" t="s">
        <v>5273</v>
      </c>
      <c r="D2475" s="69">
        <v>43189527890</v>
      </c>
      <c r="E2475" s="9">
        <v>292</v>
      </c>
      <c r="F2475" s="25">
        <v>43168</v>
      </c>
      <c r="G2475" s="70" t="s">
        <v>1773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5274</v>
      </c>
      <c r="B2476" s="67">
        <v>36401343893</v>
      </c>
      <c r="C2476" s="72" t="s">
        <v>5275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2056</v>
      </c>
      <c r="M2476" s="8"/>
    </row>
    <row r="2477" spans="1:13">
      <c r="A2477" s="15" t="s">
        <v>5276</v>
      </c>
      <c r="B2477" s="67">
        <v>10413301460</v>
      </c>
      <c r="C2477" s="72" t="s">
        <v>5277</v>
      </c>
      <c r="D2477" s="69">
        <v>10931047404</v>
      </c>
      <c r="E2477" s="9">
        <v>117</v>
      </c>
      <c r="F2477" s="25">
        <v>43117</v>
      </c>
      <c r="G2477" s="70" t="s">
        <v>1773</v>
      </c>
      <c r="H2477" s="9"/>
      <c r="I2477" s="8"/>
      <c r="J2477" s="8"/>
      <c r="K2477" s="8"/>
      <c r="L2477" s="9" t="s">
        <v>1927</v>
      </c>
      <c r="M2477" s="8"/>
    </row>
    <row r="2478" spans="1:13">
      <c r="A2478" s="15" t="s">
        <v>5278</v>
      </c>
      <c r="B2478" s="67">
        <v>42030087866</v>
      </c>
      <c r="C2478" s="72" t="s">
        <v>5279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5280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5281</v>
      </c>
      <c r="B2480" s="67">
        <v>38302413801</v>
      </c>
      <c r="C2480" s="77" t="s">
        <v>5282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5283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1773</v>
      </c>
      <c r="H2481" s="9"/>
      <c r="I2481" s="8"/>
      <c r="J2481" s="8"/>
      <c r="K2481" s="8"/>
      <c r="L2481" s="9" t="s">
        <v>1895</v>
      </c>
      <c r="M2481" s="8"/>
    </row>
    <row r="2482" spans="1:13">
      <c r="A2482" s="71" t="s">
        <v>5284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5285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1779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5286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1773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5287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1773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5288</v>
      </c>
      <c r="B2486" s="67">
        <v>34034498315</v>
      </c>
      <c r="C2486" s="72" t="s">
        <v>5289</v>
      </c>
      <c r="D2486" s="69">
        <v>30620015349</v>
      </c>
      <c r="E2486" s="9">
        <v>1470</v>
      </c>
      <c r="F2486" s="25">
        <v>43031</v>
      </c>
      <c r="G2486" s="70" t="s">
        <v>1773</v>
      </c>
      <c r="H2486" s="9"/>
      <c r="I2486" s="8"/>
      <c r="J2486" s="8"/>
      <c r="K2486" s="8"/>
      <c r="L2486" s="8"/>
      <c r="M2486" s="8"/>
    </row>
    <row r="2487" spans="1:13">
      <c r="A2487" s="71" t="s">
        <v>5290</v>
      </c>
      <c r="B2487" s="67">
        <v>38027861810</v>
      </c>
      <c r="C2487" s="72" t="s">
        <v>5291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5292</v>
      </c>
      <c r="B2488" s="67">
        <v>34557275818</v>
      </c>
      <c r="C2488" s="72" t="s">
        <v>5293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5294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1773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5295</v>
      </c>
      <c r="B2490" s="67"/>
      <c r="C2490" s="29" t="s">
        <v>5296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5297</v>
      </c>
      <c r="B2491" s="67">
        <v>40298877830</v>
      </c>
      <c r="C2491" s="72" t="s">
        <v>5298</v>
      </c>
      <c r="D2491" s="69">
        <v>5551703576</v>
      </c>
      <c r="E2491" s="9">
        <v>262</v>
      </c>
      <c r="F2491" s="25">
        <v>43160</v>
      </c>
      <c r="G2491" s="70" t="s">
        <v>1773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5299</v>
      </c>
      <c r="B2492" s="67">
        <v>36295512895</v>
      </c>
      <c r="C2492" s="72" t="s">
        <v>5300</v>
      </c>
      <c r="D2492" s="69">
        <v>29129585805</v>
      </c>
      <c r="E2492" s="9">
        <v>292</v>
      </c>
      <c r="F2492" s="25">
        <v>43168</v>
      </c>
      <c r="G2492" s="70" t="s">
        <v>1773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5301</v>
      </c>
      <c r="B2493" s="67">
        <v>13188101830</v>
      </c>
      <c r="C2493" s="72" t="s">
        <v>5302</v>
      </c>
      <c r="D2493" s="69">
        <v>55072399320</v>
      </c>
      <c r="E2493" s="9">
        <v>1752</v>
      </c>
      <c r="F2493" s="25">
        <v>43051</v>
      </c>
      <c r="G2493" s="70" t="s">
        <v>1779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5303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5304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1773</v>
      </c>
      <c r="H2495" s="9"/>
      <c r="I2495" s="8"/>
      <c r="J2495" s="8"/>
      <c r="K2495" s="8"/>
      <c r="L2495" s="9" t="s">
        <v>1917</v>
      </c>
      <c r="M2495" s="8"/>
    </row>
    <row r="2496" spans="1:13">
      <c r="A2496" s="71" t="s">
        <v>5305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5306</v>
      </c>
      <c r="B2497" s="67">
        <v>18468597864</v>
      </c>
      <c r="C2497" s="72" t="s">
        <v>5307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5308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1773</v>
      </c>
      <c r="H2498" s="9"/>
      <c r="I2498" s="8"/>
      <c r="J2498" s="8"/>
      <c r="K2498" s="8"/>
      <c r="L2498" s="8"/>
      <c r="M2498" s="8"/>
    </row>
    <row r="2499" spans="1:13">
      <c r="A2499" s="15" t="s">
        <v>5309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1773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5310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1773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5311</v>
      </c>
      <c r="B2501" s="67">
        <v>23134916843</v>
      </c>
      <c r="C2501" s="72" t="s">
        <v>5312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5313</v>
      </c>
      <c r="B2502" s="67">
        <v>60939966468</v>
      </c>
      <c r="C2502" s="72" t="s">
        <v>5314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5315</v>
      </c>
      <c r="B2503" s="67"/>
      <c r="C2503" s="29" t="s">
        <v>5316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5317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1773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5318</v>
      </c>
      <c r="B2505" s="67">
        <v>33594407810</v>
      </c>
      <c r="C2505" s="68" t="s">
        <v>5319</v>
      </c>
      <c r="D2505" s="69">
        <v>5613611777</v>
      </c>
      <c r="E2505" s="9">
        <v>1128</v>
      </c>
      <c r="F2505" s="25">
        <v>42972</v>
      </c>
      <c r="G2505" s="70" t="s">
        <v>1773</v>
      </c>
      <c r="H2505" s="9"/>
      <c r="I2505" s="8"/>
      <c r="J2505" s="8"/>
      <c r="K2505" s="8"/>
      <c r="L2505" s="8"/>
      <c r="M2505" s="8"/>
    </row>
    <row r="2506" spans="1:13">
      <c r="A2506" s="71" t="s">
        <v>5320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1773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5321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5322</v>
      </c>
      <c r="B2508" s="67">
        <v>38404903832</v>
      </c>
      <c r="C2508" s="72" t="s">
        <v>5323</v>
      </c>
      <c r="D2508" s="69">
        <v>35612360819</v>
      </c>
      <c r="E2508" s="9">
        <v>810</v>
      </c>
      <c r="F2508" s="25">
        <v>42915</v>
      </c>
      <c r="G2508" s="70" t="s">
        <v>1773</v>
      </c>
      <c r="H2508" s="9"/>
      <c r="I2508" s="8"/>
      <c r="J2508" s="8"/>
      <c r="K2508" s="8"/>
      <c r="L2508" s="9" t="s">
        <v>1895</v>
      </c>
      <c r="M2508" s="8"/>
    </row>
    <row r="2509" spans="1:13">
      <c r="A2509" s="71" t="s">
        <v>5324</v>
      </c>
      <c r="B2509" s="67">
        <v>33198410843</v>
      </c>
      <c r="C2509" s="72" t="s">
        <v>5325</v>
      </c>
      <c r="D2509" s="69">
        <v>32853865843</v>
      </c>
      <c r="E2509" s="9">
        <v>810</v>
      </c>
      <c r="F2509" s="25">
        <v>42915</v>
      </c>
      <c r="G2509" s="70" t="s">
        <v>1773</v>
      </c>
      <c r="H2509" s="9"/>
      <c r="I2509" s="8"/>
      <c r="J2509" s="8"/>
      <c r="K2509" s="8"/>
      <c r="L2509" s="9" t="s">
        <v>1895</v>
      </c>
      <c r="M2509" s="8"/>
    </row>
    <row r="2510" spans="1:13">
      <c r="A2510" s="71" t="s">
        <v>5326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1773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5327</v>
      </c>
      <c r="B2511" s="67">
        <v>46962268831</v>
      </c>
      <c r="C2511" s="72" t="s">
        <v>5328</v>
      </c>
      <c r="D2511" s="69">
        <v>40564058831</v>
      </c>
      <c r="E2511" s="9">
        <v>1752</v>
      </c>
      <c r="F2511" s="25">
        <v>43051</v>
      </c>
      <c r="G2511" s="70" t="s">
        <v>1787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5329</v>
      </c>
      <c r="B2512" s="67">
        <v>33337344860</v>
      </c>
      <c r="C2512" s="72" t="s">
        <v>5330</v>
      </c>
      <c r="D2512" s="69">
        <v>33436663867</v>
      </c>
      <c r="E2512" s="9">
        <v>810</v>
      </c>
      <c r="F2512" s="25">
        <v>42915</v>
      </c>
      <c r="G2512" s="70" t="s">
        <v>1773</v>
      </c>
      <c r="H2512" s="9"/>
      <c r="I2512" s="8"/>
      <c r="J2512" s="8"/>
      <c r="K2512" s="8"/>
      <c r="L2512" s="9" t="s">
        <v>1895</v>
      </c>
      <c r="M2512" s="8"/>
    </row>
    <row r="2513" spans="1:13">
      <c r="A2513" s="14" t="s">
        <v>5331</v>
      </c>
      <c r="B2513" s="67">
        <v>11587518694</v>
      </c>
      <c r="C2513" s="72" t="s">
        <v>5332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5333</v>
      </c>
      <c r="B2514" s="67">
        <v>37957151809</v>
      </c>
      <c r="C2514" s="72" t="s">
        <v>5334</v>
      </c>
      <c r="D2514" s="69">
        <v>28342788814</v>
      </c>
      <c r="E2514" s="9">
        <v>1570</v>
      </c>
      <c r="F2514" s="25">
        <v>43077</v>
      </c>
      <c r="G2514" s="70" t="s">
        <v>1773</v>
      </c>
      <c r="H2514" s="9"/>
      <c r="I2514" s="8"/>
      <c r="J2514" s="8"/>
      <c r="K2514" s="8"/>
      <c r="L2514" s="8"/>
      <c r="M2514" s="8"/>
    </row>
    <row r="2515" spans="1:13">
      <c r="A2515" s="71" t="s">
        <v>5335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2056</v>
      </c>
      <c r="M2515" s="8"/>
    </row>
    <row r="2516" spans="1:13">
      <c r="A2516" s="29" t="s">
        <v>5336</v>
      </c>
      <c r="B2516" s="67">
        <v>35434226852</v>
      </c>
      <c r="C2516" s="29" t="s">
        <v>5337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5338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1773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5339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1773</v>
      </c>
      <c r="H2518" s="9"/>
      <c r="I2518" s="8"/>
      <c r="J2518" s="8"/>
      <c r="K2518" s="8"/>
      <c r="L2518" s="8"/>
      <c r="M2518" s="8"/>
    </row>
    <row r="2519" spans="1:13">
      <c r="A2519" s="15" t="s">
        <v>5340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1773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5341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5342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5343</v>
      </c>
      <c r="B2522" s="67">
        <v>31989585809</v>
      </c>
      <c r="C2522" s="72" t="s">
        <v>5344</v>
      </c>
      <c r="D2522" s="69">
        <v>4312861919</v>
      </c>
      <c r="E2522" s="9">
        <v>1824</v>
      </c>
      <c r="F2522" s="25">
        <v>43091</v>
      </c>
      <c r="G2522" s="70" t="s">
        <v>1787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5345</v>
      </c>
      <c r="B2523" s="67">
        <v>30264611802</v>
      </c>
      <c r="C2523" s="29" t="s">
        <v>5346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5347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1773</v>
      </c>
      <c r="H2524" s="9"/>
      <c r="I2524" s="8"/>
      <c r="J2524" s="8"/>
      <c r="K2524" s="8"/>
      <c r="L2524" s="8"/>
      <c r="M2524" s="8"/>
    </row>
    <row r="2525" spans="1:13">
      <c r="A2525" s="71" t="s">
        <v>5348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1773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5349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1773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5350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1773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5351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5352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5353</v>
      </c>
      <c r="B2530" s="67">
        <v>31117169880</v>
      </c>
      <c r="C2530" s="72" t="s">
        <v>5354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5355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1773</v>
      </c>
      <c r="H2531" s="9"/>
      <c r="I2531" s="8"/>
      <c r="J2531" s="8"/>
      <c r="K2531" s="8"/>
      <c r="L2531" s="9" t="s">
        <v>1927</v>
      </c>
      <c r="M2531" s="8"/>
    </row>
    <row r="2532" spans="1:13">
      <c r="A2532" s="29" t="s">
        <v>5356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5357</v>
      </c>
      <c r="B2533" s="67">
        <v>34800386896</v>
      </c>
      <c r="C2533" s="72" t="s">
        <v>5358</v>
      </c>
      <c r="D2533" s="69">
        <v>33748068808</v>
      </c>
      <c r="E2533" s="9">
        <v>810</v>
      </c>
      <c r="F2533" s="25">
        <v>42915</v>
      </c>
      <c r="G2533" s="70" t="s">
        <v>1773</v>
      </c>
      <c r="H2533" s="9"/>
      <c r="I2533" s="8"/>
      <c r="J2533" s="8"/>
      <c r="K2533" s="8"/>
      <c r="L2533" s="9" t="s">
        <v>1895</v>
      </c>
      <c r="M2533" s="8"/>
    </row>
    <row r="2534" spans="1:13">
      <c r="A2534" s="72" t="s">
        <v>5359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5360</v>
      </c>
      <c r="B2535" s="67">
        <v>38858760867</v>
      </c>
      <c r="C2535" s="68" t="s">
        <v>5361</v>
      </c>
      <c r="D2535" s="69">
        <v>37279553842</v>
      </c>
      <c r="E2535" s="9">
        <v>1128</v>
      </c>
      <c r="F2535" s="25">
        <v>42972</v>
      </c>
      <c r="G2535" s="70" t="s">
        <v>1773</v>
      </c>
      <c r="H2535" s="9"/>
      <c r="I2535" s="8"/>
      <c r="J2535" s="8"/>
      <c r="K2535" s="8"/>
      <c r="L2535" s="8"/>
      <c r="M2535" s="8"/>
    </row>
    <row r="2536" spans="1:13">
      <c r="A2536" s="29" t="s">
        <v>5362</v>
      </c>
      <c r="B2536" s="67">
        <v>43621579800</v>
      </c>
      <c r="C2536" s="29" t="s">
        <v>1886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5363</v>
      </c>
      <c r="B2537" s="67">
        <v>37412192825</v>
      </c>
      <c r="C2537" s="72" t="s">
        <v>5364</v>
      </c>
      <c r="D2537" s="69">
        <v>27576214830</v>
      </c>
      <c r="E2537" s="9">
        <v>1489</v>
      </c>
      <c r="F2537" s="25">
        <v>43038</v>
      </c>
      <c r="G2537" s="70" t="s">
        <v>1773</v>
      </c>
      <c r="H2537" s="9"/>
      <c r="I2537" s="8"/>
      <c r="J2537" s="8"/>
      <c r="K2537" s="8"/>
      <c r="L2537" s="9" t="s">
        <v>1917</v>
      </c>
      <c r="M2537" s="8"/>
    </row>
    <row r="2538" spans="1:13">
      <c r="A2538" s="71" t="s">
        <v>5365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1773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5366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1773</v>
      </c>
      <c r="H2539" s="9"/>
      <c r="I2539" s="8"/>
      <c r="J2539" s="8"/>
      <c r="K2539" s="8"/>
      <c r="L2539" s="9" t="s">
        <v>1895</v>
      </c>
      <c r="M2539" s="8"/>
    </row>
    <row r="2540" spans="1:13">
      <c r="A2540" s="71" t="s">
        <v>5367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5368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5369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5370</v>
      </c>
      <c r="B2543" s="67">
        <v>36613563803</v>
      </c>
      <c r="C2543" s="72" t="s">
        <v>5371</v>
      </c>
      <c r="D2543" s="69">
        <v>27798369899</v>
      </c>
      <c r="E2543" s="9">
        <v>292</v>
      </c>
      <c r="F2543" s="25">
        <v>43168</v>
      </c>
      <c r="G2543" s="70" t="s">
        <v>1773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5372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5373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1773</v>
      </c>
      <c r="H2545" s="9"/>
      <c r="I2545" s="8"/>
      <c r="J2545" s="8"/>
      <c r="K2545" s="8"/>
      <c r="L2545" s="9" t="s">
        <v>1895</v>
      </c>
      <c r="M2545" s="8"/>
    </row>
    <row r="2546" spans="1:13" ht="30">
      <c r="A2546" s="91" t="s">
        <v>5374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1773</v>
      </c>
      <c r="H2546" s="9"/>
      <c r="I2546" s="8"/>
      <c r="J2546" s="8"/>
      <c r="K2546" s="8"/>
      <c r="L2546" s="8"/>
      <c r="M2546" s="8"/>
    </row>
    <row r="2547" spans="1:13">
      <c r="A2547" s="15" t="s">
        <v>5375</v>
      </c>
      <c r="B2547" s="67">
        <v>2950068545</v>
      </c>
      <c r="C2547" s="15" t="s">
        <v>5376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5377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1773</v>
      </c>
      <c r="H2548" s="9"/>
      <c r="I2548" s="8"/>
      <c r="J2548" s="8"/>
      <c r="K2548" s="8"/>
      <c r="L2548" s="8"/>
      <c r="M2548" s="8"/>
    </row>
    <row r="2549" spans="1:13">
      <c r="A2549" s="71" t="s">
        <v>5378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1779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5379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5380</v>
      </c>
      <c r="B2551" s="67">
        <v>44618522453</v>
      </c>
      <c r="C2551" s="68" t="s">
        <v>5381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5382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1773</v>
      </c>
      <c r="H2552" s="9"/>
      <c r="I2552" s="8"/>
      <c r="J2552" s="8"/>
      <c r="K2552" s="8"/>
      <c r="L2552" s="9" t="s">
        <v>1927</v>
      </c>
      <c r="M2552" s="8"/>
    </row>
    <row r="2553" spans="1:13">
      <c r="A2553" s="71" t="s">
        <v>5383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1773</v>
      </c>
      <c r="H2553" s="9"/>
      <c r="I2553" s="8"/>
      <c r="J2553" s="8"/>
      <c r="K2553" s="8"/>
      <c r="L2553" s="9" t="s">
        <v>2010</v>
      </c>
      <c r="M2553" s="8"/>
    </row>
    <row r="2554" spans="1:13">
      <c r="A2554" s="71" t="s">
        <v>5384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5385</v>
      </c>
      <c r="B2555" s="67">
        <v>26333731862</v>
      </c>
      <c r="C2555" s="72" t="s">
        <v>5386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5387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2056</v>
      </c>
      <c r="M2556" s="8"/>
    </row>
    <row r="2557" spans="1:13">
      <c r="A2557" s="71" t="s">
        <v>5388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1773</v>
      </c>
      <c r="H2557" s="9"/>
      <c r="I2557" s="8"/>
      <c r="J2557" s="8"/>
      <c r="K2557" s="8"/>
      <c r="L2557" s="8"/>
      <c r="M2557" s="8"/>
    </row>
    <row r="2558" spans="1:13">
      <c r="A2558" s="71" t="s">
        <v>5389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1773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5390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1773</v>
      </c>
      <c r="H2559" s="9"/>
      <c r="I2559" s="8"/>
      <c r="J2559" s="8"/>
      <c r="K2559" s="8"/>
      <c r="L2559" s="8"/>
      <c r="M2559" s="8"/>
    </row>
    <row r="2560" spans="1:13">
      <c r="A2560" s="71" t="s">
        <v>5391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1773</v>
      </c>
      <c r="H2560" s="9"/>
      <c r="I2560" s="8"/>
      <c r="J2560" s="8"/>
      <c r="K2560" s="8"/>
      <c r="L2560" s="8"/>
      <c r="M2560" s="8"/>
    </row>
    <row r="2561" spans="1:13">
      <c r="A2561" s="84" t="s">
        <v>5392</v>
      </c>
      <c r="B2561" s="67">
        <v>2035513545</v>
      </c>
      <c r="C2561" s="77" t="s">
        <v>5393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5394</v>
      </c>
      <c r="B2562" s="67">
        <v>32375610881</v>
      </c>
      <c r="C2562" s="72" t="s">
        <v>5395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5396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1773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5397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1773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5398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5399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1773</v>
      </c>
      <c r="H2566" s="9"/>
      <c r="I2566" s="8"/>
      <c r="J2566" s="8"/>
      <c r="K2566" s="8"/>
      <c r="L2566" s="9" t="s">
        <v>1917</v>
      </c>
      <c r="M2566" s="8"/>
    </row>
    <row r="2567" spans="1:13">
      <c r="A2567" s="71" t="s">
        <v>5400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1773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5401</v>
      </c>
      <c r="B2568" s="67">
        <v>28040254892</v>
      </c>
      <c r="C2568" s="72" t="s">
        <v>5402</v>
      </c>
      <c r="D2568" s="69">
        <v>27414145808</v>
      </c>
      <c r="E2568" s="9">
        <v>810</v>
      </c>
      <c r="F2568" s="25">
        <v>42915</v>
      </c>
      <c r="G2568" s="70" t="s">
        <v>1773</v>
      </c>
      <c r="H2568" s="25">
        <v>42921</v>
      </c>
      <c r="I2568" s="8"/>
      <c r="J2568" s="8"/>
      <c r="K2568" s="8"/>
      <c r="L2568" s="9" t="s">
        <v>1895</v>
      </c>
      <c r="M2568" s="8"/>
    </row>
    <row r="2569" spans="1:13">
      <c r="A2569" s="71" t="s">
        <v>5403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1773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5404</v>
      </c>
      <c r="B2570" s="67">
        <v>19585439859</v>
      </c>
      <c r="C2570" s="72" t="s">
        <v>5405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5406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1773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5407</v>
      </c>
      <c r="B2572" s="67">
        <v>33167057831</v>
      </c>
      <c r="C2572" s="18" t="s">
        <v>1886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5408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1773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5409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1773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5410</v>
      </c>
      <c r="B2575" s="67">
        <v>41360953841</v>
      </c>
      <c r="C2575" s="72" t="s">
        <v>5411</v>
      </c>
      <c r="D2575" s="69">
        <v>39212484859</v>
      </c>
      <c r="E2575" s="9">
        <v>117</v>
      </c>
      <c r="F2575" s="25">
        <v>43117</v>
      </c>
      <c r="G2575" s="70" t="s">
        <v>1773</v>
      </c>
      <c r="H2575" s="25">
        <v>43151</v>
      </c>
      <c r="I2575" s="8"/>
      <c r="J2575" s="8"/>
      <c r="K2575" s="8"/>
      <c r="L2575" s="9" t="s">
        <v>1927</v>
      </c>
      <c r="M2575" s="8"/>
    </row>
    <row r="2576" spans="1:13">
      <c r="A2576" s="15" t="s">
        <v>5412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1773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5413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1773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5414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1773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5415</v>
      </c>
      <c r="B2579" s="67"/>
      <c r="C2579" s="29" t="s">
        <v>1886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5416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5417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1773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5418</v>
      </c>
      <c r="B2582" s="67">
        <v>39407601889</v>
      </c>
      <c r="C2582" s="72" t="s">
        <v>5419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5420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1773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5421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5422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1773</v>
      </c>
      <c r="H2585" s="25">
        <v>42921</v>
      </c>
      <c r="I2585" s="8"/>
      <c r="J2585" s="8"/>
      <c r="K2585" s="8"/>
      <c r="L2585" s="9" t="s">
        <v>1895</v>
      </c>
      <c r="M2585" s="8"/>
    </row>
    <row r="2586" spans="1:13">
      <c r="A2586" s="71" t="s">
        <v>5423</v>
      </c>
      <c r="B2586" s="67">
        <v>40831453826</v>
      </c>
      <c r="C2586" s="72" t="s">
        <v>5424</v>
      </c>
      <c r="D2586" s="69">
        <v>41787837858</v>
      </c>
      <c r="E2586" s="9">
        <v>1214</v>
      </c>
      <c r="F2586" s="25">
        <v>42989</v>
      </c>
      <c r="G2586" s="70" t="s">
        <v>1773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5425</v>
      </c>
      <c r="B2587" s="67">
        <v>23043868811</v>
      </c>
      <c r="C2587" s="18" t="s">
        <v>5426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5427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1773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5428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1773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5429</v>
      </c>
      <c r="B2590" s="67">
        <v>11739082850</v>
      </c>
      <c r="C2590" s="72" t="s">
        <v>5430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5431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1773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5432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1773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5433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1773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5434</v>
      </c>
      <c r="B2594" s="67">
        <v>36782552809</v>
      </c>
      <c r="C2594" s="72" t="s">
        <v>5435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5436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5437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1773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5438</v>
      </c>
      <c r="B2597" s="67">
        <v>28249902874</v>
      </c>
      <c r="C2597" s="29" t="s">
        <v>5439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5440</v>
      </c>
      <c r="B2598" s="67">
        <v>36169238836</v>
      </c>
      <c r="C2598" s="77" t="s">
        <v>5441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5442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1773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5443</v>
      </c>
      <c r="B2600" s="67">
        <v>30886267870</v>
      </c>
      <c r="C2600" s="29" t="s">
        <v>5444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5445</v>
      </c>
      <c r="B2601" s="67"/>
      <c r="C2601" s="29" t="s">
        <v>5446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5447</v>
      </c>
      <c r="B2602" s="67">
        <v>26107569847</v>
      </c>
      <c r="C2602" s="77" t="s">
        <v>5448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5449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1773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5450</v>
      </c>
      <c r="B2604" s="67">
        <v>13516251875</v>
      </c>
      <c r="C2604" s="68" t="s">
        <v>5451</v>
      </c>
      <c r="D2604" s="69">
        <v>10146756851</v>
      </c>
      <c r="E2604" s="9">
        <v>1214</v>
      </c>
      <c r="F2604" s="25">
        <v>42989</v>
      </c>
      <c r="G2604" s="70" t="s">
        <v>1773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5452</v>
      </c>
      <c r="B2605" s="67">
        <v>3597715486</v>
      </c>
      <c r="C2605" s="72" t="s">
        <v>5453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5454</v>
      </c>
      <c r="B2606" s="67">
        <v>1563161532</v>
      </c>
      <c r="C2606" s="68" t="s">
        <v>5455</v>
      </c>
      <c r="D2606" s="69">
        <v>92557732591</v>
      </c>
      <c r="E2606" s="9">
        <v>1128</v>
      </c>
      <c r="F2606" s="25">
        <v>42972</v>
      </c>
      <c r="G2606" s="70" t="s">
        <v>1773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5456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5457</v>
      </c>
      <c r="B2608" s="67">
        <v>31914362861</v>
      </c>
      <c r="C2608" s="72" t="s">
        <v>5458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2056</v>
      </c>
      <c r="M2608" s="8"/>
    </row>
    <row r="2609" spans="1:13">
      <c r="A2609" s="18" t="s">
        <v>5459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5460</v>
      </c>
      <c r="B2610" s="67">
        <v>35218693855</v>
      </c>
      <c r="C2610" s="72" t="s">
        <v>5461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5462</v>
      </c>
      <c r="B2611" s="67">
        <v>30947166874</v>
      </c>
      <c r="C2611" s="72" t="s">
        <v>5463</v>
      </c>
      <c r="D2611" s="69">
        <v>1304805506</v>
      </c>
      <c r="E2611" s="9">
        <v>1241</v>
      </c>
      <c r="F2611" s="25">
        <v>42992</v>
      </c>
      <c r="G2611" s="70" t="s">
        <v>1773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5464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5465</v>
      </c>
      <c r="B2613" s="67">
        <v>3632265593</v>
      </c>
      <c r="C2613" s="72" t="s">
        <v>5466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5467</v>
      </c>
      <c r="B2614" s="67">
        <v>9500687801</v>
      </c>
      <c r="C2614" s="77" t="s">
        <v>5468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2056</v>
      </c>
      <c r="M2614" s="8"/>
    </row>
    <row r="2615" spans="1:13">
      <c r="A2615" s="71" t="s">
        <v>5469</v>
      </c>
      <c r="B2615" s="67">
        <v>78808405400</v>
      </c>
      <c r="C2615" s="72" t="s">
        <v>5470</v>
      </c>
      <c r="D2615" s="69">
        <v>6840084400</v>
      </c>
      <c r="E2615" s="9">
        <v>1824</v>
      </c>
      <c r="F2615" s="25">
        <v>43091</v>
      </c>
      <c r="G2615" s="70" t="s">
        <v>1773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5471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1773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5472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5473</v>
      </c>
      <c r="B2618" s="67">
        <v>37500289820</v>
      </c>
      <c r="C2618" s="68" t="s">
        <v>5474</v>
      </c>
      <c r="D2618" s="69">
        <v>26607571867</v>
      </c>
      <c r="E2618" s="9">
        <v>1350</v>
      </c>
      <c r="F2618" s="25">
        <v>43006</v>
      </c>
      <c r="G2618" s="70" t="s">
        <v>1773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5475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5476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1773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5477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5478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1773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5479</v>
      </c>
      <c r="B2623" s="67">
        <v>8192130800</v>
      </c>
      <c r="C2623" s="72" t="s">
        <v>5480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5481</v>
      </c>
      <c r="B2624" s="67">
        <v>26853070879</v>
      </c>
      <c r="C2624" s="18" t="s">
        <v>5482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5483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1773</v>
      </c>
      <c r="H2625" s="25">
        <v>43027</v>
      </c>
      <c r="I2625" s="8"/>
      <c r="J2625" s="8"/>
      <c r="K2625" s="8"/>
      <c r="L2625" s="9" t="s">
        <v>2010</v>
      </c>
      <c r="M2625" s="8"/>
    </row>
    <row r="2626" spans="1:13">
      <c r="A2626" s="13" t="s">
        <v>5484</v>
      </c>
      <c r="B2626" s="67">
        <v>27440063864</v>
      </c>
      <c r="C2626" s="68" t="s">
        <v>5485</v>
      </c>
      <c r="D2626" s="69">
        <v>66533287400</v>
      </c>
      <c r="E2626" s="9">
        <v>1241</v>
      </c>
      <c r="F2626" s="25">
        <v>42992</v>
      </c>
      <c r="G2626" s="70" t="s">
        <v>1773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5486</v>
      </c>
      <c r="B2627" s="67">
        <v>32362879852</v>
      </c>
      <c r="C2627" s="72" t="s">
        <v>5487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2056</v>
      </c>
      <c r="M2627" s="8"/>
    </row>
    <row r="2628" spans="1:13">
      <c r="A2628" s="15" t="s">
        <v>5488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1773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5489</v>
      </c>
      <c r="B2629" s="67">
        <v>37904123843</v>
      </c>
      <c r="C2629" s="72" t="s">
        <v>5490</v>
      </c>
      <c r="D2629" s="69">
        <v>16565739897</v>
      </c>
      <c r="E2629" s="9">
        <v>292</v>
      </c>
      <c r="F2629" s="25">
        <v>43168</v>
      </c>
      <c r="G2629" s="70" t="s">
        <v>1773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5491</v>
      </c>
      <c r="B2630" s="67">
        <v>30775860883</v>
      </c>
      <c r="C2630" s="72" t="s">
        <v>5492</v>
      </c>
      <c r="D2630" s="69">
        <v>34227894808</v>
      </c>
      <c r="E2630" s="9">
        <v>1359</v>
      </c>
      <c r="F2630" s="25">
        <v>43006</v>
      </c>
      <c r="G2630" s="70" t="s">
        <v>1773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5493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1773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5494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1773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5495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1773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5496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1773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5497</v>
      </c>
      <c r="B2635" s="67">
        <v>29287401802</v>
      </c>
      <c r="C2635" s="72" t="s">
        <v>5498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5376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1773</v>
      </c>
      <c r="H2636" s="25">
        <v>43151</v>
      </c>
      <c r="I2636" s="8"/>
      <c r="J2636" s="8"/>
      <c r="K2636" s="8"/>
      <c r="L2636" s="9" t="s">
        <v>1927</v>
      </c>
      <c r="M2636" s="8"/>
    </row>
    <row r="2637" spans="1:13">
      <c r="A2637" s="71" t="s">
        <v>5499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5500</v>
      </c>
      <c r="B2638" s="67">
        <v>36051425837</v>
      </c>
      <c r="C2638" s="77" t="s">
        <v>5501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5502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1773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5503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2056</v>
      </c>
      <c r="M2640" s="8"/>
    </row>
    <row r="2641" spans="1:13">
      <c r="A2641" s="72" t="s">
        <v>5504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5505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1773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5506</v>
      </c>
      <c r="B2643" s="67">
        <v>3212055375</v>
      </c>
      <c r="C2643" s="77" t="s">
        <v>5507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5508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1773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5509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1773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5510</v>
      </c>
      <c r="B2646" s="67">
        <v>11452168890</v>
      </c>
      <c r="C2646" s="72" t="s">
        <v>5511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5512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5513</v>
      </c>
      <c r="B2648" s="67">
        <v>31856157865</v>
      </c>
      <c r="C2648" s="72" t="s">
        <v>5514</v>
      </c>
      <c r="D2648" s="69">
        <v>94552967568</v>
      </c>
      <c r="E2648" s="9">
        <v>810</v>
      </c>
      <c r="F2648" s="25">
        <v>42915</v>
      </c>
      <c r="G2648" s="70" t="s">
        <v>1773</v>
      </c>
      <c r="H2648" s="25">
        <v>42921</v>
      </c>
      <c r="I2648" s="8"/>
      <c r="J2648" s="8"/>
      <c r="K2648" s="8"/>
      <c r="L2648" s="9" t="s">
        <v>1895</v>
      </c>
      <c r="M2648" s="8"/>
    </row>
    <row r="2649" spans="1:13">
      <c r="A2649" s="71" t="s">
        <v>5515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1773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5516</v>
      </c>
      <c r="B2650" s="67">
        <v>37478827810</v>
      </c>
      <c r="C2650" s="72" t="s">
        <v>5517</v>
      </c>
      <c r="D2650" s="69">
        <v>37591131842</v>
      </c>
      <c r="E2650" s="9">
        <v>292</v>
      </c>
      <c r="F2650" s="25">
        <v>43168</v>
      </c>
      <c r="G2650" s="70" t="s">
        <v>1773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5518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1773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5519</v>
      </c>
      <c r="B2652" s="67">
        <v>23465596870</v>
      </c>
      <c r="C2652" s="72" t="s">
        <v>5520</v>
      </c>
      <c r="D2652" s="69">
        <v>23522451848</v>
      </c>
      <c r="E2652" s="9">
        <v>292</v>
      </c>
      <c r="F2652" s="25">
        <v>43168</v>
      </c>
      <c r="G2652" s="70" t="s">
        <v>1773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5521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2056</v>
      </c>
      <c r="M2653" s="8"/>
    </row>
    <row r="2654" spans="1:13">
      <c r="A2654" s="73" t="s">
        <v>5522</v>
      </c>
      <c r="B2654" s="67">
        <v>34274784835</v>
      </c>
      <c r="C2654" s="72" t="s">
        <v>5523</v>
      </c>
      <c r="D2654" s="69">
        <v>19379885890</v>
      </c>
      <c r="E2654" s="9">
        <v>810</v>
      </c>
      <c r="F2654" s="25">
        <v>42915</v>
      </c>
      <c r="G2654" s="70" t="s">
        <v>1773</v>
      </c>
      <c r="H2654" s="25">
        <v>42921</v>
      </c>
      <c r="I2654" s="8"/>
      <c r="J2654" s="8"/>
      <c r="K2654" s="8"/>
      <c r="L2654" s="9" t="s">
        <v>1895</v>
      </c>
      <c r="M2654" s="8"/>
    </row>
    <row r="2655" spans="1:13">
      <c r="A2655" s="71" t="s">
        <v>5524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1773</v>
      </c>
      <c r="H2655" s="25">
        <v>42921</v>
      </c>
      <c r="I2655" s="8"/>
      <c r="J2655" s="8"/>
      <c r="K2655" s="8"/>
      <c r="L2655" s="9" t="s">
        <v>1895</v>
      </c>
      <c r="M2655" s="8"/>
    </row>
    <row r="2656" spans="1:13">
      <c r="A2656" s="71" t="s">
        <v>5525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1773</v>
      </c>
      <c r="H2656" s="25">
        <v>42921</v>
      </c>
      <c r="I2656" s="8"/>
      <c r="J2656" s="8"/>
      <c r="K2656" s="8"/>
      <c r="L2656" s="9" t="s">
        <v>1895</v>
      </c>
      <c r="M2656" s="8"/>
    </row>
    <row r="2657" spans="1:13">
      <c r="A2657" s="71" t="s">
        <v>5526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1773</v>
      </c>
      <c r="H2657" s="25">
        <v>43151</v>
      </c>
      <c r="I2657" s="8"/>
      <c r="J2657" s="8"/>
      <c r="K2657" s="8"/>
      <c r="L2657" s="9" t="s">
        <v>1927</v>
      </c>
      <c r="M2657" s="8"/>
    </row>
    <row r="2658" spans="1:13">
      <c r="A2658" s="71" t="s">
        <v>5527</v>
      </c>
      <c r="B2658" s="67">
        <v>41491764856</v>
      </c>
      <c r="C2658" s="72" t="s">
        <v>5528</v>
      </c>
      <c r="D2658" s="69">
        <v>91076447520</v>
      </c>
      <c r="E2658" s="9">
        <v>292</v>
      </c>
      <c r="F2658" s="25">
        <v>43168</v>
      </c>
      <c r="G2658" s="70" t="s">
        <v>1773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5529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1773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5530</v>
      </c>
      <c r="B2660" s="67">
        <v>32962624820</v>
      </c>
      <c r="C2660" s="72" t="s">
        <v>5531</v>
      </c>
      <c r="D2660" s="69">
        <v>3430918871</v>
      </c>
      <c r="E2660" s="9"/>
      <c r="F2660" s="25"/>
      <c r="G2660" s="70" t="s">
        <v>1773</v>
      </c>
      <c r="H2660" s="9"/>
      <c r="I2660" s="8"/>
      <c r="J2660" s="8"/>
      <c r="K2660" s="8"/>
      <c r="L2660" s="8"/>
      <c r="M2660" s="8"/>
    </row>
    <row r="2661" spans="1:13">
      <c r="A2661" s="71" t="s">
        <v>5532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1779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5533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5534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5535</v>
      </c>
      <c r="B2664" s="67" t="s">
        <v>5536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5537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1773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5538</v>
      </c>
      <c r="B2666" s="67">
        <v>99048957753</v>
      </c>
      <c r="C2666" s="29" t="s">
        <v>5539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5540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5541</v>
      </c>
      <c r="B2668" s="67">
        <v>11234152851</v>
      </c>
      <c r="C2668" s="72" t="s">
        <v>5542</v>
      </c>
      <c r="D2668" s="69">
        <v>11353668886</v>
      </c>
      <c r="E2668" s="9">
        <v>117</v>
      </c>
      <c r="F2668" s="25">
        <v>43117</v>
      </c>
      <c r="G2668" s="70" t="s">
        <v>1773</v>
      </c>
      <c r="H2668" s="25">
        <v>43151</v>
      </c>
      <c r="I2668" s="8"/>
      <c r="J2668" s="8"/>
      <c r="K2668" s="8"/>
      <c r="L2668" s="9" t="s">
        <v>1927</v>
      </c>
      <c r="M2668" s="8"/>
    </row>
    <row r="2669" spans="1:13">
      <c r="A2669" s="14" t="s">
        <v>5543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5544</v>
      </c>
      <c r="B2670" s="67">
        <v>39109326812</v>
      </c>
      <c r="C2670" s="29" t="s">
        <v>5545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5546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1773</v>
      </c>
      <c r="H2671" s="25">
        <v>42921</v>
      </c>
      <c r="I2671" s="8"/>
      <c r="J2671" s="8"/>
      <c r="K2671" s="8"/>
      <c r="L2671" s="9" t="s">
        <v>1895</v>
      </c>
      <c r="M2671" s="8"/>
    </row>
    <row r="2672" spans="1:13">
      <c r="A2672" s="71" t="s">
        <v>5547</v>
      </c>
      <c r="B2672" s="67">
        <v>33211970819</v>
      </c>
      <c r="C2672" s="72" t="s">
        <v>5548</v>
      </c>
      <c r="D2672" s="69">
        <v>22546816802</v>
      </c>
      <c r="E2672" s="9">
        <v>810</v>
      </c>
      <c r="F2672" s="25">
        <v>42915</v>
      </c>
      <c r="G2672" s="70" t="s">
        <v>1773</v>
      </c>
      <c r="H2672" s="25">
        <v>42921</v>
      </c>
      <c r="I2672" s="8"/>
      <c r="J2672" s="8"/>
      <c r="K2672" s="8"/>
      <c r="L2672" s="9" t="s">
        <v>1895</v>
      </c>
      <c r="M2672" s="8"/>
    </row>
    <row r="2673" spans="1:13">
      <c r="A2673" s="71" t="s">
        <v>5549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1773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5550</v>
      </c>
      <c r="B2674" s="67">
        <v>45170442890</v>
      </c>
      <c r="C2674" s="18" t="s">
        <v>1886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5551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1773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5552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1773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5553</v>
      </c>
      <c r="B2677" s="67"/>
      <c r="C2677" s="71" t="s">
        <v>5554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5555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5556</v>
      </c>
      <c r="B2679" s="67"/>
      <c r="C2679" s="29" t="s">
        <v>1886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5557</v>
      </c>
      <c r="B2680" s="67">
        <v>1846996490</v>
      </c>
      <c r="C2680" s="72" t="s">
        <v>5558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5559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1773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5560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1773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5561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1773</v>
      </c>
      <c r="H2683" s="25">
        <v>43027</v>
      </c>
      <c r="I2683" s="8"/>
      <c r="J2683" s="8"/>
      <c r="K2683" s="8"/>
      <c r="L2683" s="9" t="s">
        <v>2010</v>
      </c>
      <c r="M2683" s="8"/>
    </row>
    <row r="2684" spans="1:13">
      <c r="A2684" s="13" t="s">
        <v>5562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1773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5563</v>
      </c>
      <c r="B2685" s="67"/>
      <c r="C2685" s="29" t="s">
        <v>1886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5564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1773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5565</v>
      </c>
      <c r="B2687" s="67">
        <v>18033634871</v>
      </c>
      <c r="C2687" s="72" t="s">
        <v>5566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5567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5568</v>
      </c>
      <c r="B2689" s="67">
        <v>16155105839</v>
      </c>
      <c r="C2689" s="72" t="s">
        <v>5569</v>
      </c>
      <c r="D2689" s="69">
        <v>53581717468</v>
      </c>
      <c r="E2689" s="9">
        <v>1359</v>
      </c>
      <c r="F2689" s="25">
        <v>43006</v>
      </c>
      <c r="G2689" s="70" t="s">
        <v>1773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5570</v>
      </c>
      <c r="B2690" s="67">
        <v>33244692877</v>
      </c>
      <c r="C2690" s="72" t="s">
        <v>5571</v>
      </c>
      <c r="D2690" s="69">
        <v>7582246802</v>
      </c>
      <c r="E2690" s="9">
        <v>1417</v>
      </c>
      <c r="F2690" s="25">
        <v>43017</v>
      </c>
      <c r="G2690" s="70" t="s">
        <v>1773</v>
      </c>
      <c r="H2690" s="25">
        <v>43027</v>
      </c>
      <c r="I2690" s="8"/>
      <c r="J2690" s="8"/>
      <c r="K2690" s="8"/>
      <c r="L2690" s="9" t="s">
        <v>2010</v>
      </c>
      <c r="M2690" s="8"/>
    </row>
    <row r="2691" spans="1:13">
      <c r="A2691" s="71" t="s">
        <v>5572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5573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5574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5575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5576</v>
      </c>
      <c r="B2695" s="67">
        <v>8715634795</v>
      </c>
      <c r="C2695" s="72" t="s">
        <v>5577</v>
      </c>
      <c r="D2695" s="69">
        <v>30386378827</v>
      </c>
      <c r="E2695" s="9">
        <v>1106</v>
      </c>
      <c r="F2695" s="25">
        <v>42965</v>
      </c>
      <c r="G2695" s="70" t="s">
        <v>1773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5578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1773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5579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1773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5580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5581</v>
      </c>
      <c r="B2699" s="67">
        <v>85941933517</v>
      </c>
      <c r="C2699" s="72" t="s">
        <v>5582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5583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5584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5585</v>
      </c>
      <c r="B2702" s="67"/>
      <c r="C2702" s="18" t="s">
        <v>1886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5586</v>
      </c>
      <c r="B2703" s="67">
        <v>39766945845</v>
      </c>
      <c r="C2703" s="72" t="s">
        <v>5587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5588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1773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5589</v>
      </c>
      <c r="B2705" s="67">
        <v>16374846826</v>
      </c>
      <c r="C2705" s="72" t="s">
        <v>5590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5591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5592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1773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5593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1773</v>
      </c>
      <c r="H2708" s="9"/>
      <c r="I2708" s="8"/>
      <c r="J2708" s="8"/>
      <c r="K2708" s="8"/>
      <c r="L2708" s="9" t="s">
        <v>2155</v>
      </c>
      <c r="M2708" s="8"/>
    </row>
    <row r="2709" spans="1:13">
      <c r="A2709" s="71" t="s">
        <v>5594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1773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5595</v>
      </c>
      <c r="B2710" s="67">
        <v>14337129898</v>
      </c>
      <c r="C2710" s="77" t="s">
        <v>5596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5597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1773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5598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1773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5599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5600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5601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1773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5602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5603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5604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1787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5605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1773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5606</v>
      </c>
      <c r="B2720" s="67">
        <v>38482003844</v>
      </c>
      <c r="C2720" s="72" t="s">
        <v>5607</v>
      </c>
      <c r="D2720" s="69">
        <v>34337869840</v>
      </c>
      <c r="E2720" s="9">
        <v>117</v>
      </c>
      <c r="F2720" s="25">
        <v>43117</v>
      </c>
      <c r="G2720" s="70" t="s">
        <v>1773</v>
      </c>
      <c r="H2720" s="25">
        <v>43151</v>
      </c>
      <c r="I2720" s="8"/>
      <c r="J2720" s="8"/>
      <c r="K2720" s="8"/>
      <c r="L2720" s="9" t="s">
        <v>1927</v>
      </c>
      <c r="M2720" s="8"/>
    </row>
    <row r="2721" spans="1:13">
      <c r="A2721" s="71" t="s">
        <v>5608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5609</v>
      </c>
      <c r="B2722" s="67">
        <v>33079736818</v>
      </c>
      <c r="C2722" s="72" t="s">
        <v>5610</v>
      </c>
      <c r="D2722" s="69">
        <v>35642667807</v>
      </c>
      <c r="E2722" s="9">
        <v>262</v>
      </c>
      <c r="F2722" s="25">
        <v>43160</v>
      </c>
      <c r="G2722" s="70" t="s">
        <v>1773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5611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5612</v>
      </c>
      <c r="B2724" s="67">
        <v>31620090813</v>
      </c>
      <c r="C2724" s="72" t="s">
        <v>5613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5614</v>
      </c>
      <c r="B2725" s="67">
        <v>39621579805</v>
      </c>
      <c r="C2725" s="77" t="s">
        <v>5615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5616</v>
      </c>
      <c r="B2726" s="67">
        <v>221267328</v>
      </c>
      <c r="C2726" s="72" t="s">
        <v>5617</v>
      </c>
      <c r="D2726" s="69">
        <v>98610830306</v>
      </c>
      <c r="E2726" s="9">
        <v>85</v>
      </c>
      <c r="F2726" s="25">
        <v>43109</v>
      </c>
      <c r="G2726" s="70" t="s">
        <v>1773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5618</v>
      </c>
      <c r="B2727" s="67">
        <v>35706262888</v>
      </c>
      <c r="C2727" s="71" t="s">
        <v>5619</v>
      </c>
      <c r="D2727" s="69">
        <v>28992397836</v>
      </c>
      <c r="E2727" s="9">
        <v>292</v>
      </c>
      <c r="F2727" s="25">
        <v>43168</v>
      </c>
      <c r="G2727" s="9" t="s">
        <v>1773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5620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1773</v>
      </c>
      <c r="H2728" s="25">
        <v>42921</v>
      </c>
      <c r="I2728" s="8"/>
      <c r="J2728" s="8"/>
      <c r="K2728" s="8"/>
      <c r="L2728" s="9" t="s">
        <v>1895</v>
      </c>
      <c r="M2728" s="8"/>
    </row>
    <row r="2729" spans="1:13">
      <c r="A2729" s="71" t="s">
        <v>5621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1773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5622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5623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1773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5624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5625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5626</v>
      </c>
      <c r="B2734" s="67">
        <v>34393827880</v>
      </c>
      <c r="C2734" s="72" t="s">
        <v>5627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5628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5629</v>
      </c>
      <c r="B2736" s="67">
        <v>35679630826</v>
      </c>
      <c r="C2736" s="72" t="s">
        <v>5630</v>
      </c>
      <c r="D2736" s="69">
        <v>34083542861</v>
      </c>
      <c r="E2736" s="9">
        <v>1752</v>
      </c>
      <c r="F2736" s="25">
        <v>43051</v>
      </c>
      <c r="G2736" s="70" t="s">
        <v>1773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5631</v>
      </c>
      <c r="B2737" s="67">
        <v>34949006800</v>
      </c>
      <c r="C2737" s="18" t="s">
        <v>5632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5633</v>
      </c>
      <c r="B2738" s="67">
        <v>1157524559</v>
      </c>
      <c r="C2738" s="72" t="s">
        <v>5634</v>
      </c>
      <c r="D2738" s="69">
        <v>1436524512</v>
      </c>
      <c r="E2738" s="9">
        <v>117</v>
      </c>
      <c r="F2738" s="25">
        <v>43117</v>
      </c>
      <c r="G2738" s="70" t="s">
        <v>1779</v>
      </c>
      <c r="H2738" s="25">
        <v>43151</v>
      </c>
      <c r="I2738" s="8"/>
      <c r="J2738" s="8"/>
      <c r="K2738" s="8"/>
      <c r="L2738" s="9" t="s">
        <v>1927</v>
      </c>
      <c r="M2738" s="8"/>
    </row>
    <row r="2739" spans="1:13">
      <c r="A2739" s="71" t="s">
        <v>5635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1773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5636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1773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5637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1773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5638</v>
      </c>
      <c r="B2742" s="67">
        <v>21686263830</v>
      </c>
      <c r="C2742" s="29" t="s">
        <v>5639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5640</v>
      </c>
      <c r="B2743" s="67">
        <v>22497995800</v>
      </c>
      <c r="C2743" s="18" t="s">
        <v>5641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5642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1773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5643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5644</v>
      </c>
      <c r="B2746" s="67">
        <v>40291692877</v>
      </c>
      <c r="C2746" s="72" t="s">
        <v>5645</v>
      </c>
      <c r="D2746" s="69">
        <v>1566073367</v>
      </c>
      <c r="E2746" s="9">
        <v>810</v>
      </c>
      <c r="F2746" s="25">
        <v>42915</v>
      </c>
      <c r="G2746" s="70" t="s">
        <v>1773</v>
      </c>
      <c r="H2746" s="25">
        <v>42921</v>
      </c>
      <c r="I2746" s="8"/>
      <c r="J2746" s="8"/>
      <c r="K2746" s="8"/>
      <c r="L2746" s="9" t="s">
        <v>1895</v>
      </c>
      <c r="M2746" s="8"/>
    </row>
    <row r="2747" spans="1:13">
      <c r="A2747" s="72" t="s">
        <v>5646</v>
      </c>
      <c r="B2747" s="67">
        <v>11767064896</v>
      </c>
      <c r="C2747" s="72" t="s">
        <v>5647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5648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1773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5649</v>
      </c>
      <c r="B2749" s="67">
        <v>49009893391</v>
      </c>
      <c r="C2749" s="72" t="s">
        <v>5650</v>
      </c>
      <c r="D2749" s="69">
        <v>37349813368</v>
      </c>
      <c r="E2749" s="9">
        <v>292</v>
      </c>
      <c r="F2749" s="25">
        <v>43168</v>
      </c>
      <c r="G2749" s="70" t="s">
        <v>1773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5651</v>
      </c>
      <c r="B2750" s="67">
        <v>92361587572</v>
      </c>
      <c r="C2750" s="72" t="s">
        <v>5652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5653</v>
      </c>
      <c r="B2751" s="67">
        <v>17487435890</v>
      </c>
      <c r="C2751" s="72" t="s">
        <v>5654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5655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1773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5656</v>
      </c>
      <c r="B2753" s="67">
        <v>86815121615</v>
      </c>
      <c r="C2753" s="72" t="s">
        <v>5657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5658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5659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5660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1773</v>
      </c>
      <c r="H2756" s="25">
        <v>42921</v>
      </c>
      <c r="I2756" s="8"/>
      <c r="J2756" s="8"/>
      <c r="K2756" s="8"/>
      <c r="L2756" s="9" t="s">
        <v>1895</v>
      </c>
      <c r="M2756" s="8"/>
    </row>
    <row r="2757" spans="1:13">
      <c r="A2757" s="72" t="s">
        <v>5661</v>
      </c>
      <c r="B2757" s="67">
        <v>25261161800</v>
      </c>
      <c r="C2757" s="72" t="s">
        <v>5662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5663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1773</v>
      </c>
      <c r="H2758" s="25">
        <v>43151</v>
      </c>
      <c r="I2758" s="8"/>
      <c r="J2758" s="8"/>
      <c r="K2758" s="8"/>
      <c r="L2758" s="9" t="s">
        <v>1927</v>
      </c>
      <c r="M2758" s="8"/>
    </row>
    <row r="2759" spans="1:13">
      <c r="A2759" s="71" t="s">
        <v>5664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1773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5665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5666</v>
      </c>
      <c r="B2761" s="67">
        <v>22638604879</v>
      </c>
      <c r="C2761" s="72" t="s">
        <v>5667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5668</v>
      </c>
      <c r="B2762" s="67" t="s">
        <v>5669</v>
      </c>
      <c r="C2762" s="18" t="s">
        <v>5670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5671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5672</v>
      </c>
      <c r="B2764" s="67">
        <v>32880462886</v>
      </c>
      <c r="C2764" s="72" t="s">
        <v>5673</v>
      </c>
      <c r="D2764" s="69">
        <v>30845711806</v>
      </c>
      <c r="E2764" s="9">
        <v>810</v>
      </c>
      <c r="F2764" s="25">
        <v>42915</v>
      </c>
      <c r="G2764" s="70" t="s">
        <v>1773</v>
      </c>
      <c r="H2764" s="25">
        <v>42921</v>
      </c>
      <c r="I2764" s="8"/>
      <c r="J2764" s="8"/>
      <c r="K2764" s="8"/>
      <c r="L2764" s="9" t="s">
        <v>1895</v>
      </c>
      <c r="M2764" s="8"/>
    </row>
    <row r="2765" spans="1:13">
      <c r="A2765" s="29" t="s">
        <v>5674</v>
      </c>
      <c r="B2765" s="67">
        <v>31228758883</v>
      </c>
      <c r="C2765" s="29" t="s">
        <v>5675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5676</v>
      </c>
      <c r="B2766" s="67">
        <v>40443218846</v>
      </c>
      <c r="C2766" s="88" t="s">
        <v>5677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5678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1773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5679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1779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5680</v>
      </c>
      <c r="B2769" s="67"/>
      <c r="C2769" s="29" t="s">
        <v>5681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5682</v>
      </c>
      <c r="B2770" s="67">
        <v>34462426860</v>
      </c>
      <c r="C2770" s="72" t="s">
        <v>5683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2056</v>
      </c>
      <c r="M2770" s="8"/>
    </row>
    <row r="2771" spans="1:13">
      <c r="A2771" s="15" t="s">
        <v>5684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1773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5685</v>
      </c>
      <c r="B2772" s="67">
        <v>39600488827</v>
      </c>
      <c r="C2772" s="72" t="s">
        <v>5686</v>
      </c>
      <c r="D2772" s="69">
        <v>34795746885</v>
      </c>
      <c r="E2772" s="9">
        <v>292</v>
      </c>
      <c r="F2772" s="25">
        <v>43168</v>
      </c>
      <c r="G2772" s="70" t="s">
        <v>1773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5687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5688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1787</v>
      </c>
      <c r="H2774" s="25">
        <v>42921</v>
      </c>
      <c r="I2774" s="8"/>
      <c r="J2774" s="8"/>
      <c r="K2774" s="8"/>
      <c r="L2774" s="9" t="s">
        <v>1895</v>
      </c>
      <c r="M2774" s="8"/>
    </row>
    <row r="2775" spans="1:13">
      <c r="A2775" s="71" t="s">
        <v>5689</v>
      </c>
      <c r="B2775" s="67">
        <v>32768872822</v>
      </c>
      <c r="C2775" s="72" t="s">
        <v>5690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5691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1773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5692</v>
      </c>
      <c r="B2777" s="67">
        <v>85942588104</v>
      </c>
      <c r="C2777" s="88" t="s">
        <v>5693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5694</v>
      </c>
      <c r="B2778" s="67"/>
      <c r="C2778" s="29" t="s">
        <v>1886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5695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1773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5696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1773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5697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5698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5699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1773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5700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1773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5701</v>
      </c>
      <c r="B2785" s="67">
        <v>30834349876</v>
      </c>
      <c r="C2785" s="72" t="s">
        <v>5702</v>
      </c>
      <c r="D2785" s="69">
        <v>58355561520</v>
      </c>
      <c r="E2785" s="9">
        <v>262</v>
      </c>
      <c r="F2785" s="25">
        <v>43160</v>
      </c>
      <c r="G2785" s="70" t="s">
        <v>1773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5703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1773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5704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1779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5705</v>
      </c>
      <c r="B2788" s="67">
        <v>22682142818</v>
      </c>
      <c r="C2788" s="72" t="s">
        <v>4505</v>
      </c>
      <c r="D2788" s="69">
        <v>22853401847</v>
      </c>
      <c r="E2788" s="9">
        <v>117</v>
      </c>
      <c r="F2788" s="25">
        <v>43117</v>
      </c>
      <c r="G2788" s="70" t="s">
        <v>1773</v>
      </c>
      <c r="H2788" s="25">
        <v>43151</v>
      </c>
      <c r="I2788" s="8"/>
      <c r="J2788" s="8"/>
      <c r="K2788" s="8"/>
      <c r="L2788" s="9" t="s">
        <v>1927</v>
      </c>
      <c r="M2788" s="8"/>
    </row>
    <row r="2789" spans="1:13">
      <c r="A2789" s="71" t="s">
        <v>5706</v>
      </c>
      <c r="B2789" s="67">
        <v>32700235886</v>
      </c>
      <c r="C2789" s="72" t="s">
        <v>5707</v>
      </c>
      <c r="D2789" s="69">
        <v>30542314886</v>
      </c>
      <c r="E2789" s="9">
        <v>292</v>
      </c>
      <c r="F2789" s="25">
        <v>43168</v>
      </c>
      <c r="G2789" s="70" t="s">
        <v>1773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5708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5709</v>
      </c>
      <c r="B2791" s="67">
        <v>12487731877</v>
      </c>
      <c r="C2791" s="72" t="s">
        <v>5710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5711</v>
      </c>
      <c r="B2792" s="67" t="s">
        <v>5712</v>
      </c>
      <c r="C2792" s="88" t="s">
        <v>5713</v>
      </c>
      <c r="D2792" s="69" t="s">
        <v>5714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5715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1773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5716</v>
      </c>
      <c r="B2794" s="67">
        <v>35705436840</v>
      </c>
      <c r="C2794" s="88" t="s">
        <v>5717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5718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1787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5719</v>
      </c>
      <c r="B2796" s="67">
        <v>34086913801</v>
      </c>
      <c r="C2796" s="72" t="s">
        <v>5720</v>
      </c>
      <c r="D2796" s="69">
        <v>31013050800</v>
      </c>
      <c r="E2796" s="9">
        <v>229</v>
      </c>
      <c r="F2796" s="25">
        <v>43151</v>
      </c>
      <c r="G2796" s="70" t="s">
        <v>1773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5721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1773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5722</v>
      </c>
      <c r="B2798" s="67">
        <v>24648996828</v>
      </c>
      <c r="C2798" s="72" t="s">
        <v>5723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5724</v>
      </c>
      <c r="B2799" s="67">
        <v>87445824472</v>
      </c>
      <c r="C2799" s="72" t="s">
        <v>5725</v>
      </c>
      <c r="D2799" s="69">
        <v>30439764874</v>
      </c>
      <c r="E2799" s="9">
        <v>1417</v>
      </c>
      <c r="F2799" s="25">
        <v>43017</v>
      </c>
      <c r="G2799" s="70" t="s">
        <v>1773</v>
      </c>
      <c r="H2799" s="25">
        <v>43027</v>
      </c>
      <c r="I2799" s="8"/>
      <c r="J2799" s="8"/>
      <c r="K2799" s="8"/>
      <c r="L2799" s="9" t="s">
        <v>2010</v>
      </c>
      <c r="M2799" s="8"/>
    </row>
    <row r="2800" spans="1:13">
      <c r="A2800" s="71" t="s">
        <v>5726</v>
      </c>
      <c r="B2800" s="67">
        <v>25630230840</v>
      </c>
      <c r="C2800" s="77" t="s">
        <v>5727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2056</v>
      </c>
      <c r="M2800" s="8"/>
    </row>
    <row r="2801" spans="1:13">
      <c r="A2801" s="71" t="s">
        <v>5728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1773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5729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1773</v>
      </c>
      <c r="H2802" s="25">
        <v>43027</v>
      </c>
      <c r="I2802" s="8"/>
      <c r="J2802" s="8"/>
      <c r="K2802" s="8"/>
      <c r="L2802" s="9" t="s">
        <v>2010</v>
      </c>
      <c r="M2802" s="8"/>
    </row>
    <row r="2803" spans="1:13">
      <c r="A2803" s="71" t="s">
        <v>5730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5731</v>
      </c>
      <c r="B2804" s="67">
        <v>17128618830</v>
      </c>
      <c r="C2804" s="72" t="s">
        <v>5732</v>
      </c>
      <c r="D2804" s="69">
        <v>69305315534</v>
      </c>
      <c r="E2804" s="9">
        <v>810</v>
      </c>
      <c r="F2804" s="25">
        <v>42915</v>
      </c>
      <c r="G2804" s="70" t="s">
        <v>1779</v>
      </c>
      <c r="H2804" s="25">
        <v>42921</v>
      </c>
      <c r="I2804" s="8"/>
      <c r="J2804" s="8"/>
      <c r="K2804" s="8"/>
      <c r="L2804" s="9" t="s">
        <v>1895</v>
      </c>
      <c r="M2804" s="8"/>
    </row>
    <row r="2805" spans="1:13">
      <c r="A2805" s="71" t="s">
        <v>5733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5734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5735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5736</v>
      </c>
      <c r="B2808" s="67">
        <v>79572421468</v>
      </c>
      <c r="C2808" s="29" t="s">
        <v>5737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5738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1773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5739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5740</v>
      </c>
      <c r="B2811" s="67">
        <v>44518427866</v>
      </c>
      <c r="C2811" s="72" t="s">
        <v>5741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5742</v>
      </c>
      <c r="B2812" s="67">
        <v>35625515840</v>
      </c>
      <c r="C2812" s="72" t="s">
        <v>5743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5744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5745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2056</v>
      </c>
      <c r="M2814" s="8"/>
    </row>
    <row r="2815" spans="1:13">
      <c r="A2815" s="18" t="s">
        <v>5746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5747</v>
      </c>
      <c r="B2816" s="67">
        <v>40663707803</v>
      </c>
      <c r="C2816" s="72" t="s">
        <v>5748</v>
      </c>
      <c r="D2816" s="69">
        <v>35138540807</v>
      </c>
      <c r="E2816" s="9">
        <v>262</v>
      </c>
      <c r="F2816" s="25">
        <v>43160</v>
      </c>
      <c r="G2816" s="70" t="s">
        <v>1773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5749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5750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5751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1773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5752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1773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5753</v>
      </c>
      <c r="B2821" s="67"/>
      <c r="C2821" s="29" t="s">
        <v>5754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5755</v>
      </c>
      <c r="B2822" s="67">
        <v>40874659850</v>
      </c>
      <c r="C2822" s="77" t="s">
        <v>5756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2056</v>
      </c>
      <c r="M2822" s="8"/>
    </row>
    <row r="2823" spans="1:13">
      <c r="A2823" s="29" t="s">
        <v>5757</v>
      </c>
      <c r="B2823" s="67"/>
      <c r="C2823" s="29" t="s">
        <v>5758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5759</v>
      </c>
      <c r="B2824" s="67">
        <v>37028047814</v>
      </c>
      <c r="C2824" s="72" t="s">
        <v>5760</v>
      </c>
      <c r="D2824" s="69">
        <v>34812554896</v>
      </c>
      <c r="E2824" s="9">
        <v>1824</v>
      </c>
      <c r="F2824" s="25">
        <v>43091</v>
      </c>
      <c r="G2824" s="70" t="s">
        <v>1773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5761</v>
      </c>
      <c r="B2825" s="67">
        <v>10774591650</v>
      </c>
      <c r="C2825" s="72" t="s">
        <v>5762</v>
      </c>
      <c r="D2825" s="69">
        <v>33230795822</v>
      </c>
      <c r="E2825" s="9">
        <v>292</v>
      </c>
      <c r="F2825" s="25">
        <v>43168</v>
      </c>
      <c r="G2825" s="70" t="s">
        <v>1773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5763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1773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5764</v>
      </c>
      <c r="B2827" s="67">
        <v>42779099810</v>
      </c>
      <c r="C2827" s="18" t="s">
        <v>5765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5766</v>
      </c>
      <c r="B2828" s="67">
        <v>50748310835</v>
      </c>
      <c r="C2828" s="18" t="s">
        <v>5767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5768</v>
      </c>
      <c r="B2829" s="67">
        <v>42651266850</v>
      </c>
      <c r="C2829" s="72" t="s">
        <v>5769</v>
      </c>
      <c r="D2829" s="69">
        <v>3580715429</v>
      </c>
      <c r="E2829" s="9">
        <v>1350</v>
      </c>
      <c r="F2829" s="25">
        <v>43006</v>
      </c>
      <c r="G2829" s="70" t="s">
        <v>1773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5770</v>
      </c>
      <c r="B2830" s="67">
        <v>36474824808</v>
      </c>
      <c r="C2830" s="72" t="s">
        <v>5771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5772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5773</v>
      </c>
      <c r="B2832" s="67">
        <v>22034628845</v>
      </c>
      <c r="C2832" s="72" t="s">
        <v>5774</v>
      </c>
      <c r="D2832" s="69">
        <v>26990288515</v>
      </c>
      <c r="E2832" s="9">
        <v>1555</v>
      </c>
      <c r="F2832" s="25">
        <v>43049</v>
      </c>
      <c r="G2832" s="70" t="s">
        <v>1773</v>
      </c>
      <c r="H2832" s="9"/>
      <c r="I2832" s="8"/>
      <c r="J2832" s="8"/>
      <c r="K2832" s="8"/>
      <c r="L2832" s="9" t="s">
        <v>2155</v>
      </c>
      <c r="M2832" s="8"/>
    </row>
    <row r="2833" spans="1:13">
      <c r="A2833" s="71" t="s">
        <v>5775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5776</v>
      </c>
      <c r="B2834" s="67">
        <v>10782475876</v>
      </c>
      <c r="C2834" s="72" t="s">
        <v>5777</v>
      </c>
      <c r="D2834" s="69">
        <v>616947895</v>
      </c>
      <c r="E2834" s="9">
        <v>1214</v>
      </c>
      <c r="F2834" s="25">
        <v>42989</v>
      </c>
      <c r="G2834" s="70" t="s">
        <v>1773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5778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1773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5779</v>
      </c>
      <c r="B2836" s="67"/>
      <c r="C2836" s="18" t="s">
        <v>1886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5780</v>
      </c>
      <c r="B2837" s="67">
        <v>42151049809</v>
      </c>
      <c r="C2837" s="68" t="s">
        <v>5781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5782</v>
      </c>
      <c r="B2838" s="67">
        <v>38785656828</v>
      </c>
      <c r="C2838" s="18" t="s">
        <v>5783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5784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5785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1773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5786</v>
      </c>
      <c r="B2841" s="67">
        <v>22815009854</v>
      </c>
      <c r="C2841" s="77" t="s">
        <v>5787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5788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1779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5789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5790</v>
      </c>
      <c r="B2844" s="67">
        <v>40506629813</v>
      </c>
      <c r="C2844" s="72" t="s">
        <v>5791</v>
      </c>
      <c r="D2844" s="69">
        <v>32485329800</v>
      </c>
      <c r="E2844" s="9">
        <v>262</v>
      </c>
      <c r="F2844" s="25">
        <v>43160</v>
      </c>
      <c r="G2844" s="70" t="s">
        <v>1773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5792</v>
      </c>
      <c r="B2845" s="67">
        <v>31504729897</v>
      </c>
      <c r="C2845" s="68" t="s">
        <v>5793</v>
      </c>
      <c r="D2845" s="69">
        <v>24816878840</v>
      </c>
      <c r="E2845" s="9">
        <v>1214</v>
      </c>
      <c r="F2845" s="25">
        <v>42989</v>
      </c>
      <c r="G2845" s="70" t="s">
        <v>1773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5794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1773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5795</v>
      </c>
      <c r="B2847" s="67">
        <v>12925287700</v>
      </c>
      <c r="C2847" s="72" t="s">
        <v>5796</v>
      </c>
      <c r="D2847" s="69">
        <v>37253983807</v>
      </c>
      <c r="E2847" s="9">
        <v>1752</v>
      </c>
      <c r="F2847" s="25">
        <v>43051</v>
      </c>
      <c r="G2847" s="70" t="s">
        <v>1773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5797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2056</v>
      </c>
      <c r="M2848" s="8"/>
    </row>
    <row r="2849" spans="1:13">
      <c r="A2849" s="71" t="s">
        <v>5798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1773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5799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1773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5800</v>
      </c>
      <c r="B2851" s="67">
        <v>26735743873</v>
      </c>
      <c r="C2851" s="72" t="s">
        <v>5801</v>
      </c>
      <c r="D2851" s="69">
        <v>14913845810</v>
      </c>
      <c r="E2851" s="9">
        <v>1214</v>
      </c>
      <c r="F2851" s="25">
        <v>42989</v>
      </c>
      <c r="G2851" s="70" t="s">
        <v>1779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5802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1773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5803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1773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5804</v>
      </c>
      <c r="B2854" s="67">
        <v>26193222863</v>
      </c>
      <c r="C2854" s="18" t="s">
        <v>5805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5806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5807</v>
      </c>
      <c r="B2856" s="67">
        <v>3381508890</v>
      </c>
      <c r="C2856" s="72" t="s">
        <v>5808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2056</v>
      </c>
      <c r="M2856" s="8"/>
    </row>
    <row r="2857" spans="1:13">
      <c r="A2857" s="15" t="s">
        <v>5809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1773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5810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5811</v>
      </c>
      <c r="B2859" s="67">
        <v>11507771843</v>
      </c>
      <c r="C2859" s="72" t="s">
        <v>5812</v>
      </c>
      <c r="D2859" s="69">
        <v>6898979876</v>
      </c>
      <c r="E2859" s="9">
        <v>292</v>
      </c>
      <c r="F2859" s="25">
        <v>43168</v>
      </c>
      <c r="G2859" s="70" t="s">
        <v>1773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5813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1773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5814</v>
      </c>
      <c r="B2861" s="67">
        <v>42597970850</v>
      </c>
      <c r="C2861" s="72" t="s">
        <v>5815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5816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5817</v>
      </c>
      <c r="B2863" s="67"/>
      <c r="C2863" s="29" t="s">
        <v>5818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5819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1773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5820</v>
      </c>
      <c r="B2865" s="67">
        <v>48081983805</v>
      </c>
      <c r="C2865" s="77" t="s">
        <v>5821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5822</v>
      </c>
      <c r="B2866" s="67">
        <v>43249836826</v>
      </c>
      <c r="C2866" s="72" t="s">
        <v>5823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5824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1773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5825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5826</v>
      </c>
      <c r="B2869" s="67">
        <v>11894872681</v>
      </c>
      <c r="C2869" s="72" t="s">
        <v>5827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5828</v>
      </c>
      <c r="B2870" s="67">
        <v>40155044885</v>
      </c>
      <c r="C2870" s="72" t="s">
        <v>5829</v>
      </c>
      <c r="D2870" s="69">
        <v>34935837888</v>
      </c>
      <c r="E2870" s="9">
        <v>292</v>
      </c>
      <c r="F2870" s="25">
        <v>43168</v>
      </c>
      <c r="G2870" s="9" t="s">
        <v>1773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5830</v>
      </c>
      <c r="B2871" s="67">
        <v>35165262898</v>
      </c>
      <c r="C2871" s="68" t="s">
        <v>5831</v>
      </c>
      <c r="D2871" s="69">
        <v>34112749805</v>
      </c>
      <c r="E2871" s="9">
        <v>1241</v>
      </c>
      <c r="F2871" s="25">
        <v>42992</v>
      </c>
      <c r="G2871" s="70" t="s">
        <v>1773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5832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1773</v>
      </c>
      <c r="H2872" s="25">
        <v>43151</v>
      </c>
      <c r="I2872" s="8"/>
      <c r="J2872" s="8"/>
      <c r="K2872" s="8"/>
      <c r="L2872" s="9" t="s">
        <v>1927</v>
      </c>
      <c r="M2872" s="8"/>
    </row>
    <row r="2873" spans="1:13">
      <c r="A2873" s="72" t="s">
        <v>5833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5834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1773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5835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1773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5836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1773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5837</v>
      </c>
      <c r="B2877" s="67">
        <v>40770970885</v>
      </c>
      <c r="C2877" s="72" t="s">
        <v>5838</v>
      </c>
      <c r="D2877" s="69">
        <v>43652847890</v>
      </c>
      <c r="E2877" s="9">
        <v>117</v>
      </c>
      <c r="F2877" s="25">
        <v>43117</v>
      </c>
      <c r="G2877" s="70" t="s">
        <v>1773</v>
      </c>
      <c r="H2877" s="25">
        <v>43151</v>
      </c>
      <c r="I2877" s="8"/>
      <c r="J2877" s="8"/>
      <c r="K2877" s="8"/>
      <c r="L2877" s="9" t="s">
        <v>1927</v>
      </c>
      <c r="M2877" s="8"/>
    </row>
    <row r="2878" spans="1:13">
      <c r="A2878" s="29" t="s">
        <v>5839</v>
      </c>
      <c r="B2878" s="67"/>
      <c r="C2878" s="18" t="s">
        <v>1886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5840</v>
      </c>
      <c r="B2879" s="67">
        <v>38462624800</v>
      </c>
      <c r="C2879" s="18" t="s">
        <v>1886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5841</v>
      </c>
      <c r="B2880" s="67">
        <v>30942876890</v>
      </c>
      <c r="C2880" s="72" t="s">
        <v>5842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5843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1773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5844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1773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5845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1773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5846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5847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1773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5848</v>
      </c>
      <c r="B2886" s="67">
        <v>28965520819</v>
      </c>
      <c r="C2886" s="72" t="s">
        <v>5849</v>
      </c>
      <c r="D2886" s="69">
        <v>8432372447</v>
      </c>
      <c r="E2886" s="9">
        <v>1824</v>
      </c>
      <c r="F2886" s="25">
        <v>43091</v>
      </c>
      <c r="G2886" s="70" t="s">
        <v>1779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5850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5851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2056</v>
      </c>
      <c r="M2888" s="8"/>
    </row>
    <row r="2889" spans="1:13">
      <c r="A2889" s="71" t="s">
        <v>5852</v>
      </c>
      <c r="B2889" s="67">
        <v>31336065818</v>
      </c>
      <c r="C2889" s="72" t="s">
        <v>5853</v>
      </c>
      <c r="D2889" s="69">
        <v>43264481804</v>
      </c>
      <c r="E2889" s="9">
        <v>1214</v>
      </c>
      <c r="F2889" s="25">
        <v>42989</v>
      </c>
      <c r="G2889" s="70" t="s">
        <v>1773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5854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5855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1773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5856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1773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5857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1773</v>
      </c>
      <c r="H2893" s="25">
        <v>43027</v>
      </c>
      <c r="I2893" s="8"/>
      <c r="J2893" s="8"/>
      <c r="K2893" s="8"/>
      <c r="L2893" s="9" t="s">
        <v>2259</v>
      </c>
      <c r="M2893" s="8"/>
    </row>
    <row r="2894" spans="1:13">
      <c r="A2894" s="15" t="s">
        <v>5858</v>
      </c>
      <c r="B2894" s="67">
        <v>2655794494</v>
      </c>
      <c r="C2894" s="72" t="s">
        <v>5859</v>
      </c>
      <c r="D2894" s="69">
        <v>96385081591</v>
      </c>
      <c r="E2894" s="9">
        <v>117</v>
      </c>
      <c r="F2894" s="25">
        <v>43117</v>
      </c>
      <c r="G2894" s="70" t="s">
        <v>1773</v>
      </c>
      <c r="H2894" s="25">
        <v>43151</v>
      </c>
      <c r="I2894" s="8"/>
      <c r="J2894" s="8"/>
      <c r="K2894" s="8"/>
      <c r="L2894" s="9" t="s">
        <v>1927</v>
      </c>
      <c r="M2894" s="8"/>
    </row>
    <row r="2895" spans="1:13">
      <c r="A2895" s="71" t="s">
        <v>5860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1773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5861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1773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5862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1773</v>
      </c>
      <c r="H2897" s="9"/>
      <c r="I2897" s="9">
        <v>229</v>
      </c>
      <c r="J2897" s="25">
        <v>43151</v>
      </c>
      <c r="K2897" s="25">
        <v>43158</v>
      </c>
      <c r="L2897" s="9" t="s">
        <v>1917</v>
      </c>
      <c r="M2897" s="25"/>
    </row>
    <row r="2898" spans="1:13">
      <c r="A2898" s="71" t="s">
        <v>5863</v>
      </c>
      <c r="B2898" s="67">
        <v>38085002809</v>
      </c>
      <c r="C2898" s="72" t="s">
        <v>5864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5865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1773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5866</v>
      </c>
      <c r="B2900" s="67">
        <v>23357346877</v>
      </c>
      <c r="C2900" s="72" t="s">
        <v>5867</v>
      </c>
      <c r="D2900" s="69">
        <v>39917830880</v>
      </c>
      <c r="E2900" s="9">
        <v>1555</v>
      </c>
      <c r="F2900" s="25">
        <v>43049</v>
      </c>
      <c r="G2900" s="70" t="s">
        <v>1773</v>
      </c>
      <c r="H2900" s="9"/>
      <c r="I2900" s="8"/>
      <c r="J2900" s="8"/>
      <c r="K2900" s="8"/>
      <c r="L2900" s="9" t="s">
        <v>2155</v>
      </c>
      <c r="M2900" s="8"/>
    </row>
    <row r="2901" spans="1:13">
      <c r="A2901" s="71" t="s">
        <v>5868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5869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1773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5870</v>
      </c>
      <c r="B2903" s="67">
        <v>33733642805</v>
      </c>
      <c r="C2903" s="72" t="s">
        <v>5871</v>
      </c>
      <c r="D2903" s="69">
        <v>1860087590</v>
      </c>
      <c r="E2903" s="9">
        <v>85</v>
      </c>
      <c r="F2903" s="25">
        <v>43109</v>
      </c>
      <c r="G2903" s="70" t="s">
        <v>1773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5872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1773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5873</v>
      </c>
      <c r="B2905" s="67">
        <v>5387678802</v>
      </c>
      <c r="C2905" s="72" t="s">
        <v>5874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5875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1773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5876</v>
      </c>
      <c r="B2907" s="67">
        <v>41173451846</v>
      </c>
      <c r="C2907" s="72" t="s">
        <v>5877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5878</v>
      </c>
      <c r="B2908" s="67">
        <v>36432395801</v>
      </c>
      <c r="C2908" s="77" t="s">
        <v>5879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5880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5881</v>
      </c>
      <c r="B2910" s="67">
        <v>28196011890</v>
      </c>
      <c r="C2910" s="72" t="s">
        <v>5882</v>
      </c>
      <c r="D2910" s="69">
        <v>73582980553</v>
      </c>
      <c r="E2910" s="9">
        <v>1262</v>
      </c>
      <c r="F2910" s="25">
        <v>42997</v>
      </c>
      <c r="G2910" s="70" t="s">
        <v>1773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5883</v>
      </c>
      <c r="B2911" s="67">
        <v>8710545409</v>
      </c>
      <c r="C2911" s="72" t="s">
        <v>5884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5885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5886</v>
      </c>
      <c r="B2913" s="67">
        <v>27279265880</v>
      </c>
      <c r="C2913" s="77" t="s">
        <v>5887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5888</v>
      </c>
      <c r="B2914" s="67">
        <v>2973007844</v>
      </c>
      <c r="C2914" s="18" t="s">
        <v>1886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5889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5890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1773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5891</v>
      </c>
      <c r="B2917" s="67">
        <v>97080756391</v>
      </c>
      <c r="C2917" s="68" t="s">
        <v>5892</v>
      </c>
      <c r="D2917" s="69">
        <v>78464463391</v>
      </c>
      <c r="E2917" s="9">
        <v>1343</v>
      </c>
      <c r="F2917" s="25">
        <v>43004</v>
      </c>
      <c r="G2917" s="70" t="s">
        <v>1773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5893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5894</v>
      </c>
      <c r="B2919" s="67">
        <v>542688778</v>
      </c>
      <c r="C2919" s="18" t="s">
        <v>1886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5895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5896</v>
      </c>
      <c r="B2921" s="67">
        <v>19521938854</v>
      </c>
      <c r="C2921" s="72" t="s">
        <v>5897</v>
      </c>
      <c r="D2921" s="69">
        <v>16398980506</v>
      </c>
      <c r="E2921" s="9">
        <v>1214</v>
      </c>
      <c r="F2921" s="25">
        <v>42989</v>
      </c>
      <c r="G2921" s="70" t="s">
        <v>1773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5898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5899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1773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5900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1773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5901</v>
      </c>
      <c r="B2925" s="67">
        <v>81710763272</v>
      </c>
      <c r="C2925" s="77" t="s">
        <v>5902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5903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1773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5904</v>
      </c>
      <c r="B2927" s="67">
        <v>35453812850</v>
      </c>
      <c r="C2927" s="18" t="s">
        <v>5905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5906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5907</v>
      </c>
      <c r="B2929" s="67">
        <v>22665008807</v>
      </c>
      <c r="C2929" s="72" t="s">
        <v>5908</v>
      </c>
      <c r="D2929" s="69">
        <v>35575903800</v>
      </c>
      <c r="E2929" s="9">
        <v>262</v>
      </c>
      <c r="F2929" s="25">
        <v>43160</v>
      </c>
      <c r="G2929" s="9" t="s">
        <v>1773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5909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1773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5910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5911</v>
      </c>
      <c r="B2932" s="67">
        <v>60615920357</v>
      </c>
      <c r="C2932" s="72" t="s">
        <v>5912</v>
      </c>
      <c r="D2932" s="69">
        <v>4818511358</v>
      </c>
      <c r="E2932" s="9">
        <v>292</v>
      </c>
      <c r="F2932" s="25">
        <v>43168</v>
      </c>
      <c r="G2932" s="9" t="s">
        <v>1773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5913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1773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5914</v>
      </c>
      <c r="B2934" s="67">
        <v>31633338851</v>
      </c>
      <c r="C2934" s="72" t="s">
        <v>5915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2056</v>
      </c>
      <c r="M2934" s="8"/>
    </row>
    <row r="2935" spans="1:13">
      <c r="A2935" s="71" t="s">
        <v>5916</v>
      </c>
      <c r="B2935" s="67">
        <v>42518509801</v>
      </c>
      <c r="C2935" s="72" t="s">
        <v>5917</v>
      </c>
      <c r="D2935" s="69">
        <v>36320707844</v>
      </c>
      <c r="E2935" s="9">
        <v>1752</v>
      </c>
      <c r="F2935" s="25">
        <v>43051</v>
      </c>
      <c r="G2935" s="70" t="s">
        <v>1787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5918</v>
      </c>
      <c r="B2936" s="67">
        <v>22958464806</v>
      </c>
      <c r="C2936" s="72" t="s">
        <v>5919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5920</v>
      </c>
      <c r="B2937" s="67">
        <v>31152044850</v>
      </c>
      <c r="C2937" s="72" t="s">
        <v>5921</v>
      </c>
      <c r="D2937" s="69">
        <v>31152043889</v>
      </c>
      <c r="E2937" s="9">
        <v>1128</v>
      </c>
      <c r="F2937" s="25">
        <v>42972</v>
      </c>
      <c r="G2937" s="70" t="s">
        <v>1773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5922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1773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5923</v>
      </c>
      <c r="B2939" s="80">
        <v>35805723859</v>
      </c>
      <c r="C2939" s="81" t="s">
        <v>5924</v>
      </c>
      <c r="D2939" s="82">
        <v>12726161855</v>
      </c>
      <c r="E2939" s="47">
        <v>1824</v>
      </c>
      <c r="F2939" s="48">
        <v>43091</v>
      </c>
      <c r="G2939" s="83" t="s">
        <v>1779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5925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1773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5926</v>
      </c>
      <c r="B2941" s="67">
        <v>7358002431</v>
      </c>
      <c r="C2941" s="72" t="s">
        <v>5927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5928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1773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5929</v>
      </c>
      <c r="B2943" s="67">
        <v>43354497807</v>
      </c>
      <c r="C2943" s="72" t="s">
        <v>5930</v>
      </c>
      <c r="D2943" s="69">
        <v>40802896855</v>
      </c>
      <c r="E2943" s="9">
        <v>1214</v>
      </c>
      <c r="F2943" s="25">
        <v>42989</v>
      </c>
      <c r="G2943" s="70" t="s">
        <v>1773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5931</v>
      </c>
      <c r="B2944" s="67">
        <v>43586522800</v>
      </c>
      <c r="C2944" s="68" t="s">
        <v>5932</v>
      </c>
      <c r="D2944" s="69">
        <v>43586522800</v>
      </c>
      <c r="E2944" s="9">
        <v>1128</v>
      </c>
      <c r="F2944" s="25">
        <v>42972</v>
      </c>
      <c r="G2944" s="70" t="s">
        <v>1773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5933</v>
      </c>
      <c r="B2945" s="67">
        <v>17447067865</v>
      </c>
      <c r="C2945" s="72" t="s">
        <v>5934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5935</v>
      </c>
      <c r="B2946" s="67">
        <v>3568560542</v>
      </c>
      <c r="C2946" s="72" t="s">
        <v>5936</v>
      </c>
      <c r="D2946" s="69">
        <v>4078587500</v>
      </c>
      <c r="E2946" s="9">
        <v>1106</v>
      </c>
      <c r="F2946" s="25">
        <v>42965</v>
      </c>
      <c r="G2946" s="70" t="s">
        <v>1773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5937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5938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5939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1927</v>
      </c>
      <c r="M2949" s="8"/>
    </row>
    <row r="2950" spans="1:13">
      <c r="A2950" s="71" t="s">
        <v>5940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1773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5941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1773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5942</v>
      </c>
      <c r="B2952" s="67"/>
      <c r="C2952" s="29" t="s">
        <v>5943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5944</v>
      </c>
      <c r="B2953" s="67">
        <v>1326462857</v>
      </c>
      <c r="C2953" s="72" t="s">
        <v>5945</v>
      </c>
      <c r="D2953" s="69">
        <v>4906141838</v>
      </c>
      <c r="E2953" s="9">
        <v>229</v>
      </c>
      <c r="F2953" s="25">
        <v>43151</v>
      </c>
      <c r="G2953" s="70" t="s">
        <v>1773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5946</v>
      </c>
      <c r="B2954" s="67">
        <v>7722903428</v>
      </c>
      <c r="C2954" s="29" t="s">
        <v>5947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5948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5949</v>
      </c>
      <c r="B2956" s="67">
        <v>37794411874</v>
      </c>
      <c r="C2956" s="72" t="s">
        <v>5950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5951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5952</v>
      </c>
      <c r="B2958" s="67">
        <v>34093287856</v>
      </c>
      <c r="C2958" s="68" t="s">
        <v>5953</v>
      </c>
      <c r="D2958" s="69">
        <v>1517221536</v>
      </c>
      <c r="E2958" s="9">
        <v>1489</v>
      </c>
      <c r="F2958" s="25"/>
      <c r="G2958" s="70" t="s">
        <v>1773</v>
      </c>
      <c r="H2958" s="9"/>
      <c r="I2958" s="8"/>
      <c r="J2958" s="8"/>
      <c r="K2958" s="8"/>
      <c r="L2958" s="9" t="s">
        <v>1917</v>
      </c>
      <c r="M2958" s="8"/>
    </row>
    <row r="2959" spans="1:13">
      <c r="A2959" s="71" t="s">
        <v>5954</v>
      </c>
      <c r="B2959" s="67">
        <v>29289559845</v>
      </c>
      <c r="C2959" s="72" t="s">
        <v>5955</v>
      </c>
      <c r="D2959" s="69">
        <v>25585724827</v>
      </c>
      <c r="E2959" s="9">
        <v>1752</v>
      </c>
      <c r="F2959" s="25">
        <v>43051</v>
      </c>
      <c r="G2959" s="70" t="s">
        <v>1773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5956</v>
      </c>
      <c r="B2960" s="67"/>
      <c r="C2960" s="29" t="s">
        <v>5957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5958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5959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5960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5961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5962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1773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5963</v>
      </c>
      <c r="B2966" s="67">
        <v>32368859802</v>
      </c>
      <c r="C2966" s="68" t="s">
        <v>5964</v>
      </c>
      <c r="D2966" s="69">
        <v>28517056876</v>
      </c>
      <c r="E2966" s="9">
        <v>1343</v>
      </c>
      <c r="F2966" s="25">
        <v>43004</v>
      </c>
      <c r="G2966" s="70" t="s">
        <v>1773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5965</v>
      </c>
      <c r="B2967" s="67">
        <v>35104711803</v>
      </c>
      <c r="C2967" s="72" t="s">
        <v>5966</v>
      </c>
      <c r="D2967" s="69">
        <v>34881906844</v>
      </c>
      <c r="E2967" s="9">
        <v>292</v>
      </c>
      <c r="F2967" s="25">
        <v>43168</v>
      </c>
      <c r="G2967" s="9" t="s">
        <v>1773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5967</v>
      </c>
      <c r="B2968" s="67">
        <v>23093033802</v>
      </c>
      <c r="C2968" s="29" t="s">
        <v>5968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5969</v>
      </c>
      <c r="B2969" s="67">
        <v>92605494420</v>
      </c>
      <c r="C2969" s="72" t="s">
        <v>5970</v>
      </c>
      <c r="D2969" s="69">
        <v>37622834866</v>
      </c>
      <c r="E2969" s="9">
        <v>608</v>
      </c>
      <c r="F2969" s="25">
        <v>43012</v>
      </c>
      <c r="G2969" s="70" t="s">
        <v>1773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5971</v>
      </c>
      <c r="B2970" s="67">
        <v>27646989843</v>
      </c>
      <c r="C2970" s="72" t="s">
        <v>5972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5973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1773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5974</v>
      </c>
      <c r="B2972" s="67">
        <v>29312608860</v>
      </c>
      <c r="C2972" s="29" t="s">
        <v>5975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5976</v>
      </c>
      <c r="B2973" s="67"/>
      <c r="C2973" s="29" t="s">
        <v>5977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5978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1773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5979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5980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5981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5982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5983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5984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1773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5985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1773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5986</v>
      </c>
      <c r="B2982" s="67">
        <v>13562151810</v>
      </c>
      <c r="C2982" s="72" t="s">
        <v>5987</v>
      </c>
      <c r="D2982" s="69">
        <v>47393076772</v>
      </c>
      <c r="E2982" s="9">
        <v>292</v>
      </c>
      <c r="F2982" s="25">
        <v>43168</v>
      </c>
      <c r="G2982" s="70" t="s">
        <v>1779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5988</v>
      </c>
      <c r="B2983" s="67">
        <v>10488541832</v>
      </c>
      <c r="C2983" s="72" t="s">
        <v>5989</v>
      </c>
      <c r="D2983" s="69">
        <v>8437233860</v>
      </c>
      <c r="E2983" s="9">
        <v>229</v>
      </c>
      <c r="F2983" s="25">
        <v>43151</v>
      </c>
      <c r="G2983" s="70" t="s">
        <v>1773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5990</v>
      </c>
      <c r="B2984" s="67">
        <v>52291168894</v>
      </c>
      <c r="C2984" s="29" t="s">
        <v>1886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5991</v>
      </c>
      <c r="B2985" s="67">
        <v>32455945855</v>
      </c>
      <c r="C2985" s="77" t="s">
        <v>5992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5993</v>
      </c>
      <c r="B2986" s="67">
        <v>7127228663</v>
      </c>
      <c r="C2986" s="72" t="s">
        <v>5994</v>
      </c>
      <c r="D2986" s="69">
        <v>18053058833</v>
      </c>
      <c r="E2986" s="9">
        <v>1628</v>
      </c>
      <c r="F2986" s="25">
        <v>43077</v>
      </c>
      <c r="G2986" s="70" t="s">
        <v>1773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5995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1773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5996</v>
      </c>
      <c r="B2988" s="67">
        <v>32318059888</v>
      </c>
      <c r="C2988" s="68" t="s">
        <v>5997</v>
      </c>
      <c r="D2988" s="69">
        <v>38564888807</v>
      </c>
      <c r="E2988" s="9">
        <v>1128</v>
      </c>
      <c r="F2988" s="25">
        <v>42972</v>
      </c>
      <c r="G2988" s="70" t="s">
        <v>1773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5998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5999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1773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6000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1773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6001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1773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6002</v>
      </c>
      <c r="B2993" s="67">
        <v>45255799866</v>
      </c>
      <c r="C2993" s="72" t="s">
        <v>6003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6004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1773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6005</v>
      </c>
      <c r="B2995" s="67">
        <v>37570860829</v>
      </c>
      <c r="C2995" s="72" t="s">
        <v>6006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6007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1773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6008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6009</v>
      </c>
      <c r="B2998" s="67">
        <v>25712620847</v>
      </c>
      <c r="C2998" s="18" t="s">
        <v>6010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6011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2056</v>
      </c>
      <c r="M2999" s="8"/>
    </row>
    <row r="3000" spans="1:13">
      <c r="A3000" s="72" t="s">
        <v>6012</v>
      </c>
      <c r="B3000" s="67">
        <v>40000949809</v>
      </c>
      <c r="C3000" s="72" t="s">
        <v>6013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2056</v>
      </c>
      <c r="M3000" s="8"/>
    </row>
    <row r="3001" spans="1:13">
      <c r="A3001" s="71" t="s">
        <v>6014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6015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6016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6017</v>
      </c>
      <c r="B3004" s="67"/>
      <c r="C3004" s="29" t="s">
        <v>1886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6018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1773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6019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6020</v>
      </c>
      <c r="B3007" s="67">
        <v>13517396893</v>
      </c>
      <c r="C3007" s="72" t="s">
        <v>6021</v>
      </c>
      <c r="D3007" s="69">
        <v>61574252453</v>
      </c>
      <c r="E3007" s="9">
        <v>262</v>
      </c>
      <c r="F3007" s="25">
        <v>43160</v>
      </c>
      <c r="G3007" s="70" t="s">
        <v>1779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6022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1773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6023</v>
      </c>
      <c r="B3009" s="67"/>
      <c r="C3009" s="29" t="s">
        <v>6024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6025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1773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6026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1773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6027</v>
      </c>
      <c r="B3012" s="67">
        <v>4609966654</v>
      </c>
      <c r="C3012" s="72" t="s">
        <v>6028</v>
      </c>
      <c r="D3012" s="69">
        <v>28402756867</v>
      </c>
      <c r="E3012" s="9">
        <v>292</v>
      </c>
      <c r="F3012" s="25">
        <v>43168</v>
      </c>
      <c r="G3012" s="70" t="s">
        <v>1773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6029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1773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6030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1773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6031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6032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1773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6033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6033</v>
      </c>
      <c r="B3018" s="67"/>
      <c r="C3018" s="18" t="s">
        <v>1886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6034</v>
      </c>
      <c r="B3019" s="67"/>
      <c r="C3019" s="29" t="s">
        <v>1886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6035</v>
      </c>
      <c r="B3020" s="67">
        <v>40882575880</v>
      </c>
      <c r="C3020" s="72" t="s">
        <v>6036</v>
      </c>
      <c r="D3020" s="69">
        <v>39163987848</v>
      </c>
      <c r="E3020" s="9">
        <v>292</v>
      </c>
      <c r="F3020" s="25">
        <v>43168</v>
      </c>
      <c r="G3020" s="70" t="s">
        <v>1773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6037</v>
      </c>
      <c r="B3021" s="67"/>
      <c r="C3021" s="29" t="s">
        <v>1886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6038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6039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1773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6040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6041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6042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6043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1773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6044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6045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6046</v>
      </c>
      <c r="B3030" s="67"/>
      <c r="C3030" s="29" t="s">
        <v>1886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6047</v>
      </c>
      <c r="B3031" s="67">
        <v>44374068856</v>
      </c>
      <c r="C3031" s="72" t="s">
        <v>6048</v>
      </c>
      <c r="D3031" s="69">
        <v>34698741823</v>
      </c>
      <c r="E3031" s="9">
        <v>1489</v>
      </c>
      <c r="F3031" s="25">
        <v>43038</v>
      </c>
      <c r="G3031" s="70" t="s">
        <v>1773</v>
      </c>
      <c r="H3031" s="9"/>
      <c r="I3031" s="8"/>
      <c r="J3031" s="8"/>
      <c r="K3031" s="8"/>
      <c r="L3031" s="9" t="s">
        <v>1917</v>
      </c>
      <c r="M3031" s="8"/>
    </row>
    <row r="3032" spans="1:13">
      <c r="A3032" s="71" t="s">
        <v>6049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6050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2056</v>
      </c>
      <c r="M3033" s="8"/>
    </row>
    <row r="3034" spans="1:13">
      <c r="A3034" s="71" t="s">
        <v>6051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6052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1773</v>
      </c>
      <c r="H3035" s="9"/>
      <c r="I3035" s="8"/>
      <c r="J3035" s="8"/>
      <c r="K3035" s="8"/>
      <c r="L3035" s="8"/>
      <c r="M3035" s="8"/>
    </row>
    <row r="3036" spans="1:13">
      <c r="A3036" s="15" t="s">
        <v>6053</v>
      </c>
      <c r="B3036" s="67">
        <v>46812344869</v>
      </c>
      <c r="C3036" s="72" t="s">
        <v>6054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6055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1773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6056</v>
      </c>
      <c r="B3038" s="67">
        <v>70659834634</v>
      </c>
      <c r="C3038" s="68" t="s">
        <v>6057</v>
      </c>
      <c r="D3038" s="69">
        <v>70558795404</v>
      </c>
      <c r="E3038" s="9">
        <v>1267</v>
      </c>
      <c r="F3038" s="25">
        <v>42998</v>
      </c>
      <c r="G3038" s="70" t="s">
        <v>1773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6058</v>
      </c>
      <c r="B3039" s="67"/>
      <c r="C3039" s="72" t="s">
        <v>6059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6060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1773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6061</v>
      </c>
      <c r="B3041" s="67">
        <v>3867219630</v>
      </c>
      <c r="C3041" s="72" t="s">
        <v>6062</v>
      </c>
      <c r="D3041" s="69">
        <v>4268294503</v>
      </c>
      <c r="E3041" s="9">
        <v>1824</v>
      </c>
      <c r="F3041" s="25">
        <v>43091</v>
      </c>
      <c r="G3041" s="70" t="s">
        <v>1773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6063</v>
      </c>
      <c r="B3042" s="67">
        <v>27084341870</v>
      </c>
      <c r="C3042" s="72" t="s">
        <v>2080</v>
      </c>
      <c r="D3042" s="69">
        <v>70639957315</v>
      </c>
      <c r="E3042" s="9">
        <v>1214</v>
      </c>
      <c r="F3042" s="25">
        <v>42989</v>
      </c>
      <c r="G3042" s="70" t="s">
        <v>1779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6064</v>
      </c>
      <c r="B3043" s="67">
        <v>29697189870</v>
      </c>
      <c r="C3043" s="72" t="s">
        <v>6065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6066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1773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6067</v>
      </c>
      <c r="B3045" s="67">
        <v>4055380810</v>
      </c>
      <c r="C3045" s="29" t="s">
        <v>1886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6068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1773</v>
      </c>
      <c r="H3046" s="25">
        <v>43027</v>
      </c>
      <c r="I3046" s="8"/>
      <c r="J3046" s="8"/>
      <c r="K3046" s="8"/>
      <c r="L3046" s="9" t="s">
        <v>2010</v>
      </c>
      <c r="M3046" s="8"/>
    </row>
    <row r="3047" spans="1:13">
      <c r="A3047" s="16" t="s">
        <v>6069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6070</v>
      </c>
      <c r="B3048" s="67">
        <v>99038862504</v>
      </c>
      <c r="C3048" s="72" t="s">
        <v>6071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6072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1773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6073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1773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6074</v>
      </c>
      <c r="B3051" s="67">
        <v>22505123888</v>
      </c>
      <c r="C3051" s="72" t="s">
        <v>6075</v>
      </c>
      <c r="D3051" s="69">
        <v>39819234808</v>
      </c>
      <c r="E3051" s="9">
        <v>1752</v>
      </c>
      <c r="F3051" s="25">
        <v>43051</v>
      </c>
      <c r="G3051" s="70" t="s">
        <v>1773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6076</v>
      </c>
      <c r="B3052" s="67"/>
      <c r="C3052" s="29" t="s">
        <v>1886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6077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6078</v>
      </c>
      <c r="B3054" s="67">
        <v>34850143890</v>
      </c>
      <c r="C3054" s="72" t="s">
        <v>6079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6080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1773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6081</v>
      </c>
      <c r="B3056" s="67">
        <v>17852199879</v>
      </c>
      <c r="C3056" s="72" t="s">
        <v>6082</v>
      </c>
      <c r="D3056" s="69">
        <v>15255063827</v>
      </c>
      <c r="E3056" s="9">
        <v>1128</v>
      </c>
      <c r="F3056" s="25">
        <v>42972</v>
      </c>
      <c r="G3056" s="70" t="s">
        <v>1773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6083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1773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6084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6085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1773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6" priority="5" stopIfTrue="1"/>
  </conditionalFormatting>
  <conditionalFormatting sqref="A3:A128">
    <cfRule type="duplicateValues" dxfId="45" priority="4" stopIfTrue="1"/>
  </conditionalFormatting>
  <conditionalFormatting sqref="A3:A626">
    <cfRule type="duplicateValues" dxfId="44" priority="1" stopIfTrue="1"/>
  </conditionalFormatting>
  <conditionalFormatting sqref="B2684">
    <cfRule type="duplicateValues" dxfId="43" priority="3" stopIfTrue="1"/>
  </conditionalFormatting>
  <conditionalFormatting sqref="C689">
    <cfRule type="duplicateValues" dxfId="42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N1115"/>
  <sheetViews>
    <sheetView workbookViewId="0">
      <selection activeCell="E4" sqref="E4"/>
    </sheetView>
  </sheetViews>
  <sheetFormatPr defaultColWidth="9.140625" defaultRowHeight="24.75" customHeight="1"/>
  <cols>
    <col min="1" max="1" width="9.140625" style="216"/>
    <col min="2" max="2" width="23.5703125" style="216" bestFit="1" customWidth="1"/>
    <col min="3" max="3" width="2.140625" style="216" bestFit="1" customWidth="1"/>
    <col min="4" max="4" width="10.140625" style="216" bestFit="1" customWidth="1"/>
    <col min="5" max="5" width="11.5703125" style="216" bestFit="1" customWidth="1"/>
    <col min="6" max="6" width="10.42578125" style="216" bestFit="1" customWidth="1"/>
    <col min="7" max="7" width="42.85546875" style="216" bestFit="1" customWidth="1"/>
    <col min="8" max="8" width="13.85546875" style="216" bestFit="1" customWidth="1"/>
    <col min="9" max="9" width="30.140625" style="216" bestFit="1" customWidth="1"/>
    <col min="10" max="10" width="9.140625" style="216"/>
    <col min="11" max="11" width="22.42578125" style="216" bestFit="1" customWidth="1"/>
    <col min="12" max="15" width="9.140625" style="216"/>
    <col min="16" max="16" width="13.5703125" style="216" bestFit="1" customWidth="1"/>
    <col min="17" max="17" width="58" style="216" bestFit="1" customWidth="1"/>
    <col min="18" max="18" width="19.140625" style="216" bestFit="1" customWidth="1"/>
    <col min="19" max="39" width="9.140625" style="216"/>
    <col min="40" max="40" width="9.140625" style="219"/>
    <col min="41" max="16384" width="9.140625" style="216"/>
  </cols>
  <sheetData>
    <row r="2" spans="2:18" ht="24.75" customHeight="1">
      <c r="K2" s="215"/>
      <c r="P2" s="217"/>
      <c r="Q2" s="218"/>
      <c r="R2" s="218"/>
    </row>
    <row r="3" spans="2:18" ht="24.75" customHeight="1">
      <c r="B3" s="212"/>
      <c r="C3" s="212"/>
      <c r="D3" s="212"/>
      <c r="E3" s="213"/>
      <c r="F3" s="213"/>
      <c r="G3" s="213"/>
      <c r="K3" s="215"/>
      <c r="P3" s="220"/>
      <c r="Q3" s="220"/>
      <c r="R3" s="220"/>
    </row>
    <row r="4" spans="2:18" ht="27.75" customHeight="1">
      <c r="B4" s="212"/>
      <c r="C4" s="212"/>
      <c r="D4" s="212"/>
      <c r="E4" s="221" t="s">
        <v>39</v>
      </c>
      <c r="F4" s="221" t="s">
        <v>43</v>
      </c>
      <c r="G4" s="222" t="s">
        <v>65</v>
      </c>
      <c r="H4" s="222" t="s">
        <v>49</v>
      </c>
      <c r="I4" s="280" t="s">
        <v>77</v>
      </c>
      <c r="K4" s="215"/>
      <c r="P4" s="220"/>
      <c r="Q4" s="220"/>
      <c r="R4" s="220"/>
    </row>
    <row r="5" spans="2:18" ht="24.75" customHeight="1">
      <c r="B5" s="212"/>
      <c r="C5" s="212"/>
      <c r="D5" s="212"/>
      <c r="E5" s="191" t="s">
        <v>99</v>
      </c>
      <c r="F5" s="290" t="s">
        <v>106</v>
      </c>
      <c r="G5" s="290" t="s">
        <v>107</v>
      </c>
      <c r="H5" s="290" t="s">
        <v>109</v>
      </c>
      <c r="I5" s="291" t="s">
        <v>114</v>
      </c>
      <c r="K5" s="215"/>
      <c r="P5" s="220"/>
      <c r="Q5" s="220"/>
      <c r="R5" s="220"/>
    </row>
    <row r="6" spans="2:18" ht="24.75" customHeight="1">
      <c r="B6" s="212"/>
      <c r="C6" s="212"/>
      <c r="D6" s="212"/>
      <c r="E6" s="191" t="s">
        <v>99</v>
      </c>
      <c r="F6" s="290" t="s">
        <v>150</v>
      </c>
      <c r="G6" s="290" t="s">
        <v>151</v>
      </c>
      <c r="H6" s="290" t="s">
        <v>153</v>
      </c>
      <c r="I6" s="290" t="s">
        <v>154</v>
      </c>
      <c r="K6" s="215"/>
      <c r="P6" s="220"/>
      <c r="Q6" s="220"/>
      <c r="R6" s="220"/>
    </row>
    <row r="7" spans="2:18" ht="24.75" customHeight="1">
      <c r="B7" s="212"/>
      <c r="C7" s="212"/>
      <c r="D7" s="212"/>
      <c r="E7" s="191" t="s">
        <v>99</v>
      </c>
      <c r="F7" s="290" t="s">
        <v>194</v>
      </c>
      <c r="G7" s="290" t="s">
        <v>195</v>
      </c>
      <c r="H7" s="290" t="s">
        <v>197</v>
      </c>
      <c r="I7" s="290" t="s">
        <v>198</v>
      </c>
      <c r="K7" s="215"/>
      <c r="P7" s="220"/>
      <c r="Q7" s="220"/>
      <c r="R7" s="220"/>
    </row>
    <row r="8" spans="2:18" ht="24.75" customHeight="1">
      <c r="B8" s="212"/>
      <c r="C8" s="212"/>
      <c r="D8" s="212"/>
      <c r="E8" s="191" t="s">
        <v>99</v>
      </c>
      <c r="F8" s="290" t="s">
        <v>233</v>
      </c>
      <c r="G8" s="290" t="s">
        <v>234</v>
      </c>
      <c r="H8" s="290" t="s">
        <v>236</v>
      </c>
      <c r="I8" s="290" t="s">
        <v>238</v>
      </c>
      <c r="K8" s="215"/>
      <c r="P8" s="220"/>
      <c r="Q8" s="220"/>
      <c r="R8" s="220"/>
    </row>
    <row r="9" spans="2:18" ht="24.75" customHeight="1">
      <c r="B9" s="212"/>
      <c r="C9" s="212"/>
      <c r="D9" s="212"/>
      <c r="E9" s="191" t="s">
        <v>99</v>
      </c>
      <c r="F9" s="290" t="s">
        <v>309</v>
      </c>
      <c r="G9" s="290" t="s">
        <v>310</v>
      </c>
      <c r="H9" s="290" t="s">
        <v>312</v>
      </c>
      <c r="I9" s="290" t="s">
        <v>313</v>
      </c>
      <c r="K9" s="215"/>
      <c r="P9" s="220"/>
      <c r="Q9" s="220"/>
      <c r="R9" s="220"/>
    </row>
    <row r="10" spans="2:18" ht="24.75" customHeight="1">
      <c r="B10" s="212"/>
      <c r="C10" s="212"/>
      <c r="D10" s="212"/>
      <c r="E10" s="191" t="s">
        <v>99</v>
      </c>
      <c r="F10" s="290" t="s">
        <v>314</v>
      </c>
      <c r="G10" s="290" t="s">
        <v>315</v>
      </c>
      <c r="H10" s="290" t="s">
        <v>317</v>
      </c>
      <c r="I10" s="290" t="s">
        <v>318</v>
      </c>
      <c r="K10" s="215"/>
      <c r="P10" s="220"/>
      <c r="Q10" s="220"/>
      <c r="R10" s="220"/>
    </row>
    <row r="11" spans="2:18" ht="24.75" customHeight="1">
      <c r="B11" s="212"/>
      <c r="C11" s="212"/>
      <c r="D11" s="212"/>
      <c r="E11" s="191" t="s">
        <v>99</v>
      </c>
      <c r="F11" s="290" t="s">
        <v>319</v>
      </c>
      <c r="G11" s="290" t="s">
        <v>320</v>
      </c>
      <c r="H11" s="290" t="s">
        <v>322</v>
      </c>
      <c r="I11" s="290" t="s">
        <v>323</v>
      </c>
      <c r="K11" s="215"/>
      <c r="P11" s="220"/>
      <c r="Q11" s="220"/>
      <c r="R11" s="220"/>
    </row>
    <row r="12" spans="2:18" ht="24.75" customHeight="1">
      <c r="D12" s="223"/>
      <c r="E12" s="191" t="s">
        <v>99</v>
      </c>
      <c r="F12" s="290" t="s">
        <v>357</v>
      </c>
      <c r="G12" s="290" t="s">
        <v>358</v>
      </c>
      <c r="H12" s="290" t="s">
        <v>360</v>
      </c>
      <c r="I12" s="290" t="s">
        <v>361</v>
      </c>
      <c r="K12" s="215"/>
      <c r="P12" s="220"/>
      <c r="Q12" s="220"/>
      <c r="R12" s="220"/>
    </row>
    <row r="13" spans="2:18" ht="24.75" customHeight="1">
      <c r="D13" s="214"/>
      <c r="E13" s="191" t="s">
        <v>99</v>
      </c>
      <c r="F13" s="290" t="s">
        <v>372</v>
      </c>
      <c r="G13" s="290" t="s">
        <v>375</v>
      </c>
      <c r="H13" s="191" t="s">
        <v>377</v>
      </c>
      <c r="I13" s="290" t="s">
        <v>378</v>
      </c>
      <c r="K13" s="215"/>
      <c r="P13" s="220"/>
      <c r="Q13" s="220"/>
      <c r="R13" s="220"/>
    </row>
    <row r="14" spans="2:18" ht="24.75" customHeight="1">
      <c r="D14" s="215"/>
      <c r="E14" s="191" t="s">
        <v>99</v>
      </c>
      <c r="F14" s="290" t="s">
        <v>451</v>
      </c>
      <c r="G14" s="290" t="s">
        <v>452</v>
      </c>
      <c r="H14" s="290" t="s">
        <v>454</v>
      </c>
      <c r="I14" s="292" t="s">
        <v>455</v>
      </c>
      <c r="K14" s="215"/>
      <c r="P14" s="220"/>
      <c r="Q14" s="220"/>
      <c r="R14" s="220"/>
    </row>
    <row r="15" spans="2:18" ht="24.75" customHeight="1">
      <c r="D15" s="223"/>
      <c r="E15" s="191" t="s">
        <v>99</v>
      </c>
      <c r="F15" s="290" t="s">
        <v>456</v>
      </c>
      <c r="G15" s="290" t="s">
        <v>457</v>
      </c>
      <c r="H15" s="290" t="s">
        <v>459</v>
      </c>
      <c r="I15" s="292" t="s">
        <v>460</v>
      </c>
      <c r="K15" s="215"/>
      <c r="P15" s="220"/>
      <c r="Q15" s="220"/>
      <c r="R15" s="220"/>
    </row>
    <row r="16" spans="2:18" ht="24.75" customHeight="1">
      <c r="D16" s="224"/>
      <c r="E16" s="191" t="s">
        <v>99</v>
      </c>
      <c r="F16" s="290" t="s">
        <v>552</v>
      </c>
      <c r="G16" s="290" t="s">
        <v>553</v>
      </c>
      <c r="H16" s="290" t="s">
        <v>555</v>
      </c>
      <c r="I16" s="290" t="s">
        <v>556</v>
      </c>
      <c r="K16" s="215"/>
      <c r="P16" s="220"/>
      <c r="Q16" s="220"/>
      <c r="R16" s="220"/>
    </row>
    <row r="17" spans="4:18" ht="24.75" customHeight="1">
      <c r="D17" s="223"/>
      <c r="E17" s="191" t="s">
        <v>99</v>
      </c>
      <c r="F17" s="290" t="s">
        <v>754</v>
      </c>
      <c r="G17" s="290" t="s">
        <v>755</v>
      </c>
      <c r="H17" s="290" t="s">
        <v>757</v>
      </c>
      <c r="I17" s="191" t="s">
        <v>758</v>
      </c>
      <c r="K17" s="215"/>
      <c r="P17" s="220"/>
      <c r="Q17" s="220"/>
      <c r="R17" s="220"/>
    </row>
    <row r="18" spans="4:18" ht="24.75" customHeight="1">
      <c r="D18" s="223"/>
      <c r="E18" s="191" t="s">
        <v>99</v>
      </c>
      <c r="F18" s="290" t="s">
        <v>759</v>
      </c>
      <c r="G18" s="290" t="s">
        <v>760</v>
      </c>
      <c r="H18" s="290" t="s">
        <v>762</v>
      </c>
      <c r="I18" s="163" t="s">
        <v>763</v>
      </c>
      <c r="K18" s="215"/>
      <c r="P18" s="220"/>
      <c r="Q18" s="220"/>
      <c r="R18" s="220"/>
    </row>
    <row r="19" spans="4:18" ht="24.75" customHeight="1">
      <c r="D19" s="223"/>
      <c r="E19" s="191" t="s">
        <v>99</v>
      </c>
      <c r="F19" s="290" t="s">
        <v>764</v>
      </c>
      <c r="G19" s="290" t="s">
        <v>765</v>
      </c>
      <c r="H19" s="290" t="s">
        <v>767</v>
      </c>
      <c r="I19" s="163" t="s">
        <v>769</v>
      </c>
      <c r="K19" s="215"/>
      <c r="P19" s="220"/>
      <c r="Q19" s="220"/>
      <c r="R19" s="225"/>
    </row>
    <row r="20" spans="4:18" ht="24.75" customHeight="1">
      <c r="E20" s="191" t="s">
        <v>99</v>
      </c>
      <c r="F20" s="290" t="s">
        <v>814</v>
      </c>
      <c r="G20" s="290" t="s">
        <v>815</v>
      </c>
      <c r="H20" s="290" t="s">
        <v>817</v>
      </c>
      <c r="I20" s="288" t="s">
        <v>818</v>
      </c>
      <c r="K20" s="215"/>
      <c r="P20" s="220"/>
      <c r="Q20" s="220"/>
      <c r="R20" s="220"/>
    </row>
    <row r="21" spans="4:18" ht="24.75" customHeight="1">
      <c r="E21" s="191" t="s">
        <v>99</v>
      </c>
      <c r="F21" s="290" t="s">
        <v>819</v>
      </c>
      <c r="G21" s="290" t="s">
        <v>820</v>
      </c>
      <c r="H21" s="290" t="s">
        <v>822</v>
      </c>
      <c r="I21" s="288" t="s">
        <v>823</v>
      </c>
      <c r="K21" s="215"/>
      <c r="P21" s="220"/>
      <c r="Q21" s="220"/>
      <c r="R21" s="220"/>
    </row>
    <row r="22" spans="4:18" ht="24.75" customHeight="1">
      <c r="E22" s="191" t="s">
        <v>99</v>
      </c>
      <c r="F22" s="290" t="s">
        <v>824</v>
      </c>
      <c r="G22" s="290" t="s">
        <v>825</v>
      </c>
      <c r="H22" s="290" t="s">
        <v>827</v>
      </c>
      <c r="I22" s="288" t="s">
        <v>828</v>
      </c>
      <c r="K22" s="215"/>
      <c r="P22" s="220"/>
      <c r="Q22" s="220"/>
      <c r="R22" s="220"/>
    </row>
    <row r="23" spans="4:18" ht="24.75" customHeight="1">
      <c r="E23" s="191" t="s">
        <v>99</v>
      </c>
      <c r="F23" s="290" t="s">
        <v>829</v>
      </c>
      <c r="G23" s="290" t="s">
        <v>830</v>
      </c>
      <c r="H23" s="290" t="s">
        <v>832</v>
      </c>
      <c r="I23" s="288" t="s">
        <v>833</v>
      </c>
      <c r="K23" s="214"/>
      <c r="P23" s="220"/>
      <c r="Q23" s="220"/>
      <c r="R23" s="220"/>
    </row>
    <row r="24" spans="4:18" ht="24.75" customHeight="1">
      <c r="E24" s="191" t="s">
        <v>99</v>
      </c>
      <c r="F24" s="290" t="s">
        <v>856</v>
      </c>
      <c r="G24" s="290" t="s">
        <v>857</v>
      </c>
      <c r="H24" s="290" t="s">
        <v>859</v>
      </c>
      <c r="I24" s="290" t="s">
        <v>860</v>
      </c>
      <c r="K24" s="215"/>
      <c r="P24" s="220"/>
      <c r="Q24" s="220"/>
      <c r="R24" s="220"/>
    </row>
    <row r="25" spans="4:18" ht="24.75" customHeight="1">
      <c r="E25" s="191" t="s">
        <v>99</v>
      </c>
      <c r="F25" s="290" t="s">
        <v>887</v>
      </c>
      <c r="G25" s="290" t="s">
        <v>888</v>
      </c>
      <c r="H25" s="290" t="s">
        <v>890</v>
      </c>
      <c r="I25" s="290" t="s">
        <v>892</v>
      </c>
      <c r="K25" s="215"/>
      <c r="P25" s="220"/>
      <c r="Q25" s="220"/>
      <c r="R25" s="220"/>
    </row>
    <row r="26" spans="4:18" ht="24.75" customHeight="1">
      <c r="E26" s="191" t="s">
        <v>99</v>
      </c>
      <c r="F26" s="290" t="s">
        <v>893</v>
      </c>
      <c r="G26" s="290" t="s">
        <v>897</v>
      </c>
      <c r="H26" s="290" t="s">
        <v>899</v>
      </c>
      <c r="I26" s="290" t="s">
        <v>900</v>
      </c>
      <c r="K26" s="215"/>
      <c r="P26" s="220"/>
      <c r="Q26" s="220"/>
      <c r="R26" s="220"/>
    </row>
    <row r="27" spans="4:18" ht="24.75" customHeight="1">
      <c r="E27" s="276"/>
      <c r="F27" s="277"/>
      <c r="G27" s="277"/>
      <c r="H27" s="277"/>
      <c r="I27" s="277"/>
      <c r="K27" s="214"/>
      <c r="P27" s="220"/>
      <c r="Q27" s="220"/>
      <c r="R27" s="220"/>
    </row>
    <row r="28" spans="4:18" ht="24.75" customHeight="1">
      <c r="E28" s="278"/>
      <c r="F28" s="279"/>
      <c r="G28" s="279"/>
      <c r="H28" s="279"/>
      <c r="I28" s="279"/>
      <c r="K28" s="215"/>
      <c r="P28" s="220"/>
      <c r="Q28" s="220"/>
      <c r="R28" s="220"/>
    </row>
    <row r="29" spans="4:18" ht="24.75" customHeight="1">
      <c r="E29" s="278"/>
      <c r="F29" s="279"/>
      <c r="G29" s="279"/>
      <c r="H29" s="279"/>
      <c r="I29" s="279"/>
      <c r="K29" s="215"/>
      <c r="P29" s="220"/>
      <c r="Q29" s="220"/>
      <c r="R29" s="220"/>
    </row>
    <row r="30" spans="4:18" ht="24.75" customHeight="1">
      <c r="E30" s="207"/>
      <c r="F30" s="257"/>
      <c r="G30" s="257"/>
      <c r="H30" s="257"/>
      <c r="I30" s="257"/>
      <c r="K30" s="215"/>
      <c r="Q30" s="226"/>
      <c r="R30" s="226"/>
    </row>
    <row r="31" spans="4:18" ht="24.75" customHeight="1">
      <c r="E31" s="207"/>
      <c r="F31" s="257"/>
      <c r="G31" s="257"/>
      <c r="H31" s="257"/>
      <c r="I31" s="114"/>
      <c r="K31" s="214"/>
      <c r="Q31" s="226"/>
      <c r="R31" s="226"/>
    </row>
    <row r="32" spans="4:18" ht="24.75" customHeight="1">
      <c r="E32" s="207"/>
      <c r="F32" s="257"/>
      <c r="G32" s="257"/>
      <c r="H32" s="257"/>
      <c r="I32" s="114"/>
      <c r="K32" s="214"/>
      <c r="Q32" s="226"/>
      <c r="R32" s="226"/>
    </row>
    <row r="33" spans="5:18" ht="24.75" customHeight="1">
      <c r="E33" s="207"/>
      <c r="F33" s="257"/>
      <c r="G33" s="257"/>
      <c r="H33" s="257"/>
      <c r="I33" s="257"/>
      <c r="K33" s="215"/>
      <c r="Q33" s="226"/>
      <c r="R33" s="226"/>
    </row>
    <row r="34" spans="5:18" ht="24.75" customHeight="1">
      <c r="E34" s="207"/>
      <c r="F34" s="257"/>
      <c r="G34" s="257"/>
      <c r="H34" s="257"/>
      <c r="I34" s="257"/>
      <c r="K34" s="214"/>
      <c r="Q34" s="226"/>
      <c r="R34" s="226"/>
    </row>
    <row r="35" spans="5:18" ht="24.75" customHeight="1">
      <c r="E35" s="207"/>
      <c r="F35" s="257"/>
      <c r="G35" s="257"/>
      <c r="H35" s="257"/>
      <c r="I35" s="257"/>
      <c r="K35" s="215"/>
      <c r="Q35" s="226"/>
      <c r="R35" s="226"/>
    </row>
    <row r="36" spans="5:18" ht="24.75" customHeight="1">
      <c r="E36" s="207"/>
      <c r="F36" s="257"/>
      <c r="G36" s="257"/>
      <c r="H36" s="257"/>
      <c r="I36" s="257"/>
      <c r="K36" s="215"/>
      <c r="Q36" s="226"/>
      <c r="R36" s="227"/>
    </row>
    <row r="37" spans="5:18" ht="24.75" customHeight="1">
      <c r="E37" s="207"/>
      <c r="F37" s="257"/>
      <c r="G37" s="257"/>
      <c r="H37" s="257"/>
      <c r="I37" s="114"/>
      <c r="K37" s="214"/>
      <c r="Q37" s="226"/>
      <c r="R37" s="227"/>
    </row>
    <row r="38" spans="5:18" ht="24.75" customHeight="1">
      <c r="E38" s="260"/>
      <c r="K38" s="215"/>
      <c r="Q38" s="226"/>
      <c r="R38" s="227"/>
    </row>
    <row r="39" spans="5:18" ht="24.75" customHeight="1">
      <c r="E39" s="207"/>
      <c r="K39" s="215"/>
      <c r="Q39" s="226"/>
      <c r="R39" s="226"/>
    </row>
    <row r="40" spans="5:18" ht="24.75" customHeight="1">
      <c r="E40" s="207"/>
      <c r="K40" s="215"/>
      <c r="Q40" s="226"/>
      <c r="R40" s="226"/>
    </row>
    <row r="41" spans="5:18" ht="24.75" customHeight="1">
      <c r="E41" s="207"/>
      <c r="K41" s="215"/>
      <c r="Q41" s="226"/>
      <c r="R41" s="226"/>
    </row>
    <row r="42" spans="5:18" ht="24.75" customHeight="1">
      <c r="E42" s="207"/>
      <c r="K42" s="214"/>
      <c r="Q42" s="226"/>
      <c r="R42" s="227"/>
    </row>
    <row r="43" spans="5:18" ht="24.75" customHeight="1">
      <c r="E43" s="207" t="s">
        <v>99</v>
      </c>
      <c r="K43" s="215"/>
      <c r="Q43" s="226"/>
      <c r="R43" s="226"/>
    </row>
    <row r="44" spans="5:18" ht="24.75" customHeight="1">
      <c r="E44" s="207" t="s">
        <v>99</v>
      </c>
      <c r="K44" s="215"/>
      <c r="Q44" s="226"/>
      <c r="R44" s="227"/>
    </row>
    <row r="45" spans="5:18" ht="24.75" customHeight="1">
      <c r="E45" s="207" t="s">
        <v>99</v>
      </c>
      <c r="K45" s="214"/>
      <c r="Q45" s="227"/>
      <c r="R45" s="227"/>
    </row>
    <row r="46" spans="5:18" ht="24.75" customHeight="1">
      <c r="E46" s="207" t="s">
        <v>99</v>
      </c>
      <c r="K46" s="214"/>
      <c r="Q46" s="226"/>
      <c r="R46" s="226"/>
    </row>
    <row r="47" spans="5:18" ht="24.75" customHeight="1">
      <c r="E47" s="207" t="s">
        <v>99</v>
      </c>
      <c r="K47" s="215"/>
      <c r="Q47" s="227"/>
      <c r="R47" s="227"/>
    </row>
    <row r="48" spans="5:18" ht="24.75" customHeight="1">
      <c r="E48" s="207" t="s">
        <v>99</v>
      </c>
      <c r="K48" s="215"/>
      <c r="Q48" s="227"/>
      <c r="R48" s="227"/>
    </row>
    <row r="49" spans="5:18" ht="24.75" customHeight="1">
      <c r="E49" s="207" t="s">
        <v>99</v>
      </c>
      <c r="K49" s="215"/>
      <c r="Q49" s="226"/>
      <c r="R49" s="227"/>
    </row>
    <row r="50" spans="5:18" ht="24.75" customHeight="1">
      <c r="E50" s="207" t="s">
        <v>99</v>
      </c>
      <c r="K50" s="215"/>
      <c r="Q50" s="227"/>
      <c r="R50" s="227"/>
    </row>
    <row r="51" spans="5:18" ht="24.75" customHeight="1">
      <c r="E51" s="207" t="s">
        <v>99</v>
      </c>
      <c r="K51" s="214"/>
      <c r="Q51" s="227"/>
      <c r="R51" s="227"/>
    </row>
    <row r="52" spans="5:18" ht="24.75" customHeight="1">
      <c r="E52" s="207" t="s">
        <v>99</v>
      </c>
      <c r="K52" s="214"/>
      <c r="Q52" s="227"/>
      <c r="R52" s="227"/>
    </row>
    <row r="53" spans="5:18" ht="24.75" customHeight="1">
      <c r="E53" s="207" t="s">
        <v>99</v>
      </c>
      <c r="K53" s="215"/>
      <c r="Q53" s="227"/>
      <c r="R53" s="227"/>
    </row>
    <row r="54" spans="5:18" ht="24.75" customHeight="1">
      <c r="K54" s="215"/>
      <c r="Q54" s="227"/>
      <c r="R54" s="227"/>
    </row>
    <row r="55" spans="5:18" ht="24.75" customHeight="1">
      <c r="K55" s="215"/>
      <c r="Q55" s="227"/>
      <c r="R55" s="227"/>
    </row>
    <row r="56" spans="5:18" ht="24.75" customHeight="1">
      <c r="K56" s="215"/>
      <c r="Q56" s="227"/>
      <c r="R56" s="227"/>
    </row>
    <row r="57" spans="5:18" ht="24.75" customHeight="1">
      <c r="K57" s="215"/>
      <c r="Q57" s="227"/>
      <c r="R57" s="227"/>
    </row>
    <row r="58" spans="5:18" ht="24.75" customHeight="1">
      <c r="K58" s="215"/>
      <c r="Q58" s="227"/>
      <c r="R58" s="227"/>
    </row>
    <row r="59" spans="5:18" ht="24.75" customHeight="1">
      <c r="K59" s="215"/>
      <c r="Q59" s="227"/>
      <c r="R59" s="227"/>
    </row>
    <row r="60" spans="5:18" ht="24.75" customHeight="1">
      <c r="K60" s="215"/>
      <c r="Q60" s="226"/>
      <c r="R60" s="227"/>
    </row>
    <row r="61" spans="5:18" ht="24.75" customHeight="1">
      <c r="K61" s="215"/>
      <c r="Q61" s="226"/>
      <c r="R61" s="227"/>
    </row>
    <row r="62" spans="5:18" ht="24.75" customHeight="1">
      <c r="K62" s="215"/>
      <c r="Q62" s="226"/>
      <c r="R62" s="227"/>
    </row>
    <row r="63" spans="5:18" ht="24.75" customHeight="1">
      <c r="K63" s="215"/>
      <c r="Q63" s="226"/>
      <c r="R63" s="227"/>
    </row>
    <row r="64" spans="5:18" ht="24.75" customHeight="1">
      <c r="K64" s="214"/>
      <c r="Q64" s="226"/>
      <c r="R64" s="226"/>
    </row>
    <row r="65" spans="11:18" ht="24.75" customHeight="1">
      <c r="K65" s="214"/>
      <c r="Q65" s="226"/>
      <c r="R65" s="227"/>
    </row>
    <row r="66" spans="11:18" ht="24.75" customHeight="1">
      <c r="K66" s="215"/>
      <c r="Q66" s="226"/>
      <c r="R66" s="227"/>
    </row>
    <row r="67" spans="11:18" ht="24.75" customHeight="1">
      <c r="K67" s="215"/>
      <c r="Q67" s="226"/>
      <c r="R67" s="227"/>
    </row>
    <row r="68" spans="11:18" ht="24.75" customHeight="1">
      <c r="K68" s="215"/>
      <c r="Q68" s="227"/>
      <c r="R68" s="227"/>
    </row>
    <row r="69" spans="11:18" ht="24.75" customHeight="1">
      <c r="K69" s="215"/>
      <c r="Q69" s="226"/>
      <c r="R69" s="227"/>
    </row>
    <row r="70" spans="11:18" ht="24.75" customHeight="1">
      <c r="K70" s="215"/>
      <c r="Q70" s="226"/>
      <c r="R70" s="227"/>
    </row>
    <row r="71" spans="11:18" ht="24.75" customHeight="1">
      <c r="K71" s="215"/>
      <c r="Q71" s="226"/>
      <c r="R71" s="227"/>
    </row>
    <row r="72" spans="11:18" ht="24.75" customHeight="1">
      <c r="K72" s="215"/>
      <c r="Q72" s="226"/>
      <c r="R72" s="227"/>
    </row>
    <row r="73" spans="11:18" ht="24.75" customHeight="1">
      <c r="K73" s="215"/>
      <c r="Q73" s="226"/>
      <c r="R73" s="226"/>
    </row>
    <row r="74" spans="11:18" ht="24.75" customHeight="1">
      <c r="K74" s="215"/>
      <c r="Q74" s="226"/>
      <c r="R74" s="227"/>
    </row>
    <row r="75" spans="11:18" ht="24.75" customHeight="1">
      <c r="K75" s="215"/>
      <c r="Q75" s="226"/>
      <c r="R75" s="227"/>
    </row>
    <row r="76" spans="11:18" ht="24.75" customHeight="1">
      <c r="K76" s="215"/>
      <c r="Q76" s="226"/>
      <c r="R76" s="227"/>
    </row>
    <row r="77" spans="11:18" ht="24.75" customHeight="1">
      <c r="K77" s="215"/>
      <c r="Q77" s="226"/>
      <c r="R77" s="226"/>
    </row>
    <row r="78" spans="11:18" ht="24.75" customHeight="1">
      <c r="K78" s="215"/>
      <c r="Q78" s="226"/>
      <c r="R78" s="226"/>
    </row>
    <row r="79" spans="11:18" ht="24.75" customHeight="1">
      <c r="K79" s="215"/>
      <c r="Q79" s="226"/>
      <c r="R79" s="227"/>
    </row>
    <row r="80" spans="11:18" ht="24.75" customHeight="1">
      <c r="K80" s="214"/>
      <c r="Q80" s="226"/>
      <c r="R80" s="226"/>
    </row>
    <row r="81" spans="11:18" ht="24.75" customHeight="1">
      <c r="K81" s="215"/>
      <c r="Q81" s="226"/>
      <c r="R81" s="226"/>
    </row>
    <row r="82" spans="11:18" ht="24.75" customHeight="1">
      <c r="K82" s="215"/>
      <c r="Q82" s="227"/>
      <c r="R82" s="227"/>
    </row>
    <row r="83" spans="11:18" ht="24.75" customHeight="1">
      <c r="K83" s="215"/>
      <c r="Q83" s="227"/>
      <c r="R83" s="227"/>
    </row>
    <row r="84" spans="11:18" ht="24.75" customHeight="1">
      <c r="K84" s="215"/>
      <c r="Q84" s="226"/>
      <c r="R84" s="226"/>
    </row>
    <row r="85" spans="11:18" ht="24.75" customHeight="1">
      <c r="K85" s="215"/>
      <c r="Q85" s="227"/>
      <c r="R85" s="227"/>
    </row>
    <row r="86" spans="11:18" ht="24.75" customHeight="1">
      <c r="K86" s="215"/>
      <c r="Q86" s="227"/>
      <c r="R86" s="227"/>
    </row>
    <row r="87" spans="11:18" ht="24.75" customHeight="1">
      <c r="K87" s="215"/>
      <c r="Q87" s="227"/>
      <c r="R87" s="227"/>
    </row>
    <row r="88" spans="11:18" ht="24.75" customHeight="1">
      <c r="K88" s="215"/>
      <c r="Q88" s="227"/>
      <c r="R88" s="227"/>
    </row>
    <row r="89" spans="11:18" ht="24.75" customHeight="1">
      <c r="K89" s="215"/>
      <c r="Q89" s="227"/>
      <c r="R89" s="227"/>
    </row>
    <row r="90" spans="11:18" ht="24.75" customHeight="1">
      <c r="K90" s="215"/>
      <c r="Q90" s="227"/>
      <c r="R90" s="227"/>
    </row>
    <row r="91" spans="11:18" ht="24.75" customHeight="1">
      <c r="K91" s="215"/>
      <c r="Q91" s="227"/>
      <c r="R91" s="227"/>
    </row>
    <row r="92" spans="11:18" ht="24.75" customHeight="1">
      <c r="K92" s="215"/>
      <c r="Q92" s="227"/>
      <c r="R92" s="227"/>
    </row>
    <row r="93" spans="11:18" ht="24.75" customHeight="1">
      <c r="K93" s="215"/>
      <c r="Q93" s="227"/>
      <c r="R93" s="227"/>
    </row>
    <row r="94" spans="11:18" ht="24.75" customHeight="1">
      <c r="K94" s="215"/>
      <c r="Q94" s="227"/>
      <c r="R94" s="227"/>
    </row>
    <row r="95" spans="11:18" ht="24.75" customHeight="1">
      <c r="K95" s="215"/>
      <c r="Q95" s="227"/>
      <c r="R95" s="227"/>
    </row>
    <row r="96" spans="11:18" ht="24.75" customHeight="1">
      <c r="K96" s="215"/>
      <c r="Q96" s="227"/>
      <c r="R96" s="227"/>
    </row>
    <row r="97" spans="11:18" ht="24.75" customHeight="1">
      <c r="K97" s="215"/>
      <c r="Q97" s="227"/>
      <c r="R97" s="227"/>
    </row>
    <row r="98" spans="11:18" ht="24.75" customHeight="1">
      <c r="K98" s="215"/>
      <c r="Q98" s="227"/>
      <c r="R98" s="227"/>
    </row>
    <row r="99" spans="11:18" ht="24.75" customHeight="1">
      <c r="K99" s="215"/>
      <c r="Q99" s="227"/>
      <c r="R99" s="227"/>
    </row>
    <row r="100" spans="11:18" ht="24.75" customHeight="1">
      <c r="K100" s="215"/>
      <c r="Q100" s="227"/>
      <c r="R100" s="227"/>
    </row>
    <row r="101" spans="11:18" ht="24.75" customHeight="1">
      <c r="K101" s="215"/>
      <c r="Q101" s="227"/>
      <c r="R101" s="227"/>
    </row>
    <row r="102" spans="11:18" ht="24.75" customHeight="1">
      <c r="K102" s="215"/>
      <c r="Q102" s="226"/>
      <c r="R102" s="226"/>
    </row>
    <row r="103" spans="11:18" ht="24.75" customHeight="1">
      <c r="K103" s="215"/>
      <c r="Q103" s="226"/>
      <c r="R103" s="226"/>
    </row>
    <row r="104" spans="11:18" ht="24.75" customHeight="1">
      <c r="K104" s="215"/>
      <c r="Q104" s="227"/>
      <c r="R104" s="227"/>
    </row>
    <row r="105" spans="11:18" ht="24.75" customHeight="1">
      <c r="K105" s="215"/>
      <c r="Q105" s="227"/>
      <c r="R105" s="227"/>
    </row>
    <row r="106" spans="11:18" ht="24.75" customHeight="1">
      <c r="K106" s="215"/>
      <c r="Q106" s="227"/>
      <c r="R106" s="227"/>
    </row>
    <row r="107" spans="11:18" ht="24.75" customHeight="1">
      <c r="K107" s="215"/>
      <c r="Q107" s="227"/>
      <c r="R107" s="227"/>
    </row>
    <row r="108" spans="11:18" ht="24.75" customHeight="1">
      <c r="K108" s="215"/>
      <c r="Q108" s="227"/>
      <c r="R108" s="227"/>
    </row>
    <row r="109" spans="11:18" ht="24.75" customHeight="1">
      <c r="K109" s="215"/>
      <c r="Q109" s="227"/>
      <c r="R109" s="227"/>
    </row>
    <row r="110" spans="11:18" ht="24.75" customHeight="1">
      <c r="K110" s="215"/>
      <c r="Q110" s="227"/>
      <c r="R110" s="227"/>
    </row>
    <row r="111" spans="11:18" ht="24.75" customHeight="1">
      <c r="K111" s="215"/>
      <c r="Q111" s="227"/>
      <c r="R111" s="227"/>
    </row>
    <row r="112" spans="11:18" ht="24.75" customHeight="1">
      <c r="K112" s="215"/>
      <c r="Q112" s="227"/>
      <c r="R112" s="227"/>
    </row>
    <row r="113" spans="11:18" ht="24.75" customHeight="1">
      <c r="K113" s="215"/>
      <c r="Q113" s="227"/>
      <c r="R113" s="227"/>
    </row>
    <row r="114" spans="11:18" ht="24.75" customHeight="1">
      <c r="K114" s="215"/>
      <c r="Q114" s="227"/>
      <c r="R114" s="227"/>
    </row>
    <row r="115" spans="11:18" ht="24.75" customHeight="1">
      <c r="K115" s="215"/>
      <c r="Q115" s="227"/>
      <c r="R115" s="227"/>
    </row>
    <row r="116" spans="11:18" ht="24.75" customHeight="1">
      <c r="K116" s="215"/>
      <c r="Q116" s="227"/>
      <c r="R116" s="227"/>
    </row>
    <row r="117" spans="11:18" ht="24.75" customHeight="1">
      <c r="K117" s="215"/>
      <c r="Q117" s="226"/>
      <c r="R117" s="226"/>
    </row>
    <row r="118" spans="11:18" ht="24.75" customHeight="1">
      <c r="K118" s="215"/>
      <c r="Q118" s="226"/>
      <c r="R118" s="226"/>
    </row>
    <row r="119" spans="11:18" ht="24.75" customHeight="1">
      <c r="K119" s="215"/>
      <c r="Q119" s="227"/>
      <c r="R119" s="227"/>
    </row>
    <row r="120" spans="11:18" ht="24.75" customHeight="1">
      <c r="K120" s="215"/>
      <c r="Q120" s="226"/>
      <c r="R120" s="226"/>
    </row>
    <row r="121" spans="11:18" ht="24.75" customHeight="1">
      <c r="K121" s="215"/>
      <c r="Q121" s="227"/>
      <c r="R121" s="227"/>
    </row>
    <row r="122" spans="11:18" ht="24.75" customHeight="1">
      <c r="K122" s="215"/>
      <c r="Q122" s="227"/>
      <c r="R122" s="227"/>
    </row>
    <row r="123" spans="11:18" ht="24.75" customHeight="1">
      <c r="K123" s="215"/>
      <c r="Q123" s="226"/>
      <c r="R123" s="227"/>
    </row>
    <row r="124" spans="11:18" ht="24.75" customHeight="1">
      <c r="K124" s="215"/>
      <c r="Q124" s="227"/>
      <c r="R124" s="227"/>
    </row>
    <row r="125" spans="11:18" ht="24.75" customHeight="1">
      <c r="K125" s="215"/>
      <c r="Q125" s="227"/>
      <c r="R125" s="227"/>
    </row>
    <row r="126" spans="11:18" ht="24.75" customHeight="1">
      <c r="K126" s="215"/>
      <c r="Q126" s="226"/>
      <c r="R126" s="226"/>
    </row>
    <row r="127" spans="11:18" ht="24.75" customHeight="1">
      <c r="K127" s="215"/>
      <c r="Q127" s="226"/>
      <c r="R127" s="227"/>
    </row>
    <row r="128" spans="11:18" ht="24.75" customHeight="1">
      <c r="K128" s="215"/>
      <c r="Q128" s="227"/>
      <c r="R128" s="227"/>
    </row>
    <row r="129" spans="11:18" ht="24.75" customHeight="1">
      <c r="K129" s="215"/>
      <c r="Q129" s="227"/>
      <c r="R129" s="227"/>
    </row>
    <row r="130" spans="11:18" ht="24.75" customHeight="1">
      <c r="K130" s="215"/>
      <c r="Q130" s="227"/>
      <c r="R130" s="227"/>
    </row>
    <row r="131" spans="11:18" ht="24.75" customHeight="1">
      <c r="K131" s="215"/>
      <c r="Q131" s="227"/>
      <c r="R131" s="227"/>
    </row>
    <row r="132" spans="11:18" ht="24.75" customHeight="1">
      <c r="K132" s="215"/>
      <c r="Q132" s="226"/>
      <c r="R132" s="226"/>
    </row>
    <row r="133" spans="11:18" ht="24.75" customHeight="1">
      <c r="K133" s="215"/>
      <c r="Q133" s="227"/>
      <c r="R133" s="227"/>
    </row>
    <row r="134" spans="11:18" ht="24.75" customHeight="1">
      <c r="Q134" s="227"/>
      <c r="R134" s="227"/>
    </row>
    <row r="135" spans="11:18" ht="24.75" customHeight="1">
      <c r="Q135" s="227"/>
      <c r="R135" s="227"/>
    </row>
    <row r="136" spans="11:18" ht="24.75" customHeight="1">
      <c r="Q136" s="226"/>
      <c r="R136" s="226"/>
    </row>
    <row r="137" spans="11:18" ht="24.75" customHeight="1">
      <c r="Q137" s="226"/>
      <c r="R137" s="227"/>
    </row>
    <row r="138" spans="11:18" ht="24.75" customHeight="1">
      <c r="Q138" s="226"/>
      <c r="R138" s="227"/>
    </row>
    <row r="139" spans="11:18" ht="24.75" customHeight="1">
      <c r="Q139" s="226"/>
      <c r="R139" s="227"/>
    </row>
    <row r="140" spans="11:18" ht="24.75" customHeight="1">
      <c r="Q140" s="226"/>
      <c r="R140" s="227"/>
    </row>
    <row r="141" spans="11:18" ht="24.75" customHeight="1">
      <c r="Q141" s="226"/>
      <c r="R141" s="227"/>
    </row>
    <row r="142" spans="11:18" ht="24.75" customHeight="1">
      <c r="Q142" s="226"/>
      <c r="R142" s="226"/>
    </row>
    <row r="143" spans="11:18" ht="24.75" customHeight="1">
      <c r="Q143" s="227"/>
      <c r="R143" s="227"/>
    </row>
    <row r="144" spans="11:18" ht="24.75" customHeight="1">
      <c r="Q144" s="226"/>
      <c r="R144" s="227"/>
    </row>
    <row r="145" spans="17:18" ht="24.75" customHeight="1">
      <c r="Q145" s="226"/>
      <c r="R145" s="227"/>
    </row>
    <row r="146" spans="17:18" ht="24.75" customHeight="1">
      <c r="Q146" s="226"/>
      <c r="R146" s="226"/>
    </row>
    <row r="147" spans="17:18" ht="24.75" customHeight="1">
      <c r="Q147" s="227"/>
      <c r="R147" s="227"/>
    </row>
    <row r="148" spans="17:18" ht="24.75" customHeight="1">
      <c r="Q148" s="226"/>
      <c r="R148" s="226"/>
    </row>
    <row r="149" spans="17:18" ht="24.75" customHeight="1">
      <c r="Q149" s="227"/>
      <c r="R149" s="227"/>
    </row>
    <row r="150" spans="17:18" ht="24.75" customHeight="1">
      <c r="Q150" s="227"/>
      <c r="R150" s="227"/>
    </row>
    <row r="151" spans="17:18" ht="24.75" customHeight="1">
      <c r="Q151" s="226"/>
      <c r="R151" s="226"/>
    </row>
    <row r="152" spans="17:18" ht="24.75" customHeight="1">
      <c r="Q152" s="226"/>
      <c r="R152" s="226"/>
    </row>
    <row r="153" spans="17:18" ht="24.75" customHeight="1">
      <c r="Q153" s="226"/>
      <c r="R153" s="226"/>
    </row>
    <row r="154" spans="17:18" ht="24.75" customHeight="1">
      <c r="Q154" s="226"/>
      <c r="R154" s="227"/>
    </row>
    <row r="155" spans="17:18" ht="24.75" customHeight="1">
      <c r="Q155" s="226"/>
      <c r="R155" s="227"/>
    </row>
    <row r="156" spans="17:18" ht="24.75" customHeight="1">
      <c r="Q156" s="227"/>
      <c r="R156" s="227"/>
    </row>
    <row r="157" spans="17:18" ht="24.75" customHeight="1">
      <c r="Q157" s="227"/>
      <c r="R157" s="227"/>
    </row>
    <row r="158" spans="17:18" ht="24.75" customHeight="1">
      <c r="Q158" s="227"/>
      <c r="R158" s="227"/>
    </row>
    <row r="159" spans="17:18" ht="24.75" customHeight="1">
      <c r="Q159" s="227"/>
      <c r="R159" s="227"/>
    </row>
    <row r="160" spans="17:18" ht="24.75" customHeight="1">
      <c r="Q160" s="227"/>
      <c r="R160" s="227"/>
    </row>
    <row r="161" spans="17:18" ht="24.75" customHeight="1">
      <c r="Q161" s="227"/>
      <c r="R161" s="227"/>
    </row>
    <row r="162" spans="17:18" ht="24.75" customHeight="1">
      <c r="Q162" s="226"/>
      <c r="R162" s="227"/>
    </row>
    <row r="163" spans="17:18" ht="24.75" customHeight="1">
      <c r="Q163" s="227"/>
      <c r="R163" s="227"/>
    </row>
    <row r="164" spans="17:18" ht="24.75" customHeight="1">
      <c r="Q164" s="227"/>
      <c r="R164" s="227"/>
    </row>
    <row r="165" spans="17:18" ht="24.75" customHeight="1">
      <c r="Q165" s="227"/>
      <c r="R165" s="227"/>
    </row>
    <row r="166" spans="17:18" ht="24.75" customHeight="1">
      <c r="Q166" s="227"/>
      <c r="R166" s="227"/>
    </row>
    <row r="167" spans="17:18" ht="24.75" customHeight="1">
      <c r="Q167" s="227"/>
      <c r="R167" s="227"/>
    </row>
    <row r="168" spans="17:18" ht="24.75" customHeight="1">
      <c r="Q168" s="226"/>
      <c r="R168" s="227"/>
    </row>
    <row r="169" spans="17:18" ht="24.75" customHeight="1">
      <c r="Q169" s="227"/>
      <c r="R169" s="227"/>
    </row>
    <row r="170" spans="17:18" ht="24.75" customHeight="1">
      <c r="Q170" s="227"/>
      <c r="R170" s="227"/>
    </row>
    <row r="171" spans="17:18" ht="24.75" customHeight="1">
      <c r="Q171" s="227"/>
      <c r="R171" s="227"/>
    </row>
    <row r="172" spans="17:18" ht="24.75" customHeight="1">
      <c r="Q172" s="226"/>
      <c r="R172" s="227"/>
    </row>
    <row r="173" spans="17:18" ht="24.75" customHeight="1">
      <c r="Q173" s="227"/>
      <c r="R173" s="227"/>
    </row>
    <row r="174" spans="17:18" ht="24.75" customHeight="1">
      <c r="Q174" s="227"/>
      <c r="R174" s="227"/>
    </row>
    <row r="175" spans="17:18" ht="24.75" customHeight="1">
      <c r="Q175" s="227"/>
      <c r="R175" s="227"/>
    </row>
    <row r="176" spans="17:18" ht="24.75" customHeight="1">
      <c r="Q176" s="227"/>
      <c r="R176" s="227"/>
    </row>
    <row r="177" spans="17:18" ht="24.75" customHeight="1">
      <c r="Q177" s="226"/>
      <c r="R177" s="227"/>
    </row>
    <row r="178" spans="17:18" ht="24.75" customHeight="1">
      <c r="Q178" s="227"/>
      <c r="R178" s="227"/>
    </row>
    <row r="179" spans="17:18" ht="24.75" customHeight="1">
      <c r="Q179" s="227"/>
      <c r="R179" s="227"/>
    </row>
    <row r="180" spans="17:18" ht="24.75" customHeight="1">
      <c r="Q180" s="227"/>
      <c r="R180" s="227"/>
    </row>
    <row r="181" spans="17:18" ht="24.75" customHeight="1">
      <c r="Q181" s="227"/>
      <c r="R181" s="227"/>
    </row>
    <row r="182" spans="17:18" ht="24.75" customHeight="1">
      <c r="Q182" s="227"/>
      <c r="R182" s="227"/>
    </row>
    <row r="183" spans="17:18" ht="24.75" customHeight="1">
      <c r="Q183" s="227"/>
      <c r="R183" s="227"/>
    </row>
    <row r="184" spans="17:18" ht="24.75" customHeight="1">
      <c r="Q184" s="227"/>
      <c r="R184" s="227"/>
    </row>
    <row r="185" spans="17:18" ht="24.75" customHeight="1">
      <c r="Q185" s="227"/>
      <c r="R185" s="227"/>
    </row>
    <row r="186" spans="17:18" ht="24.75" customHeight="1">
      <c r="Q186" s="227"/>
      <c r="R186" s="227"/>
    </row>
    <row r="187" spans="17:18" ht="24.75" customHeight="1">
      <c r="Q187" s="226"/>
      <c r="R187" s="227"/>
    </row>
    <row r="188" spans="17:18" ht="24.75" customHeight="1">
      <c r="Q188" s="227"/>
      <c r="R188" s="227"/>
    </row>
    <row r="189" spans="17:18" ht="24.75" customHeight="1">
      <c r="Q189" s="226"/>
      <c r="R189" s="227"/>
    </row>
    <row r="190" spans="17:18" ht="24.75" customHeight="1">
      <c r="Q190" s="227"/>
      <c r="R190" s="227"/>
    </row>
    <row r="191" spans="17:18" ht="24.75" customHeight="1">
      <c r="Q191" s="227"/>
      <c r="R191" s="227"/>
    </row>
    <row r="192" spans="17:18" ht="24.75" customHeight="1">
      <c r="Q192" s="227"/>
      <c r="R192" s="227"/>
    </row>
    <row r="193" spans="17:18" ht="24.75" customHeight="1">
      <c r="Q193" s="227"/>
      <c r="R193" s="227"/>
    </row>
    <row r="194" spans="17:18" ht="24.75" customHeight="1">
      <c r="Q194" s="227"/>
      <c r="R194" s="227"/>
    </row>
    <row r="195" spans="17:18" ht="24.75" customHeight="1">
      <c r="Q195" s="227"/>
      <c r="R195" s="227"/>
    </row>
    <row r="196" spans="17:18" ht="24.75" customHeight="1">
      <c r="Q196" s="227"/>
      <c r="R196" s="227"/>
    </row>
    <row r="197" spans="17:18" ht="24.75" customHeight="1">
      <c r="Q197" s="227"/>
      <c r="R197" s="227"/>
    </row>
    <row r="198" spans="17:18" ht="24.75" customHeight="1">
      <c r="Q198" s="227"/>
      <c r="R198" s="227"/>
    </row>
    <row r="199" spans="17:18" ht="24.75" customHeight="1">
      <c r="Q199" s="227"/>
      <c r="R199" s="227"/>
    </row>
    <row r="200" spans="17:18" ht="24.75" customHeight="1">
      <c r="Q200" s="228"/>
      <c r="R200" s="227"/>
    </row>
    <row r="201" spans="17:18" ht="24.75" customHeight="1">
      <c r="Q201" s="226"/>
      <c r="R201" s="227"/>
    </row>
    <row r="202" spans="17:18" ht="24.75" customHeight="1">
      <c r="Q202" s="227"/>
      <c r="R202" s="227"/>
    </row>
    <row r="203" spans="17:18" ht="24.75" customHeight="1">
      <c r="Q203" s="227"/>
      <c r="R203" s="227"/>
    </row>
    <row r="204" spans="17:18" ht="24.75" customHeight="1">
      <c r="Q204" s="227"/>
      <c r="R204" s="227"/>
    </row>
    <row r="205" spans="17:18" ht="24.75" customHeight="1">
      <c r="Q205" s="227"/>
      <c r="R205" s="227"/>
    </row>
    <row r="206" spans="17:18" ht="24.75" customHeight="1">
      <c r="Q206" s="227"/>
      <c r="R206" s="227"/>
    </row>
    <row r="207" spans="17:18" ht="24.75" customHeight="1">
      <c r="Q207" s="227"/>
      <c r="R207" s="227"/>
    </row>
    <row r="208" spans="17:18" ht="24.75" customHeight="1">
      <c r="Q208" s="226"/>
      <c r="R208" s="227"/>
    </row>
    <row r="209" spans="17:18" ht="24.75" customHeight="1">
      <c r="Q209" s="227"/>
      <c r="R209" s="227"/>
    </row>
    <row r="210" spans="17:18" ht="24.75" customHeight="1">
      <c r="Q210" s="227"/>
      <c r="R210" s="227"/>
    </row>
    <row r="211" spans="17:18" ht="24.75" customHeight="1">
      <c r="Q211" s="227"/>
      <c r="R211" s="227"/>
    </row>
    <row r="212" spans="17:18" ht="24.75" customHeight="1">
      <c r="Q212" s="227"/>
      <c r="R212" s="227"/>
    </row>
    <row r="213" spans="17:18" ht="24.75" customHeight="1">
      <c r="Q213" s="227"/>
      <c r="R213" s="227"/>
    </row>
    <row r="214" spans="17:18" ht="24.75" customHeight="1">
      <c r="Q214" s="226"/>
      <c r="R214" s="227"/>
    </row>
    <row r="215" spans="17:18" ht="24.75" customHeight="1">
      <c r="Q215" s="226"/>
      <c r="R215" s="227"/>
    </row>
    <row r="216" spans="17:18" ht="24.75" customHeight="1">
      <c r="Q216" s="227"/>
      <c r="R216" s="227"/>
    </row>
    <row r="217" spans="17:18" ht="24.75" customHeight="1">
      <c r="Q217" s="227"/>
      <c r="R217" s="227"/>
    </row>
    <row r="218" spans="17:18" ht="24.75" customHeight="1">
      <c r="Q218" s="226"/>
      <c r="R218" s="227"/>
    </row>
    <row r="219" spans="17:18" ht="24.75" customHeight="1">
      <c r="Q219" s="227"/>
      <c r="R219" s="227"/>
    </row>
    <row r="220" spans="17:18" ht="24.75" customHeight="1">
      <c r="Q220" s="227"/>
      <c r="R220" s="227"/>
    </row>
    <row r="221" spans="17:18" ht="24.75" customHeight="1">
      <c r="Q221" s="227"/>
      <c r="R221" s="227"/>
    </row>
    <row r="222" spans="17:18" ht="24.75" customHeight="1">
      <c r="Q222" s="227"/>
      <c r="R222" s="227"/>
    </row>
    <row r="223" spans="17:18" ht="24.75" customHeight="1">
      <c r="Q223" s="227"/>
      <c r="R223" s="227"/>
    </row>
    <row r="224" spans="17:18" ht="24.75" customHeight="1">
      <c r="Q224" s="227"/>
      <c r="R224" s="227"/>
    </row>
    <row r="225" spans="17:18" ht="24.75" customHeight="1">
      <c r="Q225" s="227"/>
      <c r="R225" s="227"/>
    </row>
    <row r="226" spans="17:18" ht="24.75" customHeight="1">
      <c r="Q226" s="227"/>
      <c r="R226" s="227"/>
    </row>
    <row r="227" spans="17:18" ht="24.75" customHeight="1">
      <c r="Q227" s="227"/>
      <c r="R227" s="227"/>
    </row>
    <row r="228" spans="17:18" ht="24.75" customHeight="1">
      <c r="Q228" s="226"/>
      <c r="R228" s="227"/>
    </row>
    <row r="229" spans="17:18" ht="24.75" customHeight="1">
      <c r="Q229" s="227"/>
      <c r="R229" s="227"/>
    </row>
    <row r="230" spans="17:18" ht="24.75" customHeight="1">
      <c r="Q230" s="226"/>
      <c r="R230" s="227"/>
    </row>
    <row r="231" spans="17:18" ht="24.75" customHeight="1">
      <c r="Q231" s="227"/>
      <c r="R231" s="227"/>
    </row>
    <row r="232" spans="17:18" ht="24.75" customHeight="1">
      <c r="Q232" s="227"/>
      <c r="R232" s="227"/>
    </row>
    <row r="233" spans="17:18" ht="24.75" customHeight="1">
      <c r="Q233" s="227"/>
      <c r="R233" s="227"/>
    </row>
    <row r="234" spans="17:18" ht="24.75" customHeight="1">
      <c r="Q234" s="227"/>
      <c r="R234" s="227"/>
    </row>
    <row r="235" spans="17:18" ht="24.75" customHeight="1">
      <c r="Q235" s="227"/>
      <c r="R235" s="227"/>
    </row>
    <row r="236" spans="17:18" ht="24.75" customHeight="1">
      <c r="Q236" s="226"/>
      <c r="R236" s="227"/>
    </row>
    <row r="237" spans="17:18" ht="24.75" customHeight="1">
      <c r="Q237" s="227"/>
      <c r="R237" s="227"/>
    </row>
    <row r="238" spans="17:18" ht="24.75" customHeight="1">
      <c r="Q238" s="227"/>
      <c r="R238" s="227"/>
    </row>
    <row r="239" spans="17:18" ht="24.75" customHeight="1">
      <c r="Q239" s="227"/>
      <c r="R239" s="227"/>
    </row>
    <row r="240" spans="17:18" ht="24.75" customHeight="1">
      <c r="Q240" s="227"/>
      <c r="R240" s="227"/>
    </row>
    <row r="241" spans="17:18" ht="24.75" customHeight="1">
      <c r="Q241" s="227"/>
      <c r="R241" s="227"/>
    </row>
    <row r="242" spans="17:18" ht="24.75" customHeight="1">
      <c r="Q242" s="227"/>
      <c r="R242" s="227"/>
    </row>
    <row r="243" spans="17:18" ht="24.75" customHeight="1">
      <c r="Q243" s="227"/>
      <c r="R243" s="227"/>
    </row>
    <row r="244" spans="17:18" ht="24.75" customHeight="1">
      <c r="Q244" s="227"/>
      <c r="R244" s="227"/>
    </row>
    <row r="245" spans="17:18" ht="24.75" customHeight="1">
      <c r="Q245" s="226"/>
      <c r="R245" s="227"/>
    </row>
    <row r="246" spans="17:18" ht="24.75" customHeight="1">
      <c r="Q246" s="227"/>
      <c r="R246" s="227"/>
    </row>
    <row r="247" spans="17:18" ht="24.75" customHeight="1">
      <c r="Q247" s="227"/>
      <c r="R247" s="227"/>
    </row>
    <row r="248" spans="17:18" ht="24.75" customHeight="1">
      <c r="Q248" s="226"/>
      <c r="R248" s="227"/>
    </row>
    <row r="249" spans="17:18" ht="24.75" customHeight="1">
      <c r="Q249" s="227"/>
      <c r="R249" s="227"/>
    </row>
    <row r="250" spans="17:18" ht="24.75" customHeight="1">
      <c r="Q250" s="227"/>
      <c r="R250" s="227"/>
    </row>
    <row r="251" spans="17:18" ht="24.75" customHeight="1">
      <c r="Q251" s="227"/>
      <c r="R251" s="227"/>
    </row>
    <row r="252" spans="17:18" ht="24.75" customHeight="1">
      <c r="Q252" s="227"/>
      <c r="R252" s="227"/>
    </row>
    <row r="253" spans="17:18" ht="24.75" customHeight="1">
      <c r="Q253" s="227"/>
      <c r="R253" s="227"/>
    </row>
    <row r="254" spans="17:18" ht="24.75" customHeight="1">
      <c r="Q254" s="227"/>
      <c r="R254" s="227"/>
    </row>
    <row r="255" spans="17:18" ht="24.75" customHeight="1">
      <c r="Q255" s="227"/>
      <c r="R255" s="227"/>
    </row>
    <row r="256" spans="17:18" ht="24.75" customHeight="1">
      <c r="Q256" s="227"/>
      <c r="R256" s="227"/>
    </row>
    <row r="257" spans="17:18" ht="24.75" customHeight="1">
      <c r="Q257" s="226"/>
      <c r="R257" s="227"/>
    </row>
    <row r="258" spans="17:18" ht="24.75" customHeight="1">
      <c r="Q258" s="227"/>
      <c r="R258" s="227"/>
    </row>
    <row r="259" spans="17:18" ht="24.75" customHeight="1">
      <c r="Q259" s="227"/>
      <c r="R259" s="227"/>
    </row>
    <row r="260" spans="17:18" ht="24.75" customHeight="1">
      <c r="Q260" s="227"/>
      <c r="R260" s="227"/>
    </row>
    <row r="261" spans="17:18" ht="24.75" customHeight="1">
      <c r="Q261" s="227"/>
      <c r="R261" s="227"/>
    </row>
    <row r="262" spans="17:18" ht="24.75" customHeight="1">
      <c r="Q262" s="226"/>
      <c r="R262" s="227"/>
    </row>
    <row r="263" spans="17:18" ht="24.75" customHeight="1">
      <c r="Q263" s="227"/>
      <c r="R263" s="227"/>
    </row>
    <row r="264" spans="17:18" ht="24.75" customHeight="1">
      <c r="Q264" s="227"/>
      <c r="R264" s="227"/>
    </row>
    <row r="265" spans="17:18" ht="24.75" customHeight="1">
      <c r="Q265" s="227"/>
      <c r="R265" s="227"/>
    </row>
    <row r="266" spans="17:18" ht="24.75" customHeight="1">
      <c r="Q266" s="227"/>
      <c r="R266" s="227"/>
    </row>
    <row r="267" spans="17:18" ht="24.75" customHeight="1">
      <c r="Q267" s="227"/>
      <c r="R267" s="227"/>
    </row>
    <row r="268" spans="17:18" ht="24.75" customHeight="1">
      <c r="Q268" s="227"/>
      <c r="R268" s="227"/>
    </row>
    <row r="269" spans="17:18" ht="24.75" customHeight="1">
      <c r="Q269" s="227"/>
      <c r="R269" s="227"/>
    </row>
    <row r="270" spans="17:18" ht="24.75" customHeight="1">
      <c r="Q270" s="227"/>
      <c r="R270" s="227"/>
    </row>
    <row r="271" spans="17:18" ht="24.75" customHeight="1">
      <c r="Q271" s="227"/>
      <c r="R271" s="227"/>
    </row>
    <row r="272" spans="17:18" ht="24.75" customHeight="1">
      <c r="Q272" s="227"/>
      <c r="R272" s="227"/>
    </row>
    <row r="273" spans="17:18" ht="24.75" customHeight="1">
      <c r="Q273" s="227"/>
      <c r="R273" s="227"/>
    </row>
    <row r="274" spans="17:18" ht="24.75" customHeight="1">
      <c r="Q274" s="227"/>
      <c r="R274" s="227"/>
    </row>
    <row r="275" spans="17:18" ht="24.75" customHeight="1">
      <c r="Q275" s="226"/>
      <c r="R275" s="227"/>
    </row>
    <row r="276" spans="17:18" ht="24.75" customHeight="1">
      <c r="Q276" s="227"/>
      <c r="R276" s="227"/>
    </row>
    <row r="277" spans="17:18" ht="24.75" customHeight="1">
      <c r="Q277" s="227"/>
      <c r="R277" s="227"/>
    </row>
    <row r="278" spans="17:18" ht="24.75" customHeight="1">
      <c r="Q278" s="227"/>
      <c r="R278" s="227"/>
    </row>
    <row r="279" spans="17:18" ht="24.75" customHeight="1">
      <c r="Q279" s="227"/>
      <c r="R279" s="227"/>
    </row>
    <row r="280" spans="17:18" ht="24.75" customHeight="1">
      <c r="Q280" s="227"/>
      <c r="R280" s="227"/>
    </row>
    <row r="281" spans="17:18" ht="24.75" customHeight="1">
      <c r="Q281" s="227"/>
      <c r="R281" s="227"/>
    </row>
    <row r="282" spans="17:18" ht="24.75" customHeight="1">
      <c r="Q282" s="227"/>
      <c r="R282" s="227"/>
    </row>
    <row r="283" spans="17:18" ht="24.75" customHeight="1">
      <c r="Q283" s="227"/>
      <c r="R283" s="227"/>
    </row>
    <row r="284" spans="17:18" ht="24.75" customHeight="1">
      <c r="Q284" s="227"/>
      <c r="R284" s="227"/>
    </row>
    <row r="285" spans="17:18" ht="24.75" customHeight="1">
      <c r="Q285" s="227"/>
      <c r="R285" s="227"/>
    </row>
    <row r="286" spans="17:18" ht="24.75" customHeight="1">
      <c r="Q286" s="226"/>
      <c r="R286" s="227"/>
    </row>
    <row r="287" spans="17:18" ht="24.75" customHeight="1">
      <c r="Q287" s="227"/>
      <c r="R287" s="227"/>
    </row>
    <row r="288" spans="17:18" ht="24.75" customHeight="1">
      <c r="Q288" s="227"/>
      <c r="R288" s="227"/>
    </row>
    <row r="289" spans="17:18" ht="24.75" customHeight="1">
      <c r="Q289" s="227"/>
      <c r="R289" s="227"/>
    </row>
    <row r="290" spans="17:18" ht="24.75" customHeight="1">
      <c r="Q290" s="227"/>
      <c r="R290" s="227"/>
    </row>
    <row r="291" spans="17:18" ht="24.75" customHeight="1">
      <c r="Q291" s="227"/>
      <c r="R291" s="227"/>
    </row>
    <row r="292" spans="17:18" ht="24.75" customHeight="1">
      <c r="Q292" s="227"/>
      <c r="R292" s="227"/>
    </row>
    <row r="293" spans="17:18" ht="24.75" customHeight="1">
      <c r="Q293" s="227"/>
      <c r="R293" s="227"/>
    </row>
    <row r="294" spans="17:18" ht="24.75" customHeight="1">
      <c r="Q294" s="227"/>
      <c r="R294" s="227"/>
    </row>
    <row r="295" spans="17:18" ht="24.75" customHeight="1">
      <c r="Q295" s="227"/>
      <c r="R295" s="227"/>
    </row>
    <row r="296" spans="17:18" ht="24.75" customHeight="1">
      <c r="Q296" s="227"/>
      <c r="R296" s="227"/>
    </row>
    <row r="297" spans="17:18" ht="24.75" customHeight="1">
      <c r="Q297" s="227"/>
      <c r="R297" s="227"/>
    </row>
    <row r="298" spans="17:18" ht="24.75" customHeight="1">
      <c r="Q298" s="227"/>
      <c r="R298" s="227"/>
    </row>
    <row r="299" spans="17:18" ht="24.75" customHeight="1">
      <c r="Q299" s="227"/>
      <c r="R299" s="227"/>
    </row>
    <row r="300" spans="17:18" ht="24.75" customHeight="1">
      <c r="Q300" s="227"/>
      <c r="R300" s="227"/>
    </row>
    <row r="301" spans="17:18" ht="24.75" customHeight="1">
      <c r="Q301" s="227"/>
      <c r="R301" s="227"/>
    </row>
    <row r="302" spans="17:18" ht="24.75" customHeight="1">
      <c r="Q302" s="227"/>
      <c r="R302" s="227"/>
    </row>
    <row r="303" spans="17:18" ht="24.75" customHeight="1">
      <c r="Q303" s="227"/>
      <c r="R303" s="227"/>
    </row>
    <row r="304" spans="17:18" ht="24.75" customHeight="1">
      <c r="Q304" s="227"/>
      <c r="R304" s="227"/>
    </row>
    <row r="305" spans="17:18" ht="24.75" customHeight="1">
      <c r="Q305" s="227"/>
      <c r="R305" s="227"/>
    </row>
    <row r="306" spans="17:18" ht="24.75" customHeight="1">
      <c r="Q306" s="227"/>
      <c r="R306" s="227"/>
    </row>
    <row r="307" spans="17:18" ht="24.75" customHeight="1">
      <c r="Q307" s="226"/>
      <c r="R307" s="227"/>
    </row>
    <row r="308" spans="17:18" ht="24.75" customHeight="1">
      <c r="Q308" s="227"/>
      <c r="R308" s="227"/>
    </row>
    <row r="309" spans="17:18" ht="24.75" customHeight="1">
      <c r="Q309" s="227"/>
      <c r="R309" s="227"/>
    </row>
    <row r="310" spans="17:18" ht="24.75" customHeight="1">
      <c r="Q310" s="227"/>
      <c r="R310" s="227"/>
    </row>
    <row r="311" spans="17:18" ht="24.75" customHeight="1">
      <c r="Q311" s="227"/>
      <c r="R311" s="227"/>
    </row>
    <row r="312" spans="17:18" ht="24.75" customHeight="1">
      <c r="Q312" s="227"/>
      <c r="R312" s="227"/>
    </row>
    <row r="313" spans="17:18" ht="24.75" customHeight="1">
      <c r="Q313" s="226"/>
      <c r="R313" s="227"/>
    </row>
    <row r="314" spans="17:18" ht="24.75" customHeight="1">
      <c r="Q314" s="227"/>
      <c r="R314" s="227"/>
    </row>
    <row r="315" spans="17:18" ht="24.75" customHeight="1">
      <c r="Q315" s="227"/>
      <c r="R315" s="227"/>
    </row>
    <row r="316" spans="17:18" ht="24.75" customHeight="1">
      <c r="Q316" s="227"/>
      <c r="R316" s="227"/>
    </row>
    <row r="317" spans="17:18" ht="24.75" customHeight="1">
      <c r="Q317" s="227"/>
      <c r="R317" s="227"/>
    </row>
    <row r="318" spans="17:18" ht="24.75" customHeight="1">
      <c r="Q318" s="227"/>
      <c r="R318" s="227"/>
    </row>
    <row r="319" spans="17:18" ht="24.75" customHeight="1">
      <c r="Q319" s="227"/>
      <c r="R319" s="227"/>
    </row>
    <row r="320" spans="17:18" ht="24.75" customHeight="1">
      <c r="Q320" s="227"/>
      <c r="R320" s="227"/>
    </row>
    <row r="321" spans="17:18" ht="24.75" customHeight="1">
      <c r="Q321" s="227"/>
      <c r="R321" s="227"/>
    </row>
    <row r="322" spans="17:18" ht="24.75" customHeight="1">
      <c r="Q322" s="227"/>
      <c r="R322" s="227"/>
    </row>
    <row r="323" spans="17:18" ht="24.75" customHeight="1">
      <c r="Q323" s="227"/>
      <c r="R323" s="227"/>
    </row>
    <row r="324" spans="17:18" ht="24.75" customHeight="1">
      <c r="Q324" s="227"/>
      <c r="R324" s="227"/>
    </row>
    <row r="325" spans="17:18" ht="24.75" customHeight="1">
      <c r="Q325" s="227"/>
      <c r="R325" s="227"/>
    </row>
    <row r="326" spans="17:18" ht="24.75" customHeight="1">
      <c r="Q326" s="227"/>
      <c r="R326" s="227"/>
    </row>
    <row r="327" spans="17:18" ht="24.75" customHeight="1">
      <c r="Q327" s="227"/>
      <c r="R327" s="227"/>
    </row>
    <row r="328" spans="17:18" ht="24.75" customHeight="1">
      <c r="Q328" s="227"/>
      <c r="R328" s="227"/>
    </row>
    <row r="329" spans="17:18" ht="24.75" customHeight="1">
      <c r="Q329" s="227"/>
      <c r="R329" s="227"/>
    </row>
    <row r="330" spans="17:18" ht="24.75" customHeight="1">
      <c r="Q330" s="227"/>
      <c r="R330" s="227"/>
    </row>
    <row r="331" spans="17:18" ht="24.75" customHeight="1">
      <c r="Q331" s="227"/>
      <c r="R331" s="227"/>
    </row>
    <row r="332" spans="17:18" ht="24.75" customHeight="1">
      <c r="Q332" s="227"/>
      <c r="R332" s="227"/>
    </row>
    <row r="333" spans="17:18" ht="24.75" customHeight="1">
      <c r="Q333" s="227"/>
      <c r="R333" s="227"/>
    </row>
    <row r="334" spans="17:18" ht="24.75" customHeight="1">
      <c r="Q334" s="227"/>
      <c r="R334" s="227"/>
    </row>
    <row r="335" spans="17:18" ht="24.75" customHeight="1">
      <c r="Q335" s="227"/>
      <c r="R335" s="227"/>
    </row>
    <row r="336" spans="17:18" ht="24.75" customHeight="1">
      <c r="Q336" s="227"/>
      <c r="R336" s="227"/>
    </row>
    <row r="337" spans="17:18" ht="24.75" customHeight="1">
      <c r="Q337" s="227"/>
      <c r="R337" s="227"/>
    </row>
    <row r="338" spans="17:18" ht="24.75" customHeight="1">
      <c r="Q338" s="227"/>
      <c r="R338" s="227"/>
    </row>
    <row r="339" spans="17:18" ht="24.75" customHeight="1">
      <c r="Q339" s="227"/>
      <c r="R339" s="227"/>
    </row>
    <row r="340" spans="17:18" ht="24.75" customHeight="1">
      <c r="Q340" s="227"/>
      <c r="R340" s="227"/>
    </row>
    <row r="341" spans="17:18" ht="24.75" customHeight="1">
      <c r="Q341" s="227"/>
      <c r="R341" s="227"/>
    </row>
    <row r="342" spans="17:18" ht="24.75" customHeight="1">
      <c r="Q342" s="227"/>
      <c r="R342" s="227"/>
    </row>
    <row r="343" spans="17:18" ht="24.75" customHeight="1">
      <c r="Q343" s="227"/>
      <c r="R343" s="227"/>
    </row>
    <row r="344" spans="17:18" ht="24.75" customHeight="1">
      <c r="Q344" s="227"/>
      <c r="R344" s="227"/>
    </row>
    <row r="345" spans="17:18" ht="24.75" customHeight="1">
      <c r="Q345" s="227"/>
      <c r="R345" s="227"/>
    </row>
    <row r="346" spans="17:18" ht="24.75" customHeight="1">
      <c r="Q346" s="227"/>
      <c r="R346" s="227"/>
    </row>
    <row r="347" spans="17:18" ht="24.75" customHeight="1">
      <c r="Q347" s="227"/>
      <c r="R347" s="227"/>
    </row>
    <row r="348" spans="17:18" ht="24.75" customHeight="1">
      <c r="Q348" s="227"/>
      <c r="R348" s="227"/>
    </row>
    <row r="349" spans="17:18" ht="24.75" customHeight="1">
      <c r="Q349" s="227"/>
      <c r="R349" s="227"/>
    </row>
    <row r="350" spans="17:18" ht="24.75" customHeight="1">
      <c r="Q350" s="227"/>
      <c r="R350" s="227"/>
    </row>
    <row r="351" spans="17:18" ht="24.75" customHeight="1">
      <c r="Q351" s="227"/>
      <c r="R351" s="227"/>
    </row>
    <row r="352" spans="17:18" ht="24.75" customHeight="1">
      <c r="Q352" s="227"/>
      <c r="R352" s="227"/>
    </row>
    <row r="353" spans="17:18" ht="24.75" customHeight="1">
      <c r="Q353" s="227"/>
      <c r="R353" s="227"/>
    </row>
    <row r="354" spans="17:18" ht="24.75" customHeight="1">
      <c r="Q354" s="227"/>
      <c r="R354" s="227"/>
    </row>
    <row r="355" spans="17:18" ht="24.75" customHeight="1">
      <c r="Q355" s="227"/>
      <c r="R355" s="227"/>
    </row>
    <row r="356" spans="17:18" ht="24.75" customHeight="1">
      <c r="Q356" s="227"/>
      <c r="R356" s="227"/>
    </row>
    <row r="357" spans="17:18" ht="24.75" customHeight="1">
      <c r="Q357" s="227"/>
      <c r="R357" s="227"/>
    </row>
    <row r="358" spans="17:18" ht="24.75" customHeight="1">
      <c r="Q358" s="227"/>
      <c r="R358" s="227"/>
    </row>
    <row r="359" spans="17:18" ht="24.75" customHeight="1">
      <c r="Q359" s="227"/>
      <c r="R359" s="227"/>
    </row>
    <row r="360" spans="17:18" ht="24.75" customHeight="1">
      <c r="Q360" s="227"/>
      <c r="R360" s="227"/>
    </row>
    <row r="361" spans="17:18" ht="24.75" customHeight="1">
      <c r="Q361" s="227"/>
      <c r="R361" s="227"/>
    </row>
    <row r="362" spans="17:18" ht="24.75" customHeight="1">
      <c r="Q362" s="227"/>
      <c r="R362" s="227"/>
    </row>
    <row r="363" spans="17:18" ht="24.75" customHeight="1">
      <c r="Q363" s="227"/>
      <c r="R363" s="227"/>
    </row>
    <row r="364" spans="17:18" ht="24.75" customHeight="1">
      <c r="Q364" s="227"/>
      <c r="R364" s="227"/>
    </row>
    <row r="365" spans="17:18" ht="24.75" customHeight="1">
      <c r="Q365" s="227"/>
      <c r="R365" s="227"/>
    </row>
    <row r="366" spans="17:18" ht="24.75" customHeight="1">
      <c r="Q366" s="227"/>
      <c r="R366" s="227"/>
    </row>
    <row r="367" spans="17:18" ht="24.75" customHeight="1">
      <c r="Q367" s="227"/>
      <c r="R367" s="227"/>
    </row>
    <row r="368" spans="17:18" ht="24.75" customHeight="1">
      <c r="Q368" s="226"/>
      <c r="R368" s="227"/>
    </row>
    <row r="369" spans="17:18" ht="24.75" customHeight="1">
      <c r="Q369" s="227"/>
      <c r="R369" s="227"/>
    </row>
    <row r="370" spans="17:18" ht="24.75" customHeight="1">
      <c r="Q370" s="227"/>
      <c r="R370" s="227"/>
    </row>
    <row r="371" spans="17:18" ht="24.75" customHeight="1">
      <c r="Q371" s="227"/>
      <c r="R371" s="227"/>
    </row>
    <row r="372" spans="17:18" ht="24.75" customHeight="1">
      <c r="Q372" s="227"/>
      <c r="R372" s="227"/>
    </row>
    <row r="373" spans="17:18" ht="24.75" customHeight="1">
      <c r="Q373" s="227"/>
      <c r="R373" s="227"/>
    </row>
    <row r="374" spans="17:18" ht="24.75" customHeight="1">
      <c r="Q374" s="227"/>
      <c r="R374" s="227"/>
    </row>
    <row r="375" spans="17:18" ht="24.75" customHeight="1">
      <c r="Q375" s="227"/>
      <c r="R375" s="227"/>
    </row>
    <row r="376" spans="17:18" ht="24.75" customHeight="1">
      <c r="Q376" s="227"/>
      <c r="R376" s="229"/>
    </row>
    <row r="377" spans="17:18" ht="24.75" customHeight="1">
      <c r="Q377" s="227"/>
      <c r="R377" s="227"/>
    </row>
    <row r="378" spans="17:18" ht="24.75" customHeight="1">
      <c r="Q378" s="227"/>
      <c r="R378" s="227"/>
    </row>
    <row r="379" spans="17:18" ht="24.75" customHeight="1">
      <c r="Q379" s="227"/>
      <c r="R379" s="227"/>
    </row>
    <row r="380" spans="17:18" ht="24.75" customHeight="1">
      <c r="Q380" s="227"/>
      <c r="R380" s="227"/>
    </row>
    <row r="381" spans="17:18" ht="24.75" customHeight="1">
      <c r="Q381" s="227"/>
      <c r="R381" s="227"/>
    </row>
    <row r="382" spans="17:18" ht="24.75" customHeight="1">
      <c r="Q382" s="227"/>
      <c r="R382" s="227"/>
    </row>
    <row r="383" spans="17:18" ht="24.75" customHeight="1">
      <c r="Q383" s="227"/>
      <c r="R383" s="227"/>
    </row>
    <row r="384" spans="17:18" ht="24.75" customHeight="1">
      <c r="Q384" s="227"/>
      <c r="R384" s="227"/>
    </row>
    <row r="385" spans="17:18" ht="24.75" customHeight="1">
      <c r="Q385" s="227"/>
      <c r="R385" s="227"/>
    </row>
    <row r="386" spans="17:18" ht="24.75" customHeight="1">
      <c r="Q386" s="227"/>
      <c r="R386" s="227"/>
    </row>
    <row r="387" spans="17:18" ht="24.75" customHeight="1">
      <c r="Q387" s="227"/>
      <c r="R387" s="227"/>
    </row>
    <row r="388" spans="17:18" ht="24.75" customHeight="1">
      <c r="Q388" s="227"/>
      <c r="R388" s="227"/>
    </row>
    <row r="389" spans="17:18" ht="24.75" customHeight="1">
      <c r="Q389" s="227"/>
      <c r="R389" s="227"/>
    </row>
    <row r="390" spans="17:18" ht="24.75" customHeight="1">
      <c r="Q390" s="227"/>
      <c r="R390" s="227"/>
    </row>
    <row r="391" spans="17:18" ht="24.75" customHeight="1">
      <c r="Q391" s="227"/>
      <c r="R391" s="227"/>
    </row>
    <row r="392" spans="17:18" ht="24.75" customHeight="1">
      <c r="Q392" s="227"/>
      <c r="R392" s="227"/>
    </row>
    <row r="393" spans="17:18" ht="24.75" customHeight="1">
      <c r="Q393" s="227"/>
      <c r="R393" s="227"/>
    </row>
    <row r="394" spans="17:18" ht="24.75" customHeight="1">
      <c r="Q394" s="227"/>
      <c r="R394" s="227"/>
    </row>
    <row r="395" spans="17:18" ht="24.75" customHeight="1">
      <c r="Q395" s="227"/>
      <c r="R395" s="227"/>
    </row>
    <row r="396" spans="17:18" ht="24.75" customHeight="1">
      <c r="Q396" s="227"/>
      <c r="R396" s="227"/>
    </row>
    <row r="397" spans="17:18" ht="24.75" customHeight="1">
      <c r="Q397" s="227"/>
      <c r="R397" s="227"/>
    </row>
    <row r="398" spans="17:18" ht="24.75" customHeight="1">
      <c r="Q398" s="227"/>
      <c r="R398" s="227"/>
    </row>
    <row r="399" spans="17:18" ht="24.75" customHeight="1">
      <c r="Q399" s="226"/>
      <c r="R399" s="227"/>
    </row>
    <row r="400" spans="17:18" ht="24.75" customHeight="1">
      <c r="Q400" s="227"/>
      <c r="R400" s="227"/>
    </row>
    <row r="401" spans="17:18" ht="24.75" customHeight="1">
      <c r="Q401" s="227"/>
      <c r="R401" s="227"/>
    </row>
    <row r="402" spans="17:18" ht="24.75" customHeight="1">
      <c r="Q402" s="227"/>
      <c r="R402" s="227"/>
    </row>
    <row r="403" spans="17:18" ht="24.75" customHeight="1">
      <c r="Q403" s="227"/>
      <c r="R403" s="227"/>
    </row>
    <row r="404" spans="17:18" ht="24.75" customHeight="1">
      <c r="Q404" s="227"/>
      <c r="R404" s="227"/>
    </row>
    <row r="405" spans="17:18" ht="24.75" customHeight="1">
      <c r="Q405" s="227"/>
      <c r="R405" s="227"/>
    </row>
    <row r="406" spans="17:18" ht="24.75" customHeight="1">
      <c r="Q406" s="227"/>
      <c r="R406" s="227"/>
    </row>
    <row r="407" spans="17:18" ht="24.75" customHeight="1">
      <c r="Q407" s="227"/>
      <c r="R407" s="227"/>
    </row>
    <row r="408" spans="17:18" ht="24.75" customHeight="1">
      <c r="Q408" s="227"/>
      <c r="R408" s="227"/>
    </row>
    <row r="409" spans="17:18" ht="24.75" customHeight="1">
      <c r="Q409" s="227"/>
      <c r="R409" s="227"/>
    </row>
    <row r="410" spans="17:18" ht="24.75" customHeight="1">
      <c r="Q410" s="227"/>
      <c r="R410" s="227"/>
    </row>
    <row r="411" spans="17:18" ht="24.75" customHeight="1">
      <c r="Q411" s="227"/>
      <c r="R411" s="227"/>
    </row>
    <row r="412" spans="17:18" ht="24.75" customHeight="1">
      <c r="Q412" s="227"/>
      <c r="R412" s="227"/>
    </row>
    <row r="413" spans="17:18" ht="24.75" customHeight="1">
      <c r="Q413" s="227"/>
      <c r="R413" s="227"/>
    </row>
    <row r="414" spans="17:18" ht="24.75" customHeight="1">
      <c r="Q414" s="227"/>
      <c r="R414" s="227"/>
    </row>
    <row r="415" spans="17:18" ht="24.75" customHeight="1">
      <c r="Q415" s="227"/>
      <c r="R415" s="227"/>
    </row>
    <row r="416" spans="17:18" ht="24.75" customHeight="1">
      <c r="Q416" s="227"/>
      <c r="R416" s="227"/>
    </row>
    <row r="417" spans="17:18" ht="24.75" customHeight="1">
      <c r="Q417" s="226"/>
      <c r="R417" s="227"/>
    </row>
    <row r="418" spans="17:18" ht="24.75" customHeight="1">
      <c r="Q418" s="227"/>
      <c r="R418" s="227"/>
    </row>
    <row r="419" spans="17:18" ht="24.75" customHeight="1">
      <c r="Q419" s="227"/>
      <c r="R419" s="227"/>
    </row>
    <row r="420" spans="17:18" ht="24.75" customHeight="1">
      <c r="Q420" s="226"/>
      <c r="R420" s="227"/>
    </row>
    <row r="421" spans="17:18" ht="24.75" customHeight="1">
      <c r="Q421" s="227"/>
      <c r="R421" s="227"/>
    </row>
    <row r="422" spans="17:18" ht="24.75" customHeight="1">
      <c r="Q422" s="226"/>
      <c r="R422" s="227"/>
    </row>
    <row r="423" spans="17:18" ht="24.75" customHeight="1">
      <c r="Q423" s="227"/>
      <c r="R423" s="226"/>
    </row>
    <row r="424" spans="17:18" ht="24.75" customHeight="1">
      <c r="Q424" s="226"/>
      <c r="R424" s="226"/>
    </row>
    <row r="425" spans="17:18" ht="24.75" customHeight="1">
      <c r="Q425" s="226"/>
      <c r="R425" s="227"/>
    </row>
    <row r="426" spans="17:18" ht="24.75" customHeight="1">
      <c r="Q426" s="227"/>
      <c r="R426" s="226"/>
    </row>
    <row r="427" spans="17:18" ht="24.75" customHeight="1">
      <c r="Q427" s="227"/>
      <c r="R427" s="227"/>
    </row>
    <row r="428" spans="17:18" ht="24.75" customHeight="1">
      <c r="Q428" s="226"/>
      <c r="R428" s="227"/>
    </row>
    <row r="429" spans="17:18" ht="24.75" customHeight="1">
      <c r="Q429" s="226"/>
      <c r="R429" s="227"/>
    </row>
    <row r="430" spans="17:18" ht="24.75" customHeight="1">
      <c r="Q430" s="227"/>
      <c r="R430" s="227"/>
    </row>
    <row r="431" spans="17:18" ht="24.75" customHeight="1">
      <c r="Q431" s="227"/>
      <c r="R431" s="227"/>
    </row>
    <row r="432" spans="17:18" ht="24.75" customHeight="1">
      <c r="Q432" s="226"/>
      <c r="R432" s="226"/>
    </row>
    <row r="433" spans="17:18" ht="24.75" customHeight="1">
      <c r="Q433" s="226"/>
      <c r="R433" s="227"/>
    </row>
    <row r="434" spans="17:18" ht="24.75" customHeight="1">
      <c r="Q434" s="226"/>
      <c r="R434" s="226"/>
    </row>
    <row r="435" spans="17:18" ht="24.75" customHeight="1">
      <c r="Q435" s="226"/>
      <c r="R435" s="226"/>
    </row>
    <row r="436" spans="17:18" ht="24.75" customHeight="1">
      <c r="Q436" s="226"/>
      <c r="R436" s="226"/>
    </row>
    <row r="437" spans="17:18" ht="24.75" customHeight="1">
      <c r="Q437" s="226"/>
      <c r="R437" s="226"/>
    </row>
    <row r="438" spans="17:18" ht="24.75" customHeight="1">
      <c r="Q438" s="227"/>
      <c r="R438" s="227"/>
    </row>
    <row r="439" spans="17:18" ht="24.75" customHeight="1">
      <c r="Q439" s="227"/>
      <c r="R439" s="227"/>
    </row>
    <row r="440" spans="17:18" ht="24.75" customHeight="1">
      <c r="Q440" s="226"/>
      <c r="R440" s="226"/>
    </row>
    <row r="441" spans="17:18" ht="24.75" customHeight="1">
      <c r="Q441" s="227"/>
      <c r="R441" s="227"/>
    </row>
    <row r="442" spans="17:18" ht="24.75" customHeight="1">
      <c r="Q442" s="227"/>
      <c r="R442" s="227"/>
    </row>
    <row r="443" spans="17:18" ht="24.75" customHeight="1">
      <c r="Q443" s="226"/>
      <c r="R443" s="226"/>
    </row>
    <row r="444" spans="17:18" ht="24.75" customHeight="1">
      <c r="Q444" s="226"/>
      <c r="R444" s="226"/>
    </row>
    <row r="445" spans="17:18" ht="24.75" customHeight="1">
      <c r="Q445" s="226"/>
      <c r="R445" s="226"/>
    </row>
    <row r="446" spans="17:18" ht="24.75" customHeight="1">
      <c r="Q446" s="227"/>
      <c r="R446" s="227"/>
    </row>
    <row r="447" spans="17:18" ht="24.75" customHeight="1">
      <c r="Q447" s="227"/>
      <c r="R447" s="227"/>
    </row>
    <row r="448" spans="17:18" ht="24.75" customHeight="1">
      <c r="Q448" s="227"/>
      <c r="R448" s="227"/>
    </row>
    <row r="449" spans="17:18" ht="24.75" customHeight="1">
      <c r="Q449" s="227"/>
      <c r="R449" s="227"/>
    </row>
    <row r="450" spans="17:18" ht="24.75" customHeight="1">
      <c r="Q450" s="227"/>
      <c r="R450" s="227"/>
    </row>
    <row r="451" spans="17:18" ht="24.75" customHeight="1">
      <c r="Q451" s="227"/>
      <c r="R451" s="227"/>
    </row>
    <row r="452" spans="17:18" ht="24.75" customHeight="1">
      <c r="Q452" s="227"/>
      <c r="R452" s="227"/>
    </row>
    <row r="453" spans="17:18" ht="24.75" customHeight="1">
      <c r="Q453" s="227"/>
      <c r="R453" s="227"/>
    </row>
    <row r="454" spans="17:18" ht="24.75" customHeight="1">
      <c r="Q454" s="226"/>
      <c r="R454" s="226"/>
    </row>
    <row r="455" spans="17:18" ht="24.75" customHeight="1">
      <c r="Q455" s="227"/>
      <c r="R455" s="227"/>
    </row>
    <row r="456" spans="17:18" ht="24.75" customHeight="1">
      <c r="Q456" s="226"/>
      <c r="R456" s="226"/>
    </row>
    <row r="457" spans="17:18" ht="24.75" customHeight="1">
      <c r="Q457" s="227"/>
      <c r="R457" s="227"/>
    </row>
    <row r="458" spans="17:18" ht="24.75" customHeight="1">
      <c r="Q458" s="227"/>
      <c r="R458" s="227"/>
    </row>
    <row r="459" spans="17:18" ht="24.75" customHeight="1">
      <c r="Q459" s="227"/>
      <c r="R459" s="227"/>
    </row>
    <row r="460" spans="17:18" ht="24.75" customHeight="1">
      <c r="Q460" s="227"/>
      <c r="R460" s="227"/>
    </row>
    <row r="461" spans="17:18" ht="24.75" customHeight="1">
      <c r="Q461" s="227"/>
      <c r="R461" s="227"/>
    </row>
    <row r="462" spans="17:18" ht="24.75" customHeight="1">
      <c r="Q462" s="227"/>
      <c r="R462" s="227"/>
    </row>
    <row r="463" spans="17:18" ht="24.75" customHeight="1">
      <c r="Q463" s="227"/>
      <c r="R463" s="227"/>
    </row>
    <row r="464" spans="17:18" ht="24.75" customHeight="1">
      <c r="Q464" s="227"/>
      <c r="R464" s="227"/>
    </row>
    <row r="465" spans="17:18" ht="24.75" customHeight="1">
      <c r="Q465" s="227"/>
      <c r="R465" s="227"/>
    </row>
    <row r="466" spans="17:18" ht="24.75" customHeight="1">
      <c r="Q466" s="227"/>
      <c r="R466" s="227"/>
    </row>
    <row r="467" spans="17:18" ht="24.75" customHeight="1">
      <c r="Q467" s="227"/>
      <c r="R467" s="227"/>
    </row>
    <row r="468" spans="17:18" ht="24.75" customHeight="1">
      <c r="Q468" s="227"/>
      <c r="R468" s="227"/>
    </row>
    <row r="469" spans="17:18" ht="24.75" customHeight="1">
      <c r="Q469" s="227"/>
      <c r="R469" s="227"/>
    </row>
    <row r="470" spans="17:18" ht="24.75" customHeight="1">
      <c r="Q470" s="227"/>
      <c r="R470" s="227"/>
    </row>
    <row r="471" spans="17:18" ht="24.75" customHeight="1">
      <c r="Q471" s="227"/>
      <c r="R471" s="227"/>
    </row>
    <row r="472" spans="17:18" ht="24.75" customHeight="1">
      <c r="Q472" s="227"/>
      <c r="R472" s="227"/>
    </row>
    <row r="473" spans="17:18" ht="24.75" customHeight="1">
      <c r="Q473" s="227"/>
      <c r="R473" s="227"/>
    </row>
    <row r="474" spans="17:18" ht="24.75" customHeight="1">
      <c r="Q474" s="227"/>
      <c r="R474" s="227"/>
    </row>
    <row r="475" spans="17:18" ht="24.75" customHeight="1">
      <c r="Q475" s="227"/>
      <c r="R475" s="227"/>
    </row>
    <row r="476" spans="17:18" ht="24.75" customHeight="1">
      <c r="Q476" s="227"/>
      <c r="R476" s="227"/>
    </row>
    <row r="477" spans="17:18" ht="24.75" customHeight="1">
      <c r="Q477" s="227"/>
      <c r="R477" s="227"/>
    </row>
    <row r="478" spans="17:18" ht="24.75" customHeight="1">
      <c r="Q478" s="227"/>
      <c r="R478" s="227"/>
    </row>
    <row r="479" spans="17:18" ht="24.75" customHeight="1">
      <c r="Q479" s="227"/>
      <c r="R479" s="227"/>
    </row>
    <row r="480" spans="17:18" ht="24.75" customHeight="1">
      <c r="Q480" s="227"/>
      <c r="R480" s="227"/>
    </row>
    <row r="481" spans="17:18" ht="24.75" customHeight="1">
      <c r="Q481" s="227"/>
      <c r="R481" s="227"/>
    </row>
    <row r="482" spans="17:18" ht="24.75" customHeight="1">
      <c r="Q482" s="227"/>
      <c r="R482" s="226"/>
    </row>
    <row r="483" spans="17:18" ht="24.75" customHeight="1">
      <c r="Q483" s="226"/>
      <c r="R483" s="226"/>
    </row>
    <row r="484" spans="17:18" ht="24.75" customHeight="1">
      <c r="Q484" s="226"/>
      <c r="R484" s="227"/>
    </row>
    <row r="485" spans="17:18" ht="24.75" customHeight="1">
      <c r="Q485" s="226"/>
      <c r="R485" s="226"/>
    </row>
    <row r="486" spans="17:18" ht="24.75" customHeight="1">
      <c r="Q486" s="227"/>
      <c r="R486" s="227"/>
    </row>
    <row r="487" spans="17:18" ht="24.75" customHeight="1">
      <c r="Q487" s="227"/>
      <c r="R487" s="226"/>
    </row>
    <row r="488" spans="17:18" ht="24.75" customHeight="1">
      <c r="Q488" s="227"/>
      <c r="R488" s="227"/>
    </row>
    <row r="489" spans="17:18" ht="24.75" customHeight="1">
      <c r="Q489" s="227"/>
      <c r="R489" s="227"/>
    </row>
    <row r="490" spans="17:18" ht="24.75" customHeight="1">
      <c r="Q490" s="226"/>
      <c r="R490" s="226"/>
    </row>
    <row r="491" spans="17:18" ht="24.75" customHeight="1">
      <c r="Q491" s="226"/>
      <c r="R491" s="226"/>
    </row>
    <row r="492" spans="17:18" ht="24.75" customHeight="1">
      <c r="Q492" s="226"/>
      <c r="R492" s="226"/>
    </row>
    <row r="493" spans="17:18" ht="24.75" customHeight="1">
      <c r="Q493" s="227"/>
      <c r="R493" s="226"/>
    </row>
    <row r="494" spans="17:18" ht="24.75" customHeight="1">
      <c r="Q494" s="227"/>
      <c r="R494" s="227"/>
    </row>
    <row r="495" spans="17:18" ht="24.75" customHeight="1">
      <c r="Q495" s="227"/>
      <c r="R495" s="227"/>
    </row>
    <row r="496" spans="17:18" ht="24.75" customHeight="1">
      <c r="Q496" s="227"/>
      <c r="R496" s="227"/>
    </row>
    <row r="497" spans="17:18" ht="24.75" customHeight="1">
      <c r="Q497" s="226"/>
      <c r="R497" s="227"/>
    </row>
    <row r="498" spans="17:18" ht="24.75" customHeight="1">
      <c r="Q498" s="227"/>
      <c r="R498" s="227"/>
    </row>
    <row r="499" spans="17:18" ht="24.75" customHeight="1">
      <c r="Q499" s="227"/>
      <c r="R499" s="227"/>
    </row>
    <row r="500" spans="17:18" ht="24.75" customHeight="1">
      <c r="Q500" s="227"/>
      <c r="R500" s="227"/>
    </row>
    <row r="501" spans="17:18" ht="24.75" customHeight="1">
      <c r="Q501" s="227"/>
      <c r="R501" s="227"/>
    </row>
    <row r="502" spans="17:18" ht="24.75" customHeight="1">
      <c r="Q502" s="226"/>
      <c r="R502" s="226"/>
    </row>
    <row r="503" spans="17:18" ht="24.75" customHeight="1">
      <c r="Q503" s="226"/>
      <c r="R503" s="226"/>
    </row>
    <row r="504" spans="17:18" ht="24.75" customHeight="1">
      <c r="Q504" s="227"/>
      <c r="R504" s="227"/>
    </row>
    <row r="505" spans="17:18" ht="24.75" customHeight="1">
      <c r="Q505" s="227"/>
      <c r="R505" s="227"/>
    </row>
    <row r="506" spans="17:18" ht="24.75" customHeight="1">
      <c r="Q506" s="226"/>
      <c r="R506" s="226"/>
    </row>
    <row r="507" spans="17:18" ht="24.75" customHeight="1">
      <c r="Q507" s="226"/>
      <c r="R507" s="226"/>
    </row>
    <row r="508" spans="17:18" ht="24.75" customHeight="1">
      <c r="Q508" s="226"/>
      <c r="R508" s="226"/>
    </row>
    <row r="509" spans="17:18" ht="24.75" customHeight="1">
      <c r="Q509" s="227"/>
      <c r="R509" s="227"/>
    </row>
    <row r="510" spans="17:18" ht="24.75" customHeight="1">
      <c r="Q510" s="227"/>
      <c r="R510" s="227"/>
    </row>
    <row r="511" spans="17:18" ht="24.75" customHeight="1">
      <c r="Q511" s="226"/>
      <c r="R511" s="226"/>
    </row>
    <row r="512" spans="17:18" ht="24.75" customHeight="1">
      <c r="Q512" s="226"/>
      <c r="R512" s="227"/>
    </row>
    <row r="513" spans="17:18" ht="24.75" customHeight="1">
      <c r="Q513" s="226"/>
      <c r="R513" s="226"/>
    </row>
    <row r="514" spans="17:18" ht="24.75" customHeight="1">
      <c r="Q514" s="227"/>
      <c r="R514" s="226"/>
    </row>
    <row r="515" spans="17:18" ht="24.75" customHeight="1">
      <c r="Q515" s="226"/>
      <c r="R515" s="226"/>
    </row>
    <row r="516" spans="17:18" ht="24.75" customHeight="1">
      <c r="Q516" s="226"/>
      <c r="R516" s="226"/>
    </row>
    <row r="517" spans="17:18" ht="24.75" customHeight="1">
      <c r="Q517" s="226"/>
      <c r="R517" s="226"/>
    </row>
    <row r="518" spans="17:18" ht="24.75" customHeight="1">
      <c r="Q518" s="227"/>
      <c r="R518" s="227"/>
    </row>
    <row r="519" spans="17:18" ht="24.75" customHeight="1">
      <c r="Q519" s="226"/>
      <c r="R519" s="226"/>
    </row>
    <row r="520" spans="17:18" ht="24.75" customHeight="1">
      <c r="Q520" s="227"/>
      <c r="R520" s="227"/>
    </row>
    <row r="521" spans="17:18" ht="24.75" customHeight="1">
      <c r="Q521" s="226"/>
      <c r="R521" s="226"/>
    </row>
    <row r="522" spans="17:18" ht="24.75" customHeight="1">
      <c r="Q522" s="227"/>
      <c r="R522" s="226"/>
    </row>
    <row r="523" spans="17:18" ht="24.75" customHeight="1">
      <c r="Q523" s="226"/>
      <c r="R523" s="226"/>
    </row>
    <row r="524" spans="17:18" ht="24.75" customHeight="1">
      <c r="Q524" s="226"/>
      <c r="R524" s="226"/>
    </row>
    <row r="525" spans="17:18" ht="24.75" customHeight="1">
      <c r="Q525" s="226"/>
      <c r="R525" s="226"/>
    </row>
    <row r="526" spans="17:18" ht="24.75" customHeight="1">
      <c r="Q526" s="226"/>
      <c r="R526" s="226"/>
    </row>
    <row r="527" spans="17:18" ht="24.75" customHeight="1">
      <c r="Q527" s="226"/>
      <c r="R527" s="226"/>
    </row>
    <row r="528" spans="17:18" ht="24.75" customHeight="1">
      <c r="Q528" s="227"/>
      <c r="R528" s="227"/>
    </row>
    <row r="529" spans="17:18" ht="24.75" customHeight="1">
      <c r="Q529" s="227"/>
      <c r="R529" s="227"/>
    </row>
    <row r="530" spans="17:18" ht="24.75" customHeight="1">
      <c r="Q530" s="227"/>
      <c r="R530" s="227"/>
    </row>
    <row r="531" spans="17:18" ht="24.75" customHeight="1">
      <c r="Q531" s="227"/>
      <c r="R531" s="227"/>
    </row>
    <row r="532" spans="17:18" ht="24.75" customHeight="1">
      <c r="Q532" s="227"/>
      <c r="R532" s="227"/>
    </row>
    <row r="533" spans="17:18" ht="24.75" customHeight="1">
      <c r="Q533" s="227"/>
      <c r="R533" s="227"/>
    </row>
    <row r="534" spans="17:18" ht="24.75" customHeight="1">
      <c r="Q534" s="227"/>
      <c r="R534" s="227"/>
    </row>
    <row r="535" spans="17:18" ht="24.75" customHeight="1">
      <c r="Q535" s="227"/>
      <c r="R535" s="227"/>
    </row>
    <row r="536" spans="17:18" ht="24.75" customHeight="1">
      <c r="Q536" s="227"/>
      <c r="R536" s="227"/>
    </row>
    <row r="537" spans="17:18" ht="24.75" customHeight="1">
      <c r="Q537" s="227"/>
      <c r="R537" s="227"/>
    </row>
    <row r="538" spans="17:18" ht="24.75" customHeight="1">
      <c r="Q538" s="226"/>
      <c r="R538" s="226"/>
    </row>
    <row r="539" spans="17:18" ht="24.75" customHeight="1">
      <c r="Q539" s="227"/>
      <c r="R539" s="227"/>
    </row>
    <row r="540" spans="17:18" ht="24.75" customHeight="1">
      <c r="Q540" s="227"/>
      <c r="R540" s="227"/>
    </row>
    <row r="541" spans="17:18" ht="24.75" customHeight="1">
      <c r="Q541" s="227"/>
      <c r="R541" s="227"/>
    </row>
    <row r="542" spans="17:18" ht="24.75" customHeight="1">
      <c r="Q542" s="227"/>
      <c r="R542" s="227"/>
    </row>
    <row r="543" spans="17:18" ht="24.75" customHeight="1">
      <c r="Q543" s="227"/>
      <c r="R543" s="227"/>
    </row>
    <row r="544" spans="17:18" ht="24.75" customHeight="1">
      <c r="Q544" s="226"/>
      <c r="R544" s="227"/>
    </row>
    <row r="545" spans="17:18" ht="24.75" customHeight="1">
      <c r="Q545" s="226"/>
      <c r="R545" s="227"/>
    </row>
    <row r="546" spans="17:18" ht="24.75" customHeight="1">
      <c r="Q546" s="226"/>
      <c r="R546" s="226"/>
    </row>
    <row r="547" spans="17:18" ht="24.75" customHeight="1">
      <c r="Q547" s="226"/>
      <c r="R547" s="227"/>
    </row>
    <row r="548" spans="17:18" ht="24.75" customHeight="1">
      <c r="Q548" s="226"/>
      <c r="R548" s="226"/>
    </row>
    <row r="549" spans="17:18" ht="24.75" customHeight="1">
      <c r="Q549" s="226"/>
      <c r="R549" s="227"/>
    </row>
    <row r="550" spans="17:18" ht="24.75" customHeight="1">
      <c r="Q550" s="226"/>
      <c r="R550" s="227"/>
    </row>
    <row r="551" spans="17:18" ht="24.75" customHeight="1">
      <c r="Q551" s="226"/>
      <c r="R551" s="226"/>
    </row>
    <row r="552" spans="17:18" ht="24.75" customHeight="1">
      <c r="Q552" s="227"/>
      <c r="R552" s="227"/>
    </row>
    <row r="553" spans="17:18" ht="24.75" customHeight="1">
      <c r="Q553" s="227"/>
      <c r="R553" s="227"/>
    </row>
    <row r="554" spans="17:18" ht="24.75" customHeight="1">
      <c r="Q554" s="227"/>
      <c r="R554" s="227"/>
    </row>
    <row r="555" spans="17:18" ht="24.75" customHeight="1">
      <c r="Q555" s="227"/>
      <c r="R555" s="226"/>
    </row>
    <row r="556" spans="17:18" ht="24.75" customHeight="1">
      <c r="Q556" s="227"/>
      <c r="R556" s="227"/>
    </row>
    <row r="557" spans="17:18" ht="24.75" customHeight="1">
      <c r="Q557" s="226"/>
      <c r="R557" s="226"/>
    </row>
    <row r="558" spans="17:18" ht="24.75" customHeight="1">
      <c r="Q558" s="226"/>
      <c r="R558" s="226"/>
    </row>
    <row r="559" spans="17:18" ht="24.75" customHeight="1">
      <c r="Q559" s="227"/>
      <c r="R559" s="227"/>
    </row>
    <row r="560" spans="17:18" ht="24.75" customHeight="1">
      <c r="Q560" s="226"/>
      <c r="R560" s="226"/>
    </row>
    <row r="561" spans="17:18" ht="24.75" customHeight="1">
      <c r="Q561" s="226"/>
      <c r="R561" s="226"/>
    </row>
    <row r="562" spans="17:18" ht="24.75" customHeight="1">
      <c r="Q562" s="227"/>
      <c r="R562" s="226"/>
    </row>
    <row r="563" spans="17:18" ht="24.75" customHeight="1">
      <c r="Q563" s="227"/>
      <c r="R563" s="226"/>
    </row>
    <row r="564" spans="17:18" ht="24.75" customHeight="1">
      <c r="Q564" s="226"/>
      <c r="R564" s="226"/>
    </row>
    <row r="565" spans="17:18" ht="24.75" customHeight="1">
      <c r="Q565" s="226"/>
      <c r="R565" s="226"/>
    </row>
    <row r="566" spans="17:18" ht="24.75" customHeight="1">
      <c r="Q566" s="226"/>
      <c r="R566" s="226"/>
    </row>
    <row r="567" spans="17:18" ht="24.75" customHeight="1">
      <c r="Q567" s="226"/>
      <c r="R567" s="227"/>
    </row>
    <row r="568" spans="17:18" ht="24.75" customHeight="1">
      <c r="Q568" s="227"/>
      <c r="R568" s="227"/>
    </row>
    <row r="569" spans="17:18" ht="24.75" customHeight="1">
      <c r="Q569" s="227"/>
      <c r="R569" s="227"/>
    </row>
    <row r="570" spans="17:18" ht="24.75" customHeight="1">
      <c r="Q570" s="227"/>
      <c r="R570" s="227"/>
    </row>
    <row r="571" spans="17:18" ht="24.75" customHeight="1">
      <c r="Q571" s="226"/>
      <c r="R571" s="226"/>
    </row>
    <row r="572" spans="17:18" ht="24.75" customHeight="1">
      <c r="Q572" s="227"/>
      <c r="R572" s="227"/>
    </row>
    <row r="573" spans="17:18" ht="24.75" customHeight="1">
      <c r="Q573" s="227"/>
      <c r="R573" s="227"/>
    </row>
    <row r="574" spans="17:18" ht="24.75" customHeight="1">
      <c r="Q574" s="226"/>
      <c r="R574" s="226"/>
    </row>
    <row r="575" spans="17:18" ht="24.75" customHeight="1">
      <c r="Q575" s="226"/>
      <c r="R575" s="226"/>
    </row>
    <row r="576" spans="17:18" ht="24.75" customHeight="1">
      <c r="Q576" s="226"/>
      <c r="R576" s="226"/>
    </row>
    <row r="577" spans="17:18" ht="24.75" customHeight="1">
      <c r="Q577" s="226"/>
      <c r="R577" s="227"/>
    </row>
    <row r="578" spans="17:18" ht="24.75" customHeight="1">
      <c r="Q578" s="227"/>
      <c r="R578" s="227"/>
    </row>
    <row r="579" spans="17:18" ht="24.75" customHeight="1">
      <c r="Q579" s="226"/>
      <c r="R579" s="227"/>
    </row>
    <row r="580" spans="17:18" ht="24.75" customHeight="1">
      <c r="Q580" s="227"/>
      <c r="R580" s="227"/>
    </row>
    <row r="581" spans="17:18" ht="24.75" customHeight="1">
      <c r="Q581" s="227"/>
      <c r="R581" s="227"/>
    </row>
    <row r="582" spans="17:18" ht="24.75" customHeight="1">
      <c r="Q582" s="227"/>
      <c r="R582" s="227"/>
    </row>
    <row r="583" spans="17:18" ht="24.75" customHeight="1">
      <c r="Q583" s="227"/>
      <c r="R583" s="227"/>
    </row>
    <row r="584" spans="17:18" ht="24.75" customHeight="1">
      <c r="Q584" s="227"/>
      <c r="R584" s="227"/>
    </row>
    <row r="585" spans="17:18" ht="24.75" customHeight="1">
      <c r="Q585" s="227"/>
      <c r="R585" s="227"/>
    </row>
    <row r="586" spans="17:18" ht="24.75" customHeight="1">
      <c r="Q586" s="226"/>
      <c r="R586" s="227"/>
    </row>
    <row r="587" spans="17:18" ht="24.75" customHeight="1">
      <c r="Q587" s="226"/>
      <c r="R587" s="227"/>
    </row>
    <row r="588" spans="17:18" ht="24.75" customHeight="1">
      <c r="Q588" s="226"/>
      <c r="R588" s="227"/>
    </row>
    <row r="589" spans="17:18" ht="24.75" customHeight="1">
      <c r="Q589" s="226"/>
      <c r="R589" s="227"/>
    </row>
    <row r="590" spans="17:18" ht="24.75" customHeight="1">
      <c r="Q590" s="227"/>
      <c r="R590" s="227"/>
    </row>
    <row r="591" spans="17:18" ht="24.75" customHeight="1">
      <c r="Q591" s="227"/>
      <c r="R591" s="227"/>
    </row>
    <row r="592" spans="17:18" ht="24.75" customHeight="1">
      <c r="Q592" s="226"/>
      <c r="R592" s="226"/>
    </row>
    <row r="593" spans="17:18" ht="24.75" customHeight="1">
      <c r="Q593" s="227"/>
      <c r="R593" s="227"/>
    </row>
    <row r="594" spans="17:18" ht="24.75" customHeight="1">
      <c r="Q594" s="226"/>
      <c r="R594" s="226"/>
    </row>
    <row r="595" spans="17:18" ht="24.75" customHeight="1">
      <c r="Q595" s="227"/>
      <c r="R595" s="227"/>
    </row>
    <row r="596" spans="17:18" ht="24.75" customHeight="1">
      <c r="Q596" s="227"/>
      <c r="R596" s="227"/>
    </row>
    <row r="597" spans="17:18" ht="24.75" customHeight="1">
      <c r="Q597" s="227"/>
      <c r="R597" s="227"/>
    </row>
    <row r="598" spans="17:18" ht="24.75" customHeight="1">
      <c r="Q598" s="227"/>
      <c r="R598" s="227"/>
    </row>
    <row r="599" spans="17:18" ht="24.75" customHeight="1">
      <c r="Q599" s="227"/>
      <c r="R599" s="227"/>
    </row>
    <row r="600" spans="17:18" ht="24.75" customHeight="1">
      <c r="Q600" s="227"/>
      <c r="R600" s="227"/>
    </row>
    <row r="601" spans="17:18" ht="24.75" customHeight="1">
      <c r="Q601" s="227"/>
      <c r="R601" s="227"/>
    </row>
    <row r="602" spans="17:18" ht="24.75" customHeight="1">
      <c r="Q602" s="227"/>
      <c r="R602" s="227"/>
    </row>
    <row r="603" spans="17:18" ht="24.75" customHeight="1">
      <c r="Q603" s="227"/>
      <c r="R603" s="227"/>
    </row>
    <row r="604" spans="17:18" ht="24.75" customHeight="1">
      <c r="Q604" s="227"/>
      <c r="R604" s="227"/>
    </row>
    <row r="605" spans="17:18" ht="24.75" customHeight="1">
      <c r="Q605" s="227"/>
      <c r="R605" s="227"/>
    </row>
    <row r="606" spans="17:18" ht="24.75" customHeight="1">
      <c r="Q606" s="227"/>
      <c r="R606" s="227"/>
    </row>
    <row r="607" spans="17:18" ht="24.75" customHeight="1">
      <c r="Q607" s="227"/>
      <c r="R607" s="227"/>
    </row>
    <row r="608" spans="17:18" ht="24.75" customHeight="1">
      <c r="Q608" s="227"/>
      <c r="R608" s="227"/>
    </row>
    <row r="609" spans="17:18" ht="24.75" customHeight="1">
      <c r="Q609" s="227"/>
      <c r="R609" s="227"/>
    </row>
    <row r="610" spans="17:18" ht="24.75" customHeight="1">
      <c r="Q610" s="227"/>
      <c r="R610" s="229"/>
    </row>
    <row r="611" spans="17:18" ht="24.75" customHeight="1">
      <c r="Q611" s="227"/>
      <c r="R611" s="227"/>
    </row>
    <row r="612" spans="17:18" ht="24.75" customHeight="1">
      <c r="Q612" s="227"/>
      <c r="R612" s="227"/>
    </row>
    <row r="613" spans="17:18" ht="24.75" customHeight="1">
      <c r="Q613" s="227"/>
      <c r="R613" s="227"/>
    </row>
    <row r="614" spans="17:18" ht="24.75" customHeight="1">
      <c r="Q614" s="227"/>
      <c r="R614" s="227"/>
    </row>
    <row r="615" spans="17:18" ht="24.75" customHeight="1">
      <c r="Q615" s="227"/>
      <c r="R615" s="227"/>
    </row>
    <row r="616" spans="17:18" ht="24.75" customHeight="1">
      <c r="Q616" s="227"/>
      <c r="R616" s="227"/>
    </row>
    <row r="617" spans="17:18" ht="24.75" customHeight="1">
      <c r="Q617" s="226"/>
      <c r="R617" s="226"/>
    </row>
    <row r="618" spans="17:18" ht="24.75" customHeight="1">
      <c r="Q618" s="227"/>
      <c r="R618" s="227"/>
    </row>
    <row r="619" spans="17:18" ht="24.75" customHeight="1">
      <c r="Q619" s="227"/>
      <c r="R619" s="227"/>
    </row>
    <row r="620" spans="17:18" ht="24.75" customHeight="1">
      <c r="Q620" s="227"/>
      <c r="R620" s="227"/>
    </row>
    <row r="621" spans="17:18" ht="24.75" customHeight="1">
      <c r="Q621" s="227"/>
      <c r="R621" s="227"/>
    </row>
    <row r="622" spans="17:18" ht="24.75" customHeight="1">
      <c r="Q622" s="227"/>
      <c r="R622" s="227"/>
    </row>
    <row r="623" spans="17:18" ht="24.75" customHeight="1">
      <c r="Q623" s="226"/>
      <c r="R623" s="227"/>
    </row>
    <row r="624" spans="17:18" ht="24.75" customHeight="1">
      <c r="Q624" s="227"/>
      <c r="R624" s="227"/>
    </row>
    <row r="625" spans="17:18" ht="24.75" customHeight="1">
      <c r="Q625" s="227"/>
      <c r="R625" s="227"/>
    </row>
    <row r="626" spans="17:18" ht="24.75" customHeight="1">
      <c r="Q626" s="227"/>
      <c r="R626" s="227"/>
    </row>
    <row r="627" spans="17:18" ht="24.75" customHeight="1">
      <c r="Q627" s="227"/>
      <c r="R627" s="227"/>
    </row>
    <row r="628" spans="17:18" ht="24.75" customHeight="1">
      <c r="Q628" s="227"/>
      <c r="R628" s="227"/>
    </row>
    <row r="629" spans="17:18" ht="24.75" customHeight="1">
      <c r="Q629" s="227"/>
      <c r="R629" s="227"/>
    </row>
    <row r="630" spans="17:18" ht="24.75" customHeight="1">
      <c r="Q630" s="227"/>
      <c r="R630" s="226"/>
    </row>
    <row r="631" spans="17:18" ht="24.75" customHeight="1">
      <c r="Q631" s="227"/>
      <c r="R631" s="227"/>
    </row>
    <row r="632" spans="17:18" ht="24.75" customHeight="1">
      <c r="Q632" s="227"/>
      <c r="R632" s="227"/>
    </row>
    <row r="633" spans="17:18" ht="24.75" customHeight="1">
      <c r="Q633" s="227"/>
      <c r="R633" s="227"/>
    </row>
    <row r="634" spans="17:18" ht="24.75" customHeight="1">
      <c r="Q634" s="227"/>
      <c r="R634" s="227"/>
    </row>
    <row r="635" spans="17:18" ht="24.75" customHeight="1">
      <c r="Q635" s="227"/>
      <c r="R635" s="227"/>
    </row>
    <row r="636" spans="17:18" ht="24.75" customHeight="1">
      <c r="Q636" s="227"/>
      <c r="R636" s="227"/>
    </row>
    <row r="637" spans="17:18" ht="24.75" customHeight="1">
      <c r="Q637" s="227"/>
      <c r="R637" s="227"/>
    </row>
    <row r="638" spans="17:18" ht="24.75" customHeight="1">
      <c r="Q638" s="227"/>
      <c r="R638" s="227"/>
    </row>
    <row r="639" spans="17:18" ht="24.75" customHeight="1">
      <c r="Q639" s="227"/>
      <c r="R639" s="227"/>
    </row>
    <row r="640" spans="17:18" ht="24.75" customHeight="1">
      <c r="Q640" s="227"/>
      <c r="R640" s="227"/>
    </row>
    <row r="641" spans="17:18" ht="24.75" customHeight="1">
      <c r="Q641" s="226"/>
      <c r="R641" s="227"/>
    </row>
    <row r="642" spans="17:18" ht="24.75" customHeight="1">
      <c r="Q642" s="226"/>
      <c r="R642" s="227"/>
    </row>
    <row r="643" spans="17:18" ht="24.75" customHeight="1">
      <c r="Q643" s="227"/>
      <c r="R643" s="227"/>
    </row>
    <row r="644" spans="17:18" ht="24.75" customHeight="1">
      <c r="Q644" s="226"/>
      <c r="R644" s="227"/>
    </row>
    <row r="645" spans="17:18" ht="24.75" customHeight="1">
      <c r="Q645" s="226"/>
      <c r="R645" s="227"/>
    </row>
    <row r="646" spans="17:18" ht="24.75" customHeight="1">
      <c r="Q646" s="226"/>
      <c r="R646" s="227"/>
    </row>
    <row r="647" spans="17:18" ht="24.75" customHeight="1">
      <c r="Q647" s="226"/>
      <c r="R647" s="227"/>
    </row>
    <row r="648" spans="17:18" ht="24.75" customHeight="1">
      <c r="Q648" s="226"/>
      <c r="R648" s="227"/>
    </row>
    <row r="649" spans="17:18" ht="24.75" customHeight="1">
      <c r="Q649" s="226"/>
      <c r="R649" s="227"/>
    </row>
    <row r="650" spans="17:18" ht="24.75" customHeight="1">
      <c r="Q650" s="226"/>
      <c r="R650" s="227"/>
    </row>
    <row r="651" spans="17:18" ht="24.75" customHeight="1">
      <c r="Q651" s="226"/>
      <c r="R651" s="227"/>
    </row>
    <row r="652" spans="17:18" ht="24.75" customHeight="1">
      <c r="Q652" s="226"/>
      <c r="R652" s="227"/>
    </row>
    <row r="653" spans="17:18" ht="24.75" customHeight="1">
      <c r="Q653" s="227"/>
      <c r="R653" s="227"/>
    </row>
    <row r="654" spans="17:18" ht="24.75" customHeight="1">
      <c r="Q654" s="226"/>
      <c r="R654" s="227"/>
    </row>
    <row r="655" spans="17:18" ht="24.75" customHeight="1">
      <c r="Q655" s="226"/>
      <c r="R655" s="227"/>
    </row>
    <row r="656" spans="17:18" ht="24.75" customHeight="1">
      <c r="Q656" s="226"/>
      <c r="R656" s="227"/>
    </row>
    <row r="657" spans="17:18" ht="24.75" customHeight="1">
      <c r="Q657" s="227"/>
      <c r="R657" s="227"/>
    </row>
    <row r="658" spans="17:18" ht="24.75" customHeight="1">
      <c r="Q658" s="226"/>
      <c r="R658" s="227"/>
    </row>
    <row r="659" spans="17:18" ht="24.75" customHeight="1">
      <c r="Q659" s="226"/>
      <c r="R659" s="227"/>
    </row>
    <row r="660" spans="17:18" ht="24.75" customHeight="1">
      <c r="Q660" s="226"/>
      <c r="R660" s="227"/>
    </row>
    <row r="661" spans="17:18" ht="24.75" customHeight="1">
      <c r="Q661" s="227"/>
      <c r="R661" s="227"/>
    </row>
    <row r="662" spans="17:18" ht="24.75" customHeight="1">
      <c r="Q662" s="227"/>
      <c r="R662" s="227"/>
    </row>
    <row r="663" spans="17:18" ht="24.75" customHeight="1">
      <c r="Q663" s="227"/>
      <c r="R663" s="227"/>
    </row>
    <row r="664" spans="17:18" ht="24.75" customHeight="1">
      <c r="Q664" s="226"/>
      <c r="R664" s="227"/>
    </row>
    <row r="665" spans="17:18" ht="24.75" customHeight="1">
      <c r="Q665" s="227"/>
      <c r="R665" s="227"/>
    </row>
    <row r="666" spans="17:18" ht="24.75" customHeight="1">
      <c r="Q666" s="227"/>
      <c r="R666" s="227"/>
    </row>
    <row r="667" spans="17:18" ht="24.75" customHeight="1">
      <c r="Q667" s="226"/>
      <c r="R667" s="227"/>
    </row>
    <row r="668" spans="17:18" ht="24.75" customHeight="1">
      <c r="Q668" s="226"/>
      <c r="R668" s="227"/>
    </row>
    <row r="669" spans="17:18" ht="24.75" customHeight="1">
      <c r="Q669" s="227"/>
      <c r="R669" s="227"/>
    </row>
    <row r="670" spans="17:18" ht="24.75" customHeight="1">
      <c r="Q670" s="226"/>
      <c r="R670" s="227"/>
    </row>
    <row r="671" spans="17:18" ht="24.75" customHeight="1">
      <c r="Q671" s="226"/>
      <c r="R671" s="227"/>
    </row>
    <row r="672" spans="17:18" ht="24.75" customHeight="1">
      <c r="Q672" s="227"/>
      <c r="R672" s="227"/>
    </row>
    <row r="673" spans="17:18" ht="24.75" customHeight="1">
      <c r="Q673" s="226"/>
      <c r="R673" s="227"/>
    </row>
    <row r="674" spans="17:18" ht="24.75" customHeight="1">
      <c r="Q674" s="226"/>
      <c r="R674" s="227"/>
    </row>
    <row r="675" spans="17:18" ht="24.75" customHeight="1">
      <c r="Q675" s="227"/>
      <c r="R675" s="227"/>
    </row>
    <row r="676" spans="17:18" ht="24.75" customHeight="1">
      <c r="Q676" s="227"/>
      <c r="R676" s="227"/>
    </row>
    <row r="677" spans="17:18" ht="24.75" customHeight="1">
      <c r="Q677" s="226"/>
      <c r="R677" s="227"/>
    </row>
    <row r="678" spans="17:18" ht="24.75" customHeight="1">
      <c r="Q678" s="226"/>
      <c r="R678" s="227"/>
    </row>
    <row r="679" spans="17:18" ht="24.75" customHeight="1">
      <c r="Q679" s="226"/>
      <c r="R679" s="227"/>
    </row>
    <row r="680" spans="17:18" ht="24.75" customHeight="1">
      <c r="Q680" s="227"/>
      <c r="R680" s="227"/>
    </row>
    <row r="681" spans="17:18" ht="24.75" customHeight="1">
      <c r="Q681" s="227"/>
      <c r="R681" s="227"/>
    </row>
    <row r="682" spans="17:18" ht="24.75" customHeight="1">
      <c r="Q682" s="226"/>
      <c r="R682" s="227"/>
    </row>
    <row r="683" spans="17:18" ht="24.75" customHeight="1">
      <c r="Q683" s="227"/>
      <c r="R683" s="227"/>
    </row>
    <row r="684" spans="17:18" ht="24.75" customHeight="1">
      <c r="Q684" s="227"/>
      <c r="R684" s="227"/>
    </row>
    <row r="685" spans="17:18" ht="24.75" customHeight="1">
      <c r="Q685" s="226"/>
      <c r="R685" s="227"/>
    </row>
    <row r="686" spans="17:18" ht="24.75" customHeight="1">
      <c r="Q686" s="227"/>
      <c r="R686" s="218"/>
    </row>
    <row r="687" spans="17:18" ht="24.75" customHeight="1">
      <c r="Q687" s="226"/>
      <c r="R687" s="227"/>
    </row>
    <row r="688" spans="17:18" ht="24.75" customHeight="1">
      <c r="Q688" s="226"/>
      <c r="R688" s="227"/>
    </row>
    <row r="689" spans="17:18" ht="24.75" customHeight="1">
      <c r="Q689" s="226"/>
      <c r="R689" s="227"/>
    </row>
    <row r="690" spans="17:18" ht="24.75" customHeight="1">
      <c r="Q690" s="226"/>
      <c r="R690" s="227"/>
    </row>
    <row r="691" spans="17:18" ht="24.75" customHeight="1">
      <c r="Q691" s="227"/>
      <c r="R691" s="227"/>
    </row>
    <row r="692" spans="17:18" ht="24.75" customHeight="1">
      <c r="Q692" s="226"/>
      <c r="R692" s="227"/>
    </row>
    <row r="693" spans="17:18" ht="24.75" customHeight="1">
      <c r="Q693" s="226"/>
      <c r="R693" s="227"/>
    </row>
    <row r="694" spans="17:18" ht="24.75" customHeight="1">
      <c r="Q694" s="227"/>
      <c r="R694" s="227"/>
    </row>
    <row r="695" spans="17:18" ht="24.75" customHeight="1">
      <c r="Q695" s="226"/>
      <c r="R695" s="227"/>
    </row>
    <row r="696" spans="17:18" ht="24.75" customHeight="1">
      <c r="Q696" s="226"/>
      <c r="R696" s="227"/>
    </row>
    <row r="697" spans="17:18" ht="24.75" customHeight="1">
      <c r="Q697" s="227"/>
      <c r="R697" s="227"/>
    </row>
    <row r="698" spans="17:18" ht="24.75" customHeight="1">
      <c r="Q698" s="227"/>
      <c r="R698" s="227"/>
    </row>
    <row r="699" spans="17:18" ht="24.75" customHeight="1">
      <c r="Q699" s="226"/>
      <c r="R699" s="227"/>
    </row>
    <row r="700" spans="17:18" ht="24.75" customHeight="1">
      <c r="Q700" s="226"/>
      <c r="R700" s="227"/>
    </row>
    <row r="701" spans="17:18" ht="24.75" customHeight="1">
      <c r="Q701" s="227"/>
      <c r="R701" s="227"/>
    </row>
    <row r="702" spans="17:18" ht="24.75" customHeight="1">
      <c r="Q702" s="226"/>
      <c r="R702" s="227"/>
    </row>
    <row r="703" spans="17:18" ht="24.75" customHeight="1">
      <c r="Q703" s="227"/>
      <c r="R703" s="227"/>
    </row>
    <row r="704" spans="17:18" ht="24.75" customHeight="1">
      <c r="Q704" s="226"/>
      <c r="R704" s="227"/>
    </row>
    <row r="705" spans="17:18" ht="24.75" customHeight="1">
      <c r="Q705" s="227"/>
      <c r="R705" s="227"/>
    </row>
    <row r="706" spans="17:18" ht="24.75" customHeight="1">
      <c r="Q706" s="227"/>
      <c r="R706" s="227"/>
    </row>
    <row r="707" spans="17:18" ht="24.75" customHeight="1">
      <c r="Q707" s="226"/>
      <c r="R707" s="227"/>
    </row>
    <row r="708" spans="17:18" ht="24.75" customHeight="1">
      <c r="Q708" s="226"/>
      <c r="R708" s="227"/>
    </row>
    <row r="709" spans="17:18" ht="24.75" customHeight="1">
      <c r="Q709" s="226"/>
      <c r="R709" s="227"/>
    </row>
    <row r="710" spans="17:18" ht="24.75" customHeight="1">
      <c r="Q710" s="226"/>
      <c r="R710" s="227"/>
    </row>
    <row r="711" spans="17:18" ht="24.75" customHeight="1">
      <c r="Q711" s="226"/>
      <c r="R711" s="227"/>
    </row>
    <row r="712" spans="17:18" ht="24.75" customHeight="1">
      <c r="Q712" s="227"/>
      <c r="R712" s="227"/>
    </row>
    <row r="713" spans="17:18" ht="24.75" customHeight="1">
      <c r="Q713" s="226"/>
      <c r="R713" s="227"/>
    </row>
    <row r="714" spans="17:18" ht="24.75" customHeight="1">
      <c r="Q714" s="227"/>
      <c r="R714" s="227"/>
    </row>
    <row r="715" spans="17:18" ht="24.75" customHeight="1">
      <c r="Q715" s="227"/>
      <c r="R715" s="227"/>
    </row>
    <row r="716" spans="17:18" ht="24.75" customHeight="1">
      <c r="Q716" s="226"/>
      <c r="R716" s="227"/>
    </row>
    <row r="717" spans="17:18" ht="24.75" customHeight="1">
      <c r="Q717" s="226"/>
      <c r="R717" s="227"/>
    </row>
    <row r="718" spans="17:18" ht="24.75" customHeight="1">
      <c r="Q718" s="227"/>
      <c r="R718" s="227"/>
    </row>
    <row r="719" spans="17:18" ht="24.75" customHeight="1">
      <c r="Q719" s="227"/>
      <c r="R719" s="227"/>
    </row>
    <row r="720" spans="17:18" ht="24.75" customHeight="1">
      <c r="Q720" s="226"/>
      <c r="R720" s="227"/>
    </row>
    <row r="721" spans="17:18" ht="24.75" customHeight="1">
      <c r="Q721" s="226"/>
      <c r="R721" s="227"/>
    </row>
    <row r="722" spans="17:18" ht="24.75" customHeight="1">
      <c r="Q722" s="227"/>
      <c r="R722" s="227"/>
    </row>
    <row r="723" spans="17:18" ht="24.75" customHeight="1">
      <c r="Q723" s="227"/>
      <c r="R723" s="227"/>
    </row>
    <row r="724" spans="17:18" ht="24.75" customHeight="1">
      <c r="Q724" s="226"/>
      <c r="R724" s="227"/>
    </row>
    <row r="725" spans="17:18" ht="24.75" customHeight="1">
      <c r="Q725" s="227"/>
      <c r="R725" s="227"/>
    </row>
    <row r="726" spans="17:18" ht="24.75" customHeight="1">
      <c r="Q726" s="227"/>
      <c r="R726" s="227"/>
    </row>
    <row r="727" spans="17:18" ht="24.75" customHeight="1">
      <c r="Q727" s="227"/>
      <c r="R727" s="227"/>
    </row>
    <row r="728" spans="17:18" ht="24.75" customHeight="1">
      <c r="Q728" s="227"/>
      <c r="R728" s="227"/>
    </row>
    <row r="729" spans="17:18" ht="24.75" customHeight="1">
      <c r="Q729" s="226"/>
      <c r="R729" s="227"/>
    </row>
    <row r="730" spans="17:18" ht="24.75" customHeight="1">
      <c r="Q730" s="227"/>
      <c r="R730" s="227"/>
    </row>
    <row r="731" spans="17:18" ht="24.75" customHeight="1">
      <c r="Q731" s="227"/>
      <c r="R731" s="227"/>
    </row>
    <row r="732" spans="17:18" ht="24.75" customHeight="1">
      <c r="Q732" s="226"/>
      <c r="R732" s="227"/>
    </row>
    <row r="733" spans="17:18" ht="24.75" customHeight="1">
      <c r="Q733" s="227"/>
      <c r="R733" s="227"/>
    </row>
    <row r="734" spans="17:18" ht="24.75" customHeight="1">
      <c r="Q734" s="227"/>
      <c r="R734" s="218"/>
    </row>
    <row r="735" spans="17:18" ht="24.75" customHeight="1">
      <c r="Q735" s="226"/>
      <c r="R735" s="227"/>
    </row>
    <row r="736" spans="17:18" ht="24.75" customHeight="1">
      <c r="Q736" s="226"/>
      <c r="R736" s="227"/>
    </row>
    <row r="737" spans="17:18" ht="24.75" customHeight="1">
      <c r="Q737" s="226"/>
      <c r="R737" s="227"/>
    </row>
    <row r="738" spans="17:18" ht="24.75" customHeight="1">
      <c r="Q738" s="227"/>
      <c r="R738" s="227"/>
    </row>
    <row r="739" spans="17:18" ht="24.75" customHeight="1">
      <c r="Q739" s="226"/>
      <c r="R739" s="227"/>
    </row>
    <row r="740" spans="17:18" ht="24.75" customHeight="1">
      <c r="Q740" s="226"/>
      <c r="R740" s="227"/>
    </row>
    <row r="741" spans="17:18" ht="24.75" customHeight="1">
      <c r="Q741" s="226"/>
      <c r="R741" s="227"/>
    </row>
    <row r="742" spans="17:18" ht="24.75" customHeight="1">
      <c r="Q742" s="226"/>
      <c r="R742" s="227"/>
    </row>
    <row r="743" spans="17:18" ht="24.75" customHeight="1">
      <c r="Q743" s="226"/>
      <c r="R743" s="227"/>
    </row>
    <row r="744" spans="17:18" ht="24.75" customHeight="1">
      <c r="Q744" s="226"/>
      <c r="R744" s="227"/>
    </row>
    <row r="745" spans="17:18" ht="24.75" customHeight="1">
      <c r="Q745" s="226"/>
      <c r="R745" s="227"/>
    </row>
    <row r="746" spans="17:18" ht="24.75" customHeight="1">
      <c r="Q746" s="226"/>
      <c r="R746" s="227"/>
    </row>
    <row r="747" spans="17:18" ht="24.75" customHeight="1">
      <c r="Q747" s="226"/>
      <c r="R747" s="227"/>
    </row>
    <row r="748" spans="17:18" ht="24.75" customHeight="1">
      <c r="Q748" s="227"/>
      <c r="R748" s="227"/>
    </row>
    <row r="749" spans="17:18" ht="24.75" customHeight="1">
      <c r="Q749" s="226"/>
      <c r="R749" s="227"/>
    </row>
    <row r="750" spans="17:18" ht="24.75" customHeight="1">
      <c r="Q750" s="227"/>
      <c r="R750" s="227"/>
    </row>
    <row r="751" spans="17:18" ht="24.75" customHeight="1">
      <c r="Q751" s="226"/>
      <c r="R751" s="227"/>
    </row>
    <row r="752" spans="17:18" ht="24.75" customHeight="1">
      <c r="Q752" s="226"/>
      <c r="R752" s="227"/>
    </row>
    <row r="753" spans="17:18" ht="24.75" customHeight="1">
      <c r="Q753" s="227"/>
      <c r="R753" s="227"/>
    </row>
    <row r="754" spans="17:18" ht="24.75" customHeight="1">
      <c r="Q754" s="226"/>
      <c r="R754" s="227"/>
    </row>
    <row r="755" spans="17:18" ht="24.75" customHeight="1">
      <c r="Q755" s="226"/>
      <c r="R755" s="227"/>
    </row>
    <row r="756" spans="17:18" ht="24.75" customHeight="1">
      <c r="Q756" s="226"/>
      <c r="R756" s="227"/>
    </row>
    <row r="757" spans="17:18" ht="24.75" customHeight="1">
      <c r="Q757" s="226"/>
      <c r="R757" s="227"/>
    </row>
    <row r="758" spans="17:18" ht="24.75" customHeight="1">
      <c r="Q758" s="226"/>
      <c r="R758" s="227"/>
    </row>
    <row r="759" spans="17:18" ht="24.75" customHeight="1">
      <c r="Q759" s="226"/>
      <c r="R759" s="227"/>
    </row>
    <row r="760" spans="17:18" ht="24.75" customHeight="1">
      <c r="Q760" s="227"/>
      <c r="R760" s="227"/>
    </row>
    <row r="761" spans="17:18" ht="24.75" customHeight="1">
      <c r="Q761" s="227"/>
      <c r="R761" s="227"/>
    </row>
    <row r="762" spans="17:18" ht="24.75" customHeight="1">
      <c r="Q762" s="226"/>
      <c r="R762" s="227"/>
    </row>
    <row r="763" spans="17:18" ht="24.75" customHeight="1">
      <c r="Q763" s="227"/>
      <c r="R763" s="227"/>
    </row>
    <row r="764" spans="17:18" ht="24.75" customHeight="1">
      <c r="Q764" s="227"/>
      <c r="R764" s="227"/>
    </row>
    <row r="765" spans="17:18" ht="24.75" customHeight="1">
      <c r="Q765" s="227"/>
      <c r="R765" s="227"/>
    </row>
    <row r="766" spans="17:18" ht="24.75" customHeight="1">
      <c r="Q766" s="227"/>
      <c r="R766" s="227"/>
    </row>
    <row r="767" spans="17:18" ht="24.75" customHeight="1">
      <c r="Q767" s="226"/>
      <c r="R767" s="227"/>
    </row>
    <row r="768" spans="17:18" ht="24.75" customHeight="1">
      <c r="Q768" s="226"/>
      <c r="R768" s="227"/>
    </row>
    <row r="769" spans="17:18" ht="24.75" customHeight="1">
      <c r="Q769" s="227"/>
      <c r="R769" s="227"/>
    </row>
    <row r="770" spans="17:18" ht="24.75" customHeight="1">
      <c r="Q770" s="227"/>
      <c r="R770" s="227"/>
    </row>
    <row r="771" spans="17:18" ht="24.75" customHeight="1">
      <c r="Q771" s="227"/>
      <c r="R771" s="227"/>
    </row>
    <row r="772" spans="17:18" ht="24.75" customHeight="1">
      <c r="Q772" s="226"/>
      <c r="R772" s="227"/>
    </row>
    <row r="773" spans="17:18" ht="24.75" customHeight="1">
      <c r="Q773" s="227"/>
      <c r="R773" s="227"/>
    </row>
    <row r="774" spans="17:18" ht="24.75" customHeight="1">
      <c r="Q774" s="227"/>
      <c r="R774" s="227"/>
    </row>
    <row r="775" spans="17:18" ht="24.75" customHeight="1">
      <c r="Q775" s="227"/>
      <c r="R775" s="227"/>
    </row>
    <row r="776" spans="17:18" ht="24.75" customHeight="1">
      <c r="Q776" s="226"/>
      <c r="R776" s="227"/>
    </row>
    <row r="777" spans="17:18" ht="24.75" customHeight="1">
      <c r="Q777" s="226"/>
      <c r="R777" s="227"/>
    </row>
    <row r="778" spans="17:18" ht="24.75" customHeight="1">
      <c r="Q778" s="227"/>
      <c r="R778" s="227"/>
    </row>
    <row r="779" spans="17:18" ht="24.75" customHeight="1">
      <c r="Q779" s="227"/>
      <c r="R779" s="229"/>
    </row>
    <row r="780" spans="17:18" ht="24.75" customHeight="1">
      <c r="Q780" s="227"/>
      <c r="R780" s="227"/>
    </row>
    <row r="781" spans="17:18" ht="24.75" customHeight="1">
      <c r="Q781" s="227"/>
      <c r="R781" s="227"/>
    </row>
    <row r="782" spans="17:18" ht="24.75" customHeight="1">
      <c r="Q782" s="226"/>
      <c r="R782" s="227"/>
    </row>
    <row r="783" spans="17:18" ht="24.75" customHeight="1">
      <c r="Q783" s="227"/>
      <c r="R783" s="227"/>
    </row>
    <row r="784" spans="17:18" ht="24.75" customHeight="1">
      <c r="Q784" s="227"/>
      <c r="R784" s="227"/>
    </row>
    <row r="785" spans="17:18" ht="24.75" customHeight="1">
      <c r="Q785" s="226"/>
      <c r="R785" s="227"/>
    </row>
    <row r="786" spans="17:18" ht="24.75" customHeight="1">
      <c r="Q786" s="226"/>
      <c r="R786" s="227"/>
    </row>
    <row r="787" spans="17:18" ht="24.75" customHeight="1">
      <c r="Q787" s="226"/>
      <c r="R787" s="227"/>
    </row>
    <row r="788" spans="17:18" ht="24.75" customHeight="1">
      <c r="Q788" s="226"/>
      <c r="R788" s="227"/>
    </row>
    <row r="789" spans="17:18" ht="24.75" customHeight="1">
      <c r="Q789" s="226"/>
      <c r="R789" s="227"/>
    </row>
    <row r="790" spans="17:18" ht="24.75" customHeight="1">
      <c r="Q790" s="226"/>
      <c r="R790" s="227"/>
    </row>
    <row r="791" spans="17:18" ht="24.75" customHeight="1">
      <c r="Q791" s="226"/>
      <c r="R791" s="227"/>
    </row>
    <row r="792" spans="17:18" ht="24.75" customHeight="1">
      <c r="Q792" s="226"/>
      <c r="R792" s="227"/>
    </row>
    <row r="793" spans="17:18" ht="24.75" customHeight="1">
      <c r="Q793" s="227"/>
      <c r="R793" s="227"/>
    </row>
    <row r="794" spans="17:18" ht="24.75" customHeight="1">
      <c r="Q794" s="227"/>
      <c r="R794" s="227"/>
    </row>
    <row r="795" spans="17:18" ht="24.75" customHeight="1">
      <c r="Q795" s="227"/>
      <c r="R795" s="227"/>
    </row>
    <row r="796" spans="17:18" ht="24.75" customHeight="1">
      <c r="Q796" s="227"/>
      <c r="R796" s="227"/>
    </row>
    <row r="797" spans="17:18" ht="24.75" customHeight="1">
      <c r="Q797" s="227"/>
      <c r="R797" s="227"/>
    </row>
    <row r="798" spans="17:18" ht="24.75" customHeight="1">
      <c r="Q798" s="227"/>
      <c r="R798" s="227"/>
    </row>
    <row r="799" spans="17:18" ht="24.75" customHeight="1">
      <c r="Q799" s="227"/>
      <c r="R799" s="227"/>
    </row>
    <row r="800" spans="17:18" ht="24.75" customHeight="1">
      <c r="Q800" s="227"/>
      <c r="R800" s="227"/>
    </row>
    <row r="801" spans="17:18" ht="24.75" customHeight="1">
      <c r="Q801" s="227"/>
      <c r="R801" s="227"/>
    </row>
    <row r="802" spans="17:18" ht="24.75" customHeight="1">
      <c r="Q802" s="226"/>
      <c r="R802" s="227"/>
    </row>
    <row r="803" spans="17:18" ht="24.75" customHeight="1">
      <c r="Q803" s="226"/>
      <c r="R803" s="227"/>
    </row>
    <row r="804" spans="17:18" ht="24.75" customHeight="1">
      <c r="Q804" s="227"/>
      <c r="R804" s="227"/>
    </row>
    <row r="805" spans="17:18" ht="24.75" customHeight="1">
      <c r="Q805" s="227"/>
      <c r="R805" s="227"/>
    </row>
    <row r="806" spans="17:18" ht="24.75" customHeight="1">
      <c r="Q806" s="227"/>
      <c r="R806" s="227"/>
    </row>
    <row r="807" spans="17:18" ht="24.75" customHeight="1">
      <c r="Q807" s="226"/>
      <c r="R807" s="227"/>
    </row>
    <row r="808" spans="17:18" ht="24.75" customHeight="1">
      <c r="Q808" s="226"/>
      <c r="R808" s="227"/>
    </row>
    <row r="809" spans="17:18" ht="24.75" customHeight="1">
      <c r="Q809" s="227"/>
      <c r="R809" s="227"/>
    </row>
    <row r="810" spans="17:18" ht="24.75" customHeight="1">
      <c r="Q810" s="227"/>
      <c r="R810" s="227"/>
    </row>
    <row r="811" spans="17:18" ht="24.75" customHeight="1">
      <c r="Q811" s="227"/>
      <c r="R811" s="227"/>
    </row>
    <row r="812" spans="17:18" ht="24.75" customHeight="1">
      <c r="Q812" s="227"/>
      <c r="R812" s="227"/>
    </row>
    <row r="813" spans="17:18" ht="24.75" customHeight="1">
      <c r="Q813" s="226"/>
      <c r="R813" s="227"/>
    </row>
    <row r="814" spans="17:18" ht="24.75" customHeight="1">
      <c r="Q814" s="227"/>
      <c r="R814" s="227"/>
    </row>
    <row r="815" spans="17:18" ht="24.75" customHeight="1">
      <c r="Q815" s="227"/>
      <c r="R815" s="227"/>
    </row>
    <row r="816" spans="17:18" ht="24.75" customHeight="1">
      <c r="Q816" s="227"/>
      <c r="R816" s="227"/>
    </row>
    <row r="817" spans="17:18" ht="24.75" customHeight="1">
      <c r="Q817" s="226"/>
      <c r="R817" s="227"/>
    </row>
    <row r="818" spans="17:18" ht="24.75" customHeight="1">
      <c r="Q818" s="226"/>
      <c r="R818" s="227"/>
    </row>
    <row r="819" spans="17:18" ht="24.75" customHeight="1">
      <c r="Q819" s="227"/>
      <c r="R819" s="227"/>
    </row>
    <row r="820" spans="17:18" ht="24.75" customHeight="1">
      <c r="Q820" s="226"/>
      <c r="R820" s="227"/>
    </row>
    <row r="821" spans="17:18" ht="24.75" customHeight="1">
      <c r="Q821" s="227"/>
      <c r="R821" s="227"/>
    </row>
    <row r="822" spans="17:18" ht="24.75" customHeight="1">
      <c r="Q822" s="226"/>
      <c r="R822" s="227"/>
    </row>
    <row r="823" spans="17:18" ht="24.75" customHeight="1">
      <c r="Q823" s="226"/>
      <c r="R823" s="227"/>
    </row>
    <row r="824" spans="17:18" ht="24.75" customHeight="1">
      <c r="Q824" s="227"/>
      <c r="R824" s="227"/>
    </row>
    <row r="825" spans="17:18" ht="24.75" customHeight="1">
      <c r="Q825" s="227"/>
      <c r="R825" s="227"/>
    </row>
    <row r="826" spans="17:18" ht="24.75" customHeight="1">
      <c r="Q826" s="227"/>
      <c r="R826" s="227"/>
    </row>
    <row r="827" spans="17:18" ht="24.75" customHeight="1">
      <c r="Q827" s="226"/>
      <c r="R827" s="227"/>
    </row>
    <row r="828" spans="17:18" ht="24.75" customHeight="1">
      <c r="Q828" s="227"/>
      <c r="R828" s="227"/>
    </row>
    <row r="829" spans="17:18" ht="24.75" customHeight="1">
      <c r="Q829" s="227"/>
      <c r="R829" s="227"/>
    </row>
    <row r="830" spans="17:18" ht="24.75" customHeight="1">
      <c r="Q830" s="226"/>
      <c r="R830" s="227"/>
    </row>
    <row r="831" spans="17:18" ht="24.75" customHeight="1">
      <c r="Q831" s="227"/>
      <c r="R831" s="227"/>
    </row>
    <row r="832" spans="17:18" ht="24.75" customHeight="1">
      <c r="Q832" s="226"/>
      <c r="R832" s="227"/>
    </row>
    <row r="833" spans="17:18" ht="24.75" customHeight="1">
      <c r="Q833" s="226"/>
      <c r="R833" s="227"/>
    </row>
    <row r="834" spans="17:18" ht="24.75" customHeight="1">
      <c r="Q834" s="227"/>
      <c r="R834" s="227"/>
    </row>
    <row r="835" spans="17:18" ht="24.75" customHeight="1">
      <c r="Q835" s="227"/>
      <c r="R835" s="227"/>
    </row>
    <row r="836" spans="17:18" ht="24.75" customHeight="1">
      <c r="Q836" s="226"/>
      <c r="R836" s="227"/>
    </row>
    <row r="837" spans="17:18" ht="24.75" customHeight="1">
      <c r="Q837" s="227"/>
      <c r="R837" s="227"/>
    </row>
    <row r="838" spans="17:18" ht="24.75" customHeight="1">
      <c r="Q838" s="227"/>
      <c r="R838" s="227"/>
    </row>
    <row r="839" spans="17:18" ht="24.75" customHeight="1">
      <c r="Q839" s="227"/>
      <c r="R839" s="227"/>
    </row>
    <row r="840" spans="17:18" ht="24.75" customHeight="1">
      <c r="Q840" s="227"/>
      <c r="R840" s="227"/>
    </row>
    <row r="841" spans="17:18" ht="24.75" customHeight="1">
      <c r="Q841" s="227"/>
      <c r="R841" s="227"/>
    </row>
    <row r="842" spans="17:18" ht="24.75" customHeight="1">
      <c r="Q842" s="227"/>
      <c r="R842" s="227"/>
    </row>
    <row r="843" spans="17:18" ht="24.75" customHeight="1">
      <c r="Q843" s="227"/>
      <c r="R843" s="227"/>
    </row>
    <row r="844" spans="17:18" ht="24.75" customHeight="1">
      <c r="Q844" s="227"/>
      <c r="R844" s="227"/>
    </row>
    <row r="845" spans="17:18" ht="24.75" customHeight="1">
      <c r="Q845" s="227"/>
      <c r="R845" s="227"/>
    </row>
    <row r="846" spans="17:18" ht="24.75" customHeight="1">
      <c r="Q846" s="227"/>
      <c r="R846" s="227"/>
    </row>
    <row r="847" spans="17:18" ht="24.75" customHeight="1">
      <c r="Q847" s="226"/>
      <c r="R847" s="227"/>
    </row>
    <row r="848" spans="17:18" ht="24.75" customHeight="1">
      <c r="Q848" s="227"/>
      <c r="R848" s="227"/>
    </row>
    <row r="849" spans="17:18" ht="24.75" customHeight="1">
      <c r="Q849" s="227"/>
      <c r="R849" s="227"/>
    </row>
    <row r="850" spans="17:18" ht="24.75" customHeight="1">
      <c r="Q850" s="227"/>
      <c r="R850" s="227"/>
    </row>
    <row r="851" spans="17:18" ht="24.75" customHeight="1">
      <c r="Q851" s="226"/>
      <c r="R851" s="227"/>
    </row>
    <row r="852" spans="17:18" ht="24.75" customHeight="1">
      <c r="Q852" s="226"/>
      <c r="R852" s="227"/>
    </row>
    <row r="853" spans="17:18" ht="24.75" customHeight="1">
      <c r="Q853" s="226"/>
      <c r="R853" s="227"/>
    </row>
    <row r="854" spans="17:18" ht="24.75" customHeight="1">
      <c r="Q854" s="227"/>
      <c r="R854" s="227"/>
    </row>
    <row r="855" spans="17:18" ht="24.75" customHeight="1">
      <c r="Q855" s="226"/>
      <c r="R855" s="227"/>
    </row>
    <row r="856" spans="17:18" ht="24.75" customHeight="1">
      <c r="Q856" s="227"/>
      <c r="R856" s="227"/>
    </row>
    <row r="857" spans="17:18" ht="24.75" customHeight="1">
      <c r="Q857" s="227"/>
      <c r="R857" s="227"/>
    </row>
    <row r="858" spans="17:18" ht="24.75" customHeight="1">
      <c r="Q858" s="227"/>
      <c r="R858" s="227"/>
    </row>
    <row r="859" spans="17:18" ht="24.75" customHeight="1">
      <c r="Q859" s="226"/>
      <c r="R859" s="227"/>
    </row>
    <row r="860" spans="17:18" ht="24.75" customHeight="1">
      <c r="Q860" s="226"/>
      <c r="R860" s="227"/>
    </row>
    <row r="861" spans="17:18" ht="24.75" customHeight="1">
      <c r="Q861" s="227"/>
      <c r="R861" s="227"/>
    </row>
    <row r="862" spans="17:18" ht="24.75" customHeight="1">
      <c r="Q862" s="226"/>
      <c r="R862" s="227"/>
    </row>
    <row r="863" spans="17:18" ht="24.75" customHeight="1">
      <c r="Q863" s="227"/>
      <c r="R863" s="227"/>
    </row>
    <row r="864" spans="17:18" ht="24.75" customHeight="1">
      <c r="Q864" s="227"/>
      <c r="R864" s="227"/>
    </row>
    <row r="865" spans="17:18" ht="24.75" customHeight="1">
      <c r="Q865" s="226"/>
      <c r="R865" s="227"/>
    </row>
    <row r="866" spans="17:18" ht="24.75" customHeight="1">
      <c r="Q866" s="226"/>
      <c r="R866" s="227"/>
    </row>
    <row r="867" spans="17:18" ht="24.75" customHeight="1">
      <c r="Q867" s="227"/>
      <c r="R867" s="227"/>
    </row>
    <row r="868" spans="17:18" ht="24.75" customHeight="1">
      <c r="Q868" s="227"/>
      <c r="R868" s="227"/>
    </row>
    <row r="869" spans="17:18" ht="24.75" customHeight="1">
      <c r="Q869" s="226"/>
      <c r="R869" s="227"/>
    </row>
    <row r="870" spans="17:18" ht="24.75" customHeight="1">
      <c r="Q870" s="227"/>
      <c r="R870" s="227"/>
    </row>
    <row r="871" spans="17:18" ht="24.75" customHeight="1">
      <c r="Q871" s="226"/>
      <c r="R871" s="227"/>
    </row>
    <row r="872" spans="17:18" ht="24.75" customHeight="1">
      <c r="Q872" s="226"/>
      <c r="R872" s="227"/>
    </row>
    <row r="873" spans="17:18" ht="24.75" customHeight="1">
      <c r="Q873" s="226"/>
      <c r="R873" s="227"/>
    </row>
    <row r="874" spans="17:18" ht="24.75" customHeight="1">
      <c r="Q874" s="226"/>
      <c r="R874" s="227"/>
    </row>
    <row r="875" spans="17:18" ht="24.75" customHeight="1">
      <c r="Q875" s="230"/>
      <c r="R875" s="230"/>
    </row>
    <row r="876" spans="17:18" ht="24.75" customHeight="1">
      <c r="Q876" s="226"/>
      <c r="R876" s="227"/>
    </row>
    <row r="877" spans="17:18" ht="24.75" customHeight="1">
      <c r="Q877" s="227"/>
      <c r="R877" s="227"/>
    </row>
    <row r="878" spans="17:18" ht="24.75" customHeight="1">
      <c r="Q878" s="227"/>
      <c r="R878" s="227"/>
    </row>
    <row r="879" spans="17:18" ht="24.75" customHeight="1">
      <c r="Q879" s="226"/>
      <c r="R879" s="227"/>
    </row>
    <row r="880" spans="17:18" ht="24.75" customHeight="1">
      <c r="Q880" s="226"/>
      <c r="R880" s="227"/>
    </row>
    <row r="881" spans="17:18" ht="24.75" customHeight="1">
      <c r="Q881" s="226"/>
      <c r="R881" s="227"/>
    </row>
    <row r="882" spans="17:18" ht="24.75" customHeight="1">
      <c r="Q882" s="226"/>
      <c r="R882" s="227"/>
    </row>
    <row r="883" spans="17:18" ht="24.75" customHeight="1">
      <c r="Q883" s="226"/>
      <c r="R883" s="227"/>
    </row>
    <row r="884" spans="17:18" ht="24.75" customHeight="1">
      <c r="Q884" s="227"/>
      <c r="R884" s="227"/>
    </row>
    <row r="885" spans="17:18" ht="24.75" customHeight="1">
      <c r="Q885" s="226"/>
      <c r="R885" s="227"/>
    </row>
    <row r="886" spans="17:18" ht="24.75" customHeight="1">
      <c r="Q886" s="227"/>
      <c r="R886" s="227"/>
    </row>
    <row r="887" spans="17:18" ht="24.75" customHeight="1">
      <c r="Q887" s="226"/>
      <c r="R887" s="227"/>
    </row>
    <row r="888" spans="17:18" ht="24.75" customHeight="1">
      <c r="Q888" s="226"/>
      <c r="R888" s="227"/>
    </row>
    <row r="889" spans="17:18" ht="24.75" customHeight="1">
      <c r="Q889" s="227"/>
      <c r="R889" s="227"/>
    </row>
    <row r="890" spans="17:18" ht="24.75" customHeight="1">
      <c r="Q890" s="227"/>
      <c r="R890" s="227"/>
    </row>
    <row r="891" spans="17:18" ht="24.75" customHeight="1">
      <c r="Q891" s="226"/>
      <c r="R891" s="227"/>
    </row>
    <row r="892" spans="17:18" ht="24.75" customHeight="1">
      <c r="Q892" s="226"/>
      <c r="R892" s="227"/>
    </row>
    <row r="893" spans="17:18" ht="24.75" customHeight="1">
      <c r="Q893" s="226"/>
      <c r="R893" s="227"/>
    </row>
    <row r="894" spans="17:18" ht="24.75" customHeight="1">
      <c r="Q894" s="227"/>
      <c r="R894" s="227"/>
    </row>
    <row r="895" spans="17:18" ht="24.75" customHeight="1">
      <c r="Q895" s="226"/>
      <c r="R895" s="227"/>
    </row>
    <row r="896" spans="17:18" ht="24.75" customHeight="1">
      <c r="Q896" s="226"/>
      <c r="R896" s="227"/>
    </row>
    <row r="897" spans="17:18" ht="24.75" customHeight="1">
      <c r="Q897" s="226"/>
      <c r="R897" s="227"/>
    </row>
    <row r="898" spans="17:18" ht="24.75" customHeight="1">
      <c r="Q898" s="227"/>
      <c r="R898" s="227"/>
    </row>
    <row r="899" spans="17:18" ht="24.75" customHeight="1">
      <c r="Q899" s="227"/>
      <c r="R899" s="227"/>
    </row>
    <row r="900" spans="17:18" ht="24.75" customHeight="1">
      <c r="Q900" s="227"/>
      <c r="R900" s="227"/>
    </row>
    <row r="901" spans="17:18" ht="24.75" customHeight="1">
      <c r="Q901" s="227"/>
      <c r="R901" s="227"/>
    </row>
    <row r="902" spans="17:18" ht="24.75" customHeight="1">
      <c r="Q902" s="227"/>
      <c r="R902" s="227"/>
    </row>
    <row r="903" spans="17:18" ht="24.75" customHeight="1">
      <c r="Q903" s="227"/>
      <c r="R903" s="227"/>
    </row>
    <row r="904" spans="17:18" ht="24.75" customHeight="1">
      <c r="Q904" s="226"/>
      <c r="R904" s="227"/>
    </row>
    <row r="905" spans="17:18" ht="24.75" customHeight="1">
      <c r="Q905" s="226"/>
      <c r="R905" s="227"/>
    </row>
    <row r="906" spans="17:18" ht="24.75" customHeight="1">
      <c r="Q906" s="226"/>
      <c r="R906" s="227"/>
    </row>
    <row r="907" spans="17:18" ht="24.75" customHeight="1">
      <c r="Q907" s="227"/>
      <c r="R907" s="227"/>
    </row>
    <row r="908" spans="17:18" ht="24.75" customHeight="1">
      <c r="Q908" s="227"/>
      <c r="R908" s="227"/>
    </row>
    <row r="909" spans="17:18" ht="24.75" customHeight="1">
      <c r="Q909" s="226"/>
      <c r="R909" s="227"/>
    </row>
    <row r="910" spans="17:18" ht="24.75" customHeight="1">
      <c r="Q910" s="226"/>
      <c r="R910" s="227"/>
    </row>
    <row r="911" spans="17:18" ht="24.75" customHeight="1">
      <c r="Q911" s="226"/>
      <c r="R911" s="227"/>
    </row>
    <row r="912" spans="17:18" ht="24.75" customHeight="1">
      <c r="Q912" s="227"/>
      <c r="R912" s="227"/>
    </row>
    <row r="913" spans="17:18" ht="24.75" customHeight="1">
      <c r="Q913" s="226"/>
      <c r="R913" s="227"/>
    </row>
    <row r="914" spans="17:18" ht="24.75" customHeight="1">
      <c r="Q914" s="226"/>
      <c r="R914" s="227"/>
    </row>
    <row r="915" spans="17:18" ht="24.75" customHeight="1">
      <c r="Q915" s="226"/>
      <c r="R915" s="227"/>
    </row>
    <row r="916" spans="17:18" ht="24.75" customHeight="1">
      <c r="Q916" s="226"/>
      <c r="R916" s="227"/>
    </row>
    <row r="917" spans="17:18" ht="24.75" customHeight="1">
      <c r="Q917" s="226"/>
      <c r="R917" s="227"/>
    </row>
    <row r="918" spans="17:18" ht="24.75" customHeight="1">
      <c r="Q918" s="226"/>
      <c r="R918" s="227"/>
    </row>
    <row r="919" spans="17:18" ht="24.75" customHeight="1">
      <c r="Q919" s="227"/>
      <c r="R919" s="227"/>
    </row>
    <row r="920" spans="17:18" ht="24.75" customHeight="1">
      <c r="Q920" s="227"/>
      <c r="R920" s="227"/>
    </row>
    <row r="921" spans="17:18" ht="24.75" customHeight="1">
      <c r="Q921" s="226"/>
      <c r="R921" s="227"/>
    </row>
    <row r="922" spans="17:18" ht="24.75" customHeight="1">
      <c r="Q922" s="227"/>
      <c r="R922" s="227"/>
    </row>
    <row r="923" spans="17:18" ht="24.75" customHeight="1">
      <c r="Q923" s="227"/>
      <c r="R923" s="227"/>
    </row>
    <row r="924" spans="17:18" ht="24.75" customHeight="1">
      <c r="Q924" s="226"/>
      <c r="R924" s="227"/>
    </row>
    <row r="925" spans="17:18" ht="24.75" customHeight="1">
      <c r="Q925" s="227"/>
      <c r="R925" s="227"/>
    </row>
    <row r="926" spans="17:18" ht="24.75" customHeight="1">
      <c r="Q926" s="226"/>
      <c r="R926" s="227"/>
    </row>
    <row r="927" spans="17:18" ht="24.75" customHeight="1">
      <c r="Q927" s="227"/>
      <c r="R927" s="227"/>
    </row>
    <row r="928" spans="17:18" ht="24.75" customHeight="1">
      <c r="Q928" s="227"/>
      <c r="R928" s="227"/>
    </row>
    <row r="929" spans="17:18" ht="24.75" customHeight="1">
      <c r="Q929" s="227"/>
      <c r="R929" s="227"/>
    </row>
    <row r="930" spans="17:18" ht="24.75" customHeight="1">
      <c r="Q930" s="226"/>
      <c r="R930" s="227"/>
    </row>
    <row r="931" spans="17:18" ht="24.75" customHeight="1">
      <c r="Q931" s="227"/>
      <c r="R931" s="227"/>
    </row>
    <row r="932" spans="17:18" ht="24.75" customHeight="1">
      <c r="Q932" s="227"/>
      <c r="R932" s="227"/>
    </row>
    <row r="933" spans="17:18" ht="24.75" customHeight="1">
      <c r="Q933" s="227"/>
      <c r="R933" s="227"/>
    </row>
    <row r="934" spans="17:18" ht="24.75" customHeight="1">
      <c r="Q934" s="227"/>
      <c r="R934" s="227"/>
    </row>
    <row r="935" spans="17:18" ht="24.75" customHeight="1">
      <c r="Q935" s="227"/>
      <c r="R935" s="227"/>
    </row>
    <row r="936" spans="17:18" ht="24.75" customHeight="1">
      <c r="Q936" s="227"/>
      <c r="R936" s="227"/>
    </row>
    <row r="937" spans="17:18" ht="24.75" customHeight="1">
      <c r="Q937" s="227"/>
      <c r="R937" s="227"/>
    </row>
    <row r="938" spans="17:18" ht="24.75" customHeight="1">
      <c r="Q938" s="227"/>
      <c r="R938" s="227"/>
    </row>
    <row r="939" spans="17:18" ht="24.75" customHeight="1">
      <c r="Q939" s="226"/>
      <c r="R939" s="227"/>
    </row>
    <row r="940" spans="17:18" ht="24.75" customHeight="1">
      <c r="Q940" s="226"/>
      <c r="R940" s="227"/>
    </row>
    <row r="941" spans="17:18" ht="24.75" customHeight="1">
      <c r="Q941" s="218"/>
      <c r="R941" s="218"/>
    </row>
    <row r="942" spans="17:18" ht="24.75" customHeight="1">
      <c r="Q942" s="218"/>
      <c r="R942" s="218"/>
    </row>
    <row r="943" spans="17:18" ht="24.75" customHeight="1">
      <c r="Q943" s="230"/>
      <c r="R943" s="230"/>
    </row>
    <row r="944" spans="17:18" ht="24.75" customHeight="1">
      <c r="Q944" s="218"/>
      <c r="R944" s="218"/>
    </row>
    <row r="945" spans="17:18" ht="24.75" customHeight="1">
      <c r="Q945" s="218"/>
      <c r="R945" s="218"/>
    </row>
    <row r="946" spans="17:18" ht="24.75" customHeight="1">
      <c r="Q946" s="218"/>
      <c r="R946" s="218"/>
    </row>
    <row r="947" spans="17:18" ht="24.75" customHeight="1">
      <c r="Q947" s="218"/>
      <c r="R947" s="230"/>
    </row>
    <row r="948" spans="17:18" ht="24.75" customHeight="1">
      <c r="Q948" s="218"/>
      <c r="R948" s="218"/>
    </row>
    <row r="949" spans="17:18" ht="24.75" customHeight="1">
      <c r="Q949" s="218"/>
      <c r="R949" s="218"/>
    </row>
    <row r="950" spans="17:18" ht="24.75" customHeight="1">
      <c r="Q950" s="218"/>
      <c r="R950" s="218"/>
    </row>
    <row r="951" spans="17:18" ht="24.75" customHeight="1">
      <c r="Q951" s="218"/>
      <c r="R951" s="230"/>
    </row>
    <row r="952" spans="17:18" ht="24.75" customHeight="1">
      <c r="Q952" s="218"/>
      <c r="R952" s="218"/>
    </row>
    <row r="953" spans="17:18" ht="24.75" customHeight="1">
      <c r="Q953" s="218"/>
      <c r="R953" s="218"/>
    </row>
    <row r="954" spans="17:18" ht="24.75" customHeight="1">
      <c r="Q954" s="218"/>
      <c r="R954" s="218"/>
    </row>
    <row r="955" spans="17:18" ht="24.75" customHeight="1">
      <c r="Q955" s="218"/>
      <c r="R955" s="218"/>
    </row>
    <row r="956" spans="17:18" ht="24.75" customHeight="1">
      <c r="Q956" s="218"/>
      <c r="R956" s="218"/>
    </row>
    <row r="957" spans="17:18" ht="24.75" customHeight="1">
      <c r="Q957" s="218"/>
      <c r="R957" s="218"/>
    </row>
    <row r="958" spans="17:18" ht="24.75" customHeight="1">
      <c r="Q958" s="218"/>
      <c r="R958" s="218"/>
    </row>
    <row r="959" spans="17:18" ht="24.75" customHeight="1">
      <c r="Q959" s="218"/>
      <c r="R959" s="218"/>
    </row>
    <row r="960" spans="17:18" ht="24.75" customHeight="1">
      <c r="Q960" s="218"/>
      <c r="R960" s="218"/>
    </row>
    <row r="961" spans="17:18" ht="24.75" customHeight="1">
      <c r="Q961" s="218"/>
      <c r="R961" s="218"/>
    </row>
    <row r="962" spans="17:18" ht="24.75" customHeight="1">
      <c r="Q962" s="218"/>
      <c r="R962" s="231"/>
    </row>
    <row r="963" spans="17:18" ht="24.75" customHeight="1">
      <c r="Q963" s="218"/>
      <c r="R963" s="230"/>
    </row>
    <row r="964" spans="17:18" ht="24.75" customHeight="1">
      <c r="Q964" s="218"/>
      <c r="R964" s="230"/>
    </row>
    <row r="965" spans="17:18" ht="24.75" customHeight="1">
      <c r="Q965" s="218"/>
      <c r="R965" s="231"/>
    </row>
    <row r="966" spans="17:18" ht="24.75" customHeight="1">
      <c r="Q966" s="218"/>
      <c r="R966" s="231"/>
    </row>
    <row r="967" spans="17:18" ht="24.75" customHeight="1">
      <c r="Q967" s="218"/>
      <c r="R967" s="230"/>
    </row>
    <row r="968" spans="17:18" ht="24.75" customHeight="1">
      <c r="Q968" s="218"/>
      <c r="R968" s="230"/>
    </row>
    <row r="969" spans="17:18" ht="24.75" customHeight="1">
      <c r="Q969" s="218"/>
      <c r="R969" s="218"/>
    </row>
    <row r="970" spans="17:18" ht="24.75" customHeight="1">
      <c r="Q970" s="218"/>
      <c r="R970" s="230"/>
    </row>
    <row r="971" spans="17:18" ht="24.75" customHeight="1">
      <c r="Q971" s="231"/>
      <c r="R971" s="230"/>
    </row>
    <row r="972" spans="17:18" ht="24.75" customHeight="1">
      <c r="Q972" s="218"/>
      <c r="R972" s="218"/>
    </row>
    <row r="973" spans="17:18" ht="24.75" customHeight="1">
      <c r="Q973" s="218"/>
      <c r="R973" s="227"/>
    </row>
    <row r="974" spans="17:18" ht="24.75" customHeight="1">
      <c r="Q974" s="231"/>
      <c r="R974" s="230"/>
    </row>
    <row r="975" spans="17:18" ht="24.75" customHeight="1">
      <c r="Q975" s="231"/>
      <c r="R975" s="227"/>
    </row>
    <row r="976" spans="17:18" ht="24.75" customHeight="1">
      <c r="Q976" s="218"/>
      <c r="R976" s="218"/>
    </row>
    <row r="977" spans="17:18" ht="24.75" customHeight="1">
      <c r="Q977" s="218"/>
      <c r="R977" s="218"/>
    </row>
    <row r="978" spans="17:18" ht="24.75" customHeight="1">
      <c r="Q978" s="218"/>
      <c r="R978" s="218"/>
    </row>
    <row r="979" spans="17:18" ht="24.75" customHeight="1">
      <c r="Q979" s="230"/>
      <c r="R979" s="230"/>
    </row>
    <row r="980" spans="17:18" ht="24.75" customHeight="1">
      <c r="Q980" s="230"/>
      <c r="R980" s="230"/>
    </row>
    <row r="981" spans="17:18" ht="24.75" customHeight="1">
      <c r="Q981" s="230"/>
      <c r="R981" s="230"/>
    </row>
    <row r="982" spans="17:18" ht="24.75" customHeight="1">
      <c r="Q982" s="230"/>
      <c r="R982" s="230"/>
    </row>
    <row r="983" spans="17:18" ht="24.75" customHeight="1">
      <c r="Q983" s="230"/>
      <c r="R983" s="230"/>
    </row>
    <row r="984" spans="17:18" ht="24.75" customHeight="1">
      <c r="Q984" s="230"/>
      <c r="R984" s="230"/>
    </row>
    <row r="985" spans="17:18" ht="24.75" customHeight="1">
      <c r="Q985" s="230"/>
      <c r="R985" s="230"/>
    </row>
    <row r="986" spans="17:18" ht="24.75" customHeight="1">
      <c r="Q986" s="230"/>
      <c r="R986" s="230"/>
    </row>
    <row r="987" spans="17:18" ht="24.75" customHeight="1">
      <c r="Q987" s="230"/>
      <c r="R987" s="230"/>
    </row>
    <row r="988" spans="17:18" ht="24.75" customHeight="1">
      <c r="Q988" s="230"/>
      <c r="R988" s="230"/>
    </row>
    <row r="989" spans="17:18" ht="24.75" customHeight="1">
      <c r="Q989" s="230"/>
      <c r="R989" s="230"/>
    </row>
    <row r="990" spans="17:18" ht="24.75" customHeight="1">
      <c r="Q990" s="230"/>
      <c r="R990" s="230"/>
    </row>
    <row r="991" spans="17:18" ht="24.75" customHeight="1">
      <c r="Q991" s="230"/>
      <c r="R991" s="230"/>
    </row>
    <row r="992" spans="17:18" ht="24.75" customHeight="1">
      <c r="Q992" s="230"/>
      <c r="R992" s="230"/>
    </row>
    <row r="993" spans="17:18" ht="24.75" customHeight="1">
      <c r="Q993" s="230"/>
      <c r="R993" s="230"/>
    </row>
    <row r="994" spans="17:18" ht="24.75" customHeight="1">
      <c r="Q994" s="230"/>
      <c r="R994" s="230"/>
    </row>
    <row r="995" spans="17:18" ht="24.75" customHeight="1">
      <c r="Q995" s="230"/>
      <c r="R995" s="230"/>
    </row>
    <row r="996" spans="17:18" ht="24.75" customHeight="1">
      <c r="Q996" s="230"/>
      <c r="R996" s="230"/>
    </row>
    <row r="997" spans="17:18" ht="24.75" customHeight="1">
      <c r="Q997" s="230"/>
      <c r="R997" s="230"/>
    </row>
    <row r="998" spans="17:18" ht="24.75" customHeight="1">
      <c r="Q998" s="230"/>
      <c r="R998" s="230"/>
    </row>
    <row r="999" spans="17:18" ht="24.75" customHeight="1">
      <c r="Q999" s="230"/>
      <c r="R999" s="230"/>
    </row>
    <row r="1000" spans="17:18" ht="24.75" customHeight="1">
      <c r="Q1000" s="230"/>
      <c r="R1000" s="230"/>
    </row>
    <row r="1001" spans="17:18" ht="24.75" customHeight="1">
      <c r="Q1001" s="230"/>
      <c r="R1001" s="230"/>
    </row>
    <row r="1002" spans="17:18" ht="24.75" customHeight="1">
      <c r="Q1002" s="230"/>
      <c r="R1002" s="230"/>
    </row>
    <row r="1003" spans="17:18" ht="24.75" customHeight="1">
      <c r="Q1003" s="230"/>
      <c r="R1003" s="230"/>
    </row>
    <row r="1004" spans="17:18" ht="24.75" customHeight="1">
      <c r="Q1004" s="230"/>
      <c r="R1004" s="230"/>
    </row>
    <row r="1005" spans="17:18" ht="24.75" customHeight="1">
      <c r="Q1005" s="230"/>
      <c r="R1005" s="230"/>
    </row>
    <row r="1006" spans="17:18" ht="24.75" customHeight="1">
      <c r="Q1006" s="230"/>
      <c r="R1006" s="230"/>
    </row>
    <row r="1007" spans="17:18" ht="24.75" customHeight="1">
      <c r="Q1007" s="230"/>
      <c r="R1007" s="230"/>
    </row>
    <row r="1008" spans="17:18" ht="24.75" customHeight="1">
      <c r="Q1008" s="230"/>
      <c r="R1008" s="230"/>
    </row>
    <row r="1009" spans="17:18" ht="24.75" customHeight="1">
      <c r="Q1009" s="230"/>
      <c r="R1009" s="230"/>
    </row>
    <row r="1010" spans="17:18" ht="24.75" customHeight="1">
      <c r="Q1010" s="230"/>
      <c r="R1010" s="230"/>
    </row>
    <row r="1011" spans="17:18" ht="24.75" customHeight="1">
      <c r="Q1011" s="230"/>
      <c r="R1011" s="230"/>
    </row>
    <row r="1012" spans="17:18" ht="24.75" customHeight="1">
      <c r="Q1012" s="230"/>
      <c r="R1012" s="230"/>
    </row>
    <row r="1013" spans="17:18" ht="24.75" customHeight="1">
      <c r="Q1013" s="230"/>
      <c r="R1013" s="230"/>
    </row>
    <row r="1014" spans="17:18" ht="24.75" customHeight="1">
      <c r="Q1014" s="230"/>
      <c r="R1014" s="230"/>
    </row>
    <row r="1015" spans="17:18" ht="24.75" customHeight="1">
      <c r="Q1015" s="230"/>
      <c r="R1015" s="230"/>
    </row>
    <row r="1016" spans="17:18" ht="24.75" customHeight="1">
      <c r="Q1016" s="230"/>
      <c r="R1016" s="230"/>
    </row>
    <row r="1017" spans="17:18" ht="24.75" customHeight="1">
      <c r="Q1017" s="230"/>
      <c r="R1017" s="230"/>
    </row>
    <row r="1018" spans="17:18" ht="24.75" customHeight="1">
      <c r="Q1018" s="230"/>
      <c r="R1018" s="230"/>
    </row>
    <row r="1019" spans="17:18" ht="24.75" customHeight="1">
      <c r="Q1019" s="230"/>
      <c r="R1019" s="230"/>
    </row>
    <row r="1020" spans="17:18" ht="24.75" customHeight="1">
      <c r="Q1020" s="230"/>
      <c r="R1020" s="230"/>
    </row>
    <row r="1021" spans="17:18" ht="24.75" customHeight="1">
      <c r="Q1021" s="230"/>
      <c r="R1021" s="230"/>
    </row>
    <row r="1022" spans="17:18" ht="24.75" customHeight="1">
      <c r="Q1022" s="230"/>
      <c r="R1022" s="230"/>
    </row>
    <row r="1023" spans="17:18" ht="24.75" customHeight="1">
      <c r="Q1023" s="230"/>
      <c r="R1023" s="230"/>
    </row>
    <row r="1024" spans="17:18" ht="24.75" customHeight="1">
      <c r="Q1024" s="230"/>
      <c r="R1024" s="230"/>
    </row>
    <row r="1025" spans="17:18" ht="24.75" customHeight="1">
      <c r="Q1025" s="230"/>
      <c r="R1025" s="230"/>
    </row>
    <row r="1026" spans="17:18" ht="24.75" customHeight="1">
      <c r="Q1026" s="230"/>
      <c r="R1026" s="230"/>
    </row>
    <row r="1027" spans="17:18" ht="24.75" customHeight="1">
      <c r="Q1027" s="230"/>
      <c r="R1027" s="230"/>
    </row>
    <row r="1028" spans="17:18" ht="24.75" customHeight="1">
      <c r="Q1028" s="230"/>
      <c r="R1028" s="230"/>
    </row>
    <row r="1029" spans="17:18" ht="24.75" customHeight="1">
      <c r="Q1029" s="230"/>
      <c r="R1029" s="230"/>
    </row>
    <row r="1030" spans="17:18" ht="24.75" customHeight="1">
      <c r="Q1030" s="230"/>
      <c r="R1030" s="230"/>
    </row>
    <row r="1031" spans="17:18" ht="24.75" customHeight="1">
      <c r="Q1031" s="230"/>
      <c r="R1031" s="230"/>
    </row>
    <row r="1032" spans="17:18" ht="24.75" customHeight="1">
      <c r="Q1032" s="230"/>
      <c r="R1032" s="230"/>
    </row>
    <row r="1033" spans="17:18" ht="24.75" customHeight="1">
      <c r="Q1033" s="230"/>
      <c r="R1033" s="230"/>
    </row>
    <row r="1034" spans="17:18" ht="24.75" customHeight="1">
      <c r="Q1034" s="230"/>
      <c r="R1034" s="230"/>
    </row>
    <row r="1035" spans="17:18" ht="24.75" customHeight="1">
      <c r="Q1035" s="230"/>
      <c r="R1035" s="230"/>
    </row>
    <row r="1036" spans="17:18" ht="24.75" customHeight="1">
      <c r="Q1036" s="230"/>
      <c r="R1036" s="230"/>
    </row>
    <row r="1037" spans="17:18" ht="24.75" customHeight="1">
      <c r="Q1037" s="230"/>
      <c r="R1037" s="230"/>
    </row>
    <row r="1038" spans="17:18" ht="24.75" customHeight="1">
      <c r="Q1038" s="230"/>
      <c r="R1038" s="230"/>
    </row>
    <row r="1039" spans="17:18" ht="24.75" customHeight="1">
      <c r="Q1039" s="230"/>
      <c r="R1039" s="230"/>
    </row>
    <row r="1040" spans="17:18" ht="24.75" customHeight="1">
      <c r="Q1040" s="230"/>
      <c r="R1040" s="230"/>
    </row>
    <row r="1041" spans="17:18" ht="24.75" customHeight="1">
      <c r="Q1041" s="230"/>
      <c r="R1041" s="230"/>
    </row>
    <row r="1042" spans="17:18" ht="24.75" customHeight="1">
      <c r="Q1042" s="230"/>
      <c r="R1042" s="230"/>
    </row>
    <row r="1043" spans="17:18" ht="24.75" customHeight="1">
      <c r="Q1043" s="230"/>
      <c r="R1043" s="230"/>
    </row>
    <row r="1044" spans="17:18" ht="24.75" customHeight="1">
      <c r="Q1044" s="230"/>
      <c r="R1044" s="230"/>
    </row>
    <row r="1045" spans="17:18" ht="24.75" customHeight="1">
      <c r="Q1045" s="230"/>
      <c r="R1045" s="230"/>
    </row>
    <row r="1046" spans="17:18" ht="24.75" customHeight="1">
      <c r="Q1046" s="230"/>
      <c r="R1046" s="230"/>
    </row>
    <row r="1047" spans="17:18" ht="24.75" customHeight="1">
      <c r="Q1047" s="230"/>
      <c r="R1047" s="230"/>
    </row>
    <row r="1048" spans="17:18" ht="24.75" customHeight="1">
      <c r="Q1048" s="230"/>
      <c r="R1048" s="230"/>
    </row>
    <row r="1049" spans="17:18" ht="24.75" customHeight="1">
      <c r="Q1049" s="230"/>
      <c r="R1049" s="230"/>
    </row>
    <row r="1050" spans="17:18" ht="24.75" customHeight="1">
      <c r="Q1050" s="230"/>
      <c r="R1050" s="230"/>
    </row>
    <row r="1051" spans="17:18" ht="24.75" customHeight="1">
      <c r="Q1051" s="230"/>
      <c r="R1051" s="230"/>
    </row>
    <row r="1052" spans="17:18" ht="24.75" customHeight="1">
      <c r="Q1052" s="230"/>
      <c r="R1052" s="230"/>
    </row>
    <row r="1053" spans="17:18" ht="24.75" customHeight="1">
      <c r="Q1053" s="230"/>
      <c r="R1053" s="230"/>
    </row>
    <row r="1054" spans="17:18" ht="24.75" customHeight="1">
      <c r="Q1054" s="230"/>
      <c r="R1054" s="230"/>
    </row>
    <row r="1055" spans="17:18" ht="24.75" customHeight="1">
      <c r="Q1055" s="230"/>
      <c r="R1055" s="230"/>
    </row>
    <row r="1056" spans="17:18" ht="24.75" customHeight="1">
      <c r="Q1056" s="230"/>
      <c r="R1056" s="230"/>
    </row>
    <row r="1057" spans="17:18" ht="24.75" customHeight="1">
      <c r="Q1057" s="230"/>
      <c r="R1057" s="230"/>
    </row>
    <row r="1058" spans="17:18" ht="24.75" customHeight="1">
      <c r="Q1058" s="230"/>
      <c r="R1058" s="230"/>
    </row>
    <row r="1059" spans="17:18" ht="24.75" customHeight="1">
      <c r="Q1059" s="230"/>
      <c r="R1059" s="230"/>
    </row>
    <row r="1060" spans="17:18" ht="24.75" customHeight="1">
      <c r="Q1060" s="230"/>
      <c r="R1060" s="230"/>
    </row>
    <row r="1061" spans="17:18" ht="24.75" customHeight="1">
      <c r="Q1061" s="230"/>
      <c r="R1061" s="230"/>
    </row>
    <row r="1062" spans="17:18" ht="24.75" customHeight="1">
      <c r="Q1062" s="230"/>
      <c r="R1062" s="230"/>
    </row>
    <row r="1063" spans="17:18" ht="24.75" customHeight="1">
      <c r="Q1063" s="230"/>
      <c r="R1063" s="230"/>
    </row>
    <row r="1064" spans="17:18" ht="24.75" customHeight="1">
      <c r="Q1064" s="230"/>
      <c r="R1064" s="230"/>
    </row>
    <row r="1065" spans="17:18" ht="24.75" customHeight="1">
      <c r="Q1065" s="230"/>
      <c r="R1065" s="230"/>
    </row>
    <row r="1066" spans="17:18" ht="24.75" customHeight="1">
      <c r="Q1066" s="230"/>
      <c r="R1066" s="230"/>
    </row>
    <row r="1067" spans="17:18" ht="24.75" customHeight="1">
      <c r="Q1067" s="230"/>
      <c r="R1067" s="230"/>
    </row>
    <row r="1068" spans="17:18" ht="24.75" customHeight="1">
      <c r="Q1068" s="230"/>
      <c r="R1068" s="230"/>
    </row>
    <row r="1069" spans="17:18" ht="24.75" customHeight="1">
      <c r="Q1069" s="230"/>
      <c r="R1069" s="230"/>
    </row>
    <row r="1070" spans="17:18" ht="24.75" customHeight="1">
      <c r="Q1070" s="230"/>
      <c r="R1070" s="230"/>
    </row>
    <row r="1071" spans="17:18" ht="24.75" customHeight="1">
      <c r="Q1071" s="230"/>
      <c r="R1071" s="230"/>
    </row>
    <row r="1072" spans="17:18" ht="24.75" customHeight="1">
      <c r="Q1072" s="230"/>
      <c r="R1072" s="230"/>
    </row>
    <row r="1073" spans="17:18" ht="24.75" customHeight="1">
      <c r="Q1073" s="230"/>
      <c r="R1073" s="230"/>
    </row>
    <row r="1074" spans="17:18" ht="24.75" customHeight="1">
      <c r="Q1074" s="230"/>
      <c r="R1074" s="230"/>
    </row>
    <row r="1075" spans="17:18" ht="24.75" customHeight="1">
      <c r="Q1075" s="230"/>
      <c r="R1075" s="230"/>
    </row>
    <row r="1076" spans="17:18" ht="24.75" customHeight="1">
      <c r="Q1076" s="230"/>
      <c r="R1076" s="230"/>
    </row>
    <row r="1077" spans="17:18" ht="24.75" customHeight="1">
      <c r="Q1077" s="230"/>
      <c r="R1077" s="230"/>
    </row>
    <row r="1078" spans="17:18" ht="24.75" customHeight="1">
      <c r="Q1078" s="230"/>
      <c r="R1078" s="230"/>
    </row>
    <row r="1079" spans="17:18" ht="24.75" customHeight="1">
      <c r="Q1079" s="230"/>
      <c r="R1079" s="230"/>
    </row>
    <row r="1080" spans="17:18" ht="24.75" customHeight="1">
      <c r="Q1080" s="230"/>
      <c r="R1080" s="230"/>
    </row>
    <row r="1081" spans="17:18" ht="24.75" customHeight="1">
      <c r="Q1081" s="230"/>
      <c r="R1081" s="230"/>
    </row>
    <row r="1082" spans="17:18" ht="24.75" customHeight="1">
      <c r="Q1082" s="230"/>
      <c r="R1082" s="230"/>
    </row>
    <row r="1083" spans="17:18" ht="24.75" customHeight="1">
      <c r="Q1083" s="230"/>
      <c r="R1083" s="230"/>
    </row>
    <row r="1084" spans="17:18" ht="24.75" customHeight="1">
      <c r="Q1084" s="230"/>
      <c r="R1084" s="230"/>
    </row>
    <row r="1085" spans="17:18" ht="24.75" customHeight="1">
      <c r="Q1085" s="230"/>
      <c r="R1085" s="230"/>
    </row>
    <row r="1086" spans="17:18" ht="24.75" customHeight="1">
      <c r="Q1086" s="230"/>
      <c r="R1086" s="230"/>
    </row>
    <row r="1087" spans="17:18" ht="24.75" customHeight="1">
      <c r="Q1087" s="230"/>
      <c r="R1087" s="230"/>
    </row>
    <row r="1088" spans="17:18" ht="24.75" customHeight="1">
      <c r="Q1088" s="230"/>
      <c r="R1088" s="230"/>
    </row>
    <row r="1089" spans="17:18" ht="24.75" customHeight="1">
      <c r="Q1089" s="230"/>
      <c r="R1089" s="230"/>
    </row>
    <row r="1090" spans="17:18" ht="24.75" customHeight="1">
      <c r="Q1090" s="230"/>
      <c r="R1090" s="230"/>
    </row>
    <row r="1091" spans="17:18" ht="24.75" customHeight="1">
      <c r="Q1091" s="230"/>
      <c r="R1091" s="230"/>
    </row>
    <row r="1092" spans="17:18" ht="24.75" customHeight="1">
      <c r="Q1092" s="230"/>
      <c r="R1092" s="230"/>
    </row>
    <row r="1093" spans="17:18" ht="24.75" customHeight="1">
      <c r="Q1093" s="230"/>
      <c r="R1093" s="230"/>
    </row>
    <row r="1094" spans="17:18" ht="24.75" customHeight="1">
      <c r="Q1094" s="230"/>
      <c r="R1094" s="230"/>
    </row>
    <row r="1095" spans="17:18" ht="24.75" customHeight="1">
      <c r="Q1095" s="230"/>
      <c r="R1095" s="230"/>
    </row>
    <row r="1096" spans="17:18" ht="24.75" customHeight="1">
      <c r="Q1096" s="230"/>
      <c r="R1096" s="230"/>
    </row>
    <row r="1097" spans="17:18" ht="24.75" customHeight="1">
      <c r="Q1097" s="230"/>
      <c r="R1097" s="230"/>
    </row>
    <row r="1098" spans="17:18" ht="24.75" customHeight="1">
      <c r="Q1098" s="230"/>
      <c r="R1098" s="230"/>
    </row>
    <row r="1099" spans="17:18" ht="24.75" customHeight="1">
      <c r="Q1099" s="230"/>
      <c r="R1099" s="230"/>
    </row>
    <row r="1100" spans="17:18" ht="24.75" customHeight="1">
      <c r="Q1100" s="230"/>
      <c r="R1100" s="230"/>
    </row>
    <row r="1101" spans="17:18" ht="24.75" customHeight="1">
      <c r="Q1101" s="230"/>
      <c r="R1101" s="230"/>
    </row>
    <row r="1102" spans="17:18" ht="24.75" customHeight="1">
      <c r="Q1102" s="230"/>
      <c r="R1102" s="230"/>
    </row>
    <row r="1103" spans="17:18" ht="24.75" customHeight="1">
      <c r="Q1103" s="230"/>
      <c r="R1103" s="230"/>
    </row>
    <row r="1104" spans="17:18" ht="24.75" customHeight="1">
      <c r="Q1104" s="230"/>
      <c r="R1104" s="230"/>
    </row>
    <row r="1105" spans="17:18" ht="24.75" customHeight="1">
      <c r="Q1105" s="230"/>
      <c r="R1105" s="230"/>
    </row>
    <row r="1106" spans="17:18" ht="24.75" customHeight="1">
      <c r="Q1106" s="230"/>
      <c r="R1106" s="230"/>
    </row>
    <row r="1107" spans="17:18" ht="24.75" customHeight="1">
      <c r="Q1107" s="230"/>
      <c r="R1107" s="230"/>
    </row>
    <row r="1108" spans="17:18" ht="24.75" customHeight="1">
      <c r="Q1108" s="230"/>
      <c r="R1108" s="230"/>
    </row>
    <row r="1109" spans="17:18" ht="24.75" customHeight="1">
      <c r="Q1109" s="230"/>
      <c r="R1109" s="230"/>
    </row>
    <row r="1110" spans="17:18" ht="24.75" customHeight="1">
      <c r="Q1110" s="230"/>
      <c r="R1110" s="230"/>
    </row>
    <row r="1111" spans="17:18" ht="24.75" customHeight="1">
      <c r="Q1111" s="230"/>
      <c r="R1111" s="230"/>
    </row>
    <row r="1112" spans="17:18" ht="24.75" customHeight="1">
      <c r="Q1112" s="230"/>
      <c r="R1112" s="230"/>
    </row>
    <row r="1113" spans="17:18" ht="24.75" customHeight="1">
      <c r="Q1113" s="230"/>
      <c r="R1113" s="230"/>
    </row>
    <row r="1114" spans="17:18" ht="24.75" customHeight="1">
      <c r="Q1114" s="230"/>
      <c r="R1114" s="230"/>
    </row>
    <row r="1115" spans="17:18" ht="24.75" customHeight="1">
      <c r="Q1115" s="230"/>
      <c r="R1115" s="230"/>
    </row>
  </sheetData>
  <conditionalFormatting sqref="D3:D11">
    <cfRule type="duplicateValues" dxfId="41" priority="59"/>
    <cfRule type="duplicateValues" dxfId="40" priority="57"/>
    <cfRule type="duplicateValues" dxfId="39" priority="58"/>
  </conditionalFormatting>
  <conditionalFormatting sqref="D13:D14">
    <cfRule type="duplicateValues" dxfId="38" priority="50"/>
    <cfRule type="duplicateValues" dxfId="37" priority="51"/>
    <cfRule type="duplicateValues" dxfId="36" priority="52"/>
    <cfRule type="duplicateValues" dxfId="35" priority="53"/>
    <cfRule type="duplicateValues" dxfId="34" priority="54"/>
    <cfRule type="duplicateValues" dxfId="33" priority="55"/>
    <cfRule type="duplicateValues" dxfId="32" priority="56"/>
  </conditionalFormatting>
  <conditionalFormatting sqref="F4">
    <cfRule type="duplicateValues" dxfId="31" priority="47"/>
    <cfRule type="duplicateValues" dxfId="30" priority="48"/>
    <cfRule type="duplicateValues" dxfId="29" priority="49"/>
  </conditionalFormatting>
  <conditionalFormatting sqref="F5:F26">
    <cfRule type="duplicateValues" dxfId="28" priority="17"/>
  </conditionalFormatting>
  <conditionalFormatting sqref="F27:F37">
    <cfRule type="duplicateValues" dxfId="27" priority="37"/>
  </conditionalFormatting>
  <conditionalFormatting sqref="G4">
    <cfRule type="duplicateValues" dxfId="26" priority="46"/>
    <cfRule type="duplicateValues" dxfId="25" priority="45"/>
  </conditionalFormatting>
  <conditionalFormatting sqref="G12 G7:G10">
    <cfRule type="duplicateValues" dxfId="24" priority="16"/>
  </conditionalFormatting>
  <conditionalFormatting sqref="I5">
    <cfRule type="duplicateValues" dxfId="23" priority="15"/>
  </conditionalFormatting>
  <conditionalFormatting sqref="I5:I26">
    <cfRule type="duplicateValues" dxfId="22" priority="14"/>
  </conditionalFormatting>
  <conditionalFormatting sqref="I6">
    <cfRule type="duplicateValues" dxfId="21" priority="13"/>
  </conditionalFormatting>
  <conditionalFormatting sqref="I13">
    <cfRule type="duplicateValues" dxfId="20" priority="11"/>
  </conditionalFormatting>
  <conditionalFormatting sqref="I14">
    <cfRule type="duplicateValues" dxfId="19" priority="10"/>
  </conditionalFormatting>
  <conditionalFormatting sqref="I14:I15">
    <cfRule type="duplicateValues" dxfId="18" priority="8"/>
  </conditionalFormatting>
  <conditionalFormatting sqref="I15">
    <cfRule type="duplicateValues" dxfId="17" priority="9"/>
  </conditionalFormatting>
  <conditionalFormatting sqref="I16">
    <cfRule type="duplicateValues" dxfId="16" priority="7"/>
  </conditionalFormatting>
  <conditionalFormatting sqref="I17">
    <cfRule type="duplicateValues" dxfId="15" priority="5"/>
  </conditionalFormatting>
  <conditionalFormatting sqref="I19">
    <cfRule type="duplicateValues" dxfId="14" priority="6"/>
  </conditionalFormatting>
  <conditionalFormatting sqref="I20:I23">
    <cfRule type="duplicateValues" dxfId="13" priority="4"/>
  </conditionalFormatting>
  <conditionalFormatting sqref="I22:I23">
    <cfRule type="duplicateValues" dxfId="12" priority="3"/>
  </conditionalFormatting>
  <conditionalFormatting sqref="I24">
    <cfRule type="duplicateValues" dxfId="11" priority="2"/>
  </conditionalFormatting>
  <conditionalFormatting sqref="I25:I26">
    <cfRule type="duplicateValues" dxfId="10" priority="1"/>
  </conditionalFormatting>
  <conditionalFormatting sqref="I26 I17:I19 I7:I12">
    <cfRule type="duplicateValues" dxfId="9" priority="12"/>
  </conditionalFormatting>
  <conditionalFormatting sqref="I27">
    <cfRule type="duplicateValues" dxfId="8" priority="24"/>
  </conditionalFormatting>
  <conditionalFormatting sqref="I29:I30">
    <cfRule type="duplicateValues" dxfId="7" priority="23"/>
  </conditionalFormatting>
  <conditionalFormatting sqref="I31:I32">
    <cfRule type="duplicateValues" dxfId="6" priority="22"/>
  </conditionalFormatting>
  <conditionalFormatting sqref="I33">
    <cfRule type="duplicateValues" dxfId="5" priority="21"/>
  </conditionalFormatting>
  <conditionalFormatting sqref="I34">
    <cfRule type="duplicateValues" dxfId="4" priority="20"/>
  </conditionalFormatting>
  <conditionalFormatting sqref="I35 I28">
    <cfRule type="duplicateValues" dxfId="3" priority="36"/>
  </conditionalFormatting>
  <conditionalFormatting sqref="I36">
    <cfRule type="duplicateValues" dxfId="2" priority="19"/>
  </conditionalFormatting>
  <dataValidations count="1">
    <dataValidation allowBlank="1" showInputMessage="1" showErrorMessage="1" sqref="C6:C11 B3:D5 D13:E13 E5:E12 K2:K23 K25:K54 P3:P6 E14:E53" xr:uid="{B38E0AF4-2B0D-45D5-9E94-3B39AD3FD761}"/>
  </dataValidations>
  <hyperlinks>
    <hyperlink ref="G8" r:id="rId1" display="Ivanilda Pereira de Souza" xr:uid="{F805596C-E90E-40A7-B833-EA8DB520AD9B}"/>
    <hyperlink ref="I7" r:id="rId2" xr:uid="{9104126F-EC2E-4880-8992-6969685F382A}"/>
    <hyperlink ref="I12" r:id="rId3" xr:uid="{743B5BB4-81AF-4B81-B5C9-E29F1B833454}"/>
    <hyperlink ref="I16" r:id="rId4" xr:uid="{7EE01079-1E3A-4DCC-ABF4-214D04A8D89F}"/>
    <hyperlink ref="I21" r:id="rId5" xr:uid="{AA72944C-E552-482A-82E6-FDBA29B9A520}"/>
    <hyperlink ref="I22" r:id="rId6" xr:uid="{3D56A032-71E0-40C2-A889-A92BF43DCA79}"/>
    <hyperlink ref="I23" r:id="rId7" xr:uid="{C5090DBF-7EF2-4E23-9174-D3CB47CE9AFA}"/>
    <hyperlink ref="I24" r:id="rId8" xr:uid="{A7B6FEF1-7DFF-417C-98B6-F2146000F0B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E6" sqref="E6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319" t="s">
        <v>6086</v>
      </c>
      <c r="B1" s="319"/>
      <c r="C1" s="59"/>
      <c r="D1" s="59"/>
      <c r="E1" s="319" t="s">
        <v>6087</v>
      </c>
      <c r="F1" s="319"/>
    </row>
    <row r="2" spans="1:6">
      <c r="A2" s="60" t="s">
        <v>39</v>
      </c>
      <c r="B2" s="60" t="s">
        <v>6088</v>
      </c>
      <c r="E2" s="58" t="s">
        <v>39</v>
      </c>
      <c r="F2" s="58" t="s">
        <v>6088</v>
      </c>
    </row>
    <row r="3" spans="1:6">
      <c r="A3" s="8" t="s">
        <v>6089</v>
      </c>
      <c r="B3" s="11">
        <v>39</v>
      </c>
      <c r="E3" s="8" t="s">
        <v>6089</v>
      </c>
      <c r="F3" s="11">
        <v>54</v>
      </c>
    </row>
    <row r="4" spans="1:6">
      <c r="A4" s="8" t="s">
        <v>6090</v>
      </c>
      <c r="B4" s="11">
        <v>15</v>
      </c>
      <c r="E4" s="8" t="s">
        <v>6091</v>
      </c>
      <c r="F4" s="11">
        <v>13</v>
      </c>
    </row>
    <row r="5" spans="1:6">
      <c r="A5" s="8" t="s">
        <v>6092</v>
      </c>
      <c r="B5" s="11">
        <v>7</v>
      </c>
      <c r="E5" s="8" t="s">
        <v>6092</v>
      </c>
      <c r="F5" s="11">
        <v>15</v>
      </c>
    </row>
    <row r="6" spans="1:6">
      <c r="A6" s="8" t="s">
        <v>1839</v>
      </c>
      <c r="B6" s="11">
        <v>2</v>
      </c>
      <c r="E6" s="8" t="s">
        <v>1839</v>
      </c>
      <c r="F6" s="11">
        <v>9</v>
      </c>
    </row>
    <row r="7" spans="1:6">
      <c r="A7" s="8" t="s">
        <v>1833</v>
      </c>
      <c r="B7" s="11">
        <v>0</v>
      </c>
      <c r="E7" s="8" t="s">
        <v>1833</v>
      </c>
      <c r="F7" s="11">
        <v>9</v>
      </c>
    </row>
    <row r="8" spans="1:6">
      <c r="A8" s="8" t="s">
        <v>1847</v>
      </c>
      <c r="B8" s="11">
        <v>15</v>
      </c>
      <c r="E8" s="8" t="s">
        <v>1847</v>
      </c>
      <c r="F8" s="11">
        <v>21</v>
      </c>
    </row>
    <row r="9" spans="1:6">
      <c r="A9" s="61" t="s">
        <v>6093</v>
      </c>
      <c r="B9" s="62">
        <f>SUM(B3:B8)</f>
        <v>78</v>
      </c>
      <c r="E9" s="61" t="s">
        <v>6093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/>
  <cols>
    <col min="1" max="1" width="9.140625" style="117"/>
    <col min="2" max="2" width="25.42578125" style="117" bestFit="1" customWidth="1"/>
    <col min="3" max="3" width="8" style="117" customWidth="1"/>
    <col min="4" max="4" width="12.28515625" style="117" customWidth="1"/>
    <col min="5" max="5" width="38.5703125" style="117" customWidth="1"/>
    <col min="6" max="6" width="17" style="117" customWidth="1"/>
    <col min="7" max="7" width="31.5703125" style="117" bestFit="1" customWidth="1"/>
    <col min="8" max="8" width="35.42578125" style="117" customWidth="1"/>
    <col min="9" max="16384" width="9.140625" style="117"/>
  </cols>
  <sheetData>
    <row r="3" spans="2:8" ht="20.25" customHeight="1">
      <c r="B3" s="188" t="s">
        <v>39</v>
      </c>
      <c r="C3" s="188" t="s">
        <v>40</v>
      </c>
      <c r="D3" s="188" t="s">
        <v>43</v>
      </c>
      <c r="E3" s="189" t="s">
        <v>65</v>
      </c>
      <c r="F3" s="189" t="s">
        <v>49</v>
      </c>
      <c r="G3" s="189" t="s">
        <v>88</v>
      </c>
      <c r="H3" s="189" t="s">
        <v>69</v>
      </c>
    </row>
    <row r="4" spans="2:8" ht="20.25" customHeight="1">
      <c r="B4" s="114" t="s">
        <v>978</v>
      </c>
      <c r="C4" s="114">
        <v>2</v>
      </c>
      <c r="D4" s="114" t="s">
        <v>6094</v>
      </c>
      <c r="E4" s="114" t="s">
        <v>6095</v>
      </c>
      <c r="F4" s="114" t="s">
        <v>6096</v>
      </c>
      <c r="G4" s="114" t="s">
        <v>6097</v>
      </c>
      <c r="H4" s="119">
        <v>66528.259999999995</v>
      </c>
    </row>
    <row r="5" spans="2:8" ht="20.25" customHeight="1">
      <c r="B5" s="114" t="s">
        <v>978</v>
      </c>
      <c r="C5" s="114">
        <v>2</v>
      </c>
      <c r="D5" s="114" t="s">
        <v>6098</v>
      </c>
      <c r="E5" s="114" t="s">
        <v>6099</v>
      </c>
      <c r="F5" s="114" t="s">
        <v>6100</v>
      </c>
      <c r="G5" s="114" t="s">
        <v>6097</v>
      </c>
      <c r="H5" s="119">
        <v>60000</v>
      </c>
    </row>
    <row r="6" spans="2:8" ht="20.25" customHeight="1">
      <c r="B6" s="114" t="s">
        <v>978</v>
      </c>
      <c r="C6" s="114">
        <v>2</v>
      </c>
      <c r="D6" s="114" t="s">
        <v>6101</v>
      </c>
      <c r="E6" s="114" t="s">
        <v>6099</v>
      </c>
      <c r="F6" s="114" t="s">
        <v>6100</v>
      </c>
      <c r="G6" s="114" t="s">
        <v>6097</v>
      </c>
      <c r="H6" s="119">
        <v>60000</v>
      </c>
    </row>
    <row r="7" spans="2:8" ht="20.25" customHeight="1">
      <c r="B7" s="114" t="s">
        <v>978</v>
      </c>
      <c r="C7" s="114">
        <v>2</v>
      </c>
      <c r="D7" s="114" t="s">
        <v>6102</v>
      </c>
      <c r="E7" s="114" t="s">
        <v>6103</v>
      </c>
      <c r="F7" s="114" t="s">
        <v>6104</v>
      </c>
      <c r="G7" s="114" t="s">
        <v>6097</v>
      </c>
      <c r="H7" s="119">
        <v>71112.509999999995</v>
      </c>
    </row>
    <row r="8" spans="2:8" ht="20.25" customHeight="1">
      <c r="B8" s="114" t="s">
        <v>978</v>
      </c>
      <c r="C8" s="114">
        <v>2</v>
      </c>
      <c r="D8" s="114" t="s">
        <v>6105</v>
      </c>
      <c r="E8" s="114" t="s">
        <v>6106</v>
      </c>
      <c r="F8" s="114" t="s">
        <v>6107</v>
      </c>
      <c r="G8" s="114" t="s">
        <v>6097</v>
      </c>
      <c r="H8" s="185">
        <v>100370.59</v>
      </c>
    </row>
    <row r="9" spans="2:8" ht="20.25" customHeight="1">
      <c r="B9" s="114" t="s">
        <v>978</v>
      </c>
      <c r="C9" s="114">
        <v>2</v>
      </c>
      <c r="D9" s="114" t="s">
        <v>6108</v>
      </c>
      <c r="E9" s="114" t="s">
        <v>6109</v>
      </c>
      <c r="F9" s="114" t="s">
        <v>6110</v>
      </c>
      <c r="G9" s="114" t="s">
        <v>6097</v>
      </c>
      <c r="H9" s="119">
        <v>60000</v>
      </c>
    </row>
    <row r="10" spans="2:8" ht="20.25" customHeight="1">
      <c r="B10" s="114" t="s">
        <v>978</v>
      </c>
      <c r="C10" s="114">
        <v>2</v>
      </c>
      <c r="D10" s="116" t="s">
        <v>6111</v>
      </c>
      <c r="E10" s="116" t="s">
        <v>6112</v>
      </c>
      <c r="F10" s="114" t="s">
        <v>6113</v>
      </c>
      <c r="G10" s="114" t="s">
        <v>6097</v>
      </c>
      <c r="H10" s="119">
        <v>60000</v>
      </c>
    </row>
    <row r="11" spans="2:8" ht="20.25" customHeight="1">
      <c r="B11" s="114" t="s">
        <v>978</v>
      </c>
      <c r="C11" s="114">
        <v>2</v>
      </c>
      <c r="D11" s="114" t="s">
        <v>6114</v>
      </c>
      <c r="E11" s="114" t="s">
        <v>6115</v>
      </c>
      <c r="F11" s="114" t="s">
        <v>101</v>
      </c>
      <c r="G11" s="114" t="s">
        <v>6097</v>
      </c>
      <c r="H11" s="119">
        <v>60000</v>
      </c>
    </row>
    <row r="12" spans="2:8" ht="20.25" customHeight="1">
      <c r="B12" s="114" t="s">
        <v>978</v>
      </c>
      <c r="C12" s="114">
        <v>2</v>
      </c>
      <c r="D12" s="114" t="s">
        <v>966</v>
      </c>
      <c r="E12" s="114" t="s">
        <v>6116</v>
      </c>
      <c r="F12" s="114" t="s">
        <v>6117</v>
      </c>
      <c r="G12" s="114" t="s">
        <v>6097</v>
      </c>
      <c r="H12" s="119">
        <v>87351.82</v>
      </c>
    </row>
    <row r="13" spans="2:8" ht="20.25" customHeight="1">
      <c r="B13" s="114" t="s">
        <v>978</v>
      </c>
      <c r="C13" s="114">
        <v>2</v>
      </c>
      <c r="D13" s="114" t="s">
        <v>6118</v>
      </c>
      <c r="E13" s="114" t="s">
        <v>6119</v>
      </c>
      <c r="F13" s="114" t="s">
        <v>6120</v>
      </c>
      <c r="G13" s="114" t="s">
        <v>6097</v>
      </c>
      <c r="H13" s="119">
        <v>56418.89</v>
      </c>
    </row>
    <row r="14" spans="2:8" ht="20.25" customHeight="1">
      <c r="B14" s="114" t="s">
        <v>978</v>
      </c>
      <c r="C14" s="114">
        <v>2</v>
      </c>
      <c r="D14" s="114" t="s">
        <v>6121</v>
      </c>
      <c r="E14" s="114" t="s">
        <v>6122</v>
      </c>
      <c r="F14" s="114" t="s">
        <v>6120</v>
      </c>
      <c r="G14" s="114" t="s">
        <v>6097</v>
      </c>
      <c r="H14" s="119">
        <v>60000</v>
      </c>
    </row>
    <row r="15" spans="2:8" ht="20.25" customHeight="1">
      <c r="B15" s="114" t="s">
        <v>978</v>
      </c>
      <c r="C15" s="114">
        <v>4</v>
      </c>
      <c r="D15" s="114" t="s">
        <v>1304</v>
      </c>
      <c r="E15" s="116" t="s">
        <v>6123</v>
      </c>
      <c r="F15" s="116" t="s">
        <v>6124</v>
      </c>
      <c r="G15" s="114" t="s">
        <v>6097</v>
      </c>
      <c r="H15" s="119">
        <v>60000</v>
      </c>
    </row>
    <row r="16" spans="2:8" ht="20.25" customHeight="1">
      <c r="B16" s="114" t="s">
        <v>978</v>
      </c>
      <c r="C16" s="114">
        <v>4</v>
      </c>
      <c r="D16" s="114" t="s">
        <v>1460</v>
      </c>
      <c r="E16" s="114" t="s">
        <v>6125</v>
      </c>
      <c r="F16" s="114" t="s">
        <v>6126</v>
      </c>
      <c r="G16" s="114" t="s">
        <v>6097</v>
      </c>
      <c r="H16" s="119">
        <v>60000</v>
      </c>
    </row>
    <row r="17" spans="2:8" ht="20.25" customHeight="1">
      <c r="B17" s="114" t="s">
        <v>978</v>
      </c>
      <c r="C17" s="114">
        <v>4</v>
      </c>
      <c r="D17" s="114" t="s">
        <v>1465</v>
      </c>
      <c r="E17" s="114" t="s">
        <v>6127</v>
      </c>
      <c r="F17" s="114" t="s">
        <v>101</v>
      </c>
      <c r="G17" s="114" t="s">
        <v>6097</v>
      </c>
      <c r="H17" s="119">
        <v>60000</v>
      </c>
    </row>
    <row r="18" spans="2:8" ht="20.25" customHeight="1">
      <c r="B18" s="186"/>
      <c r="C18" s="186"/>
      <c r="D18" s="187"/>
      <c r="E18" s="115"/>
      <c r="F18" s="115"/>
      <c r="G18" s="115"/>
      <c r="H18" s="115"/>
    </row>
    <row r="19" spans="2:8" ht="20.25" customHeight="1">
      <c r="B19" s="139"/>
      <c r="C19" s="139"/>
      <c r="D19" s="140"/>
      <c r="E19" s="114"/>
      <c r="F19" s="114"/>
      <c r="G19" s="114"/>
      <c r="H19" s="114"/>
    </row>
    <row r="20" spans="2:8" ht="20.25" customHeight="1">
      <c r="B20" s="118"/>
      <c r="C20" s="118"/>
      <c r="D20" s="118"/>
      <c r="E20" s="118"/>
      <c r="F20" s="118"/>
      <c r="G20" s="118"/>
      <c r="H20" s="118"/>
    </row>
    <row r="21" spans="2:8" ht="20.25" customHeight="1">
      <c r="B21" s="118"/>
      <c r="C21" s="118"/>
      <c r="D21" s="118"/>
      <c r="E21" s="118"/>
      <c r="F21" s="118"/>
      <c r="G21" s="118"/>
      <c r="H21" s="118"/>
    </row>
    <row r="22" spans="2:8" ht="20.25" customHeight="1">
      <c r="B22" s="118"/>
      <c r="C22" s="118"/>
      <c r="D22" s="118"/>
      <c r="E22" s="118"/>
      <c r="F22" s="118"/>
      <c r="G22" s="118"/>
      <c r="H22" s="118"/>
    </row>
    <row r="23" spans="2:8" ht="20.25" customHeight="1">
      <c r="B23" s="114" t="s">
        <v>978</v>
      </c>
      <c r="C23" s="114">
        <v>2</v>
      </c>
      <c r="D23" s="114" t="s">
        <v>6118</v>
      </c>
      <c r="E23" s="114" t="s">
        <v>6119</v>
      </c>
      <c r="F23" s="114" t="s">
        <v>6120</v>
      </c>
      <c r="G23" s="114" t="s">
        <v>28</v>
      </c>
      <c r="H23" s="114"/>
    </row>
    <row r="24" spans="2:8" ht="20.25" customHeight="1">
      <c r="B24" s="114" t="s">
        <v>978</v>
      </c>
      <c r="C24" s="114">
        <v>2</v>
      </c>
      <c r="D24" s="114" t="s">
        <v>6128</v>
      </c>
      <c r="E24" s="114" t="s">
        <v>6129</v>
      </c>
      <c r="F24" s="114" t="s">
        <v>6130</v>
      </c>
      <c r="G24" s="114" t="s">
        <v>28</v>
      </c>
      <c r="H24" s="114"/>
    </row>
    <row r="25" spans="2:8" ht="20.25" customHeight="1">
      <c r="B25" s="114" t="s">
        <v>978</v>
      </c>
      <c r="C25" s="114">
        <v>2</v>
      </c>
      <c r="D25" s="114" t="s">
        <v>6131</v>
      </c>
      <c r="E25" s="114" t="s">
        <v>175</v>
      </c>
      <c r="F25" s="114" t="s">
        <v>175</v>
      </c>
      <c r="G25" s="114" t="s">
        <v>28</v>
      </c>
      <c r="H25" s="114"/>
    </row>
    <row r="26" spans="2:8" ht="20.25" customHeight="1">
      <c r="B26" s="114" t="s">
        <v>978</v>
      </c>
      <c r="C26" s="114">
        <v>2</v>
      </c>
      <c r="D26" s="114" t="s">
        <v>6121</v>
      </c>
      <c r="E26" s="114" t="s">
        <v>6122</v>
      </c>
      <c r="F26" s="114" t="s">
        <v>6120</v>
      </c>
      <c r="G26" s="114" t="s">
        <v>28</v>
      </c>
      <c r="H26" s="114"/>
    </row>
    <row r="27" spans="2:8" ht="20.25" customHeight="1">
      <c r="B27" s="118" t="s">
        <v>978</v>
      </c>
      <c r="C27" s="118">
        <v>2</v>
      </c>
      <c r="D27" s="118" t="s">
        <v>6132</v>
      </c>
      <c r="E27" s="118" t="s">
        <v>6133</v>
      </c>
      <c r="F27" s="118" t="s">
        <v>6134</v>
      </c>
      <c r="G27" s="118" t="s">
        <v>6135</v>
      </c>
      <c r="H27" s="118"/>
    </row>
    <row r="28" spans="2:8" ht="20.25" customHeight="1">
      <c r="B28" s="114" t="s">
        <v>978</v>
      </c>
      <c r="C28" s="114">
        <v>2</v>
      </c>
      <c r="D28" s="114" t="s">
        <v>6136</v>
      </c>
      <c r="E28" s="114" t="s">
        <v>6137</v>
      </c>
      <c r="F28" s="114" t="s">
        <v>6138</v>
      </c>
      <c r="G28" s="114" t="s">
        <v>17</v>
      </c>
      <c r="H28" s="114"/>
    </row>
    <row r="29" spans="2:8" ht="20.25" customHeight="1">
      <c r="B29" s="114" t="s">
        <v>978</v>
      </c>
      <c r="C29" s="114">
        <v>2</v>
      </c>
      <c r="D29" s="114" t="s">
        <v>6139</v>
      </c>
      <c r="E29" s="114" t="s">
        <v>6140</v>
      </c>
      <c r="F29" s="114" t="s">
        <v>6141</v>
      </c>
      <c r="G29" s="114" t="s">
        <v>28</v>
      </c>
      <c r="H29" s="114"/>
    </row>
    <row r="30" spans="2:8" ht="20.25" customHeight="1">
      <c r="B30" s="114" t="s">
        <v>978</v>
      </c>
      <c r="C30" s="114">
        <v>2</v>
      </c>
      <c r="D30" s="114" t="s">
        <v>6142</v>
      </c>
      <c r="E30" s="114" t="s">
        <v>6143</v>
      </c>
      <c r="F30" s="114" t="s">
        <v>6144</v>
      </c>
      <c r="G30" s="116" t="s">
        <v>28</v>
      </c>
      <c r="H30" s="116"/>
    </row>
    <row r="31" spans="2:8" ht="20.25" customHeight="1">
      <c r="B31" s="114" t="s">
        <v>978</v>
      </c>
      <c r="C31" s="114">
        <v>2</v>
      </c>
      <c r="D31" s="114" t="s">
        <v>6145</v>
      </c>
      <c r="E31" s="116" t="s">
        <v>6115</v>
      </c>
      <c r="F31" s="114" t="s">
        <v>24</v>
      </c>
      <c r="G31" s="119" t="s">
        <v>6115</v>
      </c>
      <c r="H31" s="119"/>
    </row>
    <row r="32" spans="2:8" ht="20.25" customHeight="1">
      <c r="B32" s="114" t="s">
        <v>978</v>
      </c>
      <c r="C32" s="114">
        <v>2</v>
      </c>
      <c r="D32" s="114" t="s">
        <v>1248</v>
      </c>
      <c r="E32" s="114" t="s">
        <v>175</v>
      </c>
      <c r="F32" s="114" t="s">
        <v>175</v>
      </c>
      <c r="G32" s="119" t="s">
        <v>6115</v>
      </c>
      <c r="H32" s="119"/>
    </row>
    <row r="33" spans="2:8" ht="20.25" customHeight="1">
      <c r="B33" s="114" t="s">
        <v>978</v>
      </c>
      <c r="C33" s="114">
        <v>2</v>
      </c>
      <c r="D33" s="114" t="s">
        <v>1268</v>
      </c>
      <c r="E33" s="114" t="s">
        <v>175</v>
      </c>
      <c r="F33" s="114" t="s">
        <v>175</v>
      </c>
      <c r="G33" s="119" t="s">
        <v>6115</v>
      </c>
      <c r="H33" s="119"/>
    </row>
  </sheetData>
  <conditionalFormatting sqref="D4:D17">
    <cfRule type="duplicateValues" dxfId="1" priority="1"/>
  </conditionalFormatting>
  <conditionalFormatting sqref="D18:D19">
    <cfRule type="duplicateValues" dxfId="0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>
      <c r="C6" s="293" t="s">
        <v>38</v>
      </c>
      <c r="D6" s="294" t="s">
        <v>43</v>
      </c>
      <c r="E6" s="295" t="s">
        <v>85</v>
      </c>
      <c r="F6" s="295" t="s">
        <v>86</v>
      </c>
      <c r="G6" s="295" t="s">
        <v>87</v>
      </c>
    </row>
    <row r="7" spans="3:7" ht="20.25" customHeight="1">
      <c r="C7" s="176">
        <v>1</v>
      </c>
      <c r="D7" s="175" t="s">
        <v>6146</v>
      </c>
      <c r="E7" s="173">
        <v>45068</v>
      </c>
      <c r="F7" s="173" t="s">
        <v>33</v>
      </c>
      <c r="G7" s="296" t="s">
        <v>115</v>
      </c>
    </row>
    <row r="8" spans="3:7" ht="20.25" customHeight="1">
      <c r="C8" s="176">
        <v>2</v>
      </c>
      <c r="D8" s="175" t="s">
        <v>1068</v>
      </c>
      <c r="E8" s="173">
        <v>45068</v>
      </c>
      <c r="F8" s="173" t="s">
        <v>33</v>
      </c>
      <c r="G8" s="296" t="s">
        <v>115</v>
      </c>
    </row>
    <row r="9" spans="3:7" ht="20.25" customHeight="1">
      <c r="C9" s="176">
        <v>3</v>
      </c>
      <c r="D9" s="175" t="s">
        <v>951</v>
      </c>
      <c r="E9" s="297">
        <v>45068</v>
      </c>
      <c r="F9" s="297">
        <v>44894</v>
      </c>
      <c r="G9" s="296" t="s">
        <v>31</v>
      </c>
    </row>
    <row r="10" spans="3:7" ht="20.25" customHeight="1">
      <c r="C10" s="176">
        <v>4</v>
      </c>
      <c r="D10" s="175" t="s">
        <v>1104</v>
      </c>
      <c r="E10" s="297">
        <v>45068</v>
      </c>
      <c r="F10" s="173" t="s">
        <v>33</v>
      </c>
      <c r="G10" s="296" t="s">
        <v>115</v>
      </c>
    </row>
    <row r="11" spans="3:7" ht="20.25" customHeight="1">
      <c r="C11" s="176">
        <v>5</v>
      </c>
      <c r="D11" s="175" t="s">
        <v>6147</v>
      </c>
      <c r="E11" s="173">
        <v>45065</v>
      </c>
      <c r="F11" s="173" t="s">
        <v>33</v>
      </c>
      <c r="G11" s="296" t="s">
        <v>115</v>
      </c>
    </row>
    <row r="12" spans="3:7" ht="20.25" customHeight="1">
      <c r="C12" s="176">
        <v>6</v>
      </c>
      <c r="D12" s="175" t="s">
        <v>1355</v>
      </c>
      <c r="E12" s="173">
        <v>45065</v>
      </c>
      <c r="F12" s="173" t="s">
        <v>33</v>
      </c>
      <c r="G12" s="296" t="s">
        <v>115</v>
      </c>
    </row>
    <row r="13" spans="3:7" ht="20.25" customHeight="1">
      <c r="C13" s="176">
        <v>7</v>
      </c>
      <c r="D13" s="175" t="s">
        <v>1070</v>
      </c>
      <c r="E13" s="173">
        <v>45065</v>
      </c>
      <c r="F13" s="173" t="s">
        <v>33</v>
      </c>
      <c r="G13" s="296" t="s">
        <v>115</v>
      </c>
    </row>
    <row r="14" spans="3:7" ht="20.25" customHeight="1">
      <c r="C14" s="176">
        <v>8</v>
      </c>
      <c r="D14" s="175" t="s">
        <v>946</v>
      </c>
      <c r="E14" s="173">
        <v>45065</v>
      </c>
      <c r="F14" s="173">
        <v>44526</v>
      </c>
      <c r="G14" s="172" t="s">
        <v>30</v>
      </c>
    </row>
    <row r="15" spans="3:7" ht="20.25" customHeight="1">
      <c r="C15" s="176">
        <v>9</v>
      </c>
      <c r="D15" s="175" t="s">
        <v>976</v>
      </c>
      <c r="E15" s="173">
        <v>45065</v>
      </c>
      <c r="F15" s="173">
        <v>44642</v>
      </c>
      <c r="G15" s="172" t="s">
        <v>30</v>
      </c>
    </row>
    <row r="16" spans="3:7" ht="20.25" customHeight="1">
      <c r="C16" s="176">
        <v>10</v>
      </c>
      <c r="D16" s="175" t="s">
        <v>998</v>
      </c>
      <c r="E16" s="173">
        <v>45065</v>
      </c>
      <c r="F16" s="297">
        <v>44694</v>
      </c>
      <c r="G16" s="172" t="s">
        <v>31</v>
      </c>
    </row>
    <row r="17" spans="3:7" ht="20.25" customHeight="1">
      <c r="C17" s="176">
        <v>11</v>
      </c>
      <c r="D17" s="175" t="s">
        <v>1094</v>
      </c>
      <c r="E17" s="173">
        <v>45065</v>
      </c>
      <c r="F17" s="173" t="s">
        <v>33</v>
      </c>
      <c r="G17" s="296" t="s">
        <v>115</v>
      </c>
    </row>
    <row r="18" spans="3:7" ht="20.25" customHeight="1">
      <c r="C18" s="176">
        <v>12</v>
      </c>
      <c r="D18" s="175" t="s">
        <v>1523</v>
      </c>
      <c r="E18" s="173">
        <v>45065</v>
      </c>
      <c r="F18" s="297">
        <v>44659</v>
      </c>
      <c r="G18" s="172" t="s">
        <v>31</v>
      </c>
    </row>
    <row r="19" spans="3:7" ht="20.25" customHeight="1">
      <c r="C19" s="176">
        <v>13</v>
      </c>
      <c r="D19" s="175" t="s">
        <v>6148</v>
      </c>
      <c r="E19" s="173">
        <v>45064</v>
      </c>
      <c r="F19" s="173" t="s">
        <v>33</v>
      </c>
      <c r="G19" s="296" t="s">
        <v>115</v>
      </c>
    </row>
    <row r="20" spans="3:7" ht="20.25" customHeight="1">
      <c r="C20" s="176">
        <v>14</v>
      </c>
      <c r="D20" s="175" t="s">
        <v>6149</v>
      </c>
      <c r="E20" s="173">
        <v>45064</v>
      </c>
      <c r="F20" s="173" t="s">
        <v>33</v>
      </c>
      <c r="G20" s="296" t="s">
        <v>115</v>
      </c>
    </row>
    <row r="21" spans="3:7" ht="20.25" customHeight="1">
      <c r="C21" s="176">
        <v>15</v>
      </c>
      <c r="D21" s="175" t="s">
        <v>1314</v>
      </c>
      <c r="E21" s="173">
        <v>45064</v>
      </c>
      <c r="F21" s="173" t="s">
        <v>33</v>
      </c>
      <c r="G21" s="296" t="s">
        <v>115</v>
      </c>
    </row>
    <row r="22" spans="3:7" ht="20.25" customHeight="1">
      <c r="C22" s="176">
        <v>16</v>
      </c>
      <c r="D22" s="175" t="s">
        <v>1316</v>
      </c>
      <c r="E22" s="173">
        <v>45064</v>
      </c>
      <c r="F22" s="173" t="s">
        <v>33</v>
      </c>
      <c r="G22" s="296" t="s">
        <v>115</v>
      </c>
    </row>
    <row r="23" spans="3:7" ht="20.25" customHeight="1">
      <c r="C23" s="176">
        <v>17</v>
      </c>
      <c r="D23" s="175" t="s">
        <v>1343</v>
      </c>
      <c r="E23" s="173">
        <v>45064</v>
      </c>
      <c r="F23" s="173">
        <v>44859</v>
      </c>
      <c r="G23" s="172" t="s">
        <v>30</v>
      </c>
    </row>
    <row r="24" spans="3:7" ht="20.25" customHeight="1">
      <c r="C24" s="176">
        <v>18</v>
      </c>
      <c r="D24" s="175" t="s">
        <v>1062</v>
      </c>
      <c r="E24" s="173">
        <v>45064</v>
      </c>
      <c r="F24" s="173" t="s">
        <v>33</v>
      </c>
      <c r="G24" s="296" t="s">
        <v>115</v>
      </c>
    </row>
    <row r="25" spans="3:7" ht="20.25" customHeight="1">
      <c r="C25" s="176">
        <v>19</v>
      </c>
      <c r="D25" s="175" t="s">
        <v>1066</v>
      </c>
      <c r="E25" s="173">
        <v>45064</v>
      </c>
      <c r="F25" s="173" t="s">
        <v>33</v>
      </c>
      <c r="G25" s="296" t="s">
        <v>115</v>
      </c>
    </row>
    <row r="26" spans="3:7" ht="20.25" customHeight="1">
      <c r="C26" s="176">
        <v>20</v>
      </c>
      <c r="D26" s="175" t="s">
        <v>963</v>
      </c>
      <c r="E26" s="173">
        <v>45064</v>
      </c>
      <c r="F26" s="297">
        <v>44643</v>
      </c>
      <c r="G26" s="172" t="s">
        <v>31</v>
      </c>
    </row>
    <row r="27" spans="3:7" ht="20.25" customHeight="1">
      <c r="C27" s="176">
        <v>21</v>
      </c>
      <c r="D27" s="175" t="s">
        <v>1592</v>
      </c>
      <c r="E27" s="173">
        <v>45064</v>
      </c>
      <c r="F27" s="297">
        <v>44638</v>
      </c>
      <c r="G27" s="172" t="s">
        <v>31</v>
      </c>
    </row>
    <row r="28" spans="3:7" ht="20.25" customHeight="1">
      <c r="C28" s="176">
        <v>22</v>
      </c>
      <c r="D28" s="175" t="s">
        <v>1116</v>
      </c>
      <c r="E28" s="173">
        <v>45064</v>
      </c>
      <c r="F28" s="173" t="s">
        <v>33</v>
      </c>
      <c r="G28" s="296" t="s">
        <v>115</v>
      </c>
    </row>
    <row r="29" spans="3:7" ht="20.25" customHeight="1">
      <c r="C29" s="176">
        <v>23</v>
      </c>
      <c r="D29" s="175" t="s">
        <v>1118</v>
      </c>
      <c r="E29" s="173">
        <v>45064</v>
      </c>
      <c r="F29" s="173" t="s">
        <v>33</v>
      </c>
      <c r="G29" s="296" t="s">
        <v>115</v>
      </c>
    </row>
    <row r="30" spans="3:7" ht="20.25" customHeight="1">
      <c r="C30" s="176">
        <v>24</v>
      </c>
      <c r="D30" s="175" t="s">
        <v>1710</v>
      </c>
      <c r="E30" s="173">
        <v>45064</v>
      </c>
      <c r="F30" s="173" t="s">
        <v>33</v>
      </c>
      <c r="G30" s="296" t="s">
        <v>115</v>
      </c>
    </row>
    <row r="31" spans="3:7" ht="20.25" customHeight="1">
      <c r="C31" s="176">
        <v>25</v>
      </c>
      <c r="D31" s="175" t="s">
        <v>6150</v>
      </c>
      <c r="E31" s="173">
        <v>45063</v>
      </c>
      <c r="F31" s="173" t="s">
        <v>33</v>
      </c>
      <c r="G31" s="296" t="s">
        <v>115</v>
      </c>
    </row>
    <row r="32" spans="3:7" ht="20.25" customHeight="1">
      <c r="C32" s="176">
        <v>26</v>
      </c>
      <c r="D32" s="175" t="s">
        <v>6151</v>
      </c>
      <c r="E32" s="173">
        <v>45063</v>
      </c>
      <c r="F32" s="173" t="s">
        <v>33</v>
      </c>
      <c r="G32" s="296" t="s">
        <v>115</v>
      </c>
    </row>
    <row r="33" spans="3:7" ht="20.25" customHeight="1">
      <c r="C33" s="176">
        <v>27</v>
      </c>
      <c r="D33" s="175" t="s">
        <v>6152</v>
      </c>
      <c r="E33" s="173">
        <v>45063</v>
      </c>
      <c r="F33" s="173" t="s">
        <v>33</v>
      </c>
      <c r="G33" s="296" t="s">
        <v>115</v>
      </c>
    </row>
    <row r="34" spans="3:7" ht="20.25" customHeight="1">
      <c r="C34" s="176">
        <v>28</v>
      </c>
      <c r="D34" s="175" t="s">
        <v>6153</v>
      </c>
      <c r="E34" s="173">
        <v>45063</v>
      </c>
      <c r="F34" s="173" t="s">
        <v>33</v>
      </c>
      <c r="G34" s="296" t="s">
        <v>115</v>
      </c>
    </row>
    <row r="35" spans="3:7" ht="20.25" customHeight="1">
      <c r="C35" s="176">
        <v>29</v>
      </c>
      <c r="D35" s="175" t="s">
        <v>6154</v>
      </c>
      <c r="E35" s="173">
        <v>45063</v>
      </c>
      <c r="F35" s="173" t="s">
        <v>33</v>
      </c>
      <c r="G35" s="296" t="s">
        <v>115</v>
      </c>
    </row>
    <row r="36" spans="3:7" ht="20.25" customHeight="1">
      <c r="C36" s="176">
        <v>30</v>
      </c>
      <c r="D36" s="175" t="s">
        <v>6155</v>
      </c>
      <c r="E36" s="173">
        <v>45063</v>
      </c>
      <c r="F36" s="173" t="s">
        <v>33</v>
      </c>
      <c r="G36" s="296" t="s">
        <v>115</v>
      </c>
    </row>
    <row r="37" spans="3:7" ht="20.25" customHeight="1">
      <c r="C37" s="176">
        <v>31</v>
      </c>
      <c r="D37" s="175" t="s">
        <v>6156</v>
      </c>
      <c r="E37" s="173">
        <v>45063</v>
      </c>
      <c r="F37" s="173" t="s">
        <v>33</v>
      </c>
      <c r="G37" s="296" t="s">
        <v>115</v>
      </c>
    </row>
    <row r="38" spans="3:7" ht="20.25" customHeight="1">
      <c r="C38" s="176">
        <v>32</v>
      </c>
      <c r="D38" s="175" t="s">
        <v>1003</v>
      </c>
      <c r="E38" s="173">
        <v>45063</v>
      </c>
      <c r="F38" s="297">
        <v>44655</v>
      </c>
      <c r="G38" s="172" t="s">
        <v>31</v>
      </c>
    </row>
    <row r="39" spans="3:7" ht="20.25" customHeight="1">
      <c r="C39" s="176">
        <v>33</v>
      </c>
      <c r="D39" s="175" t="s">
        <v>975</v>
      </c>
      <c r="E39" s="173">
        <v>45063</v>
      </c>
      <c r="F39" s="297">
        <v>44659</v>
      </c>
      <c r="G39" s="172" t="s">
        <v>31</v>
      </c>
    </row>
    <row r="40" spans="3:7" ht="20.25" customHeight="1">
      <c r="C40" s="176">
        <v>34</v>
      </c>
      <c r="D40" s="175" t="s">
        <v>1556</v>
      </c>
      <c r="E40" s="173">
        <v>45063</v>
      </c>
      <c r="F40" s="173" t="s">
        <v>33</v>
      </c>
      <c r="G40" s="296" t="s">
        <v>115</v>
      </c>
    </row>
    <row r="41" spans="3:7" ht="20.25" customHeight="1">
      <c r="C41" s="176">
        <v>35</v>
      </c>
      <c r="D41" s="175" t="s">
        <v>1557</v>
      </c>
      <c r="E41" s="173">
        <v>45063</v>
      </c>
      <c r="F41" s="297">
        <v>44642</v>
      </c>
      <c r="G41" s="296" t="s">
        <v>31</v>
      </c>
    </row>
    <row r="42" spans="3:7" ht="20.25" customHeight="1">
      <c r="C42" s="176">
        <v>36</v>
      </c>
      <c r="D42" s="175" t="s">
        <v>1009</v>
      </c>
      <c r="E42" s="173">
        <v>45063</v>
      </c>
      <c r="F42" s="297">
        <v>44638</v>
      </c>
      <c r="G42" s="296" t="s">
        <v>31</v>
      </c>
    </row>
    <row r="43" spans="3:7" ht="20.25" customHeight="1">
      <c r="C43" s="176">
        <v>37</v>
      </c>
      <c r="D43" s="175" t="s">
        <v>1580</v>
      </c>
      <c r="E43" s="173">
        <v>45063</v>
      </c>
      <c r="F43" s="173" t="s">
        <v>33</v>
      </c>
      <c r="G43" s="296" t="s">
        <v>115</v>
      </c>
    </row>
    <row r="44" spans="3:7" ht="20.25" customHeight="1">
      <c r="C44" s="176">
        <v>38</v>
      </c>
      <c r="D44" s="298" t="s">
        <v>1581</v>
      </c>
      <c r="E44" s="173">
        <v>45063</v>
      </c>
      <c r="F44" s="173" t="s">
        <v>33</v>
      </c>
      <c r="G44" s="296" t="s">
        <v>115</v>
      </c>
    </row>
    <row r="45" spans="3:7" ht="20.25" customHeight="1">
      <c r="C45" s="176">
        <v>39</v>
      </c>
      <c r="D45" s="175" t="s">
        <v>1102</v>
      </c>
      <c r="E45" s="173">
        <v>45063</v>
      </c>
      <c r="F45" s="173" t="s">
        <v>33</v>
      </c>
      <c r="G45" s="296" t="s">
        <v>115</v>
      </c>
    </row>
    <row r="46" spans="3:7" ht="20.25" customHeight="1">
      <c r="C46" s="176">
        <v>40</v>
      </c>
      <c r="D46" s="175" t="s">
        <v>1108</v>
      </c>
      <c r="E46" s="173">
        <v>45063</v>
      </c>
      <c r="F46" s="173" t="s">
        <v>33</v>
      </c>
      <c r="G46" s="296" t="s">
        <v>115</v>
      </c>
    </row>
    <row r="47" spans="3:7" ht="20.25" customHeight="1">
      <c r="C47" s="176">
        <v>41</v>
      </c>
      <c r="D47" s="175" t="s">
        <v>6157</v>
      </c>
      <c r="E47" s="174">
        <v>45054</v>
      </c>
      <c r="F47" s="173" t="s">
        <v>33</v>
      </c>
      <c r="G47" s="296" t="s">
        <v>115</v>
      </c>
    </row>
    <row r="48" spans="3:7" ht="20.25" customHeight="1">
      <c r="C48" s="176">
        <v>42</v>
      </c>
      <c r="D48" s="175" t="s">
        <v>1378</v>
      </c>
      <c r="E48" s="173">
        <v>45051</v>
      </c>
      <c r="F48" s="173" t="s">
        <v>33</v>
      </c>
      <c r="G48" s="296" t="s">
        <v>115</v>
      </c>
    </row>
    <row r="49" spans="4:4" ht="20.25" customHeight="1">
      <c r="D49" s="161"/>
    </row>
    <row r="50" spans="4:4" ht="20.25" customHeight="1">
      <c r="D50" s="141"/>
    </row>
    <row r="51" spans="4:4" ht="20.25" customHeight="1">
      <c r="D51" s="141"/>
    </row>
    <row r="52" spans="4:4" ht="20.25" customHeight="1">
      <c r="D52" s="141"/>
    </row>
    <row r="53" spans="4:4" ht="20.25" customHeight="1">
      <c r="D53" s="141"/>
    </row>
    <row r="54" spans="4:4" ht="20.25" customHeight="1">
      <c r="D54" s="154"/>
    </row>
    <row r="55" spans="4:4" ht="20.25" customHeight="1">
      <c r="D55" s="138"/>
    </row>
    <row r="56" spans="4:4" ht="20.25" customHeight="1">
      <c r="D56" s="141"/>
    </row>
    <row r="57" spans="4:4" ht="20.25" customHeight="1">
      <c r="D57" s="159"/>
    </row>
    <row r="58" spans="4:4" ht="20.25" customHeight="1">
      <c r="D58" s="138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F98"/>
  <sheetViews>
    <sheetView workbookViewId="0">
      <selection activeCell="B5" sqref="B5"/>
    </sheetView>
  </sheetViews>
  <sheetFormatPr defaultRowHeight="20.25" customHeight="1"/>
  <cols>
    <col min="1" max="3" width="9.140625" style="190"/>
    <col min="4" max="4" width="29.28515625" style="190" bestFit="1" customWidth="1"/>
    <col min="5" max="5" width="38" style="190" customWidth="1"/>
    <col min="6" max="6" width="32.7109375" style="190" customWidth="1"/>
    <col min="7" max="16384" width="9.140625" style="190"/>
  </cols>
  <sheetData>
    <row r="3" spans="4:6" ht="20.25" customHeight="1">
      <c r="D3" s="195" t="s">
        <v>39</v>
      </c>
      <c r="E3" s="196" t="s">
        <v>77</v>
      </c>
      <c r="F3" s="197" t="s">
        <v>6158</v>
      </c>
    </row>
    <row r="4" spans="4:6" ht="20.25" customHeight="1">
      <c r="D4" s="194" t="s">
        <v>978</v>
      </c>
      <c r="E4" s="194" t="s">
        <v>6159</v>
      </c>
      <c r="F4" s="198">
        <v>60000</v>
      </c>
    </row>
    <row r="5" spans="4:6" ht="20.25" customHeight="1">
      <c r="D5" s="191" t="s">
        <v>978</v>
      </c>
      <c r="E5" s="191" t="s">
        <v>6160</v>
      </c>
      <c r="F5" s="199">
        <v>53382.82</v>
      </c>
    </row>
    <row r="6" spans="4:6" ht="20.25" customHeight="1">
      <c r="D6" s="191" t="s">
        <v>978</v>
      </c>
      <c r="E6" s="191" t="s">
        <v>6161</v>
      </c>
      <c r="F6" s="199">
        <v>55091.16</v>
      </c>
    </row>
    <row r="7" spans="4:6" ht="20.25" customHeight="1">
      <c r="D7" s="191" t="s">
        <v>978</v>
      </c>
      <c r="E7" s="191" t="s">
        <v>6162</v>
      </c>
      <c r="F7" s="199">
        <v>71112.509999999995</v>
      </c>
    </row>
    <row r="8" spans="4:6" ht="20.25" customHeight="1">
      <c r="D8" s="191" t="s">
        <v>978</v>
      </c>
      <c r="E8" s="191" t="s">
        <v>6163</v>
      </c>
      <c r="F8" s="199">
        <v>60000</v>
      </c>
    </row>
    <row r="9" spans="4:6" ht="20.25" customHeight="1">
      <c r="D9" s="191" t="s">
        <v>978</v>
      </c>
      <c r="E9" s="191" t="s">
        <v>6164</v>
      </c>
      <c r="F9" s="199">
        <v>60000</v>
      </c>
    </row>
    <row r="10" spans="4:6" ht="20.25" customHeight="1">
      <c r="D10" s="191" t="s">
        <v>978</v>
      </c>
      <c r="E10" s="191" t="s">
        <v>6165</v>
      </c>
      <c r="F10" s="199">
        <v>60000</v>
      </c>
    </row>
    <row r="11" spans="4:6" ht="20.25" customHeight="1">
      <c r="D11" s="191" t="s">
        <v>978</v>
      </c>
      <c r="E11" s="191" t="s">
        <v>6166</v>
      </c>
      <c r="F11" s="199">
        <v>60000</v>
      </c>
    </row>
    <row r="12" spans="4:6" ht="20.25" customHeight="1">
      <c r="D12" s="191" t="s">
        <v>978</v>
      </c>
      <c r="E12" s="191" t="s">
        <v>6167</v>
      </c>
      <c r="F12" s="199">
        <v>48801.81</v>
      </c>
    </row>
    <row r="13" spans="4:6" ht="20.25" customHeight="1">
      <c r="D13" s="191" t="s">
        <v>978</v>
      </c>
      <c r="E13" s="191" t="s">
        <v>6168</v>
      </c>
      <c r="F13" s="199">
        <v>60000</v>
      </c>
    </row>
    <row r="14" spans="4:6" ht="20.25" customHeight="1">
      <c r="D14" s="191" t="s">
        <v>978</v>
      </c>
      <c r="E14" s="192" t="s">
        <v>6169</v>
      </c>
      <c r="F14" s="199">
        <v>48087.05</v>
      </c>
    </row>
    <row r="15" spans="4:6" ht="20.25" customHeight="1">
      <c r="D15" s="191" t="s">
        <v>978</v>
      </c>
      <c r="E15" s="191" t="s">
        <v>6170</v>
      </c>
      <c r="F15" s="199">
        <v>56900.74</v>
      </c>
    </row>
    <row r="16" spans="4:6" ht="20.25" customHeight="1">
      <c r="D16" s="191" t="s">
        <v>978</v>
      </c>
      <c r="E16" s="191" t="s">
        <v>6171</v>
      </c>
      <c r="F16" s="199">
        <v>56351.92</v>
      </c>
    </row>
    <row r="17" spans="4:6" ht="20.25" customHeight="1">
      <c r="D17" s="191" t="s">
        <v>978</v>
      </c>
      <c r="E17" s="193" t="s">
        <v>6172</v>
      </c>
      <c r="F17" s="199">
        <v>60000</v>
      </c>
    </row>
    <row r="18" spans="4:6" ht="20.25" customHeight="1">
      <c r="D18" s="191" t="s">
        <v>978</v>
      </c>
      <c r="E18" s="193" t="s">
        <v>6173</v>
      </c>
      <c r="F18" s="199">
        <v>51994.25</v>
      </c>
    </row>
    <row r="19" spans="4:6" ht="20.25" customHeight="1">
      <c r="D19" s="191" t="s">
        <v>978</v>
      </c>
      <c r="E19" s="193" t="s">
        <v>6174</v>
      </c>
      <c r="F19" s="199">
        <v>111877.18</v>
      </c>
    </row>
    <row r="20" spans="4:6" ht="20.25" customHeight="1">
      <c r="D20" s="191" t="s">
        <v>978</v>
      </c>
      <c r="E20" s="193" t="s">
        <v>6175</v>
      </c>
      <c r="F20" s="199">
        <v>49473.05</v>
      </c>
    </row>
    <row r="21" spans="4:6" ht="20.25" customHeight="1">
      <c r="D21" s="191" t="s">
        <v>978</v>
      </c>
      <c r="E21" s="193" t="s">
        <v>6176</v>
      </c>
      <c r="F21" s="199">
        <v>60000</v>
      </c>
    </row>
    <row r="22" spans="4:6" ht="20.25" customHeight="1">
      <c r="D22" s="191" t="s">
        <v>978</v>
      </c>
      <c r="E22" s="193" t="s">
        <v>6177</v>
      </c>
      <c r="F22" s="199">
        <v>60000</v>
      </c>
    </row>
    <row r="23" spans="4:6" ht="20.25" customHeight="1">
      <c r="D23" s="191" t="s">
        <v>978</v>
      </c>
      <c r="E23" s="193" t="s">
        <v>6178</v>
      </c>
      <c r="F23" s="199">
        <v>35237.620000000003</v>
      </c>
    </row>
    <row r="24" spans="4:6" ht="20.25" customHeight="1">
      <c r="D24" s="191" t="s">
        <v>978</v>
      </c>
      <c r="E24" s="193" t="s">
        <v>6179</v>
      </c>
      <c r="F24" s="199">
        <v>39091.379999999997</v>
      </c>
    </row>
    <row r="25" spans="4:6" ht="20.25" customHeight="1">
      <c r="D25" s="191" t="s">
        <v>978</v>
      </c>
      <c r="E25" s="193" t="s">
        <v>6180</v>
      </c>
      <c r="F25" s="199">
        <v>40219.46</v>
      </c>
    </row>
    <row r="26" spans="4:6" ht="20.25" customHeight="1">
      <c r="D26" s="191" t="s">
        <v>978</v>
      </c>
      <c r="E26" s="193" t="s">
        <v>6181</v>
      </c>
      <c r="F26" s="199">
        <v>34607.300000000003</v>
      </c>
    </row>
    <row r="27" spans="4:6" ht="20.25" customHeight="1">
      <c r="D27" s="191" t="s">
        <v>978</v>
      </c>
      <c r="E27" s="193" t="s">
        <v>6182</v>
      </c>
      <c r="F27" s="199">
        <v>36263.089999999997</v>
      </c>
    </row>
    <row r="28" spans="4:6" ht="20.25" customHeight="1">
      <c r="D28" s="191" t="s">
        <v>978</v>
      </c>
      <c r="E28" s="193" t="s">
        <v>6183</v>
      </c>
      <c r="F28" s="199">
        <v>35849.730000000003</v>
      </c>
    </row>
    <row r="29" spans="4:6" ht="20.25" customHeight="1">
      <c r="D29" s="191" t="s">
        <v>978</v>
      </c>
      <c r="E29" s="193" t="s">
        <v>6184</v>
      </c>
      <c r="F29" s="199">
        <v>33958.269999999997</v>
      </c>
    </row>
    <row r="30" spans="4:6" ht="20.25" customHeight="1">
      <c r="D30" s="191" t="s">
        <v>978</v>
      </c>
      <c r="E30" s="193" t="s">
        <v>6185</v>
      </c>
      <c r="F30" s="199">
        <v>35807.660000000003</v>
      </c>
    </row>
    <row r="31" spans="4:6" ht="20.25" customHeight="1">
      <c r="D31" s="191" t="s">
        <v>978</v>
      </c>
      <c r="E31" s="193" t="s">
        <v>6186</v>
      </c>
      <c r="F31" s="199">
        <v>34233.85</v>
      </c>
    </row>
    <row r="32" spans="4:6" ht="20.25" customHeight="1">
      <c r="D32" s="191" t="s">
        <v>978</v>
      </c>
      <c r="E32" s="193" t="s">
        <v>6187</v>
      </c>
      <c r="F32" s="199">
        <v>43197.84</v>
      </c>
    </row>
    <row r="33" spans="4:6" ht="20.25" customHeight="1">
      <c r="D33" s="191" t="s">
        <v>978</v>
      </c>
      <c r="E33" s="193" t="s">
        <v>6188</v>
      </c>
      <c r="F33" s="199">
        <v>40476.01</v>
      </c>
    </row>
    <row r="34" spans="4:6" ht="20.25" customHeight="1">
      <c r="D34" s="191" t="s">
        <v>978</v>
      </c>
      <c r="E34" s="193" t="s">
        <v>6189</v>
      </c>
      <c r="F34" s="199">
        <v>40038.410000000003</v>
      </c>
    </row>
    <row r="35" spans="4:6" ht="20.25" customHeight="1">
      <c r="D35" s="191" t="s">
        <v>978</v>
      </c>
      <c r="E35" s="193" t="s">
        <v>6190</v>
      </c>
      <c r="F35" s="199">
        <v>38035.89</v>
      </c>
    </row>
    <row r="36" spans="4:6" ht="20.25" customHeight="1">
      <c r="D36" s="191" t="s">
        <v>978</v>
      </c>
      <c r="E36" s="193" t="s">
        <v>6191</v>
      </c>
      <c r="F36" s="199">
        <v>35969.519999999997</v>
      </c>
    </row>
    <row r="37" spans="4:6" ht="20.25" customHeight="1">
      <c r="D37" s="191" t="s">
        <v>978</v>
      </c>
      <c r="E37" s="193" t="s">
        <v>6192</v>
      </c>
      <c r="F37" s="199">
        <v>42410.14</v>
      </c>
    </row>
    <row r="38" spans="4:6" ht="20.25" customHeight="1">
      <c r="D38" s="191" t="s">
        <v>978</v>
      </c>
      <c r="E38" s="193" t="s">
        <v>6193</v>
      </c>
      <c r="F38" s="199">
        <v>40108.129999999997</v>
      </c>
    </row>
    <row r="39" spans="4:6" ht="20.25" customHeight="1">
      <c r="D39" s="191" t="s">
        <v>978</v>
      </c>
      <c r="E39" s="193" t="s">
        <v>6194</v>
      </c>
      <c r="F39" s="199">
        <v>39408.28</v>
      </c>
    </row>
    <row r="40" spans="4:6" ht="20.25" customHeight="1">
      <c r="D40" s="191" t="s">
        <v>978</v>
      </c>
      <c r="E40" s="193" t="s">
        <v>6195</v>
      </c>
      <c r="F40" s="199">
        <v>39754.07</v>
      </c>
    </row>
    <row r="41" spans="4:6" ht="20.25" customHeight="1">
      <c r="D41" s="191" t="s">
        <v>978</v>
      </c>
      <c r="E41" s="193" t="s">
        <v>6196</v>
      </c>
      <c r="F41" s="199">
        <v>45063.11</v>
      </c>
    </row>
    <row r="42" spans="4:6" ht="20.25" customHeight="1">
      <c r="D42" s="191" t="s">
        <v>978</v>
      </c>
      <c r="E42" s="193" t="s">
        <v>6197</v>
      </c>
      <c r="F42" s="199">
        <v>47121.63</v>
      </c>
    </row>
    <row r="43" spans="4:6" ht="20.25" customHeight="1">
      <c r="D43" s="191" t="s">
        <v>978</v>
      </c>
      <c r="E43" s="193" t="s">
        <v>6198</v>
      </c>
      <c r="F43" s="199">
        <v>54604.78</v>
      </c>
    </row>
    <row r="44" spans="4:6" ht="20.25" customHeight="1">
      <c r="D44" s="191" t="s">
        <v>978</v>
      </c>
      <c r="E44" s="193" t="s">
        <v>6199</v>
      </c>
      <c r="F44" s="199">
        <v>46317.919999999998</v>
      </c>
    </row>
    <row r="45" spans="4:6" ht="20.25" customHeight="1">
      <c r="D45" s="191" t="s">
        <v>978</v>
      </c>
      <c r="E45" s="193" t="s">
        <v>6200</v>
      </c>
      <c r="F45" s="199">
        <v>60000</v>
      </c>
    </row>
    <row r="46" spans="4:6" ht="20.25" customHeight="1">
      <c r="D46" s="191" t="s">
        <v>978</v>
      </c>
      <c r="E46" s="193" t="s">
        <v>6201</v>
      </c>
      <c r="F46" s="199">
        <v>54794.55</v>
      </c>
    </row>
    <row r="47" spans="4:6" ht="20.25" customHeight="1">
      <c r="D47" s="191" t="s">
        <v>978</v>
      </c>
      <c r="E47" s="193" t="s">
        <v>6202</v>
      </c>
      <c r="F47" s="199">
        <v>55630.87</v>
      </c>
    </row>
    <row r="48" spans="4:6" ht="20.25" customHeight="1">
      <c r="D48" s="191" t="s">
        <v>978</v>
      </c>
      <c r="E48" s="193" t="s">
        <v>6203</v>
      </c>
      <c r="F48" s="199">
        <v>60000</v>
      </c>
    </row>
    <row r="49" spans="4:6" ht="20.25" customHeight="1">
      <c r="D49" s="191" t="s">
        <v>978</v>
      </c>
      <c r="E49" s="193" t="s">
        <v>6204</v>
      </c>
      <c r="F49" s="199">
        <v>60000</v>
      </c>
    </row>
    <row r="50" spans="4:6" ht="20.25" customHeight="1">
      <c r="D50" s="191" t="s">
        <v>978</v>
      </c>
      <c r="E50" s="191" t="s">
        <v>6205</v>
      </c>
      <c r="F50" s="199">
        <v>41376.720000000001</v>
      </c>
    </row>
    <row r="51" spans="4:6" ht="20.25" customHeight="1">
      <c r="D51" s="191" t="s">
        <v>978</v>
      </c>
      <c r="E51" s="193" t="s">
        <v>6206</v>
      </c>
      <c r="F51" s="199">
        <v>40145.410000000003</v>
      </c>
    </row>
    <row r="52" spans="4:6" ht="20.25" customHeight="1">
      <c r="D52" s="191" t="s">
        <v>978</v>
      </c>
      <c r="E52" s="193" t="s">
        <v>6207</v>
      </c>
      <c r="F52" s="199">
        <v>36640.120000000003</v>
      </c>
    </row>
    <row r="53" spans="4:6" ht="20.25" customHeight="1">
      <c r="D53" s="191" t="s">
        <v>978</v>
      </c>
      <c r="E53" s="191" t="s">
        <v>6208</v>
      </c>
      <c r="F53" s="199">
        <v>60000</v>
      </c>
    </row>
    <row r="54" spans="4:6" ht="20.25" customHeight="1">
      <c r="D54" s="191" t="s">
        <v>978</v>
      </c>
      <c r="E54" s="193" t="s">
        <v>6209</v>
      </c>
      <c r="F54" s="199">
        <v>60000</v>
      </c>
    </row>
    <row r="55" spans="4:6" ht="20.25" customHeight="1">
      <c r="D55" s="191" t="s">
        <v>978</v>
      </c>
      <c r="E55" s="193" t="s">
        <v>6210</v>
      </c>
      <c r="F55" s="199">
        <v>53913.62</v>
      </c>
    </row>
    <row r="56" spans="4:6" ht="20.25" customHeight="1">
      <c r="D56" s="191" t="s">
        <v>978</v>
      </c>
      <c r="E56" s="193" t="s">
        <v>6211</v>
      </c>
      <c r="F56" s="199">
        <v>59293.99</v>
      </c>
    </row>
    <row r="57" spans="4:6" ht="20.25" customHeight="1">
      <c r="D57" s="191" t="s">
        <v>978</v>
      </c>
      <c r="E57" s="193" t="s">
        <v>6212</v>
      </c>
      <c r="F57" s="199">
        <v>60000</v>
      </c>
    </row>
    <row r="58" spans="4:6" ht="20.25" customHeight="1">
      <c r="D58" s="191" t="s">
        <v>978</v>
      </c>
      <c r="E58" s="193" t="s">
        <v>6213</v>
      </c>
      <c r="F58" s="199">
        <v>34028.03</v>
      </c>
    </row>
    <row r="59" spans="4:6" ht="20.25" customHeight="1">
      <c r="D59" s="191" t="s">
        <v>978</v>
      </c>
      <c r="E59" s="193" t="s">
        <v>6214</v>
      </c>
      <c r="F59" s="199">
        <v>46067.25</v>
      </c>
    </row>
    <row r="60" spans="4:6" ht="20.25" customHeight="1">
      <c r="D60" s="191" t="s">
        <v>978</v>
      </c>
      <c r="E60" s="193" t="s">
        <v>6215</v>
      </c>
      <c r="F60" s="199">
        <v>44186.69</v>
      </c>
    </row>
    <row r="61" spans="4:6" ht="20.25" customHeight="1">
      <c r="D61" s="191" t="s">
        <v>978</v>
      </c>
      <c r="E61" s="193" t="s">
        <v>6216</v>
      </c>
      <c r="F61" s="199">
        <v>52337.599999999999</v>
      </c>
    </row>
    <row r="62" spans="4:6" ht="20.25" customHeight="1">
      <c r="D62" s="191" t="s">
        <v>978</v>
      </c>
      <c r="E62" s="193" t="s">
        <v>6217</v>
      </c>
      <c r="F62" s="199">
        <v>60000</v>
      </c>
    </row>
    <row r="63" spans="4:6" ht="20.25" customHeight="1">
      <c r="D63" s="191" t="s">
        <v>978</v>
      </c>
      <c r="E63" s="193" t="s">
        <v>6218</v>
      </c>
      <c r="F63" s="199">
        <v>70901.86</v>
      </c>
    </row>
    <row r="64" spans="4:6" ht="20.25" customHeight="1">
      <c r="D64" s="191" t="s">
        <v>978</v>
      </c>
      <c r="E64" s="193" t="s">
        <v>6219</v>
      </c>
      <c r="F64" s="199">
        <v>48757.24</v>
      </c>
    </row>
    <row r="65" spans="4:6" ht="20.25" customHeight="1">
      <c r="D65" s="191" t="s">
        <v>978</v>
      </c>
      <c r="E65" s="193" t="s">
        <v>6220</v>
      </c>
      <c r="F65" s="199">
        <v>53633.54</v>
      </c>
    </row>
    <row r="66" spans="4:6" ht="20.25" customHeight="1">
      <c r="D66" s="191" t="s">
        <v>978</v>
      </c>
      <c r="E66" s="193" t="s">
        <v>6221</v>
      </c>
      <c r="F66" s="199">
        <v>39458.730000000003</v>
      </c>
    </row>
    <row r="67" spans="4:6" ht="20.25" customHeight="1">
      <c r="D67" s="191" t="s">
        <v>978</v>
      </c>
      <c r="E67" s="193" t="s">
        <v>6222</v>
      </c>
      <c r="F67" s="199">
        <v>53212.03</v>
      </c>
    </row>
    <row r="68" spans="4:6" ht="20.25" customHeight="1">
      <c r="D68" s="191" t="s">
        <v>978</v>
      </c>
      <c r="E68" s="193" t="s">
        <v>6223</v>
      </c>
      <c r="F68" s="199">
        <v>53212.03</v>
      </c>
    </row>
    <row r="69" spans="4:6" ht="20.25" customHeight="1">
      <c r="D69" s="191" t="s">
        <v>978</v>
      </c>
      <c r="E69" s="193" t="s">
        <v>6224</v>
      </c>
      <c r="F69" s="199">
        <v>60000</v>
      </c>
    </row>
    <row r="70" spans="4:6" ht="20.25" customHeight="1">
      <c r="D70" s="191" t="s">
        <v>978</v>
      </c>
      <c r="E70" s="193" t="s">
        <v>6225</v>
      </c>
      <c r="F70" s="199">
        <v>51660.32</v>
      </c>
    </row>
    <row r="71" spans="4:6" ht="20.25" customHeight="1">
      <c r="D71" s="191" t="s">
        <v>978</v>
      </c>
      <c r="E71" s="193" t="s">
        <v>6226</v>
      </c>
      <c r="F71" s="199">
        <v>43296.639999999999</v>
      </c>
    </row>
    <row r="72" spans="4:6" ht="20.25" customHeight="1">
      <c r="D72" s="191" t="s">
        <v>978</v>
      </c>
      <c r="E72" s="193" t="s">
        <v>6227</v>
      </c>
      <c r="F72" s="199">
        <v>52499.63</v>
      </c>
    </row>
    <row r="73" spans="4:6" ht="20.25" customHeight="1">
      <c r="D73" s="191" t="s">
        <v>978</v>
      </c>
      <c r="E73" s="193" t="s">
        <v>6228</v>
      </c>
      <c r="F73" s="199">
        <v>60000</v>
      </c>
    </row>
    <row r="74" spans="4:6" ht="20.25" customHeight="1">
      <c r="D74" s="191" t="s">
        <v>978</v>
      </c>
      <c r="E74" s="193" t="s">
        <v>6229</v>
      </c>
      <c r="F74" s="199">
        <v>85017.9</v>
      </c>
    </row>
    <row r="75" spans="4:6" ht="20.25" customHeight="1">
      <c r="D75" s="191" t="s">
        <v>978</v>
      </c>
      <c r="E75" s="193" t="s">
        <v>6230</v>
      </c>
      <c r="F75" s="199">
        <v>53989.99</v>
      </c>
    </row>
    <row r="76" spans="4:6" ht="20.25" customHeight="1">
      <c r="D76" s="191" t="s">
        <v>978</v>
      </c>
      <c r="E76" s="193" t="s">
        <v>6231</v>
      </c>
      <c r="F76" s="199">
        <v>84379.96</v>
      </c>
    </row>
    <row r="77" spans="4:6" ht="20.25" customHeight="1">
      <c r="D77" s="191" t="s">
        <v>978</v>
      </c>
      <c r="E77" s="193" t="s">
        <v>6232</v>
      </c>
      <c r="F77" s="199">
        <v>51943.76</v>
      </c>
    </row>
    <row r="78" spans="4:6" ht="20.25" customHeight="1">
      <c r="D78" s="191" t="s">
        <v>978</v>
      </c>
      <c r="E78" s="193" t="s">
        <v>6233</v>
      </c>
      <c r="F78" s="199">
        <v>55656.71</v>
      </c>
    </row>
    <row r="79" spans="4:6" ht="20.25" customHeight="1">
      <c r="D79" s="191" t="s">
        <v>978</v>
      </c>
      <c r="E79" s="193" t="s">
        <v>6234</v>
      </c>
      <c r="F79" s="199">
        <v>54347.07</v>
      </c>
    </row>
    <row r="80" spans="4:6" ht="20.25" customHeight="1">
      <c r="D80" s="191" t="s">
        <v>978</v>
      </c>
      <c r="E80" s="193" t="s">
        <v>6235</v>
      </c>
      <c r="F80" s="199">
        <v>51444.99</v>
      </c>
    </row>
    <row r="81" spans="4:6" ht="20.25" customHeight="1">
      <c r="D81" s="191" t="s">
        <v>978</v>
      </c>
      <c r="E81" s="193" t="s">
        <v>6236</v>
      </c>
      <c r="F81" s="199">
        <v>48856.37</v>
      </c>
    </row>
    <row r="82" spans="4:6" ht="20.25" customHeight="1">
      <c r="D82" s="191" t="s">
        <v>978</v>
      </c>
      <c r="E82" s="193" t="s">
        <v>6237</v>
      </c>
      <c r="F82" s="199">
        <v>57999.5</v>
      </c>
    </row>
    <row r="83" spans="4:6" ht="20.25" customHeight="1">
      <c r="D83" s="191" t="s">
        <v>978</v>
      </c>
      <c r="E83" s="193" t="s">
        <v>6238</v>
      </c>
      <c r="F83" s="199">
        <v>53751.44</v>
      </c>
    </row>
    <row r="84" spans="4:6" ht="20.25" customHeight="1">
      <c r="D84" s="191" t="s">
        <v>978</v>
      </c>
      <c r="E84" s="193" t="s">
        <v>6239</v>
      </c>
      <c r="F84" s="199">
        <v>102660.83</v>
      </c>
    </row>
    <row r="85" spans="4:6" ht="20.25" customHeight="1">
      <c r="D85" s="191" t="s">
        <v>978</v>
      </c>
      <c r="E85" s="191" t="s">
        <v>6240</v>
      </c>
      <c r="F85" s="200">
        <v>60000</v>
      </c>
    </row>
    <row r="86" spans="4:6" ht="20.25" customHeight="1">
      <c r="D86" s="191" t="s">
        <v>978</v>
      </c>
      <c r="E86" s="193" t="s">
        <v>6241</v>
      </c>
      <c r="F86" s="199">
        <v>60000</v>
      </c>
    </row>
    <row r="87" spans="4:6" ht="20.25" customHeight="1">
      <c r="D87" s="191" t="s">
        <v>978</v>
      </c>
      <c r="E87" s="191" t="s">
        <v>6242</v>
      </c>
      <c r="F87" s="199">
        <v>51891.83</v>
      </c>
    </row>
    <row r="88" spans="4:6" ht="20.25" customHeight="1">
      <c r="D88" s="191" t="s">
        <v>978</v>
      </c>
      <c r="E88" s="193" t="s">
        <v>6243</v>
      </c>
      <c r="F88" s="201">
        <v>36197.919999999998</v>
      </c>
    </row>
    <row r="89" spans="4:6" ht="20.25" customHeight="1">
      <c r="D89" s="292" t="s">
        <v>978</v>
      </c>
      <c r="E89" s="193" t="s">
        <v>6244</v>
      </c>
      <c r="F89" s="199">
        <v>43155.13</v>
      </c>
    </row>
    <row r="90" spans="4:6" ht="20.25" customHeight="1">
      <c r="D90" s="191" t="s">
        <v>978</v>
      </c>
      <c r="E90" s="193" t="s">
        <v>6245</v>
      </c>
      <c r="F90" s="199">
        <v>58988.86</v>
      </c>
    </row>
    <row r="91" spans="4:6" ht="20.25" customHeight="1">
      <c r="D91" s="191" t="s">
        <v>978</v>
      </c>
      <c r="E91" s="193" t="s">
        <v>6246</v>
      </c>
      <c r="F91" s="199">
        <v>56274.27</v>
      </c>
    </row>
    <row r="92" spans="4:6" ht="20.25" customHeight="1">
      <c r="D92" s="191" t="s">
        <v>978</v>
      </c>
      <c r="E92" s="193" t="s">
        <v>6247</v>
      </c>
      <c r="F92" s="199">
        <v>51308.19</v>
      </c>
    </row>
    <row r="93" spans="4:6" ht="20.25" customHeight="1">
      <c r="D93" s="191" t="s">
        <v>978</v>
      </c>
      <c r="E93" s="193" t="s">
        <v>6248</v>
      </c>
      <c r="F93" s="199">
        <v>44226.95</v>
      </c>
    </row>
    <row r="94" spans="4:6" ht="20.25" customHeight="1">
      <c r="D94" s="191" t="s">
        <v>978</v>
      </c>
      <c r="E94" s="193" t="s">
        <v>6249</v>
      </c>
      <c r="F94" s="199">
        <v>53896.74</v>
      </c>
    </row>
    <row r="95" spans="4:6" ht="20.25" customHeight="1">
      <c r="D95" s="191" t="s">
        <v>978</v>
      </c>
      <c r="E95" s="193" t="s">
        <v>6250</v>
      </c>
      <c r="F95" s="199">
        <v>46409.63</v>
      </c>
    </row>
    <row r="96" spans="4:6" ht="20.25" customHeight="1">
      <c r="D96" s="191" t="s">
        <v>978</v>
      </c>
      <c r="E96" s="193" t="s">
        <v>6251</v>
      </c>
      <c r="F96" s="199">
        <v>57433.2</v>
      </c>
    </row>
    <row r="98" spans="5:6" ht="20.25" customHeight="1">
      <c r="E98" s="203" t="s">
        <v>6252</v>
      </c>
      <c r="F98" s="202">
        <f>SUM(F4:F97)</f>
        <v>4865724.6900000004</v>
      </c>
    </row>
  </sheetData>
  <dataValidations count="1">
    <dataValidation allowBlank="1" showInputMessage="1" showErrorMessage="1" sqref="D4:D34 D38:D39 D43:D50 E4 E7:E49 E56:E58 E65 E67:E69" xr:uid="{F442693F-EB21-4ED8-991D-F74DD830A65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Kathleen da Silva Ferreira</cp:lastModifiedBy>
  <cp:revision/>
  <dcterms:created xsi:type="dcterms:W3CDTF">2017-02-23T11:47:08Z</dcterms:created>
  <dcterms:modified xsi:type="dcterms:W3CDTF">2026-08-25T19:47:38Z</dcterms:modified>
  <cp:category/>
  <cp:contentStatus/>
</cp:coreProperties>
</file>