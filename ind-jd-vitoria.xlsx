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822" documentId="8_{DAC6C9CA-70D7-4111-A0A7-BC6755E560D9}" xr6:coauthVersionLast="47" xr6:coauthVersionMax="47" xr10:uidLastSave="{FEBD8384-DAF1-4BC3-83F4-0977887B5A7F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08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6" i="20"/>
  <c r="BD16" i="20"/>
  <c r="BC16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<sst xmlns="http://schemas.openxmlformats.org/spreadsheetml/2006/main" count="14844" uniqueCount="6254">
  <si>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</si>
  <si>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</si>
  <si>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</si>
  <si>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</si>
  <si>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</si>
  <si>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</si>
  <si>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</si>
  <si>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</si>
  <si>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</si>
  <si>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</si>
  <si>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</si>
  <si>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</si>
  <si>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</si>
  <si>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</si>
  <si>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</si>
  <si>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</si>
  <si>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</si>
  <si>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</si>
  <si>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</si>
  <si>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</si>
  <si>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</si>
  <si>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</si>
  <si>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</si>
  <si>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</si>
  <si>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</si>
  <si>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</si>
  <si>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</si>
  <si>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</si>
  <si>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</si>
  <si>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</si>
  <si>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</si>
  <si>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</si>
  <si>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</si>
  <si>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</si>
  <si>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</si>
  <si>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</si>
  <si>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</si>
  <si>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</si>
  <si>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</si>
  <si>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</si>
  <si>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</si>
  <si>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</si>
  <si>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</si>
  <si>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</si>
  <si>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</si>
  <si>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</si>
  <si>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</si>
  <si>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</si>
  <si>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</si>
  <si>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</si>
  <si>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</si>
  <si>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</si>
  <si>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</si>
  <si>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</si>
  <si>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</si>
  <si>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</si>
  <si>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</si>
  <si>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</si>
  <si>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</si>
  <si>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</si>
  <si>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</si>
  <si>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</si>
  <si>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</si>
  <si>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</si>
  <si>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</si>
  <si>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</si>
  <si>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</si>
  <si>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</si>
  <si>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</si>
  <si>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</si>
  <si>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</si>
  <si>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</si>
  <si>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</si>
  <si>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</si>
  <si>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</si>
  <si>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</si>
  <si>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</si>
  <si>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</si>
  <si>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</si>
  <si>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</si>
  <si>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</si>
  <si>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</si>
  <si>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</si>
  <si>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</si>
  <si>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</si>
  <si>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</si>
  <si>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</si>
  <si>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</si>
  <si>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</si>
  <si>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</si>
  <si>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</si>
  <si>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</si>
  <si>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</si>
  <si>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</si>
  <si>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</si>
  <si>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</si>
  <si>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</si>
  <si>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</si>
  <si>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</si>
  <si>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</si>
  <si>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</si>
  <si>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</si>
  <si>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</si>
  <si>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</si>
  <si>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</si>
  <si>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</si>
  <si>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</si>
  <si>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</si>
  <si>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</si>
  <si>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</si>
  <si>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</si>
  <si>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</si>
  <si>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</si>
  <si>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</si>
  <si>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</si>
  <si>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</si>
  <si>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</si>
  <si>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</si>
  <si>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</si>
  <si>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</si>
  <si>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</si>
  <si>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</si>
  <si>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</si>
  <si>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</si>
  <si>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</si>
  <si>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</si>
  <si>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</si>
  <si>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</si>
  <si>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</si>
  <si>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</si>
  <si>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</si>
  <si>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</si>
  <si>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</si>
  <si>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</si>
  <si>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</si>
  <si>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</si>
  <si>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</si>
  <si>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</si>
  <si>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</si>
  <si>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</si>
  <si>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</si>
  <si>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</si>
  <si>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</si>
  <si>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</si>
  <si>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</si>
  <si>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</si>
  <si>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</si>
  <si>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</si>
  <si>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</si>
  <si>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</si>
  <si>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</si>
  <si>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</si>
  <si>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</si>
  <si>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</si>
  <si>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</si>
  <si>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</si>
  <si>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</si>
  <si>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</si>
  <si>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</si>
  <si>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</si>
  <si>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</si>
  <si>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</si>
  <si>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</si>
  <si>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</si>
  <si>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</si>
  <si>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</si>
  <si>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</si>
  <si>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</si>
  <si>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</si>
  <si>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</si>
  <si>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</si>
  <si>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</si>
  <si>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</si>
  <si>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</si>
  <si>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</si>
  <si>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</si>
  <si>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</si>
  <si>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</si>
  <si>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</si>
  <si>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</si>
  <si>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</si>
  <si>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</si>
  <si>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</si>
  <si>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</si>
  <si>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</si>
  <si>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</si>
  <si>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</si>
  <si>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</si>
  <si>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AGUARDANDO PUBLICAÇÃO DOC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</si>
  <si>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</si>
  <si>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</si>
  <si>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</si>
  <si>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</si>
  <si>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</si>
  <si>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</si>
  <si>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</si>
  <si>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</si>
  <si>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</si>
  <si>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</si>
  <si>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</si>
  <si>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</si>
  <si>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</si>
  <si>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</si>
  <si>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</si>
  <si>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</si>
  <si>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</si>
  <si>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</si>
  <si>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</si>
  <si>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</si>
  <si>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</si>
  <si>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</si>
  <si>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</si>
  <si>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</si>
  <si>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</si>
  <si>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</si>
  <si>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</si>
  <si>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</si>
  <si>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</si>
  <si>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</si>
  <si>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</si>
  <si>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</si>
  <si>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</si>
  <si>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</si>
  <si>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</si>
  <si>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</si>
  <si>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</si>
  <si>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</si>
  <si>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</si>
  <si>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</si>
  <si>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</si>
  <si>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</si>
  <si>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</si>
  <si>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</si>
  <si>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</si>
  <si>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</si>
  <si>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</si>
  <si>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</si>
  <si>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</si>
  <si>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</si>
  <si>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</si>
  <si>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</si>
  <si>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</si>
  <si>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</si>
  <si>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</si>
  <si>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</si>
  <si>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</si>
  <si>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</si>
  <si>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</si>
  <si>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</si>
  <si>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</si>
  <si>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</si>
  <si>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</si>
  <si>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</si>
  <si>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</si>
  <si>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</si>
  <si>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</si>
  <si>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</si>
  <si>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</si>
  <si>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</si>
  <si>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</si>
  <si>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</si>
  <si>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</si>
  <si>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</si>
  <si>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</si>
  <si>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</si>
  <si>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</si>
  <si>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</si>
  <si>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</si>
  <si>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</si>
  <si>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</si>
  <si>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</si>
  <si>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</si>
  <si>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</si>
  <si>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</si>
  <si>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</si>
  <si>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</si>
  <si>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</si>
  <si>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</si>
  <si>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</si>
  <si>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</si>
  <si>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</si>
  <si>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</si>
  <si>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</si>
  <si>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</si>
  <si>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</si>
  <si>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</si>
  <si>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</si>
  <si>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</si>
  <si>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</si>
  <si>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</si>
  <si>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</si>
  <si>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</si>
  <si>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</si>
  <si>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</si>
  <si>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</si>
  <si>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</si>
  <si>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</si>
  <si>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</si>
  <si>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</si>
  <si>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</si>
  <si>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</si>
  <si>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</si>
  <si>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</si>
  <si>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</si>
  <si>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</si>
  <si>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</si>
  <si>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</si>
  <si>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</si>
  <si>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</si>
  <si>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</si>
  <si>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</si>
  <si>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</si>
  <si>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</si>
  <si>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</si>
  <si>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</si>
  <si>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</si>
  <si>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</si>
  <si>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</si>
  <si>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</si>
  <si>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</si>
  <si>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</si>
  <si>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</si>
  <si>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</si>
  <si>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</si>
  <si>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</si>
  <si>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</si>
  <si>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</si>
  <si>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</si>
  <si>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</si>
  <si>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</si>
  <si>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</si>
  <si>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</si>
  <si>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</si>
  <si>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</si>
  <si>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</si>
  <si>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</si>
  <si>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</si>
  <si>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</si>
  <si>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</si>
  <si>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</si>
  <si>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</si>
  <si>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</si>
  <si>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</si>
  <si>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</si>
  <si>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</si>
  <si>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</si>
  <si>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</si>
  <si>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</si>
  <si>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</si>
  <si>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</si>
  <si>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</si>
  <si>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</si>
  <si>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</si>
  <si>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</si>
  <si>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</si>
  <si>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</si>
  <si>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</si>
  <si>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</si>
  <si>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</si>
  <si>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</si>
  <si>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</si>
  <si>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</si>
  <si>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</si>
  <si>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</si>
  <si>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</si>
  <si>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</si>
  <si>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</si>
  <si>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</si>
  <si>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</si>
  <si>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</si>
  <si>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</si>
  <si>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</si>
  <si>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</si>
  <si>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</si>
  <si>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</si>
  <si>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</si>
  <si>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</si>
  <si>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</si>
  <si>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</si>
  <si>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</si>
  <si>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</si>
  <si>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</si>
  <si>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</si>
  <si>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</si>
  <si>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</si>
  <si>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</si>
  <si>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</si>
  <si>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</si>
  <si>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</si>
  <si>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</si>
  <si>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</si>
  <si>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</si>
  <si>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</si>
  <si>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</si>
  <si>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</si>
  <si>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</si>
  <si>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</si>
  <si>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</si>
  <si>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</si>
  <si>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</si>
  <si>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</si>
  <si>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</si>
  <si>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</si>
  <si>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</si>
  <si>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</si>
  <si>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</si>
  <si>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</si>
  <si>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</si>
  <si>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</si>
  <si>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</si>
  <si>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</si>
  <si>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</si>
  <si>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</si>
  <si>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</si>
  <si>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</si>
  <si>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</si>
  <si>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</si>
  <si>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</si>
  <si>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</si>
  <si>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</si>
  <si>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</si>
  <si>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</si>
  <si>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</si>
  <si>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</si>
  <si>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</si>
  <si>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</si>
  <si>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</si>
  <si>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</si>
  <si>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</si>
  <si>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</si>
  <si>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</si>
  <si>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</si>
  <si>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</si>
  <si>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</si>
  <si>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</si>
  <si>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</si>
  <si>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</si>
  <si>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</si>
  <si>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</si>
  <si>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</si>
  <si>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</si>
  <si>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</si>
  <si>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</si>
  <si>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</si>
  <si>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</si>
  <si>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</si>
  <si>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</si>
  <si>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</si>
  <si>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</si>
  <si>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</si>
  <si>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</si>
  <si>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</si>
  <si>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</si>
  <si>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</si>
  <si>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</si>
  <si>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</si>
  <si>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</si>
  <si>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</si>
  <si>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</si>
  <si>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</si>
  <si>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</si>
  <si>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</si>
  <si>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</si>
  <si>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</si>
  <si>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</si>
  <si>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</si>
  <si>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</si>
  <si>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</si>
  <si>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</si>
  <si>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</si>
  <si>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</si>
  <si>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</si>
  <si>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</si>
  <si>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</si>
  <si>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</si>
  <si>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</si>
  <si>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</si>
  <si>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</si>
  <si>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</si>
  <si>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</si>
  <si>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</si>
  <si>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</si>
  <si>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</si>
  <si>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</si>
  <si>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</si>
  <si>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</si>
  <si>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</si>
  <si>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</si>
  <si>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</si>
  <si>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</si>
  <si>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</si>
  <si>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</si>
  <si>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</si>
  <si>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</si>
  <si>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</si>
  <si>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</si>
  <si>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</si>
  <si>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</si>
  <si>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</si>
  <si>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</si>
  <si>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</si>
  <si>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</si>
  <si>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</si>
  <si>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</si>
  <si>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</si>
  <si>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</si>
  <si>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</si>
  <si>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</si>
  <si>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</si>
  <si>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</si>
  <si>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</si>
  <si>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</si>
  <si>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</si>
  <si>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</si>
  <si>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</si>
  <si>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</si>
  <si>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</si>
  <si>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</si>
  <si>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</si>
  <si>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</si>
  <si>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</si>
  <si>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</si>
  <si>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</si>
  <si>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</si>
  <si>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</si>
  <si>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</si>
  <si>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</si>
  <si>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</si>
  <si>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</si>
  <si>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</si>
  <si>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</si>
  <si>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</si>
  <si>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</si>
  <si>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</si>
  <si>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</si>
  <si>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</si>
  <si>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</si>
  <si>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</si>
  <si>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</si>
  <si>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</si>
  <si>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</si>
  <si>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</si>
  <si>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</si>
  <si>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</si>
  <si>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</si>
  <si>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</si>
  <si>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</si>
  <si>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</si>
  <si>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</si>
  <si>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</si>
  <si>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</si>
  <si>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</si>
  <si>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</si>
  <si>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</si>
  <si>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</si>
  <si>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</si>
  <si>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</si>
  <si>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</si>
  <si>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</si>
  <si>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</si>
  <si>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</si>
  <si>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</si>
  <si>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</si>
  <si>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</si>
  <si>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</si>
  <si>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</si>
  <si>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</si>
  <si>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</si>
  <si>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</si>
  <si>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</si>
  <si>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</si>
  <si>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</si>
  <si>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</si>
  <si>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</si>
  <si>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</si>
  <si>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</si>
  <si>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</si>
  <si>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</si>
  <si>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</si>
  <si>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</si>
  <si>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</si>
  <si>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</si>
  <si>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</si>
  <si>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Aguarda correção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</si>
  <si>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</si>
  <si>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</si>
  <si>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</si>
  <si>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</si>
  <si>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</si>
  <si>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</si>
  <si>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</si>
  <si>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</si>
  <si>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</si>
  <si>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</si>
  <si>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</si>
  <si>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</si>
  <si>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</si>
  <si>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</si>
  <si>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</si>
  <si>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</si>
  <si>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</si>
  <si>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</si>
  <si>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</si>
  <si>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</si>
  <si>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</si>
  <si>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</si>
  <si>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</si>
  <si>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</si>
  <si>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</si>
  <si>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</si>
  <si>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</si>
  <si>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</si>
  <si>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</si>
  <si>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</si>
  <si>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</si>
  <si>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</si>
  <si>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</si>
  <si>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</si>
  <si>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</si>
  <si>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</si>
  <si>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</si>
  <si>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</si>
  <si>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</si>
  <si>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</si>
  <si>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</si>
  <si>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</si>
  <si>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</si>
  <si>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</si>
  <si>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</si>
  <si>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</si>
  <si>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</si>
  <si>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</si>
  <si>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</si>
  <si>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</si>
  <si>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</si>
  <si>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</si>
  <si>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</si>
  <si>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</si>
  <si>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</si>
  <si>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</si>
  <si>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</si>
  <si>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</si>
  <si>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</si>
  <si>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</si>
  <si>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</si>
  <si>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</si>
  <si>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</si>
  <si>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</si>
  <si>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</si>
  <si>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</si>
  <si>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</si>
  <si>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</si>
  <si>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</si>
  <si>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</si>
  <si>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</si>
  <si>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</si>
  <si>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</si>
  <si>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</si>
  <si>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</si>
  <si>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</si>
  <si>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</si>
  <si>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</si>
  <si>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</si>
  <si>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</si>
  <si>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</si>
  <si>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</si>
  <si>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</si>
  <si>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</si>
  <si>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</si>
  <si>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</si>
  <si>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</si>
  <si>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</si>
  <si>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</si>
  <si>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</si>
  <si>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</si>
  <si>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</si>
  <si>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</si>
  <si>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</si>
  <si>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</si>
  <si>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</si>
  <si>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</si>
  <si>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</si>
  <si>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</si>
  <si>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</si>
  <si>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</si>
  <si>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</si>
  <si>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</si>
  <si>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</si>
  <si>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</si>
  <si>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</si>
  <si>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</si>
  <si>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</si>
  <si>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</si>
  <si>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</si>
  <si>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</si>
  <si>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</si>
  <si>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</si>
  <si>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</si>
  <si>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</si>
  <si>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</si>
  <si>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</si>
  <si>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</si>
  <si>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</si>
  <si>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</si>
  <si>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</si>
  <si>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</si>
  <si>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</si>
  <si>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</si>
  <si>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</si>
  <si>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</si>
  <si>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</si>
  <si>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</si>
  <si>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</si>
  <si>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</si>
  <si>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</si>
  <si>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</si>
  <si>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</si>
  <si>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</si>
  <si>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</si>
  <si>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</si>
  <si>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</si>
  <si>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</si>
  <si>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</si>
  <si>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</si>
  <si>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</si>
  <si>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</si>
  <si>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</si>
  <si>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</si>
  <si>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</si>
  <si>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</si>
  <si>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</si>
  <si>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</si>
  <si>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</si>
  <si>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</si>
  <si>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</si>
  <si>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</si>
  <si>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</si>
  <si>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</si>
  <si>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</si>
  <si>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</si>
  <si>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</si>
  <si>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</si>
  <si>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</si>
  <si>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</si>
  <si>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</si>
  <si>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</si>
  <si>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</si>
  <si>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</si>
  <si>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</si>
  <si>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</si>
  <si>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</si>
  <si>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</si>
  <si>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</si>
  <si>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</si>
  <si>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</si>
  <si>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</si>
  <si>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</si>
  <si>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</si>
  <si>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</si>
  <si>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</si>
  <si>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</si>
  <si>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</si>
  <si>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</si>
  <si>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</si>
  <si>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</si>
  <si>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</si>
  <si>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</si>
  <si>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</si>
  <si>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</si>
  <si>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</si>
  <si>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</si>
  <si>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</si>
  <si>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</si>
  <si>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</si>
  <si>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</si>
  <si>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</si>
  <si>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</si>
  <si>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</si>
  <si>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</si>
  <si>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</si>
  <si>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</si>
  <si>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</si>
  <si>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</si>
  <si>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</si>
  <si>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</si>
  <si>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</si>
  <si>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</si>
  <si>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</si>
  <si>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</si>
  <si>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</si>
  <si>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</si>
  <si>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</si>
  <si>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</si>
  <si>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</si>
  <si>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</si>
  <si>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</si>
  <si>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</si>
  <si>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</si>
  <si>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</si>
  <si>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</si>
  <si>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</si>
  <si>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</si>
  <si>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</si>
  <si>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</si>
  <si>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</si>
  <si>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</si>
  <si>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</si>
  <si>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</si>
  <si>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</si>
  <si>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</si>
  <si>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</si>
  <si>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</si>
  <si>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</si>
  <si>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</si>
  <si>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</si>
  <si>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</si>
  <si>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</si>
  <si>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</si>
  <si>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</si>
  <si>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</si>
  <si>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</si>
  <si>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</si>
  <si>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</si>
  <si>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</si>
  <si>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</si>
  <si>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</si>
  <si>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</si>
  <si>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</si>
  <si>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</si>
  <si>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</si>
  <si>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</si>
  <si>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</si>
  <si>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</si>
  <si>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</si>
  <si>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</si>
  <si>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</si>
  <si>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</si>
  <si>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</si>
  <si>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</si>
  <si>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</si>
  <si>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</si>
  <si>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</si>
  <si>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</si>
  <si>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</si>
  <si>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</si>
  <si>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</si>
  <si>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</si>
  <si>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</si>
  <si>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</si>
  <si>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</si>
  <si>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</si>
  <si>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</si>
  <si>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</si>
  <si>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</si>
  <si>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</si>
  <si>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</si>
  <si>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</si>
  <si>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</si>
  <si>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</si>
  <si>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</si>
  <si>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</si>
  <si>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</si>
  <si>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</si>
  <si>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</si>
  <si>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</si>
  <si>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</si>
  <si>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</si>
  <si>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</si>
  <si>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</si>
  <si>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</si>
  <si>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</si>
  <si>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</si>
  <si>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</si>
  <si>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</si>
  <si>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</si>
  <si>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</si>
  <si>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</si>
  <si>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</si>
  <si>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</si>
  <si>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</si>
  <si>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</si>
  <si>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</si>
  <si>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</si>
  <si>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</si>
  <si>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</si>
  <si>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</si>
  <si>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</si>
  <si>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</si>
  <si>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</si>
  <si>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</si>
  <si>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</si>
  <si>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</si>
  <si>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</si>
  <si>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</si>
  <si>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</si>
  <si>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</si>
  <si>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</si>
  <si>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</si>
  <si>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</si>
  <si>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</si>
  <si>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</si>
  <si>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</si>
  <si>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</si>
  <si>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</si>
  <si>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</si>
  <si>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</si>
  <si>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</si>
  <si>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</si>
  <si>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</si>
  <si>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</si>
  <si>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</si>
  <si>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</si>
  <si>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</si>
  <si>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</si>
  <si>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</si>
  <si>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</si>
  <si>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</si>
  <si>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</si>
  <si>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</si>
  <si>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</si>
  <si>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</si>
  <si>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</si>
  <si>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</si>
  <si>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</si>
  <si>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</si>
  <si>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</si>
  <si>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</si>
  <si>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</si>
  <si>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</si>
  <si>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</si>
  <si>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</si>
  <si>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</si>
  <si>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</si>
  <si>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</si>
  <si>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</si>
  <si>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</si>
  <si>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</si>
  <si>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</si>
  <si>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</si>
  <si>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</si>
  <si>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</si>
  <si>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</si>
  <si>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</si>
  <si>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</si>
  <si>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</si>
  <si>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</si>
  <si>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</si>
  <si>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</si>
  <si>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</si>
  <si>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</si>
  <si>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</si>
  <si>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</si>
  <si>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</si>
  <si>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</si>
  <si>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</si>
  <si>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</si>
  <si>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</si>
  <si>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</si>
  <si>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</si>
  <si>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</si>
  <si>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</si>
  <si>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</si>
  <si>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</si>
  <si>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</si>
  <si>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</si>
  <si>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</si>
  <si>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</si>
  <si>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</si>
  <si>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</si>
  <si>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</si>
  <si>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</si>
  <si>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</si>
  <si>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</si>
  <si>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</si>
  <si>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</si>
  <si>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</si>
  <si>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</si>
  <si>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</si>
  <si>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</si>
  <si>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</si>
  <si>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</si>
  <si>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</si>
  <si>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</si>
  <si>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</si>
  <si>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</si>
  <si>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</si>
  <si>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</si>
  <si>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</si>
  <si>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</si>
  <si>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</si>
  <si>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</si>
  <si>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</si>
  <si>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</si>
  <si>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</si>
  <si>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</si>
  <si>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</si>
  <si>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</si>
  <si>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</si>
  <si>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</si>
  <si>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</si>
  <si>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</si>
  <si>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</si>
  <si>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</si>
  <si>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</si>
  <si>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</si>
  <si>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</si>
  <si>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</si>
  <si>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</si>
  <si>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</si>
  <si>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</si>
  <si>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</si>
  <si>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</si>
  <si>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</si>
  <si>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</si>
  <si>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</si>
  <si>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</si>
  <si>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</si>
  <si>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031/0031/B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</si>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</sst>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R$&quot;\ #,##0.00;[Red]\-&quot;R$&quot;\ #,##0.00"/>
    <numFmt numFmtId="165" formatCode="_-&quot;R$&quot;\ * #,##0.00_-;\-&quot;R$&quot;\ * #,##0.00_-;_-&quot;R$&quot;\ * &quot;-&quot;??_-;_-@_-"/>
    <numFmt numFmtId="166" formatCode="_-* #,##0.00_-;\-* #,##0.00_-;_-* &quot;-&quot;??_-;_-@_-"/>
    <numFmt numFmtId="167" formatCode="0##&quot;.&quot;###&quot;.&quot;###\-##"/>
    <numFmt numFmtId="168" formatCode="&quot;R$&quot;\ #,##0.00"/>
    <numFmt numFmtId="169" formatCode="[$-416]dd\-mmm\-yy;@"/>
    <numFmt numFmtId="170" formatCode="[$-416]d\-mmm\-yy;@"/>
    <numFmt numFmtId="171" formatCode="&quot;R$&quot;\ #,##0.00;[Red]&quot;R$&quot;\ #,##0.00"/>
  </numFmts>
  <fonts count="6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6" fontId="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7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5" fontId="6" fillId="0" borderId="1" xfId="4" applyFont="1" applyBorder="1" applyAlignment="1">
      <alignment horizontal="left" vertical="center"/>
    </xf>
    <xf numFmtId="167" fontId="0" fillId="0" borderId="1" xfId="0" applyNumberFormat="1" applyBorder="1"/>
    <xf numFmtId="0" fontId="11" fillId="0" borderId="1" xfId="0" applyFont="1" applyBorder="1"/>
    <xf numFmtId="167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7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5" fontId="1" fillId="0" borderId="1" xfId="4" applyFont="1" applyBorder="1" applyAlignment="1">
      <alignment horizontal="left" vertical="center"/>
    </xf>
    <xf numFmtId="167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7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7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8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9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9" fontId="48" fillId="11" borderId="11" xfId="0" applyNumberFormat="1" applyFont="1" applyFill="1" applyBorder="1" applyAlignment="1">
      <alignment horizontal="center" vertical="center" wrapText="1"/>
    </xf>
    <xf numFmtId="169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9" fontId="43" fillId="0" borderId="17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/>
    </xf>
    <xf numFmtId="169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9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9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9" fontId="44" fillId="0" borderId="8" xfId="0" applyNumberFormat="1" applyFont="1" applyBorder="1" applyAlignment="1">
      <alignment horizontal="center" vertical="center"/>
    </xf>
    <xf numFmtId="169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70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70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9" fontId="53" fillId="0" borderId="9" xfId="0" applyNumberFormat="1" applyFont="1" applyBorder="1" applyAlignment="1">
      <alignment horizontal="center" vertical="center"/>
    </xf>
    <xf numFmtId="170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70" fontId="48" fillId="25" borderId="14" xfId="0" applyNumberFormat="1" applyFont="1" applyFill="1" applyBorder="1" applyAlignment="1">
      <alignment horizontal="center" vertical="center" wrapText="1"/>
    </xf>
    <xf numFmtId="170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164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71" fontId="32" fillId="21" borderId="15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 wrapText="1"/>
    </xf>
    <xf numFmtId="171" fontId="55" fillId="21" borderId="9" xfId="0" applyNumberFormat="1" applyFont="1" applyFill="1" applyBorder="1" applyAlignment="1">
      <alignment horizontal="center" vertical="center"/>
    </xf>
    <xf numFmtId="171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9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70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9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164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9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9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9" fontId="44" fillId="0" borderId="18" xfId="0" applyNumberFormat="1" applyFont="1" applyBorder="1" applyAlignment="1">
      <alignment horizontal="center" vertical="center"/>
    </xf>
    <xf numFmtId="170" fontId="44" fillId="0" borderId="18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9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9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9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9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9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5" fillId="30" borderId="1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9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9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G118" activePane="bottomRight" state="frozen"/>
      <selection pane="bottomRight" activeCell="AH118" sqref="AH118"/>
      <selection pane="bottomLeft" activeCell="A14" sqref="A14"/>
      <selection pane="topRight" activeCell="G13" sqref="G13"/>
    </sheetView>
  </sheetViews>
  <sheetFormatPr defaultColWidth="9.140625" defaultRowHeight="30" customHeight="1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>
      <c r="O1" s="124"/>
      <c r="Z1" s="124"/>
      <c r="AZ1" s="124"/>
      <c r="BA1" s="122"/>
      <c r="BB1" s="122"/>
      <c r="BC1" s="122"/>
    </row>
    <row r="2" spans="1:107" ht="30" hidden="1" customHeight="1">
      <c r="O2" s="124"/>
      <c r="Z2" s="124"/>
      <c r="AZ2" s="124"/>
      <c r="BA2" s="122"/>
      <c r="BB2" s="122"/>
      <c r="BC2" s="122"/>
    </row>
    <row r="3" spans="1:107" ht="30" hidden="1" customHeight="1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>
      <c r="O10" s="124"/>
      <c r="Z10" s="124"/>
      <c r="AP10" s="123" t="s">
        <v>33</v>
      </c>
      <c r="AQ10" s="304"/>
      <c r="AR10" s="304"/>
      <c r="AS10" s="304"/>
      <c r="AT10" s="304"/>
      <c r="AU10" s="304"/>
      <c r="AV10" s="123"/>
      <c r="AW10" s="123"/>
      <c r="AY10" s="122"/>
      <c r="AZ10" s="122"/>
      <c r="BA10" s="122"/>
      <c r="BB10" s="122"/>
      <c r="BC10" s="122"/>
    </row>
    <row r="11" spans="1:107" ht="30" hidden="1" customHeight="1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>
      <c r="A12" s="308" t="s">
        <v>34</v>
      </c>
      <c r="B12" s="30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10"/>
      <c r="P12" s="305" t="s">
        <v>35</v>
      </c>
      <c r="Q12" s="305"/>
      <c r="R12" s="305"/>
      <c r="S12" s="305"/>
      <c r="T12" s="305"/>
      <c r="U12" s="306"/>
      <c r="V12" s="305"/>
      <c r="W12" s="305"/>
      <c r="X12" s="305"/>
      <c r="Y12" s="306"/>
      <c r="Z12" s="305"/>
      <c r="AA12" s="307"/>
      <c r="AB12" s="311" t="s">
        <v>36</v>
      </c>
      <c r="AC12" s="311"/>
      <c r="AD12" s="311"/>
      <c r="AE12" s="311"/>
      <c r="AF12" s="311"/>
      <c r="AG12" s="311"/>
      <c r="AH12" s="311"/>
      <c r="AI12" s="311"/>
      <c r="AJ12" s="311"/>
      <c r="AK12" s="311"/>
      <c r="AL12" s="311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/>
      <c r="AX12" s="311"/>
      <c r="AY12" s="312"/>
      <c r="AZ12" s="312"/>
      <c r="BA12" s="311"/>
      <c r="BB12" s="313" t="s">
        <v>37</v>
      </c>
      <c r="BC12" s="314"/>
      <c r="BD12" s="302"/>
      <c r="BE12" s="303"/>
      <c r="BF12" s="303"/>
      <c r="BG12" s="303"/>
      <c r="BH12" s="303"/>
      <c r="BI12" s="303"/>
      <c r="BJ12" s="303"/>
      <c r="BK12" s="303"/>
      <c r="BL12" s="303"/>
      <c r="BM12" s="303"/>
    </row>
    <row r="13" spans="1:107" s="123" customFormat="1" ht="38.25" customHeight="1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45" si="0">IF(AY14-KG14=0,"",AY14-O14)</f>
        <v/>
      </c>
      <c r="BD14" s="137" t="str">
        <f t="shared" ref="BD14:BD45" si="1">IF(AND(AI14&lt;&gt;"SIM",AI14="UH"),"AA","INDENIZAÇÃO")</f>
        <v>INDENIZAÇÃO</v>
      </c>
      <c r="BE14" s="137" t="str">
        <f t="shared" ref="BE14:BE4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hidden="1" customHeight="1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hidden="1" customHeight="1">
      <c r="A16" s="204">
        <v>3</v>
      </c>
      <c r="B16" s="204" t="s">
        <v>99</v>
      </c>
      <c r="C16" s="233" t="s">
        <v>100</v>
      </c>
      <c r="D16" s="205" t="s">
        <v>101</v>
      </c>
      <c r="E16" s="204" t="s">
        <v>101</v>
      </c>
      <c r="F16" s="234" t="s">
        <v>116</v>
      </c>
      <c r="G16" s="235" t="s">
        <v>1</v>
      </c>
      <c r="H16" s="235" t="s">
        <v>11</v>
      </c>
      <c r="I16" s="235" t="s">
        <v>3</v>
      </c>
      <c r="J16" s="236" t="s">
        <v>117</v>
      </c>
      <c r="K16" s="236" t="s">
        <v>118</v>
      </c>
      <c r="L16" s="300" t="s">
        <v>119</v>
      </c>
      <c r="M16" s="204" t="s">
        <v>110</v>
      </c>
      <c r="N16" s="204" t="s">
        <v>5</v>
      </c>
      <c r="O16" s="151">
        <v>46164</v>
      </c>
      <c r="P16" s="151" t="s">
        <v>24</v>
      </c>
      <c r="Q16" s="151" t="s">
        <v>111</v>
      </c>
      <c r="R16" s="151" t="s">
        <v>111</v>
      </c>
      <c r="S16" s="142" t="s">
        <v>111</v>
      </c>
      <c r="T16" s="142" t="s">
        <v>111</v>
      </c>
      <c r="U16" s="142" t="s">
        <v>111</v>
      </c>
      <c r="V16" s="142" t="s">
        <v>111</v>
      </c>
      <c r="W16" s="142" t="s">
        <v>111</v>
      </c>
      <c r="X16" s="142" t="s">
        <v>111</v>
      </c>
      <c r="Y16" s="142" t="s">
        <v>111</v>
      </c>
      <c r="Z16" s="142" t="s">
        <v>111</v>
      </c>
      <c r="AA16" s="137"/>
      <c r="AB16" s="236" t="s">
        <v>120</v>
      </c>
      <c r="AC16" s="236" t="s">
        <v>118</v>
      </c>
      <c r="AD16" s="300" t="s">
        <v>119</v>
      </c>
      <c r="AE16" s="235" t="s">
        <v>3</v>
      </c>
      <c r="AF16" s="204" t="s">
        <v>110</v>
      </c>
      <c r="AG16" s="143">
        <v>70118.16</v>
      </c>
      <c r="AH16" s="143">
        <v>70118.16</v>
      </c>
      <c r="AI16" s="137" t="s">
        <v>6</v>
      </c>
      <c r="AJ16" s="141" t="s">
        <v>105</v>
      </c>
      <c r="AK16" s="204">
        <v>150716045</v>
      </c>
      <c r="AL16" s="137" t="s">
        <v>112</v>
      </c>
      <c r="AM16" s="137" t="s">
        <v>112</v>
      </c>
      <c r="AN16" s="137" t="s">
        <v>113</v>
      </c>
      <c r="AO16" s="137"/>
      <c r="AP16" s="234" t="s">
        <v>121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37" t="s">
        <v>112</v>
      </c>
      <c r="AW16" s="145" t="s">
        <v>33</v>
      </c>
      <c r="AX16" s="144"/>
      <c r="AY16" s="144"/>
      <c r="AZ16" s="145"/>
      <c r="BA16" s="145" t="s">
        <v>1</v>
      </c>
      <c r="BB16" s="147"/>
      <c r="BC16" s="146" t="str">
        <f t="shared" si="0"/>
        <v/>
      </c>
      <c r="BD16" s="137" t="str">
        <f t="shared" si="1"/>
        <v>INDENIZAÇÃO</v>
      </c>
      <c r="BE16" s="137" t="str">
        <f t="shared" si="2"/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122</v>
      </c>
      <c r="G17" s="235" t="s">
        <v>1</v>
      </c>
      <c r="H17" s="235" t="s">
        <v>2</v>
      </c>
      <c r="I17" s="235" t="s">
        <v>12</v>
      </c>
      <c r="J17" s="234" t="s">
        <v>123</v>
      </c>
      <c r="K17" s="234" t="s">
        <v>124</v>
      </c>
      <c r="L17" s="234" t="s">
        <v>125</v>
      </c>
      <c r="M17" s="204" t="s">
        <v>110</v>
      </c>
      <c r="N17" s="204" t="s">
        <v>126</v>
      </c>
      <c r="O17" s="151">
        <v>45726</v>
      </c>
      <c r="P17" s="151" t="s">
        <v>127</v>
      </c>
      <c r="Q17" s="234" t="s">
        <v>128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0"/>
        <v/>
      </c>
      <c r="BD17" s="137" t="str">
        <f t="shared" si="1"/>
        <v>INDENIZAÇÃO</v>
      </c>
      <c r="BE17" s="137" t="str">
        <f t="shared" si="2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129</v>
      </c>
      <c r="G18" s="235" t="s">
        <v>1</v>
      </c>
      <c r="H18" s="235" t="s">
        <v>2</v>
      </c>
      <c r="I18" s="235" t="s">
        <v>12</v>
      </c>
      <c r="J18" s="234" t="s">
        <v>130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0"/>
        <v/>
      </c>
      <c r="BD18" s="137" t="str">
        <f t="shared" si="1"/>
        <v>INDENIZAÇÃO</v>
      </c>
      <c r="BE18" s="137" t="str">
        <f t="shared" si="2"/>
        <v>NÃO</v>
      </c>
      <c r="BK18" s="151"/>
      <c r="BN18" s="265"/>
    </row>
    <row r="19" spans="1:67" s="137" customFormat="1" ht="30" hidden="1" customHeight="1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131</v>
      </c>
      <c r="G19" s="235" t="s">
        <v>1</v>
      </c>
      <c r="H19" s="235" t="s">
        <v>2</v>
      </c>
      <c r="I19" s="235" t="s">
        <v>12</v>
      </c>
      <c r="J19" s="234" t="s">
        <v>132</v>
      </c>
      <c r="K19" s="234" t="s">
        <v>133</v>
      </c>
      <c r="L19" s="234" t="s">
        <v>134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0"/>
        <v/>
      </c>
      <c r="BD19" s="137" t="str">
        <f t="shared" si="1"/>
        <v>INDENIZAÇÃO</v>
      </c>
      <c r="BE19" s="137" t="str">
        <f t="shared" si="2"/>
        <v>NÃO</v>
      </c>
      <c r="BK19" s="151"/>
      <c r="BN19" s="265"/>
    </row>
    <row r="20" spans="1:67" s="137" customFormat="1" ht="30" hidden="1" customHeight="1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135</v>
      </c>
      <c r="G20" s="235" t="s">
        <v>1</v>
      </c>
      <c r="H20" s="235" t="s">
        <v>2</v>
      </c>
      <c r="I20" s="235" t="s">
        <v>12</v>
      </c>
      <c r="J20" s="234" t="s">
        <v>136</v>
      </c>
      <c r="K20" s="234" t="s">
        <v>137</v>
      </c>
      <c r="L20" s="234" t="s">
        <v>138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0"/>
        <v/>
      </c>
      <c r="BD20" s="137" t="str">
        <f t="shared" si="1"/>
        <v>INDENIZAÇÃO</v>
      </c>
      <c r="BE20" s="137" t="str">
        <f t="shared" si="2"/>
        <v>NÃO</v>
      </c>
      <c r="BK20" s="151"/>
      <c r="BN20" s="265"/>
    </row>
    <row r="21" spans="1:67" s="137" customFormat="1" ht="30" hidden="1" customHeight="1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139</v>
      </c>
      <c r="G21" s="235" t="s">
        <v>1</v>
      </c>
      <c r="H21" s="235" t="s">
        <v>2</v>
      </c>
      <c r="I21" s="235" t="s">
        <v>12</v>
      </c>
      <c r="J21" s="234" t="s">
        <v>140</v>
      </c>
      <c r="K21" s="234" t="s">
        <v>141</v>
      </c>
      <c r="L21" s="234" t="s">
        <v>142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0"/>
        <v/>
      </c>
      <c r="BD21" s="137" t="str">
        <f t="shared" si="1"/>
        <v>INDENIZAÇÃO</v>
      </c>
      <c r="BE21" s="137" t="str">
        <f t="shared" si="2"/>
        <v>NÃO</v>
      </c>
      <c r="BK21" s="151"/>
      <c r="BN21" s="265"/>
    </row>
    <row r="22" spans="1:67" s="137" customFormat="1" ht="30" hidden="1" customHeight="1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143</v>
      </c>
      <c r="G22" s="235" t="s">
        <v>1</v>
      </c>
      <c r="H22" s="235" t="s">
        <v>2</v>
      </c>
      <c r="I22" s="235" t="s">
        <v>12</v>
      </c>
      <c r="J22" s="234" t="s">
        <v>144</v>
      </c>
      <c r="K22" s="234" t="s">
        <v>145</v>
      </c>
      <c r="L22" s="234" t="s">
        <v>146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144</v>
      </c>
      <c r="AC22" s="234" t="s">
        <v>145</v>
      </c>
      <c r="AD22" s="234" t="s">
        <v>146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147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0"/>
        <v>77</v>
      </c>
      <c r="BD22" s="137" t="str">
        <f t="shared" si="1"/>
        <v>INDENIZAÇÃO</v>
      </c>
      <c r="BE22" s="137" t="str">
        <f t="shared" si="2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hidden="1" customHeight="1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148</v>
      </c>
      <c r="G23" s="235" t="s">
        <v>1</v>
      </c>
      <c r="H23" s="235" t="s">
        <v>2</v>
      </c>
      <c r="I23" s="235" t="s">
        <v>12</v>
      </c>
      <c r="J23" s="234" t="s">
        <v>149</v>
      </c>
      <c r="K23" s="234" t="s">
        <v>150</v>
      </c>
      <c r="L23" s="234" t="s">
        <v>151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149</v>
      </c>
      <c r="AC23" s="234" t="s">
        <v>150</v>
      </c>
      <c r="AD23" s="234" t="s">
        <v>151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152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0"/>
        <v>84</v>
      </c>
      <c r="BD23" s="137" t="str">
        <f t="shared" si="1"/>
        <v>INDENIZAÇÃO</v>
      </c>
      <c r="BE23" s="137" t="str">
        <f t="shared" si="2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153</v>
      </c>
      <c r="G24" s="235" t="s">
        <v>1</v>
      </c>
      <c r="H24" s="235" t="s">
        <v>154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0"/>
        <v/>
      </c>
      <c r="BD24" s="137" t="str">
        <f t="shared" si="1"/>
        <v>INDENIZAÇÃO</v>
      </c>
      <c r="BE24" s="137" t="str">
        <f t="shared" si="2"/>
        <v>NÃO</v>
      </c>
      <c r="BK24" s="151"/>
      <c r="BN24" s="265"/>
    </row>
    <row r="25" spans="1:67" s="137" customFormat="1" ht="30" hidden="1" customHeight="1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155</v>
      </c>
      <c r="G25" s="235" t="s">
        <v>1</v>
      </c>
      <c r="H25" s="235" t="s">
        <v>2</v>
      </c>
      <c r="I25" s="235" t="s">
        <v>12</v>
      </c>
      <c r="J25" s="234" t="s">
        <v>156</v>
      </c>
      <c r="K25" s="234">
        <v>34164013</v>
      </c>
      <c r="L25" s="234" t="s">
        <v>157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0"/>
        <v/>
      </c>
      <c r="BD25" s="137" t="str">
        <f t="shared" si="1"/>
        <v>INDENIZAÇÃO</v>
      </c>
      <c r="BE25" s="137" t="str">
        <f t="shared" si="2"/>
        <v>NÃO</v>
      </c>
      <c r="BK25" s="151"/>
      <c r="BN25" s="265"/>
    </row>
    <row r="26" spans="1:67" s="137" customFormat="1" ht="30" hidden="1" customHeight="1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158</v>
      </c>
      <c r="G26" s="235" t="s">
        <v>1</v>
      </c>
      <c r="H26" s="235" t="s">
        <v>2</v>
      </c>
      <c r="I26" s="235" t="s">
        <v>12</v>
      </c>
      <c r="J26" s="234" t="s">
        <v>159</v>
      </c>
      <c r="K26" s="234">
        <v>331023</v>
      </c>
      <c r="L26" s="234" t="s">
        <v>160</v>
      </c>
      <c r="M26" s="204" t="s">
        <v>110</v>
      </c>
      <c r="N26" s="204" t="s">
        <v>161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159</v>
      </c>
      <c r="AC26" s="234">
        <v>331023</v>
      </c>
      <c r="AD26" s="234" t="s">
        <v>160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162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163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37" t="s">
        <v>112</v>
      </c>
      <c r="AW26" s="145" t="s">
        <v>33</v>
      </c>
      <c r="AX26" s="144"/>
      <c r="AY26" s="144"/>
      <c r="AZ26" s="145"/>
      <c r="BA26" s="145" t="s">
        <v>1</v>
      </c>
      <c r="BB26" s="147"/>
      <c r="BC26" s="146" t="str">
        <f t="shared" si="0"/>
        <v/>
      </c>
      <c r="BD26" s="137" t="str">
        <f t="shared" si="1"/>
        <v>INDENIZAÇÃO</v>
      </c>
      <c r="BE26" s="137" t="str">
        <f t="shared" si="2"/>
        <v>NÃO</v>
      </c>
      <c r="BK26" s="151"/>
      <c r="BN26" s="265"/>
    </row>
    <row r="27" spans="1:67" s="137" customFormat="1" ht="30" hidden="1" customHeight="1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164</v>
      </c>
      <c r="G27" s="235" t="s">
        <v>1</v>
      </c>
      <c r="H27" s="235" t="s">
        <v>2</v>
      </c>
      <c r="I27" s="235" t="s">
        <v>12</v>
      </c>
      <c r="J27" s="234" t="s">
        <v>165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0"/>
        <v/>
      </c>
      <c r="BD27" s="137" t="str">
        <f t="shared" si="1"/>
        <v>INDENIZAÇÃO</v>
      </c>
      <c r="BE27" s="137" t="str">
        <f t="shared" si="2"/>
        <v>NÃO</v>
      </c>
      <c r="BK27" s="151"/>
      <c r="BN27" s="264"/>
      <c r="BO27" s="204"/>
    </row>
    <row r="28" spans="1:67" s="137" customFormat="1" ht="30" hidden="1" customHeight="1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166</v>
      </c>
      <c r="G28" s="235" t="s">
        <v>1</v>
      </c>
      <c r="H28" s="235" t="s">
        <v>2</v>
      </c>
      <c r="I28" s="235" t="s">
        <v>12</v>
      </c>
      <c r="J28" s="234" t="s">
        <v>167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0"/>
        <v/>
      </c>
      <c r="BD28" s="137" t="str">
        <f t="shared" si="1"/>
        <v>INDENIZAÇÃO</v>
      </c>
      <c r="BE28" s="137" t="str">
        <f t="shared" si="2"/>
        <v>NÃO</v>
      </c>
      <c r="BK28" s="151"/>
      <c r="BN28" s="264"/>
      <c r="BO28" s="204"/>
    </row>
    <row r="29" spans="1:67" s="137" customFormat="1" ht="30" hidden="1" customHeight="1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168</v>
      </c>
      <c r="G29" s="235" t="s">
        <v>1</v>
      </c>
      <c r="H29" s="235" t="s">
        <v>2</v>
      </c>
      <c r="I29" s="235" t="s">
        <v>12</v>
      </c>
      <c r="J29" s="234" t="s">
        <v>169</v>
      </c>
      <c r="K29" s="234">
        <v>383588790</v>
      </c>
      <c r="L29" s="234" t="s">
        <v>170</v>
      </c>
      <c r="M29" s="204" t="s">
        <v>110</v>
      </c>
      <c r="N29" s="204" t="s">
        <v>126</v>
      </c>
      <c r="O29" s="151">
        <v>45726</v>
      </c>
      <c r="P29" s="151" t="s">
        <v>171</v>
      </c>
      <c r="Q29" s="234" t="s">
        <v>128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0"/>
        <v/>
      </c>
      <c r="BD29" s="137" t="str">
        <f t="shared" si="1"/>
        <v>INDENIZAÇÃO</v>
      </c>
      <c r="BE29" s="137" t="str">
        <f t="shared" si="2"/>
        <v>NÃO</v>
      </c>
      <c r="BK29" s="151"/>
      <c r="BN29" s="265"/>
    </row>
    <row r="30" spans="1:67" s="137" customFormat="1" ht="30" hidden="1" customHeight="1">
      <c r="A30" s="204">
        <v>17</v>
      </c>
      <c r="B30" s="204" t="s">
        <v>99</v>
      </c>
      <c r="C30" s="233" t="s">
        <v>172</v>
      </c>
      <c r="D30" s="205" t="s">
        <v>101</v>
      </c>
      <c r="E30" s="204" t="s">
        <v>101</v>
      </c>
      <c r="F30" s="234" t="s">
        <v>173</v>
      </c>
      <c r="G30" s="235" t="s">
        <v>1</v>
      </c>
      <c r="H30" s="235" t="s">
        <v>2</v>
      </c>
      <c r="I30" s="235" t="s">
        <v>12</v>
      </c>
      <c r="J30" s="234" t="s">
        <v>174</v>
      </c>
      <c r="K30" s="234" t="s">
        <v>175</v>
      </c>
      <c r="L30" s="234" t="s">
        <v>175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0"/>
        <v/>
      </c>
      <c r="BD30" s="137" t="str">
        <f t="shared" si="1"/>
        <v>INDENIZAÇÃO</v>
      </c>
      <c r="BE30" s="137" t="str">
        <f t="shared" si="2"/>
        <v>NÃO</v>
      </c>
      <c r="BK30" s="151"/>
      <c r="BN30" s="265"/>
    </row>
    <row r="31" spans="1:67" s="137" customFormat="1" ht="30" hidden="1" customHeight="1">
      <c r="A31" s="204">
        <v>18</v>
      </c>
      <c r="B31" s="204" t="s">
        <v>99</v>
      </c>
      <c r="C31" s="233" t="s">
        <v>172</v>
      </c>
      <c r="D31" s="205" t="s">
        <v>101</v>
      </c>
      <c r="E31" s="204" t="s">
        <v>101</v>
      </c>
      <c r="F31" s="234" t="s">
        <v>176</v>
      </c>
      <c r="G31" s="235" t="s">
        <v>1</v>
      </c>
      <c r="H31" s="235" t="s">
        <v>2</v>
      </c>
      <c r="I31" s="235" t="s">
        <v>12</v>
      </c>
      <c r="J31" s="234" t="s">
        <v>177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0"/>
        <v/>
      </c>
      <c r="BD31" s="137" t="str">
        <f t="shared" si="1"/>
        <v>INDENIZAÇÃO</v>
      </c>
      <c r="BE31" s="137" t="str">
        <f t="shared" si="2"/>
        <v>NÃO</v>
      </c>
      <c r="BK31" s="151"/>
      <c r="BN31" s="265"/>
    </row>
    <row r="32" spans="1:67" s="137" customFormat="1" ht="30" hidden="1" customHeight="1">
      <c r="A32" s="204">
        <v>19</v>
      </c>
      <c r="B32" s="204" t="s">
        <v>99</v>
      </c>
      <c r="C32" s="233" t="s">
        <v>172</v>
      </c>
      <c r="D32" s="205" t="s">
        <v>101</v>
      </c>
      <c r="E32" s="204" t="s">
        <v>101</v>
      </c>
      <c r="F32" s="234" t="s">
        <v>178</v>
      </c>
      <c r="G32" s="235" t="s">
        <v>1</v>
      </c>
      <c r="H32" s="235" t="s">
        <v>179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0"/>
        <v/>
      </c>
      <c r="BD32" s="137" t="str">
        <f t="shared" si="1"/>
        <v>INDENIZAÇÃO</v>
      </c>
      <c r="BE32" s="137" t="str">
        <f t="shared" si="2"/>
        <v>NÃO</v>
      </c>
      <c r="BK32" s="151"/>
      <c r="BN32" s="265"/>
    </row>
    <row r="33" spans="1:70" s="137" customFormat="1" ht="30" hidden="1" customHeight="1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180</v>
      </c>
      <c r="G33" s="235" t="s">
        <v>1</v>
      </c>
      <c r="H33" s="235" t="s">
        <v>2</v>
      </c>
      <c r="I33" s="235" t="s">
        <v>12</v>
      </c>
      <c r="J33" s="234" t="s">
        <v>181</v>
      </c>
      <c r="K33" s="234">
        <v>229657904</v>
      </c>
      <c r="L33" s="234" t="s">
        <v>182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0"/>
        <v/>
      </c>
      <c r="BD33" s="137" t="str">
        <f t="shared" si="1"/>
        <v>INDENIZAÇÃO</v>
      </c>
      <c r="BE33" s="137" t="str">
        <f t="shared" si="2"/>
        <v>NÃO</v>
      </c>
      <c r="BK33" s="151"/>
      <c r="BN33" s="265"/>
    </row>
    <row r="34" spans="1:70" s="204" customFormat="1" ht="30" hidden="1" customHeight="1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183</v>
      </c>
      <c r="G34" s="235" t="s">
        <v>1</v>
      </c>
      <c r="H34" s="235" t="s">
        <v>2</v>
      </c>
      <c r="I34" s="235" t="s">
        <v>12</v>
      </c>
      <c r="J34" s="234" t="s">
        <v>184</v>
      </c>
      <c r="K34" s="236" t="s">
        <v>185</v>
      </c>
      <c r="L34" s="234" t="s">
        <v>186</v>
      </c>
      <c r="M34" s="204" t="s">
        <v>110</v>
      </c>
      <c r="N34" s="204" t="s">
        <v>161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184</v>
      </c>
      <c r="AC34" s="236" t="s">
        <v>185</v>
      </c>
      <c r="AD34" s="234" t="s">
        <v>186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162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187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0"/>
        <v>85</v>
      </c>
      <c r="BD34" s="137" t="str">
        <f t="shared" si="1"/>
        <v>INDENIZAÇÃO</v>
      </c>
      <c r="BE34" s="137" t="str">
        <f t="shared" si="2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188</v>
      </c>
      <c r="BM34" s="145"/>
      <c r="BN34" s="264"/>
    </row>
    <row r="35" spans="1:70" s="137" customFormat="1" ht="30" hidden="1" customHeight="1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161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162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0"/>
        <v>88</v>
      </c>
      <c r="BD35" s="137" t="str">
        <f t="shared" si="1"/>
        <v>INDENIZAÇÃO</v>
      </c>
      <c r="BE35" s="137" t="str">
        <f t="shared" si="2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188</v>
      </c>
      <c r="BM35" s="145"/>
      <c r="BN35" s="266"/>
      <c r="BO35" s="152"/>
      <c r="BP35" s="152"/>
    </row>
    <row r="36" spans="1:70" s="137" customFormat="1" ht="30" hidden="1" customHeight="1">
      <c r="A36" s="204">
        <v>23</v>
      </c>
      <c r="B36" s="204" t="s">
        <v>99</v>
      </c>
      <c r="C36" s="233" t="s">
        <v>172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161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162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0"/>
        <v>39</v>
      </c>
      <c r="BD36" s="137" t="str">
        <f t="shared" si="1"/>
        <v>INDENIZAÇÃO</v>
      </c>
      <c r="BE36" s="137" t="str">
        <f t="shared" si="2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hidden="1" customHeight="1">
      <c r="A37" s="204">
        <v>24</v>
      </c>
      <c r="B37" s="204" t="s">
        <v>99</v>
      </c>
      <c r="C37" s="233" t="s">
        <v>172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161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162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0"/>
        <v>85</v>
      </c>
      <c r="BD37" s="137" t="str">
        <f t="shared" si="1"/>
        <v>INDENIZAÇÃO</v>
      </c>
      <c r="BE37" s="137" t="str">
        <f t="shared" si="2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188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>
      <c r="A38" s="204">
        <v>25</v>
      </c>
      <c r="B38" s="204" t="s">
        <v>99</v>
      </c>
      <c r="C38" s="233" t="s">
        <v>172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175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0"/>
        <v/>
      </c>
      <c r="BD38" s="137" t="str">
        <f t="shared" si="1"/>
        <v>INDENIZAÇÃO</v>
      </c>
      <c r="BE38" s="137" t="str">
        <f t="shared" si="2"/>
        <v>NÃO</v>
      </c>
      <c r="BK38" s="151"/>
      <c r="BN38" s="265"/>
    </row>
    <row r="39" spans="1:70" s="137" customFormat="1" ht="30" hidden="1" customHeight="1">
      <c r="A39" s="204">
        <v>26</v>
      </c>
      <c r="B39" s="204" t="s">
        <v>99</v>
      </c>
      <c r="C39" s="233" t="s">
        <v>172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0"/>
        <v/>
      </c>
      <c r="BD39" s="137" t="str">
        <f t="shared" si="1"/>
        <v>INDENIZAÇÃO</v>
      </c>
      <c r="BE39" s="137" t="str">
        <f t="shared" si="2"/>
        <v>NÃO</v>
      </c>
      <c r="BK39" s="151"/>
      <c r="BN39" s="264"/>
      <c r="BO39" s="204"/>
    </row>
    <row r="40" spans="1:70" s="137" customFormat="1" ht="30" hidden="1" customHeight="1">
      <c r="A40" s="204">
        <v>27</v>
      </c>
      <c r="B40" s="204" t="s">
        <v>99</v>
      </c>
      <c r="C40" s="233" t="s">
        <v>172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175</v>
      </c>
      <c r="L40" s="234" t="s">
        <v>175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0"/>
        <v/>
      </c>
      <c r="BD40" s="137" t="str">
        <f t="shared" si="1"/>
        <v>INDENIZAÇÃO</v>
      </c>
      <c r="BE40" s="137" t="str">
        <f t="shared" si="2"/>
        <v>NÃO</v>
      </c>
      <c r="BK40" s="151"/>
      <c r="BN40" s="264"/>
      <c r="BO40" s="204"/>
    </row>
    <row r="41" spans="1:70" s="137" customFormat="1" ht="30" hidden="1" customHeight="1">
      <c r="A41" s="204">
        <v>28</v>
      </c>
      <c r="B41" s="204" t="s">
        <v>99</v>
      </c>
      <c r="C41" s="233" t="s">
        <v>172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161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162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0"/>
        <v>105</v>
      </c>
      <c r="BD41" s="137" t="str">
        <f t="shared" si="1"/>
        <v>INDENIZAÇÃO</v>
      </c>
      <c r="BE41" s="137" t="str">
        <f t="shared" si="2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188</v>
      </c>
      <c r="BM41" s="145"/>
      <c r="BN41" s="264"/>
      <c r="BO41" s="204"/>
    </row>
    <row r="42" spans="1:70" s="137" customFormat="1" ht="30" hidden="1" customHeight="1">
      <c r="A42" s="204">
        <v>29</v>
      </c>
      <c r="B42" s="204" t="s">
        <v>99</v>
      </c>
      <c r="C42" s="233" t="s">
        <v>172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161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162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0"/>
        <v>164</v>
      </c>
      <c r="BD42" s="137" t="str">
        <f t="shared" si="1"/>
        <v>INDENIZAÇÃO</v>
      </c>
      <c r="BE42" s="137" t="str">
        <f t="shared" si="2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188</v>
      </c>
      <c r="BM42" s="145"/>
      <c r="BN42" s="266"/>
      <c r="BO42" s="152"/>
      <c r="BP42" s="152"/>
    </row>
    <row r="43" spans="1:70" s="137" customFormat="1" ht="30" hidden="1" customHeight="1">
      <c r="A43" s="204">
        <v>30</v>
      </c>
      <c r="B43" s="204" t="s">
        <v>99</v>
      </c>
      <c r="C43" s="233" t="s">
        <v>172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162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0"/>
        <v>109</v>
      </c>
      <c r="BD43" s="137" t="str">
        <f t="shared" si="1"/>
        <v>INDENIZAÇÃO</v>
      </c>
      <c r="BE43" s="137" t="str">
        <f t="shared" si="2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188</v>
      </c>
      <c r="BM43" s="145"/>
      <c r="BN43" s="264"/>
    </row>
    <row r="44" spans="1:70" s="137" customFormat="1" ht="30" hidden="1" customHeight="1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0"/>
        <v>58</v>
      </c>
      <c r="BD44" s="137" t="str">
        <f t="shared" si="1"/>
        <v>INDENIZAÇÃO</v>
      </c>
      <c r="BE44" s="137" t="str">
        <f t="shared" si="2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hidden="1" customHeight="1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0"/>
        <v>126</v>
      </c>
      <c r="BD45" s="137" t="str">
        <f t="shared" si="1"/>
        <v>INDENIZAÇÃO</v>
      </c>
      <c r="BE45" s="137" t="str">
        <f t="shared" si="2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hidden="1" customHeight="1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ref="BC46:BC77" si="3">IF(AY46-KG46=0,"",AY46-O46)</f>
        <v>58</v>
      </c>
      <c r="BD46" s="137" t="str">
        <f t="shared" ref="BD46:BD77" si="4">IF(AND(AI46&lt;&gt;"SIM",AI46="UH"),"AA","INDENIZAÇÃO")</f>
        <v>INDENIZAÇÃO</v>
      </c>
      <c r="BE46" s="137" t="str">
        <f t="shared" ref="BE46:BE77" si="5"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hidden="1" customHeight="1">
      <c r="A47" s="204">
        <v>34</v>
      </c>
      <c r="B47" s="204" t="s">
        <v>99</v>
      </c>
      <c r="C47" s="233" t="s">
        <v>172</v>
      </c>
      <c r="D47" s="205" t="s">
        <v>101</v>
      </c>
      <c r="E47" s="204" t="s">
        <v>101</v>
      </c>
      <c r="F47" s="234" t="s">
        <v>244</v>
      </c>
      <c r="G47" s="235" t="s">
        <v>1</v>
      </c>
      <c r="H47" s="235" t="s">
        <v>2</v>
      </c>
      <c r="I47" s="235" t="s">
        <v>12</v>
      </c>
      <c r="J47" s="234" t="s">
        <v>245</v>
      </c>
      <c r="K47" s="234" t="s">
        <v>246</v>
      </c>
      <c r="L47" s="234" t="s">
        <v>247</v>
      </c>
      <c r="M47" s="204"/>
      <c r="N47" s="204" t="s">
        <v>5</v>
      </c>
      <c r="O47" s="151">
        <v>46161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245</v>
      </c>
      <c r="AC47" s="234" t="s">
        <v>246</v>
      </c>
      <c r="AD47" s="234" t="s">
        <v>247</v>
      </c>
      <c r="AE47" s="204" t="s">
        <v>12</v>
      </c>
      <c r="AF47" s="204" t="s">
        <v>110</v>
      </c>
      <c r="AG47" s="143">
        <v>66944.06</v>
      </c>
      <c r="AH47" s="143">
        <v>66944.06</v>
      </c>
      <c r="AI47" s="137" t="s">
        <v>162</v>
      </c>
      <c r="AJ47" s="141" t="s">
        <v>105</v>
      </c>
      <c r="AK47" s="204">
        <v>150716185</v>
      </c>
      <c r="AL47" s="137" t="s">
        <v>112</v>
      </c>
      <c r="AM47" s="137" t="s">
        <v>112</v>
      </c>
      <c r="AN47" s="137" t="s">
        <v>113</v>
      </c>
      <c r="AO47" s="256"/>
      <c r="AP47" s="234" t="s">
        <v>248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37" t="s">
        <v>112</v>
      </c>
      <c r="AW47" s="145" t="s">
        <v>33</v>
      </c>
      <c r="AX47" s="144"/>
      <c r="AY47" s="144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N47" s="265"/>
    </row>
    <row r="48" spans="1:70" s="137" customFormat="1" ht="30" hidden="1" customHeight="1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162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204"/>
      <c r="AU48" s="151"/>
      <c r="AX48" s="151"/>
      <c r="AY48" s="142"/>
      <c r="AZ48" s="142"/>
      <c r="BB48" s="147"/>
      <c r="BC48" s="146" t="str">
        <f t="shared" si="3"/>
        <v/>
      </c>
      <c r="BD48" s="137" t="str">
        <f t="shared" si="4"/>
        <v>INDENIZAÇÃO</v>
      </c>
      <c r="BE48" s="137" t="str">
        <f t="shared" si="5"/>
        <v>NÃO</v>
      </c>
      <c r="BK48" s="151"/>
      <c r="BN48" s="265"/>
    </row>
    <row r="49" spans="1:78" s="137" customFormat="1" ht="30" hidden="1" customHeight="1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3"/>
        <v>94</v>
      </c>
      <c r="BD49" s="137" t="str">
        <f t="shared" si="4"/>
        <v>INDENIZAÇÃO</v>
      </c>
      <c r="BE49" s="137" t="str">
        <f t="shared" si="5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188</v>
      </c>
      <c r="BM49" s="145"/>
      <c r="BN49" s="265"/>
    </row>
    <row r="50" spans="1:78" s="137" customFormat="1" ht="30" hidden="1" customHeight="1">
      <c r="A50" s="204">
        <v>37</v>
      </c>
      <c r="B50" s="204" t="s">
        <v>99</v>
      </c>
      <c r="C50" s="233" t="s">
        <v>100</v>
      </c>
      <c r="D50" s="205" t="s">
        <v>101</v>
      </c>
      <c r="E50" s="204" t="s">
        <v>101</v>
      </c>
      <c r="F50" s="234" t="s">
        <v>262</v>
      </c>
      <c r="G50" s="235" t="s">
        <v>1</v>
      </c>
      <c r="H50" s="235" t="s">
        <v>2</v>
      </c>
      <c r="I50" s="235" t="s">
        <v>12</v>
      </c>
      <c r="J50" s="234" t="s">
        <v>263</v>
      </c>
      <c r="K50" s="234" t="s">
        <v>264</v>
      </c>
      <c r="L50" s="234" t="s">
        <v>265</v>
      </c>
      <c r="M50" s="204" t="s">
        <v>110</v>
      </c>
      <c r="N50" s="204" t="s">
        <v>161</v>
      </c>
      <c r="O50" s="151">
        <v>46161</v>
      </c>
      <c r="P50" s="151" t="s">
        <v>24</v>
      </c>
      <c r="Q50" s="151" t="s">
        <v>24</v>
      </c>
      <c r="R50" s="151" t="s">
        <v>24</v>
      </c>
      <c r="S50" s="142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263</v>
      </c>
      <c r="AC50" s="234" t="s">
        <v>264</v>
      </c>
      <c r="AD50" s="234" t="s">
        <v>265</v>
      </c>
      <c r="AE50" s="204" t="s">
        <v>12</v>
      </c>
      <c r="AF50" s="204" t="s">
        <v>110</v>
      </c>
      <c r="AG50" s="270">
        <v>28980.82</v>
      </c>
      <c r="AH50" s="143">
        <v>58980.82</v>
      </c>
      <c r="AI50" s="137" t="s">
        <v>6</v>
      </c>
      <c r="AJ50" s="141" t="s">
        <v>105</v>
      </c>
      <c r="AK50" s="204">
        <v>149303909</v>
      </c>
      <c r="AL50" s="137" t="s">
        <v>112</v>
      </c>
      <c r="AM50" s="137" t="s">
        <v>112</v>
      </c>
      <c r="AN50" s="137" t="s">
        <v>113</v>
      </c>
      <c r="AP50" s="234" t="s">
        <v>266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37" t="s">
        <v>112</v>
      </c>
      <c r="AW50" s="145" t="s">
        <v>33</v>
      </c>
      <c r="AX50" s="144"/>
      <c r="AY50" s="144"/>
      <c r="AZ50" s="145"/>
      <c r="BA50" s="145" t="s">
        <v>1</v>
      </c>
      <c r="BB50" s="147"/>
      <c r="BC50" s="146" t="str">
        <f t="shared" si="3"/>
        <v/>
      </c>
      <c r="BD50" s="137" t="str">
        <f t="shared" si="4"/>
        <v>INDENIZAÇÃO</v>
      </c>
      <c r="BE50" s="137" t="str">
        <f t="shared" si="5"/>
        <v>NÃO</v>
      </c>
      <c r="BK50" s="151"/>
      <c r="BN50" s="265"/>
    </row>
    <row r="51" spans="1:78" s="137" customFormat="1" ht="30" hidden="1" customHeight="1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3"/>
        <v>58</v>
      </c>
      <c r="BD51" s="137" t="str">
        <f t="shared" si="4"/>
        <v>INDENIZAÇÃO</v>
      </c>
      <c r="BE51" s="137" t="str">
        <f t="shared" si="5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hidden="1" customHeight="1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3"/>
        <v>143</v>
      </c>
      <c r="BD52" s="137" t="str">
        <f t="shared" si="4"/>
        <v>INDENIZAÇÃO</v>
      </c>
      <c r="BE52" s="137" t="str">
        <f t="shared" si="5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188</v>
      </c>
      <c r="BM52" s="145"/>
      <c r="BN52" s="265"/>
    </row>
    <row r="53" spans="1:78" s="137" customFormat="1" ht="30" hidden="1" customHeight="1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3"/>
        <v>58</v>
      </c>
      <c r="BD53" s="137" t="str">
        <f t="shared" si="4"/>
        <v>INDENIZAÇÃO</v>
      </c>
      <c r="BE53" s="137" t="str">
        <f t="shared" si="5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hidden="1" customHeight="1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3"/>
        <v>132</v>
      </c>
      <c r="BD54" s="137" t="str">
        <f t="shared" si="4"/>
        <v>INDENIZAÇÃO</v>
      </c>
      <c r="BE54" s="137" t="str">
        <f t="shared" si="5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188</v>
      </c>
      <c r="BM54" s="145"/>
      <c r="BN54" s="264"/>
    </row>
    <row r="55" spans="1:78" s="137" customFormat="1" ht="30" hidden="1" customHeight="1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3"/>
        <v>132</v>
      </c>
      <c r="BD55" s="137" t="str">
        <f t="shared" si="4"/>
        <v>INDENIZAÇÃO</v>
      </c>
      <c r="BE55" s="137" t="str">
        <f t="shared" si="5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188</v>
      </c>
      <c r="BM55" s="145"/>
      <c r="BN55" s="264"/>
    </row>
    <row r="56" spans="1:78" s="137" customFormat="1" ht="30" hidden="1" customHeight="1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3"/>
        <v/>
      </c>
      <c r="BD56" s="137" t="str">
        <f t="shared" si="4"/>
        <v>INDENIZAÇÃO</v>
      </c>
      <c r="BE56" s="137" t="str">
        <f t="shared" si="5"/>
        <v>NÃO</v>
      </c>
      <c r="BK56" s="151"/>
      <c r="BN56" s="265"/>
    </row>
    <row r="57" spans="1:78" s="137" customFormat="1" ht="30" hidden="1" customHeight="1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3"/>
        <v/>
      </c>
      <c r="BD57" s="137" t="str">
        <f t="shared" si="4"/>
        <v>INDENIZAÇÃO</v>
      </c>
      <c r="BE57" s="137" t="str">
        <f t="shared" si="5"/>
        <v>NÃO</v>
      </c>
      <c r="BK57" s="151"/>
      <c r="BN57" s="265"/>
    </row>
    <row r="58" spans="1:78" s="137" customFormat="1" ht="30" hidden="1" customHeight="1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3"/>
        <v>126</v>
      </c>
      <c r="BD58" s="137" t="str">
        <f t="shared" si="4"/>
        <v>INDENIZAÇÃO</v>
      </c>
      <c r="BE58" s="137" t="str">
        <f t="shared" si="5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188</v>
      </c>
      <c r="BM58" s="145"/>
      <c r="BN58" s="265"/>
    </row>
    <row r="59" spans="1:78" s="137" customFormat="1" ht="30" hidden="1" customHeight="1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3"/>
        <v>132</v>
      </c>
      <c r="BD59" s="137" t="str">
        <f t="shared" si="4"/>
        <v>INDENIZAÇÃO</v>
      </c>
      <c r="BE59" s="137" t="str">
        <f t="shared" si="5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188</v>
      </c>
      <c r="BM59" s="145"/>
      <c r="BN59" s="264"/>
    </row>
    <row r="60" spans="1:78" s="137" customFormat="1" ht="30" hidden="1" customHeight="1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3"/>
        <v>102</v>
      </c>
      <c r="BD60" s="137" t="str">
        <f t="shared" si="4"/>
        <v>INDENIZAÇÃO</v>
      </c>
      <c r="BE60" s="137" t="str">
        <f t="shared" si="5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hidden="1" customHeight="1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3"/>
        <v>102</v>
      </c>
      <c r="BD61" s="137" t="str">
        <f t="shared" si="4"/>
        <v>INDENIZAÇÃO</v>
      </c>
      <c r="BE61" s="137" t="str">
        <f t="shared" si="5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hidden="1" customHeight="1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3"/>
        <v>102</v>
      </c>
      <c r="BD62" s="137" t="str">
        <f t="shared" si="4"/>
        <v>INDENIZAÇÃO</v>
      </c>
      <c r="BE62" s="137" t="str">
        <f t="shared" si="5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hidden="1" customHeight="1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3"/>
        <v>126</v>
      </c>
      <c r="BD63" s="137" t="str">
        <f t="shared" si="4"/>
        <v>INDENIZAÇÃO</v>
      </c>
      <c r="BE63" s="137" t="str">
        <f t="shared" si="5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188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hidden="1" customHeight="1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3"/>
        <v>58</v>
      </c>
      <c r="BD64" s="137" t="str">
        <f t="shared" si="4"/>
        <v>INDENIZAÇÃO</v>
      </c>
      <c r="BE64" s="137" t="str">
        <f t="shared" si="5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3"/>
        <v/>
      </c>
      <c r="BD65" s="137" t="str">
        <f t="shared" si="4"/>
        <v>INDENIZAÇÃO</v>
      </c>
      <c r="BE65" s="137" t="str">
        <f t="shared" si="5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3"/>
        <v/>
      </c>
      <c r="BD66" s="137" t="str">
        <f t="shared" si="4"/>
        <v>INDENIZAÇÃO</v>
      </c>
      <c r="BE66" s="137" t="str">
        <f t="shared" si="5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175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3"/>
        <v/>
      </c>
      <c r="BD67" s="137" t="str">
        <f t="shared" si="4"/>
        <v>INDENIZAÇÃO</v>
      </c>
      <c r="BE67" s="137" t="str">
        <f t="shared" si="5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3"/>
        <v/>
      </c>
      <c r="BD68" s="137" t="str">
        <f t="shared" si="4"/>
        <v>INDENIZAÇÃO</v>
      </c>
      <c r="BE68" s="137" t="str">
        <f t="shared" si="5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hidden="1" customHeight="1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3"/>
        <v>98</v>
      </c>
      <c r="BD69" s="137" t="str">
        <f t="shared" si="4"/>
        <v>INDENIZAÇÃO</v>
      </c>
      <c r="BE69" s="137" t="str">
        <f t="shared" si="5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3"/>
        <v/>
      </c>
      <c r="BD70" s="137" t="str">
        <f t="shared" si="4"/>
        <v>INDENIZAÇÃO</v>
      </c>
      <c r="BE70" s="137" t="str">
        <f t="shared" si="5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hidden="1" customHeight="1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3"/>
        <v>58</v>
      </c>
      <c r="BD71" s="137" t="str">
        <f t="shared" si="4"/>
        <v>INDENIZAÇÃO</v>
      </c>
      <c r="BE71" s="137" t="str">
        <f t="shared" si="5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hidden="1" customHeight="1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3"/>
        <v>70</v>
      </c>
      <c r="BD72" s="137" t="str">
        <f t="shared" si="4"/>
        <v>INDENIZAÇÃO</v>
      </c>
      <c r="BE72" s="137" t="str">
        <f t="shared" si="5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hidden="1" customHeight="1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3"/>
        <v>132</v>
      </c>
      <c r="BD73" s="137" t="str">
        <f t="shared" si="4"/>
        <v>INDENIZAÇÃO</v>
      </c>
      <c r="BE73" s="137" t="str">
        <f t="shared" si="5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188</v>
      </c>
      <c r="BM73" s="145"/>
      <c r="BN73" s="264"/>
      <c r="BO73" s="137"/>
      <c r="BP73" s="137"/>
      <c r="BQ73" s="137"/>
      <c r="BR73" s="137"/>
    </row>
    <row r="74" spans="1:70" s="152" customFormat="1" ht="30" hidden="1" customHeight="1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3"/>
        <v>132</v>
      </c>
      <c r="BD74" s="137" t="str">
        <f t="shared" si="4"/>
        <v>INDENIZAÇÃO</v>
      </c>
      <c r="BE74" s="137" t="str">
        <f t="shared" si="5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hidden="1" customHeight="1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126</v>
      </c>
      <c r="O75" s="151">
        <v>45959</v>
      </c>
      <c r="P75" s="144" t="s">
        <v>17</v>
      </c>
      <c r="Q75" s="254" t="s">
        <v>128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3"/>
        <v>65</v>
      </c>
      <c r="BD75" s="137" t="str">
        <f t="shared" si="4"/>
        <v>INDENIZAÇÃO</v>
      </c>
      <c r="BE75" s="137" t="str">
        <f t="shared" si="5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hidden="1" customHeight="1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161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3"/>
        <v>106</v>
      </c>
      <c r="BD76" s="137" t="str">
        <f t="shared" si="4"/>
        <v>INDENIZAÇÃO</v>
      </c>
      <c r="BE76" s="137" t="str">
        <f t="shared" si="5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hidden="1" customHeight="1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3"/>
        <v>141</v>
      </c>
      <c r="BD77" s="137" t="str">
        <f t="shared" si="4"/>
        <v>INDENIZAÇÃO</v>
      </c>
      <c r="BE77" s="137" t="str">
        <f t="shared" si="5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hidden="1" customHeight="1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ref="BC78:BC109" si="6">IF(AY78-KG78=0,"",AY78-O78)</f>
        <v>127</v>
      </c>
      <c r="BD78" s="137" t="str">
        <f t="shared" ref="BD78:BD109" si="7">IF(AND(AI78&lt;&gt;"SIM",AI78="UH"),"AA","INDENIZAÇÃO")</f>
        <v>INDENIZAÇÃO</v>
      </c>
      <c r="BE78" s="137" t="str">
        <f t="shared" ref="BE78:BE109" si="8"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hidden="1" customHeight="1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6"/>
        <v>98</v>
      </c>
      <c r="BD79" s="137" t="str">
        <f t="shared" si="7"/>
        <v>INDENIZAÇÃO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si="6"/>
        <v/>
      </c>
      <c r="BD80" s="137" t="str">
        <f t="shared" si="7"/>
        <v>INDENIZAÇÃO</v>
      </c>
      <c r="BE80" s="137" t="str">
        <f t="shared" si="8"/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hidden="1" customHeight="1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6"/>
        <v>58</v>
      </c>
      <c r="BD81" s="137" t="str">
        <f t="shared" si="7"/>
        <v>INDENIZAÇÃO</v>
      </c>
      <c r="BE81" s="137" t="str">
        <f t="shared" si="8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6"/>
        <v/>
      </c>
      <c r="BD82" s="137" t="str">
        <f t="shared" si="7"/>
        <v>INDENIZAÇÃO</v>
      </c>
      <c r="BE82" s="137" t="str">
        <f t="shared" si="8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hidden="1" customHeight="1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6"/>
        <v>127</v>
      </c>
      <c r="BD83" s="137" t="str">
        <f t="shared" si="7"/>
        <v>INDENIZAÇÃO</v>
      </c>
      <c r="BE83" s="137" t="str">
        <f t="shared" si="8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hidden="1" customHeight="1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6"/>
        <v>169</v>
      </c>
      <c r="BD84" s="137" t="str">
        <f t="shared" si="7"/>
        <v>INDENIZAÇÃO</v>
      </c>
      <c r="BE84" s="137" t="str">
        <f t="shared" si="8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hidden="1" customHeight="1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6"/>
        <v>86</v>
      </c>
      <c r="BD85" s="137" t="str">
        <f t="shared" si="7"/>
        <v>INDENIZAÇÃO</v>
      </c>
      <c r="BE85" s="137" t="str">
        <f t="shared" si="8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hidden="1" customHeight="1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6"/>
        <v>86</v>
      </c>
      <c r="BD86" s="137" t="str">
        <f t="shared" si="7"/>
        <v>INDENIZAÇÃO</v>
      </c>
      <c r="BE86" s="137" t="str">
        <f t="shared" si="8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hidden="1" customHeight="1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6"/>
        <v>177</v>
      </c>
      <c r="BD87" s="137" t="str">
        <f t="shared" si="7"/>
        <v>INDENIZAÇÃO</v>
      </c>
      <c r="BE87" s="137" t="str">
        <f t="shared" si="8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hidden="1" customHeight="1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6"/>
        <v>140</v>
      </c>
      <c r="BD88" s="137" t="str">
        <f t="shared" si="7"/>
        <v>INDENIZAÇÃO</v>
      </c>
      <c r="BE88" s="137" t="str">
        <f t="shared" si="8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hidden="1" customHeight="1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6"/>
        <v>58</v>
      </c>
      <c r="BD89" s="137" t="str">
        <f t="shared" si="7"/>
        <v>INDENIZAÇÃO</v>
      </c>
      <c r="BE89" s="137" t="str">
        <f t="shared" si="8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6"/>
        <v/>
      </c>
      <c r="BD90" s="137" t="str">
        <f t="shared" si="7"/>
        <v>INDENIZAÇÃO</v>
      </c>
      <c r="BE90" s="137" t="str">
        <f t="shared" si="8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hidden="1" customHeight="1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6"/>
        <v>127</v>
      </c>
      <c r="BD91" s="137" t="str">
        <f t="shared" si="7"/>
        <v>INDENIZAÇÃO</v>
      </c>
      <c r="BE91" s="137" t="str">
        <f t="shared" si="8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hidden="1" customHeight="1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6"/>
        <v>103</v>
      </c>
      <c r="BD92" s="137" t="str">
        <f t="shared" si="7"/>
        <v>INDENIZAÇÃO</v>
      </c>
      <c r="BE92" s="137" t="str">
        <f t="shared" si="8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hidden="1" customHeight="1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6"/>
        <v>193</v>
      </c>
      <c r="BD93" s="137" t="str">
        <f t="shared" si="7"/>
        <v>INDENIZAÇÃO</v>
      </c>
      <c r="BE93" s="137" t="str">
        <f t="shared" si="8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188</v>
      </c>
      <c r="BM93" s="145"/>
      <c r="BN93" s="266"/>
    </row>
    <row r="94" spans="1:66" s="152" customFormat="1" ht="30" hidden="1" customHeight="1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6"/>
        <v>96</v>
      </c>
      <c r="BD94" s="137" t="str">
        <f t="shared" si="7"/>
        <v>INDENIZAÇÃO</v>
      </c>
      <c r="BE94" s="137" t="str">
        <f t="shared" si="8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hidden="1" customHeight="1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6"/>
        <v>98</v>
      </c>
      <c r="BD95" s="137" t="str">
        <f t="shared" si="7"/>
        <v>INDENIZAÇÃO</v>
      </c>
      <c r="BE95" s="137" t="str">
        <f t="shared" si="8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hidden="1" customHeight="1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6"/>
        <v>98</v>
      </c>
      <c r="BD96" s="137" t="str">
        <f t="shared" si="7"/>
        <v>INDENIZAÇÃO</v>
      </c>
      <c r="BE96" s="137" t="str">
        <f t="shared" si="8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6"/>
        <v/>
      </c>
      <c r="BD97" s="137" t="str">
        <f t="shared" si="7"/>
        <v>INDENIZAÇÃO</v>
      </c>
      <c r="BE97" s="137" t="str">
        <f t="shared" si="8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6"/>
        <v/>
      </c>
      <c r="BD98" s="137" t="str">
        <f t="shared" si="7"/>
        <v>INDENIZAÇÃO</v>
      </c>
      <c r="BE98" s="137" t="str">
        <f t="shared" si="8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hidden="1" customHeight="1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6"/>
        <v>96</v>
      </c>
      <c r="BD99" s="137" t="str">
        <f t="shared" si="7"/>
        <v>INDENIZAÇÃO</v>
      </c>
      <c r="BE99" s="137" t="str">
        <f t="shared" si="8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hidden="1" customHeight="1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6"/>
        <v>96</v>
      </c>
      <c r="BD100" s="137" t="str">
        <f t="shared" si="7"/>
        <v>INDENIZAÇÃO</v>
      </c>
      <c r="BE100" s="137" t="str">
        <f t="shared" si="8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hidden="1" customHeight="1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6"/>
        <v>96</v>
      </c>
      <c r="BD101" s="137" t="str">
        <f t="shared" si="7"/>
        <v>INDENIZAÇÃO</v>
      </c>
      <c r="BE101" s="137" t="str">
        <f t="shared" si="8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hidden="1" customHeight="1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6"/>
        <v>86</v>
      </c>
      <c r="BD102" s="137" t="str">
        <f t="shared" si="7"/>
        <v>INDENIZAÇÃO</v>
      </c>
      <c r="BE102" s="137" t="str">
        <f t="shared" si="8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175</v>
      </c>
      <c r="L103" s="234" t="s">
        <v>175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6"/>
        <v/>
      </c>
      <c r="BD103" s="137" t="str">
        <f t="shared" si="7"/>
        <v>INDENIZAÇÃO</v>
      </c>
      <c r="BE103" s="137" t="str">
        <f t="shared" si="8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hidden="1" customHeight="1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126</v>
      </c>
      <c r="O104" s="151">
        <v>46051</v>
      </c>
      <c r="P104" s="144" t="s">
        <v>17</v>
      </c>
      <c r="Q104" s="254" t="s">
        <v>128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6"/>
        <v>132</v>
      </c>
      <c r="BD104" s="137" t="str">
        <f t="shared" si="7"/>
        <v>INDENIZAÇÃO</v>
      </c>
      <c r="BE104" s="137" t="str">
        <f t="shared" si="8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hidden="1" customHeight="1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6"/>
        <v>58</v>
      </c>
      <c r="BD105" s="137" t="str">
        <f t="shared" si="7"/>
        <v>INDENIZAÇÃO</v>
      </c>
      <c r="BE105" s="137" t="str">
        <f t="shared" si="8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hidden="1" customHeight="1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6"/>
        <v>104</v>
      </c>
      <c r="BD106" s="137" t="str">
        <f t="shared" si="7"/>
        <v>INDENIZAÇÃO</v>
      </c>
      <c r="BE106" s="137" t="str">
        <f t="shared" si="8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179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6"/>
        <v/>
      </c>
      <c r="BD107" s="137" t="str">
        <f t="shared" si="7"/>
        <v>INDENIZAÇÃO</v>
      </c>
      <c r="BE107" s="137" t="str">
        <f t="shared" si="8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hidden="1" customHeight="1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530</v>
      </c>
      <c r="G108" s="235" t="s">
        <v>1</v>
      </c>
      <c r="H108" s="235" t="s">
        <v>2</v>
      </c>
      <c r="I108" s="235" t="s">
        <v>12</v>
      </c>
      <c r="J108" s="234" t="s">
        <v>531</v>
      </c>
      <c r="K108" s="234" t="s">
        <v>532</v>
      </c>
      <c r="L108" s="234" t="s">
        <v>533</v>
      </c>
      <c r="M108" s="204" t="s">
        <v>110</v>
      </c>
      <c r="N108" s="204" t="s">
        <v>5</v>
      </c>
      <c r="O108" s="151">
        <v>46051</v>
      </c>
      <c r="P108" s="151" t="s">
        <v>24</v>
      </c>
      <c r="Q108" s="151" t="s">
        <v>24</v>
      </c>
      <c r="R108" s="151" t="s">
        <v>24</v>
      </c>
      <c r="S108" s="151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531</v>
      </c>
      <c r="AC108" s="234" t="s">
        <v>532</v>
      </c>
      <c r="AD108" s="234" t="s">
        <v>533</v>
      </c>
      <c r="AE108" s="204" t="s">
        <v>12</v>
      </c>
      <c r="AF108" s="204" t="s">
        <v>110</v>
      </c>
      <c r="AG108" s="143">
        <v>12089.03</v>
      </c>
      <c r="AH108" s="143">
        <f>AG108+30000</f>
        <v>42089.03</v>
      </c>
      <c r="AI108" s="137" t="s">
        <v>6</v>
      </c>
      <c r="AJ108" s="141" t="s">
        <v>105</v>
      </c>
      <c r="AK108" s="204">
        <v>150526791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534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46174</v>
      </c>
      <c r="AV108" s="137" t="s">
        <v>112</v>
      </c>
      <c r="AW108" s="145" t="s">
        <v>33</v>
      </c>
      <c r="AX108" s="144"/>
      <c r="AY108" s="144"/>
      <c r="AZ108" s="144"/>
      <c r="BA108" s="145" t="s">
        <v>1</v>
      </c>
      <c r="BB108" s="147"/>
      <c r="BC108" s="146" t="str">
        <f t="shared" si="6"/>
        <v/>
      </c>
      <c r="BD108" s="137" t="str">
        <f t="shared" si="7"/>
        <v>INDENIZAÇÃO</v>
      </c>
      <c r="BE108" s="137" t="str">
        <f t="shared" si="8"/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535</v>
      </c>
      <c r="G109" s="235" t="s">
        <v>1</v>
      </c>
      <c r="H109" s="235" t="s">
        <v>2</v>
      </c>
      <c r="I109" s="235" t="s">
        <v>12</v>
      </c>
      <c r="J109" s="234" t="s">
        <v>536</v>
      </c>
      <c r="K109" s="234" t="s">
        <v>537</v>
      </c>
      <c r="L109" s="234" t="s">
        <v>538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6"/>
        <v/>
      </c>
      <c r="BD109" s="137" t="str">
        <f t="shared" si="7"/>
        <v>INDENIZAÇÃO</v>
      </c>
      <c r="BE109" s="137" t="str">
        <f t="shared" si="8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539</v>
      </c>
      <c r="G110" s="235" t="s">
        <v>1</v>
      </c>
      <c r="H110" s="235" t="s">
        <v>2</v>
      </c>
      <c r="I110" s="235" t="s">
        <v>12</v>
      </c>
      <c r="J110" s="234" t="s">
        <v>540</v>
      </c>
      <c r="K110" s="234" t="s">
        <v>541</v>
      </c>
      <c r="L110" s="234" t="s">
        <v>542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ref="BC110:BC141" si="9">IF(AY110-KG110=0,"",AY110-O110)</f>
        <v/>
      </c>
      <c r="BD110" s="137" t="str">
        <f t="shared" ref="BD110:BD141" si="10">IF(AND(AI110&lt;&gt;"SIM",AI110="UH"),"AA","INDENIZAÇÃO")</f>
        <v>INDENIZAÇÃO</v>
      </c>
      <c r="BE110" s="137" t="str">
        <f t="shared" ref="BE110:BE141" si="11">IF(AND(AY110&lt;&gt;"AGUARDANDO",AY110&lt;&gt;"",N110="AUXÍLIO ALUGUEL ATÉ INDENIZAÇÃO"),"SIM","NÃO")</f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543</v>
      </c>
      <c r="G111" s="235" t="s">
        <v>1</v>
      </c>
      <c r="H111" s="235" t="s">
        <v>2</v>
      </c>
      <c r="I111" s="235" t="s">
        <v>3</v>
      </c>
      <c r="J111" s="234" t="s">
        <v>544</v>
      </c>
      <c r="K111" s="234" t="s">
        <v>545</v>
      </c>
      <c r="L111" s="234" t="s">
        <v>546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544</v>
      </c>
      <c r="AC111" s="234" t="s">
        <v>545</v>
      </c>
      <c r="AD111" s="234" t="s">
        <v>546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547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548</v>
      </c>
      <c r="AZ111" s="144"/>
      <c r="BA111" s="145" t="s">
        <v>1</v>
      </c>
      <c r="BB111" s="147"/>
      <c r="BC111" s="146" t="e">
        <f t="shared" si="9"/>
        <v>#VALUE!</v>
      </c>
      <c r="BD111" s="137" t="str">
        <f t="shared" si="10"/>
        <v>INDENIZAÇÃO</v>
      </c>
      <c r="BE111" s="137" t="str">
        <f t="shared" si="11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549</v>
      </c>
      <c r="G112" s="235" t="s">
        <v>1</v>
      </c>
      <c r="H112" s="235" t="s">
        <v>2</v>
      </c>
      <c r="I112" s="235" t="s">
        <v>12</v>
      </c>
      <c r="J112" s="234" t="s">
        <v>550</v>
      </c>
      <c r="K112" s="234">
        <v>49494537</v>
      </c>
      <c r="L112" s="234" t="s">
        <v>551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si="9"/>
        <v/>
      </c>
      <c r="BD112" s="137" t="str">
        <f t="shared" si="10"/>
        <v>INDENIZAÇÃO</v>
      </c>
      <c r="BE112" s="137" t="str">
        <f t="shared" si="11"/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hidden="1" customHeight="1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552</v>
      </c>
      <c r="G113" s="235" t="s">
        <v>1</v>
      </c>
      <c r="H113" s="235" t="s">
        <v>2</v>
      </c>
      <c r="I113" s="235" t="s">
        <v>12</v>
      </c>
      <c r="J113" s="234" t="s">
        <v>553</v>
      </c>
      <c r="K113" s="234" t="s">
        <v>554</v>
      </c>
      <c r="L113" s="234" t="s">
        <v>555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553</v>
      </c>
      <c r="AC113" s="234" t="s">
        <v>554</v>
      </c>
      <c r="AD113" s="234" t="s">
        <v>555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556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9"/>
        <v>70</v>
      </c>
      <c r="BD113" s="137" t="str">
        <f t="shared" si="10"/>
        <v>INDENIZAÇÃO</v>
      </c>
      <c r="BE113" s="137" t="str">
        <f t="shared" si="11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557</v>
      </c>
      <c r="G114" s="235" t="s">
        <v>1</v>
      </c>
      <c r="H114" s="235" t="s">
        <v>2</v>
      </c>
      <c r="I114" s="235" t="s">
        <v>12</v>
      </c>
      <c r="J114" s="234" t="s">
        <v>558</v>
      </c>
      <c r="K114" s="234" t="s">
        <v>559</v>
      </c>
      <c r="L114" s="234" t="s">
        <v>560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9"/>
        <v/>
      </c>
      <c r="BD114" s="137" t="str">
        <f t="shared" si="10"/>
        <v>INDENIZAÇÃO</v>
      </c>
      <c r="BE114" s="137" t="str">
        <f t="shared" si="11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hidden="1" customHeight="1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561</v>
      </c>
      <c r="G115" s="235" t="s">
        <v>1</v>
      </c>
      <c r="H115" s="235" t="s">
        <v>2</v>
      </c>
      <c r="I115" s="235" t="s">
        <v>12</v>
      </c>
      <c r="J115" s="234" t="s">
        <v>562</v>
      </c>
      <c r="K115" s="234" t="s">
        <v>563</v>
      </c>
      <c r="L115" s="234" t="s">
        <v>564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562</v>
      </c>
      <c r="AC115" s="234" t="s">
        <v>563</v>
      </c>
      <c r="AD115" s="234" t="s">
        <v>564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565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9"/>
        <v>140</v>
      </c>
      <c r="BD115" s="137" t="str">
        <f t="shared" si="10"/>
        <v>INDENIZAÇÃO</v>
      </c>
      <c r="BE115" s="137" t="str">
        <f t="shared" si="11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566</v>
      </c>
      <c r="G116" s="235" t="s">
        <v>1</v>
      </c>
      <c r="H116" s="235" t="s">
        <v>2</v>
      </c>
      <c r="I116" s="235" t="s">
        <v>12</v>
      </c>
      <c r="J116" s="234" t="s">
        <v>567</v>
      </c>
      <c r="K116" s="234" t="s">
        <v>568</v>
      </c>
      <c r="L116" s="234" t="s">
        <v>569</v>
      </c>
      <c r="M116" s="204" t="s">
        <v>110</v>
      </c>
      <c r="N116" s="204" t="s">
        <v>126</v>
      </c>
      <c r="O116" s="151">
        <v>46157</v>
      </c>
      <c r="P116" s="144" t="s">
        <v>17</v>
      </c>
      <c r="Q116" s="254" t="s">
        <v>128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567</v>
      </c>
      <c r="AC116" s="234" t="s">
        <v>568</v>
      </c>
      <c r="AD116" s="234" t="s">
        <v>569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570</v>
      </c>
      <c r="AP116" s="234" t="s">
        <v>571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9"/>
        <v/>
      </c>
      <c r="BD116" s="137" t="str">
        <f t="shared" si="10"/>
        <v>AA</v>
      </c>
      <c r="BE116" s="137" t="str">
        <f t="shared" si="11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hidden="1" customHeight="1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572</v>
      </c>
      <c r="G117" s="235" t="s">
        <v>1</v>
      </c>
      <c r="H117" s="235" t="s">
        <v>2</v>
      </c>
      <c r="I117" s="235" t="s">
        <v>12</v>
      </c>
      <c r="J117" s="234" t="s">
        <v>573</v>
      </c>
      <c r="K117" s="234" t="s">
        <v>574</v>
      </c>
      <c r="L117" s="234" t="s">
        <v>575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573</v>
      </c>
      <c r="AC117" s="234" t="s">
        <v>574</v>
      </c>
      <c r="AD117" s="234" t="s">
        <v>575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576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9"/>
        <v>177</v>
      </c>
      <c r="BD117" s="137" t="str">
        <f t="shared" si="10"/>
        <v>INDENIZAÇÃO</v>
      </c>
      <c r="BE117" s="137" t="str">
        <f t="shared" si="11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customHeight="1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577</v>
      </c>
      <c r="G118" s="235" t="s">
        <v>1</v>
      </c>
      <c r="H118" s="235" t="s">
        <v>2</v>
      </c>
      <c r="I118" s="235" t="s">
        <v>12</v>
      </c>
      <c r="J118" s="234" t="s">
        <v>578</v>
      </c>
      <c r="K118" s="234" t="s">
        <v>579</v>
      </c>
      <c r="L118" s="234" t="s">
        <v>580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578</v>
      </c>
      <c r="AC118" s="234" t="s">
        <v>579</v>
      </c>
      <c r="AD118" s="234" t="s">
        <v>580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581</v>
      </c>
      <c r="AP118" s="234" t="s">
        <v>582</v>
      </c>
      <c r="AQ118" s="204" t="s">
        <v>112</v>
      </c>
      <c r="AR118" s="204" t="s">
        <v>112</v>
      </c>
      <c r="AS118" s="145" t="s">
        <v>583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9"/>
        <v/>
      </c>
      <c r="BD118" s="137" t="str">
        <f t="shared" si="10"/>
        <v>INDENIZAÇÃO</v>
      </c>
      <c r="BE118" s="137" t="str">
        <f t="shared" si="11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>
      <c r="A119" s="204">
        <v>106</v>
      </c>
      <c r="B119" s="204" t="s">
        <v>99</v>
      </c>
      <c r="C119" s="233" t="s">
        <v>172</v>
      </c>
      <c r="D119" s="205" t="s">
        <v>101</v>
      </c>
      <c r="E119" s="204" t="s">
        <v>101</v>
      </c>
      <c r="F119" s="234" t="s">
        <v>584</v>
      </c>
      <c r="G119" s="235" t="s">
        <v>1</v>
      </c>
      <c r="H119" s="235" t="s">
        <v>2</v>
      </c>
      <c r="I119" s="235" t="s">
        <v>12</v>
      </c>
      <c r="J119" s="234" t="s">
        <v>585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9"/>
        <v/>
      </c>
      <c r="BD119" s="137" t="str">
        <f t="shared" si="10"/>
        <v>INDENIZAÇÃO</v>
      </c>
      <c r="BE119" s="137" t="str">
        <f t="shared" si="11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>
      <c r="A120" s="204">
        <v>107</v>
      </c>
      <c r="B120" s="204" t="s">
        <v>99</v>
      </c>
      <c r="C120" s="233" t="s">
        <v>172</v>
      </c>
      <c r="D120" s="205" t="s">
        <v>101</v>
      </c>
      <c r="E120" s="204" t="s">
        <v>101</v>
      </c>
      <c r="F120" s="234" t="s">
        <v>586</v>
      </c>
      <c r="G120" s="235" t="s">
        <v>1</v>
      </c>
      <c r="H120" s="235" t="s">
        <v>2</v>
      </c>
      <c r="I120" s="235" t="s">
        <v>12</v>
      </c>
      <c r="J120" s="234" t="s">
        <v>587</v>
      </c>
      <c r="K120" s="234" t="s">
        <v>588</v>
      </c>
      <c r="L120" s="234" t="s">
        <v>589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9"/>
        <v/>
      </c>
      <c r="BD120" s="137" t="str">
        <f t="shared" si="10"/>
        <v>INDENIZAÇÃO</v>
      </c>
      <c r="BE120" s="137" t="str">
        <f t="shared" si="11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>
      <c r="A121" s="204">
        <v>108</v>
      </c>
      <c r="B121" s="204" t="s">
        <v>99</v>
      </c>
      <c r="C121" s="233" t="s">
        <v>172</v>
      </c>
      <c r="D121" s="205" t="s">
        <v>101</v>
      </c>
      <c r="E121" s="204" t="s">
        <v>101</v>
      </c>
      <c r="F121" s="234" t="s">
        <v>590</v>
      </c>
      <c r="G121" s="235" t="s">
        <v>1</v>
      </c>
      <c r="H121" s="235" t="s">
        <v>2</v>
      </c>
      <c r="I121" s="235" t="s">
        <v>12</v>
      </c>
      <c r="J121" s="234" t="s">
        <v>591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9"/>
        <v/>
      </c>
      <c r="BD121" s="137" t="str">
        <f t="shared" si="10"/>
        <v>INDENIZAÇÃO</v>
      </c>
      <c r="BE121" s="137" t="str">
        <f t="shared" si="11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>
      <c r="A122" s="204">
        <v>109</v>
      </c>
      <c r="B122" s="204" t="s">
        <v>99</v>
      </c>
      <c r="C122" s="233" t="s">
        <v>172</v>
      </c>
      <c r="D122" s="205" t="s">
        <v>101</v>
      </c>
      <c r="E122" s="204" t="s">
        <v>101</v>
      </c>
      <c r="F122" s="234" t="s">
        <v>592</v>
      </c>
      <c r="G122" s="235" t="s">
        <v>1</v>
      </c>
      <c r="H122" s="235" t="s">
        <v>2</v>
      </c>
      <c r="I122" s="235" t="s">
        <v>12</v>
      </c>
      <c r="J122" s="234" t="s">
        <v>593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9"/>
        <v/>
      </c>
      <c r="BD122" s="137" t="str">
        <f t="shared" si="10"/>
        <v>INDENIZAÇÃO</v>
      </c>
      <c r="BE122" s="137" t="str">
        <f t="shared" si="11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>
      <c r="A123" s="204">
        <v>110</v>
      </c>
      <c r="B123" s="204" t="s">
        <v>99</v>
      </c>
      <c r="C123" s="233" t="s">
        <v>172</v>
      </c>
      <c r="D123" s="205" t="s">
        <v>101</v>
      </c>
      <c r="E123" s="204" t="s">
        <v>101</v>
      </c>
      <c r="F123" s="234" t="s">
        <v>594</v>
      </c>
      <c r="G123" s="235" t="s">
        <v>1</v>
      </c>
      <c r="H123" s="235" t="s">
        <v>179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9"/>
        <v/>
      </c>
      <c r="BD123" s="137" t="str">
        <f t="shared" si="10"/>
        <v>INDENIZAÇÃO</v>
      </c>
      <c r="BE123" s="137" t="str">
        <f t="shared" si="11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>
      <c r="A124" s="204">
        <v>111</v>
      </c>
      <c r="B124" s="204" t="s">
        <v>99</v>
      </c>
      <c r="C124" s="233" t="s">
        <v>172</v>
      </c>
      <c r="D124" s="205" t="s">
        <v>101</v>
      </c>
      <c r="E124" s="204" t="s">
        <v>101</v>
      </c>
      <c r="F124" s="234" t="s">
        <v>595</v>
      </c>
      <c r="G124" s="235" t="s">
        <v>1</v>
      </c>
      <c r="H124" s="235" t="s">
        <v>2</v>
      </c>
      <c r="I124" s="235" t="s">
        <v>12</v>
      </c>
      <c r="J124" s="234" t="s">
        <v>596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9"/>
        <v/>
      </c>
      <c r="BD124" s="137" t="str">
        <f t="shared" si="10"/>
        <v>INDENIZAÇÃO</v>
      </c>
      <c r="BE124" s="137" t="str">
        <f t="shared" si="11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>
      <c r="A125" s="204">
        <v>112</v>
      </c>
      <c r="B125" s="204" t="s">
        <v>99</v>
      </c>
      <c r="C125" s="233" t="s">
        <v>172</v>
      </c>
      <c r="D125" s="205" t="s">
        <v>101</v>
      </c>
      <c r="E125" s="204" t="s">
        <v>101</v>
      </c>
      <c r="F125" s="234" t="s">
        <v>597</v>
      </c>
      <c r="G125" s="235" t="s">
        <v>10</v>
      </c>
      <c r="H125" s="235" t="s">
        <v>2</v>
      </c>
      <c r="I125" s="235" t="s">
        <v>111</v>
      </c>
      <c r="J125" s="234" t="s">
        <v>598</v>
      </c>
      <c r="K125" s="234" t="s">
        <v>599</v>
      </c>
      <c r="L125" s="234" t="s">
        <v>600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9"/>
        <v/>
      </c>
      <c r="BD125" s="137" t="str">
        <f t="shared" si="10"/>
        <v>INDENIZAÇÃO</v>
      </c>
      <c r="BE125" s="137" t="str">
        <f t="shared" si="11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>
      <c r="A126" s="204">
        <v>113</v>
      </c>
      <c r="B126" s="204" t="s">
        <v>99</v>
      </c>
      <c r="C126" s="233" t="s">
        <v>172</v>
      </c>
      <c r="D126" s="205" t="s">
        <v>101</v>
      </c>
      <c r="E126" s="204" t="s">
        <v>101</v>
      </c>
      <c r="F126" s="234" t="s">
        <v>601</v>
      </c>
      <c r="G126" s="235" t="s">
        <v>10</v>
      </c>
      <c r="H126" s="235" t="s">
        <v>2</v>
      </c>
      <c r="I126" s="235" t="s">
        <v>111</v>
      </c>
      <c r="J126" s="234" t="s">
        <v>602</v>
      </c>
      <c r="K126" s="234" t="s">
        <v>603</v>
      </c>
      <c r="L126" s="234" t="s">
        <v>604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9"/>
        <v/>
      </c>
      <c r="BD126" s="137" t="str">
        <f t="shared" si="10"/>
        <v>INDENIZAÇÃO</v>
      </c>
      <c r="BE126" s="137" t="str">
        <f t="shared" si="11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>
      <c r="A127" s="204">
        <v>114</v>
      </c>
      <c r="B127" s="204" t="s">
        <v>99</v>
      </c>
      <c r="C127" s="233" t="s">
        <v>172</v>
      </c>
      <c r="D127" s="205" t="s">
        <v>101</v>
      </c>
      <c r="E127" s="204" t="s">
        <v>101</v>
      </c>
      <c r="F127" s="234" t="s">
        <v>605</v>
      </c>
      <c r="G127" s="235" t="s">
        <v>1</v>
      </c>
      <c r="H127" s="235" t="s">
        <v>2</v>
      </c>
      <c r="I127" s="235" t="s">
        <v>12</v>
      </c>
      <c r="J127" s="234" t="s">
        <v>606</v>
      </c>
      <c r="K127" s="234">
        <v>536527374</v>
      </c>
      <c r="L127" s="234" t="s">
        <v>175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9"/>
        <v/>
      </c>
      <c r="BD127" s="137" t="str">
        <f t="shared" si="10"/>
        <v>INDENIZAÇÃO</v>
      </c>
      <c r="BE127" s="137" t="str">
        <f t="shared" si="11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>
      <c r="A128" s="204">
        <v>115</v>
      </c>
      <c r="B128" s="204" t="s">
        <v>99</v>
      </c>
      <c r="C128" s="233" t="s">
        <v>172</v>
      </c>
      <c r="D128" s="205" t="s">
        <v>101</v>
      </c>
      <c r="E128" s="204" t="s">
        <v>101</v>
      </c>
      <c r="F128" s="234" t="s">
        <v>607</v>
      </c>
      <c r="G128" s="235" t="s">
        <v>1</v>
      </c>
      <c r="H128" s="235" t="s">
        <v>2</v>
      </c>
      <c r="I128" s="235" t="s">
        <v>12</v>
      </c>
      <c r="J128" s="234" t="s">
        <v>608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9"/>
        <v/>
      </c>
      <c r="BD128" s="137" t="str">
        <f t="shared" si="10"/>
        <v>INDENIZAÇÃO</v>
      </c>
      <c r="BE128" s="137" t="str">
        <f t="shared" si="11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609</v>
      </c>
      <c r="G129" s="235" t="s">
        <v>1</v>
      </c>
      <c r="H129" s="235" t="s">
        <v>2</v>
      </c>
      <c r="I129" s="235" t="s">
        <v>12</v>
      </c>
      <c r="J129" s="234" t="s">
        <v>610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9"/>
        <v/>
      </c>
      <c r="BD129" s="137" t="str">
        <f t="shared" si="10"/>
        <v>INDENIZAÇÃO</v>
      </c>
      <c r="BE129" s="137" t="str">
        <f t="shared" si="11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611</v>
      </c>
      <c r="G130" s="235" t="s">
        <v>1</v>
      </c>
      <c r="H130" s="235" t="s">
        <v>2</v>
      </c>
      <c r="I130" s="235" t="s">
        <v>12</v>
      </c>
      <c r="J130" s="234" t="s">
        <v>612</v>
      </c>
      <c r="K130" s="234" t="s">
        <v>613</v>
      </c>
      <c r="L130" s="234" t="s">
        <v>614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612</v>
      </c>
      <c r="AC130" s="234" t="s">
        <v>613</v>
      </c>
      <c r="AD130" s="234" t="s">
        <v>614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615</v>
      </c>
      <c r="AM130" s="137" t="s">
        <v>112</v>
      </c>
      <c r="AN130" s="137" t="s">
        <v>616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9"/>
        <v/>
      </c>
      <c r="BD130" s="137" t="str">
        <f t="shared" si="10"/>
        <v>INDENIZAÇÃO</v>
      </c>
      <c r="BE130" s="137" t="str">
        <f t="shared" si="11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617</v>
      </c>
      <c r="G131" s="235" t="s">
        <v>1</v>
      </c>
      <c r="H131" s="235" t="s">
        <v>2</v>
      </c>
      <c r="I131" s="235" t="s">
        <v>12</v>
      </c>
      <c r="J131" s="234" t="s">
        <v>618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9"/>
        <v/>
      </c>
      <c r="BD131" s="137" t="str">
        <f t="shared" si="10"/>
        <v>INDENIZAÇÃO</v>
      </c>
      <c r="BE131" s="137" t="str">
        <f t="shared" si="11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hidden="1" customHeight="1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619</v>
      </c>
      <c r="G132" s="235" t="s">
        <v>1</v>
      </c>
      <c r="H132" s="235" t="s">
        <v>2</v>
      </c>
      <c r="I132" s="235" t="s">
        <v>12</v>
      </c>
      <c r="J132" s="234" t="s">
        <v>620</v>
      </c>
      <c r="K132" s="234" t="s">
        <v>621</v>
      </c>
      <c r="L132" s="234" t="s">
        <v>622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620</v>
      </c>
      <c r="AC132" s="234" t="s">
        <v>621</v>
      </c>
      <c r="AD132" s="234" t="s">
        <v>622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623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9"/>
        <v>68</v>
      </c>
      <c r="BD132" s="137" t="str">
        <f t="shared" si="10"/>
        <v>INDENIZAÇÃO</v>
      </c>
      <c r="BE132" s="137" t="str">
        <f t="shared" si="11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hidden="1" customHeight="1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624</v>
      </c>
      <c r="G133" s="235" t="s">
        <v>1</v>
      </c>
      <c r="H133" s="235" t="s">
        <v>2</v>
      </c>
      <c r="I133" s="235" t="s">
        <v>12</v>
      </c>
      <c r="J133" s="234" t="s">
        <v>625</v>
      </c>
      <c r="K133" s="234" t="s">
        <v>626</v>
      </c>
      <c r="L133" s="234" t="s">
        <v>627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625</v>
      </c>
      <c r="AC133" s="234" t="s">
        <v>626</v>
      </c>
      <c r="AD133" s="234" t="s">
        <v>627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628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9"/>
        <v>77</v>
      </c>
      <c r="BD133" s="137" t="str">
        <f t="shared" si="10"/>
        <v>INDENIZAÇÃO</v>
      </c>
      <c r="BE133" s="137" t="str">
        <f t="shared" si="11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629</v>
      </c>
      <c r="G134" s="235" t="s">
        <v>1</v>
      </c>
      <c r="H134" s="235" t="s">
        <v>2</v>
      </c>
      <c r="I134" s="235" t="s">
        <v>12</v>
      </c>
      <c r="J134" s="234" t="s">
        <v>630</v>
      </c>
      <c r="K134" s="234" t="s">
        <v>631</v>
      </c>
      <c r="L134" s="234" t="s">
        <v>632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9"/>
        <v/>
      </c>
      <c r="BD134" s="137" t="str">
        <f t="shared" si="10"/>
        <v>INDENIZAÇÃO</v>
      </c>
      <c r="BE134" s="137" t="str">
        <f t="shared" si="11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633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9"/>
        <v/>
      </c>
      <c r="BD135" s="137" t="str">
        <f t="shared" si="10"/>
        <v>INDENIZAÇÃO</v>
      </c>
      <c r="BE135" s="137" t="str">
        <f t="shared" si="11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634</v>
      </c>
      <c r="G136" s="235" t="s">
        <v>1</v>
      </c>
      <c r="H136" s="235" t="s">
        <v>2</v>
      </c>
      <c r="I136" s="235" t="s">
        <v>12</v>
      </c>
      <c r="J136" s="234" t="s">
        <v>635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9"/>
        <v/>
      </c>
      <c r="BD136" s="137" t="str">
        <f t="shared" si="10"/>
        <v>INDENIZAÇÃO</v>
      </c>
      <c r="BE136" s="137" t="str">
        <f t="shared" si="11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636</v>
      </c>
      <c r="G137" s="235" t="s">
        <v>1</v>
      </c>
      <c r="H137" s="235" t="s">
        <v>2</v>
      </c>
      <c r="I137" s="235" t="s">
        <v>12</v>
      </c>
      <c r="J137" s="234" t="s">
        <v>637</v>
      </c>
      <c r="K137" s="234" t="s">
        <v>638</v>
      </c>
      <c r="L137" s="234" t="s">
        <v>639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9"/>
        <v/>
      </c>
      <c r="BD137" s="137" t="str">
        <f t="shared" si="10"/>
        <v>INDENIZAÇÃO</v>
      </c>
      <c r="BE137" s="137" t="str">
        <f t="shared" si="11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640</v>
      </c>
      <c r="G138" s="235" t="s">
        <v>1</v>
      </c>
      <c r="H138" s="235" t="s">
        <v>2</v>
      </c>
      <c r="I138" s="235" t="s">
        <v>12</v>
      </c>
      <c r="J138" s="234" t="s">
        <v>641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9"/>
        <v/>
      </c>
      <c r="BD138" s="137" t="str">
        <f t="shared" si="10"/>
        <v>INDENIZAÇÃO</v>
      </c>
      <c r="BE138" s="137" t="str">
        <f t="shared" si="11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hidden="1" customHeight="1">
      <c r="A139" s="204">
        <v>126</v>
      </c>
      <c r="B139" s="204" t="s">
        <v>99</v>
      </c>
      <c r="C139" s="233" t="s">
        <v>642</v>
      </c>
      <c r="D139" s="205" t="s">
        <v>101</v>
      </c>
      <c r="E139" s="204" t="s">
        <v>101</v>
      </c>
      <c r="F139" s="253" t="s">
        <v>643</v>
      </c>
      <c r="G139" s="235" t="s">
        <v>1</v>
      </c>
      <c r="H139" s="235" t="s">
        <v>2</v>
      </c>
      <c r="I139" s="235" t="s">
        <v>12</v>
      </c>
      <c r="J139" s="234" t="s">
        <v>644</v>
      </c>
      <c r="K139" s="234" t="s">
        <v>645</v>
      </c>
      <c r="L139" s="234" t="s">
        <v>646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644</v>
      </c>
      <c r="AC139" s="234" t="s">
        <v>645</v>
      </c>
      <c r="AD139" s="234" t="s">
        <v>646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647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9"/>
        <v>68</v>
      </c>
      <c r="BD139" s="137" t="str">
        <f t="shared" si="10"/>
        <v>INDENIZAÇÃO</v>
      </c>
      <c r="BE139" s="137" t="str">
        <f t="shared" si="11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>
      <c r="A140" s="204">
        <v>127</v>
      </c>
      <c r="B140" s="204" t="s">
        <v>99</v>
      </c>
      <c r="C140" s="233" t="s">
        <v>642</v>
      </c>
      <c r="D140" s="205" t="s">
        <v>101</v>
      </c>
      <c r="E140" s="204" t="s">
        <v>101</v>
      </c>
      <c r="F140" s="234" t="s">
        <v>648</v>
      </c>
      <c r="G140" s="235" t="s">
        <v>1</v>
      </c>
      <c r="H140" s="235" t="s">
        <v>2</v>
      </c>
      <c r="I140" s="235" t="s">
        <v>12</v>
      </c>
      <c r="J140" s="234" t="s">
        <v>649</v>
      </c>
      <c r="K140" s="234" t="s">
        <v>650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9"/>
        <v/>
      </c>
      <c r="BD140" s="137" t="str">
        <f t="shared" si="10"/>
        <v>INDENIZAÇÃO</v>
      </c>
      <c r="BE140" s="137" t="str">
        <f t="shared" si="11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>
      <c r="A141" s="204">
        <v>128</v>
      </c>
      <c r="B141" s="204" t="s">
        <v>99</v>
      </c>
      <c r="C141" s="233" t="s">
        <v>642</v>
      </c>
      <c r="D141" s="205" t="s">
        <v>101</v>
      </c>
      <c r="E141" s="204" t="s">
        <v>101</v>
      </c>
      <c r="F141" s="234" t="s">
        <v>651</v>
      </c>
      <c r="G141" s="235" t="s">
        <v>1</v>
      </c>
      <c r="H141" s="235" t="s">
        <v>2</v>
      </c>
      <c r="I141" s="235" t="s">
        <v>12</v>
      </c>
      <c r="J141" s="234" t="s">
        <v>652</v>
      </c>
      <c r="K141" s="234" t="s">
        <v>653</v>
      </c>
      <c r="L141" s="234" t="s">
        <v>654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9"/>
        <v/>
      </c>
      <c r="BD141" s="137" t="str">
        <f t="shared" si="10"/>
        <v>INDENIZAÇÃO</v>
      </c>
      <c r="BE141" s="137" t="str">
        <f t="shared" si="11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>
      <c r="A142" s="204">
        <v>129</v>
      </c>
      <c r="B142" s="204" t="s">
        <v>99</v>
      </c>
      <c r="C142" s="233" t="s">
        <v>642</v>
      </c>
      <c r="D142" s="205" t="s">
        <v>101</v>
      </c>
      <c r="E142" s="204" t="s">
        <v>101</v>
      </c>
      <c r="F142" s="234" t="s">
        <v>655</v>
      </c>
      <c r="G142" s="235" t="s">
        <v>1</v>
      </c>
      <c r="H142" s="235" t="s">
        <v>2</v>
      </c>
      <c r="I142" s="235" t="s">
        <v>12</v>
      </c>
      <c r="J142" s="234" t="s">
        <v>656</v>
      </c>
      <c r="K142" s="234" t="s">
        <v>657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ref="BC142:BC177" si="12">IF(AY142-KG142=0,"",AY142-O142)</f>
        <v/>
      </c>
      <c r="BD142" s="137" t="str">
        <f t="shared" ref="BD142:BD177" si="13">IF(AND(AI142&lt;&gt;"SIM",AI142="UH"),"AA","INDENIZAÇÃO")</f>
        <v>INDENIZAÇÃO</v>
      </c>
      <c r="BE142" s="137" t="str">
        <f t="shared" ref="BE142:BE177" si="14">IF(AND(AY142&lt;&gt;"AGUARDANDO",AY142&lt;&gt;"",N142="AUXÍLIO ALUGUEL ATÉ INDENIZAÇÃO"),"SIM","NÃO")</f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>
      <c r="A143" s="204">
        <v>130</v>
      </c>
      <c r="B143" s="204" t="s">
        <v>99</v>
      </c>
      <c r="C143" s="233" t="s">
        <v>642</v>
      </c>
      <c r="D143" s="205" t="s">
        <v>101</v>
      </c>
      <c r="E143" s="204" t="s">
        <v>101</v>
      </c>
      <c r="F143" s="234" t="s">
        <v>658</v>
      </c>
      <c r="G143" s="235" t="s">
        <v>1</v>
      </c>
      <c r="H143" s="235" t="s">
        <v>2</v>
      </c>
      <c r="I143" s="235" t="s">
        <v>12</v>
      </c>
      <c r="J143" s="234" t="s">
        <v>659</v>
      </c>
      <c r="K143" s="234" t="s">
        <v>660</v>
      </c>
      <c r="L143" s="234" t="s">
        <v>661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2"/>
        <v/>
      </c>
      <c r="BD143" s="137" t="str">
        <f t="shared" si="13"/>
        <v>INDENIZAÇÃO</v>
      </c>
      <c r="BE143" s="137" t="str">
        <f t="shared" si="14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>
      <c r="A144" s="204">
        <v>131</v>
      </c>
      <c r="B144" s="204" t="s">
        <v>99</v>
      </c>
      <c r="C144" s="233" t="s">
        <v>642</v>
      </c>
      <c r="D144" s="205" t="s">
        <v>101</v>
      </c>
      <c r="E144" s="204" t="s">
        <v>101</v>
      </c>
      <c r="F144" s="234" t="s">
        <v>662</v>
      </c>
      <c r="G144" s="235" t="s">
        <v>1</v>
      </c>
      <c r="H144" s="235" t="s">
        <v>2</v>
      </c>
      <c r="I144" s="235" t="s">
        <v>12</v>
      </c>
      <c r="J144" s="234" t="s">
        <v>663</v>
      </c>
      <c r="K144" s="234" t="s">
        <v>664</v>
      </c>
      <c r="L144" s="234" t="s">
        <v>665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si="12"/>
        <v/>
      </c>
      <c r="BD144" s="137" t="str">
        <f t="shared" si="13"/>
        <v>INDENIZAÇÃO</v>
      </c>
      <c r="BE144" s="137" t="str">
        <f t="shared" si="14"/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>
      <c r="A145" s="204">
        <v>132</v>
      </c>
      <c r="B145" s="204" t="s">
        <v>99</v>
      </c>
      <c r="C145" s="233" t="s">
        <v>642</v>
      </c>
      <c r="D145" s="205" t="s">
        <v>101</v>
      </c>
      <c r="E145" s="204" t="s">
        <v>101</v>
      </c>
      <c r="F145" s="234" t="s">
        <v>662</v>
      </c>
      <c r="G145" s="235" t="s">
        <v>1</v>
      </c>
      <c r="H145" s="235" t="s">
        <v>2</v>
      </c>
      <c r="I145" s="235" t="s">
        <v>507</v>
      </c>
      <c r="J145" s="234" t="s">
        <v>666</v>
      </c>
      <c r="K145" s="234" t="s">
        <v>667</v>
      </c>
      <c r="L145" s="234" t="s">
        <v>668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2"/>
        <v/>
      </c>
      <c r="BD145" s="137" t="str">
        <f t="shared" si="13"/>
        <v>INDENIZAÇÃO</v>
      </c>
      <c r="BE145" s="137" t="str">
        <f t="shared" si="14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>
      <c r="A146" s="204">
        <v>133</v>
      </c>
      <c r="B146" s="204" t="s">
        <v>99</v>
      </c>
      <c r="C146" s="233" t="s">
        <v>642</v>
      </c>
      <c r="D146" s="205" t="s">
        <v>101</v>
      </c>
      <c r="E146" s="204" t="s">
        <v>101</v>
      </c>
      <c r="F146" s="234" t="s">
        <v>669</v>
      </c>
      <c r="G146" s="235" t="s">
        <v>1</v>
      </c>
      <c r="H146" s="235" t="s">
        <v>2</v>
      </c>
      <c r="I146" s="235" t="s">
        <v>12</v>
      </c>
      <c r="J146" s="234" t="s">
        <v>670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2"/>
        <v/>
      </c>
      <c r="BD146" s="137" t="str">
        <f t="shared" si="13"/>
        <v>INDENIZAÇÃO</v>
      </c>
      <c r="BE146" s="137" t="str">
        <f t="shared" si="14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>
      <c r="A147" s="204">
        <v>134</v>
      </c>
      <c r="B147" s="204" t="s">
        <v>99</v>
      </c>
      <c r="C147" s="233" t="s">
        <v>642</v>
      </c>
      <c r="D147" s="205" t="s">
        <v>101</v>
      </c>
      <c r="E147" s="204" t="s">
        <v>101</v>
      </c>
      <c r="F147" s="234" t="s">
        <v>669</v>
      </c>
      <c r="G147" s="235" t="s">
        <v>1</v>
      </c>
      <c r="H147" s="235" t="s">
        <v>2</v>
      </c>
      <c r="I147" s="235" t="s">
        <v>12</v>
      </c>
      <c r="J147" s="234" t="s">
        <v>671</v>
      </c>
      <c r="K147" s="234" t="s">
        <v>672</v>
      </c>
      <c r="L147" s="234" t="s">
        <v>673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2"/>
        <v/>
      </c>
      <c r="BD147" s="137" t="str">
        <f t="shared" si="13"/>
        <v>INDENIZAÇÃO</v>
      </c>
      <c r="BE147" s="137" t="str">
        <f t="shared" si="14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>
      <c r="A148" s="204">
        <v>135</v>
      </c>
      <c r="B148" s="204" t="s">
        <v>99</v>
      </c>
      <c r="C148" s="243" t="s">
        <v>642</v>
      </c>
      <c r="D148" s="244" t="s">
        <v>101</v>
      </c>
      <c r="E148" s="242" t="s">
        <v>101</v>
      </c>
      <c r="F148" s="245" t="s">
        <v>674</v>
      </c>
      <c r="G148" s="243"/>
      <c r="H148" s="243" t="s">
        <v>675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2"/>
        <v/>
      </c>
      <c r="BD148" s="137" t="str">
        <f t="shared" si="13"/>
        <v>INDENIZAÇÃO</v>
      </c>
      <c r="BE148" s="137" t="str">
        <f t="shared" si="14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hidden="1" customHeight="1">
      <c r="A149" s="204">
        <v>136</v>
      </c>
      <c r="B149" s="204" t="s">
        <v>99</v>
      </c>
      <c r="C149" s="233" t="s">
        <v>642</v>
      </c>
      <c r="D149" s="205" t="s">
        <v>101</v>
      </c>
      <c r="E149" s="204" t="s">
        <v>101</v>
      </c>
      <c r="F149" s="234" t="s">
        <v>676</v>
      </c>
      <c r="G149" s="235" t="s">
        <v>1</v>
      </c>
      <c r="H149" s="235" t="s">
        <v>2</v>
      </c>
      <c r="I149" s="204" t="s">
        <v>12</v>
      </c>
      <c r="J149" s="206" t="s">
        <v>677</v>
      </c>
      <c r="K149" s="206" t="s">
        <v>678</v>
      </c>
      <c r="L149" s="206" t="s">
        <v>679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677</v>
      </c>
      <c r="AC149" s="206" t="s">
        <v>678</v>
      </c>
      <c r="AD149" s="206" t="s">
        <v>679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680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2"/>
        <v>157</v>
      </c>
      <c r="BD149" s="137" t="str">
        <f t="shared" si="13"/>
        <v>INDENIZAÇÃO</v>
      </c>
      <c r="BE149" s="137" t="str">
        <f t="shared" si="14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>
      <c r="A150" s="204">
        <v>137</v>
      </c>
      <c r="B150" s="204" t="s">
        <v>99</v>
      </c>
      <c r="C150" s="233" t="s">
        <v>642</v>
      </c>
      <c r="D150" s="205" t="s">
        <v>101</v>
      </c>
      <c r="E150" s="204" t="s">
        <v>101</v>
      </c>
      <c r="F150" s="234" t="s">
        <v>681</v>
      </c>
      <c r="G150" s="235" t="s">
        <v>1</v>
      </c>
      <c r="H150" s="235" t="s">
        <v>2</v>
      </c>
      <c r="I150" s="235" t="s">
        <v>12</v>
      </c>
      <c r="J150" s="234" t="s">
        <v>682</v>
      </c>
      <c r="K150" s="234" t="s">
        <v>683</v>
      </c>
      <c r="L150" s="234" t="s">
        <v>684</v>
      </c>
      <c r="M150" s="204" t="s">
        <v>110</v>
      </c>
      <c r="N150" s="204" t="s">
        <v>126</v>
      </c>
      <c r="O150" s="151">
        <v>45797</v>
      </c>
      <c r="P150" s="151">
        <v>45831</v>
      </c>
      <c r="Q150" s="254" t="s">
        <v>128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2"/>
        <v/>
      </c>
      <c r="BD150" s="137" t="str">
        <f t="shared" si="13"/>
        <v>INDENIZAÇÃO</v>
      </c>
      <c r="BE150" s="137" t="str">
        <f t="shared" si="14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hidden="1" customHeight="1">
      <c r="A151" s="204">
        <v>138</v>
      </c>
      <c r="B151" s="204" t="s">
        <v>99</v>
      </c>
      <c r="C151" s="233" t="s">
        <v>642</v>
      </c>
      <c r="D151" s="205" t="s">
        <v>101</v>
      </c>
      <c r="E151" s="204" t="s">
        <v>101</v>
      </c>
      <c r="F151" s="234" t="s">
        <v>685</v>
      </c>
      <c r="G151" s="235" t="s">
        <v>1</v>
      </c>
      <c r="H151" s="235" t="s">
        <v>2</v>
      </c>
      <c r="I151" s="235" t="s">
        <v>510</v>
      </c>
      <c r="J151" s="234" t="s">
        <v>686</v>
      </c>
      <c r="K151" s="234" t="s">
        <v>687</v>
      </c>
      <c r="L151" s="234" t="s">
        <v>688</v>
      </c>
      <c r="M151" s="204" t="s">
        <v>110</v>
      </c>
      <c r="N151" s="204" t="s">
        <v>126</v>
      </c>
      <c r="O151" s="151">
        <v>45819</v>
      </c>
      <c r="P151" s="151">
        <v>45811</v>
      </c>
      <c r="Q151" s="254" t="s">
        <v>128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689</v>
      </c>
      <c r="AC151" s="206" t="s">
        <v>690</v>
      </c>
      <c r="AD151" s="206" t="s">
        <v>691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692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2"/>
        <v>96</v>
      </c>
      <c r="BD151" s="137" t="str">
        <f t="shared" si="13"/>
        <v>INDENIZAÇÃO</v>
      </c>
      <c r="BE151" s="137" t="str">
        <f t="shared" si="14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hidden="1" customHeight="1">
      <c r="A152" s="204">
        <v>139</v>
      </c>
      <c r="B152" s="204" t="s">
        <v>99</v>
      </c>
      <c r="C152" s="233" t="s">
        <v>642</v>
      </c>
      <c r="D152" s="205" t="s">
        <v>101</v>
      </c>
      <c r="E152" s="204" t="s">
        <v>101</v>
      </c>
      <c r="F152" s="234" t="s">
        <v>693</v>
      </c>
      <c r="G152" s="235" t="s">
        <v>1</v>
      </c>
      <c r="H152" s="235" t="s">
        <v>2</v>
      </c>
      <c r="I152" s="235" t="s">
        <v>12</v>
      </c>
      <c r="J152" s="234" t="s">
        <v>694</v>
      </c>
      <c r="K152" s="234" t="s">
        <v>695</v>
      </c>
      <c r="L152" s="234" t="s">
        <v>696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694</v>
      </c>
      <c r="AC152" s="234" t="s">
        <v>695</v>
      </c>
      <c r="AD152" s="234" t="s">
        <v>696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697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2"/>
        <v>84</v>
      </c>
      <c r="BD152" s="137" t="str">
        <f t="shared" si="13"/>
        <v>INDENIZAÇÃO</v>
      </c>
      <c r="BE152" s="137" t="str">
        <f t="shared" si="14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>
      <c r="A153" s="204">
        <v>140</v>
      </c>
      <c r="B153" s="204" t="s">
        <v>99</v>
      </c>
      <c r="C153" s="233" t="s">
        <v>642</v>
      </c>
      <c r="D153" s="205" t="s">
        <v>101</v>
      </c>
      <c r="E153" s="204" t="s">
        <v>101</v>
      </c>
      <c r="F153" s="234" t="s">
        <v>698</v>
      </c>
      <c r="G153" s="235" t="s">
        <v>1</v>
      </c>
      <c r="H153" s="235" t="s">
        <v>2</v>
      </c>
      <c r="I153" s="235" t="s">
        <v>12</v>
      </c>
      <c r="J153" s="234" t="s">
        <v>699</v>
      </c>
      <c r="K153" s="234" t="s">
        <v>175</v>
      </c>
      <c r="L153" s="234" t="s">
        <v>700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2"/>
        <v/>
      </c>
      <c r="BD153" s="137" t="str">
        <f t="shared" si="13"/>
        <v>INDENIZAÇÃO</v>
      </c>
      <c r="BE153" s="137" t="str">
        <f t="shared" si="14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>
      <c r="A154" s="204">
        <v>141</v>
      </c>
      <c r="B154" s="204" t="s">
        <v>99</v>
      </c>
      <c r="C154" s="233" t="s">
        <v>642</v>
      </c>
      <c r="D154" s="205" t="s">
        <v>101</v>
      </c>
      <c r="E154" s="204" t="s">
        <v>101</v>
      </c>
      <c r="F154" s="234" t="s">
        <v>701</v>
      </c>
      <c r="G154" s="235" t="s">
        <v>1</v>
      </c>
      <c r="H154" s="235" t="s">
        <v>2</v>
      </c>
      <c r="I154" s="235" t="s">
        <v>12</v>
      </c>
      <c r="J154" s="234" t="s">
        <v>702</v>
      </c>
      <c r="K154" s="234" t="s">
        <v>703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2"/>
        <v/>
      </c>
      <c r="BD154" s="137" t="str">
        <f t="shared" si="13"/>
        <v>INDENIZAÇÃO</v>
      </c>
      <c r="BE154" s="137" t="str">
        <f t="shared" si="14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>
      <c r="A155" s="204">
        <v>142</v>
      </c>
      <c r="B155" s="204" t="s">
        <v>99</v>
      </c>
      <c r="C155" s="233" t="s">
        <v>642</v>
      </c>
      <c r="D155" s="205" t="s">
        <v>101</v>
      </c>
      <c r="E155" s="204" t="s">
        <v>101</v>
      </c>
      <c r="F155" s="234" t="s">
        <v>704</v>
      </c>
      <c r="G155" s="235" t="s">
        <v>1</v>
      </c>
      <c r="H155" s="235" t="s">
        <v>2</v>
      </c>
      <c r="I155" s="235" t="s">
        <v>12</v>
      </c>
      <c r="J155" s="234" t="s">
        <v>705</v>
      </c>
      <c r="K155" s="234" t="s">
        <v>706</v>
      </c>
      <c r="L155" s="234" t="s">
        <v>707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2"/>
        <v/>
      </c>
      <c r="BD155" s="137" t="str">
        <f t="shared" si="13"/>
        <v>INDENIZAÇÃO</v>
      </c>
      <c r="BE155" s="137" t="str">
        <f t="shared" si="14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hidden="1" customHeight="1">
      <c r="A156" s="204">
        <v>143</v>
      </c>
      <c r="B156" s="204" t="s">
        <v>99</v>
      </c>
      <c r="C156" s="233" t="s">
        <v>642</v>
      </c>
      <c r="D156" s="205" t="s">
        <v>101</v>
      </c>
      <c r="E156" s="204" t="s">
        <v>101</v>
      </c>
      <c r="F156" s="234" t="s">
        <v>708</v>
      </c>
      <c r="G156" s="235" t="s">
        <v>1</v>
      </c>
      <c r="H156" s="235" t="s">
        <v>2</v>
      </c>
      <c r="I156" s="204" t="s">
        <v>12</v>
      </c>
      <c r="J156" s="234" t="s">
        <v>709</v>
      </c>
      <c r="K156" s="234" t="s">
        <v>710</v>
      </c>
      <c r="L156" s="234" t="s">
        <v>711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709</v>
      </c>
      <c r="AC156" s="234" t="s">
        <v>710</v>
      </c>
      <c r="AD156" s="234" t="s">
        <v>711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712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2"/>
        <v>60</v>
      </c>
      <c r="BD156" s="137" t="str">
        <f t="shared" si="13"/>
        <v>INDENIZAÇÃO</v>
      </c>
      <c r="BE156" s="137" t="str">
        <f t="shared" si="14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>
      <c r="A157" s="204">
        <v>144</v>
      </c>
      <c r="B157" s="204" t="s">
        <v>99</v>
      </c>
      <c r="C157" s="233" t="s">
        <v>642</v>
      </c>
      <c r="D157" s="205" t="s">
        <v>101</v>
      </c>
      <c r="E157" s="204" t="s">
        <v>101</v>
      </c>
      <c r="F157" s="234" t="s">
        <v>713</v>
      </c>
      <c r="G157" s="235" t="s">
        <v>1</v>
      </c>
      <c r="H157" s="235" t="s">
        <v>2</v>
      </c>
      <c r="I157" s="235" t="s">
        <v>12</v>
      </c>
      <c r="J157" s="234" t="s">
        <v>714</v>
      </c>
      <c r="K157" s="234" t="s">
        <v>715</v>
      </c>
      <c r="L157" s="234" t="s">
        <v>716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2"/>
        <v/>
      </c>
      <c r="BD157" s="137" t="str">
        <f t="shared" si="13"/>
        <v>INDENIZAÇÃO</v>
      </c>
      <c r="BE157" s="137" t="str">
        <f t="shared" si="14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hidden="1" customHeight="1">
      <c r="A158" s="204">
        <v>145</v>
      </c>
      <c r="B158" s="204" t="s">
        <v>99</v>
      </c>
      <c r="C158" s="233" t="s">
        <v>642</v>
      </c>
      <c r="D158" s="205" t="s">
        <v>101</v>
      </c>
      <c r="E158" s="204" t="s">
        <v>101</v>
      </c>
      <c r="F158" s="234" t="s">
        <v>717</v>
      </c>
      <c r="G158" s="235" t="s">
        <v>1</v>
      </c>
      <c r="H158" s="235" t="s">
        <v>2</v>
      </c>
      <c r="I158" s="204" t="s">
        <v>12</v>
      </c>
      <c r="J158" s="234" t="s">
        <v>718</v>
      </c>
      <c r="K158" s="234" t="s">
        <v>719</v>
      </c>
      <c r="L158" s="234" t="s">
        <v>720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718</v>
      </c>
      <c r="AC158" s="234" t="s">
        <v>719</v>
      </c>
      <c r="AD158" s="234" t="s">
        <v>720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721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2"/>
        <v>60</v>
      </c>
      <c r="BD158" s="137" t="str">
        <f t="shared" si="13"/>
        <v>INDENIZAÇÃO</v>
      </c>
      <c r="BE158" s="137" t="str">
        <f t="shared" si="14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hidden="1" customHeight="1">
      <c r="A159" s="204">
        <v>146</v>
      </c>
      <c r="B159" s="204" t="s">
        <v>99</v>
      </c>
      <c r="C159" s="233" t="s">
        <v>642</v>
      </c>
      <c r="D159" s="205" t="s">
        <v>101</v>
      </c>
      <c r="E159" s="204" t="s">
        <v>101</v>
      </c>
      <c r="F159" s="234" t="s">
        <v>722</v>
      </c>
      <c r="G159" s="235" t="s">
        <v>1</v>
      </c>
      <c r="H159" s="235" t="s">
        <v>2</v>
      </c>
      <c r="I159" s="204" t="s">
        <v>12</v>
      </c>
      <c r="J159" s="234" t="s">
        <v>723</v>
      </c>
      <c r="K159" s="234" t="s">
        <v>724</v>
      </c>
      <c r="L159" s="234" t="s">
        <v>725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723</v>
      </c>
      <c r="AC159" s="234" t="s">
        <v>724</v>
      </c>
      <c r="AD159" s="234" t="s">
        <v>725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726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2"/>
        <v>96</v>
      </c>
      <c r="BD159" s="137" t="str">
        <f t="shared" si="13"/>
        <v>INDENIZAÇÃO</v>
      </c>
      <c r="BE159" s="137" t="str">
        <f t="shared" si="14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>
      <c r="A160" s="204">
        <v>147</v>
      </c>
      <c r="B160" s="204" t="s">
        <v>99</v>
      </c>
      <c r="C160" s="233" t="s">
        <v>642</v>
      </c>
      <c r="D160" s="205" t="s">
        <v>101</v>
      </c>
      <c r="E160" s="204" t="s">
        <v>101</v>
      </c>
      <c r="F160" s="234" t="s">
        <v>727</v>
      </c>
      <c r="G160" s="235" t="s">
        <v>1</v>
      </c>
      <c r="H160" s="235" t="s">
        <v>2</v>
      </c>
      <c r="I160" s="235" t="s">
        <v>12</v>
      </c>
      <c r="J160" s="234" t="s">
        <v>728</v>
      </c>
      <c r="K160" s="234" t="s">
        <v>729</v>
      </c>
      <c r="L160" s="234" t="s">
        <v>730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2"/>
        <v/>
      </c>
      <c r="BD160" s="137" t="str">
        <f t="shared" si="13"/>
        <v>INDENIZAÇÃO</v>
      </c>
      <c r="BE160" s="137" t="str">
        <f t="shared" si="14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>
      <c r="A161" s="204">
        <v>148</v>
      </c>
      <c r="B161" s="204" t="s">
        <v>99</v>
      </c>
      <c r="C161" s="233" t="s">
        <v>642</v>
      </c>
      <c r="D161" s="205" t="s">
        <v>101</v>
      </c>
      <c r="E161" s="204" t="s">
        <v>101</v>
      </c>
      <c r="F161" s="234" t="s">
        <v>731</v>
      </c>
      <c r="G161" s="235" t="s">
        <v>1</v>
      </c>
      <c r="H161" s="235" t="s">
        <v>2</v>
      </c>
      <c r="I161" s="235" t="s">
        <v>12</v>
      </c>
      <c r="J161" s="234" t="s">
        <v>732</v>
      </c>
      <c r="K161" s="234" t="s">
        <v>733</v>
      </c>
      <c r="L161" s="234" t="s">
        <v>734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2"/>
        <v/>
      </c>
      <c r="BD161" s="137" t="str">
        <f t="shared" si="13"/>
        <v>INDENIZAÇÃO</v>
      </c>
      <c r="BE161" s="137" t="str">
        <f t="shared" si="14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hidden="1" customHeight="1">
      <c r="A162" s="204">
        <v>149</v>
      </c>
      <c r="B162" s="204" t="s">
        <v>99</v>
      </c>
      <c r="C162" s="233" t="s">
        <v>642</v>
      </c>
      <c r="D162" s="205" t="s">
        <v>101</v>
      </c>
      <c r="E162" s="204" t="s">
        <v>101</v>
      </c>
      <c r="F162" s="234" t="s">
        <v>735</v>
      </c>
      <c r="G162" s="235" t="s">
        <v>1</v>
      </c>
      <c r="H162" s="235" t="s">
        <v>2</v>
      </c>
      <c r="I162" s="204" t="s">
        <v>12</v>
      </c>
      <c r="J162" s="234" t="s">
        <v>736</v>
      </c>
      <c r="K162" s="234" t="s">
        <v>737</v>
      </c>
      <c r="L162" s="234" t="s">
        <v>738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736</v>
      </c>
      <c r="AC162" s="234" t="s">
        <v>737</v>
      </c>
      <c r="AD162" s="234" t="s">
        <v>738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739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2"/>
        <v>60</v>
      </c>
      <c r="BD162" s="137" t="str">
        <f t="shared" si="13"/>
        <v>INDENIZAÇÃO</v>
      </c>
      <c r="BE162" s="137" t="str">
        <f t="shared" si="14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hidden="1" customHeight="1">
      <c r="A163" s="204">
        <v>150</v>
      </c>
      <c r="B163" s="204" t="s">
        <v>99</v>
      </c>
      <c r="C163" s="233" t="s">
        <v>642</v>
      </c>
      <c r="D163" s="205" t="s">
        <v>101</v>
      </c>
      <c r="E163" s="204" t="s">
        <v>101</v>
      </c>
      <c r="F163" s="234" t="s">
        <v>740</v>
      </c>
      <c r="G163" s="235" t="s">
        <v>1</v>
      </c>
      <c r="H163" s="235" t="s">
        <v>2</v>
      </c>
      <c r="I163" s="204" t="s">
        <v>12</v>
      </c>
      <c r="J163" s="234" t="s">
        <v>741</v>
      </c>
      <c r="K163" s="234" t="s">
        <v>742</v>
      </c>
      <c r="L163" s="234" t="s">
        <v>743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741</v>
      </c>
      <c r="AC163" s="234" t="s">
        <v>742</v>
      </c>
      <c r="AD163" s="234" t="s">
        <v>743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744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2"/>
        <v>92</v>
      </c>
      <c r="BD163" s="137" t="str">
        <f t="shared" si="13"/>
        <v>INDENIZAÇÃO</v>
      </c>
      <c r="BE163" s="137" t="str">
        <f t="shared" si="14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hidden="1" customHeight="1">
      <c r="A164" s="204">
        <v>151</v>
      </c>
      <c r="B164" s="204" t="s">
        <v>99</v>
      </c>
      <c r="C164" s="233" t="s">
        <v>642</v>
      </c>
      <c r="D164" s="205" t="s">
        <v>101</v>
      </c>
      <c r="E164" s="204" t="s">
        <v>101</v>
      </c>
      <c r="F164" s="253" t="s">
        <v>745</v>
      </c>
      <c r="G164" s="235" t="s">
        <v>1</v>
      </c>
      <c r="H164" s="235" t="s">
        <v>2</v>
      </c>
      <c r="I164" s="204" t="s">
        <v>12</v>
      </c>
      <c r="J164" s="234" t="s">
        <v>746</v>
      </c>
      <c r="K164" s="234" t="s">
        <v>747</v>
      </c>
      <c r="L164" s="234" t="s">
        <v>748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746</v>
      </c>
      <c r="AC164" s="234" t="s">
        <v>747</v>
      </c>
      <c r="AD164" s="234" t="s">
        <v>748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749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2"/>
        <v>88</v>
      </c>
      <c r="BD164" s="137" t="str">
        <f t="shared" si="13"/>
        <v>INDENIZAÇÃO</v>
      </c>
      <c r="BE164" s="137" t="str">
        <f t="shared" si="14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hidden="1" customHeight="1">
      <c r="A165" s="204">
        <v>152</v>
      </c>
      <c r="B165" s="204" t="s">
        <v>99</v>
      </c>
      <c r="C165" s="233" t="s">
        <v>642</v>
      </c>
      <c r="D165" s="205" t="s">
        <v>101</v>
      </c>
      <c r="E165" s="204" t="s">
        <v>101</v>
      </c>
      <c r="F165" s="234" t="s">
        <v>750</v>
      </c>
      <c r="G165" s="235" t="s">
        <v>1</v>
      </c>
      <c r="H165" s="235" t="s">
        <v>2</v>
      </c>
      <c r="I165" s="204" t="s">
        <v>12</v>
      </c>
      <c r="J165" s="234" t="s">
        <v>751</v>
      </c>
      <c r="K165" s="234" t="s">
        <v>752</v>
      </c>
      <c r="L165" s="234" t="s">
        <v>753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751</v>
      </c>
      <c r="AC165" s="234" t="s">
        <v>752</v>
      </c>
      <c r="AD165" s="234" t="s">
        <v>753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754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2"/>
        <v>96</v>
      </c>
      <c r="BD165" s="137" t="str">
        <f t="shared" si="13"/>
        <v>INDENIZAÇÃO</v>
      </c>
      <c r="BE165" s="137" t="str">
        <f t="shared" si="14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hidden="1" customHeight="1">
      <c r="A166" s="204">
        <v>153</v>
      </c>
      <c r="B166" s="204" t="s">
        <v>99</v>
      </c>
      <c r="C166" s="233" t="s">
        <v>642</v>
      </c>
      <c r="D166" s="205" t="s">
        <v>101</v>
      </c>
      <c r="E166" s="204" t="s">
        <v>101</v>
      </c>
      <c r="F166" s="234" t="s">
        <v>755</v>
      </c>
      <c r="G166" s="235" t="s">
        <v>1</v>
      </c>
      <c r="H166" s="235" t="s">
        <v>2</v>
      </c>
      <c r="I166" s="235" t="s">
        <v>12</v>
      </c>
      <c r="J166" s="234" t="s">
        <v>756</v>
      </c>
      <c r="K166" s="234" t="s">
        <v>757</v>
      </c>
      <c r="L166" s="234" t="s">
        <v>758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756</v>
      </c>
      <c r="AC166" s="234" t="s">
        <v>757</v>
      </c>
      <c r="AD166" s="234" t="s">
        <v>758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759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2"/>
        <v>120</v>
      </c>
      <c r="BD166" s="137" t="str">
        <f t="shared" si="13"/>
        <v>INDENIZAÇÃO</v>
      </c>
      <c r="BE166" s="137" t="str">
        <f t="shared" si="14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hidden="1" customHeight="1">
      <c r="A167" s="204">
        <v>154</v>
      </c>
      <c r="B167" s="204" t="s">
        <v>99</v>
      </c>
      <c r="C167" s="233" t="s">
        <v>642</v>
      </c>
      <c r="D167" s="205" t="s">
        <v>101</v>
      </c>
      <c r="E167" s="204" t="s">
        <v>101</v>
      </c>
      <c r="F167" s="234" t="s">
        <v>760</v>
      </c>
      <c r="G167" s="235" t="s">
        <v>1</v>
      </c>
      <c r="H167" s="235" t="s">
        <v>2</v>
      </c>
      <c r="I167" s="235" t="s">
        <v>12</v>
      </c>
      <c r="J167" s="234" t="s">
        <v>761</v>
      </c>
      <c r="K167" s="234" t="s">
        <v>762</v>
      </c>
      <c r="L167" s="234" t="s">
        <v>763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761</v>
      </c>
      <c r="AC167" s="234" t="s">
        <v>762</v>
      </c>
      <c r="AD167" s="234" t="s">
        <v>763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764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2"/>
        <v>61</v>
      </c>
      <c r="BD167" s="137" t="str">
        <f t="shared" si="13"/>
        <v>INDENIZAÇÃO</v>
      </c>
      <c r="BE167" s="137" t="str">
        <f t="shared" si="14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hidden="1" customHeight="1">
      <c r="A168" s="204">
        <v>155</v>
      </c>
      <c r="B168" s="204" t="s">
        <v>99</v>
      </c>
      <c r="C168" s="233" t="s">
        <v>642</v>
      </c>
      <c r="D168" s="205" t="s">
        <v>101</v>
      </c>
      <c r="E168" s="204" t="s">
        <v>101</v>
      </c>
      <c r="F168" s="234" t="s">
        <v>765</v>
      </c>
      <c r="G168" s="235" t="s">
        <v>1</v>
      </c>
      <c r="H168" s="235" t="s">
        <v>2</v>
      </c>
      <c r="I168" s="235" t="s">
        <v>12</v>
      </c>
      <c r="J168" s="234" t="s">
        <v>766</v>
      </c>
      <c r="K168" s="234" t="s">
        <v>767</v>
      </c>
      <c r="L168" s="234" t="s">
        <v>768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766</v>
      </c>
      <c r="AC168" s="234" t="s">
        <v>767</v>
      </c>
      <c r="AD168" s="234" t="s">
        <v>768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769</v>
      </c>
      <c r="AP168" s="234" t="s">
        <v>770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2"/>
        <v>14</v>
      </c>
      <c r="BD168" s="137" t="str">
        <f t="shared" si="13"/>
        <v>INDENIZAÇÃO</v>
      </c>
      <c r="BE168" s="137" t="str">
        <f t="shared" si="14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hidden="1" customHeight="1">
      <c r="A169" s="204">
        <v>156</v>
      </c>
      <c r="B169" s="204" t="s">
        <v>99</v>
      </c>
      <c r="C169" s="233" t="s">
        <v>642</v>
      </c>
      <c r="D169" s="205" t="s">
        <v>101</v>
      </c>
      <c r="E169" s="204" t="s">
        <v>101</v>
      </c>
      <c r="F169" s="234" t="s">
        <v>771</v>
      </c>
      <c r="G169" s="235" t="s">
        <v>1</v>
      </c>
      <c r="H169" s="235" t="s">
        <v>2</v>
      </c>
      <c r="I169" s="204" t="s">
        <v>12</v>
      </c>
      <c r="J169" s="234" t="s">
        <v>772</v>
      </c>
      <c r="K169" s="234" t="s">
        <v>773</v>
      </c>
      <c r="L169" s="234" t="s">
        <v>774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772</v>
      </c>
      <c r="AC169" s="234" t="s">
        <v>773</v>
      </c>
      <c r="AD169" s="234" t="s">
        <v>774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775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2"/>
        <v>77</v>
      </c>
      <c r="BD169" s="137" t="str">
        <f t="shared" si="13"/>
        <v>INDENIZAÇÃO</v>
      </c>
      <c r="BE169" s="137" t="str">
        <f t="shared" si="14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hidden="1" customHeight="1">
      <c r="A170" s="204">
        <v>157</v>
      </c>
      <c r="B170" s="204" t="s">
        <v>99</v>
      </c>
      <c r="C170" s="233" t="s">
        <v>642</v>
      </c>
      <c r="D170" s="205" t="s">
        <v>101</v>
      </c>
      <c r="E170" s="204" t="s">
        <v>101</v>
      </c>
      <c r="F170" s="234" t="s">
        <v>776</v>
      </c>
      <c r="G170" s="235" t="s">
        <v>1</v>
      </c>
      <c r="H170" s="235" t="s">
        <v>2</v>
      </c>
      <c r="I170" s="204" t="s">
        <v>12</v>
      </c>
      <c r="J170" s="234" t="s">
        <v>777</v>
      </c>
      <c r="K170" s="234" t="s">
        <v>778</v>
      </c>
      <c r="L170" s="234" t="s">
        <v>779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777</v>
      </c>
      <c r="AC170" s="234" t="s">
        <v>778</v>
      </c>
      <c r="AD170" s="234" t="s">
        <v>779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780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2"/>
        <v>77</v>
      </c>
      <c r="BD170" s="137" t="str">
        <f t="shared" si="13"/>
        <v>INDENIZAÇÃO</v>
      </c>
      <c r="BE170" s="137" t="str">
        <f t="shared" si="14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>
      <c r="A171" s="204">
        <v>158</v>
      </c>
      <c r="B171" s="204" t="s">
        <v>99</v>
      </c>
      <c r="C171" s="233" t="s">
        <v>642</v>
      </c>
      <c r="D171" s="205" t="s">
        <v>101</v>
      </c>
      <c r="E171" s="204" t="s">
        <v>101</v>
      </c>
      <c r="F171" s="234" t="s">
        <v>781</v>
      </c>
      <c r="G171" s="235" t="s">
        <v>1</v>
      </c>
      <c r="H171" s="235" t="s">
        <v>2</v>
      </c>
      <c r="I171" s="235" t="s">
        <v>12</v>
      </c>
      <c r="J171" s="234" t="s">
        <v>782</v>
      </c>
      <c r="K171" s="234" t="s">
        <v>783</v>
      </c>
      <c r="L171" s="234" t="s">
        <v>784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2"/>
        <v/>
      </c>
      <c r="BD171" s="137" t="str">
        <f t="shared" si="13"/>
        <v>INDENIZAÇÃO</v>
      </c>
      <c r="BE171" s="137" t="str">
        <f t="shared" si="14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hidden="1" customHeight="1">
      <c r="A172" s="204">
        <v>159</v>
      </c>
      <c r="B172" s="204" t="s">
        <v>99</v>
      </c>
      <c r="C172" s="233" t="s">
        <v>642</v>
      </c>
      <c r="D172" s="205" t="s">
        <v>101</v>
      </c>
      <c r="E172" s="204" t="s">
        <v>101</v>
      </c>
      <c r="F172" s="234" t="s">
        <v>785</v>
      </c>
      <c r="G172" s="235" t="s">
        <v>1</v>
      </c>
      <c r="H172" s="235" t="s">
        <v>2</v>
      </c>
      <c r="I172" s="235" t="s">
        <v>12</v>
      </c>
      <c r="J172" s="234" t="s">
        <v>786</v>
      </c>
      <c r="K172" s="234" t="s">
        <v>787</v>
      </c>
      <c r="L172" s="234" t="s">
        <v>788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786</v>
      </c>
      <c r="AC172" s="234" t="s">
        <v>787</v>
      </c>
      <c r="AD172" s="234" t="s">
        <v>788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789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2"/>
        <v>70</v>
      </c>
      <c r="BD172" s="137" t="str">
        <f t="shared" si="13"/>
        <v>INDENIZAÇÃO</v>
      </c>
      <c r="BE172" s="137" t="str">
        <f t="shared" si="14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hidden="1" customHeight="1">
      <c r="A173" s="204">
        <v>160</v>
      </c>
      <c r="B173" s="204" t="s">
        <v>99</v>
      </c>
      <c r="C173" s="233" t="s">
        <v>642</v>
      </c>
      <c r="D173" s="205" t="s">
        <v>101</v>
      </c>
      <c r="E173" s="204" t="s">
        <v>101</v>
      </c>
      <c r="F173" s="234" t="s">
        <v>790</v>
      </c>
      <c r="G173" s="235" t="s">
        <v>1</v>
      </c>
      <c r="H173" s="235" t="s">
        <v>2</v>
      </c>
      <c r="I173" s="235" t="s">
        <v>12</v>
      </c>
      <c r="J173" s="234" t="s">
        <v>791</v>
      </c>
      <c r="K173" s="234" t="s">
        <v>792</v>
      </c>
      <c r="L173" s="234" t="s">
        <v>793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791</v>
      </c>
      <c r="AC173" s="234" t="s">
        <v>792</v>
      </c>
      <c r="AD173" s="234" t="s">
        <v>793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794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2"/>
        <v>70</v>
      </c>
      <c r="BD173" s="137" t="str">
        <f t="shared" si="13"/>
        <v>INDENIZAÇÃO</v>
      </c>
      <c r="BE173" s="137" t="str">
        <f t="shared" si="14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hidden="1" customHeight="1">
      <c r="A174" s="204">
        <v>161</v>
      </c>
      <c r="B174" s="204" t="s">
        <v>99</v>
      </c>
      <c r="C174" s="233" t="s">
        <v>642</v>
      </c>
      <c r="D174" s="205" t="s">
        <v>101</v>
      </c>
      <c r="E174" s="204" t="s">
        <v>101</v>
      </c>
      <c r="F174" s="234" t="s">
        <v>795</v>
      </c>
      <c r="G174" s="235" t="s">
        <v>1</v>
      </c>
      <c r="H174" s="235" t="s">
        <v>2</v>
      </c>
      <c r="I174" s="235" t="s">
        <v>12</v>
      </c>
      <c r="J174" s="234" t="s">
        <v>796</v>
      </c>
      <c r="K174" s="234" t="s">
        <v>797</v>
      </c>
      <c r="L174" s="234" t="s">
        <v>798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796</v>
      </c>
      <c r="AC174" s="234" t="s">
        <v>797</v>
      </c>
      <c r="AD174" s="234" t="s">
        <v>798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799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2"/>
        <v>133</v>
      </c>
      <c r="BD174" s="137" t="str">
        <f t="shared" si="13"/>
        <v>INDENIZAÇÃO</v>
      </c>
      <c r="BE174" s="137" t="str">
        <f t="shared" si="14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188</v>
      </c>
      <c r="BM174" s="145"/>
      <c r="BN174" s="266"/>
    </row>
    <row r="175" spans="1:67" s="152" customFormat="1" ht="30" hidden="1" customHeight="1">
      <c r="A175" s="204">
        <v>162</v>
      </c>
      <c r="B175" s="204" t="s">
        <v>99</v>
      </c>
      <c r="C175" s="233" t="s">
        <v>642</v>
      </c>
      <c r="D175" s="205" t="s">
        <v>101</v>
      </c>
      <c r="E175" s="204" t="s">
        <v>101</v>
      </c>
      <c r="F175" s="234" t="s">
        <v>795</v>
      </c>
      <c r="G175" s="235" t="s">
        <v>1</v>
      </c>
      <c r="H175" s="235" t="s">
        <v>2</v>
      </c>
      <c r="I175" s="204" t="s">
        <v>507</v>
      </c>
      <c r="J175" s="234" t="s">
        <v>800</v>
      </c>
      <c r="K175" s="234" t="s">
        <v>801</v>
      </c>
      <c r="L175" s="234" t="s">
        <v>802</v>
      </c>
      <c r="M175" s="204" t="s">
        <v>101</v>
      </c>
      <c r="N175" s="204" t="s">
        <v>803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800</v>
      </c>
      <c r="AC175" s="234" t="s">
        <v>801</v>
      </c>
      <c r="AD175" s="234" t="s">
        <v>802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804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2"/>
        <v>#VALUE!</v>
      </c>
      <c r="BD175" s="137" t="str">
        <f t="shared" si="13"/>
        <v>INDENIZAÇÃO</v>
      </c>
      <c r="BE175" s="137" t="str">
        <f t="shared" si="14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hidden="1" customHeight="1">
      <c r="A176" s="204">
        <v>163</v>
      </c>
      <c r="B176" s="204" t="s">
        <v>99</v>
      </c>
      <c r="C176" s="233" t="s">
        <v>642</v>
      </c>
      <c r="D176" s="205" t="s">
        <v>101</v>
      </c>
      <c r="E176" s="204" t="s">
        <v>101</v>
      </c>
      <c r="F176" s="234" t="s">
        <v>805</v>
      </c>
      <c r="G176" s="235" t="s">
        <v>1</v>
      </c>
      <c r="H176" s="235" t="s">
        <v>2</v>
      </c>
      <c r="I176" s="235" t="s">
        <v>12</v>
      </c>
      <c r="J176" s="234" t="s">
        <v>806</v>
      </c>
      <c r="K176" s="234" t="s">
        <v>807</v>
      </c>
      <c r="L176" s="234" t="s">
        <v>808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806</v>
      </c>
      <c r="AC176" s="234" t="s">
        <v>807</v>
      </c>
      <c r="AD176" s="234" t="s">
        <v>808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809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si="12"/>
        <v>56</v>
      </c>
      <c r="BD176" s="137" t="str">
        <f t="shared" si="13"/>
        <v>INDENIZAÇÃO</v>
      </c>
      <c r="BE176" s="137" t="str">
        <f t="shared" si="14"/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hidden="1" customHeight="1">
      <c r="A177" s="204">
        <v>164</v>
      </c>
      <c r="B177" s="204" t="s">
        <v>99</v>
      </c>
      <c r="C177" s="233" t="s">
        <v>642</v>
      </c>
      <c r="D177" s="205" t="s">
        <v>101</v>
      </c>
      <c r="E177" s="204" t="s">
        <v>101</v>
      </c>
      <c r="F177" s="234" t="s">
        <v>810</v>
      </c>
      <c r="G177" s="235" t="s">
        <v>1</v>
      </c>
      <c r="H177" s="235" t="s">
        <v>2</v>
      </c>
      <c r="I177" s="235" t="s">
        <v>12</v>
      </c>
      <c r="J177" s="234" t="s">
        <v>811</v>
      </c>
      <c r="K177" s="234" t="s">
        <v>812</v>
      </c>
      <c r="L177" s="234" t="s">
        <v>813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811</v>
      </c>
      <c r="AC177" s="234" t="s">
        <v>812</v>
      </c>
      <c r="AD177" s="234" t="s">
        <v>813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814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12"/>
        <v>57</v>
      </c>
      <c r="BD177" s="137" t="str">
        <f t="shared" si="13"/>
        <v>INDENIZAÇÃO</v>
      </c>
      <c r="BE177" s="137" t="str">
        <f t="shared" si="14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hidden="1" customHeight="1">
      <c r="A178" s="204">
        <v>165</v>
      </c>
      <c r="B178" s="204" t="s">
        <v>99</v>
      </c>
      <c r="C178" s="233" t="s">
        <v>642</v>
      </c>
      <c r="D178" s="205" t="s">
        <v>101</v>
      </c>
      <c r="E178" s="204" t="s">
        <v>101</v>
      </c>
      <c r="F178" s="234" t="s">
        <v>815</v>
      </c>
      <c r="G178" s="235" t="s">
        <v>1</v>
      </c>
      <c r="H178" s="235" t="s">
        <v>2</v>
      </c>
      <c r="I178" s="235" t="s">
        <v>12</v>
      </c>
      <c r="J178" s="234" t="s">
        <v>816</v>
      </c>
      <c r="K178" s="234" t="s">
        <v>817</v>
      </c>
      <c r="L178" s="234" t="s">
        <v>818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816</v>
      </c>
      <c r="AC178" s="234" t="s">
        <v>817</v>
      </c>
      <c r="AD178" s="234" t="s">
        <v>818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819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ref="BC178:BC205" si="15">IF(AY178-KG178=0,"",AY178-O178)</f>
        <v>95</v>
      </c>
      <c r="BD178" s="137" t="str">
        <f t="shared" ref="BD178:BD205" si="16">IF(AND(AI178&lt;&gt;"SIM",AI178="UH"),"AA","INDENIZAÇÃO")</f>
        <v>INDENIZAÇÃO</v>
      </c>
      <c r="BE178" s="137" t="str">
        <f t="shared" ref="BE178:BE205" si="17">IF(AND(AY178&lt;&gt;"AGUARDANDO",AY178&lt;&gt;"",N178="AUXÍLIO ALUGUEL ATÉ INDENIZAÇÃO"),"SIM","NÃO")</f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hidden="1" customHeight="1">
      <c r="A179" s="204">
        <v>166</v>
      </c>
      <c r="B179" s="204" t="s">
        <v>99</v>
      </c>
      <c r="C179" s="233" t="s">
        <v>642</v>
      </c>
      <c r="D179" s="205" t="s">
        <v>101</v>
      </c>
      <c r="E179" s="204" t="s">
        <v>101</v>
      </c>
      <c r="F179" s="234" t="s">
        <v>820</v>
      </c>
      <c r="G179" s="235" t="s">
        <v>1</v>
      </c>
      <c r="H179" s="235" t="s">
        <v>2</v>
      </c>
      <c r="I179" s="235" t="s">
        <v>12</v>
      </c>
      <c r="J179" s="234" t="s">
        <v>821</v>
      </c>
      <c r="K179" s="234" t="s">
        <v>822</v>
      </c>
      <c r="L179" s="234" t="s">
        <v>823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821</v>
      </c>
      <c r="AC179" s="234" t="s">
        <v>822</v>
      </c>
      <c r="AD179" s="234" t="s">
        <v>823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824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15"/>
        <v>39</v>
      </c>
      <c r="BD179" s="137" t="str">
        <f t="shared" si="16"/>
        <v>INDENIZAÇÃO</v>
      </c>
      <c r="BE179" s="137" t="str">
        <f t="shared" si="17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hidden="1" customHeight="1">
      <c r="A180" s="204">
        <v>167</v>
      </c>
      <c r="B180" s="204" t="s">
        <v>99</v>
      </c>
      <c r="C180" s="233" t="s">
        <v>642</v>
      </c>
      <c r="D180" s="205" t="s">
        <v>101</v>
      </c>
      <c r="E180" s="204" t="s">
        <v>101</v>
      </c>
      <c r="F180" s="234" t="s">
        <v>825</v>
      </c>
      <c r="G180" s="235" t="s">
        <v>1</v>
      </c>
      <c r="H180" s="235" t="s">
        <v>2</v>
      </c>
      <c r="I180" s="235" t="s">
        <v>12</v>
      </c>
      <c r="J180" s="234" t="s">
        <v>826</v>
      </c>
      <c r="K180" s="234" t="s">
        <v>827</v>
      </c>
      <c r="L180" s="234" t="s">
        <v>828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826</v>
      </c>
      <c r="AC180" s="234" t="s">
        <v>827</v>
      </c>
      <c r="AD180" s="234" t="s">
        <v>828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829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15"/>
        <v>25</v>
      </c>
      <c r="BD180" s="137" t="str">
        <f t="shared" si="16"/>
        <v>INDENIZAÇÃO</v>
      </c>
      <c r="BE180" s="137" t="str">
        <f t="shared" si="17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hidden="1" customHeight="1">
      <c r="A181" s="204">
        <v>168</v>
      </c>
      <c r="B181" s="204" t="s">
        <v>99</v>
      </c>
      <c r="C181" s="233" t="s">
        <v>642</v>
      </c>
      <c r="D181" s="205" t="s">
        <v>101</v>
      </c>
      <c r="E181" s="204" t="s">
        <v>101</v>
      </c>
      <c r="F181" s="234" t="s">
        <v>830</v>
      </c>
      <c r="G181" s="235" t="s">
        <v>1</v>
      </c>
      <c r="H181" s="235" t="s">
        <v>2</v>
      </c>
      <c r="I181" s="235" t="s">
        <v>12</v>
      </c>
      <c r="J181" s="234" t="s">
        <v>831</v>
      </c>
      <c r="K181" s="234" t="s">
        <v>832</v>
      </c>
      <c r="L181" s="234" t="s">
        <v>833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831</v>
      </c>
      <c r="AC181" s="234" t="s">
        <v>832</v>
      </c>
      <c r="AD181" s="234" t="s">
        <v>833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834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15"/>
        <v>25</v>
      </c>
      <c r="BD181" s="137" t="str">
        <f t="shared" si="16"/>
        <v>INDENIZAÇÃO</v>
      </c>
      <c r="BE181" s="137" t="str">
        <f t="shared" si="17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hidden="1" customHeight="1">
      <c r="A182" s="204">
        <v>169</v>
      </c>
      <c r="B182" s="204" t="s">
        <v>99</v>
      </c>
      <c r="C182" s="233" t="s">
        <v>642</v>
      </c>
      <c r="D182" s="205" t="s">
        <v>101</v>
      </c>
      <c r="E182" s="204" t="s">
        <v>101</v>
      </c>
      <c r="F182" s="234" t="s">
        <v>835</v>
      </c>
      <c r="G182" s="235" t="s">
        <v>1</v>
      </c>
      <c r="H182" s="235" t="s">
        <v>2</v>
      </c>
      <c r="I182" s="235" t="s">
        <v>12</v>
      </c>
      <c r="J182" s="234" t="s">
        <v>836</v>
      </c>
      <c r="K182" s="234" t="s">
        <v>837</v>
      </c>
      <c r="L182" s="234" t="s">
        <v>838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836</v>
      </c>
      <c r="AC182" s="234" t="s">
        <v>837</v>
      </c>
      <c r="AD182" s="234" t="s">
        <v>838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839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15"/>
        <v>88</v>
      </c>
      <c r="BD182" s="137" t="str">
        <f t="shared" si="16"/>
        <v>INDENIZAÇÃO</v>
      </c>
      <c r="BE182" s="137" t="str">
        <f t="shared" si="17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188</v>
      </c>
      <c r="BM182" s="145"/>
      <c r="BN182" s="266"/>
    </row>
    <row r="183" spans="1:67" s="152" customFormat="1" ht="30" hidden="1" customHeight="1">
      <c r="A183" s="204">
        <v>170</v>
      </c>
      <c r="B183" s="204" t="s">
        <v>99</v>
      </c>
      <c r="C183" s="251" t="s">
        <v>642</v>
      </c>
      <c r="D183" s="252" t="s">
        <v>101</v>
      </c>
      <c r="E183" s="137" t="s">
        <v>101</v>
      </c>
      <c r="F183" s="250" t="s">
        <v>840</v>
      </c>
      <c r="G183" s="251" t="s">
        <v>1</v>
      </c>
      <c r="H183" s="251" t="s">
        <v>2</v>
      </c>
      <c r="I183" s="204" t="s">
        <v>12</v>
      </c>
      <c r="J183" s="250" t="s">
        <v>841</v>
      </c>
      <c r="K183" s="250" t="s">
        <v>842</v>
      </c>
      <c r="L183" s="250" t="s">
        <v>843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841</v>
      </c>
      <c r="AC183" s="250" t="s">
        <v>842</v>
      </c>
      <c r="AD183" s="250" t="s">
        <v>843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844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15"/>
        <v>77</v>
      </c>
      <c r="BD183" s="137" t="str">
        <f t="shared" si="16"/>
        <v>INDENIZAÇÃO</v>
      </c>
      <c r="BE183" s="137" t="str">
        <f t="shared" si="17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hidden="1" customHeight="1">
      <c r="A184" s="204">
        <v>171</v>
      </c>
      <c r="B184" s="204" t="s">
        <v>99</v>
      </c>
      <c r="C184" s="233" t="s">
        <v>642</v>
      </c>
      <c r="D184" s="205" t="s">
        <v>101</v>
      </c>
      <c r="E184" s="204" t="s">
        <v>101</v>
      </c>
      <c r="F184" s="234" t="s">
        <v>845</v>
      </c>
      <c r="G184" s="235" t="s">
        <v>1</v>
      </c>
      <c r="H184" s="235" t="s">
        <v>2</v>
      </c>
      <c r="I184" s="204" t="s">
        <v>12</v>
      </c>
      <c r="J184" s="234" t="s">
        <v>846</v>
      </c>
      <c r="K184" s="234" t="s">
        <v>847</v>
      </c>
      <c r="L184" s="234" t="s">
        <v>848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846</v>
      </c>
      <c r="AC184" s="234" t="s">
        <v>847</v>
      </c>
      <c r="AD184" s="234" t="s">
        <v>848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849</v>
      </c>
      <c r="AP184" s="234" t="s">
        <v>850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15"/>
        <v>83</v>
      </c>
      <c r="BD184" s="137" t="str">
        <f t="shared" si="16"/>
        <v>INDENIZAÇÃO</v>
      </c>
      <c r="BE184" s="137" t="str">
        <f t="shared" si="17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>
      <c r="A185" s="204">
        <v>172</v>
      </c>
      <c r="B185" s="204" t="s">
        <v>99</v>
      </c>
      <c r="C185" s="233" t="s">
        <v>642</v>
      </c>
      <c r="D185" s="205" t="s">
        <v>101</v>
      </c>
      <c r="E185" s="204" t="s">
        <v>101</v>
      </c>
      <c r="F185" s="234" t="s">
        <v>851</v>
      </c>
      <c r="G185" s="235" t="s">
        <v>1</v>
      </c>
      <c r="H185" s="235" t="s">
        <v>154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15"/>
        <v/>
      </c>
      <c r="BD185" s="137" t="str">
        <f t="shared" si="16"/>
        <v>INDENIZAÇÃO</v>
      </c>
      <c r="BE185" s="137" t="str">
        <f t="shared" si="17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hidden="1" customHeight="1">
      <c r="A186" s="204">
        <v>173</v>
      </c>
      <c r="B186" s="204" t="s">
        <v>99</v>
      </c>
      <c r="C186" s="233" t="s">
        <v>642</v>
      </c>
      <c r="D186" s="205" t="s">
        <v>101</v>
      </c>
      <c r="E186" s="204" t="s">
        <v>101</v>
      </c>
      <c r="F186" s="234" t="s">
        <v>852</v>
      </c>
      <c r="G186" s="235" t="s">
        <v>1</v>
      </c>
      <c r="H186" s="235" t="s">
        <v>2</v>
      </c>
      <c r="I186" s="235" t="s">
        <v>12</v>
      </c>
      <c r="J186" s="234" t="s">
        <v>853</v>
      </c>
      <c r="K186" s="234" t="s">
        <v>854</v>
      </c>
      <c r="L186" s="234" t="s">
        <v>855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853</v>
      </c>
      <c r="AC186" s="234" t="s">
        <v>854</v>
      </c>
      <c r="AD186" s="234" t="s">
        <v>855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856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15"/>
        <v>56</v>
      </c>
      <c r="BD186" s="137" t="str">
        <f t="shared" si="16"/>
        <v>INDENIZAÇÃO</v>
      </c>
      <c r="BE186" s="137" t="str">
        <f t="shared" si="17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hidden="1" customHeight="1">
      <c r="A187" s="204">
        <v>174</v>
      </c>
      <c r="B187" s="204" t="s">
        <v>99</v>
      </c>
      <c r="C187" s="233" t="s">
        <v>642</v>
      </c>
      <c r="D187" s="205" t="s">
        <v>101</v>
      </c>
      <c r="E187" s="204" t="s">
        <v>101</v>
      </c>
      <c r="F187" s="234" t="s">
        <v>857</v>
      </c>
      <c r="G187" s="235" t="s">
        <v>1</v>
      </c>
      <c r="H187" s="235" t="s">
        <v>2</v>
      </c>
      <c r="I187" s="235" t="s">
        <v>12</v>
      </c>
      <c r="J187" s="234" t="s">
        <v>858</v>
      </c>
      <c r="K187" s="234" t="s">
        <v>859</v>
      </c>
      <c r="L187" s="234" t="s">
        <v>860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858</v>
      </c>
      <c r="AC187" s="234" t="s">
        <v>859</v>
      </c>
      <c r="AD187" s="234" t="s">
        <v>860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861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15"/>
        <v>75</v>
      </c>
      <c r="BD187" s="137" t="str">
        <f t="shared" si="16"/>
        <v>INDENIZAÇÃO</v>
      </c>
      <c r="BE187" s="137" t="str">
        <f t="shared" si="17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hidden="1" customHeight="1">
      <c r="A188" s="204">
        <v>175</v>
      </c>
      <c r="B188" s="204" t="s">
        <v>99</v>
      </c>
      <c r="C188" s="233" t="s">
        <v>642</v>
      </c>
      <c r="D188" s="205" t="s">
        <v>101</v>
      </c>
      <c r="E188" s="204" t="s">
        <v>101</v>
      </c>
      <c r="F188" s="234" t="s">
        <v>862</v>
      </c>
      <c r="G188" s="235" t="s">
        <v>1</v>
      </c>
      <c r="H188" s="235" t="s">
        <v>2</v>
      </c>
      <c r="I188" s="235" t="s">
        <v>12</v>
      </c>
      <c r="J188" s="234" t="s">
        <v>863</v>
      </c>
      <c r="K188" s="234" t="s">
        <v>864</v>
      </c>
      <c r="L188" s="234" t="s">
        <v>865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863</v>
      </c>
      <c r="AC188" s="234" t="s">
        <v>864</v>
      </c>
      <c r="AD188" s="234" t="s">
        <v>865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866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15"/>
        <v>56</v>
      </c>
      <c r="BD188" s="137" t="str">
        <f t="shared" si="16"/>
        <v>INDENIZAÇÃO</v>
      </c>
      <c r="BE188" s="137" t="str">
        <f t="shared" si="17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hidden="1" customHeight="1">
      <c r="A189" s="204">
        <v>176</v>
      </c>
      <c r="B189" s="204" t="s">
        <v>99</v>
      </c>
      <c r="C189" s="233" t="s">
        <v>642</v>
      </c>
      <c r="D189" s="205" t="s">
        <v>101</v>
      </c>
      <c r="E189" s="204" t="s">
        <v>101</v>
      </c>
      <c r="F189" s="234" t="s">
        <v>867</v>
      </c>
      <c r="G189" s="235" t="s">
        <v>1</v>
      </c>
      <c r="H189" s="235" t="s">
        <v>2</v>
      </c>
      <c r="I189" s="235" t="s">
        <v>12</v>
      </c>
      <c r="J189" s="234" t="s">
        <v>868</v>
      </c>
      <c r="K189" s="234" t="s">
        <v>869</v>
      </c>
      <c r="L189" s="234" t="s">
        <v>870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868</v>
      </c>
      <c r="AC189" s="234" t="s">
        <v>869</v>
      </c>
      <c r="AD189" s="234" t="s">
        <v>870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871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15"/>
        <v>56</v>
      </c>
      <c r="BD189" s="137" t="str">
        <f t="shared" si="16"/>
        <v>INDENIZAÇÃO</v>
      </c>
      <c r="BE189" s="137" t="str">
        <f t="shared" si="17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hidden="1" customHeight="1">
      <c r="A190" s="204">
        <v>177</v>
      </c>
      <c r="B190" s="204" t="s">
        <v>99</v>
      </c>
      <c r="C190" s="233" t="s">
        <v>642</v>
      </c>
      <c r="D190" s="205" t="s">
        <v>101</v>
      </c>
      <c r="E190" s="204" t="s">
        <v>101</v>
      </c>
      <c r="F190" s="234" t="s">
        <v>872</v>
      </c>
      <c r="G190" s="235" t="s">
        <v>1</v>
      </c>
      <c r="H190" s="235" t="s">
        <v>2</v>
      </c>
      <c r="I190" s="235" t="s">
        <v>12</v>
      </c>
      <c r="J190" s="234" t="s">
        <v>873</v>
      </c>
      <c r="K190" s="234" t="s">
        <v>874</v>
      </c>
      <c r="L190" s="234" t="s">
        <v>875</v>
      </c>
      <c r="M190" s="204" t="s">
        <v>110</v>
      </c>
      <c r="N190" s="204" t="s">
        <v>5</v>
      </c>
      <c r="O190" s="151">
        <v>46164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873</v>
      </c>
      <c r="AC190" s="234" t="s">
        <v>874</v>
      </c>
      <c r="AD190" s="234" t="s">
        <v>875</v>
      </c>
      <c r="AE190" s="204" t="s">
        <v>12</v>
      </c>
      <c r="AF190" s="204" t="s">
        <v>110</v>
      </c>
      <c r="AG190" s="270">
        <v>16061.24</v>
      </c>
      <c r="AH190" s="143">
        <v>46061.24</v>
      </c>
      <c r="AI190" s="137" t="s">
        <v>6</v>
      </c>
      <c r="AJ190" s="141" t="s">
        <v>105</v>
      </c>
      <c r="AK190" s="204">
        <v>157082691</v>
      </c>
      <c r="AL190" s="137" t="s">
        <v>112</v>
      </c>
      <c r="AM190" s="137" t="s">
        <v>112</v>
      </c>
      <c r="AN190" s="137" t="s">
        <v>113</v>
      </c>
      <c r="AO190" s="256"/>
      <c r="AP190" s="234" t="s">
        <v>876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46226</v>
      </c>
      <c r="AV190" s="137" t="s">
        <v>112</v>
      </c>
      <c r="AW190" s="145" t="s">
        <v>33</v>
      </c>
      <c r="AX190" s="144"/>
      <c r="AY190" s="144"/>
      <c r="AZ190" s="145"/>
      <c r="BA190" s="145" t="s">
        <v>1</v>
      </c>
      <c r="BB190" s="147"/>
      <c r="BC190" s="146" t="str">
        <f t="shared" si="15"/>
        <v/>
      </c>
      <c r="BD190" s="137" t="str">
        <f t="shared" si="16"/>
        <v>INDENIZAÇÃO</v>
      </c>
      <c r="BE190" s="137" t="str">
        <f t="shared" si="17"/>
        <v>NÃO</v>
      </c>
      <c r="BF190" s="137"/>
      <c r="BG190" s="137"/>
      <c r="BH190" s="137"/>
      <c r="BI190" s="137"/>
      <c r="BJ190" s="137"/>
      <c r="BK190" s="151"/>
      <c r="BL190" s="137"/>
      <c r="BM190" s="145"/>
      <c r="BN190" s="266"/>
    </row>
    <row r="191" spans="1:67" s="152" customFormat="1" ht="30" hidden="1" customHeight="1">
      <c r="A191" s="204">
        <v>178</v>
      </c>
      <c r="B191" s="204" t="s">
        <v>99</v>
      </c>
      <c r="C191" s="233" t="s">
        <v>642</v>
      </c>
      <c r="D191" s="205" t="s">
        <v>101</v>
      </c>
      <c r="E191" s="204" t="s">
        <v>101</v>
      </c>
      <c r="F191" s="234" t="s">
        <v>877</v>
      </c>
      <c r="G191" s="235" t="s">
        <v>1</v>
      </c>
      <c r="H191" s="235" t="s">
        <v>2</v>
      </c>
      <c r="I191" s="235" t="s">
        <v>12</v>
      </c>
      <c r="J191" s="234" t="s">
        <v>878</v>
      </c>
      <c r="K191" s="234" t="s">
        <v>879</v>
      </c>
      <c r="L191" s="234" t="s">
        <v>880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24</v>
      </c>
      <c r="R191" s="151" t="s">
        <v>24</v>
      </c>
      <c r="S191" s="151" t="s">
        <v>24</v>
      </c>
      <c r="T191" s="151" t="s">
        <v>24</v>
      </c>
      <c r="U191" s="151" t="s">
        <v>24</v>
      </c>
      <c r="V191" s="151" t="s">
        <v>24</v>
      </c>
      <c r="W191" s="151" t="s">
        <v>24</v>
      </c>
      <c r="X191" s="151" t="s">
        <v>24</v>
      </c>
      <c r="Y191" s="151" t="s">
        <v>24</v>
      </c>
      <c r="Z191" s="151" t="s">
        <v>24</v>
      </c>
      <c r="AA191" s="137"/>
      <c r="AB191" s="234" t="s">
        <v>878</v>
      </c>
      <c r="AC191" s="234" t="s">
        <v>879</v>
      </c>
      <c r="AD191" s="234" t="s">
        <v>880</v>
      </c>
      <c r="AE191" s="204" t="s">
        <v>12</v>
      </c>
      <c r="AF191" s="204" t="s">
        <v>110</v>
      </c>
      <c r="AG191" s="270">
        <v>17259.919999999998</v>
      </c>
      <c r="AH191" s="143">
        <v>47259.92</v>
      </c>
      <c r="AI191" s="137" t="s">
        <v>6</v>
      </c>
      <c r="AJ191" s="141" t="s">
        <v>105</v>
      </c>
      <c r="AK191" s="204">
        <v>157082848</v>
      </c>
      <c r="AL191" s="137" t="s">
        <v>112</v>
      </c>
      <c r="AM191" s="137" t="s">
        <v>112</v>
      </c>
      <c r="AN191" s="137" t="s">
        <v>113</v>
      </c>
      <c r="AO191" s="256"/>
      <c r="AP191" s="234" t="s">
        <v>881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37" t="s">
        <v>112</v>
      </c>
      <c r="AW191" s="145" t="s">
        <v>33</v>
      </c>
      <c r="AX191" s="144"/>
      <c r="AY191" s="144"/>
      <c r="AZ191" s="145"/>
      <c r="BA191" s="145" t="s">
        <v>1</v>
      </c>
      <c r="BB191" s="147"/>
      <c r="BC191" s="146" t="str">
        <f t="shared" si="15"/>
        <v/>
      </c>
      <c r="BD191" s="137" t="str">
        <f t="shared" si="16"/>
        <v>INDENIZAÇÃO</v>
      </c>
      <c r="BE191" s="137" t="str">
        <f t="shared" si="17"/>
        <v>NÃO</v>
      </c>
      <c r="BF191" s="137"/>
      <c r="BG191" s="137"/>
      <c r="BH191" s="137"/>
      <c r="BI191" s="137"/>
      <c r="BJ191" s="137"/>
      <c r="BK191" s="151"/>
      <c r="BL191" s="137"/>
      <c r="BM191" s="145"/>
      <c r="BN191" s="266"/>
    </row>
    <row r="192" spans="1:67" s="152" customFormat="1" ht="30" hidden="1" customHeight="1">
      <c r="A192" s="204">
        <v>179</v>
      </c>
      <c r="B192" s="204" t="s">
        <v>99</v>
      </c>
      <c r="C192" s="233" t="s">
        <v>642</v>
      </c>
      <c r="D192" s="205" t="s">
        <v>101</v>
      </c>
      <c r="E192" s="204" t="s">
        <v>101</v>
      </c>
      <c r="F192" s="234" t="s">
        <v>882</v>
      </c>
      <c r="G192" s="235" t="s">
        <v>1</v>
      </c>
      <c r="H192" s="235" t="s">
        <v>2</v>
      </c>
      <c r="I192" s="235" t="s">
        <v>12</v>
      </c>
      <c r="J192" s="234" t="s">
        <v>883</v>
      </c>
      <c r="K192" s="234" t="s">
        <v>884</v>
      </c>
      <c r="L192" s="234" t="s">
        <v>885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883</v>
      </c>
      <c r="AC192" s="234" t="s">
        <v>884</v>
      </c>
      <c r="AD192" s="234" t="s">
        <v>885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886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si="15"/>
        <v>56</v>
      </c>
      <c r="BD192" s="137" t="str">
        <f t="shared" si="16"/>
        <v>INDENIZAÇÃO</v>
      </c>
      <c r="BE192" s="137" t="str">
        <f t="shared" si="17"/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hidden="1" customHeight="1">
      <c r="A193" s="204">
        <v>180</v>
      </c>
      <c r="B193" s="204" t="s">
        <v>99</v>
      </c>
      <c r="C193" s="233" t="s">
        <v>642</v>
      </c>
      <c r="D193" s="205" t="s">
        <v>101</v>
      </c>
      <c r="E193" s="204" t="s">
        <v>101</v>
      </c>
      <c r="F193" s="234" t="s">
        <v>887</v>
      </c>
      <c r="G193" s="235" t="s">
        <v>1</v>
      </c>
      <c r="H193" s="235" t="s">
        <v>2</v>
      </c>
      <c r="I193" s="204" t="s">
        <v>12</v>
      </c>
      <c r="J193" s="234" t="s">
        <v>888</v>
      </c>
      <c r="K193" s="234" t="s">
        <v>889</v>
      </c>
      <c r="L193" s="234" t="s">
        <v>890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888</v>
      </c>
      <c r="AC193" s="234" t="s">
        <v>889</v>
      </c>
      <c r="AD193" s="234" t="s">
        <v>890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891</v>
      </c>
      <c r="AP193" s="234" t="s">
        <v>892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15"/>
        <v>77</v>
      </c>
      <c r="BD193" s="137" t="str">
        <f t="shared" si="16"/>
        <v>INDENIZAÇÃO</v>
      </c>
      <c r="BE193" s="137" t="str">
        <f t="shared" si="17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hidden="1" customHeight="1">
      <c r="A194" s="204">
        <v>181</v>
      </c>
      <c r="B194" s="204" t="s">
        <v>99</v>
      </c>
      <c r="C194" s="233" t="s">
        <v>642</v>
      </c>
      <c r="D194" s="205" t="s">
        <v>101</v>
      </c>
      <c r="E194" s="204" t="s">
        <v>101</v>
      </c>
      <c r="F194" s="234" t="s">
        <v>893</v>
      </c>
      <c r="G194" s="235" t="s">
        <v>1</v>
      </c>
      <c r="H194" s="235" t="s">
        <v>2</v>
      </c>
      <c r="I194" s="235" t="s">
        <v>510</v>
      </c>
      <c r="J194" s="234" t="s">
        <v>894</v>
      </c>
      <c r="K194" s="234" t="s">
        <v>895</v>
      </c>
      <c r="L194" s="234" t="s">
        <v>896</v>
      </c>
      <c r="M194" s="204" t="s">
        <v>110</v>
      </c>
      <c r="N194" s="204" t="s">
        <v>126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897</v>
      </c>
      <c r="AC194" s="234" t="s">
        <v>898</v>
      </c>
      <c r="AD194" s="234" t="s">
        <v>899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900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15"/>
        <v>102</v>
      </c>
      <c r="BD194" s="137" t="str">
        <f t="shared" si="16"/>
        <v>INDENIZAÇÃO</v>
      </c>
      <c r="BE194" s="137" t="str">
        <f t="shared" si="17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hidden="1" customHeight="1">
      <c r="A195" s="204">
        <v>182</v>
      </c>
      <c r="B195" s="204" t="s">
        <v>99</v>
      </c>
      <c r="C195" s="233" t="s">
        <v>642</v>
      </c>
      <c r="D195" s="205" t="s">
        <v>101</v>
      </c>
      <c r="E195" s="204" t="s">
        <v>101</v>
      </c>
      <c r="F195" s="234" t="s">
        <v>901</v>
      </c>
      <c r="G195" s="235" t="s">
        <v>1</v>
      </c>
      <c r="H195" s="235" t="s">
        <v>2</v>
      </c>
      <c r="I195" s="204" t="s">
        <v>12</v>
      </c>
      <c r="J195" s="234" t="s">
        <v>902</v>
      </c>
      <c r="K195" s="234" t="s">
        <v>903</v>
      </c>
      <c r="L195" s="234" t="s">
        <v>904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902</v>
      </c>
      <c r="AC195" s="234" t="s">
        <v>903</v>
      </c>
      <c r="AD195" s="234" t="s">
        <v>904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905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15"/>
        <v>98</v>
      </c>
      <c r="BD195" s="137" t="str">
        <f t="shared" si="16"/>
        <v>INDENIZAÇÃO</v>
      </c>
      <c r="BE195" s="137" t="str">
        <f t="shared" si="17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>
      <c r="A196" s="204">
        <v>183</v>
      </c>
      <c r="B196" s="204" t="s">
        <v>99</v>
      </c>
      <c r="C196" s="233" t="s">
        <v>642</v>
      </c>
      <c r="D196" s="205" t="s">
        <v>101</v>
      </c>
      <c r="E196" s="204" t="s">
        <v>101</v>
      </c>
      <c r="F196" s="234" t="s">
        <v>906</v>
      </c>
      <c r="G196" s="235" t="s">
        <v>1</v>
      </c>
      <c r="H196" s="235" t="s">
        <v>2</v>
      </c>
      <c r="I196" s="235" t="s">
        <v>12</v>
      </c>
      <c r="J196" s="234" t="s">
        <v>907</v>
      </c>
      <c r="K196" s="234" t="s">
        <v>175</v>
      </c>
      <c r="L196" s="234" t="s">
        <v>908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15"/>
        <v/>
      </c>
      <c r="BD196" s="137" t="str">
        <f t="shared" si="16"/>
        <v>INDENIZAÇÃO</v>
      </c>
      <c r="BE196" s="137" t="str">
        <f t="shared" si="17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>
      <c r="A197" s="204">
        <v>184</v>
      </c>
      <c r="B197" s="204" t="s">
        <v>99</v>
      </c>
      <c r="C197" s="233" t="s">
        <v>642</v>
      </c>
      <c r="D197" s="205" t="s">
        <v>101</v>
      </c>
      <c r="E197" s="204" t="s">
        <v>101</v>
      </c>
      <c r="F197" s="234" t="s">
        <v>909</v>
      </c>
      <c r="G197" s="235" t="s">
        <v>1</v>
      </c>
      <c r="H197" s="235" t="s">
        <v>20</v>
      </c>
      <c r="I197" s="235" t="s">
        <v>12</v>
      </c>
      <c r="J197" s="234" t="s">
        <v>910</v>
      </c>
      <c r="K197" s="234" t="s">
        <v>911</v>
      </c>
      <c r="L197" s="234" t="s">
        <v>912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15"/>
        <v/>
      </c>
      <c r="BD197" s="137" t="str">
        <f t="shared" si="16"/>
        <v>INDENIZAÇÃO</v>
      </c>
      <c r="BE197" s="137" t="str">
        <f t="shared" si="17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>
      <c r="A198" s="204">
        <v>185</v>
      </c>
      <c r="B198" s="204" t="s">
        <v>99</v>
      </c>
      <c r="C198" s="233" t="s">
        <v>642</v>
      </c>
      <c r="D198" s="205" t="s">
        <v>101</v>
      </c>
      <c r="E198" s="204" t="s">
        <v>101</v>
      </c>
      <c r="F198" s="234" t="s">
        <v>913</v>
      </c>
      <c r="G198" s="235" t="s">
        <v>1</v>
      </c>
      <c r="H198" s="235" t="s">
        <v>2</v>
      </c>
      <c r="I198" s="235" t="s">
        <v>12</v>
      </c>
      <c r="J198" s="234" t="s">
        <v>914</v>
      </c>
      <c r="K198" s="234" t="s">
        <v>175</v>
      </c>
      <c r="L198" s="234" t="s">
        <v>915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15"/>
        <v/>
      </c>
      <c r="BD198" s="137" t="str">
        <f t="shared" si="16"/>
        <v>INDENIZAÇÃO</v>
      </c>
      <c r="BE198" s="137" t="str">
        <f t="shared" si="17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>
      <c r="A199" s="204">
        <v>186</v>
      </c>
      <c r="B199" s="204" t="s">
        <v>99</v>
      </c>
      <c r="C199" s="233" t="s">
        <v>642</v>
      </c>
      <c r="D199" s="205" t="s">
        <v>101</v>
      </c>
      <c r="E199" s="204" t="s">
        <v>101</v>
      </c>
      <c r="F199" s="234" t="s">
        <v>916</v>
      </c>
      <c r="G199" s="235" t="s">
        <v>1</v>
      </c>
      <c r="H199" s="235" t="s">
        <v>2</v>
      </c>
      <c r="I199" s="235" t="s">
        <v>12</v>
      </c>
      <c r="J199" s="234" t="s">
        <v>917</v>
      </c>
      <c r="K199" s="234" t="s">
        <v>918</v>
      </c>
      <c r="L199" s="234" t="s">
        <v>919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15"/>
        <v/>
      </c>
      <c r="BD199" s="137" t="str">
        <f t="shared" si="16"/>
        <v>INDENIZAÇÃO</v>
      </c>
      <c r="BE199" s="137" t="str">
        <f t="shared" si="17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>
      <c r="A200" s="204">
        <v>187</v>
      </c>
      <c r="B200" s="204" t="s">
        <v>99</v>
      </c>
      <c r="C200" s="233" t="s">
        <v>642</v>
      </c>
      <c r="D200" s="205" t="s">
        <v>101</v>
      </c>
      <c r="E200" s="204" t="s">
        <v>101</v>
      </c>
      <c r="F200" s="234" t="s">
        <v>920</v>
      </c>
      <c r="G200" s="235" t="s">
        <v>1</v>
      </c>
      <c r="H200" s="235" t="s">
        <v>2</v>
      </c>
      <c r="I200" s="235" t="s">
        <v>12</v>
      </c>
      <c r="J200" s="234" t="s">
        <v>921</v>
      </c>
      <c r="K200" s="234" t="s">
        <v>922</v>
      </c>
      <c r="L200" s="234" t="s">
        <v>923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15"/>
        <v/>
      </c>
      <c r="BD200" s="137" t="str">
        <f t="shared" si="16"/>
        <v>INDENIZAÇÃO</v>
      </c>
      <c r="BE200" s="137" t="str">
        <f t="shared" si="17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15"/>
        <v/>
      </c>
      <c r="BD201" s="137" t="str">
        <f t="shared" si="16"/>
        <v>INDENIZAÇÃO</v>
      </c>
      <c r="BE201" s="137" t="str">
        <f t="shared" si="17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15"/>
        <v/>
      </c>
      <c r="BD202" s="137" t="str">
        <f t="shared" si="16"/>
        <v>INDENIZAÇÃO</v>
      </c>
      <c r="BE202" s="137" t="str">
        <f t="shared" si="17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15"/>
        <v/>
      </c>
      <c r="BD203" s="137" t="str">
        <f t="shared" si="16"/>
        <v>INDENIZAÇÃO</v>
      </c>
      <c r="BE203" s="137" t="str">
        <f t="shared" si="17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15"/>
        <v/>
      </c>
      <c r="BD204" s="137" t="str">
        <f t="shared" si="16"/>
        <v>INDENIZAÇÃO</v>
      </c>
      <c r="BE204" s="137" t="str">
        <f t="shared" si="17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15"/>
        <v/>
      </c>
      <c r="BD205" s="137" t="str">
        <f t="shared" si="16"/>
        <v>INDENIZAÇÃO</v>
      </c>
      <c r="BE205" s="137" t="str">
        <f t="shared" si="17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18">IF(AY206-KG206=0,"",AY206-O206)</f>
        <v/>
      </c>
      <c r="BD206" s="137" t="str">
        <f t="shared" ref="BD206:BD222" si="19">IF(AND(AI206&lt;&gt;"SIM",AI206="UH"),"AA","INDENIZAÇÃO")</f>
        <v>INDENIZAÇÃO</v>
      </c>
      <c r="BE206" s="137" t="str">
        <f t="shared" ref="BE206:BE222" si="20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18"/>
        <v/>
      </c>
      <c r="BD207" s="137" t="str">
        <f t="shared" si="19"/>
        <v>INDENIZAÇÃO</v>
      </c>
      <c r="BE207" s="137" t="str">
        <f t="shared" si="20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18"/>
        <v/>
      </c>
      <c r="BD208" s="137" t="str">
        <f t="shared" si="19"/>
        <v>INDENIZAÇÃO</v>
      </c>
      <c r="BE208" s="137" t="str">
        <f t="shared" si="20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18"/>
        <v/>
      </c>
      <c r="BD209" s="137" t="str">
        <f t="shared" si="19"/>
        <v>INDENIZAÇÃO</v>
      </c>
      <c r="BE209" s="137" t="str">
        <f t="shared" si="20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18"/>
        <v/>
      </c>
      <c r="BD210" s="137" t="str">
        <f t="shared" si="19"/>
        <v>INDENIZAÇÃO</v>
      </c>
      <c r="BE210" s="137" t="str">
        <f t="shared" si="20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18"/>
        <v/>
      </c>
      <c r="BD211" s="137" t="str">
        <f t="shared" si="19"/>
        <v>INDENIZAÇÃO</v>
      </c>
      <c r="BE211" s="137" t="str">
        <f t="shared" si="20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18"/>
        <v/>
      </c>
      <c r="BD212" s="137" t="str">
        <f t="shared" si="19"/>
        <v>INDENIZAÇÃO</v>
      </c>
      <c r="BE212" s="137" t="str">
        <f t="shared" si="20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21">IF(AY213-KG218=0,"",AY213-O213)</f>
        <v/>
      </c>
      <c r="BD213" s="137" t="str">
        <f t="shared" si="19"/>
        <v>INDENIZAÇÃO</v>
      </c>
      <c r="BE213" s="137" t="str">
        <f t="shared" si="20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21"/>
        <v/>
      </c>
      <c r="BD214" s="137" t="str">
        <f t="shared" si="19"/>
        <v>INDENIZAÇÃO</v>
      </c>
      <c r="BE214" s="137" t="str">
        <f t="shared" si="20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21"/>
        <v/>
      </c>
      <c r="BD215" s="137" t="str">
        <f t="shared" si="19"/>
        <v>INDENIZAÇÃO</v>
      </c>
      <c r="BE215" s="137" t="str">
        <f t="shared" si="20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21"/>
        <v/>
      </c>
      <c r="BD216" s="137" t="str">
        <f t="shared" si="19"/>
        <v>INDENIZAÇÃO</v>
      </c>
      <c r="BE216" s="137" t="str">
        <f t="shared" si="20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21"/>
        <v/>
      </c>
      <c r="BD217" s="137" t="str">
        <f t="shared" si="19"/>
        <v>INDENIZAÇÃO</v>
      </c>
      <c r="BE217" s="137" t="str">
        <f t="shared" si="20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21"/>
        <v/>
      </c>
      <c r="BD218" s="137" t="str">
        <f t="shared" si="19"/>
        <v>INDENIZAÇÃO</v>
      </c>
      <c r="BE218" s="137" t="str">
        <f t="shared" si="20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21"/>
        <v/>
      </c>
      <c r="BD219" s="137" t="str">
        <f t="shared" si="19"/>
        <v>INDENIZAÇÃO</v>
      </c>
      <c r="BE219" s="137" t="str">
        <f t="shared" si="20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21"/>
        <v/>
      </c>
      <c r="BD220" s="137" t="str">
        <f t="shared" si="19"/>
        <v>INDENIZAÇÃO</v>
      </c>
      <c r="BE220" s="137" t="str">
        <f t="shared" si="20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21"/>
        <v/>
      </c>
      <c r="BD221" s="137" t="str">
        <f t="shared" si="19"/>
        <v>INDENIZAÇÃO</v>
      </c>
      <c r="BE221" s="137" t="str">
        <f t="shared" si="20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21"/>
        <v/>
      </c>
      <c r="BD222" s="137" t="str">
        <f t="shared" si="19"/>
        <v>INDENIZAÇÃO</v>
      </c>
      <c r="BE222" s="137" t="str">
        <f t="shared" si="20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7476" ht="29.25" customHeight="1"/>
  </sheetData>
  <autoFilter ref="B13:BM222" xr:uid="{00000000-0001-0000-0000-000000000000}">
    <filterColumn colId="40">
      <filters>
        <filter val="6014.2026/0004252-0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5" priority="174"/>
  </conditionalFormatting>
  <conditionalFormatting sqref="F201:F1048576 F1:F11 F13">
    <cfRule type="duplicateValues" dxfId="184" priority="194"/>
    <cfRule type="duplicateValues" dxfId="183" priority="217"/>
  </conditionalFormatting>
  <conditionalFormatting sqref="F201:F1048576">
    <cfRule type="duplicateValues" dxfId="182" priority="188"/>
  </conditionalFormatting>
  <conditionalFormatting sqref="I15">
    <cfRule type="containsText" dxfId="181" priority="130" operator="containsText" text="NÃO RESIDENTE">
      <formula>NOT(ISERROR(SEARCH("NÃO RESIDENTE",I15)))</formula>
    </cfRule>
  </conditionalFormatting>
  <conditionalFormatting sqref="I73">
    <cfRule type="containsText" dxfId="180" priority="161" operator="containsText" text="NÃO RESIDENTE">
      <formula>NOT(ISERROR(SEARCH("NÃO RESIDENTE",I73)))</formula>
    </cfRule>
  </conditionalFormatting>
  <conditionalFormatting sqref="I94:I96">
    <cfRule type="containsText" dxfId="179" priority="157" operator="containsText" text="NÃO RESIDENTE">
      <formula>NOT(ISERROR(SEARCH("NÃO RESIDENTE",I94)))</formula>
    </cfRule>
  </conditionalFormatting>
  <conditionalFormatting sqref="I99:I101">
    <cfRule type="containsText" dxfId="178" priority="154" operator="containsText" text="NÃO RESIDENTE">
      <formula>NOT(ISERROR(SEARCH("NÃO RESIDENTE",I99)))</formula>
    </cfRule>
  </conditionalFormatting>
  <conditionalFormatting sqref="I106">
    <cfRule type="containsText" dxfId="177" priority="153" operator="containsText" text="NÃO RESIDENTE">
      <formula>NOT(ISERROR(SEARCH("NÃO RESIDENTE",I106)))</formula>
    </cfRule>
  </conditionalFormatting>
  <conditionalFormatting sqref="I149">
    <cfRule type="containsText" dxfId="176" priority="139" operator="containsText" text="NÃO RESIDENTE">
      <formula>NOT(ISERROR(SEARCH("NÃO RESIDENTE",I149)))</formula>
    </cfRule>
  </conditionalFormatting>
  <conditionalFormatting sqref="I156">
    <cfRule type="containsText" dxfId="175" priority="140" operator="containsText" text="NÃO RESIDENTE">
      <formula>NOT(ISERROR(SEARCH("NÃO RESIDENTE",I156)))</formula>
    </cfRule>
  </conditionalFormatting>
  <conditionalFormatting sqref="I158:I159">
    <cfRule type="containsText" dxfId="174" priority="141" operator="containsText" text="NÃO RESIDENTE">
      <formula>NOT(ISERROR(SEARCH("NÃO RESIDENTE",I158)))</formula>
    </cfRule>
  </conditionalFormatting>
  <conditionalFormatting sqref="I162:I165">
    <cfRule type="containsText" dxfId="173" priority="143" operator="containsText" text="NÃO RESIDENTE">
      <formula>NOT(ISERROR(SEARCH("NÃO RESIDENTE",I162)))</formula>
    </cfRule>
  </conditionalFormatting>
  <conditionalFormatting sqref="I169:I170">
    <cfRule type="containsText" dxfId="172" priority="147" operator="containsText" text="NÃO RESIDENTE">
      <formula>NOT(ISERROR(SEARCH("NÃO RESIDENTE",I169)))</formula>
    </cfRule>
  </conditionalFormatting>
  <conditionalFormatting sqref="I175">
    <cfRule type="containsText" dxfId="171" priority="87" operator="containsText" text="NÃO RESIDENTE">
      <formula>NOT(ISERROR(SEARCH("NÃO RESIDENTE",I175)))</formula>
    </cfRule>
  </conditionalFormatting>
  <conditionalFormatting sqref="I185:I186">
    <cfRule type="containsText" dxfId="170" priority="149" operator="containsText" text="NÃO RESIDENTE">
      <formula>NOT(ISERROR(SEARCH("NÃO RESIDENTE",I185)))</formula>
    </cfRule>
  </conditionalFormatting>
  <conditionalFormatting sqref="I193">
    <cfRule type="containsText" dxfId="169" priority="151" operator="containsText" text="NÃO RESIDENTE">
      <formula>NOT(ISERROR(SEARCH("NÃO RESIDENTE",I193)))</formula>
    </cfRule>
  </conditionalFormatting>
  <conditionalFormatting sqref="I195">
    <cfRule type="containsText" dxfId="168" priority="152" operator="containsText" text="NÃO RESIDENTE">
      <formula>NOT(ISERROR(SEARCH("NÃO RESIDENTE",I195)))</formula>
    </cfRule>
  </conditionalFormatting>
  <conditionalFormatting sqref="J149">
    <cfRule type="duplicateValues" dxfId="167" priority="175"/>
  </conditionalFormatting>
  <conditionalFormatting sqref="J201:J1048576 J1:J11 J13">
    <cfRule type="duplicateValues" dxfId="166" priority="187"/>
  </conditionalFormatting>
  <conditionalFormatting sqref="L16">
    <cfRule type="duplicateValues" dxfId="165" priority="1"/>
    <cfRule type="duplicateValues" dxfId="164" priority="2"/>
  </conditionalFormatting>
  <conditionalFormatting sqref="L77:L1048576 L1:L15 L17:L75">
    <cfRule type="duplicateValues" dxfId="163" priority="60"/>
  </conditionalFormatting>
  <conditionalFormatting sqref="M175">
    <cfRule type="containsText" dxfId="162" priority="85" operator="containsText" text="NÃO RESIDENTE">
      <formula>NOT(ISERROR(SEARCH("NÃO RESIDENTE",M175)))</formula>
    </cfRule>
  </conditionalFormatting>
  <conditionalFormatting sqref="AB157">
    <cfRule type="duplicateValues" dxfId="161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0" priority="483"/>
  </conditionalFormatting>
  <conditionalFormatting sqref="AB201">
    <cfRule type="duplicateValues" dxfId="159" priority="179"/>
  </conditionalFormatting>
  <conditionalFormatting sqref="AD1:AD1048576">
    <cfRule type="duplicateValues" dxfId="158" priority="3"/>
  </conditionalFormatting>
  <conditionalFormatting sqref="AD16">
    <cfRule type="duplicateValues" dxfId="157" priority="22"/>
  </conditionalFormatting>
  <conditionalFormatting sqref="AD26">
    <cfRule type="duplicateValues" dxfId="156" priority="27"/>
  </conditionalFormatting>
  <conditionalFormatting sqref="AD37">
    <cfRule type="duplicateValues" dxfId="155" priority="48"/>
  </conditionalFormatting>
  <conditionalFormatting sqref="AD41">
    <cfRule type="duplicateValues" dxfId="154" priority="56"/>
  </conditionalFormatting>
  <conditionalFormatting sqref="AD43">
    <cfRule type="duplicateValues" dxfId="153" priority="51"/>
  </conditionalFormatting>
  <conditionalFormatting sqref="AD44">
    <cfRule type="duplicateValues" dxfId="152" priority="24"/>
  </conditionalFormatting>
  <conditionalFormatting sqref="AD48">
    <cfRule type="duplicateValues" dxfId="151" priority="21"/>
  </conditionalFormatting>
  <conditionalFormatting sqref="AD50">
    <cfRule type="duplicateValues" dxfId="150" priority="28"/>
  </conditionalFormatting>
  <conditionalFormatting sqref="AD54">
    <cfRule type="duplicateValues" dxfId="149" priority="58"/>
  </conditionalFormatting>
  <conditionalFormatting sqref="AD55">
    <cfRule type="duplicateValues" dxfId="148" priority="55"/>
  </conditionalFormatting>
  <conditionalFormatting sqref="AD59">
    <cfRule type="duplicateValues" dxfId="147" priority="57"/>
  </conditionalFormatting>
  <conditionalFormatting sqref="AD77">
    <cfRule type="duplicateValues" dxfId="146" priority="59"/>
  </conditionalFormatting>
  <conditionalFormatting sqref="AD102">
    <cfRule type="duplicateValues" dxfId="145" priority="45"/>
  </conditionalFormatting>
  <conditionalFormatting sqref="AD130">
    <cfRule type="duplicateValues" dxfId="144" priority="26"/>
  </conditionalFormatting>
  <conditionalFormatting sqref="AD179:AD180">
    <cfRule type="duplicateValues" dxfId="143" priority="25"/>
  </conditionalFormatting>
  <conditionalFormatting sqref="AE130">
    <cfRule type="containsText" dxfId="142" priority="31" operator="containsText" text="NÃO RESIDENTE">
      <formula>NOT(ISERROR(SEARCH("NÃO RESIDENTE",AE130)))</formula>
    </cfRule>
  </conditionalFormatting>
  <conditionalFormatting sqref="AE132:AE133">
    <cfRule type="containsText" dxfId="141" priority="172" operator="containsText" text="NÃO RESIDENTE">
      <formula>NOT(ISERROR(SEARCH("NÃO RESIDENTE",AE132)))</formula>
    </cfRule>
  </conditionalFormatting>
  <conditionalFormatting sqref="AE156">
    <cfRule type="containsText" dxfId="140" priority="171" operator="containsText" text="NÃO RESIDENTE">
      <formula>NOT(ISERROR(SEARCH("NÃO RESIDENTE",AE156)))</formula>
    </cfRule>
  </conditionalFormatting>
  <conditionalFormatting sqref="AE162:AE165">
    <cfRule type="containsText" dxfId="139" priority="167" operator="containsText" text="NÃO RESIDENTE">
      <formula>NOT(ISERROR(SEARCH("NÃO RESIDENTE",AE162)))</formula>
    </cfRule>
  </conditionalFormatting>
  <conditionalFormatting sqref="AE167:AE170">
    <cfRule type="containsText" dxfId="138" priority="165" operator="containsText" text="NÃO RESIDENTE">
      <formula>NOT(ISERROR(SEARCH("NÃO RESIDENTE",AE167)))</formula>
    </cfRule>
  </conditionalFormatting>
  <conditionalFormatting sqref="AE185:AE186">
    <cfRule type="containsText" dxfId="137" priority="163" operator="containsText" text="NÃO RESIDENTE">
      <formula>NOT(ISERROR(SEARCH("NÃO RESIDENTE",AE185)))</formula>
    </cfRule>
  </conditionalFormatting>
  <conditionalFormatting sqref="AE193">
    <cfRule type="containsText" dxfId="136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5" priority="192" operator="containsText" text="NÃO RESIDENTE">
      <formula>NOT(ISERROR(SEARCH("NÃO RESIDENTE",AE1)))</formula>
    </cfRule>
  </conditionalFormatting>
  <conditionalFormatting sqref="AE15:AF15 AF16 AE17:AF72">
    <cfRule type="containsText" dxfId="134" priority="61" operator="containsText" text="NÃO RESIDENTE">
      <formula>NOT(ISERROR(SEARCH("NÃO RESIDENTE",AE15)))</formula>
    </cfRule>
  </conditionalFormatting>
  <conditionalFormatting sqref="AE171:AF184">
    <cfRule type="containsText" dxfId="133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2" priority="71"/>
  </conditionalFormatting>
  <conditionalFormatting sqref="AP14:AP25 AP48:AP49 AP27:AP46 AP51:AP117 AP192:AP200 AP119:AP189">
    <cfRule type="duplicateValues" dxfId="131" priority="129"/>
  </conditionalFormatting>
  <conditionalFormatting sqref="AP16">
    <cfRule type="duplicateValues" dxfId="130" priority="14"/>
  </conditionalFormatting>
  <conditionalFormatting sqref="AP26">
    <cfRule type="duplicateValues" dxfId="129" priority="12"/>
  </conditionalFormatting>
  <conditionalFormatting sqref="AP34">
    <cfRule type="duplicateValues" dxfId="128" priority="29"/>
  </conditionalFormatting>
  <conditionalFormatting sqref="AP38">
    <cfRule type="duplicateValues" dxfId="127" priority="69"/>
  </conditionalFormatting>
  <conditionalFormatting sqref="AP39:AP40 AP42">
    <cfRule type="duplicateValues" dxfId="126" priority="64"/>
  </conditionalFormatting>
  <conditionalFormatting sqref="AP41">
    <cfRule type="duplicateValues" dxfId="125" priority="35"/>
  </conditionalFormatting>
  <conditionalFormatting sqref="AP47">
    <cfRule type="duplicateValues" dxfId="124" priority="13"/>
  </conditionalFormatting>
  <conditionalFormatting sqref="AP49">
    <cfRule type="duplicateValues" dxfId="123" priority="63"/>
  </conditionalFormatting>
  <conditionalFormatting sqref="AP50">
    <cfRule type="duplicateValues" dxfId="122" priority="11"/>
  </conditionalFormatting>
  <conditionalFormatting sqref="AP51">
    <cfRule type="duplicateValues" dxfId="121" priority="113"/>
  </conditionalFormatting>
  <conditionalFormatting sqref="AP53:AP54">
    <cfRule type="duplicateValues" dxfId="120" priority="128"/>
  </conditionalFormatting>
  <conditionalFormatting sqref="AP56:AP57 AP59">
    <cfRule type="duplicateValues" dxfId="119" priority="608"/>
  </conditionalFormatting>
  <conditionalFormatting sqref="AP64:AP65">
    <cfRule type="duplicateValues" dxfId="118" priority="76"/>
  </conditionalFormatting>
  <conditionalFormatting sqref="AP64:AP68">
    <cfRule type="duplicateValues" dxfId="117" priority="383"/>
  </conditionalFormatting>
  <conditionalFormatting sqref="AP66">
    <cfRule type="duplicateValues" dxfId="116" priority="77"/>
  </conditionalFormatting>
  <conditionalFormatting sqref="AP67">
    <cfRule type="duplicateValues" dxfId="115" priority="385"/>
  </conditionalFormatting>
  <conditionalFormatting sqref="AP73:AP74">
    <cfRule type="duplicateValues" dxfId="114" priority="36"/>
  </conditionalFormatting>
  <conditionalFormatting sqref="AP73:AP77">
    <cfRule type="duplicateValues" dxfId="113" priority="543"/>
  </conditionalFormatting>
  <conditionalFormatting sqref="AP76:AP77">
    <cfRule type="duplicateValues" dxfId="112" priority="41"/>
  </conditionalFormatting>
  <conditionalFormatting sqref="AP79">
    <cfRule type="duplicateValues" dxfId="111" priority="62"/>
  </conditionalFormatting>
  <conditionalFormatting sqref="AP82">
    <cfRule type="duplicateValues" dxfId="110" priority="121"/>
  </conditionalFormatting>
  <conditionalFormatting sqref="AP86:AP87">
    <cfRule type="duplicateValues" dxfId="109" priority="126"/>
  </conditionalFormatting>
  <conditionalFormatting sqref="AP89">
    <cfRule type="duplicateValues" dxfId="108" priority="120"/>
  </conditionalFormatting>
  <conditionalFormatting sqref="AP91">
    <cfRule type="duplicateValues" dxfId="107" priority="75"/>
  </conditionalFormatting>
  <conditionalFormatting sqref="AP91:AP93">
    <cfRule type="duplicateValues" dxfId="106" priority="70"/>
  </conditionalFormatting>
  <conditionalFormatting sqref="AP92">
    <cfRule type="duplicateValues" dxfId="105" priority="74"/>
  </conditionalFormatting>
  <conditionalFormatting sqref="AP102">
    <cfRule type="duplicateValues" dxfId="104" priority="34"/>
  </conditionalFormatting>
  <conditionalFormatting sqref="AP105">
    <cfRule type="duplicateValues" dxfId="103" priority="119"/>
  </conditionalFormatting>
  <conditionalFormatting sqref="AP106">
    <cfRule type="duplicateValues" dxfId="102" priority="125"/>
  </conditionalFormatting>
  <conditionalFormatting sqref="AP111">
    <cfRule type="duplicateValues" dxfId="101" priority="118"/>
  </conditionalFormatting>
  <conditionalFormatting sqref="AP113">
    <cfRule type="duplicateValues" dxfId="100" priority="109"/>
  </conditionalFormatting>
  <conditionalFormatting sqref="AP115:AP117">
    <cfRule type="duplicateValues" dxfId="99" priority="23"/>
  </conditionalFormatting>
  <conditionalFormatting sqref="AP118">
    <cfRule type="duplicateValues" dxfId="98" priority="8"/>
  </conditionalFormatting>
  <conditionalFormatting sqref="AP149">
    <cfRule type="duplicateValues" dxfId="97" priority="114"/>
  </conditionalFormatting>
  <conditionalFormatting sqref="AP151">
    <cfRule type="duplicateValues" dxfId="96" priority="132"/>
  </conditionalFormatting>
  <conditionalFormatting sqref="AP152">
    <cfRule type="duplicateValues" dxfId="95" priority="124"/>
  </conditionalFormatting>
  <conditionalFormatting sqref="AP159 AP99:AP101 AP73 AP93:AP96 AP22:AP25 AP27:AP28">
    <cfRule type="duplicateValues" dxfId="94" priority="131"/>
  </conditionalFormatting>
  <conditionalFormatting sqref="AP166">
    <cfRule type="duplicateValues" dxfId="93" priority="72"/>
  </conditionalFormatting>
  <conditionalFormatting sqref="AP168">
    <cfRule type="duplicateValues" dxfId="92" priority="73"/>
  </conditionalFormatting>
  <conditionalFormatting sqref="AP172:AP174">
    <cfRule type="duplicateValues" dxfId="91" priority="123"/>
  </conditionalFormatting>
  <conditionalFormatting sqref="AP174">
    <cfRule type="duplicateValues" dxfId="90" priority="82"/>
  </conditionalFormatting>
  <conditionalFormatting sqref="AP178:AP184">
    <cfRule type="duplicateValues" dxfId="89" priority="115"/>
  </conditionalFormatting>
  <conditionalFormatting sqref="AP182:AP184">
    <cfRule type="duplicateValues" dxfId="88" priority="66"/>
  </conditionalFormatting>
  <conditionalFormatting sqref="AP184">
    <cfRule type="duplicateValues" dxfId="87" priority="65"/>
  </conditionalFormatting>
  <conditionalFormatting sqref="AP188:AP189">
    <cfRule type="duplicateValues" dxfId="86" priority="117"/>
  </conditionalFormatting>
  <conditionalFormatting sqref="AP190">
    <cfRule type="duplicateValues" dxfId="85" priority="9"/>
  </conditionalFormatting>
  <conditionalFormatting sqref="AP191">
    <cfRule type="duplicateValues" dxfId="84" priority="10"/>
  </conditionalFormatting>
  <conditionalFormatting sqref="AP192">
    <cfRule type="duplicateValues" dxfId="83" priority="110"/>
  </conditionalFormatting>
  <conditionalFormatting sqref="AP193:AP194">
    <cfRule type="duplicateValues" dxfId="82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1" priority="180"/>
  </conditionalFormatting>
  <conditionalFormatting sqref="AV182:AW182">
    <cfRule type="cellIs" dxfId="80" priority="52" operator="between">
      <formula>36526</formula>
      <formula>402133</formula>
    </cfRule>
  </conditionalFormatting>
  <conditionalFormatting sqref="AY1:AY12 AY393:AY1048576">
    <cfRule type="cellIs" dxfId="79" priority="18" operator="greaterThan">
      <formula>43831</formula>
    </cfRule>
  </conditionalFormatting>
  <conditionalFormatting sqref="AY1:AY12">
    <cfRule type="cellIs" dxfId="78" priority="263" operator="between">
      <formula>36526</formula>
      <formula>402133</formula>
    </cfRule>
  </conditionalFormatting>
  <conditionalFormatting sqref="AY14:AY62 AY64:AY75 AY77:AY103 AY112:AY131 AY134:AY138 AY140:AY148 AY150 AY153:AY155 AY157 AY160:AY161 AY171 AY185 AY190:AY191 AY196:AY223 AY105:AY110">
    <cfRule type="cellIs" dxfId="77" priority="15" operator="between">
      <formula>36526</formula>
      <formula>402133</formula>
    </cfRule>
  </conditionalFormatting>
  <conditionalFormatting sqref="AY14:AY110">
    <cfRule type="cellIs" dxfId="76" priority="4" operator="greaterThan">
      <formula>43831</formula>
    </cfRule>
  </conditionalFormatting>
  <conditionalFormatting sqref="AY112:AY223">
    <cfRule type="cellIs" dxfId="75" priority="17" operator="greaterThan">
      <formula>43831</formula>
    </cfRule>
  </conditionalFormatting>
  <conditionalFormatting sqref="AY393:AY1048576">
    <cfRule type="cellIs" dxfId="74" priority="135" operator="between">
      <formula>36526</formula>
      <formula>402133</formula>
    </cfRule>
  </conditionalFormatting>
  <conditionalFormatting sqref="AZ35">
    <cfRule type="cellIs" dxfId="73" priority="40" operator="between">
      <formula>36526</formula>
      <formula>402133</formula>
    </cfRule>
  </conditionalFormatting>
  <conditionalFormatting sqref="AZ93">
    <cfRule type="cellIs" dxfId="72" priority="39" operator="between">
      <formula>36526</formula>
      <formula>402133</formula>
    </cfRule>
  </conditionalFormatting>
  <conditionalFormatting sqref="AZ174">
    <cfRule type="cellIs" dxfId="71" priority="38" operator="between">
      <formula>36526</formula>
      <formula>402133</formula>
    </cfRule>
  </conditionalFormatting>
  <conditionalFormatting sqref="BD1:BD1048576">
    <cfRule type="cellIs" dxfId="70" priority="247" operator="equal">
      <formula>"INDENIZAÇÃO"</formula>
    </cfRule>
    <cfRule type="cellIs" dxfId="69" priority="248" operator="equal">
      <formula>"AA"</formula>
    </cfRule>
  </conditionalFormatting>
  <conditionalFormatting sqref="BD14:BE14">
    <cfRule type="cellIs" dxfId="68" priority="20" operator="equal">
      <formula>"FINALIZADO"</formula>
    </cfRule>
  </conditionalFormatting>
  <conditionalFormatting sqref="BD15:BE222">
    <cfRule type="cellIs" dxfId="67" priority="275" operator="equal">
      <formula>"FINALIZADO"</formula>
    </cfRule>
  </conditionalFormatting>
  <conditionalFormatting sqref="BE14:BE222 BB1:BB13 BB15:BB1048576">
    <cfRule type="containsText" dxfId="66" priority="274" operator="containsText" text="FINALIZADO">
      <formula>NOT(ISERROR(SEARCH("FINALIZADO",BB1)))</formula>
    </cfRule>
  </conditionalFormatting>
  <conditionalFormatting sqref="BE14:BE222">
    <cfRule type="beginsWith" dxfId="65" priority="272" operator="beginsWith" text="FI">
      <formula>LEFT(BE14,LEN("FI"))="FI"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90:AY223 AY176:AZ189 AY112:AY117 AU51:AX117 AN15:AN67 AQ112:AT117 AQ15:AR42 AQ51:AT110 AZ15:AZ117 AS15:AX50 AQ176:AX222 AQ118:AZ174 BI41:BJ43 BK74:BK165 AY14:AY110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2"/>
  <sheetViews>
    <sheetView workbookViewId="0">
      <selection activeCell="A4" sqref="A4:D10"/>
    </sheetView>
  </sheetViews>
  <sheetFormatPr defaultColWidth="9.140625" defaultRowHeight="20.25" customHeight="1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>
      <c r="E2" s="211" t="s">
        <v>96</v>
      </c>
    </row>
    <row r="3" spans="1:8" ht="20.25" customHeight="1">
      <c r="E3" s="211" t="s">
        <v>61</v>
      </c>
      <c r="F3" s="99" t="s">
        <v>924</v>
      </c>
      <c r="H3" s="15" t="s">
        <v>925</v>
      </c>
    </row>
    <row r="4" spans="1:8" ht="20.25" customHeight="1">
      <c r="A4" s="209" t="s">
        <v>39</v>
      </c>
      <c r="B4" s="209" t="s">
        <v>43</v>
      </c>
      <c r="C4" s="210" t="s">
        <v>47</v>
      </c>
      <c r="D4" s="211" t="s">
        <v>96</v>
      </c>
      <c r="E4" s="211" t="s">
        <v>926</v>
      </c>
      <c r="F4" s="100" t="s">
        <v>927</v>
      </c>
      <c r="H4" s="15" t="s">
        <v>928</v>
      </c>
    </row>
    <row r="5" spans="1:8" ht="20.25" customHeight="1">
      <c r="A5" s="286" t="s">
        <v>99</v>
      </c>
      <c r="B5" s="283" t="s">
        <v>116</v>
      </c>
      <c r="C5" s="301" t="s">
        <v>120</v>
      </c>
      <c r="D5" s="287">
        <v>46226</v>
      </c>
      <c r="F5" s="99" t="s">
        <v>929</v>
      </c>
      <c r="H5" s="15" t="s">
        <v>930</v>
      </c>
    </row>
    <row r="6" spans="1:8" ht="20.25" customHeight="1">
      <c r="A6" s="286" t="s">
        <v>99</v>
      </c>
      <c r="B6" s="283" t="s">
        <v>158</v>
      </c>
      <c r="C6" s="283" t="s">
        <v>159</v>
      </c>
      <c r="D6" s="287">
        <v>46226</v>
      </c>
      <c r="F6" s="99" t="s">
        <v>931</v>
      </c>
      <c r="H6" s="15" t="s">
        <v>932</v>
      </c>
    </row>
    <row r="7" spans="1:8" ht="20.25" customHeight="1">
      <c r="A7" s="286" t="s">
        <v>99</v>
      </c>
      <c r="B7" s="283" t="s">
        <v>244</v>
      </c>
      <c r="C7" s="283" t="s">
        <v>245</v>
      </c>
      <c r="D7" s="287">
        <v>46226</v>
      </c>
      <c r="F7" s="99" t="s">
        <v>933</v>
      </c>
      <c r="H7" s="15" t="s">
        <v>934</v>
      </c>
    </row>
    <row r="8" spans="1:8" ht="20.25" customHeight="1">
      <c r="A8" s="286" t="s">
        <v>99</v>
      </c>
      <c r="B8" s="283" t="s">
        <v>262</v>
      </c>
      <c r="C8" s="283" t="s">
        <v>263</v>
      </c>
      <c r="D8" s="287">
        <v>46226</v>
      </c>
      <c r="F8" s="99" t="s">
        <v>935</v>
      </c>
      <c r="H8" s="15" t="s">
        <v>936</v>
      </c>
    </row>
    <row r="9" spans="1:8" ht="20.25" customHeight="1">
      <c r="A9" s="286" t="s">
        <v>99</v>
      </c>
      <c r="B9" s="283" t="s">
        <v>872</v>
      </c>
      <c r="C9" s="283" t="s">
        <v>873</v>
      </c>
      <c r="D9" s="287">
        <v>46226</v>
      </c>
      <c r="F9" s="99" t="s">
        <v>937</v>
      </c>
      <c r="H9" s="15" t="s">
        <v>938</v>
      </c>
    </row>
    <row r="10" spans="1:8" ht="20.25" customHeight="1">
      <c r="A10" s="286" t="s">
        <v>99</v>
      </c>
      <c r="B10" s="283" t="s">
        <v>877</v>
      </c>
      <c r="C10" s="283" t="s">
        <v>878</v>
      </c>
      <c r="D10" s="287">
        <v>46226</v>
      </c>
      <c r="F10" s="99" t="s">
        <v>939</v>
      </c>
      <c r="H10" s="15" t="s">
        <v>940</v>
      </c>
    </row>
    <row r="11" spans="1:8" ht="20.25" customHeight="1">
      <c r="A11" s="286"/>
      <c r="B11" s="284"/>
      <c r="C11" s="284"/>
      <c r="D11" s="287"/>
      <c r="F11" s="99" t="s">
        <v>941</v>
      </c>
      <c r="H11" s="15" t="s">
        <v>942</v>
      </c>
    </row>
    <row r="12" spans="1:8" ht="20.25" customHeight="1">
      <c r="A12" s="286"/>
      <c r="B12" s="283"/>
      <c r="C12" s="283"/>
      <c r="D12" s="287"/>
      <c r="F12" s="99" t="s">
        <v>943</v>
      </c>
      <c r="H12" s="15" t="s">
        <v>944</v>
      </c>
    </row>
    <row r="13" spans="1:8" ht="20.25" customHeight="1">
      <c r="A13" s="286"/>
      <c r="B13" s="284"/>
      <c r="C13" s="283"/>
      <c r="D13" s="287"/>
      <c r="F13" s="102" t="s">
        <v>934</v>
      </c>
      <c r="H13" s="15" t="s">
        <v>941</v>
      </c>
    </row>
    <row r="14" spans="1:8" ht="20.25" customHeight="1">
      <c r="A14" s="286"/>
      <c r="B14" s="283"/>
      <c r="C14" s="283"/>
      <c r="D14" s="287"/>
    </row>
    <row r="15" spans="1:8" ht="20.25" customHeight="1">
      <c r="A15" s="286" t="s">
        <v>99</v>
      </c>
      <c r="B15" s="283" t="s">
        <v>502</v>
      </c>
      <c r="C15" s="283" t="s">
        <v>503</v>
      </c>
      <c r="D15" s="287">
        <v>46183</v>
      </c>
      <c r="F15" s="99" t="s">
        <v>945</v>
      </c>
      <c r="H15" s="15" t="s">
        <v>946</v>
      </c>
    </row>
    <row r="16" spans="1:8" ht="20.25" customHeight="1">
      <c r="A16" s="286" t="s">
        <v>99</v>
      </c>
      <c r="B16" s="283" t="s">
        <v>509</v>
      </c>
      <c r="C16" s="286" t="s">
        <v>514</v>
      </c>
      <c r="D16" s="287">
        <v>46183</v>
      </c>
      <c r="F16" s="99" t="s">
        <v>944</v>
      </c>
      <c r="H16" s="15" t="s">
        <v>947</v>
      </c>
    </row>
    <row r="17" spans="1:8" ht="20.25" customHeight="1">
      <c r="A17" s="286"/>
      <c r="B17" s="283"/>
      <c r="C17" s="283"/>
      <c r="D17" s="299"/>
      <c r="F17" s="99" t="s">
        <v>930</v>
      </c>
      <c r="H17" s="15" t="s">
        <v>931</v>
      </c>
    </row>
    <row r="18" spans="1:8" ht="20.25" customHeight="1">
      <c r="A18" s="260"/>
      <c r="B18" s="261"/>
      <c r="C18" s="261"/>
      <c r="D18" s="262"/>
      <c r="F18" s="99" t="s">
        <v>928</v>
      </c>
      <c r="H18" s="15" t="s">
        <v>948</v>
      </c>
    </row>
    <row r="19" spans="1:8" ht="20.25" customHeight="1">
      <c r="A19" s="207"/>
      <c r="B19" s="257"/>
      <c r="C19" s="257"/>
      <c r="D19" s="259"/>
      <c r="F19" s="99" t="s">
        <v>925</v>
      </c>
      <c r="H19" s="15" t="s">
        <v>949</v>
      </c>
    </row>
    <row r="20" spans="1:8" ht="20.25" customHeight="1">
      <c r="A20" s="207"/>
      <c r="B20" s="257"/>
      <c r="C20" s="207"/>
      <c r="D20" s="259"/>
      <c r="F20" s="99" t="s">
        <v>948</v>
      </c>
      <c r="H20" s="15" t="s">
        <v>950</v>
      </c>
    </row>
    <row r="21" spans="1:8" ht="20.25" customHeight="1">
      <c r="A21" s="207" t="s">
        <v>99</v>
      </c>
      <c r="B21" s="257" t="s">
        <v>685</v>
      </c>
      <c r="C21" s="207" t="s">
        <v>689</v>
      </c>
      <c r="D21" s="259">
        <v>45915</v>
      </c>
      <c r="F21" s="99" t="s">
        <v>951</v>
      </c>
      <c r="H21" s="15" t="s">
        <v>952</v>
      </c>
    </row>
    <row r="22" spans="1:8" ht="20.25" customHeight="1">
      <c r="A22" s="207" t="s">
        <v>99</v>
      </c>
      <c r="B22" s="257" t="s">
        <v>693</v>
      </c>
      <c r="C22" s="257" t="s">
        <v>694</v>
      </c>
      <c r="D22" s="259">
        <v>45915</v>
      </c>
      <c r="F22" s="99" t="s">
        <v>953</v>
      </c>
      <c r="H22" s="15" t="s">
        <v>954</v>
      </c>
    </row>
    <row r="23" spans="1:8" ht="20.25" customHeight="1">
      <c r="A23" s="207" t="s">
        <v>99</v>
      </c>
      <c r="B23" s="257" t="s">
        <v>722</v>
      </c>
      <c r="C23" s="257" t="s">
        <v>723</v>
      </c>
      <c r="D23" s="259">
        <v>45915</v>
      </c>
      <c r="F23" s="99" t="s">
        <v>955</v>
      </c>
      <c r="H23" s="15" t="s">
        <v>929</v>
      </c>
    </row>
    <row r="24" spans="1:8" ht="20.25" customHeight="1">
      <c r="A24" s="207" t="s">
        <v>99</v>
      </c>
      <c r="B24" s="257" t="s">
        <v>785</v>
      </c>
      <c r="C24" s="257" t="s">
        <v>786</v>
      </c>
      <c r="D24" s="259">
        <v>45915</v>
      </c>
      <c r="F24" s="99" t="s">
        <v>956</v>
      </c>
      <c r="H24" s="15" t="s">
        <v>957</v>
      </c>
    </row>
    <row r="25" spans="1:8" ht="20.25" customHeight="1">
      <c r="A25" s="207" t="s">
        <v>99</v>
      </c>
      <c r="B25" s="257" t="s">
        <v>790</v>
      </c>
      <c r="C25" s="257" t="s">
        <v>791</v>
      </c>
      <c r="D25" s="259">
        <v>45915</v>
      </c>
      <c r="F25" s="99" t="s">
        <v>958</v>
      </c>
      <c r="H25" s="15" t="s">
        <v>945</v>
      </c>
    </row>
    <row r="26" spans="1:8" ht="20.25" customHeight="1">
      <c r="A26" s="207" t="s">
        <v>99</v>
      </c>
      <c r="B26" s="257" t="s">
        <v>805</v>
      </c>
      <c r="C26" s="257" t="s">
        <v>806</v>
      </c>
      <c r="D26" s="259">
        <v>45915</v>
      </c>
      <c r="F26" s="99" t="s">
        <v>959</v>
      </c>
      <c r="H26" s="15" t="s">
        <v>960</v>
      </c>
    </row>
    <row r="27" spans="1:8" ht="20.25" customHeight="1">
      <c r="A27" s="207" t="s">
        <v>99</v>
      </c>
      <c r="B27" s="257" t="s">
        <v>810</v>
      </c>
      <c r="C27" s="257" t="s">
        <v>811</v>
      </c>
      <c r="D27" s="259">
        <v>45916</v>
      </c>
      <c r="F27" s="99" t="s">
        <v>961</v>
      </c>
      <c r="H27" s="15" t="s">
        <v>955</v>
      </c>
    </row>
    <row r="28" spans="1:8" ht="20.25" customHeight="1">
      <c r="A28" s="207" t="s">
        <v>99</v>
      </c>
      <c r="B28" s="257" t="s">
        <v>852</v>
      </c>
      <c r="C28" s="257" t="s">
        <v>853</v>
      </c>
      <c r="D28" s="259">
        <v>45915</v>
      </c>
      <c r="F28" s="99" t="s">
        <v>962</v>
      </c>
      <c r="H28" s="15" t="s">
        <v>943</v>
      </c>
    </row>
    <row r="29" spans="1:8" ht="20.25" customHeight="1">
      <c r="A29" s="207" t="s">
        <v>99</v>
      </c>
      <c r="B29" s="257" t="s">
        <v>862</v>
      </c>
      <c r="C29" s="257" t="s">
        <v>863</v>
      </c>
      <c r="D29" s="259">
        <v>45915</v>
      </c>
      <c r="F29" s="99" t="s">
        <v>963</v>
      </c>
      <c r="H29" s="15" t="s">
        <v>927</v>
      </c>
    </row>
    <row r="30" spans="1:8" ht="20.25" customHeight="1">
      <c r="A30" s="207" t="s">
        <v>99</v>
      </c>
      <c r="B30" s="257" t="s">
        <v>867</v>
      </c>
      <c r="C30" s="257" t="s">
        <v>868</v>
      </c>
      <c r="D30" s="259">
        <v>45915</v>
      </c>
      <c r="F30" s="99" t="s">
        <v>954</v>
      </c>
      <c r="H30" s="15" t="s">
        <v>964</v>
      </c>
    </row>
    <row r="31" spans="1:8" ht="20.25" customHeight="1">
      <c r="A31" s="207" t="s">
        <v>99</v>
      </c>
      <c r="B31" s="257" t="s">
        <v>882</v>
      </c>
      <c r="C31" s="257" t="s">
        <v>883</v>
      </c>
      <c r="D31" s="259">
        <v>45915</v>
      </c>
      <c r="F31" s="99" t="s">
        <v>965</v>
      </c>
      <c r="H31" s="15" t="s">
        <v>966</v>
      </c>
    </row>
    <row r="32" spans="1:8" ht="20.25" customHeight="1">
      <c r="A32" s="207" t="s">
        <v>99</v>
      </c>
      <c r="B32" s="257" t="s">
        <v>901</v>
      </c>
      <c r="C32" s="257" t="s">
        <v>902</v>
      </c>
      <c r="D32" s="259">
        <v>45917</v>
      </c>
      <c r="F32" s="99" t="s">
        <v>950</v>
      </c>
      <c r="H32" s="15" t="s">
        <v>967</v>
      </c>
    </row>
    <row r="33" spans="1:8" ht="20.25" customHeight="1">
      <c r="A33" s="194"/>
      <c r="B33" s="115"/>
      <c r="C33" s="184"/>
      <c r="D33" s="178"/>
      <c r="F33" s="99" t="s">
        <v>968</v>
      </c>
      <c r="H33" s="15" t="s">
        <v>969</v>
      </c>
    </row>
    <row r="34" spans="1:8" ht="20.25" customHeight="1">
      <c r="A34" s="114"/>
      <c r="B34" s="114"/>
      <c r="C34" s="116"/>
      <c r="D34" s="142"/>
      <c r="F34" s="99" t="s">
        <v>940</v>
      </c>
      <c r="H34" s="15" t="s">
        <v>968</v>
      </c>
    </row>
    <row r="35" spans="1:8" ht="20.25" customHeight="1">
      <c r="A35" s="114"/>
      <c r="B35" s="114"/>
      <c r="C35" s="116"/>
      <c r="D35" s="142"/>
      <c r="F35" s="99" t="s">
        <v>960</v>
      </c>
      <c r="H35" s="15" t="s">
        <v>956</v>
      </c>
    </row>
    <row r="36" spans="1:8" ht="20.25" customHeight="1">
      <c r="A36" s="114"/>
      <c r="B36" s="114"/>
      <c r="C36" s="114"/>
      <c r="D36" s="142"/>
      <c r="F36" s="99" t="s">
        <v>957</v>
      </c>
      <c r="H36" s="15" t="s">
        <v>962</v>
      </c>
    </row>
    <row r="37" spans="1:8" ht="20.25" customHeight="1">
      <c r="A37" s="171"/>
      <c r="B37" s="171"/>
      <c r="C37" s="171"/>
      <c r="D37" s="142"/>
      <c r="F37" s="99" t="s">
        <v>970</v>
      </c>
      <c r="H37" s="15" t="s">
        <v>971</v>
      </c>
    </row>
    <row r="38" spans="1:8" ht="20.25" customHeight="1">
      <c r="A38" s="114"/>
      <c r="B38" s="114"/>
      <c r="C38" s="116"/>
      <c r="D38" s="142"/>
      <c r="F38" s="99" t="s">
        <v>971</v>
      </c>
      <c r="H38" s="106" t="s">
        <v>972</v>
      </c>
    </row>
    <row r="39" spans="1:8" ht="20.25" customHeight="1">
      <c r="A39" s="169"/>
      <c r="B39" s="169"/>
      <c r="C39" s="170"/>
      <c r="D39" s="137"/>
      <c r="F39" s="99" t="s">
        <v>973</v>
      </c>
      <c r="H39" s="106" t="s">
        <v>951</v>
      </c>
    </row>
    <row r="40" spans="1:8" ht="20.25" customHeight="1">
      <c r="A40" s="163"/>
      <c r="B40" s="163"/>
      <c r="C40" s="164"/>
      <c r="D40" s="142"/>
      <c r="F40" s="99" t="s">
        <v>974</v>
      </c>
      <c r="H40" s="106" t="s">
        <v>975</v>
      </c>
    </row>
    <row r="41" spans="1:8" ht="20.25" customHeight="1">
      <c r="A41" s="163"/>
      <c r="B41" s="163"/>
      <c r="C41" s="164"/>
      <c r="D41" s="142"/>
      <c r="F41" s="99" t="s">
        <v>947</v>
      </c>
      <c r="H41" s="106" t="s">
        <v>976</v>
      </c>
    </row>
    <row r="42" spans="1:8" ht="20.25" customHeight="1">
      <c r="A42" s="163"/>
      <c r="B42" s="163"/>
      <c r="C42" s="164"/>
      <c r="D42" s="142"/>
      <c r="F42" s="99" t="s">
        <v>977</v>
      </c>
      <c r="H42" s="106" t="s">
        <v>978</v>
      </c>
    </row>
    <row r="43" spans="1:8" ht="20.25" customHeight="1">
      <c r="A43" s="163" t="s">
        <v>979</v>
      </c>
      <c r="B43" s="163" t="s">
        <v>980</v>
      </c>
      <c r="C43" s="164" t="s">
        <v>981</v>
      </c>
      <c r="D43" s="142">
        <v>44840</v>
      </c>
      <c r="F43" s="99" t="s">
        <v>982</v>
      </c>
      <c r="H43" s="106" t="s">
        <v>959</v>
      </c>
    </row>
    <row r="44" spans="1:8" ht="20.25" customHeight="1">
      <c r="A44" s="163" t="s">
        <v>979</v>
      </c>
      <c r="B44" s="163" t="s">
        <v>983</v>
      </c>
      <c r="C44" s="164" t="s">
        <v>984</v>
      </c>
      <c r="D44" s="137"/>
      <c r="F44" s="99" t="s">
        <v>985</v>
      </c>
      <c r="H44" s="106" t="s">
        <v>986</v>
      </c>
    </row>
    <row r="45" spans="1:8" ht="20.25" customHeight="1">
      <c r="A45" s="163" t="s">
        <v>979</v>
      </c>
      <c r="B45" s="163" t="s">
        <v>987</v>
      </c>
      <c r="C45" s="164" t="s">
        <v>988</v>
      </c>
      <c r="D45" s="137"/>
      <c r="F45" s="99" t="s">
        <v>989</v>
      </c>
      <c r="H45" s="106" t="s">
        <v>990</v>
      </c>
    </row>
    <row r="46" spans="1:8" ht="20.25" customHeight="1">
      <c r="A46" s="163" t="s">
        <v>979</v>
      </c>
      <c r="B46" s="163" t="s">
        <v>991</v>
      </c>
      <c r="C46" s="164" t="s">
        <v>992</v>
      </c>
      <c r="D46" s="137"/>
      <c r="F46" s="99" t="s">
        <v>993</v>
      </c>
      <c r="H46" s="106" t="s">
        <v>924</v>
      </c>
    </row>
    <row r="47" spans="1:8" ht="20.25" customHeight="1">
      <c r="A47" s="163" t="s">
        <v>979</v>
      </c>
      <c r="B47" s="163" t="s">
        <v>994</v>
      </c>
      <c r="C47" s="164" t="s">
        <v>995</v>
      </c>
      <c r="D47" s="142">
        <v>44992</v>
      </c>
      <c r="F47" s="99" t="s">
        <v>996</v>
      </c>
      <c r="H47" s="106" t="s">
        <v>977</v>
      </c>
    </row>
    <row r="48" spans="1:8" ht="20.25" customHeight="1">
      <c r="A48" s="163" t="s">
        <v>979</v>
      </c>
      <c r="B48" s="163" t="s">
        <v>997</v>
      </c>
      <c r="C48" s="163" t="s">
        <v>998</v>
      </c>
      <c r="D48" s="162">
        <v>45013</v>
      </c>
      <c r="F48" s="99" t="s">
        <v>999</v>
      </c>
      <c r="H48" s="106" t="s">
        <v>989</v>
      </c>
    </row>
    <row r="49" spans="1:8" ht="20.25" customHeight="1">
      <c r="A49" s="163" t="s">
        <v>979</v>
      </c>
      <c r="B49" s="163" t="s">
        <v>1000</v>
      </c>
      <c r="C49" s="163" t="s">
        <v>1001</v>
      </c>
      <c r="D49" s="162">
        <v>45013</v>
      </c>
      <c r="F49" s="102" t="s">
        <v>938</v>
      </c>
      <c r="H49" s="15" t="s">
        <v>993</v>
      </c>
    </row>
    <row r="50" spans="1:8" ht="20.25" customHeight="1">
      <c r="A50" s="163" t="s">
        <v>979</v>
      </c>
      <c r="B50" s="163" t="s">
        <v>1002</v>
      </c>
      <c r="C50" s="164" t="s">
        <v>1003</v>
      </c>
      <c r="D50" s="137" t="s">
        <v>24</v>
      </c>
      <c r="F50" s="99" t="s">
        <v>1004</v>
      </c>
      <c r="H50" s="15" t="s">
        <v>1005</v>
      </c>
    </row>
    <row r="51" spans="1:8" ht="20.25" customHeight="1">
      <c r="A51" s="163" t="s">
        <v>979</v>
      </c>
      <c r="B51" s="163" t="s">
        <v>1006</v>
      </c>
      <c r="C51" s="164" t="s">
        <v>1007</v>
      </c>
      <c r="D51" s="162">
        <v>45013</v>
      </c>
      <c r="F51" s="99" t="s">
        <v>936</v>
      </c>
      <c r="H51" s="15" t="s">
        <v>973</v>
      </c>
    </row>
    <row r="52" spans="1:8" ht="20.25" customHeight="1">
      <c r="A52" s="163" t="s">
        <v>979</v>
      </c>
      <c r="B52" s="163" t="s">
        <v>1008</v>
      </c>
      <c r="C52" s="163" t="s">
        <v>1009</v>
      </c>
      <c r="D52" s="137" t="s">
        <v>24</v>
      </c>
      <c r="F52" s="102" t="s">
        <v>986</v>
      </c>
      <c r="H52" s="15" t="s">
        <v>1010</v>
      </c>
    </row>
    <row r="53" spans="1:8" ht="20.25" customHeight="1">
      <c r="A53" s="163" t="s">
        <v>979</v>
      </c>
      <c r="B53" s="163" t="s">
        <v>1011</v>
      </c>
      <c r="C53" s="163" t="s">
        <v>1012</v>
      </c>
      <c r="D53" s="137" t="s">
        <v>24</v>
      </c>
      <c r="F53" s="99" t="s">
        <v>952</v>
      </c>
      <c r="H53" s="15" t="s">
        <v>935</v>
      </c>
    </row>
    <row r="54" spans="1:8" ht="20.25" customHeight="1">
      <c r="A54" s="163" t="s">
        <v>979</v>
      </c>
      <c r="B54" s="163" t="s">
        <v>1013</v>
      </c>
      <c r="C54" s="163" t="s">
        <v>1014</v>
      </c>
      <c r="D54" s="142">
        <v>44840</v>
      </c>
      <c r="F54" s="99" t="s">
        <v>976</v>
      </c>
      <c r="H54" s="15" t="s">
        <v>937</v>
      </c>
    </row>
    <row r="55" spans="1:8" ht="20.25" customHeight="1">
      <c r="A55" s="163" t="s">
        <v>979</v>
      </c>
      <c r="B55" s="163" t="s">
        <v>1015</v>
      </c>
      <c r="C55" s="163" t="s">
        <v>1016</v>
      </c>
      <c r="D55" s="142">
        <v>44816</v>
      </c>
      <c r="F55" s="102" t="s">
        <v>1017</v>
      </c>
      <c r="H55" s="15" t="s">
        <v>996</v>
      </c>
    </row>
    <row r="56" spans="1:8" ht="20.25" customHeight="1">
      <c r="A56" s="163" t="s">
        <v>979</v>
      </c>
      <c r="B56" s="163" t="s">
        <v>1018</v>
      </c>
      <c r="C56" s="163" t="s">
        <v>1019</v>
      </c>
      <c r="D56" s="137"/>
      <c r="F56" s="99" t="s">
        <v>1010</v>
      </c>
      <c r="H56" s="15" t="s">
        <v>1020</v>
      </c>
    </row>
    <row r="57" spans="1:8" ht="20.25" customHeight="1">
      <c r="A57" s="163" t="s">
        <v>979</v>
      </c>
      <c r="B57" s="163" t="s">
        <v>1021</v>
      </c>
      <c r="C57" s="163" t="s">
        <v>1022</v>
      </c>
      <c r="D57" s="142">
        <v>44840</v>
      </c>
      <c r="F57" s="99" t="s">
        <v>942</v>
      </c>
      <c r="H57" s="15" t="s">
        <v>1023</v>
      </c>
    </row>
    <row r="58" spans="1:8" ht="20.25" customHeight="1">
      <c r="A58" s="163" t="s">
        <v>979</v>
      </c>
      <c r="B58" s="163" t="s">
        <v>1024</v>
      </c>
      <c r="C58" s="164" t="s">
        <v>1025</v>
      </c>
      <c r="D58" s="142">
        <v>44862</v>
      </c>
      <c r="F58" s="103" t="s">
        <v>932</v>
      </c>
      <c r="H58" s="15" t="s">
        <v>999</v>
      </c>
    </row>
    <row r="59" spans="1:8" ht="20.25" customHeight="1">
      <c r="A59" s="163" t="s">
        <v>979</v>
      </c>
      <c r="B59" s="163" t="s">
        <v>1026</v>
      </c>
      <c r="C59" s="163" t="s">
        <v>1027</v>
      </c>
      <c r="D59" s="137" t="s">
        <v>24</v>
      </c>
      <c r="F59" s="99" t="s">
        <v>964</v>
      </c>
      <c r="H59" s="15" t="s">
        <v>1028</v>
      </c>
    </row>
    <row r="60" spans="1:8" ht="20.25" customHeight="1">
      <c r="A60" s="163" t="s">
        <v>979</v>
      </c>
      <c r="B60" s="163" t="s">
        <v>1029</v>
      </c>
      <c r="C60" s="163" t="s">
        <v>1030</v>
      </c>
      <c r="D60" s="142">
        <v>44840</v>
      </c>
      <c r="F60" s="99" t="s">
        <v>1028</v>
      </c>
      <c r="H60" s="15" t="s">
        <v>982</v>
      </c>
    </row>
    <row r="61" spans="1:8" ht="20.25" customHeight="1">
      <c r="A61" s="163" t="s">
        <v>979</v>
      </c>
      <c r="B61" s="163" t="s">
        <v>1031</v>
      </c>
      <c r="C61" s="163" t="s">
        <v>1032</v>
      </c>
      <c r="D61" s="142">
        <v>44889</v>
      </c>
      <c r="F61" s="99" t="s">
        <v>946</v>
      </c>
      <c r="H61" s="15" t="s">
        <v>1004</v>
      </c>
    </row>
    <row r="62" spans="1:8" ht="20.25" customHeight="1">
      <c r="A62" s="163" t="s">
        <v>979</v>
      </c>
      <c r="B62" s="163" t="s">
        <v>1033</v>
      </c>
      <c r="C62" s="163" t="s">
        <v>1034</v>
      </c>
      <c r="D62" s="142">
        <v>44922</v>
      </c>
      <c r="F62" s="101" t="s">
        <v>972</v>
      </c>
      <c r="H62" s="15" t="s">
        <v>965</v>
      </c>
    </row>
    <row r="63" spans="1:8" ht="20.25" customHeight="1">
      <c r="A63" s="163" t="s">
        <v>979</v>
      </c>
      <c r="B63" s="163" t="s">
        <v>1035</v>
      </c>
      <c r="C63" s="163" t="s">
        <v>1036</v>
      </c>
      <c r="D63" s="142">
        <v>44961</v>
      </c>
      <c r="F63" s="99" t="s">
        <v>975</v>
      </c>
      <c r="H63" s="15" t="s">
        <v>939</v>
      </c>
    </row>
    <row r="64" spans="1:8" ht="20.25" customHeight="1">
      <c r="A64" s="163" t="s">
        <v>979</v>
      </c>
      <c r="B64" s="163" t="s">
        <v>1037</v>
      </c>
      <c r="C64" s="163" t="s">
        <v>1038</v>
      </c>
      <c r="D64" s="142">
        <v>44840</v>
      </c>
      <c r="F64" s="99" t="s">
        <v>966</v>
      </c>
      <c r="H64" s="15" t="s">
        <v>953</v>
      </c>
    </row>
    <row r="65" spans="1:6" ht="20.25" customHeight="1">
      <c r="A65" s="163" t="s">
        <v>979</v>
      </c>
      <c r="B65" s="163" t="s">
        <v>1039</v>
      </c>
      <c r="C65" s="163" t="s">
        <v>1040</v>
      </c>
      <c r="D65" s="142">
        <v>44869</v>
      </c>
      <c r="F65" s="99" t="s">
        <v>969</v>
      </c>
    </row>
    <row r="66" spans="1:6" ht="20.25" customHeight="1">
      <c r="A66" s="163" t="s">
        <v>979</v>
      </c>
      <c r="B66" s="163" t="s">
        <v>1041</v>
      </c>
      <c r="C66" s="163" t="s">
        <v>1042</v>
      </c>
      <c r="D66" s="142">
        <v>44840</v>
      </c>
      <c r="F66" s="104" t="s">
        <v>1005</v>
      </c>
    </row>
    <row r="67" spans="1:6" ht="20.25" customHeight="1">
      <c r="A67" s="163" t="s">
        <v>979</v>
      </c>
      <c r="B67" s="163" t="s">
        <v>1043</v>
      </c>
      <c r="C67" s="163" t="s">
        <v>1044</v>
      </c>
      <c r="D67" s="142">
        <v>44840</v>
      </c>
      <c r="F67" s="104" t="s">
        <v>1020</v>
      </c>
    </row>
    <row r="68" spans="1:6" ht="20.25" customHeight="1">
      <c r="A68" s="163" t="s">
        <v>979</v>
      </c>
      <c r="B68" s="163" t="s">
        <v>1045</v>
      </c>
      <c r="C68" s="163" t="s">
        <v>1046</v>
      </c>
      <c r="D68" s="142">
        <v>44869</v>
      </c>
    </row>
    <row r="69" spans="1:6" ht="20.25" customHeight="1">
      <c r="A69" s="163" t="s">
        <v>979</v>
      </c>
      <c r="B69" s="163" t="s">
        <v>1047</v>
      </c>
      <c r="C69" s="163" t="s">
        <v>1048</v>
      </c>
      <c r="D69" s="142">
        <v>44840</v>
      </c>
    </row>
    <row r="70" spans="1:6" ht="20.25" customHeight="1">
      <c r="A70" s="163" t="s">
        <v>979</v>
      </c>
      <c r="B70" s="163" t="s">
        <v>1049</v>
      </c>
      <c r="C70" s="163" t="s">
        <v>1050</v>
      </c>
      <c r="D70" s="142">
        <v>44840</v>
      </c>
    </row>
    <row r="71" spans="1:6" ht="20.25" customHeight="1">
      <c r="A71" s="163" t="s">
        <v>979</v>
      </c>
      <c r="B71" s="163" t="s">
        <v>1051</v>
      </c>
      <c r="C71" s="163" t="s">
        <v>1052</v>
      </c>
      <c r="D71" s="142">
        <v>44840</v>
      </c>
    </row>
    <row r="72" spans="1:6" ht="20.25" customHeight="1">
      <c r="A72" s="163" t="s">
        <v>979</v>
      </c>
      <c r="B72" s="163" t="s">
        <v>1053</v>
      </c>
      <c r="C72" s="163" t="s">
        <v>1054</v>
      </c>
      <c r="D72" s="142">
        <v>44840</v>
      </c>
    </row>
    <row r="73" spans="1:6" ht="20.25" customHeight="1">
      <c r="A73" s="163" t="s">
        <v>979</v>
      </c>
      <c r="B73" s="163" t="s">
        <v>1055</v>
      </c>
      <c r="C73" s="163" t="s">
        <v>1056</v>
      </c>
      <c r="D73" s="137" t="s">
        <v>24</v>
      </c>
    </row>
    <row r="74" spans="1:6" ht="20.25" customHeight="1">
      <c r="A74" s="163" t="s">
        <v>979</v>
      </c>
      <c r="B74" s="163" t="s">
        <v>1057</v>
      </c>
      <c r="C74" s="163" t="s">
        <v>1058</v>
      </c>
      <c r="D74" s="142">
        <v>44853</v>
      </c>
    </row>
    <row r="75" spans="1:6" ht="20.25" customHeight="1">
      <c r="A75" s="163" t="s">
        <v>979</v>
      </c>
      <c r="B75" s="163" t="s">
        <v>1059</v>
      </c>
      <c r="C75" s="163" t="s">
        <v>1060</v>
      </c>
      <c r="D75" s="148">
        <v>45148</v>
      </c>
    </row>
    <row r="76" spans="1:6" ht="20.25" customHeight="1">
      <c r="A76" s="163" t="s">
        <v>979</v>
      </c>
      <c r="B76" s="163" t="s">
        <v>1061</v>
      </c>
      <c r="C76" s="164" t="s">
        <v>1062</v>
      </c>
      <c r="D76" s="137"/>
    </row>
    <row r="77" spans="1:6" ht="20.25" customHeight="1">
      <c r="A77" s="163" t="s">
        <v>979</v>
      </c>
      <c r="B77" s="163" t="s">
        <v>1063</v>
      </c>
      <c r="C77" s="163" t="s">
        <v>1064</v>
      </c>
      <c r="D77" s="162">
        <v>45013</v>
      </c>
    </row>
    <row r="78" spans="1:6" ht="20.25" customHeight="1">
      <c r="A78" s="163" t="s">
        <v>979</v>
      </c>
      <c r="B78" s="163" t="s">
        <v>1065</v>
      </c>
      <c r="C78" s="163" t="s">
        <v>1066</v>
      </c>
      <c r="D78" s="142">
        <v>44961</v>
      </c>
    </row>
    <row r="79" spans="1:6" ht="20.25" customHeight="1">
      <c r="A79" s="163" t="s">
        <v>979</v>
      </c>
      <c r="B79" s="163" t="s">
        <v>1067</v>
      </c>
      <c r="C79" s="163" t="s">
        <v>1068</v>
      </c>
      <c r="D79" s="142">
        <v>44923</v>
      </c>
    </row>
    <row r="80" spans="1:6" ht="20.25" customHeight="1">
      <c r="A80" s="163" t="s">
        <v>979</v>
      </c>
      <c r="B80" s="163" t="s">
        <v>1069</v>
      </c>
      <c r="C80" s="163" t="s">
        <v>1070</v>
      </c>
      <c r="D80" s="162">
        <v>45013</v>
      </c>
    </row>
    <row r="81" spans="1:4" ht="20.25" customHeight="1">
      <c r="A81" s="163" t="s">
        <v>979</v>
      </c>
      <c r="B81" s="163" t="s">
        <v>1071</v>
      </c>
      <c r="C81" s="163" t="s">
        <v>1072</v>
      </c>
      <c r="D81" s="148">
        <v>45148</v>
      </c>
    </row>
    <row r="82" spans="1:4" ht="20.25" customHeight="1">
      <c r="A82" s="163" t="s">
        <v>979</v>
      </c>
      <c r="B82" s="163" t="s">
        <v>1073</v>
      </c>
      <c r="C82" s="163" t="s">
        <v>1074</v>
      </c>
      <c r="D82" s="145"/>
    </row>
    <row r="83" spans="1:4" ht="20.25" customHeight="1">
      <c r="A83" s="163" t="s">
        <v>979</v>
      </c>
      <c r="B83" s="163" t="s">
        <v>1075</v>
      </c>
      <c r="C83" s="163" t="s">
        <v>1076</v>
      </c>
      <c r="D83" s="137"/>
    </row>
    <row r="84" spans="1:4" ht="20.25" customHeight="1">
      <c r="A84" s="163" t="s">
        <v>979</v>
      </c>
      <c r="B84" s="163" t="s">
        <v>1077</v>
      </c>
      <c r="C84" s="163" t="s">
        <v>1078</v>
      </c>
      <c r="D84" s="145"/>
    </row>
    <row r="85" spans="1:4" ht="20.25" customHeight="1">
      <c r="A85" s="163" t="s">
        <v>979</v>
      </c>
      <c r="B85" s="163" t="s">
        <v>1079</v>
      </c>
      <c r="C85" s="163" t="s">
        <v>1080</v>
      </c>
      <c r="D85" s="145"/>
    </row>
    <row r="86" spans="1:4" ht="20.25" customHeight="1">
      <c r="A86" s="163" t="s">
        <v>979</v>
      </c>
      <c r="B86" s="163" t="s">
        <v>1081</v>
      </c>
      <c r="C86" s="163" t="s">
        <v>1082</v>
      </c>
      <c r="D86" s="137"/>
    </row>
    <row r="87" spans="1:4" ht="20.25" customHeight="1">
      <c r="A87" s="163" t="s">
        <v>979</v>
      </c>
      <c r="B87" s="163" t="s">
        <v>1083</v>
      </c>
      <c r="C87" s="163" t="s">
        <v>1084</v>
      </c>
      <c r="D87" s="137"/>
    </row>
    <row r="88" spans="1:4" ht="20.25" customHeight="1">
      <c r="A88" s="163" t="s">
        <v>979</v>
      </c>
      <c r="B88" s="163" t="s">
        <v>1085</v>
      </c>
      <c r="C88" s="163" t="s">
        <v>1086</v>
      </c>
      <c r="D88" s="149"/>
    </row>
    <row r="89" spans="1:4" ht="20.25" customHeight="1">
      <c r="A89" s="163" t="s">
        <v>979</v>
      </c>
      <c r="B89" s="163" t="s">
        <v>1087</v>
      </c>
      <c r="C89" s="163" t="s">
        <v>1088</v>
      </c>
      <c r="D89" s="142">
        <v>45056</v>
      </c>
    </row>
    <row r="90" spans="1:4" ht="20.25" customHeight="1">
      <c r="A90" s="163" t="s">
        <v>979</v>
      </c>
      <c r="B90" s="163" t="s">
        <v>1089</v>
      </c>
      <c r="C90" s="163" t="s">
        <v>1090</v>
      </c>
      <c r="D90" s="162">
        <v>45013</v>
      </c>
    </row>
    <row r="91" spans="1:4" ht="20.25" customHeight="1">
      <c r="A91" s="163" t="s">
        <v>979</v>
      </c>
      <c r="B91" s="163" t="s">
        <v>1091</v>
      </c>
      <c r="C91" s="163" t="s">
        <v>1092</v>
      </c>
      <c r="D91" s="142">
        <v>45097</v>
      </c>
    </row>
    <row r="92" spans="1:4" ht="20.25" customHeight="1">
      <c r="A92" s="163" t="s">
        <v>979</v>
      </c>
      <c r="B92" s="163" t="s">
        <v>1093</v>
      </c>
      <c r="C92" s="163" t="s">
        <v>1094</v>
      </c>
      <c r="D92" s="142">
        <v>44816</v>
      </c>
    </row>
    <row r="93" spans="1:4" ht="20.25" customHeight="1">
      <c r="A93" s="163" t="s">
        <v>979</v>
      </c>
      <c r="B93" s="163" t="s">
        <v>1095</v>
      </c>
      <c r="C93" s="163" t="s">
        <v>1096</v>
      </c>
      <c r="D93" s="137"/>
    </row>
    <row r="94" spans="1:4" ht="20.25" customHeight="1">
      <c r="A94" s="163" t="s">
        <v>979</v>
      </c>
      <c r="B94" s="163" t="s">
        <v>1097</v>
      </c>
      <c r="C94" s="163" t="s">
        <v>1098</v>
      </c>
      <c r="D94" s="137" t="s">
        <v>24</v>
      </c>
    </row>
    <row r="95" spans="1:4" ht="20.25" customHeight="1">
      <c r="A95" s="163" t="s">
        <v>979</v>
      </c>
      <c r="B95" s="163" t="s">
        <v>1099</v>
      </c>
      <c r="C95" s="163" t="s">
        <v>1100</v>
      </c>
      <c r="D95" s="137"/>
    </row>
    <row r="96" spans="1:4" ht="20.25" customHeight="1">
      <c r="A96" s="163" t="s">
        <v>979</v>
      </c>
      <c r="B96" s="163" t="s">
        <v>1101</v>
      </c>
      <c r="C96" s="163" t="s">
        <v>1102</v>
      </c>
      <c r="D96" s="137"/>
    </row>
    <row r="97" spans="1:4" ht="20.25" customHeight="1">
      <c r="A97" s="163" t="s">
        <v>979</v>
      </c>
      <c r="B97" s="163" t="s">
        <v>1103</v>
      </c>
      <c r="C97" s="163" t="s">
        <v>1104</v>
      </c>
      <c r="D97" s="142">
        <v>44877</v>
      </c>
    </row>
    <row r="98" spans="1:4" ht="20.25" customHeight="1">
      <c r="A98" s="163" t="s">
        <v>979</v>
      </c>
      <c r="B98" s="163" t="s">
        <v>1105</v>
      </c>
      <c r="C98" s="163" t="s">
        <v>1106</v>
      </c>
      <c r="D98" s="142">
        <v>44876</v>
      </c>
    </row>
    <row r="99" spans="1:4" ht="20.25" customHeight="1">
      <c r="A99" s="163" t="s">
        <v>979</v>
      </c>
      <c r="B99" s="163" t="s">
        <v>1107</v>
      </c>
      <c r="C99" s="163" t="s">
        <v>1108</v>
      </c>
      <c r="D99" s="142">
        <v>44910</v>
      </c>
    </row>
    <row r="100" spans="1:4" ht="20.25" customHeight="1">
      <c r="A100" s="163" t="s">
        <v>979</v>
      </c>
      <c r="B100" s="163" t="s">
        <v>1109</v>
      </c>
      <c r="C100" s="163" t="s">
        <v>1110</v>
      </c>
      <c r="D100" s="148">
        <v>45148</v>
      </c>
    </row>
    <row r="101" spans="1:4" ht="20.25" customHeight="1">
      <c r="A101" s="163" t="s">
        <v>979</v>
      </c>
      <c r="B101" s="163" t="s">
        <v>1111</v>
      </c>
      <c r="C101" s="163" t="s">
        <v>1112</v>
      </c>
      <c r="D101" s="148">
        <v>45065</v>
      </c>
    </row>
    <row r="102" spans="1:4" ht="20.25" customHeight="1">
      <c r="A102" s="163" t="s">
        <v>979</v>
      </c>
      <c r="B102" s="163" t="s">
        <v>1113</v>
      </c>
      <c r="C102" s="163" t="s">
        <v>1114</v>
      </c>
      <c r="D102" s="148">
        <v>45049</v>
      </c>
    </row>
    <row r="103" spans="1:4" ht="20.25" customHeight="1">
      <c r="A103" s="163" t="s">
        <v>979</v>
      </c>
      <c r="B103" s="163" t="s">
        <v>1115</v>
      </c>
      <c r="C103" s="163" t="s">
        <v>1116</v>
      </c>
      <c r="D103" s="148">
        <v>45065</v>
      </c>
    </row>
    <row r="104" spans="1:4" ht="20.25" customHeight="1">
      <c r="A104" s="163" t="s">
        <v>979</v>
      </c>
      <c r="B104" s="163" t="s">
        <v>1117</v>
      </c>
      <c r="C104" s="163" t="s">
        <v>1118</v>
      </c>
      <c r="D104" s="142">
        <v>44922</v>
      </c>
    </row>
    <row r="105" spans="1:4" ht="20.25" customHeight="1">
      <c r="A105" s="163" t="s">
        <v>979</v>
      </c>
      <c r="B105" s="163" t="s">
        <v>1119</v>
      </c>
      <c r="C105" s="163" t="s">
        <v>1120</v>
      </c>
      <c r="D105" s="142">
        <v>44961</v>
      </c>
    </row>
    <row r="106" spans="1:4" ht="20.25" customHeight="1">
      <c r="A106" s="163" t="s">
        <v>979</v>
      </c>
      <c r="B106" s="163" t="s">
        <v>1121</v>
      </c>
      <c r="C106" s="163" t="s">
        <v>1122</v>
      </c>
      <c r="D106" s="137" t="s">
        <v>24</v>
      </c>
    </row>
    <row r="107" spans="1:4" ht="20.25" customHeight="1">
      <c r="A107" s="163" t="s">
        <v>979</v>
      </c>
      <c r="B107" s="163" t="s">
        <v>1123</v>
      </c>
      <c r="C107" s="163" t="s">
        <v>1124</v>
      </c>
      <c r="D107" s="148">
        <v>45049</v>
      </c>
    </row>
    <row r="108" spans="1:4" ht="20.25" customHeight="1">
      <c r="A108" s="163" t="s">
        <v>979</v>
      </c>
      <c r="B108" s="288" t="s">
        <v>1125</v>
      </c>
      <c r="C108" s="289" t="s">
        <v>1126</v>
      </c>
      <c r="D108" s="137" t="s">
        <v>24</v>
      </c>
    </row>
    <row r="109" spans="1:4" ht="20.25" customHeight="1">
      <c r="A109" s="163" t="s">
        <v>979</v>
      </c>
      <c r="B109" s="288" t="s">
        <v>1127</v>
      </c>
      <c r="C109" s="165" t="s">
        <v>1128</v>
      </c>
      <c r="D109" s="137" t="s">
        <v>24</v>
      </c>
    </row>
    <row r="110" spans="1:4" ht="20.25" customHeight="1">
      <c r="B110" s="166"/>
      <c r="C110" s="167"/>
      <c r="D110" s="137" t="s">
        <v>24</v>
      </c>
    </row>
    <row r="111" spans="1:4" ht="20.25" customHeight="1">
      <c r="B111" s="109"/>
      <c r="C111" s="168"/>
      <c r="D111" s="142">
        <v>44910</v>
      </c>
    </row>
    <row r="112" spans="1:4" ht="20.25" customHeight="1">
      <c r="B112" s="109"/>
      <c r="C112" s="168"/>
      <c r="D112" s="142">
        <v>44840</v>
      </c>
    </row>
    <row r="113" spans="2:4" ht="20.25" customHeight="1">
      <c r="B113" s="109"/>
      <c r="C113" s="168"/>
      <c r="D113" s="137" t="s">
        <v>24</v>
      </c>
    </row>
    <row r="114" spans="2:4" ht="20.25" customHeight="1">
      <c r="B114" s="109"/>
      <c r="C114" s="168"/>
      <c r="D114" s="137" t="s">
        <v>24</v>
      </c>
    </row>
    <row r="115" spans="2:4" ht="20.25" customHeight="1">
      <c r="B115" s="109"/>
      <c r="C115" s="168"/>
      <c r="D115" s="142">
        <v>44877</v>
      </c>
    </row>
    <row r="116" spans="2:4" ht="20.25" customHeight="1">
      <c r="B116" s="109"/>
      <c r="C116" s="168"/>
      <c r="D116" s="137" t="s">
        <v>24</v>
      </c>
    </row>
    <row r="117" spans="2:4" ht="20.25" customHeight="1">
      <c r="B117" s="109"/>
      <c r="D117" s="137" t="s">
        <v>24</v>
      </c>
    </row>
    <row r="118" spans="2:4" ht="20.25" customHeight="1">
      <c r="B118" s="109"/>
      <c r="D118" s="142">
        <v>44840</v>
      </c>
    </row>
    <row r="119" spans="2:4" ht="20.25" customHeight="1">
      <c r="B119" s="109"/>
      <c r="D119" s="137" t="s">
        <v>24</v>
      </c>
    </row>
    <row r="120" spans="2:4" ht="20.25" customHeight="1">
      <c r="B120" s="109"/>
      <c r="D120" s="137" t="s">
        <v>24</v>
      </c>
    </row>
    <row r="121" spans="2:4" ht="20.25" customHeight="1">
      <c r="B121" s="109"/>
      <c r="D121" s="137" t="s">
        <v>24</v>
      </c>
    </row>
    <row r="122" spans="2:4" ht="20.25" customHeight="1">
      <c r="B122" s="109"/>
      <c r="D122" s="137" t="s">
        <v>24</v>
      </c>
    </row>
    <row r="123" spans="2:4" ht="20.25" customHeight="1">
      <c r="B123" s="120" t="s">
        <v>1129</v>
      </c>
      <c r="D123" s="137" t="s">
        <v>24</v>
      </c>
    </row>
    <row r="124" spans="2:4" ht="20.25" customHeight="1">
      <c r="B124" s="120" t="s">
        <v>980</v>
      </c>
      <c r="D124" s="137" t="s">
        <v>24</v>
      </c>
    </row>
    <row r="125" spans="2:4" ht="20.25" customHeight="1">
      <c r="B125" s="109" t="s">
        <v>1130</v>
      </c>
      <c r="D125" s="137" t="s">
        <v>24</v>
      </c>
    </row>
    <row r="126" spans="2:4" ht="20.25" customHeight="1">
      <c r="B126" s="109" t="s">
        <v>1131</v>
      </c>
      <c r="D126" s="137" t="s">
        <v>24</v>
      </c>
    </row>
    <row r="127" spans="2:4" ht="20.25" customHeight="1">
      <c r="B127" s="109" t="s">
        <v>1132</v>
      </c>
      <c r="D127" s="137" t="s">
        <v>24</v>
      </c>
    </row>
    <row r="128" spans="2:4" ht="20.25" customHeight="1">
      <c r="B128" s="109" t="s">
        <v>1133</v>
      </c>
      <c r="D128" s="137"/>
    </row>
    <row r="129" spans="2:4" ht="20.25" customHeight="1">
      <c r="B129" s="109" t="s">
        <v>1134</v>
      </c>
      <c r="D129" s="137"/>
    </row>
    <row r="130" spans="2:4" ht="20.25" customHeight="1">
      <c r="B130" s="109" t="s">
        <v>1135</v>
      </c>
      <c r="D130" s="162">
        <v>45013</v>
      </c>
    </row>
    <row r="131" spans="2:4" ht="20.25" customHeight="1">
      <c r="B131" s="109" t="s">
        <v>1136</v>
      </c>
      <c r="D131" s="162">
        <v>45013</v>
      </c>
    </row>
    <row r="132" spans="2:4" ht="20.25" customHeight="1">
      <c r="B132" s="109" t="s">
        <v>1137</v>
      </c>
      <c r="D132" s="137" t="s">
        <v>24</v>
      </c>
    </row>
    <row r="133" spans="2:4" ht="20.25" customHeight="1">
      <c r="B133" s="120" t="s">
        <v>983</v>
      </c>
      <c r="D133" s="137" t="s">
        <v>24</v>
      </c>
    </row>
    <row r="134" spans="2:4" ht="20.25" customHeight="1">
      <c r="B134" s="109" t="s">
        <v>1138</v>
      </c>
      <c r="D134" s="142">
        <v>44853</v>
      </c>
    </row>
    <row r="135" spans="2:4" ht="20.25" customHeight="1">
      <c r="B135" s="109" t="s">
        <v>1139</v>
      </c>
      <c r="D135" s="142">
        <v>44840</v>
      </c>
    </row>
    <row r="136" spans="2:4" ht="20.25" customHeight="1">
      <c r="B136" s="109" t="s">
        <v>1140</v>
      </c>
      <c r="D136" s="142">
        <v>44840</v>
      </c>
    </row>
    <row r="137" spans="2:4" ht="20.25" customHeight="1">
      <c r="B137" s="109" t="s">
        <v>1141</v>
      </c>
      <c r="D137" s="144"/>
    </row>
    <row r="138" spans="2:4" ht="20.25" customHeight="1">
      <c r="B138" s="120" t="s">
        <v>987</v>
      </c>
      <c r="D138" s="142">
        <v>44910</v>
      </c>
    </row>
    <row r="139" spans="2:4" ht="20.25" customHeight="1">
      <c r="B139" s="109" t="s">
        <v>1142</v>
      </c>
      <c r="D139" s="142">
        <v>44961</v>
      </c>
    </row>
    <row r="140" spans="2:4" ht="20.25" customHeight="1">
      <c r="B140" s="109" t="s">
        <v>1143</v>
      </c>
      <c r="D140" s="137" t="s">
        <v>24</v>
      </c>
    </row>
    <row r="141" spans="2:4" ht="20.25" customHeight="1">
      <c r="B141" s="109" t="s">
        <v>1144</v>
      </c>
      <c r="D141" s="137" t="s">
        <v>24</v>
      </c>
    </row>
    <row r="142" spans="2:4" ht="20.25" customHeight="1">
      <c r="B142" s="120" t="s">
        <v>991</v>
      </c>
      <c r="D142" s="142">
        <v>44862</v>
      </c>
    </row>
    <row r="143" spans="2:4" ht="20.25" customHeight="1">
      <c r="B143" s="109" t="s">
        <v>1145</v>
      </c>
      <c r="D143" s="142">
        <v>44877</v>
      </c>
    </row>
    <row r="144" spans="2:4" ht="20.25" customHeight="1">
      <c r="B144" s="109" t="s">
        <v>1146</v>
      </c>
      <c r="D144" s="142">
        <v>44840</v>
      </c>
    </row>
    <row r="145" spans="2:4" ht="20.25" customHeight="1">
      <c r="B145" s="120" t="s">
        <v>994</v>
      </c>
      <c r="D145" s="137" t="s">
        <v>24</v>
      </c>
    </row>
    <row r="146" spans="2:4" ht="20.25" customHeight="1">
      <c r="B146" s="109" t="s">
        <v>997</v>
      </c>
      <c r="D146" s="142">
        <v>44840</v>
      </c>
    </row>
    <row r="147" spans="2:4" ht="20.25" customHeight="1">
      <c r="B147" s="109" t="s">
        <v>1147</v>
      </c>
      <c r="D147" s="137" t="s">
        <v>24</v>
      </c>
    </row>
    <row r="148" spans="2:4" ht="20.25" customHeight="1">
      <c r="B148" s="109" t="s">
        <v>1148</v>
      </c>
      <c r="D148" s="137" t="s">
        <v>24</v>
      </c>
    </row>
    <row r="149" spans="2:4" ht="20.25" customHeight="1">
      <c r="B149" s="109" t="s">
        <v>1149</v>
      </c>
      <c r="D149" s="142">
        <v>44840</v>
      </c>
    </row>
    <row r="150" spans="2:4" ht="20.25" customHeight="1">
      <c r="B150" s="109" t="s">
        <v>1150</v>
      </c>
      <c r="D150" s="142">
        <v>44877</v>
      </c>
    </row>
    <row r="151" spans="2:4" ht="20.25" customHeight="1">
      <c r="B151" s="109" t="s">
        <v>1151</v>
      </c>
      <c r="D151" s="142">
        <v>44890</v>
      </c>
    </row>
    <row r="152" spans="2:4" ht="20.25" customHeight="1">
      <c r="B152" s="109" t="s">
        <v>1152</v>
      </c>
      <c r="D152" s="142">
        <v>45013</v>
      </c>
    </row>
    <row r="153" spans="2:4" ht="20.25" customHeight="1">
      <c r="B153" s="109" t="s">
        <v>1153</v>
      </c>
      <c r="D153" s="142">
        <v>45013</v>
      </c>
    </row>
    <row r="154" spans="2:4" ht="20.25" customHeight="1">
      <c r="B154" s="109" t="s">
        <v>1154</v>
      </c>
      <c r="D154" s="142"/>
    </row>
    <row r="155" spans="2:4" ht="20.25" customHeight="1">
      <c r="B155" s="109" t="s">
        <v>1155</v>
      </c>
      <c r="D155" s="142"/>
    </row>
    <row r="156" spans="2:4" ht="20.25" customHeight="1">
      <c r="B156" s="109" t="s">
        <v>1156</v>
      </c>
      <c r="D156" s="152"/>
    </row>
    <row r="157" spans="2:4" ht="20.25" customHeight="1">
      <c r="B157" s="109" t="s">
        <v>1157</v>
      </c>
      <c r="D157" s="152"/>
    </row>
    <row r="158" spans="2:4" ht="20.25" customHeight="1">
      <c r="B158" s="109" t="s">
        <v>1158</v>
      </c>
      <c r="D158" s="152"/>
    </row>
    <row r="159" spans="2:4" ht="20.25" customHeight="1">
      <c r="B159" s="120" t="s">
        <v>1000</v>
      </c>
      <c r="D159" s="152"/>
    </row>
    <row r="160" spans="2:4" ht="20.25" customHeight="1">
      <c r="B160" s="109" t="s">
        <v>1159</v>
      </c>
      <c r="D160" s="152"/>
    </row>
    <row r="161" spans="2:4" ht="20.25" customHeight="1">
      <c r="B161" s="120" t="s">
        <v>1002</v>
      </c>
      <c r="D161" s="152"/>
    </row>
    <row r="162" spans="2:4" ht="20.25" customHeight="1">
      <c r="B162" s="109" t="s">
        <v>1160</v>
      </c>
      <c r="D162" s="148">
        <v>45105</v>
      </c>
    </row>
    <row r="163" spans="2:4" ht="20.25" customHeight="1">
      <c r="B163" s="109" t="s">
        <v>1161</v>
      </c>
      <c r="D163" s="149"/>
    </row>
    <row r="164" spans="2:4" ht="20.25" customHeight="1">
      <c r="B164" s="109" t="s">
        <v>1162</v>
      </c>
      <c r="D164" s="152"/>
    </row>
    <row r="165" spans="2:4" ht="20.25" customHeight="1">
      <c r="B165" s="109" t="s">
        <v>1163</v>
      </c>
      <c r="D165" s="152"/>
    </row>
    <row r="166" spans="2:4" ht="20.25" customHeight="1">
      <c r="B166" s="109" t="s">
        <v>1164</v>
      </c>
      <c r="D166" s="152"/>
    </row>
    <row r="167" spans="2:4" ht="20.25" customHeight="1">
      <c r="B167" s="109" t="s">
        <v>1165</v>
      </c>
      <c r="D167" s="148">
        <v>45105</v>
      </c>
    </row>
    <row r="168" spans="2:4" ht="20.25" customHeight="1">
      <c r="B168" s="109" t="s">
        <v>1166</v>
      </c>
      <c r="D168" s="152"/>
    </row>
    <row r="169" spans="2:4" ht="20.25" customHeight="1">
      <c r="B169" s="109" t="s">
        <v>1167</v>
      </c>
      <c r="D169" s="152"/>
    </row>
    <row r="170" spans="2:4" ht="20.25" customHeight="1">
      <c r="B170" s="109" t="s">
        <v>1168</v>
      </c>
      <c r="D170" s="148">
        <v>45049</v>
      </c>
    </row>
    <row r="171" spans="2:4" ht="20.25" customHeight="1">
      <c r="B171" s="109" t="s">
        <v>1169</v>
      </c>
      <c r="D171" s="152"/>
    </row>
    <row r="172" spans="2:4" ht="20.25" customHeight="1">
      <c r="B172" s="109" t="s">
        <v>1006</v>
      </c>
      <c r="D172" s="152"/>
    </row>
    <row r="173" spans="2:4" ht="20.25" customHeight="1">
      <c r="B173" s="109" t="s">
        <v>1170</v>
      </c>
      <c r="D173" s="152"/>
    </row>
    <row r="174" spans="2:4" ht="20.25" customHeight="1">
      <c r="B174" s="109" t="s">
        <v>1171</v>
      </c>
      <c r="D174" s="152"/>
    </row>
    <row r="175" spans="2:4" ht="20.25" customHeight="1">
      <c r="B175" s="109" t="s">
        <v>1172</v>
      </c>
      <c r="D175" s="152"/>
    </row>
    <row r="176" spans="2:4" ht="20.25" customHeight="1">
      <c r="B176" s="109" t="s">
        <v>1173</v>
      </c>
      <c r="D176" s="142">
        <v>45056</v>
      </c>
    </row>
    <row r="177" spans="2:4" ht="20.25" customHeight="1">
      <c r="B177" s="109" t="s">
        <v>1174</v>
      </c>
      <c r="D177" s="142">
        <v>45056</v>
      </c>
    </row>
    <row r="178" spans="2:4" ht="20.25" customHeight="1">
      <c r="B178" s="108" t="s">
        <v>1175</v>
      </c>
      <c r="D178" s="142">
        <v>45056</v>
      </c>
    </row>
    <row r="179" spans="2:4" ht="20.25" customHeight="1">
      <c r="B179" s="109" t="s">
        <v>1176</v>
      </c>
      <c r="D179" s="152"/>
    </row>
    <row r="180" spans="2:4" ht="20.25" customHeight="1">
      <c r="B180" s="109" t="s">
        <v>1008</v>
      </c>
      <c r="D180" s="152"/>
    </row>
    <row r="181" spans="2:4" ht="20.25" customHeight="1">
      <c r="B181" s="109" t="s">
        <v>1177</v>
      </c>
      <c r="D181" s="152"/>
    </row>
    <row r="182" spans="2:4" ht="20.25" customHeight="1">
      <c r="B182" s="109" t="s">
        <v>1178</v>
      </c>
      <c r="D182" s="152"/>
    </row>
    <row r="183" spans="2:4" ht="20.25" customHeight="1">
      <c r="B183" s="109" t="s">
        <v>1179</v>
      </c>
      <c r="D183" s="152"/>
    </row>
    <row r="184" spans="2:4" ht="20.25" customHeight="1">
      <c r="B184" s="109" t="s">
        <v>1180</v>
      </c>
      <c r="D184" s="152"/>
    </row>
    <row r="185" spans="2:4" ht="20.25" customHeight="1">
      <c r="B185" s="120" t="s">
        <v>1011</v>
      </c>
      <c r="D185" s="152"/>
    </row>
    <row r="186" spans="2:4" ht="20.25" customHeight="1">
      <c r="B186" s="109" t="s">
        <v>1181</v>
      </c>
      <c r="D186" s="152"/>
    </row>
    <row r="187" spans="2:4" ht="20.25" customHeight="1">
      <c r="B187" s="109" t="s">
        <v>1182</v>
      </c>
      <c r="D187" s="152"/>
    </row>
    <row r="188" spans="2:4" ht="20.25" customHeight="1">
      <c r="B188" s="109" t="s">
        <v>1183</v>
      </c>
      <c r="D188" s="149"/>
    </row>
    <row r="189" spans="2:4" ht="20.25" customHeight="1">
      <c r="B189" s="109" t="s">
        <v>1184</v>
      </c>
      <c r="D189" s="142">
        <v>45056</v>
      </c>
    </row>
    <row r="190" spans="2:4" ht="20.25" customHeight="1">
      <c r="B190" s="109" t="s">
        <v>1185</v>
      </c>
      <c r="D190" s="148">
        <v>45148</v>
      </c>
    </row>
    <row r="191" spans="2:4" ht="20.25" customHeight="1">
      <c r="B191" s="109" t="s">
        <v>1186</v>
      </c>
      <c r="D191" s="145"/>
    </row>
    <row r="192" spans="2:4" ht="20.25" customHeight="1">
      <c r="B192" s="109" t="s">
        <v>1013</v>
      </c>
      <c r="D192" s="145"/>
    </row>
    <row r="193" spans="2:4" ht="20.25" customHeight="1">
      <c r="B193" s="109" t="s">
        <v>1187</v>
      </c>
      <c r="D193" s="145"/>
    </row>
    <row r="194" spans="2:4" ht="20.25" customHeight="1">
      <c r="B194" s="109" t="s">
        <v>1188</v>
      </c>
      <c r="D194" s="145"/>
    </row>
    <row r="195" spans="2:4" ht="20.25" customHeight="1">
      <c r="B195" s="109" t="s">
        <v>1189</v>
      </c>
      <c r="D195" s="145"/>
    </row>
    <row r="196" spans="2:4" ht="20.25" customHeight="1">
      <c r="B196" s="109" t="s">
        <v>1190</v>
      </c>
      <c r="D196" s="145"/>
    </row>
    <row r="197" spans="2:4" ht="20.25" customHeight="1">
      <c r="B197" s="109" t="s">
        <v>1191</v>
      </c>
      <c r="D197" s="145"/>
    </row>
    <row r="198" spans="2:4" ht="20.25" customHeight="1">
      <c r="B198" s="109" t="s">
        <v>1192</v>
      </c>
      <c r="D198" s="145"/>
    </row>
    <row r="199" spans="2:4" ht="20.25" customHeight="1">
      <c r="B199" s="109" t="s">
        <v>1015</v>
      </c>
      <c r="D199" s="145"/>
    </row>
    <row r="200" spans="2:4" ht="20.25" customHeight="1">
      <c r="B200" s="109" t="s">
        <v>1018</v>
      </c>
      <c r="D200" s="145"/>
    </row>
    <row r="201" spans="2:4" ht="20.25" customHeight="1">
      <c r="B201" s="109" t="s">
        <v>1193</v>
      </c>
      <c r="D201" s="145"/>
    </row>
    <row r="202" spans="2:4" ht="20.25" customHeight="1">
      <c r="B202" s="109" t="s">
        <v>1194</v>
      </c>
      <c r="D202" s="145"/>
    </row>
    <row r="203" spans="2:4" ht="20.25" customHeight="1">
      <c r="B203" s="109" t="s">
        <v>1195</v>
      </c>
      <c r="D203" s="145"/>
    </row>
    <row r="204" spans="2:4" ht="20.25" customHeight="1">
      <c r="B204" s="120" t="s">
        <v>1021</v>
      </c>
      <c r="D204" s="145"/>
    </row>
    <row r="205" spans="2:4" ht="20.25" customHeight="1">
      <c r="B205" s="109" t="s">
        <v>1196</v>
      </c>
      <c r="D205" s="145"/>
    </row>
    <row r="206" spans="2:4" ht="20.25" customHeight="1">
      <c r="B206" s="109" t="s">
        <v>1197</v>
      </c>
      <c r="D206" s="145"/>
    </row>
    <row r="207" spans="2:4" ht="20.25" customHeight="1">
      <c r="B207" s="109" t="s">
        <v>1198</v>
      </c>
      <c r="D207" s="145"/>
    </row>
    <row r="208" spans="2:4" ht="20.25" customHeight="1">
      <c r="B208" s="109" t="s">
        <v>1199</v>
      </c>
      <c r="D208" s="145"/>
    </row>
    <row r="209" spans="2:4" ht="20.25" customHeight="1">
      <c r="B209" s="109" t="s">
        <v>1200</v>
      </c>
      <c r="D209" s="145"/>
    </row>
    <row r="210" spans="2:4" ht="20.25" customHeight="1">
      <c r="B210" s="109" t="s">
        <v>1201</v>
      </c>
      <c r="D210" s="148">
        <v>45105</v>
      </c>
    </row>
    <row r="211" spans="2:4" ht="20.25" customHeight="1">
      <c r="B211" s="109" t="s">
        <v>1202</v>
      </c>
      <c r="D211" s="142">
        <v>44992</v>
      </c>
    </row>
    <row r="212" spans="2:4" ht="20.25" customHeight="1">
      <c r="B212" s="120" t="s">
        <v>1024</v>
      </c>
      <c r="D212" s="142">
        <v>45056</v>
      </c>
    </row>
    <row r="213" spans="2:4" ht="20.25" customHeight="1">
      <c r="B213" s="109" t="s">
        <v>1203</v>
      </c>
      <c r="D213" s="142">
        <v>44992</v>
      </c>
    </row>
    <row r="214" spans="2:4" ht="20.25" customHeight="1">
      <c r="B214" s="109" t="s">
        <v>1204</v>
      </c>
      <c r="D214" s="142">
        <v>45056</v>
      </c>
    </row>
    <row r="215" spans="2:4" ht="20.25" customHeight="1">
      <c r="B215" s="109" t="s">
        <v>1205</v>
      </c>
      <c r="D215" s="151">
        <v>45111</v>
      </c>
    </row>
    <row r="216" spans="2:4" ht="20.25" customHeight="1">
      <c r="B216" s="109" t="s">
        <v>1206</v>
      </c>
      <c r="D216" s="142">
        <v>45056</v>
      </c>
    </row>
    <row r="217" spans="2:4" ht="20.25" customHeight="1">
      <c r="B217" s="120" t="s">
        <v>1207</v>
      </c>
      <c r="D217" s="145"/>
    </row>
    <row r="218" spans="2:4" ht="20.25" customHeight="1">
      <c r="B218" s="109" t="s">
        <v>1208</v>
      </c>
      <c r="D218" s="145"/>
    </row>
    <row r="219" spans="2:4" ht="20.25" customHeight="1">
      <c r="B219" s="109" t="s">
        <v>1209</v>
      </c>
      <c r="D219" s="142">
        <v>45056</v>
      </c>
    </row>
    <row r="220" spans="2:4" ht="20.25" customHeight="1">
      <c r="B220" s="109" t="s">
        <v>1210</v>
      </c>
      <c r="D220" s="142">
        <v>45056</v>
      </c>
    </row>
    <row r="221" spans="2:4" ht="20.25" customHeight="1">
      <c r="B221" s="109" t="s">
        <v>1211</v>
      </c>
      <c r="D221" s="142">
        <v>45056</v>
      </c>
    </row>
    <row r="222" spans="2:4" ht="20.25" customHeight="1">
      <c r="B222" s="109" t="s">
        <v>1212</v>
      </c>
      <c r="D222" s="142">
        <v>45097</v>
      </c>
    </row>
    <row r="223" spans="2:4" ht="20.25" customHeight="1">
      <c r="B223" s="109" t="s">
        <v>1213</v>
      </c>
      <c r="D223" s="151">
        <v>45111</v>
      </c>
    </row>
    <row r="224" spans="2:4" ht="20.25" customHeight="1">
      <c r="B224" s="109" t="s">
        <v>1214</v>
      </c>
      <c r="D224" s="151">
        <v>45111</v>
      </c>
    </row>
    <row r="225" spans="2:4" ht="20.25" customHeight="1">
      <c r="B225" s="109" t="s">
        <v>1215</v>
      </c>
      <c r="D225" s="151">
        <v>45111</v>
      </c>
    </row>
    <row r="226" spans="2:4" ht="20.25" customHeight="1">
      <c r="B226" s="109" t="s">
        <v>1216</v>
      </c>
      <c r="D226" s="142">
        <v>45097</v>
      </c>
    </row>
    <row r="227" spans="2:4" ht="20.25" customHeight="1">
      <c r="B227" s="109" t="s">
        <v>1217</v>
      </c>
      <c r="D227" s="151">
        <v>45111</v>
      </c>
    </row>
    <row r="228" spans="2:4" ht="20.25" customHeight="1">
      <c r="B228" s="109" t="s">
        <v>1218</v>
      </c>
      <c r="D228" s="151">
        <v>45111</v>
      </c>
    </row>
    <row r="229" spans="2:4" ht="20.25" customHeight="1">
      <c r="B229" s="109" t="s">
        <v>1219</v>
      </c>
      <c r="D229" s="142">
        <v>45097</v>
      </c>
    </row>
    <row r="230" spans="2:4" ht="20.25" customHeight="1">
      <c r="B230" s="109" t="s">
        <v>1026</v>
      </c>
      <c r="D230" s="142">
        <v>45097</v>
      </c>
    </row>
    <row r="231" spans="2:4" ht="20.25" customHeight="1">
      <c r="B231" s="109" t="s">
        <v>1220</v>
      </c>
      <c r="D231" s="142">
        <v>45097</v>
      </c>
    </row>
    <row r="232" spans="2:4" ht="20.25" customHeight="1">
      <c r="B232" s="109" t="s">
        <v>1221</v>
      </c>
      <c r="D232" s="149"/>
    </row>
    <row r="233" spans="2:4" ht="20.25" customHeight="1">
      <c r="B233" s="109" t="s">
        <v>1222</v>
      </c>
      <c r="D233" s="151">
        <v>45111</v>
      </c>
    </row>
    <row r="234" spans="2:4" ht="20.25" customHeight="1">
      <c r="B234" s="109" t="s">
        <v>1223</v>
      </c>
      <c r="D234" s="142">
        <v>45097</v>
      </c>
    </row>
    <row r="235" spans="2:4" ht="20.25" customHeight="1">
      <c r="B235" s="109" t="s">
        <v>1224</v>
      </c>
      <c r="D235" s="148">
        <v>45148</v>
      </c>
    </row>
    <row r="236" spans="2:4" ht="20.25" customHeight="1">
      <c r="B236" s="109" t="s">
        <v>1225</v>
      </c>
      <c r="D236" s="151">
        <v>45111</v>
      </c>
    </row>
    <row r="237" spans="2:4" ht="20.25" customHeight="1">
      <c r="B237" s="109" t="s">
        <v>1226</v>
      </c>
      <c r="D237" s="152"/>
    </row>
    <row r="238" spans="2:4" ht="20.25" customHeight="1">
      <c r="B238" s="109" t="s">
        <v>1227</v>
      </c>
      <c r="D238" s="142">
        <v>44992</v>
      </c>
    </row>
    <row r="239" spans="2:4" ht="20.25" customHeight="1">
      <c r="B239" s="109" t="s">
        <v>1228</v>
      </c>
      <c r="D239" s="142">
        <v>45097</v>
      </c>
    </row>
    <row r="240" spans="2:4" ht="20.25" customHeight="1">
      <c r="B240" s="109" t="s">
        <v>1229</v>
      </c>
      <c r="D240" s="142">
        <v>45097</v>
      </c>
    </row>
    <row r="241" spans="2:4" ht="20.25" customHeight="1">
      <c r="B241" s="109" t="s">
        <v>1230</v>
      </c>
      <c r="D241" s="142">
        <v>45097</v>
      </c>
    </row>
    <row r="242" spans="2:4" ht="20.25" customHeight="1">
      <c r="B242" s="109" t="s">
        <v>1231</v>
      </c>
      <c r="D242" s="152"/>
    </row>
    <row r="243" spans="2:4" ht="20.25" customHeight="1">
      <c r="B243" s="109" t="s">
        <v>1232</v>
      </c>
      <c r="D243" s="152"/>
    </row>
    <row r="244" spans="2:4" ht="20.25" customHeight="1">
      <c r="B244" s="109" t="s">
        <v>1233</v>
      </c>
      <c r="D244" s="142">
        <v>45097</v>
      </c>
    </row>
    <row r="245" spans="2:4" ht="20.25" customHeight="1">
      <c r="B245" s="109" t="s">
        <v>1234</v>
      </c>
      <c r="D245" s="142">
        <v>45097</v>
      </c>
    </row>
    <row r="246" spans="2:4" ht="20.25" customHeight="1">
      <c r="B246" s="109" t="s">
        <v>1235</v>
      </c>
      <c r="D246" s="151">
        <v>45111</v>
      </c>
    </row>
    <row r="247" spans="2:4" ht="20.25" customHeight="1">
      <c r="B247" s="109" t="s">
        <v>1236</v>
      </c>
      <c r="D247" s="142">
        <v>44961</v>
      </c>
    </row>
    <row r="248" spans="2:4" ht="20.25" customHeight="1">
      <c r="B248" s="109" t="s">
        <v>1237</v>
      </c>
      <c r="D248" s="142">
        <v>45097</v>
      </c>
    </row>
    <row r="249" spans="2:4" ht="20.25" customHeight="1">
      <c r="B249" s="109" t="s">
        <v>1238</v>
      </c>
      <c r="D249" s="148">
        <v>45148</v>
      </c>
    </row>
    <row r="250" spans="2:4" ht="20.25" customHeight="1">
      <c r="B250" s="109" t="s">
        <v>1239</v>
      </c>
      <c r="D250" s="151">
        <v>45111</v>
      </c>
    </row>
    <row r="251" spans="2:4" ht="20.25" customHeight="1">
      <c r="B251" s="109" t="s">
        <v>1240</v>
      </c>
      <c r="D251" s="152"/>
    </row>
    <row r="252" spans="2:4" ht="20.25" customHeight="1">
      <c r="B252" s="109" t="s">
        <v>1241</v>
      </c>
      <c r="D252" s="152"/>
    </row>
    <row r="253" spans="2:4" ht="20.25" customHeight="1">
      <c r="B253" s="109" t="s">
        <v>1242</v>
      </c>
      <c r="D253" s="152"/>
    </row>
    <row r="254" spans="2:4" ht="20.25" customHeight="1">
      <c r="B254" s="109" t="s">
        <v>1243</v>
      </c>
      <c r="D254" s="142">
        <v>45097</v>
      </c>
    </row>
    <row r="255" spans="2:4" ht="20.25" customHeight="1">
      <c r="B255" s="109" t="s">
        <v>1244</v>
      </c>
      <c r="D255" s="148">
        <v>45148</v>
      </c>
    </row>
    <row r="256" spans="2:4" ht="20.25" customHeight="1">
      <c r="B256" s="109" t="s">
        <v>1245</v>
      </c>
      <c r="D256" s="151">
        <v>45111</v>
      </c>
    </row>
    <row r="257" spans="2:4" ht="20.25" customHeight="1">
      <c r="B257" s="109" t="s">
        <v>1246</v>
      </c>
      <c r="D257" s="148">
        <v>45148</v>
      </c>
    </row>
    <row r="258" spans="2:4" ht="20.25" customHeight="1">
      <c r="B258" s="109" t="s">
        <v>1247</v>
      </c>
      <c r="D258" s="148">
        <v>45148</v>
      </c>
    </row>
    <row r="259" spans="2:4" ht="20.25" customHeight="1">
      <c r="B259" s="109" t="s">
        <v>1029</v>
      </c>
      <c r="D259" s="142">
        <v>45097</v>
      </c>
    </row>
    <row r="260" spans="2:4" ht="20.25" customHeight="1">
      <c r="B260" s="109" t="s">
        <v>1248</v>
      </c>
      <c r="D260" s="152"/>
    </row>
    <row r="261" spans="2:4" ht="20.25" customHeight="1">
      <c r="B261" s="109" t="s">
        <v>1249</v>
      </c>
      <c r="D261" s="151">
        <v>45111</v>
      </c>
    </row>
    <row r="262" spans="2:4" ht="20.25" customHeight="1">
      <c r="B262" s="109" t="s">
        <v>1250</v>
      </c>
      <c r="D262" s="151">
        <v>45111</v>
      </c>
    </row>
    <row r="263" spans="2:4" ht="20.25" customHeight="1">
      <c r="B263" s="109" t="s">
        <v>1251</v>
      </c>
      <c r="D263" s="142">
        <v>45097</v>
      </c>
    </row>
    <row r="264" spans="2:4" ht="20.25" customHeight="1">
      <c r="B264" s="109" t="s">
        <v>1031</v>
      </c>
      <c r="D264" s="151">
        <v>45111</v>
      </c>
    </row>
    <row r="265" spans="2:4" ht="20.25" customHeight="1">
      <c r="B265" s="109" t="s">
        <v>1252</v>
      </c>
      <c r="D265" s="151">
        <v>45111</v>
      </c>
    </row>
    <row r="266" spans="2:4" ht="20.25" customHeight="1">
      <c r="B266" s="109" t="s">
        <v>1253</v>
      </c>
      <c r="D266" s="142">
        <v>45097</v>
      </c>
    </row>
    <row r="267" spans="2:4" ht="20.25" customHeight="1">
      <c r="B267" s="109" t="s">
        <v>1254</v>
      </c>
      <c r="D267" s="142">
        <v>44992</v>
      </c>
    </row>
    <row r="268" spans="2:4" ht="20.25" customHeight="1">
      <c r="B268" s="109" t="s">
        <v>1255</v>
      </c>
      <c r="D268" s="177"/>
    </row>
    <row r="269" spans="2:4" ht="20.25" customHeight="1">
      <c r="B269" s="109" t="s">
        <v>1033</v>
      </c>
      <c r="D269" s="152"/>
    </row>
    <row r="270" spans="2:4" ht="20.25" customHeight="1">
      <c r="B270" s="109" t="s">
        <v>1035</v>
      </c>
      <c r="D270" s="151">
        <v>45111</v>
      </c>
    </row>
    <row r="271" spans="2:4" ht="20.25" customHeight="1">
      <c r="B271" s="109" t="s">
        <v>1037</v>
      </c>
      <c r="D271" s="152"/>
    </row>
    <row r="272" spans="2:4" ht="20.25" customHeight="1">
      <c r="B272" s="109" t="s">
        <v>1256</v>
      </c>
      <c r="D272" s="149"/>
    </row>
    <row r="273" spans="2:4" ht="20.25" customHeight="1">
      <c r="B273" s="109" t="s">
        <v>1257</v>
      </c>
      <c r="D273" s="152"/>
    </row>
    <row r="274" spans="2:4" ht="20.25" customHeight="1">
      <c r="B274" s="109" t="s">
        <v>1258</v>
      </c>
      <c r="D274" s="152"/>
    </row>
    <row r="275" spans="2:4" ht="20.25" customHeight="1">
      <c r="B275" s="109" t="s">
        <v>1259</v>
      </c>
      <c r="D275" s="148">
        <v>45105</v>
      </c>
    </row>
    <row r="276" spans="2:4" ht="20.25" customHeight="1">
      <c r="B276" s="109" t="s">
        <v>1260</v>
      </c>
      <c r="D276" s="142">
        <v>44992</v>
      </c>
    </row>
    <row r="277" spans="2:4" ht="20.25" customHeight="1">
      <c r="B277" s="109" t="s">
        <v>1261</v>
      </c>
      <c r="D277" s="148">
        <v>45148</v>
      </c>
    </row>
    <row r="278" spans="2:4" ht="20.25" customHeight="1">
      <c r="B278" s="109" t="s">
        <v>1262</v>
      </c>
      <c r="D278" s="137"/>
    </row>
    <row r="279" spans="2:4" ht="20.25" customHeight="1">
      <c r="B279" s="109" t="s">
        <v>1263</v>
      </c>
      <c r="D279" s="177"/>
    </row>
    <row r="280" spans="2:4" ht="20.25" customHeight="1">
      <c r="B280" s="109" t="s">
        <v>1264</v>
      </c>
      <c r="D280" s="177"/>
    </row>
    <row r="281" spans="2:4" ht="20.25" customHeight="1">
      <c r="B281" s="109" t="s">
        <v>1039</v>
      </c>
      <c r="D281" s="142">
        <v>45097</v>
      </c>
    </row>
    <row r="282" spans="2:4" ht="20.25" customHeight="1">
      <c r="B282" s="109" t="s">
        <v>1265</v>
      </c>
      <c r="D282" s="148">
        <v>45105</v>
      </c>
    </row>
    <row r="283" spans="2:4" ht="20.25" customHeight="1">
      <c r="B283" s="109" t="s">
        <v>1266</v>
      </c>
      <c r="D283" s="142">
        <v>45097</v>
      </c>
    </row>
    <row r="284" spans="2:4" ht="20.25" customHeight="1">
      <c r="B284" s="109" t="s">
        <v>1267</v>
      </c>
      <c r="D284" s="142">
        <v>44992</v>
      </c>
    </row>
    <row r="285" spans="2:4" ht="20.25" customHeight="1">
      <c r="B285" s="109" t="s">
        <v>1041</v>
      </c>
      <c r="D285" s="152"/>
    </row>
    <row r="286" spans="2:4" ht="20.25" customHeight="1">
      <c r="B286" s="109" t="s">
        <v>1268</v>
      </c>
      <c r="D286" s="152"/>
    </row>
    <row r="287" spans="2:4" ht="20.25" customHeight="1">
      <c r="B287" s="109" t="s">
        <v>1269</v>
      </c>
      <c r="D287" s="152"/>
    </row>
    <row r="288" spans="2:4" ht="20.25" customHeight="1">
      <c r="B288" s="109" t="s">
        <v>1270</v>
      </c>
      <c r="D288" s="148">
        <v>45105</v>
      </c>
    </row>
    <row r="289" spans="2:4" ht="20.25" customHeight="1">
      <c r="B289" s="109" t="s">
        <v>1271</v>
      </c>
      <c r="D289" s="148">
        <v>45105</v>
      </c>
    </row>
    <row r="290" spans="2:4" ht="20.25" customHeight="1">
      <c r="B290" s="109" t="s">
        <v>1272</v>
      </c>
      <c r="D290" s="148">
        <v>45148</v>
      </c>
    </row>
    <row r="291" spans="2:4" ht="20.25" customHeight="1">
      <c r="B291" s="109" t="s">
        <v>1043</v>
      </c>
      <c r="D291" s="148">
        <v>45148</v>
      </c>
    </row>
    <row r="292" spans="2:4" ht="20.25" customHeight="1">
      <c r="B292" s="109" t="s">
        <v>1045</v>
      </c>
      <c r="D292" s="148">
        <v>45148</v>
      </c>
    </row>
    <row r="293" spans="2:4" ht="20.25" customHeight="1">
      <c r="B293" s="109" t="s">
        <v>1047</v>
      </c>
      <c r="D293" s="177"/>
    </row>
    <row r="294" spans="2:4" ht="20.25" customHeight="1">
      <c r="B294" s="109" t="s">
        <v>1049</v>
      </c>
      <c r="D294" s="152"/>
    </row>
    <row r="295" spans="2:4" ht="20.25" customHeight="1">
      <c r="B295" s="109" t="s">
        <v>1051</v>
      </c>
      <c r="D295" s="152"/>
    </row>
    <row r="296" spans="2:4" ht="20.25" customHeight="1">
      <c r="B296" s="109" t="s">
        <v>1273</v>
      </c>
      <c r="D296" s="152"/>
    </row>
    <row r="297" spans="2:4" ht="20.25" customHeight="1">
      <c r="B297" s="109" t="s">
        <v>1274</v>
      </c>
      <c r="D297" s="152"/>
    </row>
    <row r="298" spans="2:4" ht="20.25" customHeight="1">
      <c r="B298" s="109" t="s">
        <v>1053</v>
      </c>
      <c r="D298" s="152"/>
    </row>
    <row r="299" spans="2:4" ht="20.25" customHeight="1">
      <c r="B299" s="109" t="s">
        <v>1055</v>
      </c>
      <c r="D299" s="152"/>
    </row>
    <row r="300" spans="2:4" ht="20.25" customHeight="1">
      <c r="B300" s="109" t="s">
        <v>1275</v>
      </c>
      <c r="D300" s="152"/>
    </row>
    <row r="301" spans="2:4" ht="20.25" customHeight="1">
      <c r="B301" s="109" t="s">
        <v>1276</v>
      </c>
      <c r="D301" s="137" t="s">
        <v>24</v>
      </c>
    </row>
    <row r="302" spans="2:4" ht="20.25" customHeight="1">
      <c r="B302" s="109" t="s">
        <v>1277</v>
      </c>
      <c r="D302" s="152"/>
    </row>
    <row r="303" spans="2:4" ht="20.25" customHeight="1">
      <c r="B303" s="108" t="s">
        <v>1278</v>
      </c>
      <c r="D303" s="151">
        <v>45111</v>
      </c>
    </row>
    <row r="304" spans="2:4" ht="20.25" customHeight="1">
      <c r="B304" s="109" t="s">
        <v>1279</v>
      </c>
      <c r="D304" s="151">
        <v>45111</v>
      </c>
    </row>
    <row r="305" spans="2:4" ht="20.25" customHeight="1">
      <c r="B305" s="109" t="s">
        <v>1280</v>
      </c>
      <c r="D305" s="151">
        <v>45111</v>
      </c>
    </row>
    <row r="306" spans="2:4" ht="20.25" customHeight="1">
      <c r="B306" s="109" t="s">
        <v>1281</v>
      </c>
      <c r="D306" s="152"/>
    </row>
    <row r="307" spans="2:4" ht="20.25" customHeight="1">
      <c r="B307" s="109" t="s">
        <v>1282</v>
      </c>
      <c r="D307" s="142">
        <v>45097</v>
      </c>
    </row>
    <row r="308" spans="2:4" ht="20.25" customHeight="1">
      <c r="B308" s="109" t="s">
        <v>1283</v>
      </c>
      <c r="D308" s="152"/>
    </row>
    <row r="309" spans="2:4" ht="20.25" customHeight="1">
      <c r="B309" s="109" t="s">
        <v>1284</v>
      </c>
      <c r="D309" s="152"/>
    </row>
    <row r="310" spans="2:4" ht="20.25" customHeight="1">
      <c r="B310" s="109" t="s">
        <v>1285</v>
      </c>
      <c r="D310" s="152"/>
    </row>
    <row r="311" spans="2:4" ht="20.25" customHeight="1">
      <c r="B311" s="109" t="s">
        <v>1286</v>
      </c>
      <c r="D311" s="151">
        <v>45111</v>
      </c>
    </row>
    <row r="312" spans="2:4" ht="20.25" customHeight="1">
      <c r="B312" s="109" t="s">
        <v>1287</v>
      </c>
      <c r="D312" s="151">
        <v>45111</v>
      </c>
    </row>
    <row r="313" spans="2:4" ht="20.25" customHeight="1">
      <c r="B313" s="109" t="s">
        <v>1288</v>
      </c>
      <c r="D313" s="149"/>
    </row>
    <row r="314" spans="2:4" ht="20.25" customHeight="1">
      <c r="B314" s="109" t="s">
        <v>1289</v>
      </c>
      <c r="D314" s="148" t="s">
        <v>24</v>
      </c>
    </row>
    <row r="315" spans="2:4" ht="20.25" customHeight="1">
      <c r="B315" s="109" t="s">
        <v>1290</v>
      </c>
      <c r="D315" s="152"/>
    </row>
    <row r="316" spans="2:4" ht="20.25" customHeight="1">
      <c r="B316" s="109" t="s">
        <v>1291</v>
      </c>
      <c r="D316" s="151">
        <v>45111</v>
      </c>
    </row>
    <row r="317" spans="2:4" ht="20.25" customHeight="1">
      <c r="B317" s="109" t="s">
        <v>929</v>
      </c>
      <c r="D317" s="152"/>
    </row>
    <row r="318" spans="2:4" ht="20.25" customHeight="1">
      <c r="B318" s="109" t="s">
        <v>945</v>
      </c>
      <c r="D318" s="151">
        <v>45111</v>
      </c>
    </row>
    <row r="319" spans="2:4" ht="20.25" customHeight="1">
      <c r="B319" s="109" t="s">
        <v>1292</v>
      </c>
      <c r="D319" s="152"/>
    </row>
    <row r="320" spans="2:4" ht="20.25" customHeight="1">
      <c r="B320" s="109" t="s">
        <v>1293</v>
      </c>
      <c r="D320" s="152"/>
    </row>
    <row r="321" spans="2:4" ht="20.25" customHeight="1">
      <c r="B321" s="109" t="s">
        <v>1294</v>
      </c>
      <c r="D321" s="148" t="s">
        <v>24</v>
      </c>
    </row>
    <row r="322" spans="2:4" ht="20.25" customHeight="1">
      <c r="B322" s="109" t="s">
        <v>1295</v>
      </c>
      <c r="D322" s="148" t="s">
        <v>24</v>
      </c>
    </row>
    <row r="323" spans="2:4" ht="20.25" customHeight="1">
      <c r="B323" s="109" t="s">
        <v>1296</v>
      </c>
      <c r="D323" s="148">
        <v>45105</v>
      </c>
    </row>
    <row r="324" spans="2:4" ht="20.25" customHeight="1">
      <c r="B324" s="109" t="s">
        <v>1297</v>
      </c>
      <c r="D324" s="152"/>
    </row>
    <row r="325" spans="2:4" ht="20.25" customHeight="1">
      <c r="B325" s="109" t="s">
        <v>1298</v>
      </c>
      <c r="D325" s="152"/>
    </row>
    <row r="326" spans="2:4" ht="20.25" customHeight="1">
      <c r="B326" s="109" t="s">
        <v>1299</v>
      </c>
      <c r="D326" s="149"/>
    </row>
    <row r="327" spans="2:4" ht="20.25" customHeight="1">
      <c r="B327" s="109" t="s">
        <v>1300</v>
      </c>
      <c r="D327" s="152"/>
    </row>
    <row r="328" spans="2:4" ht="20.25" customHeight="1">
      <c r="B328" s="109" t="s">
        <v>1301</v>
      </c>
      <c r="D328" s="142">
        <v>44961</v>
      </c>
    </row>
    <row r="329" spans="2:4" ht="20.25" customHeight="1">
      <c r="B329" s="109" t="s">
        <v>1302</v>
      </c>
      <c r="D329" s="152"/>
    </row>
    <row r="330" spans="2:4" ht="20.25" customHeight="1">
      <c r="B330" s="109" t="s">
        <v>1303</v>
      </c>
      <c r="D330" s="152"/>
    </row>
    <row r="331" spans="2:4" ht="20.25" customHeight="1">
      <c r="B331" s="109" t="s">
        <v>1304</v>
      </c>
      <c r="D331" s="152"/>
    </row>
    <row r="332" spans="2:4" ht="20.25" customHeight="1">
      <c r="B332" s="109" t="s">
        <v>944</v>
      </c>
      <c r="D332" s="148">
        <v>45148</v>
      </c>
    </row>
    <row r="333" spans="2:4" ht="20.25" customHeight="1">
      <c r="B333" s="120" t="s">
        <v>1305</v>
      </c>
      <c r="D333" s="152"/>
    </row>
    <row r="334" spans="2:4" ht="20.25" customHeight="1">
      <c r="B334" s="120" t="s">
        <v>1057</v>
      </c>
      <c r="D334" s="142">
        <v>45097</v>
      </c>
    </row>
    <row r="335" spans="2:4" ht="20.25" customHeight="1">
      <c r="B335" s="109" t="s">
        <v>1306</v>
      </c>
      <c r="D335" s="148">
        <v>45105</v>
      </c>
    </row>
    <row r="336" spans="2:4" ht="20.25" customHeight="1">
      <c r="B336" s="109" t="s">
        <v>1307</v>
      </c>
      <c r="D336" s="152"/>
    </row>
    <row r="337" spans="2:4" ht="20.25" customHeight="1">
      <c r="B337" s="109" t="s">
        <v>1308</v>
      </c>
      <c r="D337" s="152"/>
    </row>
    <row r="338" spans="2:4" ht="20.25" customHeight="1">
      <c r="B338" s="109" t="s">
        <v>1309</v>
      </c>
      <c r="D338" s="152"/>
    </row>
    <row r="339" spans="2:4" ht="20.25" customHeight="1">
      <c r="B339" s="109" t="s">
        <v>1310</v>
      </c>
      <c r="D339" s="142">
        <v>45097</v>
      </c>
    </row>
    <row r="340" spans="2:4" ht="20.25" customHeight="1">
      <c r="B340" s="109" t="s">
        <v>1311</v>
      </c>
      <c r="D340" s="152"/>
    </row>
    <row r="341" spans="2:4" ht="20.25" customHeight="1">
      <c r="B341" s="109" t="s">
        <v>1312</v>
      </c>
      <c r="D341" s="152"/>
    </row>
    <row r="342" spans="2:4" ht="20.25" customHeight="1">
      <c r="B342" s="109" t="s">
        <v>1313</v>
      </c>
      <c r="D342" s="152"/>
    </row>
    <row r="343" spans="2:4" ht="20.25" customHeight="1">
      <c r="B343" s="109" t="s">
        <v>1314</v>
      </c>
      <c r="D343" s="152"/>
    </row>
    <row r="344" spans="2:4" ht="20.25" customHeight="1">
      <c r="B344" s="120" t="s">
        <v>1315</v>
      </c>
      <c r="D344" s="152"/>
    </row>
    <row r="345" spans="2:4" ht="20.25" customHeight="1">
      <c r="B345" s="109" t="s">
        <v>930</v>
      </c>
      <c r="D345" s="152"/>
    </row>
    <row r="346" spans="2:4" ht="20.25" customHeight="1">
      <c r="B346" s="109" t="s">
        <v>1316</v>
      </c>
      <c r="D346" s="152"/>
    </row>
    <row r="347" spans="2:4" ht="20.25" customHeight="1">
      <c r="B347" s="120" t="s">
        <v>1317</v>
      </c>
      <c r="D347" s="152"/>
    </row>
    <row r="348" spans="2:4" ht="20.25" customHeight="1">
      <c r="B348" s="109" t="s">
        <v>1318</v>
      </c>
      <c r="D348" s="152"/>
    </row>
    <row r="349" spans="2:4" ht="20.25" customHeight="1">
      <c r="B349" s="109" t="s">
        <v>1319</v>
      </c>
      <c r="D349" s="152"/>
    </row>
    <row r="350" spans="2:4" ht="20.25" customHeight="1">
      <c r="B350" s="109" t="s">
        <v>1320</v>
      </c>
      <c r="D350" s="151">
        <v>45111</v>
      </c>
    </row>
    <row r="351" spans="2:4" ht="20.25" customHeight="1">
      <c r="B351" s="109" t="s">
        <v>1321</v>
      </c>
      <c r="D351" s="152"/>
    </row>
    <row r="352" spans="2:4" ht="20.25" customHeight="1">
      <c r="B352" s="109" t="s">
        <v>1322</v>
      </c>
      <c r="D352" s="137" t="s">
        <v>24</v>
      </c>
    </row>
    <row r="353" spans="2:4" ht="20.25" customHeight="1">
      <c r="B353" s="109" t="s">
        <v>1323</v>
      </c>
      <c r="D353" s="152"/>
    </row>
    <row r="354" spans="2:4" ht="20.25" customHeight="1">
      <c r="B354" s="109" t="s">
        <v>928</v>
      </c>
      <c r="D354" s="152"/>
    </row>
    <row r="355" spans="2:4" ht="20.25" customHeight="1">
      <c r="B355" s="109" t="s">
        <v>1324</v>
      </c>
      <c r="D355" s="152"/>
    </row>
    <row r="356" spans="2:4" ht="20.25" customHeight="1">
      <c r="B356" s="109" t="s">
        <v>1325</v>
      </c>
      <c r="D356" s="152"/>
    </row>
    <row r="357" spans="2:4" ht="20.25" customHeight="1">
      <c r="B357" s="109" t="s">
        <v>1326</v>
      </c>
      <c r="D357" s="152"/>
    </row>
    <row r="358" spans="2:4" ht="20.25" customHeight="1">
      <c r="B358" s="109" t="s">
        <v>1327</v>
      </c>
      <c r="D358" s="152"/>
    </row>
    <row r="359" spans="2:4" ht="20.25" customHeight="1">
      <c r="B359" s="109" t="s">
        <v>925</v>
      </c>
      <c r="D359" s="152"/>
    </row>
    <row r="360" spans="2:4" ht="20.25" customHeight="1">
      <c r="B360" s="120" t="s">
        <v>1059</v>
      </c>
      <c r="D360" s="152"/>
    </row>
    <row r="361" spans="2:4" ht="20.25" customHeight="1">
      <c r="B361" s="109" t="s">
        <v>1328</v>
      </c>
      <c r="D361" s="152"/>
    </row>
    <row r="362" spans="2:4" ht="20.25" customHeight="1">
      <c r="B362" s="109" t="s">
        <v>1329</v>
      </c>
      <c r="D362" s="152"/>
    </row>
    <row r="363" spans="2:4" ht="20.25" customHeight="1">
      <c r="B363" s="109" t="s">
        <v>1330</v>
      </c>
      <c r="D363" s="152"/>
    </row>
    <row r="364" spans="2:4" ht="20.25" customHeight="1">
      <c r="B364" s="109" t="s">
        <v>1331</v>
      </c>
      <c r="D364" s="152"/>
    </row>
    <row r="365" spans="2:4" ht="20.25" customHeight="1">
      <c r="B365" s="109" t="s">
        <v>1332</v>
      </c>
      <c r="D365" s="152"/>
    </row>
    <row r="366" spans="2:4" ht="20.25" customHeight="1">
      <c r="B366" s="109" t="s">
        <v>1333</v>
      </c>
      <c r="D366" s="152"/>
    </row>
    <row r="367" spans="2:4" ht="20.25" customHeight="1">
      <c r="B367" s="120" t="s">
        <v>1061</v>
      </c>
      <c r="D367" s="152"/>
    </row>
    <row r="368" spans="2:4" ht="20.25" customHeight="1">
      <c r="B368" s="120" t="s">
        <v>1334</v>
      </c>
      <c r="D368" s="152"/>
    </row>
    <row r="369" spans="2:4" ht="20.25" customHeight="1">
      <c r="B369" s="109" t="s">
        <v>1335</v>
      </c>
      <c r="D369" s="152"/>
    </row>
    <row r="370" spans="2:4" ht="20.25" customHeight="1">
      <c r="B370" s="109" t="s">
        <v>1336</v>
      </c>
      <c r="D370" s="152"/>
    </row>
    <row r="371" spans="2:4" ht="20.25" customHeight="1">
      <c r="B371" s="109" t="s">
        <v>949</v>
      </c>
      <c r="D371" s="152"/>
    </row>
    <row r="372" spans="2:4" ht="20.25" customHeight="1">
      <c r="B372" s="109" t="s">
        <v>1337</v>
      </c>
      <c r="D372" s="152"/>
    </row>
    <row r="373" spans="2:4" ht="20.25" customHeight="1">
      <c r="B373" s="109" t="s">
        <v>1338</v>
      </c>
      <c r="D373" s="152"/>
    </row>
    <row r="374" spans="2:4" ht="20.25" customHeight="1">
      <c r="B374" s="109" t="s">
        <v>1339</v>
      </c>
      <c r="D374" s="152"/>
    </row>
    <row r="375" spans="2:4" ht="20.25" customHeight="1">
      <c r="B375" s="109" t="s">
        <v>1340</v>
      </c>
      <c r="D375" s="152"/>
    </row>
    <row r="376" spans="2:4" ht="20.25" customHeight="1">
      <c r="B376" s="109" t="s">
        <v>1341</v>
      </c>
      <c r="D376" s="152"/>
    </row>
    <row r="377" spans="2:4" ht="20.25" customHeight="1">
      <c r="B377" s="120" t="s">
        <v>1342</v>
      </c>
      <c r="D377" s="152"/>
    </row>
    <row r="378" spans="2:4" ht="20.25" customHeight="1">
      <c r="B378" s="120" t="s">
        <v>1343</v>
      </c>
      <c r="D378" s="152"/>
    </row>
    <row r="379" spans="2:4" ht="20.25" customHeight="1">
      <c r="B379" s="109" t="s">
        <v>1344</v>
      </c>
      <c r="D379" s="152"/>
    </row>
    <row r="380" spans="2:4" ht="20.25" customHeight="1">
      <c r="B380" s="109" t="s">
        <v>948</v>
      </c>
      <c r="D380" s="148">
        <v>45148</v>
      </c>
    </row>
    <row r="381" spans="2:4" ht="20.25" customHeight="1">
      <c r="B381" s="120" t="s">
        <v>1345</v>
      </c>
      <c r="D381" s="153"/>
    </row>
    <row r="382" spans="2:4" ht="20.25" customHeight="1">
      <c r="B382" s="109" t="s">
        <v>1346</v>
      </c>
      <c r="D382" s="145"/>
    </row>
    <row r="383" spans="2:4" ht="20.25" customHeight="1">
      <c r="B383" s="109" t="s">
        <v>1347</v>
      </c>
      <c r="D383" s="177"/>
    </row>
    <row r="384" spans="2:4" ht="20.25" customHeight="1">
      <c r="B384" s="109" t="s">
        <v>1348</v>
      </c>
      <c r="D384" s="142">
        <v>44961</v>
      </c>
    </row>
    <row r="385" spans="2:4" ht="20.25" customHeight="1">
      <c r="B385" s="109" t="s">
        <v>1349</v>
      </c>
      <c r="D385" s="142">
        <v>44992</v>
      </c>
    </row>
    <row r="386" spans="2:4" ht="20.25" customHeight="1">
      <c r="B386" s="109" t="s">
        <v>1350</v>
      </c>
      <c r="D386" s="148">
        <v>45105</v>
      </c>
    </row>
    <row r="387" spans="2:4" ht="20.25" customHeight="1">
      <c r="B387" s="109" t="s">
        <v>951</v>
      </c>
      <c r="D387" s="142">
        <v>44961</v>
      </c>
    </row>
    <row r="388" spans="2:4" ht="20.25" customHeight="1">
      <c r="B388" s="109" t="s">
        <v>1351</v>
      </c>
      <c r="D388" s="142">
        <v>44961</v>
      </c>
    </row>
    <row r="389" spans="2:4" ht="20.25" customHeight="1">
      <c r="B389" s="109" t="s">
        <v>1352</v>
      </c>
      <c r="D389" s="152"/>
    </row>
    <row r="390" spans="2:4" ht="20.25" customHeight="1">
      <c r="B390" s="109" t="s">
        <v>1353</v>
      </c>
      <c r="D390" s="142">
        <v>44992</v>
      </c>
    </row>
    <row r="391" spans="2:4" ht="20.25" customHeight="1">
      <c r="B391" s="109" t="s">
        <v>1354</v>
      </c>
      <c r="D391" s="142">
        <v>44961</v>
      </c>
    </row>
    <row r="392" spans="2:4" ht="20.25" customHeight="1">
      <c r="B392" s="109" t="s">
        <v>1355</v>
      </c>
      <c r="D392" s="142">
        <v>44961</v>
      </c>
    </row>
    <row r="393" spans="2:4" ht="20.25" customHeight="1">
      <c r="B393" s="109" t="s">
        <v>1063</v>
      </c>
      <c r="D393" s="142">
        <v>44961</v>
      </c>
    </row>
    <row r="394" spans="2:4" ht="20.25" customHeight="1">
      <c r="B394" s="109" t="s">
        <v>1065</v>
      </c>
      <c r="D394" s="142">
        <v>44961</v>
      </c>
    </row>
    <row r="395" spans="2:4" ht="20.25" customHeight="1">
      <c r="B395" s="109" t="s">
        <v>1067</v>
      </c>
      <c r="D395" s="152"/>
    </row>
    <row r="396" spans="2:4" ht="20.25" customHeight="1">
      <c r="B396" s="109" t="s">
        <v>1069</v>
      </c>
      <c r="D396" s="142">
        <v>44961</v>
      </c>
    </row>
    <row r="397" spans="2:4" ht="20.25" customHeight="1">
      <c r="B397" s="109" t="s">
        <v>1356</v>
      </c>
      <c r="D397" s="152"/>
    </row>
    <row r="398" spans="2:4" ht="20.25" customHeight="1">
      <c r="B398" s="109" t="s">
        <v>1357</v>
      </c>
      <c r="D398" s="152"/>
    </row>
    <row r="399" spans="2:4" ht="20.25" customHeight="1">
      <c r="B399" s="109" t="s">
        <v>1358</v>
      </c>
      <c r="D399" s="148">
        <v>45106</v>
      </c>
    </row>
    <row r="400" spans="2:4" ht="20.25" customHeight="1">
      <c r="B400" s="109" t="s">
        <v>1359</v>
      </c>
      <c r="D400" s="152"/>
    </row>
    <row r="401" spans="2:4" ht="20.25" customHeight="1">
      <c r="B401" s="109" t="s">
        <v>1360</v>
      </c>
      <c r="D401" s="148">
        <v>45105</v>
      </c>
    </row>
    <row r="402" spans="2:4" ht="20.25" customHeight="1">
      <c r="B402" s="109" t="s">
        <v>1361</v>
      </c>
      <c r="D402" s="148">
        <v>45148</v>
      </c>
    </row>
    <row r="403" spans="2:4" ht="20.25" customHeight="1">
      <c r="B403" s="109" t="s">
        <v>953</v>
      </c>
      <c r="D403" s="152"/>
    </row>
    <row r="404" spans="2:4" ht="20.25" customHeight="1">
      <c r="B404" s="109" t="s">
        <v>1362</v>
      </c>
      <c r="D404" s="152"/>
    </row>
    <row r="405" spans="2:4" ht="20.25" customHeight="1">
      <c r="B405" s="109" t="s">
        <v>1363</v>
      </c>
      <c r="D405" s="148">
        <v>45105</v>
      </c>
    </row>
    <row r="406" spans="2:4" ht="20.25" customHeight="1">
      <c r="B406" s="109" t="s">
        <v>1364</v>
      </c>
      <c r="D406" s="137" t="s">
        <v>24</v>
      </c>
    </row>
    <row r="407" spans="2:4" ht="20.25" customHeight="1">
      <c r="B407" s="109" t="s">
        <v>1365</v>
      </c>
      <c r="D407" s="148">
        <v>45148</v>
      </c>
    </row>
    <row r="408" spans="2:4" ht="20.25" customHeight="1">
      <c r="B408" s="109" t="s">
        <v>1366</v>
      </c>
      <c r="D408" s="152"/>
    </row>
    <row r="409" spans="2:4" ht="20.25" customHeight="1">
      <c r="B409" s="120" t="s">
        <v>1071</v>
      </c>
      <c r="D409" s="177"/>
    </row>
    <row r="410" spans="2:4" ht="20.25" customHeight="1">
      <c r="B410" s="109" t="s">
        <v>1073</v>
      </c>
      <c r="D410" s="148">
        <v>45148</v>
      </c>
    </row>
    <row r="411" spans="2:4" ht="20.25" customHeight="1">
      <c r="B411" s="109" t="s">
        <v>1367</v>
      </c>
      <c r="D411" s="148">
        <v>45148</v>
      </c>
    </row>
    <row r="412" spans="2:4" ht="20.25" customHeight="1">
      <c r="B412" s="109" t="s">
        <v>1368</v>
      </c>
      <c r="D412" s="148">
        <v>45148</v>
      </c>
    </row>
    <row r="413" spans="2:4" ht="20.25" customHeight="1">
      <c r="B413" s="109" t="s">
        <v>1369</v>
      </c>
      <c r="D413" s="149"/>
    </row>
    <row r="414" spans="2:4" ht="20.25" customHeight="1">
      <c r="B414" s="109" t="s">
        <v>1370</v>
      </c>
      <c r="D414" s="148">
        <v>45148</v>
      </c>
    </row>
    <row r="415" spans="2:4" ht="20.25" customHeight="1">
      <c r="B415" s="109" t="s">
        <v>1371</v>
      </c>
      <c r="D415" s="148">
        <v>45148</v>
      </c>
    </row>
    <row r="416" spans="2:4" ht="20.25" customHeight="1">
      <c r="B416" s="109" t="s">
        <v>955</v>
      </c>
      <c r="D416" s="148">
        <v>45148</v>
      </c>
    </row>
    <row r="417" spans="2:4" ht="20.25" customHeight="1">
      <c r="B417" s="109" t="s">
        <v>1372</v>
      </c>
      <c r="D417" s="148">
        <v>45105</v>
      </c>
    </row>
    <row r="418" spans="2:4" ht="20.25" customHeight="1">
      <c r="B418" s="109" t="s">
        <v>1373</v>
      </c>
      <c r="D418" s="142">
        <v>44961</v>
      </c>
    </row>
    <row r="419" spans="2:4" ht="20.25" customHeight="1">
      <c r="B419" s="109" t="s">
        <v>1374</v>
      </c>
      <c r="D419" s="142">
        <v>44961</v>
      </c>
    </row>
    <row r="420" spans="2:4" ht="20.25" customHeight="1">
      <c r="B420" s="109" t="s">
        <v>1375</v>
      </c>
      <c r="D420" s="142">
        <v>44992</v>
      </c>
    </row>
    <row r="421" spans="2:4" ht="20.25" customHeight="1">
      <c r="B421" s="109" t="s">
        <v>1376</v>
      </c>
      <c r="D421" s="142">
        <v>44992</v>
      </c>
    </row>
    <row r="422" spans="2:4" ht="20.25" customHeight="1">
      <c r="B422" s="109" t="s">
        <v>1377</v>
      </c>
      <c r="D422" s="152"/>
    </row>
    <row r="423" spans="2:4" ht="20.25" customHeight="1">
      <c r="B423" s="109" t="s">
        <v>1378</v>
      </c>
      <c r="D423" s="152"/>
    </row>
    <row r="424" spans="2:4" ht="20.25" customHeight="1">
      <c r="B424" s="120" t="s">
        <v>1379</v>
      </c>
      <c r="D424" s="152"/>
    </row>
    <row r="425" spans="2:4" ht="20.25" customHeight="1">
      <c r="B425" s="120" t="s">
        <v>1380</v>
      </c>
      <c r="D425" s="148">
        <v>45105</v>
      </c>
    </row>
    <row r="426" spans="2:4" ht="20.25" customHeight="1">
      <c r="B426" s="109" t="s">
        <v>1381</v>
      </c>
      <c r="D426" s="142">
        <v>44961</v>
      </c>
    </row>
    <row r="427" spans="2:4" ht="20.25" customHeight="1">
      <c r="B427" s="109" t="s">
        <v>1382</v>
      </c>
      <c r="D427" s="142">
        <v>44961</v>
      </c>
    </row>
    <row r="428" spans="2:4" ht="20.25" customHeight="1">
      <c r="B428" s="109" t="s">
        <v>1383</v>
      </c>
      <c r="D428" s="148">
        <v>45105</v>
      </c>
    </row>
    <row r="429" spans="2:4" ht="20.25" customHeight="1">
      <c r="B429" s="109" t="s">
        <v>1384</v>
      </c>
      <c r="D429" s="142">
        <v>44961</v>
      </c>
    </row>
    <row r="430" spans="2:4" ht="20.25" customHeight="1">
      <c r="B430" s="109" t="s">
        <v>1385</v>
      </c>
      <c r="D430" s="148">
        <v>45105</v>
      </c>
    </row>
    <row r="431" spans="2:4" ht="20.25" customHeight="1">
      <c r="B431" s="109" t="s">
        <v>1386</v>
      </c>
      <c r="D431" s="142">
        <v>44961</v>
      </c>
    </row>
    <row r="432" spans="2:4" ht="20.25" customHeight="1">
      <c r="B432" s="109" t="s">
        <v>1387</v>
      </c>
      <c r="D432" s="152"/>
    </row>
    <row r="433" spans="2:4" ht="20.25" customHeight="1">
      <c r="B433" s="109" t="s">
        <v>1388</v>
      </c>
      <c r="D433" s="152"/>
    </row>
    <row r="434" spans="2:4" ht="20.25" customHeight="1">
      <c r="B434" s="109" t="s">
        <v>1075</v>
      </c>
      <c r="D434" s="142">
        <v>44992</v>
      </c>
    </row>
    <row r="435" spans="2:4" ht="20.25" customHeight="1">
      <c r="B435" s="109" t="s">
        <v>1389</v>
      </c>
      <c r="D435" s="152"/>
    </row>
    <row r="436" spans="2:4" ht="20.25" customHeight="1">
      <c r="B436" s="109" t="s">
        <v>1390</v>
      </c>
      <c r="D436" s="152"/>
    </row>
    <row r="437" spans="2:4" ht="20.25" customHeight="1">
      <c r="B437" s="109" t="s">
        <v>1391</v>
      </c>
      <c r="D437" s="148">
        <v>45148</v>
      </c>
    </row>
    <row r="438" spans="2:4" ht="20.25" customHeight="1">
      <c r="B438" s="109" t="s">
        <v>1392</v>
      </c>
      <c r="D438" s="142">
        <v>44889</v>
      </c>
    </row>
    <row r="439" spans="2:4" ht="20.25" customHeight="1">
      <c r="B439" s="109" t="s">
        <v>1393</v>
      </c>
      <c r="D439" s="142">
        <v>44889</v>
      </c>
    </row>
    <row r="440" spans="2:4" ht="20.25" customHeight="1">
      <c r="B440" s="109" t="s">
        <v>1394</v>
      </c>
      <c r="D440" s="142">
        <v>44992</v>
      </c>
    </row>
    <row r="441" spans="2:4" ht="20.25" customHeight="1">
      <c r="B441" s="109" t="s">
        <v>1395</v>
      </c>
      <c r="D441" s="151">
        <v>45111</v>
      </c>
    </row>
    <row r="442" spans="2:4" ht="20.25" customHeight="1">
      <c r="B442" s="109" t="s">
        <v>1396</v>
      </c>
      <c r="D442" s="137" t="s">
        <v>24</v>
      </c>
    </row>
    <row r="443" spans="2:4" ht="20.25" customHeight="1">
      <c r="B443" s="109" t="s">
        <v>956</v>
      </c>
      <c r="D443" s="137" t="s">
        <v>24</v>
      </c>
    </row>
    <row r="444" spans="2:4" ht="20.25" customHeight="1">
      <c r="B444" s="109" t="s">
        <v>1397</v>
      </c>
      <c r="D444" s="137" t="s">
        <v>24</v>
      </c>
    </row>
    <row r="445" spans="2:4" ht="20.25" customHeight="1">
      <c r="B445" s="109" t="s">
        <v>1398</v>
      </c>
      <c r="D445" s="152"/>
    </row>
    <row r="446" spans="2:4" ht="20.25" customHeight="1">
      <c r="B446" s="109" t="s">
        <v>1399</v>
      </c>
      <c r="D446" s="152"/>
    </row>
    <row r="447" spans="2:4" ht="20.25" customHeight="1">
      <c r="B447" s="109" t="s">
        <v>1400</v>
      </c>
      <c r="D447" s="152"/>
    </row>
    <row r="448" spans="2:4" ht="20.25" customHeight="1">
      <c r="B448" s="109" t="s">
        <v>1401</v>
      </c>
      <c r="D448" s="152"/>
    </row>
    <row r="449" spans="2:4" ht="20.25" customHeight="1">
      <c r="B449" s="109" t="s">
        <v>958</v>
      </c>
      <c r="D449" s="142">
        <v>44816</v>
      </c>
    </row>
    <row r="450" spans="2:4" ht="20.25" customHeight="1">
      <c r="B450" s="109" t="s">
        <v>1402</v>
      </c>
      <c r="D450" s="142">
        <v>44910</v>
      </c>
    </row>
    <row r="451" spans="2:4" ht="20.25" customHeight="1">
      <c r="B451" s="109" t="s">
        <v>1403</v>
      </c>
      <c r="D451" s="142">
        <v>44816</v>
      </c>
    </row>
    <row r="452" spans="2:4" ht="20.25" customHeight="1">
      <c r="B452" s="109" t="s">
        <v>1404</v>
      </c>
      <c r="D452" s="137" t="s">
        <v>24</v>
      </c>
    </row>
    <row r="453" spans="2:4" ht="20.25" customHeight="1">
      <c r="B453" s="109" t="s">
        <v>1405</v>
      </c>
      <c r="D453" s="142">
        <v>44923</v>
      </c>
    </row>
    <row r="454" spans="2:4" ht="20.25" customHeight="1">
      <c r="B454" s="109" t="s">
        <v>959</v>
      </c>
      <c r="D454" s="137"/>
    </row>
    <row r="455" spans="2:4" ht="20.25" customHeight="1">
      <c r="B455" s="109" t="s">
        <v>1406</v>
      </c>
      <c r="D455" s="142">
        <v>45013</v>
      </c>
    </row>
    <row r="456" spans="2:4" ht="20.25" customHeight="1">
      <c r="B456" s="109" t="s">
        <v>1407</v>
      </c>
      <c r="D456" s="142">
        <v>44923</v>
      </c>
    </row>
    <row r="457" spans="2:4" ht="20.25" customHeight="1">
      <c r="B457" s="109" t="s">
        <v>961</v>
      </c>
      <c r="D457" s="142">
        <v>44923</v>
      </c>
    </row>
    <row r="458" spans="2:4" ht="20.25" customHeight="1">
      <c r="B458" s="109" t="s">
        <v>962</v>
      </c>
      <c r="D458" s="142">
        <v>44816</v>
      </c>
    </row>
    <row r="459" spans="2:4" ht="20.25" customHeight="1">
      <c r="B459" s="109" t="s">
        <v>1077</v>
      </c>
      <c r="D459" s="137" t="s">
        <v>24</v>
      </c>
    </row>
    <row r="460" spans="2:4" ht="20.25" customHeight="1">
      <c r="B460" s="109" t="s">
        <v>1408</v>
      </c>
      <c r="D460" s="137" t="s">
        <v>24</v>
      </c>
    </row>
    <row r="461" spans="2:4" ht="20.25" customHeight="1">
      <c r="B461" s="109" t="s">
        <v>963</v>
      </c>
      <c r="D461" s="142">
        <v>44816</v>
      </c>
    </row>
    <row r="462" spans="2:4" ht="20.25" customHeight="1">
      <c r="B462" s="109" t="s">
        <v>1409</v>
      </c>
      <c r="D462" s="142">
        <v>44816</v>
      </c>
    </row>
    <row r="463" spans="2:4" ht="20.25" customHeight="1">
      <c r="B463" s="109" t="s">
        <v>954</v>
      </c>
      <c r="D463" s="142">
        <v>44816</v>
      </c>
    </row>
    <row r="464" spans="2:4" ht="20.25" customHeight="1">
      <c r="B464" s="109" t="s">
        <v>1410</v>
      </c>
      <c r="D464" s="137" t="s">
        <v>24</v>
      </c>
    </row>
    <row r="465" spans="2:4" ht="20.25" customHeight="1">
      <c r="B465" s="109" t="s">
        <v>1411</v>
      </c>
      <c r="D465" s="162">
        <v>45034</v>
      </c>
    </row>
    <row r="466" spans="2:4" ht="20.25" customHeight="1">
      <c r="B466" s="109" t="s">
        <v>1412</v>
      </c>
      <c r="D466" s="142">
        <v>44992</v>
      </c>
    </row>
    <row r="467" spans="2:4" ht="20.25" customHeight="1">
      <c r="B467" s="109" t="s">
        <v>1413</v>
      </c>
      <c r="D467" s="142">
        <v>44992</v>
      </c>
    </row>
    <row r="468" spans="2:4" ht="20.25" customHeight="1">
      <c r="B468" s="109" t="s">
        <v>965</v>
      </c>
      <c r="D468" s="162">
        <v>45034</v>
      </c>
    </row>
    <row r="469" spans="2:4" ht="20.25" customHeight="1">
      <c r="B469" s="109" t="s">
        <v>1414</v>
      </c>
      <c r="D469" s="137" t="s">
        <v>24</v>
      </c>
    </row>
    <row r="470" spans="2:4" ht="20.25" customHeight="1">
      <c r="B470" s="109" t="s">
        <v>1415</v>
      </c>
      <c r="D470" s="137" t="s">
        <v>24</v>
      </c>
    </row>
    <row r="471" spans="2:4" ht="20.25" customHeight="1">
      <c r="B471" s="109" t="s">
        <v>950</v>
      </c>
      <c r="D471" s="137" t="s">
        <v>24</v>
      </c>
    </row>
    <row r="472" spans="2:4" ht="20.25" customHeight="1">
      <c r="B472" s="109" t="s">
        <v>968</v>
      </c>
      <c r="D472" s="142">
        <v>44862</v>
      </c>
    </row>
    <row r="473" spans="2:4" ht="20.25" customHeight="1">
      <c r="B473" s="120" t="s">
        <v>940</v>
      </c>
      <c r="D473" s="137" t="s">
        <v>24</v>
      </c>
    </row>
    <row r="474" spans="2:4" ht="20.25" customHeight="1">
      <c r="B474" s="109" t="s">
        <v>1416</v>
      </c>
      <c r="D474" s="142">
        <v>44862</v>
      </c>
    </row>
    <row r="475" spans="2:4" ht="20.25" customHeight="1">
      <c r="B475" s="109" t="s">
        <v>960</v>
      </c>
      <c r="D475" s="162">
        <v>45040</v>
      </c>
    </row>
    <row r="476" spans="2:4" ht="20.25" customHeight="1">
      <c r="B476" s="109" t="s">
        <v>957</v>
      </c>
      <c r="D476" s="137" t="s">
        <v>24</v>
      </c>
    </row>
    <row r="477" spans="2:4" ht="20.25" customHeight="1">
      <c r="B477" s="109" t="s">
        <v>1417</v>
      </c>
      <c r="D477" s="137" t="s">
        <v>24</v>
      </c>
    </row>
    <row r="478" spans="2:4" ht="20.25" customHeight="1">
      <c r="B478" s="109" t="s">
        <v>1418</v>
      </c>
      <c r="D478" s="137" t="s">
        <v>24</v>
      </c>
    </row>
    <row r="479" spans="2:4" ht="20.25" customHeight="1">
      <c r="B479" s="109" t="s">
        <v>1419</v>
      </c>
      <c r="D479" s="137" t="s">
        <v>24</v>
      </c>
    </row>
    <row r="480" spans="2:4" ht="20.25" customHeight="1">
      <c r="B480" s="109" t="s">
        <v>1420</v>
      </c>
      <c r="D480" s="142">
        <v>44910</v>
      </c>
    </row>
    <row r="481" spans="2:4" ht="20.25" customHeight="1">
      <c r="B481" s="109" t="s">
        <v>970</v>
      </c>
      <c r="D481" s="162">
        <v>45034</v>
      </c>
    </row>
    <row r="482" spans="2:4" ht="20.25" customHeight="1">
      <c r="B482" s="109" t="s">
        <v>1421</v>
      </c>
      <c r="D482" s="142">
        <v>44923</v>
      </c>
    </row>
    <row r="483" spans="2:4" ht="20.25" customHeight="1">
      <c r="B483" s="109" t="s">
        <v>971</v>
      </c>
      <c r="D483" s="142">
        <v>44816</v>
      </c>
    </row>
    <row r="484" spans="2:4" ht="20.25" customHeight="1">
      <c r="B484" s="109" t="s">
        <v>973</v>
      </c>
      <c r="D484" s="142">
        <v>44925</v>
      </c>
    </row>
    <row r="485" spans="2:4" ht="20.25" customHeight="1">
      <c r="B485" s="109" t="s">
        <v>1422</v>
      </c>
      <c r="D485" s="142">
        <v>44816</v>
      </c>
    </row>
    <row r="486" spans="2:4" ht="20.25" customHeight="1">
      <c r="B486" s="109" t="s">
        <v>1423</v>
      </c>
      <c r="D486" s="142">
        <v>44816</v>
      </c>
    </row>
    <row r="487" spans="2:4" ht="20.25" customHeight="1">
      <c r="B487" s="109" t="s">
        <v>1424</v>
      </c>
      <c r="D487" s="142">
        <v>44816</v>
      </c>
    </row>
    <row r="488" spans="2:4" ht="20.25" customHeight="1">
      <c r="B488" s="109" t="s">
        <v>1425</v>
      </c>
      <c r="D488" s="148">
        <v>45065</v>
      </c>
    </row>
    <row r="489" spans="2:4" ht="20.25" customHeight="1">
      <c r="B489" s="109" t="s">
        <v>1426</v>
      </c>
      <c r="D489" s="148">
        <v>45148</v>
      </c>
    </row>
    <row r="490" spans="2:4" ht="20.25" customHeight="1">
      <c r="B490" s="109" t="s">
        <v>1427</v>
      </c>
      <c r="D490" s="142">
        <v>44922</v>
      </c>
    </row>
    <row r="491" spans="2:4" ht="20.25" customHeight="1">
      <c r="B491" s="109" t="s">
        <v>1428</v>
      </c>
      <c r="D491" s="142">
        <v>44910</v>
      </c>
    </row>
    <row r="492" spans="2:4" ht="20.25" customHeight="1">
      <c r="B492" s="109" t="s">
        <v>1429</v>
      </c>
      <c r="D492" s="142">
        <v>44816</v>
      </c>
    </row>
    <row r="493" spans="2:4" ht="20.25" customHeight="1">
      <c r="B493" s="109" t="s">
        <v>1430</v>
      </c>
      <c r="D493" s="142">
        <v>44816</v>
      </c>
    </row>
    <row r="494" spans="2:4" ht="20.25" customHeight="1">
      <c r="B494" s="109" t="s">
        <v>1431</v>
      </c>
      <c r="D494" s="142">
        <v>44816</v>
      </c>
    </row>
    <row r="495" spans="2:4" ht="20.25" customHeight="1">
      <c r="B495" s="109" t="s">
        <v>1432</v>
      </c>
      <c r="D495" s="142">
        <v>44816</v>
      </c>
    </row>
    <row r="496" spans="2:4" ht="20.25" customHeight="1">
      <c r="B496" s="109" t="s">
        <v>1433</v>
      </c>
      <c r="D496" s="142">
        <v>44923</v>
      </c>
    </row>
    <row r="497" spans="2:4" ht="20.25" customHeight="1">
      <c r="B497" s="109" t="s">
        <v>1434</v>
      </c>
      <c r="D497" s="152"/>
    </row>
    <row r="498" spans="2:4" ht="20.25" customHeight="1">
      <c r="B498" s="109" t="s">
        <v>1435</v>
      </c>
      <c r="D498" s="183" t="s">
        <v>24</v>
      </c>
    </row>
    <row r="499" spans="2:4" ht="20.25" customHeight="1">
      <c r="B499" s="109" t="s">
        <v>1436</v>
      </c>
      <c r="D499" s="183" t="s">
        <v>24</v>
      </c>
    </row>
    <row r="500" spans="2:4" ht="20.25" customHeight="1">
      <c r="B500" s="109" t="s">
        <v>1437</v>
      </c>
      <c r="D500" s="162">
        <v>45013</v>
      </c>
    </row>
    <row r="501" spans="2:4" ht="20.25" customHeight="1">
      <c r="B501" s="109" t="s">
        <v>1438</v>
      </c>
      <c r="D501" s="142">
        <v>44889</v>
      </c>
    </row>
    <row r="502" spans="2:4" ht="20.25" customHeight="1">
      <c r="B502" s="109" t="s">
        <v>1439</v>
      </c>
      <c r="D502" s="144"/>
    </row>
    <row r="503" spans="2:4" ht="20.25" customHeight="1">
      <c r="B503" s="109" t="s">
        <v>1440</v>
      </c>
      <c r="D503" s="142">
        <v>44877</v>
      </c>
    </row>
    <row r="504" spans="2:4" ht="20.25" customHeight="1">
      <c r="B504" s="109" t="s">
        <v>1441</v>
      </c>
      <c r="D504" s="137" t="s">
        <v>24</v>
      </c>
    </row>
    <row r="505" spans="2:4" ht="20.25" customHeight="1">
      <c r="B505" s="109" t="s">
        <v>1442</v>
      </c>
      <c r="D505" s="137" t="s">
        <v>24</v>
      </c>
    </row>
    <row r="506" spans="2:4" ht="20.25" customHeight="1">
      <c r="B506" s="109" t="s">
        <v>1443</v>
      </c>
      <c r="D506" s="137" t="s">
        <v>24</v>
      </c>
    </row>
    <row r="507" spans="2:4" ht="20.25" customHeight="1">
      <c r="B507" s="109" t="s">
        <v>1444</v>
      </c>
      <c r="D507" s="137" t="s">
        <v>24</v>
      </c>
    </row>
    <row r="508" spans="2:4" ht="20.25" customHeight="1">
      <c r="B508" s="109" t="s">
        <v>1445</v>
      </c>
      <c r="D508" s="142">
        <v>44889</v>
      </c>
    </row>
    <row r="509" spans="2:4" ht="20.25" customHeight="1">
      <c r="B509" s="109" t="s">
        <v>1446</v>
      </c>
      <c r="D509" s="142">
        <v>44862</v>
      </c>
    </row>
    <row r="510" spans="2:4" ht="20.25" customHeight="1">
      <c r="B510" s="109" t="s">
        <v>1447</v>
      </c>
      <c r="D510" s="142">
        <v>44869</v>
      </c>
    </row>
    <row r="511" spans="2:4" ht="20.25" customHeight="1">
      <c r="B511" s="109" t="s">
        <v>1448</v>
      </c>
      <c r="D511" s="137" t="s">
        <v>24</v>
      </c>
    </row>
    <row r="512" spans="2:4" ht="20.25" customHeight="1">
      <c r="B512" s="109" t="s">
        <v>1449</v>
      </c>
      <c r="D512" s="137" t="s">
        <v>24</v>
      </c>
    </row>
    <row r="513" spans="2:4" ht="20.25" customHeight="1">
      <c r="B513" s="109" t="s">
        <v>1450</v>
      </c>
      <c r="D513" s="137" t="s">
        <v>24</v>
      </c>
    </row>
    <row r="514" spans="2:4" ht="20.25" customHeight="1">
      <c r="B514" s="109" t="s">
        <v>974</v>
      </c>
      <c r="D514" s="162">
        <v>45014</v>
      </c>
    </row>
    <row r="515" spans="2:4" ht="20.25" customHeight="1">
      <c r="B515" s="109" t="s">
        <v>947</v>
      </c>
      <c r="D515" s="148">
        <v>45065</v>
      </c>
    </row>
    <row r="516" spans="2:4" ht="20.25" customHeight="1">
      <c r="B516" s="109" t="s">
        <v>1451</v>
      </c>
      <c r="D516" s="142">
        <v>45056</v>
      </c>
    </row>
    <row r="517" spans="2:4" ht="20.25" customHeight="1">
      <c r="B517" s="109" t="s">
        <v>1452</v>
      </c>
      <c r="D517" s="148">
        <v>45049</v>
      </c>
    </row>
    <row r="518" spans="2:4" ht="20.25" customHeight="1">
      <c r="B518" s="109" t="s">
        <v>1453</v>
      </c>
      <c r="D518" s="142">
        <v>45056</v>
      </c>
    </row>
    <row r="519" spans="2:4" ht="20.25" customHeight="1">
      <c r="B519" s="109" t="s">
        <v>977</v>
      </c>
      <c r="D519" s="137" t="s">
        <v>24</v>
      </c>
    </row>
    <row r="520" spans="2:4" ht="20.25" customHeight="1">
      <c r="B520" s="109" t="s">
        <v>1454</v>
      </c>
      <c r="D520" s="142">
        <v>44862</v>
      </c>
    </row>
    <row r="521" spans="2:4" ht="20.25" customHeight="1">
      <c r="B521" s="109" t="s">
        <v>1455</v>
      </c>
      <c r="D521" s="142">
        <v>44910</v>
      </c>
    </row>
    <row r="522" spans="2:4" ht="20.25" customHeight="1">
      <c r="B522" s="109" t="s">
        <v>1456</v>
      </c>
      <c r="D522" s="137" t="s">
        <v>24</v>
      </c>
    </row>
    <row r="523" spans="2:4" ht="20.25" customHeight="1">
      <c r="B523" s="109" t="s">
        <v>1457</v>
      </c>
      <c r="D523" s="137" t="s">
        <v>24</v>
      </c>
    </row>
    <row r="524" spans="2:4" ht="20.25" customHeight="1">
      <c r="B524" s="109" t="s">
        <v>1458</v>
      </c>
      <c r="D524" s="142">
        <v>44890</v>
      </c>
    </row>
    <row r="525" spans="2:4" ht="20.25" customHeight="1">
      <c r="B525" s="109" t="s">
        <v>1079</v>
      </c>
      <c r="D525" s="142">
        <v>44869</v>
      </c>
    </row>
    <row r="526" spans="2:4" ht="20.25" customHeight="1">
      <c r="B526" s="109" t="s">
        <v>1459</v>
      </c>
      <c r="D526" s="142">
        <v>44867</v>
      </c>
    </row>
    <row r="527" spans="2:4" ht="20.25" customHeight="1">
      <c r="B527" s="109" t="s">
        <v>1460</v>
      </c>
      <c r="D527" s="137" t="s">
        <v>24</v>
      </c>
    </row>
    <row r="528" spans="2:4" ht="20.25" customHeight="1">
      <c r="B528" s="109" t="s">
        <v>982</v>
      </c>
      <c r="D528" s="137" t="s">
        <v>24</v>
      </c>
    </row>
    <row r="529" spans="2:4" ht="20.25" customHeight="1">
      <c r="B529" s="120" t="s">
        <v>1461</v>
      </c>
      <c r="D529" s="137" t="s">
        <v>24</v>
      </c>
    </row>
    <row r="530" spans="2:4" ht="20.25" customHeight="1">
      <c r="B530" s="109" t="s">
        <v>1462</v>
      </c>
      <c r="D530" s="148">
        <v>45049</v>
      </c>
    </row>
    <row r="531" spans="2:4" ht="20.25" customHeight="1">
      <c r="B531" s="109" t="s">
        <v>1463</v>
      </c>
      <c r="D531" s="142">
        <v>44923</v>
      </c>
    </row>
    <row r="532" spans="2:4" ht="20.25" customHeight="1">
      <c r="B532" s="109" t="s">
        <v>1464</v>
      </c>
      <c r="D532" s="137" t="s">
        <v>24</v>
      </c>
    </row>
    <row r="533" spans="2:4" ht="20.25" customHeight="1">
      <c r="B533" s="109" t="s">
        <v>985</v>
      </c>
      <c r="D533" s="142">
        <v>44877</v>
      </c>
    </row>
    <row r="534" spans="2:4" ht="20.25" customHeight="1">
      <c r="B534" s="109" t="s">
        <v>1465</v>
      </c>
      <c r="D534" s="142">
        <v>44862</v>
      </c>
    </row>
    <row r="535" spans="2:4" ht="20.25" customHeight="1">
      <c r="B535" s="120" t="s">
        <v>1466</v>
      </c>
      <c r="D535" s="142">
        <v>44862</v>
      </c>
    </row>
    <row r="536" spans="2:4" ht="20.25" customHeight="1">
      <c r="B536" s="109" t="s">
        <v>1467</v>
      </c>
      <c r="D536" s="137" t="s">
        <v>24</v>
      </c>
    </row>
    <row r="537" spans="2:4" ht="20.25" customHeight="1">
      <c r="B537" s="109" t="s">
        <v>1468</v>
      </c>
      <c r="D537" s="142">
        <v>44889</v>
      </c>
    </row>
    <row r="538" spans="2:4" ht="20.25" customHeight="1">
      <c r="B538" s="109" t="s">
        <v>989</v>
      </c>
      <c r="D538" s="137" t="s">
        <v>24</v>
      </c>
    </row>
    <row r="539" spans="2:4" ht="20.25" customHeight="1">
      <c r="B539" s="109" t="s">
        <v>1469</v>
      </c>
      <c r="D539" s="137" t="s">
        <v>24</v>
      </c>
    </row>
    <row r="540" spans="2:4" ht="20.25" customHeight="1">
      <c r="B540" s="109" t="s">
        <v>1470</v>
      </c>
      <c r="D540" s="137" t="s">
        <v>24</v>
      </c>
    </row>
    <row r="541" spans="2:4" ht="20.25" customHeight="1">
      <c r="B541" s="109" t="s">
        <v>1471</v>
      </c>
      <c r="D541" s="142">
        <v>44862</v>
      </c>
    </row>
    <row r="542" spans="2:4" ht="20.25" customHeight="1">
      <c r="B542" s="109" t="s">
        <v>1472</v>
      </c>
      <c r="D542" s="142">
        <v>44862</v>
      </c>
    </row>
    <row r="543" spans="2:4" ht="20.25" customHeight="1">
      <c r="B543" s="109" t="s">
        <v>1473</v>
      </c>
      <c r="D543" s="142">
        <v>44889</v>
      </c>
    </row>
    <row r="544" spans="2:4" ht="20.25" customHeight="1">
      <c r="B544" s="109" t="s">
        <v>1081</v>
      </c>
      <c r="D544" s="142">
        <v>44869</v>
      </c>
    </row>
    <row r="545" spans="2:4" ht="20.25" customHeight="1">
      <c r="B545" s="109" t="s">
        <v>1474</v>
      </c>
      <c r="D545" s="150">
        <v>45013</v>
      </c>
    </row>
    <row r="546" spans="2:4" ht="20.25" customHeight="1">
      <c r="B546" s="109" t="s">
        <v>1475</v>
      </c>
      <c r="D546" s="150">
        <v>45013</v>
      </c>
    </row>
    <row r="547" spans="2:4" ht="20.25" customHeight="1">
      <c r="B547" s="109" t="s">
        <v>1476</v>
      </c>
      <c r="D547" s="142">
        <v>44816</v>
      </c>
    </row>
    <row r="548" spans="2:4" ht="20.25" customHeight="1">
      <c r="B548" s="109" t="s">
        <v>1477</v>
      </c>
      <c r="D548" s="137" t="s">
        <v>24</v>
      </c>
    </row>
    <row r="549" spans="2:4" ht="20.25" customHeight="1">
      <c r="B549" s="109" t="s">
        <v>1478</v>
      </c>
      <c r="D549" s="137" t="s">
        <v>24</v>
      </c>
    </row>
    <row r="550" spans="2:4" ht="20.25" customHeight="1">
      <c r="B550" s="109" t="s">
        <v>1479</v>
      </c>
      <c r="D550" s="137" t="s">
        <v>24</v>
      </c>
    </row>
    <row r="551" spans="2:4" ht="20.25" customHeight="1">
      <c r="B551" s="109" t="s">
        <v>1480</v>
      </c>
      <c r="D551" s="137" t="s">
        <v>24</v>
      </c>
    </row>
    <row r="552" spans="2:4" ht="20.25" customHeight="1">
      <c r="B552" s="109" t="s">
        <v>1083</v>
      </c>
      <c r="D552" s="137" t="s">
        <v>24</v>
      </c>
    </row>
    <row r="553" spans="2:4" ht="20.25" customHeight="1">
      <c r="B553" s="109" t="s">
        <v>1085</v>
      </c>
      <c r="D553" s="137" t="s">
        <v>24</v>
      </c>
    </row>
    <row r="554" spans="2:4" ht="20.25" customHeight="1">
      <c r="B554" s="109" t="s">
        <v>1481</v>
      </c>
      <c r="D554" s="137" t="s">
        <v>24</v>
      </c>
    </row>
    <row r="555" spans="2:4" ht="20.25" customHeight="1">
      <c r="B555" s="109" t="s">
        <v>1482</v>
      </c>
      <c r="D555" s="137" t="s">
        <v>24</v>
      </c>
    </row>
    <row r="556" spans="2:4" ht="20.25" customHeight="1">
      <c r="B556" s="109" t="s">
        <v>1483</v>
      </c>
      <c r="D556" s="142">
        <v>44869</v>
      </c>
    </row>
    <row r="557" spans="2:4" ht="20.25" customHeight="1">
      <c r="B557" s="109" t="s">
        <v>1484</v>
      </c>
      <c r="D557" s="142">
        <v>44862</v>
      </c>
    </row>
    <row r="558" spans="2:4" ht="20.25" customHeight="1">
      <c r="B558" s="109" t="s">
        <v>1087</v>
      </c>
      <c r="D558" s="142">
        <v>44869</v>
      </c>
    </row>
    <row r="559" spans="2:4" ht="20.25" customHeight="1">
      <c r="B559" s="109" t="s">
        <v>1485</v>
      </c>
      <c r="D559" s="137" t="s">
        <v>24</v>
      </c>
    </row>
    <row r="560" spans="2:4" ht="20.25" customHeight="1">
      <c r="B560" s="109" t="s">
        <v>1486</v>
      </c>
      <c r="D560" s="137" t="s">
        <v>24</v>
      </c>
    </row>
    <row r="561" spans="2:4" ht="20.25" customHeight="1">
      <c r="B561" s="109" t="s">
        <v>1487</v>
      </c>
      <c r="D561" s="137" t="s">
        <v>24</v>
      </c>
    </row>
    <row r="562" spans="2:4" ht="20.25" customHeight="1">
      <c r="B562" s="109" t="s">
        <v>1488</v>
      </c>
      <c r="D562" s="142">
        <v>44889</v>
      </c>
    </row>
    <row r="563" spans="2:4" ht="20.25" customHeight="1">
      <c r="B563" s="109" t="s">
        <v>1489</v>
      </c>
      <c r="D563" s="142">
        <v>44910</v>
      </c>
    </row>
    <row r="564" spans="2:4" ht="20.25" customHeight="1">
      <c r="B564" s="109" t="s">
        <v>1490</v>
      </c>
      <c r="D564" s="142">
        <v>44869</v>
      </c>
    </row>
    <row r="565" spans="2:4" ht="20.25" customHeight="1">
      <c r="B565" s="109" t="s">
        <v>1491</v>
      </c>
      <c r="D565" s="142">
        <v>44889</v>
      </c>
    </row>
    <row r="566" spans="2:4" ht="20.25" customHeight="1">
      <c r="B566" s="109" t="s">
        <v>1492</v>
      </c>
      <c r="D566" s="142">
        <v>44910</v>
      </c>
    </row>
    <row r="567" spans="2:4" ht="20.25" customHeight="1">
      <c r="B567" s="109" t="s">
        <v>1493</v>
      </c>
      <c r="D567" s="142">
        <v>44889</v>
      </c>
    </row>
    <row r="568" spans="2:4" ht="20.25" customHeight="1">
      <c r="B568" s="109" t="s">
        <v>1494</v>
      </c>
      <c r="D568" s="142">
        <v>44910</v>
      </c>
    </row>
    <row r="569" spans="2:4" ht="20.25" customHeight="1">
      <c r="B569" s="109" t="s">
        <v>1495</v>
      </c>
      <c r="D569" s="142">
        <v>44877</v>
      </c>
    </row>
    <row r="570" spans="2:4" ht="20.25" customHeight="1">
      <c r="B570" s="109" t="s">
        <v>993</v>
      </c>
      <c r="D570" s="142">
        <v>44862</v>
      </c>
    </row>
    <row r="571" spans="2:4" ht="20.25" customHeight="1">
      <c r="B571" s="109" t="s">
        <v>1496</v>
      </c>
      <c r="D571" s="137" t="s">
        <v>24</v>
      </c>
    </row>
    <row r="572" spans="2:4" ht="20.25" customHeight="1">
      <c r="B572" s="109" t="s">
        <v>1497</v>
      </c>
      <c r="D572" s="137" t="s">
        <v>24</v>
      </c>
    </row>
    <row r="573" spans="2:4" ht="20.25" customHeight="1">
      <c r="B573" s="109" t="s">
        <v>1498</v>
      </c>
      <c r="D573" s="137" t="s">
        <v>24</v>
      </c>
    </row>
    <row r="574" spans="2:4" ht="20.25" customHeight="1">
      <c r="B574" s="109" t="s">
        <v>1499</v>
      </c>
      <c r="D574" s="137" t="s">
        <v>24</v>
      </c>
    </row>
    <row r="575" spans="2:4" ht="20.25" customHeight="1">
      <c r="B575" s="109" t="s">
        <v>1500</v>
      </c>
      <c r="D575" s="142">
        <v>44816</v>
      </c>
    </row>
    <row r="576" spans="2:4" ht="20.25" customHeight="1">
      <c r="B576" s="109" t="s">
        <v>1501</v>
      </c>
      <c r="D576" s="142">
        <v>44961</v>
      </c>
    </row>
    <row r="577" spans="2:4" ht="20.25" customHeight="1">
      <c r="B577" s="109" t="s">
        <v>1502</v>
      </c>
      <c r="D577" s="137" t="s">
        <v>24</v>
      </c>
    </row>
    <row r="578" spans="2:4" ht="20.25" customHeight="1">
      <c r="B578" s="109" t="s">
        <v>1503</v>
      </c>
      <c r="D578" s="142">
        <v>44889</v>
      </c>
    </row>
    <row r="579" spans="2:4" ht="20.25" customHeight="1">
      <c r="B579" s="109" t="s">
        <v>996</v>
      </c>
      <c r="D579" s="142">
        <v>44816</v>
      </c>
    </row>
    <row r="580" spans="2:4" ht="20.25" customHeight="1">
      <c r="B580" s="109" t="s">
        <v>1504</v>
      </c>
      <c r="D580" s="142">
        <v>44961</v>
      </c>
    </row>
    <row r="581" spans="2:4" ht="20.25" customHeight="1">
      <c r="B581" s="109" t="s">
        <v>1505</v>
      </c>
      <c r="D581" s="142">
        <v>44910</v>
      </c>
    </row>
    <row r="582" spans="2:4" ht="20.25" customHeight="1">
      <c r="B582" s="109" t="s">
        <v>1506</v>
      </c>
      <c r="D582" s="142">
        <v>44889</v>
      </c>
    </row>
    <row r="583" spans="2:4" ht="20.25" customHeight="1">
      <c r="B583" s="113" t="s">
        <v>1507</v>
      </c>
      <c r="D583" s="142">
        <v>44816</v>
      </c>
    </row>
    <row r="584" spans="2:4" ht="20.25" customHeight="1">
      <c r="B584" s="109" t="s">
        <v>1508</v>
      </c>
      <c r="D584" s="142">
        <v>44889</v>
      </c>
    </row>
    <row r="585" spans="2:4" ht="20.25" customHeight="1">
      <c r="B585" s="109" t="s">
        <v>1509</v>
      </c>
      <c r="D585" s="142">
        <v>44816</v>
      </c>
    </row>
    <row r="586" spans="2:4" ht="20.25" customHeight="1">
      <c r="B586" s="109" t="s">
        <v>1510</v>
      </c>
      <c r="D586" s="137" t="s">
        <v>24</v>
      </c>
    </row>
    <row r="587" spans="2:4" ht="20.25" customHeight="1">
      <c r="B587" s="109" t="s">
        <v>1511</v>
      </c>
      <c r="D587" s="137" t="s">
        <v>24</v>
      </c>
    </row>
    <row r="588" spans="2:4" ht="20.25" customHeight="1">
      <c r="B588" s="109" t="s">
        <v>1089</v>
      </c>
      <c r="D588" s="137" t="s">
        <v>24</v>
      </c>
    </row>
    <row r="589" spans="2:4" ht="20.25" customHeight="1">
      <c r="B589" s="109" t="s">
        <v>1091</v>
      </c>
      <c r="D589" s="142">
        <v>44889</v>
      </c>
    </row>
    <row r="590" spans="2:4" ht="20.25" customHeight="1">
      <c r="B590" s="109" t="s">
        <v>1512</v>
      </c>
      <c r="D590" s="137" t="s">
        <v>24</v>
      </c>
    </row>
    <row r="591" spans="2:4" ht="20.25" customHeight="1">
      <c r="B591" s="109" t="s">
        <v>1093</v>
      </c>
      <c r="D591" s="137" t="s">
        <v>24</v>
      </c>
    </row>
    <row r="592" spans="2:4" ht="20.25" customHeight="1">
      <c r="B592" s="109" t="s">
        <v>1513</v>
      </c>
      <c r="D592" s="142">
        <v>44889</v>
      </c>
    </row>
    <row r="593" spans="2:4" ht="20.25" customHeight="1">
      <c r="B593" s="109" t="s">
        <v>1514</v>
      </c>
      <c r="D593" s="142">
        <v>44889</v>
      </c>
    </row>
    <row r="594" spans="2:4" ht="20.25" customHeight="1">
      <c r="B594" s="109" t="s">
        <v>1515</v>
      </c>
      <c r="D594" s="142"/>
    </row>
    <row r="595" spans="2:4" ht="20.25" customHeight="1">
      <c r="B595" s="109" t="s">
        <v>1516</v>
      </c>
      <c r="D595" s="142">
        <v>45097</v>
      </c>
    </row>
    <row r="596" spans="2:4" ht="20.25" customHeight="1">
      <c r="B596" s="109" t="s">
        <v>999</v>
      </c>
      <c r="D596" s="142">
        <v>44910</v>
      </c>
    </row>
    <row r="597" spans="2:4" ht="20.25" customHeight="1">
      <c r="B597" s="108" t="s">
        <v>938</v>
      </c>
      <c r="D597" s="142">
        <v>44923</v>
      </c>
    </row>
    <row r="598" spans="2:4" ht="20.25" customHeight="1">
      <c r="B598" s="109" t="s">
        <v>1517</v>
      </c>
      <c r="D598" s="142">
        <v>44923</v>
      </c>
    </row>
    <row r="599" spans="2:4" ht="20.25" customHeight="1">
      <c r="B599" s="109" t="s">
        <v>1518</v>
      </c>
      <c r="D599" s="142">
        <v>44910</v>
      </c>
    </row>
    <row r="600" spans="2:4" ht="20.25" customHeight="1">
      <c r="B600" s="109" t="s">
        <v>1519</v>
      </c>
      <c r="D600" s="142">
        <v>44910</v>
      </c>
    </row>
    <row r="601" spans="2:4" ht="20.25" customHeight="1">
      <c r="B601" s="109" t="s">
        <v>1004</v>
      </c>
      <c r="D601" s="137" t="s">
        <v>24</v>
      </c>
    </row>
    <row r="602" spans="2:4" ht="20.25" customHeight="1">
      <c r="B602" s="109" t="s">
        <v>1520</v>
      </c>
      <c r="D602" s="142">
        <v>44923</v>
      </c>
    </row>
    <row r="603" spans="2:4" ht="20.25" customHeight="1">
      <c r="B603" s="109" t="s">
        <v>1521</v>
      </c>
      <c r="D603" s="142">
        <v>44910</v>
      </c>
    </row>
    <row r="604" spans="2:4" ht="20.25" customHeight="1">
      <c r="B604" s="109" t="s">
        <v>936</v>
      </c>
      <c r="D604" s="142">
        <v>44923</v>
      </c>
    </row>
    <row r="605" spans="2:4" ht="20.25" customHeight="1">
      <c r="B605" s="109" t="s">
        <v>1522</v>
      </c>
      <c r="D605" s="142">
        <v>44910</v>
      </c>
    </row>
    <row r="606" spans="2:4" ht="20.25" customHeight="1">
      <c r="B606" s="109" t="s">
        <v>1095</v>
      </c>
      <c r="D606" s="142">
        <v>44910</v>
      </c>
    </row>
    <row r="607" spans="2:4" ht="20.25" customHeight="1">
      <c r="B607" s="109" t="s">
        <v>1097</v>
      </c>
      <c r="D607" s="142">
        <v>44869</v>
      </c>
    </row>
    <row r="608" spans="2:4" ht="20.25" customHeight="1">
      <c r="B608" s="109" t="s">
        <v>1523</v>
      </c>
      <c r="D608" s="142">
        <v>44869</v>
      </c>
    </row>
    <row r="609" spans="2:4" ht="20.25" customHeight="1">
      <c r="B609" s="109" t="s">
        <v>1524</v>
      </c>
      <c r="D609" s="142">
        <v>44876</v>
      </c>
    </row>
    <row r="610" spans="2:4" ht="20.25" customHeight="1">
      <c r="B610" s="108" t="s">
        <v>986</v>
      </c>
      <c r="D610" s="137" t="s">
        <v>24</v>
      </c>
    </row>
    <row r="611" spans="2:4" ht="20.25" customHeight="1">
      <c r="B611" s="109" t="s">
        <v>1525</v>
      </c>
      <c r="D611" s="142">
        <v>44869</v>
      </c>
    </row>
    <row r="612" spans="2:4" ht="20.25" customHeight="1">
      <c r="B612" s="109" t="s">
        <v>1526</v>
      </c>
      <c r="D612" s="137" t="s">
        <v>24</v>
      </c>
    </row>
    <row r="613" spans="2:4" ht="20.25" customHeight="1">
      <c r="B613" s="109" t="s">
        <v>1527</v>
      </c>
      <c r="D613" s="137" t="s">
        <v>24</v>
      </c>
    </row>
    <row r="614" spans="2:4" ht="20.25" customHeight="1">
      <c r="B614" s="109" t="s">
        <v>1528</v>
      </c>
      <c r="D614" s="137" t="s">
        <v>24</v>
      </c>
    </row>
    <row r="615" spans="2:4" ht="20.25" customHeight="1">
      <c r="B615" s="109" t="s">
        <v>1099</v>
      </c>
      <c r="D615" s="137" t="s">
        <v>24</v>
      </c>
    </row>
    <row r="616" spans="2:4" ht="20.25" customHeight="1">
      <c r="B616" s="109" t="s">
        <v>1529</v>
      </c>
      <c r="D616" s="137" t="s">
        <v>24</v>
      </c>
    </row>
    <row r="617" spans="2:4" ht="20.25" customHeight="1">
      <c r="B617" s="109" t="s">
        <v>1530</v>
      </c>
      <c r="D617" s="137" t="s">
        <v>24</v>
      </c>
    </row>
    <row r="618" spans="2:4" ht="20.25" customHeight="1">
      <c r="B618" s="109" t="s">
        <v>1531</v>
      </c>
      <c r="D618" s="137" t="s">
        <v>24</v>
      </c>
    </row>
    <row r="619" spans="2:4" ht="20.25" customHeight="1">
      <c r="B619" s="109" t="s">
        <v>1532</v>
      </c>
      <c r="D619" s="137" t="s">
        <v>24</v>
      </c>
    </row>
    <row r="620" spans="2:4" ht="20.25" customHeight="1">
      <c r="B620" s="109" t="s">
        <v>1533</v>
      </c>
      <c r="D620" s="137" t="s">
        <v>24</v>
      </c>
    </row>
    <row r="621" spans="2:4" ht="20.25" customHeight="1">
      <c r="B621" s="109" t="s">
        <v>1534</v>
      </c>
      <c r="D621" s="137" t="s">
        <v>24</v>
      </c>
    </row>
    <row r="622" spans="2:4" ht="20.25" customHeight="1">
      <c r="B622" s="109" t="s">
        <v>1535</v>
      </c>
      <c r="D622" s="137" t="s">
        <v>24</v>
      </c>
    </row>
    <row r="623" spans="2:4" ht="20.25" customHeight="1">
      <c r="B623" s="109" t="s">
        <v>1536</v>
      </c>
      <c r="D623" s="137" t="s">
        <v>24</v>
      </c>
    </row>
    <row r="624" spans="2:4" ht="20.25" customHeight="1">
      <c r="B624" s="109" t="s">
        <v>1537</v>
      </c>
      <c r="D624" s="137" t="s">
        <v>24</v>
      </c>
    </row>
    <row r="625" spans="2:4" ht="20.25" customHeight="1">
      <c r="B625" s="109" t="s">
        <v>1538</v>
      </c>
      <c r="D625" s="142">
        <v>44910</v>
      </c>
    </row>
    <row r="626" spans="2:4" ht="20.25" customHeight="1">
      <c r="B626" s="109" t="s">
        <v>952</v>
      </c>
      <c r="D626" s="137" t="s">
        <v>24</v>
      </c>
    </row>
    <row r="627" spans="2:4" ht="20.25" customHeight="1">
      <c r="B627" s="109" t="s">
        <v>1539</v>
      </c>
      <c r="D627" s="142">
        <v>44910</v>
      </c>
    </row>
    <row r="628" spans="2:4" ht="20.25" customHeight="1">
      <c r="B628" s="109" t="s">
        <v>1540</v>
      </c>
      <c r="D628" s="137" t="s">
        <v>24</v>
      </c>
    </row>
    <row r="629" spans="2:4" ht="20.25" customHeight="1">
      <c r="B629" s="109" t="s">
        <v>1541</v>
      </c>
      <c r="D629" s="142">
        <v>44910</v>
      </c>
    </row>
    <row r="630" spans="2:4" ht="20.25" customHeight="1">
      <c r="B630" s="109" t="s">
        <v>1542</v>
      </c>
      <c r="D630" s="137" t="s">
        <v>24</v>
      </c>
    </row>
    <row r="631" spans="2:4" ht="20.25" customHeight="1">
      <c r="B631" s="113" t="s">
        <v>1543</v>
      </c>
      <c r="D631" s="137" t="s">
        <v>24</v>
      </c>
    </row>
    <row r="632" spans="2:4" ht="20.25" customHeight="1">
      <c r="B632" s="109" t="s">
        <v>1544</v>
      </c>
      <c r="D632" s="137" t="s">
        <v>24</v>
      </c>
    </row>
    <row r="633" spans="2:4" ht="20.25" customHeight="1">
      <c r="B633" s="109" t="s">
        <v>1545</v>
      </c>
      <c r="D633" s="137" t="s">
        <v>24</v>
      </c>
    </row>
    <row r="634" spans="2:4" ht="20.25" customHeight="1">
      <c r="B634" s="109" t="s">
        <v>976</v>
      </c>
      <c r="D634" s="148">
        <v>45065</v>
      </c>
    </row>
    <row r="635" spans="2:4" ht="20.25" customHeight="1">
      <c r="B635" s="109" t="s">
        <v>1546</v>
      </c>
      <c r="D635" s="148">
        <v>45148</v>
      </c>
    </row>
    <row r="636" spans="2:4" ht="20.25" customHeight="1">
      <c r="B636" s="109" t="s">
        <v>1547</v>
      </c>
      <c r="D636" s="142">
        <v>44910</v>
      </c>
    </row>
    <row r="637" spans="2:4" ht="20.25" customHeight="1">
      <c r="B637" s="109" t="s">
        <v>1548</v>
      </c>
      <c r="D637" s="162">
        <v>45040</v>
      </c>
    </row>
    <row r="638" spans="2:4" ht="20.25" customHeight="1">
      <c r="B638" s="109" t="s">
        <v>1549</v>
      </c>
      <c r="D638" s="137" t="s">
        <v>24</v>
      </c>
    </row>
    <row r="639" spans="2:4" ht="20.25" customHeight="1">
      <c r="B639" s="109" t="s">
        <v>1550</v>
      </c>
      <c r="D639" s="148">
        <v>45065</v>
      </c>
    </row>
    <row r="640" spans="2:4" ht="20.25" customHeight="1">
      <c r="B640" s="109" t="s">
        <v>1551</v>
      </c>
      <c r="D640" s="137" t="s">
        <v>24</v>
      </c>
    </row>
    <row r="641" spans="2:4" ht="20.25" customHeight="1">
      <c r="B641" s="109" t="s">
        <v>1552</v>
      </c>
      <c r="D641" s="162">
        <v>45040</v>
      </c>
    </row>
    <row r="642" spans="2:4" ht="20.25" customHeight="1">
      <c r="B642" s="109" t="s">
        <v>1553</v>
      </c>
      <c r="D642" s="142">
        <v>44923</v>
      </c>
    </row>
    <row r="643" spans="2:4" ht="20.25" customHeight="1">
      <c r="B643" s="109" t="s">
        <v>1554</v>
      </c>
      <c r="D643" s="148">
        <v>45065</v>
      </c>
    </row>
    <row r="644" spans="2:4" ht="20.25" customHeight="1">
      <c r="B644" s="109" t="s">
        <v>1555</v>
      </c>
      <c r="D644" s="137" t="s">
        <v>24</v>
      </c>
    </row>
    <row r="645" spans="2:4" ht="20.25" customHeight="1">
      <c r="B645" s="109" t="s">
        <v>1556</v>
      </c>
      <c r="D645" s="137" t="s">
        <v>24</v>
      </c>
    </row>
    <row r="646" spans="2:4" ht="20.25" customHeight="1">
      <c r="B646" s="109" t="s">
        <v>1557</v>
      </c>
      <c r="D646" s="142">
        <v>44910</v>
      </c>
    </row>
    <row r="647" spans="2:4" ht="20.25" customHeight="1">
      <c r="B647" s="109" t="s">
        <v>1558</v>
      </c>
      <c r="D647" s="142">
        <v>44923</v>
      </c>
    </row>
    <row r="648" spans="2:4" ht="20.25" customHeight="1">
      <c r="B648" s="109" t="s">
        <v>1559</v>
      </c>
      <c r="D648" s="142">
        <v>44910</v>
      </c>
    </row>
    <row r="649" spans="2:4" ht="20.25" customHeight="1">
      <c r="B649" s="108" t="s">
        <v>1017</v>
      </c>
      <c r="D649" s="142">
        <v>44869</v>
      </c>
    </row>
    <row r="650" spans="2:4" ht="20.25" customHeight="1">
      <c r="B650" s="109" t="s">
        <v>1560</v>
      </c>
      <c r="D650" s="142">
        <v>44910</v>
      </c>
    </row>
    <row r="651" spans="2:4" ht="20.25" customHeight="1">
      <c r="B651" s="109" t="s">
        <v>1561</v>
      </c>
      <c r="D651" s="137"/>
    </row>
    <row r="652" spans="2:4" ht="20.25" customHeight="1">
      <c r="B652" s="109" t="s">
        <v>1562</v>
      </c>
      <c r="D652" s="142">
        <v>44910</v>
      </c>
    </row>
    <row r="653" spans="2:4" ht="20.25" customHeight="1">
      <c r="B653" s="109" t="s">
        <v>1101</v>
      </c>
      <c r="D653" s="137" t="s">
        <v>24</v>
      </c>
    </row>
    <row r="654" spans="2:4" ht="20.25" customHeight="1">
      <c r="B654" s="109" t="s">
        <v>1563</v>
      </c>
      <c r="D654" s="142">
        <v>44923</v>
      </c>
    </row>
    <row r="655" spans="2:4" ht="20.25" customHeight="1">
      <c r="B655" s="109" t="s">
        <v>1564</v>
      </c>
      <c r="D655" s="142">
        <v>44910</v>
      </c>
    </row>
    <row r="656" spans="2:4" ht="20.25" customHeight="1">
      <c r="B656" s="109" t="s">
        <v>1565</v>
      </c>
      <c r="D656" s="142">
        <v>44910</v>
      </c>
    </row>
    <row r="657" spans="2:4" ht="20.25" customHeight="1">
      <c r="B657" s="109" t="s">
        <v>1566</v>
      </c>
      <c r="D657" s="137"/>
    </row>
    <row r="658" spans="2:4" ht="20.25" customHeight="1">
      <c r="B658" s="109" t="s">
        <v>1567</v>
      </c>
      <c r="D658" s="152"/>
    </row>
    <row r="659" spans="2:4" ht="20.25" customHeight="1">
      <c r="B659" s="109" t="s">
        <v>1010</v>
      </c>
      <c r="D659" s="152"/>
    </row>
    <row r="660" spans="2:4" ht="20.25" customHeight="1">
      <c r="B660" s="109" t="s">
        <v>1568</v>
      </c>
      <c r="D660" s="152"/>
    </row>
    <row r="661" spans="2:4" ht="20.25" customHeight="1">
      <c r="B661" s="109" t="s">
        <v>1569</v>
      </c>
      <c r="D661" s="152"/>
    </row>
    <row r="662" spans="2:4" ht="20.25" customHeight="1">
      <c r="B662" s="109" t="s">
        <v>1570</v>
      </c>
      <c r="D662" s="152"/>
    </row>
    <row r="663" spans="2:4" ht="20.25" customHeight="1">
      <c r="B663" s="109" t="s">
        <v>1571</v>
      </c>
      <c r="D663" s="152"/>
    </row>
    <row r="664" spans="2:4" ht="20.25" customHeight="1">
      <c r="B664" s="109" t="s">
        <v>1572</v>
      </c>
      <c r="D664" s="152"/>
    </row>
    <row r="665" spans="2:4" ht="20.25" customHeight="1">
      <c r="B665" s="109" t="s">
        <v>942</v>
      </c>
      <c r="D665" s="152"/>
    </row>
    <row r="666" spans="2:4" ht="20.25" customHeight="1">
      <c r="B666" s="109" t="s">
        <v>1573</v>
      </c>
      <c r="D666" s="152"/>
    </row>
    <row r="667" spans="2:4" ht="20.25" customHeight="1">
      <c r="B667" s="109" t="s">
        <v>1574</v>
      </c>
      <c r="D667" s="152"/>
    </row>
    <row r="668" spans="2:4" ht="20.25" customHeight="1">
      <c r="B668" s="113" t="s">
        <v>1575</v>
      </c>
      <c r="D668" s="152"/>
    </row>
    <row r="669" spans="2:4" ht="20.25" customHeight="1">
      <c r="B669" s="109" t="s">
        <v>1576</v>
      </c>
      <c r="D669" s="152"/>
    </row>
    <row r="670" spans="2:4" ht="20.25" customHeight="1">
      <c r="B670" s="109" t="s">
        <v>1577</v>
      </c>
      <c r="D670" s="152"/>
    </row>
    <row r="671" spans="2:4" ht="20.25" customHeight="1">
      <c r="B671" s="113" t="s">
        <v>932</v>
      </c>
      <c r="D671" s="152"/>
    </row>
    <row r="672" spans="2:4" ht="20.25" customHeight="1">
      <c r="B672" s="109" t="s">
        <v>1578</v>
      </c>
      <c r="D672" s="152"/>
    </row>
    <row r="673" spans="2:4" ht="20.25" customHeight="1">
      <c r="B673" s="109" t="s">
        <v>1579</v>
      </c>
      <c r="D673" s="152"/>
    </row>
    <row r="674" spans="2:4" ht="20.25" customHeight="1">
      <c r="B674" s="109" t="s">
        <v>1580</v>
      </c>
      <c r="D674" s="152"/>
    </row>
    <row r="675" spans="2:4" ht="20.25" customHeight="1">
      <c r="B675" s="109" t="s">
        <v>1581</v>
      </c>
      <c r="D675" s="152"/>
    </row>
    <row r="676" spans="2:4" ht="20.25" customHeight="1">
      <c r="B676" s="113" t="s">
        <v>1582</v>
      </c>
      <c r="D676" s="152"/>
    </row>
    <row r="677" spans="2:4" ht="20.25" customHeight="1">
      <c r="B677" s="109" t="s">
        <v>1583</v>
      </c>
      <c r="D677" s="152"/>
    </row>
    <row r="678" spans="2:4" ht="20.25" customHeight="1">
      <c r="B678" s="109" t="s">
        <v>1584</v>
      </c>
      <c r="D678" s="152"/>
    </row>
    <row r="679" spans="2:4" ht="20.25" customHeight="1">
      <c r="B679" s="120" t="s">
        <v>1103</v>
      </c>
      <c r="D679" s="152"/>
    </row>
    <row r="680" spans="2:4" ht="20.25" customHeight="1">
      <c r="B680" s="113" t="s">
        <v>1585</v>
      </c>
      <c r="D680" s="137" t="s">
        <v>24</v>
      </c>
    </row>
    <row r="681" spans="2:4" ht="20.25" customHeight="1">
      <c r="B681" s="109" t="s">
        <v>1586</v>
      </c>
      <c r="D681" s="137" t="s">
        <v>24</v>
      </c>
    </row>
    <row r="682" spans="2:4" ht="20.25" customHeight="1">
      <c r="B682" s="109" t="s">
        <v>1105</v>
      </c>
      <c r="D682" s="137" t="s">
        <v>24</v>
      </c>
    </row>
    <row r="683" spans="2:4" ht="20.25" customHeight="1">
      <c r="B683" s="109" t="s">
        <v>1107</v>
      </c>
      <c r="D683" s="152" t="s">
        <v>24</v>
      </c>
    </row>
    <row r="684" spans="2:4" ht="20.25" customHeight="1">
      <c r="B684" s="109" t="s">
        <v>1587</v>
      </c>
      <c r="D684" s="152"/>
    </row>
    <row r="685" spans="2:4" ht="20.25" customHeight="1">
      <c r="B685" s="109" t="s">
        <v>1109</v>
      </c>
      <c r="D685" s="152"/>
    </row>
    <row r="686" spans="2:4" ht="20.25" customHeight="1">
      <c r="B686" s="109" t="s">
        <v>1588</v>
      </c>
      <c r="D686" s="152"/>
    </row>
    <row r="687" spans="2:4" ht="20.25" customHeight="1">
      <c r="B687" s="109" t="s">
        <v>1589</v>
      </c>
      <c r="D687" s="152"/>
    </row>
    <row r="688" spans="2:4" ht="20.25" customHeight="1">
      <c r="B688" s="109" t="s">
        <v>964</v>
      </c>
      <c r="D688" s="152"/>
    </row>
    <row r="689" spans="2:4" ht="20.25" customHeight="1">
      <c r="B689" s="109" t="s">
        <v>1028</v>
      </c>
      <c r="D689" s="152"/>
    </row>
    <row r="690" spans="2:4" ht="20.25" customHeight="1">
      <c r="B690" s="109" t="s">
        <v>1590</v>
      </c>
      <c r="D690" s="152"/>
    </row>
    <row r="691" spans="2:4" ht="20.25" customHeight="1">
      <c r="B691" s="109" t="s">
        <v>1591</v>
      </c>
      <c r="D691" s="152"/>
    </row>
    <row r="692" spans="2:4" ht="20.25" customHeight="1">
      <c r="B692" s="109" t="s">
        <v>1592</v>
      </c>
      <c r="D692" s="152"/>
    </row>
    <row r="693" spans="2:4" ht="20.25" customHeight="1">
      <c r="B693" s="109" t="s">
        <v>1593</v>
      </c>
      <c r="D693" s="152"/>
    </row>
    <row r="694" spans="2:4" ht="20.25" customHeight="1">
      <c r="B694" s="109" t="s">
        <v>1594</v>
      </c>
      <c r="D694" s="152"/>
    </row>
    <row r="695" spans="2:4" ht="20.25" customHeight="1">
      <c r="B695" s="109" t="s">
        <v>1595</v>
      </c>
      <c r="D695" s="152"/>
    </row>
    <row r="696" spans="2:4" ht="20.25" customHeight="1">
      <c r="B696" s="109" t="s">
        <v>1596</v>
      </c>
      <c r="D696" s="152"/>
    </row>
    <row r="697" spans="2:4" ht="20.25" customHeight="1">
      <c r="B697" s="109" t="s">
        <v>1111</v>
      </c>
      <c r="D697" s="152"/>
    </row>
    <row r="698" spans="2:4" ht="20.25" customHeight="1">
      <c r="B698" s="109" t="s">
        <v>1597</v>
      </c>
      <c r="D698" s="152"/>
    </row>
    <row r="699" spans="2:4" ht="20.25" customHeight="1">
      <c r="B699" s="109" t="s">
        <v>1598</v>
      </c>
      <c r="D699" s="162">
        <v>45040</v>
      </c>
    </row>
    <row r="700" spans="2:4" ht="20.25" customHeight="1">
      <c r="B700" s="109" t="s">
        <v>1599</v>
      </c>
      <c r="D700" s="152"/>
    </row>
    <row r="701" spans="2:4" ht="20.25" customHeight="1">
      <c r="B701" s="109" t="s">
        <v>1600</v>
      </c>
      <c r="D701" s="152"/>
    </row>
    <row r="702" spans="2:4" ht="20.25" customHeight="1">
      <c r="B702" s="109" t="s">
        <v>1601</v>
      </c>
      <c r="D702" s="137"/>
    </row>
    <row r="703" spans="2:4" ht="20.25" customHeight="1">
      <c r="B703" s="109" t="s">
        <v>1602</v>
      </c>
      <c r="D703" s="152"/>
    </row>
    <row r="704" spans="2:4" ht="20.25" customHeight="1">
      <c r="B704" s="109" t="s">
        <v>1603</v>
      </c>
      <c r="D704" s="152"/>
    </row>
    <row r="705" spans="2:4" ht="20.25" customHeight="1">
      <c r="B705" s="109" t="s">
        <v>1604</v>
      </c>
      <c r="D705" s="142">
        <v>44922</v>
      </c>
    </row>
    <row r="706" spans="2:4" ht="20.25" customHeight="1">
      <c r="B706" s="109" t="s">
        <v>1605</v>
      </c>
      <c r="D706" s="152"/>
    </row>
    <row r="707" spans="2:4" ht="20.25" customHeight="1">
      <c r="B707" s="109" t="s">
        <v>1606</v>
      </c>
      <c r="D707" s="152"/>
    </row>
    <row r="708" spans="2:4" ht="20.25" customHeight="1">
      <c r="B708" s="109" t="s">
        <v>1607</v>
      </c>
      <c r="D708" s="152"/>
    </row>
    <row r="709" spans="2:4" ht="20.25" customHeight="1">
      <c r="B709" s="109" t="s">
        <v>1608</v>
      </c>
      <c r="D709" s="152"/>
    </row>
    <row r="710" spans="2:4" ht="20.25" customHeight="1">
      <c r="B710" s="109" t="s">
        <v>946</v>
      </c>
      <c r="D710" s="152" t="s">
        <v>24</v>
      </c>
    </row>
    <row r="711" spans="2:4" ht="20.25" customHeight="1">
      <c r="B711" s="109" t="s">
        <v>1609</v>
      </c>
      <c r="D711" s="152" t="s">
        <v>24</v>
      </c>
    </row>
    <row r="712" spans="2:4" ht="20.25" customHeight="1">
      <c r="B712" s="109" t="s">
        <v>1610</v>
      </c>
      <c r="D712" s="152"/>
    </row>
    <row r="713" spans="2:4" ht="20.25" customHeight="1">
      <c r="B713" s="109" t="s">
        <v>1611</v>
      </c>
      <c r="D713" s="152" t="s">
        <v>24</v>
      </c>
    </row>
    <row r="714" spans="2:4" ht="20.25" customHeight="1">
      <c r="B714" s="109" t="s">
        <v>1612</v>
      </c>
      <c r="D714" s="152"/>
    </row>
    <row r="715" spans="2:4" ht="20.25" customHeight="1">
      <c r="B715" s="109" t="s">
        <v>1613</v>
      </c>
      <c r="D715" s="152"/>
    </row>
    <row r="716" spans="2:4" ht="20.25" customHeight="1">
      <c r="B716" s="109" t="s">
        <v>1614</v>
      </c>
      <c r="D716" s="152"/>
    </row>
    <row r="717" spans="2:4" ht="20.25" customHeight="1">
      <c r="B717" s="109" t="s">
        <v>1615</v>
      </c>
      <c r="D717" s="137" t="s">
        <v>24</v>
      </c>
    </row>
    <row r="718" spans="2:4" ht="20.25" customHeight="1">
      <c r="B718" s="109" t="s">
        <v>1616</v>
      </c>
      <c r="D718" s="162">
        <v>45040</v>
      </c>
    </row>
    <row r="719" spans="2:4" ht="20.25" customHeight="1">
      <c r="B719" s="109" t="s">
        <v>1617</v>
      </c>
      <c r="D719" s="152"/>
    </row>
    <row r="720" spans="2:4" ht="20.25" customHeight="1">
      <c r="B720" s="109" t="s">
        <v>1618</v>
      </c>
      <c r="D720" s="137" t="s">
        <v>24</v>
      </c>
    </row>
    <row r="721" spans="2:4" ht="20.25" customHeight="1">
      <c r="B721" s="109" t="s">
        <v>1619</v>
      </c>
      <c r="D721" s="148">
        <v>45148</v>
      </c>
    </row>
    <row r="722" spans="2:4" ht="20.25" customHeight="1">
      <c r="B722" s="109" t="s">
        <v>1620</v>
      </c>
      <c r="D722" s="152"/>
    </row>
    <row r="723" spans="2:4" ht="20.25" customHeight="1">
      <c r="B723" s="109" t="s">
        <v>1621</v>
      </c>
      <c r="D723" s="148">
        <v>45049</v>
      </c>
    </row>
    <row r="724" spans="2:4" ht="20.25" customHeight="1">
      <c r="B724" s="109" t="s">
        <v>1622</v>
      </c>
      <c r="D724" s="137" t="s">
        <v>24</v>
      </c>
    </row>
    <row r="725" spans="2:4" ht="20.25" customHeight="1">
      <c r="B725" s="109" t="s">
        <v>1623</v>
      </c>
      <c r="D725" s="152" t="s">
        <v>24</v>
      </c>
    </row>
    <row r="726" spans="2:4" ht="20.25" customHeight="1">
      <c r="B726" s="109" t="s">
        <v>1624</v>
      </c>
      <c r="D726" s="152"/>
    </row>
    <row r="727" spans="2:4" ht="20.25" customHeight="1">
      <c r="B727" s="109" t="s">
        <v>1625</v>
      </c>
      <c r="D727" s="152"/>
    </row>
    <row r="728" spans="2:4" ht="20.25" customHeight="1">
      <c r="B728" s="109" t="s">
        <v>1626</v>
      </c>
      <c r="D728" s="148">
        <v>45049</v>
      </c>
    </row>
    <row r="729" spans="2:4" ht="20.25" customHeight="1">
      <c r="B729" s="109" t="s">
        <v>1627</v>
      </c>
      <c r="D729" s="142">
        <v>45058</v>
      </c>
    </row>
    <row r="730" spans="2:4" ht="20.25" customHeight="1">
      <c r="B730" s="109" t="s">
        <v>1628</v>
      </c>
      <c r="D730" s="152"/>
    </row>
    <row r="731" spans="2:4" ht="20.25" customHeight="1">
      <c r="B731" s="109" t="s">
        <v>1629</v>
      </c>
      <c r="D731" s="162">
        <v>45040</v>
      </c>
    </row>
    <row r="732" spans="2:4" ht="20.25" customHeight="1">
      <c r="B732" s="109" t="s">
        <v>1630</v>
      </c>
      <c r="D732" s="152"/>
    </row>
    <row r="733" spans="2:4" ht="20.25" customHeight="1">
      <c r="B733" s="109" t="s">
        <v>1631</v>
      </c>
      <c r="D733" s="137" t="s">
        <v>24</v>
      </c>
    </row>
    <row r="734" spans="2:4" ht="20.25" customHeight="1">
      <c r="B734" s="109" t="s">
        <v>1632</v>
      </c>
      <c r="D734" s="152"/>
    </row>
    <row r="735" spans="2:4" ht="20.25" customHeight="1">
      <c r="B735" s="109" t="s">
        <v>1633</v>
      </c>
      <c r="D735" s="152"/>
    </row>
    <row r="736" spans="2:4" ht="20.25" customHeight="1">
      <c r="B736" s="109" t="s">
        <v>1634</v>
      </c>
      <c r="D736" s="152"/>
    </row>
    <row r="737" spans="2:4" ht="20.25" customHeight="1">
      <c r="B737" s="109" t="s">
        <v>1635</v>
      </c>
      <c r="D737" s="137" t="s">
        <v>24</v>
      </c>
    </row>
    <row r="738" spans="2:4" ht="20.25" customHeight="1">
      <c r="B738" s="109" t="s">
        <v>1636</v>
      </c>
      <c r="D738" s="152"/>
    </row>
    <row r="739" spans="2:4" ht="20.25" customHeight="1">
      <c r="B739" s="109" t="s">
        <v>1637</v>
      </c>
      <c r="D739" s="152"/>
    </row>
    <row r="740" spans="2:4" ht="20.25" customHeight="1">
      <c r="B740" s="109" t="s">
        <v>1638</v>
      </c>
      <c r="D740" s="152"/>
    </row>
    <row r="741" spans="2:4" ht="20.25" customHeight="1">
      <c r="B741" s="109" t="s">
        <v>1639</v>
      </c>
      <c r="D741" s="137" t="s">
        <v>24</v>
      </c>
    </row>
    <row r="742" spans="2:4" ht="20.25" customHeight="1">
      <c r="B742" s="109" t="s">
        <v>1640</v>
      </c>
      <c r="D742" s="137" t="s">
        <v>24</v>
      </c>
    </row>
    <row r="743" spans="2:4" ht="20.25" customHeight="1">
      <c r="B743" s="109" t="s">
        <v>1641</v>
      </c>
      <c r="D743" s="152"/>
    </row>
    <row r="744" spans="2:4" ht="20.25" customHeight="1">
      <c r="B744" s="109" t="s">
        <v>1642</v>
      </c>
      <c r="D744" s="137" t="s">
        <v>24</v>
      </c>
    </row>
    <row r="745" spans="2:4" ht="20.25" customHeight="1">
      <c r="B745" s="109" t="s">
        <v>1643</v>
      </c>
      <c r="D745" s="152"/>
    </row>
    <row r="746" spans="2:4" ht="20.25" customHeight="1">
      <c r="B746" s="109" t="s">
        <v>1644</v>
      </c>
      <c r="D746" s="152"/>
    </row>
    <row r="747" spans="2:4" ht="20.25" customHeight="1">
      <c r="B747" s="109" t="s">
        <v>1645</v>
      </c>
      <c r="D747" s="137" t="s">
        <v>24</v>
      </c>
    </row>
    <row r="748" spans="2:4" ht="20.25" customHeight="1">
      <c r="B748" s="109" t="s">
        <v>1646</v>
      </c>
      <c r="D748" s="162">
        <v>45040</v>
      </c>
    </row>
    <row r="749" spans="2:4" ht="20.25" customHeight="1">
      <c r="B749" s="109" t="s">
        <v>1647</v>
      </c>
      <c r="D749" s="152"/>
    </row>
    <row r="750" spans="2:4" ht="20.25" customHeight="1">
      <c r="B750" s="109" t="s">
        <v>1113</v>
      </c>
      <c r="D750" s="137" t="s">
        <v>24</v>
      </c>
    </row>
    <row r="751" spans="2:4" ht="20.25" customHeight="1">
      <c r="B751" s="109" t="s">
        <v>1648</v>
      </c>
      <c r="D751" s="142">
        <v>44923</v>
      </c>
    </row>
    <row r="752" spans="2:4" ht="20.25" customHeight="1">
      <c r="B752" s="109" t="s">
        <v>1649</v>
      </c>
      <c r="D752" s="152"/>
    </row>
    <row r="753" spans="2:4" ht="20.25" customHeight="1">
      <c r="B753" s="109" t="s">
        <v>1650</v>
      </c>
      <c r="D753" s="142">
        <v>44877</v>
      </c>
    </row>
    <row r="754" spans="2:4" ht="20.25" customHeight="1">
      <c r="B754" s="109" t="s">
        <v>1651</v>
      </c>
      <c r="D754" s="152"/>
    </row>
    <row r="755" spans="2:4" ht="20.25" customHeight="1">
      <c r="B755" s="109" t="s">
        <v>1652</v>
      </c>
      <c r="D755" s="152"/>
    </row>
    <row r="756" spans="2:4" ht="20.25" customHeight="1">
      <c r="B756" s="109" t="s">
        <v>1653</v>
      </c>
      <c r="D756" s="162">
        <v>45040</v>
      </c>
    </row>
    <row r="757" spans="2:4" ht="20.25" customHeight="1">
      <c r="B757" s="109" t="s">
        <v>1654</v>
      </c>
      <c r="D757" s="137" t="s">
        <v>24</v>
      </c>
    </row>
    <row r="758" spans="2:4" ht="20.25" customHeight="1">
      <c r="B758" s="111" t="s">
        <v>972</v>
      </c>
      <c r="D758" s="152"/>
    </row>
    <row r="759" spans="2:4" ht="20.25" customHeight="1">
      <c r="B759" s="109" t="s">
        <v>1115</v>
      </c>
      <c r="D759" s="152"/>
    </row>
    <row r="760" spans="2:4" ht="20.25" customHeight="1">
      <c r="B760" s="109" t="s">
        <v>1655</v>
      </c>
      <c r="D760" s="152"/>
    </row>
    <row r="761" spans="2:4" ht="20.25" customHeight="1">
      <c r="B761" s="109" t="s">
        <v>1656</v>
      </c>
      <c r="D761" s="152"/>
    </row>
    <row r="762" spans="2:4" ht="20.25" customHeight="1">
      <c r="B762" s="109" t="s">
        <v>1117</v>
      </c>
      <c r="D762" s="152"/>
    </row>
    <row r="763" spans="2:4" ht="20.25" customHeight="1">
      <c r="B763" s="109" t="s">
        <v>1657</v>
      </c>
      <c r="D763" s="152"/>
    </row>
    <row r="764" spans="2:4" ht="20.25" customHeight="1">
      <c r="B764" s="109" t="s">
        <v>1658</v>
      </c>
      <c r="D764" s="152"/>
    </row>
    <row r="765" spans="2:4" ht="20.25" customHeight="1">
      <c r="B765" s="120" t="s">
        <v>1119</v>
      </c>
      <c r="D765" s="152"/>
    </row>
    <row r="766" spans="2:4" ht="20.25" customHeight="1">
      <c r="B766" s="109" t="s">
        <v>1659</v>
      </c>
      <c r="D766" s="152"/>
    </row>
    <row r="767" spans="2:4" ht="20.25" customHeight="1">
      <c r="B767" s="109" t="s">
        <v>1660</v>
      </c>
      <c r="D767" s="152"/>
    </row>
    <row r="768" spans="2:4" ht="20.25" customHeight="1">
      <c r="B768" s="109" t="s">
        <v>1661</v>
      </c>
      <c r="D768" s="148">
        <v>45049</v>
      </c>
    </row>
    <row r="769" spans="2:4" ht="20.25" customHeight="1">
      <c r="B769" s="109" t="s">
        <v>1662</v>
      </c>
      <c r="D769" s="162">
        <v>45040</v>
      </c>
    </row>
    <row r="770" spans="2:4" ht="20.25" customHeight="1">
      <c r="B770" s="109" t="s">
        <v>1663</v>
      </c>
      <c r="D770" s="152"/>
    </row>
    <row r="771" spans="2:4" ht="20.25" customHeight="1">
      <c r="B771" s="109" t="s">
        <v>1664</v>
      </c>
      <c r="D771" s="152"/>
    </row>
    <row r="772" spans="2:4" ht="20.25" customHeight="1">
      <c r="B772" s="112" t="s">
        <v>1665</v>
      </c>
      <c r="D772" s="137" t="s">
        <v>24</v>
      </c>
    </row>
    <row r="773" spans="2:4" ht="20.25" customHeight="1">
      <c r="B773" s="109" t="s">
        <v>1666</v>
      </c>
      <c r="D773" s="152"/>
    </row>
    <row r="774" spans="2:4" ht="20.25" customHeight="1">
      <c r="B774" s="109" t="s">
        <v>1667</v>
      </c>
      <c r="D774" s="152"/>
    </row>
    <row r="775" spans="2:4" ht="20.25" customHeight="1">
      <c r="B775" s="109" t="s">
        <v>1668</v>
      </c>
      <c r="D775" s="152"/>
    </row>
    <row r="776" spans="2:4" ht="20.25" customHeight="1">
      <c r="B776" s="109" t="s">
        <v>1669</v>
      </c>
      <c r="D776" s="152"/>
    </row>
    <row r="777" spans="2:4" ht="20.25" customHeight="1">
      <c r="B777" s="109" t="s">
        <v>1670</v>
      </c>
      <c r="D777" s="152"/>
    </row>
    <row r="778" spans="2:4" ht="20.25" customHeight="1">
      <c r="B778" s="109" t="s">
        <v>1671</v>
      </c>
      <c r="D778" s="152"/>
    </row>
    <row r="779" spans="2:4" ht="20.25" customHeight="1">
      <c r="B779" s="109" t="s">
        <v>1672</v>
      </c>
      <c r="D779" s="137" t="s">
        <v>24</v>
      </c>
    </row>
    <row r="780" spans="2:4" ht="20.25" customHeight="1">
      <c r="B780" s="109" t="s">
        <v>1673</v>
      </c>
      <c r="D780" s="148">
        <v>45105</v>
      </c>
    </row>
    <row r="781" spans="2:4" ht="20.25" customHeight="1">
      <c r="B781" s="109" t="s">
        <v>1674</v>
      </c>
      <c r="D781" s="162">
        <v>45040</v>
      </c>
    </row>
    <row r="782" spans="2:4" ht="20.25" customHeight="1">
      <c r="B782" s="109" t="s">
        <v>1675</v>
      </c>
      <c r="D782" s="152"/>
    </row>
    <row r="783" spans="2:4" ht="20.25" customHeight="1">
      <c r="B783" s="109" t="s">
        <v>1676</v>
      </c>
      <c r="D783" s="137" t="s">
        <v>24</v>
      </c>
    </row>
    <row r="784" spans="2:4" ht="20.25" customHeight="1">
      <c r="B784" s="109" t="s">
        <v>1677</v>
      </c>
      <c r="D784" s="137" t="s">
        <v>24</v>
      </c>
    </row>
    <row r="785" spans="2:4" ht="20.25" customHeight="1">
      <c r="B785" s="109" t="s">
        <v>1678</v>
      </c>
      <c r="D785" s="152"/>
    </row>
    <row r="786" spans="2:4" ht="20.25" customHeight="1">
      <c r="B786" s="109" t="s">
        <v>1679</v>
      </c>
      <c r="D786" s="152"/>
    </row>
    <row r="787" spans="2:4" ht="20.25" customHeight="1">
      <c r="B787" s="109" t="s">
        <v>1680</v>
      </c>
      <c r="D787" s="152"/>
    </row>
    <row r="788" spans="2:4" ht="20.25" customHeight="1">
      <c r="B788" s="109" t="s">
        <v>975</v>
      </c>
      <c r="D788" s="137" t="s">
        <v>24</v>
      </c>
    </row>
    <row r="789" spans="2:4" ht="20.25" customHeight="1">
      <c r="B789" s="109" t="s">
        <v>966</v>
      </c>
      <c r="D789" s="152"/>
    </row>
    <row r="790" spans="2:4" ht="20.25" customHeight="1">
      <c r="B790" s="109" t="s">
        <v>1681</v>
      </c>
      <c r="D790" s="142">
        <v>44910</v>
      </c>
    </row>
    <row r="791" spans="2:4" ht="20.25" customHeight="1">
      <c r="B791" s="109" t="s">
        <v>1682</v>
      </c>
      <c r="D791" s="152"/>
    </row>
    <row r="792" spans="2:4" ht="20.25" customHeight="1">
      <c r="B792" s="109" t="s">
        <v>1683</v>
      </c>
      <c r="D792" s="137" t="s">
        <v>24</v>
      </c>
    </row>
    <row r="793" spans="2:4" ht="20.25" customHeight="1">
      <c r="B793" s="109" t="s">
        <v>1684</v>
      </c>
      <c r="D793" s="152"/>
    </row>
    <row r="794" spans="2:4" ht="20.25" customHeight="1">
      <c r="B794" s="109" t="s">
        <v>1685</v>
      </c>
      <c r="D794" s="152"/>
    </row>
    <row r="795" spans="2:4" ht="20.25" customHeight="1">
      <c r="B795" s="109" t="s">
        <v>1686</v>
      </c>
      <c r="D795" s="152"/>
    </row>
    <row r="796" spans="2:4" ht="20.25" customHeight="1">
      <c r="B796" s="109" t="s">
        <v>1687</v>
      </c>
      <c r="D796" s="152"/>
    </row>
    <row r="797" spans="2:4" ht="20.25" customHeight="1">
      <c r="B797" s="109" t="s">
        <v>1688</v>
      </c>
      <c r="D797" s="162">
        <v>45040</v>
      </c>
    </row>
    <row r="798" spans="2:4" ht="20.25" customHeight="1">
      <c r="B798" s="109" t="s">
        <v>1689</v>
      </c>
      <c r="D798" s="162">
        <v>45040</v>
      </c>
    </row>
    <row r="799" spans="2:4" ht="20.25" customHeight="1">
      <c r="B799" s="109" t="s">
        <v>1690</v>
      </c>
      <c r="D799" s="152"/>
    </row>
    <row r="800" spans="2:4" ht="20.25" customHeight="1">
      <c r="B800" s="109" t="s">
        <v>1691</v>
      </c>
      <c r="D800" s="152"/>
    </row>
    <row r="801" spans="2:4" ht="20.25" customHeight="1">
      <c r="B801" s="109" t="s">
        <v>1692</v>
      </c>
      <c r="D801" s="162">
        <v>45040</v>
      </c>
    </row>
    <row r="802" spans="2:4" ht="20.25" customHeight="1">
      <c r="B802" s="109" t="s">
        <v>1693</v>
      </c>
      <c r="D802" s="142">
        <v>44890</v>
      </c>
    </row>
    <row r="803" spans="2:4" ht="20.25" customHeight="1">
      <c r="B803" s="109" t="s">
        <v>1694</v>
      </c>
      <c r="D803" s="152"/>
    </row>
    <row r="804" spans="2:4" ht="20.25" customHeight="1">
      <c r="B804" s="109" t="s">
        <v>1695</v>
      </c>
      <c r="D804" s="162">
        <v>45040</v>
      </c>
    </row>
    <row r="805" spans="2:4" ht="20.25" customHeight="1">
      <c r="B805" s="109" t="s">
        <v>1696</v>
      </c>
      <c r="D805" s="149"/>
    </row>
    <row r="806" spans="2:4" ht="20.25" customHeight="1">
      <c r="B806" s="109" t="s">
        <v>1697</v>
      </c>
      <c r="D806" s="152"/>
    </row>
    <row r="807" spans="2:4" ht="20.25" customHeight="1">
      <c r="B807" s="109" t="s">
        <v>1698</v>
      </c>
      <c r="D807" s="162">
        <v>45040</v>
      </c>
    </row>
    <row r="808" spans="2:4" ht="20.25" customHeight="1">
      <c r="B808" s="109" t="s">
        <v>1699</v>
      </c>
      <c r="D808" s="152"/>
    </row>
    <row r="809" spans="2:4" ht="20.25" customHeight="1">
      <c r="B809" s="109" t="s">
        <v>1700</v>
      </c>
      <c r="D809" s="152"/>
    </row>
    <row r="810" spans="2:4" ht="20.25" customHeight="1">
      <c r="B810" s="109" t="s">
        <v>1701</v>
      </c>
      <c r="D810" s="162">
        <v>45040</v>
      </c>
    </row>
    <row r="811" spans="2:4" ht="20.25" customHeight="1">
      <c r="B811" s="109" t="s">
        <v>1702</v>
      </c>
      <c r="D811" s="142">
        <v>44922</v>
      </c>
    </row>
    <row r="812" spans="2:4" ht="20.25" customHeight="1">
      <c r="B812" s="109" t="s">
        <v>1703</v>
      </c>
      <c r="D812" s="152"/>
    </row>
    <row r="813" spans="2:4" ht="20.25" customHeight="1">
      <c r="B813" s="109" t="s">
        <v>1704</v>
      </c>
      <c r="D813" s="152"/>
    </row>
    <row r="814" spans="2:4" ht="20.25" customHeight="1">
      <c r="B814" s="109" t="s">
        <v>1705</v>
      </c>
      <c r="D814" s="137" t="s">
        <v>24</v>
      </c>
    </row>
    <row r="815" spans="2:4" ht="20.25" customHeight="1">
      <c r="B815" s="109" t="s">
        <v>1706</v>
      </c>
      <c r="D815" s="142">
        <v>45056</v>
      </c>
    </row>
    <row r="816" spans="2:4" ht="20.25" customHeight="1">
      <c r="B816" s="109" t="s">
        <v>1121</v>
      </c>
      <c r="D816" s="152"/>
    </row>
    <row r="817" spans="2:4" ht="20.25" customHeight="1">
      <c r="B817" s="109" t="s">
        <v>1123</v>
      </c>
      <c r="D817" s="137" t="s">
        <v>24</v>
      </c>
    </row>
    <row r="818" spans="2:4" ht="20.25" customHeight="1">
      <c r="B818" s="109" t="s">
        <v>1707</v>
      </c>
      <c r="D818" s="152" t="s">
        <v>24</v>
      </c>
    </row>
    <row r="819" spans="2:4" ht="20.25" customHeight="1">
      <c r="B819" s="109" t="s">
        <v>1708</v>
      </c>
      <c r="D819" s="137" t="s">
        <v>24</v>
      </c>
    </row>
    <row r="820" spans="2:4" ht="20.25" customHeight="1">
      <c r="B820" s="109" t="s">
        <v>1709</v>
      </c>
      <c r="D820" s="152"/>
    </row>
    <row r="821" spans="2:4" ht="20.25" customHeight="1">
      <c r="B821" s="109" t="s">
        <v>1710</v>
      </c>
      <c r="D821" s="152"/>
    </row>
    <row r="822" spans="2:4" ht="20.25" customHeight="1">
      <c r="B822" s="109" t="s">
        <v>1711</v>
      </c>
      <c r="D822" s="152"/>
    </row>
    <row r="823" spans="2:4" ht="20.25" customHeight="1">
      <c r="B823" s="109" t="s">
        <v>1712</v>
      </c>
      <c r="D823" s="152"/>
    </row>
    <row r="824" spans="2:4" ht="20.25" customHeight="1">
      <c r="B824" s="109" t="s">
        <v>1713</v>
      </c>
      <c r="D824" s="152"/>
    </row>
    <row r="825" spans="2:4" ht="20.25" customHeight="1">
      <c r="B825" s="109" t="s">
        <v>1714</v>
      </c>
      <c r="D825" s="152"/>
    </row>
    <row r="826" spans="2:4" ht="20.25" customHeight="1">
      <c r="B826" s="109" t="s">
        <v>1715</v>
      </c>
      <c r="D826" s="152"/>
    </row>
    <row r="827" spans="2:4" ht="20.25" customHeight="1">
      <c r="B827" s="109" t="s">
        <v>1716</v>
      </c>
      <c r="D827" s="152"/>
    </row>
    <row r="828" spans="2:4" ht="20.25" customHeight="1">
      <c r="B828" s="109" t="s">
        <v>1717</v>
      </c>
      <c r="D828" s="152"/>
    </row>
    <row r="829" spans="2:4" ht="20.25" customHeight="1">
      <c r="B829" s="109" t="s">
        <v>1718</v>
      </c>
      <c r="D829" s="152"/>
    </row>
    <row r="830" spans="2:4" ht="20.25" customHeight="1">
      <c r="B830" s="109" t="s">
        <v>1719</v>
      </c>
      <c r="D830" s="137" t="s">
        <v>24</v>
      </c>
    </row>
    <row r="831" spans="2:4" ht="20.25" customHeight="1">
      <c r="B831" s="109" t="s">
        <v>1720</v>
      </c>
      <c r="D831" s="137" t="s">
        <v>24</v>
      </c>
    </row>
    <row r="832" spans="2:4" ht="20.25" customHeight="1">
      <c r="B832" s="109" t="s">
        <v>1721</v>
      </c>
      <c r="D832" s="137" t="s">
        <v>24</v>
      </c>
    </row>
    <row r="833" spans="2:4" ht="20.25" customHeight="1">
      <c r="B833" s="109" t="s">
        <v>1722</v>
      </c>
      <c r="D833" s="153"/>
    </row>
    <row r="834" spans="2:4" ht="20.25" customHeight="1">
      <c r="B834" s="109" t="s">
        <v>1723</v>
      </c>
      <c r="D834" s="152"/>
    </row>
    <row r="835" spans="2:4" ht="20.25" customHeight="1">
      <c r="B835" s="109" t="s">
        <v>1724</v>
      </c>
      <c r="D835" s="152"/>
    </row>
    <row r="836" spans="2:4" ht="20.25" customHeight="1">
      <c r="B836" s="109" t="s">
        <v>1725</v>
      </c>
      <c r="D836" s="152"/>
    </row>
    <row r="837" spans="2:4" ht="20.25" customHeight="1">
      <c r="B837" s="109" t="s">
        <v>1726</v>
      </c>
      <c r="D837" s="152"/>
    </row>
    <row r="838" spans="2:4" ht="20.25" customHeight="1">
      <c r="B838" s="110" t="s">
        <v>1727</v>
      </c>
      <c r="D838" s="152"/>
    </row>
    <row r="839" spans="2:4" ht="20.25" customHeight="1">
      <c r="B839" s="110" t="s">
        <v>1728</v>
      </c>
      <c r="D839" s="152"/>
    </row>
    <row r="840" spans="2:4" ht="20.25" customHeight="1">
      <c r="B840" s="109" t="s">
        <v>969</v>
      </c>
      <c r="D840" s="152"/>
    </row>
    <row r="841" spans="2:4" ht="20.25" customHeight="1">
      <c r="B841" s="110" t="s">
        <v>1729</v>
      </c>
      <c r="D841" s="152"/>
    </row>
    <row r="842" spans="2:4" ht="20.25" customHeight="1">
      <c r="B842" s="110" t="s">
        <v>1730</v>
      </c>
      <c r="D842" s="152"/>
    </row>
    <row r="843" spans="2:4" ht="20.25" customHeight="1">
      <c r="B843" s="110" t="s">
        <v>1731</v>
      </c>
      <c r="D843" s="152"/>
    </row>
    <row r="844" spans="2:4" ht="20.25" customHeight="1">
      <c r="B844" s="110" t="s">
        <v>1732</v>
      </c>
      <c r="D844" s="152"/>
    </row>
    <row r="845" spans="2:4" ht="20.25" customHeight="1">
      <c r="B845" s="110" t="s">
        <v>1733</v>
      </c>
      <c r="D845" s="152"/>
    </row>
    <row r="846" spans="2:4" ht="20.25" customHeight="1">
      <c r="B846" s="110" t="s">
        <v>1734</v>
      </c>
      <c r="D846" s="152"/>
    </row>
    <row r="847" spans="2:4" ht="20.25" customHeight="1">
      <c r="B847" s="110" t="s">
        <v>1735</v>
      </c>
      <c r="D847" s="152"/>
    </row>
    <row r="848" spans="2:4" ht="20.25" customHeight="1">
      <c r="B848" s="110" t="s">
        <v>1736</v>
      </c>
      <c r="D848" s="152"/>
    </row>
    <row r="849" spans="2:4" ht="20.25" customHeight="1">
      <c r="B849" s="110" t="s">
        <v>1737</v>
      </c>
      <c r="D849" s="152"/>
    </row>
    <row r="850" spans="2:4" ht="20.25" customHeight="1">
      <c r="B850" s="110" t="s">
        <v>1738</v>
      </c>
      <c r="D850" s="152"/>
    </row>
    <row r="851" spans="2:4" ht="20.25" customHeight="1">
      <c r="B851" s="110" t="s">
        <v>1739</v>
      </c>
      <c r="D851" s="152"/>
    </row>
    <row r="852" spans="2:4" ht="20.25" customHeight="1">
      <c r="B852" s="110" t="s">
        <v>1740</v>
      </c>
      <c r="D852" s="152"/>
    </row>
    <row r="853" spans="2:4" ht="20.25" customHeight="1">
      <c r="B853" s="110" t="s">
        <v>1741</v>
      </c>
      <c r="D853" s="152"/>
    </row>
    <row r="854" spans="2:4" ht="20.25" customHeight="1">
      <c r="B854" s="110" t="s">
        <v>1742</v>
      </c>
      <c r="D854" s="152"/>
    </row>
    <row r="855" spans="2:4" ht="20.25" customHeight="1">
      <c r="B855" s="110" t="s">
        <v>1743</v>
      </c>
      <c r="D855" s="152"/>
    </row>
    <row r="856" spans="2:4" ht="20.25" customHeight="1">
      <c r="B856" s="110" t="s">
        <v>1744</v>
      </c>
      <c r="D856" s="152"/>
    </row>
    <row r="857" spans="2:4" ht="20.25" customHeight="1">
      <c r="B857" s="110" t="s">
        <v>1745</v>
      </c>
      <c r="D857" s="152"/>
    </row>
    <row r="858" spans="2:4" ht="20.25" customHeight="1">
      <c r="B858" s="110" t="s">
        <v>1746</v>
      </c>
      <c r="D858" s="152"/>
    </row>
    <row r="859" spans="2:4" ht="20.25" customHeight="1">
      <c r="B859" s="110" t="s">
        <v>1747</v>
      </c>
      <c r="D859" s="152"/>
    </row>
    <row r="860" spans="2:4" ht="20.25" customHeight="1">
      <c r="B860" s="110" t="s">
        <v>1748</v>
      </c>
      <c r="D860" s="152"/>
    </row>
    <row r="861" spans="2:4" ht="20.25" customHeight="1">
      <c r="B861" s="110" t="s">
        <v>1749</v>
      </c>
      <c r="D861" s="152"/>
    </row>
    <row r="862" spans="2:4" ht="20.25" customHeight="1">
      <c r="B862" s="110" t="s">
        <v>1750</v>
      </c>
      <c r="D862" s="152"/>
    </row>
    <row r="863" spans="2:4" ht="20.25" customHeight="1">
      <c r="B863" s="110" t="s">
        <v>1751</v>
      </c>
      <c r="D863" s="152"/>
    </row>
    <row r="864" spans="2:4" ht="20.25" customHeight="1">
      <c r="B864" s="110" t="s">
        <v>1752</v>
      </c>
      <c r="D864" s="152"/>
    </row>
    <row r="865" spans="2:4" ht="20.25" customHeight="1">
      <c r="B865" s="110" t="s">
        <v>1753</v>
      </c>
      <c r="D865" s="152"/>
    </row>
    <row r="866" spans="2:4" ht="20.25" customHeight="1">
      <c r="B866" s="110" t="s">
        <v>1754</v>
      </c>
      <c r="D866" s="152"/>
    </row>
    <row r="867" spans="2:4" ht="20.25" customHeight="1">
      <c r="B867" s="110" t="s">
        <v>1755</v>
      </c>
      <c r="D867" s="137" t="s">
        <v>24</v>
      </c>
    </row>
    <row r="868" spans="2:4" ht="20.25" customHeight="1">
      <c r="B868" s="110" t="s">
        <v>1756</v>
      </c>
      <c r="D868" s="152"/>
    </row>
    <row r="869" spans="2:4" ht="20.25" customHeight="1">
      <c r="B869" s="110" t="s">
        <v>1005</v>
      </c>
      <c r="D869" s="152"/>
    </row>
    <row r="870" spans="2:4" ht="20.25" customHeight="1">
      <c r="B870" s="110" t="s">
        <v>1125</v>
      </c>
      <c r="D870" s="152"/>
    </row>
    <row r="871" spans="2:4" ht="20.25" customHeight="1">
      <c r="B871" s="110" t="s">
        <v>1757</v>
      </c>
      <c r="D871" s="152"/>
    </row>
    <row r="872" spans="2:4" ht="20.25" customHeight="1">
      <c r="B872" s="110" t="s">
        <v>1758</v>
      </c>
      <c r="D872" s="148">
        <v>45065</v>
      </c>
    </row>
    <row r="873" spans="2:4" ht="20.25" customHeight="1">
      <c r="B873" s="110" t="s">
        <v>1020</v>
      </c>
      <c r="D873" s="137" t="s">
        <v>24</v>
      </c>
    </row>
    <row r="874" spans="2:4" ht="20.25" customHeight="1">
      <c r="B874" s="110" t="s">
        <v>1759</v>
      </c>
      <c r="D874" s="148">
        <v>45148</v>
      </c>
    </row>
    <row r="875" spans="2:4" ht="20.25" customHeight="1">
      <c r="B875" s="110" t="s">
        <v>1760</v>
      </c>
      <c r="D875" s="137" t="s">
        <v>24</v>
      </c>
    </row>
    <row r="876" spans="2:4" ht="20.25" customHeight="1">
      <c r="B876" s="110" t="s">
        <v>1127</v>
      </c>
      <c r="D876" s="137" t="s">
        <v>24</v>
      </c>
    </row>
    <row r="877" spans="2:4" ht="20.25" customHeight="1">
      <c r="B877" s="111"/>
      <c r="D877" s="152"/>
    </row>
    <row r="878" spans="2:4" ht="20.25" customHeight="1">
      <c r="B878" s="111"/>
      <c r="D878" s="152"/>
    </row>
    <row r="879" spans="2:4" ht="20.25" customHeight="1">
      <c r="B879" s="111"/>
      <c r="D879" s="152"/>
    </row>
    <row r="880" spans="2:4" ht="20.25" customHeight="1">
      <c r="B880" s="111"/>
      <c r="D880" s="142">
        <v>44910</v>
      </c>
    </row>
    <row r="881" spans="2:4" ht="20.25" customHeight="1">
      <c r="B881" s="111"/>
      <c r="D881" s="148">
        <v>45065</v>
      </c>
    </row>
    <row r="882" spans="2:4" ht="20.25" customHeight="1">
      <c r="B882" s="111"/>
      <c r="D882" s="137" t="s">
        <v>24</v>
      </c>
    </row>
    <row r="883" spans="2:4" ht="20.25" customHeight="1">
      <c r="B883" s="111"/>
      <c r="D883" s="137" t="s">
        <v>24</v>
      </c>
    </row>
    <row r="884" spans="2:4" ht="20.25" customHeight="1">
      <c r="B884" s="111"/>
      <c r="D884" s="148">
        <v>45049</v>
      </c>
    </row>
    <row r="885" spans="2:4" ht="20.25" customHeight="1">
      <c r="B885" s="111"/>
      <c r="D885" s="152"/>
    </row>
    <row r="886" spans="2:4" ht="20.25" customHeight="1">
      <c r="B886" s="111"/>
      <c r="D886" s="137" t="s">
        <v>24</v>
      </c>
    </row>
    <row r="887" spans="2:4" ht="20.25" customHeight="1">
      <c r="B887" s="111"/>
      <c r="D887" s="162">
        <v>45040</v>
      </c>
    </row>
    <row r="888" spans="2:4" ht="20.25" customHeight="1">
      <c r="B888" s="111"/>
      <c r="D888" s="152"/>
    </row>
    <row r="889" spans="2:4" ht="20.25" customHeight="1">
      <c r="B889" s="111"/>
      <c r="D889" s="152"/>
    </row>
    <row r="890" spans="2:4" ht="20.25" customHeight="1">
      <c r="B890" s="111"/>
      <c r="D890" s="152"/>
    </row>
    <row r="891" spans="2:4" ht="20.25" customHeight="1">
      <c r="B891" s="111"/>
      <c r="D891" s="152"/>
    </row>
    <row r="892" spans="2:4" ht="20.25" customHeight="1">
      <c r="B892" s="111"/>
      <c r="D892" s="152"/>
    </row>
    <row r="893" spans="2:4" ht="20.25" customHeight="1">
      <c r="B893" s="111"/>
      <c r="D893" s="152"/>
    </row>
    <row r="894" spans="2:4" ht="20.25" customHeight="1">
      <c r="B894" s="111"/>
      <c r="D894" s="152"/>
    </row>
    <row r="895" spans="2:4" ht="20.25" customHeight="1">
      <c r="B895" s="111"/>
      <c r="D895" s="152"/>
    </row>
    <row r="896" spans="2:4" ht="20.25" customHeight="1">
      <c r="B896" s="111"/>
      <c r="D896" s="152"/>
    </row>
    <row r="897" spans="2:4" ht="20.25" customHeight="1">
      <c r="B897" s="111"/>
      <c r="D897" s="152"/>
    </row>
    <row r="898" spans="2:4" ht="20.25" customHeight="1">
      <c r="B898" s="111"/>
      <c r="D898" s="152"/>
    </row>
    <row r="899" spans="2:4" ht="20.25" customHeight="1">
      <c r="B899" s="111"/>
      <c r="D899" s="152"/>
    </row>
    <row r="900" spans="2:4" ht="20.25" customHeight="1">
      <c r="B900" s="111"/>
      <c r="D900" s="137" t="s">
        <v>24</v>
      </c>
    </row>
    <row r="901" spans="2:4" ht="20.25" customHeight="1">
      <c r="B901" s="111"/>
      <c r="D901" s="152"/>
    </row>
    <row r="902" spans="2:4" ht="20.25" customHeight="1">
      <c r="B902" s="111"/>
      <c r="D902" s="152"/>
    </row>
    <row r="903" spans="2:4" ht="20.25" customHeight="1">
      <c r="B903" s="111"/>
      <c r="D903" s="152"/>
    </row>
    <row r="904" spans="2:4" ht="20.25" customHeight="1">
      <c r="B904" s="111"/>
      <c r="D904" s="152"/>
    </row>
    <row r="905" spans="2:4" ht="20.25" customHeight="1">
      <c r="B905" s="111"/>
      <c r="D905" s="152"/>
    </row>
    <row r="906" spans="2:4" ht="20.25" customHeight="1">
      <c r="B906" s="111"/>
      <c r="D906" s="152"/>
    </row>
    <row r="907" spans="2:4" ht="20.25" customHeight="1">
      <c r="B907" s="111"/>
      <c r="D907" s="152"/>
    </row>
    <row r="908" spans="2:4" ht="20.25" customHeight="1">
      <c r="B908" s="111"/>
      <c r="D908" s="152"/>
    </row>
    <row r="909" spans="2:4" ht="20.25" customHeight="1">
      <c r="B909" s="111"/>
      <c r="D909" s="152"/>
    </row>
    <row r="910" spans="2:4" ht="20.25" customHeight="1">
      <c r="B910" s="111"/>
      <c r="D910" s="152"/>
    </row>
    <row r="911" spans="2:4" ht="20.25" customHeight="1">
      <c r="B911" s="111"/>
      <c r="D911" s="152"/>
    </row>
    <row r="912" spans="2:4" ht="20.25" customHeight="1">
      <c r="B912" s="111"/>
      <c r="D912" s="152"/>
    </row>
    <row r="913" spans="2:4" ht="20.25" customHeight="1">
      <c r="B913" s="111"/>
      <c r="D913" s="152"/>
    </row>
    <row r="914" spans="2:4" ht="20.25" customHeight="1">
      <c r="B914" s="111"/>
      <c r="D914" s="152"/>
    </row>
    <row r="915" spans="2:4" ht="20.25" customHeight="1">
      <c r="B915" s="111"/>
      <c r="D915" s="152"/>
    </row>
    <row r="916" spans="2:4" ht="20.25" customHeight="1">
      <c r="B916" s="111"/>
      <c r="D916" s="152"/>
    </row>
    <row r="917" spans="2:4" ht="20.25" customHeight="1">
      <c r="B917" s="111"/>
      <c r="D917" s="152"/>
    </row>
    <row r="918" spans="2:4" ht="20.25" customHeight="1">
      <c r="B918" s="111"/>
      <c r="D918" s="152"/>
    </row>
    <row r="919" spans="2:4" ht="20.25" customHeight="1">
      <c r="B919" s="111"/>
      <c r="D919" s="152"/>
    </row>
    <row r="920" spans="2:4" ht="20.25" customHeight="1">
      <c r="B920" s="111"/>
      <c r="D920" s="152"/>
    </row>
    <row r="921" spans="2:4" ht="20.25" customHeight="1">
      <c r="B921" s="111"/>
      <c r="D921" s="152"/>
    </row>
    <row r="922" spans="2:4" ht="20.25" customHeight="1">
      <c r="B922" s="111"/>
      <c r="D922" s="152"/>
    </row>
    <row r="923" spans="2:4" ht="20.25" customHeight="1">
      <c r="B923" s="111"/>
      <c r="D923" s="152"/>
    </row>
    <row r="924" spans="2:4" ht="20.25" customHeight="1">
      <c r="B924" s="111"/>
      <c r="D924" s="152"/>
    </row>
    <row r="925" spans="2:4" ht="20.25" customHeight="1">
      <c r="B925" s="111"/>
      <c r="D925" s="152"/>
    </row>
    <row r="926" spans="2:4" ht="20.25" customHeight="1">
      <c r="B926" s="111"/>
      <c r="D926" s="152"/>
    </row>
    <row r="927" spans="2:4" ht="20.25" customHeight="1">
      <c r="B927" s="111"/>
      <c r="D927" s="152"/>
    </row>
    <row r="928" spans="2:4" ht="20.25" customHeight="1">
      <c r="B928" s="111"/>
      <c r="D928" s="152"/>
    </row>
    <row r="929" spans="2:4" ht="20.25" customHeight="1">
      <c r="B929" s="111"/>
      <c r="D929" s="152"/>
    </row>
    <row r="930" spans="2:4" ht="20.25" customHeight="1">
      <c r="B930" s="111"/>
      <c r="D930" s="152"/>
    </row>
    <row r="931" spans="2:4" ht="20.25" customHeight="1">
      <c r="B931" s="111"/>
      <c r="D931" s="152"/>
    </row>
    <row r="932" spans="2:4" ht="20.25" customHeight="1">
      <c r="B932" s="111"/>
      <c r="D932" s="152"/>
    </row>
    <row r="933" spans="2:4" ht="20.25" customHeight="1">
      <c r="B933" s="111"/>
      <c r="D933" s="152"/>
    </row>
    <row r="934" spans="2:4" ht="20.25" customHeight="1">
      <c r="B934" s="107"/>
      <c r="D934" s="152"/>
    </row>
    <row r="935" spans="2:4" ht="20.25" customHeight="1">
      <c r="B935" s="107"/>
      <c r="D935" s="152"/>
    </row>
    <row r="936" spans="2:4" ht="20.25" customHeight="1">
      <c r="B936" s="107"/>
      <c r="D936" s="152"/>
    </row>
    <row r="937" spans="2:4" ht="20.25" customHeight="1">
      <c r="B937" s="107"/>
      <c r="D937" s="137" t="s">
        <v>24</v>
      </c>
    </row>
    <row r="938" spans="2:4" ht="20.25" customHeight="1">
      <c r="B938" s="107"/>
      <c r="D938" s="137" t="s">
        <v>24</v>
      </c>
    </row>
    <row r="939" spans="2:4" ht="20.25" customHeight="1">
      <c r="B939" s="107"/>
      <c r="D939" s="152"/>
    </row>
    <row r="940" spans="2:4" ht="20.25" customHeight="1">
      <c r="B940" s="107"/>
      <c r="D940" s="152"/>
    </row>
    <row r="941" spans="2:4" ht="20.25" customHeight="1">
      <c r="B941" s="107"/>
      <c r="D941" s="152"/>
    </row>
    <row r="942" spans="2:4" ht="20.25" customHeight="1">
      <c r="B942" s="107"/>
      <c r="D942" s="152"/>
    </row>
    <row r="943" spans="2:4" ht="20.25" customHeight="1">
      <c r="B943" s="107"/>
      <c r="D943" s="152"/>
    </row>
    <row r="944" spans="2:4" ht="20.25" customHeight="1">
      <c r="B944" s="107"/>
      <c r="D944" s="152"/>
    </row>
    <row r="945" spans="2:4" ht="20.25" customHeight="1">
      <c r="B945" s="107"/>
      <c r="D945" s="152"/>
    </row>
    <row r="946" spans="2:4" ht="20.25" customHeight="1">
      <c r="B946" s="107"/>
      <c r="D946" s="152"/>
    </row>
    <row r="947" spans="2:4" ht="20.25" customHeight="1">
      <c r="B947" s="107"/>
      <c r="D947" s="152"/>
    </row>
    <row r="948" spans="2:4" ht="20.25" customHeight="1">
      <c r="B948" s="107"/>
      <c r="D948" s="152"/>
    </row>
    <row r="949" spans="2:4" ht="20.25" customHeight="1">
      <c r="B949" s="107"/>
      <c r="D949" s="137" t="s">
        <v>24</v>
      </c>
    </row>
    <row r="950" spans="2:4" ht="20.25" customHeight="1">
      <c r="B950" s="107"/>
      <c r="D950" s="137" t="s">
        <v>24</v>
      </c>
    </row>
    <row r="951" spans="2:4" ht="20.25" customHeight="1">
      <c r="B951" s="107"/>
      <c r="D951" s="152"/>
    </row>
    <row r="952" spans="2:4" ht="20.25" customHeight="1">
      <c r="B952" s="107"/>
      <c r="D952" s="152"/>
    </row>
    <row r="953" spans="2:4" ht="20.25" customHeight="1">
      <c r="B953" s="107"/>
      <c r="D953" s="152"/>
    </row>
    <row r="954" spans="2:4" ht="20.25" customHeight="1">
      <c r="B954" s="107"/>
      <c r="D954" s="152"/>
    </row>
    <row r="955" spans="2:4" ht="20.25" customHeight="1">
      <c r="B955" s="107"/>
      <c r="D955" s="148">
        <v>45049</v>
      </c>
    </row>
    <row r="956" spans="2:4" ht="20.25" customHeight="1">
      <c r="B956" s="107"/>
      <c r="D956" s="152"/>
    </row>
    <row r="957" spans="2:4" ht="20.25" customHeight="1">
      <c r="B957" s="107"/>
      <c r="D957" s="152"/>
    </row>
    <row r="958" spans="2:4" ht="20.25" customHeight="1">
      <c r="B958" s="107"/>
      <c r="D958" s="152"/>
    </row>
    <row r="959" spans="2:4" ht="20.25" customHeight="1">
      <c r="B959" s="107"/>
      <c r="D959" s="152"/>
    </row>
    <row r="960" spans="2:4" ht="20.25" customHeight="1">
      <c r="B960" s="107"/>
      <c r="D960" s="152"/>
    </row>
    <row r="961" spans="2:4" ht="20.25" customHeight="1">
      <c r="B961" s="107"/>
      <c r="D961" s="152"/>
    </row>
    <row r="962" spans="2:4" ht="20.25" customHeight="1">
      <c r="B962" s="107"/>
      <c r="D962" s="152"/>
    </row>
    <row r="963" spans="2:4" ht="20.25" customHeight="1">
      <c r="B963" s="107"/>
      <c r="D963" s="152"/>
    </row>
    <row r="964" spans="2:4" ht="20.25" customHeight="1">
      <c r="B964" s="107"/>
      <c r="D964" s="152"/>
    </row>
    <row r="965" spans="2:4" ht="20.25" customHeight="1">
      <c r="B965" s="107"/>
      <c r="D965" s="152"/>
    </row>
    <row r="966" spans="2:4" ht="20.25" customHeight="1">
      <c r="B966" s="107"/>
      <c r="D966" s="152"/>
    </row>
    <row r="967" spans="2:4" ht="20.25" customHeight="1">
      <c r="B967" s="107"/>
      <c r="D967" s="152"/>
    </row>
    <row r="968" spans="2:4" ht="20.25" customHeight="1">
      <c r="B968" s="107"/>
      <c r="D968" s="152"/>
    </row>
    <row r="969" spans="2:4" ht="20.25" customHeight="1">
      <c r="B969" s="107"/>
      <c r="D969" s="152"/>
    </row>
    <row r="970" spans="2:4" ht="20.25" customHeight="1">
      <c r="B970" s="107"/>
      <c r="D970" s="152"/>
    </row>
    <row r="971" spans="2:4" ht="20.25" customHeight="1">
      <c r="B971" s="107"/>
      <c r="D971" s="152"/>
    </row>
    <row r="972" spans="2:4" ht="20.25" customHeight="1">
      <c r="B972" s="107"/>
      <c r="D972" s="152"/>
    </row>
    <row r="973" spans="2:4" ht="20.25" customHeight="1">
      <c r="B973" s="107"/>
      <c r="D973" s="142">
        <v>44961</v>
      </c>
    </row>
    <row r="974" spans="2:4" ht="20.25" customHeight="1">
      <c r="B974" s="107"/>
      <c r="D974" s="152"/>
    </row>
    <row r="975" spans="2:4" ht="20.25" customHeight="1">
      <c r="D975" s="152"/>
    </row>
    <row r="976" spans="2:4" ht="20.25" customHeight="1">
      <c r="D976" s="152"/>
    </row>
    <row r="977" spans="4:4" ht="20.25" customHeight="1">
      <c r="D977" s="152"/>
    </row>
    <row r="978" spans="4:4" ht="20.25" customHeight="1">
      <c r="D978" s="152"/>
    </row>
    <row r="979" spans="4:4" ht="20.25" customHeight="1">
      <c r="D979" s="152"/>
    </row>
    <row r="980" spans="4:4" ht="20.25" customHeight="1">
      <c r="D980" s="152"/>
    </row>
    <row r="981" spans="4:4" ht="20.25" customHeight="1">
      <c r="D981" s="152"/>
    </row>
    <row r="982" spans="4:4" ht="20.25" customHeight="1">
      <c r="D982" s="152"/>
    </row>
    <row r="983" spans="4:4" ht="20.25" customHeight="1">
      <c r="D983" s="152"/>
    </row>
    <row r="984" spans="4:4" ht="20.25" customHeight="1">
      <c r="D984" s="152"/>
    </row>
    <row r="985" spans="4:4" ht="20.25" customHeight="1">
      <c r="D985" s="152"/>
    </row>
    <row r="986" spans="4:4" ht="20.25" customHeight="1">
      <c r="D986" s="152"/>
    </row>
    <row r="987" spans="4:4" ht="20.25" customHeight="1">
      <c r="D987" s="152"/>
    </row>
    <row r="988" spans="4:4" ht="20.25" customHeight="1">
      <c r="D988" s="152"/>
    </row>
    <row r="989" spans="4:4" ht="20.25" customHeight="1">
      <c r="D989" s="152"/>
    </row>
    <row r="990" spans="4:4" ht="20.25" customHeight="1">
      <c r="D990" s="152"/>
    </row>
    <row r="991" spans="4:4" ht="20.25" customHeight="1">
      <c r="D991" s="152"/>
    </row>
    <row r="992" spans="4:4" ht="20.25" customHeight="1">
      <c r="D992" s="152"/>
    </row>
    <row r="993" spans="4:4" ht="20.25" customHeight="1">
      <c r="D993" s="152"/>
    </row>
    <row r="994" spans="4:4" ht="20.25" customHeight="1">
      <c r="D994" s="152"/>
    </row>
    <row r="995" spans="4:4" ht="20.25" customHeight="1">
      <c r="D995" s="152"/>
    </row>
    <row r="996" spans="4:4" ht="20.25" customHeight="1">
      <c r="D996" s="152"/>
    </row>
    <row r="997" spans="4:4" ht="20.25" customHeight="1">
      <c r="D997" s="152"/>
    </row>
    <row r="998" spans="4:4" ht="20.25" customHeight="1">
      <c r="D998" s="152"/>
    </row>
    <row r="999" spans="4:4" ht="20.25" customHeight="1">
      <c r="D999" s="152"/>
    </row>
    <row r="1000" spans="4:4" ht="20.25" customHeight="1">
      <c r="D1000" s="152"/>
    </row>
    <row r="1001" spans="4:4" ht="20.25" customHeight="1">
      <c r="D1001" s="142">
        <v>44961</v>
      </c>
    </row>
    <row r="1002" spans="4:4" ht="20.25" customHeight="1">
      <c r="D1002" s="148">
        <v>45105</v>
      </c>
    </row>
    <row r="1003" spans="4:4" ht="20.25" customHeight="1">
      <c r="D1003" s="148">
        <v>45105</v>
      </c>
    </row>
    <row r="1004" spans="4:4" ht="20.25" customHeight="1">
      <c r="D1004" s="152"/>
    </row>
    <row r="1005" spans="4:4" ht="20.25" customHeight="1">
      <c r="D1005" s="137" t="s">
        <v>24</v>
      </c>
    </row>
    <row r="1006" spans="4:4" ht="20.25" customHeight="1">
      <c r="D1006" s="142">
        <v>44961</v>
      </c>
    </row>
    <row r="1007" spans="4:4" ht="20.25" customHeight="1">
      <c r="D1007" s="152"/>
    </row>
    <row r="1008" spans="4:4" ht="20.25" customHeight="1">
      <c r="D1008" s="137" t="s">
        <v>24</v>
      </c>
    </row>
    <row r="1009" spans="4:4" ht="20.25" customHeight="1">
      <c r="D1009" s="152"/>
    </row>
    <row r="1010" spans="4:4" ht="20.25" customHeight="1">
      <c r="D1010" s="179"/>
    </row>
    <row r="1011" spans="4:4" ht="20.25" customHeight="1">
      <c r="D1011" s="152"/>
    </row>
    <row r="1012" spans="4:4" ht="20.25" customHeight="1">
      <c r="D1012" s="152"/>
    </row>
  </sheetData>
  <conditionalFormatting sqref="B11:B17">
    <cfRule type="duplicateValues" dxfId="64" priority="638"/>
  </conditionalFormatting>
  <conditionalFormatting sqref="B18:B32">
    <cfRule type="duplicateValues" dxfId="63" priority="220"/>
  </conditionalFormatting>
  <conditionalFormatting sqref="C20:C21">
    <cfRule type="duplicateValues" dxfId="62" priority="40"/>
  </conditionalFormatting>
  <conditionalFormatting sqref="F15:F67 F3:F13 H15:H64 H3:H13">
    <cfRule type="duplicateValues" dxfId="61" priority="214"/>
  </conditionalFormatting>
  <conditionalFormatting sqref="C7">
    <cfRule type="duplicateValues" dxfId="60" priority="1"/>
  </conditionalFormatting>
  <conditionalFormatting sqref="F3:F4 F6:F9">
    <cfRule type="duplicateValues" dxfId="59" priority="639"/>
  </conditionalFormatting>
  <conditionalFormatting sqref="F3:F4 F6:F13">
    <cfRule type="duplicateValues" dxfId="58" priority="642"/>
    <cfRule type="duplicateValues" dxfId="57" priority="643"/>
    <cfRule type="duplicateValues" dxfId="56" priority="644"/>
    <cfRule type="duplicateValues" dxfId="55" priority="645"/>
  </conditionalFormatting>
  <conditionalFormatting sqref="F6:F9">
    <cfRule type="duplicateValues" dxfId="54" priority="654"/>
  </conditionalFormatting>
  <conditionalFormatting sqref="F6:F13">
    <cfRule type="duplicateValues" dxfId="53" priority="656"/>
    <cfRule type="duplicateValues" dxfId="52" priority="657"/>
    <cfRule type="duplicateValues" dxfId="51" priority="658"/>
    <cfRule type="duplicateValues" dxfId="50" priority="659"/>
    <cfRule type="duplicateValues" dxfId="49" priority="660"/>
    <cfRule type="duplicateValues" dxfId="48" priority="661"/>
  </conditionalFormatting>
  <conditionalFormatting sqref="B5:B10">
    <cfRule type="duplicateValues" dxfId="47" priority="673"/>
  </conditionalFormatting>
  <dataValidations count="1">
    <dataValidation allowBlank="1" showInputMessage="1" showErrorMessage="1" sqref="F4:F5 B110:B141 D212:D234 B39:B45 D89:D99 D304:D306 D271 D633:D634 D346:D348 D299:D302 D310 D664 D612 D512 D450:D452 D535 D661 D126:D161 D509 D507 D568:D572 D614 D616 D623 D668 D648 D563 D588:D592 D317 D1007 D770 D579:D586 D749 D111:D121 D312:D314 D328:D331 D465:D469 D576:D577 D384:D385 D390:D394 D432 D284:D285 D732 D445:D447 D396 D123:D124 D471:D476 D629 D525 D565:D566 D495 D550:D556 D342 D274 D51:D74 D419:D422 D479:D485 D435 D974 D666 D730 D108:D109 D256 D438:D441 D757 D259:D268 D387:D388 D326 D171:D172 D82:D87 D799 D700 D76:D80 D808 D546:D547 D519 D501 D515 D782 D719 D805 D517 D816 D104:D106 D596 D288 D294:D297 D175:D189 D168:D169 D888 D319 D236:D248 D636:D639 D641:D643 D191:D210 D427:D428 D430 D351 D308 D340 D335 D250:D254 D163:D166 D282 F11:F13 D5:D49 A5:A10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1761</v>
      </c>
      <c r="B1" s="5" t="s">
        <v>1762</v>
      </c>
      <c r="C1" s="5" t="s">
        <v>1763</v>
      </c>
      <c r="D1" s="5" t="s">
        <v>1764</v>
      </c>
      <c r="E1" s="5" t="s">
        <v>1765</v>
      </c>
      <c r="F1" s="5" t="s">
        <v>1766</v>
      </c>
      <c r="G1" s="5" t="s">
        <v>1767</v>
      </c>
      <c r="H1" s="5" t="s">
        <v>1768</v>
      </c>
      <c r="I1" s="5" t="s">
        <v>1769</v>
      </c>
      <c r="J1" s="5" t="s">
        <v>1770</v>
      </c>
    </row>
    <row r="2" spans="1:10">
      <c r="A2" s="1" t="s">
        <v>1771</v>
      </c>
      <c r="B2" s="3" t="s">
        <v>1772</v>
      </c>
      <c r="C2" s="3">
        <v>1</v>
      </c>
      <c r="D2" s="3">
        <v>101</v>
      </c>
      <c r="E2" s="24" t="s">
        <v>1773</v>
      </c>
      <c r="F2" s="3" t="s">
        <v>1774</v>
      </c>
      <c r="G2" s="3" t="s">
        <v>15</v>
      </c>
      <c r="H2" s="3" t="s">
        <v>15</v>
      </c>
      <c r="I2" s="3" t="s">
        <v>1775</v>
      </c>
      <c r="J2" s="3" t="s">
        <v>1776</v>
      </c>
    </row>
    <row r="3" spans="1:10">
      <c r="A3" s="1" t="s">
        <v>1777</v>
      </c>
      <c r="B3" s="3" t="s">
        <v>1778</v>
      </c>
      <c r="C3" s="3">
        <v>2</v>
      </c>
      <c r="D3" s="3">
        <v>102</v>
      </c>
      <c r="E3" s="3" t="s">
        <v>1779</v>
      </c>
      <c r="F3" s="6" t="s">
        <v>1780</v>
      </c>
      <c r="G3" s="3" t="s">
        <v>1781</v>
      </c>
      <c r="H3" s="3" t="s">
        <v>1782</v>
      </c>
      <c r="I3" s="3" t="s">
        <v>1783</v>
      </c>
      <c r="J3" s="3" t="s">
        <v>1784</v>
      </c>
    </row>
    <row r="4" spans="1:10">
      <c r="A4" s="1" t="s">
        <v>1785</v>
      </c>
      <c r="B4" s="3" t="s">
        <v>1786</v>
      </c>
      <c r="C4" s="3">
        <v>3</v>
      </c>
      <c r="D4" s="3">
        <v>103</v>
      </c>
      <c r="E4" s="3" t="s">
        <v>1787</v>
      </c>
      <c r="F4" s="3" t="s">
        <v>1788</v>
      </c>
      <c r="G4" s="3" t="s">
        <v>1789</v>
      </c>
      <c r="H4" s="3" t="s">
        <v>1790</v>
      </c>
      <c r="I4" s="3" t="s">
        <v>1791</v>
      </c>
      <c r="J4" s="3" t="s">
        <v>1790</v>
      </c>
    </row>
    <row r="5" spans="1:10">
      <c r="A5" s="1" t="s">
        <v>1792</v>
      </c>
      <c r="B5" s="3" t="s">
        <v>1793</v>
      </c>
      <c r="C5" s="3">
        <v>4</v>
      </c>
      <c r="D5" s="3">
        <v>104</v>
      </c>
      <c r="E5" s="3" t="s">
        <v>1784</v>
      </c>
      <c r="F5" s="3" t="s">
        <v>1794</v>
      </c>
      <c r="G5" s="3" t="s">
        <v>1795</v>
      </c>
      <c r="H5" s="3" t="s">
        <v>1796</v>
      </c>
      <c r="I5" s="3" t="s">
        <v>1790</v>
      </c>
    </row>
    <row r="6" spans="1:10">
      <c r="A6" s="1" t="s">
        <v>1797</v>
      </c>
      <c r="B6" s="3" t="s">
        <v>1798</v>
      </c>
      <c r="C6" s="3">
        <v>5</v>
      </c>
      <c r="D6" s="3">
        <v>201</v>
      </c>
      <c r="E6" s="3" t="s">
        <v>1799</v>
      </c>
      <c r="G6" s="3" t="s">
        <v>1800</v>
      </c>
      <c r="H6" s="3" t="s">
        <v>1801</v>
      </c>
      <c r="I6" s="3" t="s">
        <v>1802</v>
      </c>
    </row>
    <row r="7" spans="1:10">
      <c r="A7" s="1" t="s">
        <v>1803</v>
      </c>
      <c r="B7" s="3" t="s">
        <v>1804</v>
      </c>
      <c r="C7" s="3">
        <v>6</v>
      </c>
      <c r="D7" s="3">
        <v>202</v>
      </c>
      <c r="E7" s="3" t="s">
        <v>1805</v>
      </c>
      <c r="G7" s="3" t="s">
        <v>1806</v>
      </c>
      <c r="I7" s="3" t="s">
        <v>1807</v>
      </c>
    </row>
    <row r="8" spans="1:10">
      <c r="A8" s="1" t="s">
        <v>1808</v>
      </c>
      <c r="B8" s="3" t="s">
        <v>1809</v>
      </c>
      <c r="C8" s="3">
        <v>7</v>
      </c>
      <c r="D8" s="3">
        <v>203</v>
      </c>
      <c r="E8" s="3" t="s">
        <v>1810</v>
      </c>
      <c r="G8" s="3"/>
      <c r="I8" s="3" t="s">
        <v>1811</v>
      </c>
    </row>
    <row r="9" spans="1:10">
      <c r="A9" s="1" t="s">
        <v>1812</v>
      </c>
      <c r="B9" s="3" t="s">
        <v>1813</v>
      </c>
      <c r="C9" s="3">
        <v>8</v>
      </c>
      <c r="D9" s="3">
        <v>204</v>
      </c>
      <c r="E9" s="3" t="s">
        <v>1814</v>
      </c>
    </row>
    <row r="10" spans="1:10">
      <c r="A10" s="1" t="s">
        <v>1815</v>
      </c>
      <c r="B10" s="3" t="s">
        <v>1816</v>
      </c>
      <c r="C10" s="3">
        <v>9</v>
      </c>
      <c r="D10" s="3">
        <v>301</v>
      </c>
      <c r="E10" s="3" t="s">
        <v>1817</v>
      </c>
    </row>
    <row r="11" spans="1:10">
      <c r="A11" s="1" t="s">
        <v>1818</v>
      </c>
      <c r="B11" s="3" t="s">
        <v>1819</v>
      </c>
      <c r="C11" s="3">
        <v>10</v>
      </c>
      <c r="D11" s="3">
        <v>302</v>
      </c>
      <c r="E11" s="3" t="s">
        <v>1820</v>
      </c>
    </row>
    <row r="12" spans="1:10">
      <c r="A12" s="1" t="s">
        <v>1821</v>
      </c>
      <c r="B12" s="3" t="s">
        <v>1822</v>
      </c>
      <c r="C12" s="3">
        <v>11</v>
      </c>
      <c r="D12" s="3">
        <v>303</v>
      </c>
      <c r="E12" s="24" t="s">
        <v>1823</v>
      </c>
    </row>
    <row r="13" spans="1:10">
      <c r="A13" s="1" t="s">
        <v>1824</v>
      </c>
      <c r="B13" s="3" t="s">
        <v>1825</v>
      </c>
      <c r="C13" s="3">
        <v>12</v>
      </c>
      <c r="D13" s="3">
        <v>304</v>
      </c>
      <c r="E13" t="s">
        <v>1826</v>
      </c>
    </row>
    <row r="14" spans="1:10">
      <c r="A14" s="1" t="s">
        <v>1827</v>
      </c>
      <c r="B14" s="3" t="s">
        <v>1828</v>
      </c>
      <c r="C14" s="3">
        <v>13</v>
      </c>
      <c r="D14" s="3">
        <v>401</v>
      </c>
      <c r="E14" s="3" t="s">
        <v>1829</v>
      </c>
    </row>
    <row r="15" spans="1:10">
      <c r="A15" s="1" t="s">
        <v>1830</v>
      </c>
      <c r="B15" s="3" t="s">
        <v>1831</v>
      </c>
      <c r="C15" s="3">
        <v>14</v>
      </c>
      <c r="D15" s="3">
        <v>402</v>
      </c>
      <c r="E15" s="3" t="s">
        <v>1788</v>
      </c>
    </row>
    <row r="16" spans="1:10">
      <c r="A16" s="1" t="s">
        <v>1832</v>
      </c>
      <c r="C16" s="3">
        <v>15</v>
      </c>
      <c r="D16" s="3">
        <v>403</v>
      </c>
      <c r="E16" s="3" t="s">
        <v>1833</v>
      </c>
    </row>
    <row r="17" spans="1:7">
      <c r="A17" s="1" t="s">
        <v>1834</v>
      </c>
      <c r="C17" s="3"/>
      <c r="D17" s="3">
        <v>404</v>
      </c>
      <c r="E17" s="3" t="s">
        <v>1835</v>
      </c>
    </row>
    <row r="18" spans="1:7">
      <c r="A18" s="1" t="s">
        <v>1836</v>
      </c>
      <c r="C18" s="3"/>
      <c r="D18" s="3">
        <v>501</v>
      </c>
      <c r="E18" s="3" t="s">
        <v>1837</v>
      </c>
    </row>
    <row r="19" spans="1:7">
      <c r="A19" s="1" t="s">
        <v>1838</v>
      </c>
      <c r="D19" s="3">
        <v>502</v>
      </c>
      <c r="E19" s="3" t="s">
        <v>1839</v>
      </c>
    </row>
    <row r="20" spans="1:7">
      <c r="A20" s="1" t="s">
        <v>1840</v>
      </c>
      <c r="D20" s="3">
        <v>503</v>
      </c>
      <c r="E20" s="3" t="s">
        <v>1841</v>
      </c>
    </row>
    <row r="21" spans="1:7">
      <c r="A21" s="1" t="s">
        <v>1842</v>
      </c>
      <c r="D21" s="3">
        <v>504</v>
      </c>
      <c r="E21" s="3" t="s">
        <v>1776</v>
      </c>
    </row>
    <row r="22" spans="1:7">
      <c r="A22" s="1" t="s">
        <v>1843</v>
      </c>
      <c r="E22" s="3" t="s">
        <v>1844</v>
      </c>
      <c r="G22" s="3"/>
    </row>
    <row r="23" spans="1:7">
      <c r="A23" s="1" t="s">
        <v>1845</v>
      </c>
      <c r="E23" s="3" t="s">
        <v>1846</v>
      </c>
    </row>
    <row r="24" spans="1:7">
      <c r="A24" s="1" t="s">
        <v>1847</v>
      </c>
    </row>
    <row r="25" spans="1:7">
      <c r="A25" s="1" t="s">
        <v>1848</v>
      </c>
      <c r="G25" s="5"/>
    </row>
    <row r="26" spans="1:7">
      <c r="A26" s="1" t="s">
        <v>1849</v>
      </c>
      <c r="G26" s="3"/>
    </row>
    <row r="27" spans="1:7">
      <c r="A27" s="1" t="s">
        <v>1850</v>
      </c>
      <c r="G27" s="3"/>
    </row>
    <row r="28" spans="1:7">
      <c r="A28" s="1" t="s">
        <v>1851</v>
      </c>
      <c r="G28" s="3"/>
    </row>
    <row r="29" spans="1:7">
      <c r="A29" s="1" t="s">
        <v>1852</v>
      </c>
      <c r="G29" s="3"/>
    </row>
    <row r="30" spans="1:7">
      <c r="A30" s="1" t="s">
        <v>1853</v>
      </c>
      <c r="G30" s="3"/>
    </row>
    <row r="31" spans="1:7">
      <c r="A31" s="1" t="s">
        <v>1854</v>
      </c>
    </row>
    <row r="32" spans="1:7">
      <c r="A32" s="1" t="s">
        <v>1855</v>
      </c>
    </row>
    <row r="33" spans="1:1">
      <c r="A33" s="1" t="s">
        <v>1856</v>
      </c>
    </row>
    <row r="34" spans="1:1">
      <c r="A34" s="1" t="s">
        <v>1857</v>
      </c>
    </row>
    <row r="35" spans="1:1">
      <c r="A35" s="1" t="s">
        <v>1858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1859</v>
      </c>
      <c r="B1" s="56" t="s">
        <v>1860</v>
      </c>
    </row>
    <row r="2" spans="1:3" ht="24.95" customHeight="1">
      <c r="A2" s="57" t="s">
        <v>1772</v>
      </c>
      <c r="B2" s="57" t="e">
        <f>COUNTIF(#REF!,'QUANT COND'!A2)</f>
        <v>#REF!</v>
      </c>
    </row>
    <row r="3" spans="1:3" ht="24.95" customHeight="1">
      <c r="A3" s="57" t="s">
        <v>1778</v>
      </c>
      <c r="B3" s="57" t="e">
        <f>COUNTIF(#REF!,'QUANT COND'!A3)</f>
        <v>#REF!</v>
      </c>
    </row>
    <row r="4" spans="1:3" ht="24.95" customHeight="1">
      <c r="A4" s="57" t="s">
        <v>1786</v>
      </c>
      <c r="B4" s="57" t="e">
        <f>COUNTIF(#REF!,'QUANT COND'!A4)</f>
        <v>#REF!</v>
      </c>
      <c r="C4" s="55"/>
    </row>
    <row r="5" spans="1:3" ht="24.95" customHeight="1">
      <c r="A5" s="57" t="s">
        <v>1793</v>
      </c>
      <c r="B5" s="57" t="e">
        <f>COUNTIF(#REF!,'QUANT COND'!A5)</f>
        <v>#REF!</v>
      </c>
    </row>
    <row r="6" spans="1:3" ht="24.95" customHeight="1">
      <c r="A6" s="57" t="s">
        <v>1798</v>
      </c>
      <c r="B6" s="57" t="e">
        <f>COUNTIF(#REF!,'QUANT COND'!A6)</f>
        <v>#REF!</v>
      </c>
    </row>
    <row r="7" spans="1:3" ht="24.95" customHeight="1">
      <c r="A7" s="57" t="s">
        <v>1804</v>
      </c>
      <c r="B7" s="57" t="e">
        <f>COUNTIF(#REF!,'QUANT COND'!A7)</f>
        <v>#REF!</v>
      </c>
    </row>
    <row r="8" spans="1:3" ht="24.95" customHeight="1">
      <c r="A8" s="57" t="s">
        <v>1809</v>
      </c>
      <c r="B8" s="57" t="e">
        <f>COUNTIF(#REF!,'QUANT COND'!A8)</f>
        <v>#REF!</v>
      </c>
    </row>
    <row r="9" spans="1:3" ht="24.95" customHeight="1">
      <c r="A9" s="57" t="s">
        <v>1813</v>
      </c>
      <c r="B9" s="57" t="e">
        <f>COUNTIF(#REF!,'QUANT COND'!A9)</f>
        <v>#REF!</v>
      </c>
    </row>
    <row r="10" spans="1:3" ht="24.95" customHeight="1">
      <c r="A10" s="57" t="s">
        <v>1816</v>
      </c>
      <c r="B10" s="57" t="e">
        <f>COUNTIF(#REF!,'QUANT COND'!A10)</f>
        <v>#REF!</v>
      </c>
    </row>
    <row r="11" spans="1:3" ht="24.95" customHeight="1">
      <c r="A11" s="57" t="s">
        <v>1819</v>
      </c>
      <c r="B11" s="57" t="e">
        <f>COUNTIF(#REF!,'QUANT COND'!A11)</f>
        <v>#REF!</v>
      </c>
    </row>
    <row r="12" spans="1:3" ht="24.95" customHeight="1">
      <c r="A12" s="57" t="s">
        <v>1822</v>
      </c>
      <c r="B12" s="57" t="e">
        <f>COUNTIF(#REF!,'QUANT COND'!A12)</f>
        <v>#REF!</v>
      </c>
    </row>
    <row r="13" spans="1:3" ht="24.95" customHeight="1">
      <c r="A13" s="57" t="s">
        <v>1825</v>
      </c>
      <c r="B13" s="57" t="e">
        <f>COUNTIF(#REF!,'QUANT COND'!A13)</f>
        <v>#REF!</v>
      </c>
    </row>
    <row r="14" spans="1:3" ht="24.95" customHeight="1">
      <c r="A14" s="57" t="s">
        <v>1828</v>
      </c>
      <c r="B14" s="57" t="e">
        <f>COUNTIF(#REF!,'QUANT COND'!A14)</f>
        <v>#REF!</v>
      </c>
    </row>
    <row r="15" spans="1:3" ht="24.95" customHeight="1">
      <c r="A15" s="57" t="s">
        <v>1831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16" t="s">
        <v>1861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8"/>
    </row>
    <row r="2" spans="1:27" ht="50.25" customHeight="1">
      <c r="A2" s="7" t="s">
        <v>47</v>
      </c>
      <c r="B2" s="7" t="s">
        <v>49</v>
      </c>
      <c r="C2" s="7" t="s">
        <v>1862</v>
      </c>
      <c r="D2" s="12" t="s">
        <v>49</v>
      </c>
      <c r="E2" s="63" t="s">
        <v>1863</v>
      </c>
      <c r="F2" s="63" t="s">
        <v>1864</v>
      </c>
      <c r="G2" s="64" t="s">
        <v>1865</v>
      </c>
      <c r="H2" s="64" t="s">
        <v>1866</v>
      </c>
      <c r="I2" s="41" t="s">
        <v>1867</v>
      </c>
      <c r="J2" s="42" t="s">
        <v>1864</v>
      </c>
      <c r="K2" s="41" t="s">
        <v>1866</v>
      </c>
      <c r="L2" s="53" t="s">
        <v>1868</v>
      </c>
      <c r="M2" s="53" t="s">
        <v>1869</v>
      </c>
      <c r="O2" s="65" t="s">
        <v>1870</v>
      </c>
      <c r="P2" s="66" t="s">
        <v>1860</v>
      </c>
      <c r="Q2" s="66" t="s">
        <v>1871</v>
      </c>
      <c r="R2" s="66" t="s">
        <v>1872</v>
      </c>
      <c r="S2" s="66" t="s">
        <v>1873</v>
      </c>
      <c r="T2" s="43" t="s">
        <v>1874</v>
      </c>
      <c r="Y2" s="45" t="s">
        <v>1875</v>
      </c>
      <c r="Z2" s="45" t="s">
        <v>1876</v>
      </c>
      <c r="AA2" s="44" t="s">
        <v>1877</v>
      </c>
    </row>
    <row r="3" spans="1:27">
      <c r="A3" s="13" t="s">
        <v>1878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1879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1880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1881</v>
      </c>
      <c r="Y4" s="24">
        <v>1517</v>
      </c>
      <c r="Z4" s="24">
        <v>1427</v>
      </c>
      <c r="AA4" s="24">
        <v>1559</v>
      </c>
    </row>
    <row r="5" spans="1:27">
      <c r="A5" s="71" t="s">
        <v>1882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1883</v>
      </c>
      <c r="Y5" s="24">
        <v>73</v>
      </c>
      <c r="Z5" s="24">
        <v>79</v>
      </c>
      <c r="AA5" s="24">
        <v>28</v>
      </c>
    </row>
    <row r="6" spans="1:27">
      <c r="A6" s="71" t="s">
        <v>1884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1885</v>
      </c>
      <c r="Y6" s="24">
        <v>36</v>
      </c>
      <c r="Z6" s="24">
        <v>32</v>
      </c>
      <c r="AA6" s="24">
        <v>11</v>
      </c>
    </row>
    <row r="7" spans="1:27">
      <c r="A7" s="29" t="s">
        <v>1886</v>
      </c>
      <c r="B7" s="67"/>
      <c r="C7" s="18" t="s">
        <v>1887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1888</v>
      </c>
      <c r="Y7" s="24">
        <v>224</v>
      </c>
      <c r="Z7" s="24">
        <v>275</v>
      </c>
      <c r="AA7" s="24">
        <v>17</v>
      </c>
    </row>
    <row r="8" spans="1:27">
      <c r="A8" s="71" t="s">
        <v>1889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1890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1891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1892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1893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1894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1895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1774</v>
      </c>
      <c r="H14" s="25">
        <v>42921</v>
      </c>
      <c r="I14" s="8"/>
      <c r="J14" s="8"/>
      <c r="K14" s="8"/>
      <c r="L14" s="9" t="s">
        <v>1896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1897</v>
      </c>
      <c r="B15" s="67">
        <v>38772276860</v>
      </c>
      <c r="C15" s="18" t="s">
        <v>1898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1899</v>
      </c>
      <c r="B16" s="67">
        <v>21538837846</v>
      </c>
      <c r="C16" s="72" t="s">
        <v>1900</v>
      </c>
      <c r="D16" s="69">
        <v>94203180520</v>
      </c>
      <c r="E16" s="9">
        <v>810</v>
      </c>
      <c r="F16" s="25">
        <v>42915</v>
      </c>
      <c r="G16" s="70" t="s">
        <v>1774</v>
      </c>
      <c r="H16" s="25">
        <v>42921</v>
      </c>
      <c r="I16" s="8"/>
      <c r="J16" s="8"/>
      <c r="K16" s="8"/>
      <c r="L16" s="9" t="s">
        <v>1896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1901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1902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1903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1780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1904</v>
      </c>
      <c r="B20" s="67">
        <v>18419589802</v>
      </c>
      <c r="C20" s="18" t="s">
        <v>1887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1905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1906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1907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1908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1909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1910</v>
      </c>
      <c r="B26" s="67"/>
      <c r="C26" s="18" t="s">
        <v>1887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1911</v>
      </c>
      <c r="B27" s="67">
        <v>25894152810</v>
      </c>
      <c r="C27" s="72" t="s">
        <v>1912</v>
      </c>
      <c r="D27" s="69">
        <v>8263008808</v>
      </c>
      <c r="E27" s="9">
        <v>292</v>
      </c>
      <c r="F27" s="25">
        <v>43168</v>
      </c>
      <c r="G27" s="70" t="s">
        <v>1774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1913</v>
      </c>
      <c r="B28" s="67">
        <v>43026389587</v>
      </c>
      <c r="C28" s="72" t="s">
        <v>1914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1915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1780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1916</v>
      </c>
      <c r="B30" s="67">
        <v>36531080809</v>
      </c>
      <c r="C30" s="72" t="s">
        <v>1917</v>
      </c>
      <c r="D30" s="69">
        <v>22485483892</v>
      </c>
      <c r="E30" s="9">
        <v>1489</v>
      </c>
      <c r="F30" s="25">
        <v>43038</v>
      </c>
      <c r="G30" s="70" t="s">
        <v>1774</v>
      </c>
      <c r="H30" s="9"/>
      <c r="I30" s="8"/>
      <c r="J30" s="8"/>
      <c r="K30" s="8"/>
      <c r="L30" s="9" t="s">
        <v>1918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1919</v>
      </c>
      <c r="B31" s="67">
        <v>28147186819</v>
      </c>
      <c r="C31" s="72" t="s">
        <v>1920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1921</v>
      </c>
      <c r="B32" s="67">
        <v>37559228860</v>
      </c>
      <c r="C32" s="72" t="s">
        <v>1922</v>
      </c>
      <c r="D32" s="69">
        <v>28072024892</v>
      </c>
      <c r="E32" s="9">
        <v>1555</v>
      </c>
      <c r="F32" s="25">
        <v>43049</v>
      </c>
      <c r="G32" s="9" t="s">
        <v>1774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1923</v>
      </c>
      <c r="B33" s="67">
        <v>23635229822</v>
      </c>
      <c r="C33" s="72" t="s">
        <v>1924</v>
      </c>
      <c r="D33" s="69">
        <v>21668057875</v>
      </c>
      <c r="E33" s="9">
        <v>262</v>
      </c>
      <c r="F33" s="25">
        <v>43160</v>
      </c>
      <c r="G33" s="70" t="s">
        <v>1774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1925</v>
      </c>
      <c r="B34" s="67"/>
      <c r="C34" s="29" t="s">
        <v>1887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1926</v>
      </c>
      <c r="B35" s="67">
        <v>40902634844</v>
      </c>
      <c r="C35" s="72" t="s">
        <v>1927</v>
      </c>
      <c r="D35" s="69">
        <v>23795007895</v>
      </c>
      <c r="E35" s="9">
        <v>117</v>
      </c>
      <c r="F35" s="25">
        <v>43117</v>
      </c>
      <c r="G35" s="70" t="s">
        <v>1774</v>
      </c>
      <c r="H35" s="25">
        <v>43151</v>
      </c>
      <c r="I35" s="8"/>
      <c r="J35" s="8"/>
      <c r="K35" s="8"/>
      <c r="L35" s="9" t="s">
        <v>1928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1929</v>
      </c>
      <c r="B36" s="67">
        <v>39615629898</v>
      </c>
      <c r="C36" s="72" t="s">
        <v>1930</v>
      </c>
      <c r="D36" s="69">
        <v>43328275894</v>
      </c>
      <c r="E36" s="9">
        <v>423</v>
      </c>
      <c r="F36" s="25">
        <v>43182</v>
      </c>
      <c r="G36" s="70" t="s">
        <v>1774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1931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1932</v>
      </c>
      <c r="B38" s="67"/>
      <c r="C38" s="29" t="s">
        <v>1933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1934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1935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1936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1937</v>
      </c>
      <c r="B42" s="67">
        <v>10201704412</v>
      </c>
      <c r="C42" s="72" t="s">
        <v>1938</v>
      </c>
      <c r="D42" s="69">
        <v>33674895811</v>
      </c>
      <c r="E42" s="9">
        <v>262</v>
      </c>
      <c r="F42" s="25">
        <v>43160</v>
      </c>
      <c r="G42" s="70" t="s">
        <v>1774</v>
      </c>
      <c r="H42" s="25">
        <v>43164</v>
      </c>
      <c r="I42" s="8"/>
      <c r="J42" s="8"/>
      <c r="K42" s="8"/>
      <c r="L42" s="9">
        <v>255</v>
      </c>
      <c r="M42" s="8"/>
      <c r="O42" s="66" t="s">
        <v>1939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1940</v>
      </c>
      <c r="B43" s="67">
        <v>35271487873</v>
      </c>
      <c r="C43" s="68" t="s">
        <v>1941</v>
      </c>
      <c r="D43" s="69">
        <v>557351502</v>
      </c>
      <c r="E43" s="9">
        <v>1128</v>
      </c>
      <c r="F43" s="25">
        <v>42972</v>
      </c>
      <c r="G43" s="70" t="s">
        <v>1774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1942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1944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1945</v>
      </c>
      <c r="B47" s="67">
        <v>31801479895</v>
      </c>
      <c r="C47" s="72" t="s">
        <v>1946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1947</v>
      </c>
      <c r="B48" s="67">
        <v>28638653824</v>
      </c>
      <c r="C48" s="72" t="s">
        <v>1948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1949</v>
      </c>
      <c r="B49" s="67">
        <v>17766101807</v>
      </c>
      <c r="C49" s="72" t="s">
        <v>1950</v>
      </c>
      <c r="D49" s="69">
        <v>31993041842</v>
      </c>
      <c r="E49" s="9">
        <v>1824</v>
      </c>
      <c r="F49" s="25">
        <v>43091</v>
      </c>
      <c r="G49" s="70" t="s">
        <v>1774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1951</v>
      </c>
      <c r="B50" s="67">
        <v>17902799840</v>
      </c>
      <c r="C50" s="72" t="s">
        <v>1952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1953</v>
      </c>
      <c r="B51" s="67">
        <v>49122403892</v>
      </c>
      <c r="C51" s="75" t="s">
        <v>1954</v>
      </c>
      <c r="D51" s="69">
        <v>1478139560</v>
      </c>
      <c r="E51" s="9">
        <v>608</v>
      </c>
      <c r="F51" s="25">
        <v>43012</v>
      </c>
      <c r="G51" s="70" t="s">
        <v>1774</v>
      </c>
      <c r="H51" s="25">
        <v>43024</v>
      </c>
      <c r="I51" s="8"/>
      <c r="J51" s="8"/>
      <c r="K51" s="8"/>
      <c r="L51" s="8"/>
      <c r="M51" s="8"/>
      <c r="O51" s="315" t="s">
        <v>1955</v>
      </c>
      <c r="P51" s="315"/>
      <c r="Q51" s="315"/>
      <c r="R51" s="315"/>
      <c r="S51" s="315"/>
      <c r="T51" s="315"/>
      <c r="U51" s="315"/>
    </row>
    <row r="52" spans="1:21">
      <c r="A52" s="13" t="s">
        <v>1956</v>
      </c>
      <c r="B52" s="67">
        <v>37534302854</v>
      </c>
      <c r="C52" s="71" t="s">
        <v>1957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1958</v>
      </c>
      <c r="B53" s="67">
        <v>14699996841</v>
      </c>
      <c r="C53" s="68" t="s">
        <v>1959</v>
      </c>
      <c r="D53" s="69">
        <v>15089706883</v>
      </c>
      <c r="E53" s="9">
        <v>1128</v>
      </c>
      <c r="F53" s="25">
        <v>42972</v>
      </c>
      <c r="G53" s="70" t="s">
        <v>1774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1960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1961</v>
      </c>
      <c r="B55" s="67">
        <v>40396239838</v>
      </c>
      <c r="C55" s="72" t="s">
        <v>1962</v>
      </c>
      <c r="D55" s="69">
        <v>39420747883</v>
      </c>
      <c r="E55" s="9">
        <v>262</v>
      </c>
      <c r="F55" s="25">
        <v>43160</v>
      </c>
      <c r="G55" s="70" t="s">
        <v>1774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1963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1964</v>
      </c>
      <c r="B57" s="67">
        <v>38781151802</v>
      </c>
      <c r="C57" s="18" t="s">
        <v>1887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1965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1966</v>
      </c>
      <c r="B59" s="67">
        <v>2428277219</v>
      </c>
      <c r="C59" s="72" t="s">
        <v>1967</v>
      </c>
      <c r="D59" s="69">
        <v>909805229</v>
      </c>
      <c r="E59" s="9">
        <v>810</v>
      </c>
      <c r="F59" s="25">
        <v>42915</v>
      </c>
      <c r="G59" s="70" t="s">
        <v>1774</v>
      </c>
      <c r="H59" s="25">
        <v>42921</v>
      </c>
      <c r="I59" s="8"/>
      <c r="J59" s="8"/>
      <c r="K59" s="8"/>
      <c r="L59" s="9" t="s">
        <v>1896</v>
      </c>
      <c r="M59" s="8"/>
    </row>
    <row r="60" spans="1:21">
      <c r="A60" s="71" t="s">
        <v>1968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1969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1970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1971</v>
      </c>
      <c r="B63" s="67">
        <v>3722493889</v>
      </c>
      <c r="C63" s="72" t="s">
        <v>1972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1973</v>
      </c>
      <c r="B64" s="67">
        <v>14519340845</v>
      </c>
      <c r="C64" s="72" t="s">
        <v>1974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1975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1976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1977</v>
      </c>
      <c r="B67" s="67">
        <v>36392955879</v>
      </c>
      <c r="C67" s="72" t="s">
        <v>1978</v>
      </c>
      <c r="D67" s="69">
        <v>5242864346</v>
      </c>
      <c r="E67" s="9">
        <v>117</v>
      </c>
      <c r="F67" s="25">
        <v>43117</v>
      </c>
      <c r="G67" s="70" t="s">
        <v>1774</v>
      </c>
      <c r="H67" s="25">
        <v>43151</v>
      </c>
      <c r="I67" s="8"/>
      <c r="J67" s="8"/>
      <c r="K67" s="8"/>
      <c r="L67" s="9" t="s">
        <v>1928</v>
      </c>
      <c r="M67" s="8"/>
    </row>
    <row r="68" spans="1:13">
      <c r="A68" s="71" t="s">
        <v>1979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1980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1981</v>
      </c>
      <c r="B70" s="67">
        <v>9882942490</v>
      </c>
      <c r="C70" s="18" t="s">
        <v>1982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1983</v>
      </c>
      <c r="B71" s="67">
        <v>14777572870</v>
      </c>
      <c r="C71" s="72" t="s">
        <v>1984</v>
      </c>
      <c r="D71" s="69">
        <v>12874739898</v>
      </c>
      <c r="E71" s="9">
        <v>1824</v>
      </c>
      <c r="F71" s="25">
        <v>43091</v>
      </c>
      <c r="G71" s="70" t="s">
        <v>1774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1985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1986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1987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1988</v>
      </c>
      <c r="B75" s="67">
        <v>26940268855</v>
      </c>
      <c r="C75" s="18" t="s">
        <v>1989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1990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1774</v>
      </c>
      <c r="H76" s="9"/>
      <c r="I76" s="8"/>
      <c r="J76" s="8"/>
      <c r="K76" s="8"/>
      <c r="L76" s="9" t="s">
        <v>1918</v>
      </c>
      <c r="M76" s="8"/>
    </row>
    <row r="77" spans="1:13">
      <c r="A77" s="15" t="s">
        <v>1991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1774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1992</v>
      </c>
      <c r="B78" s="67">
        <v>42352732808</v>
      </c>
      <c r="C78" s="72" t="s">
        <v>1993</v>
      </c>
      <c r="D78" s="69">
        <v>281893373</v>
      </c>
      <c r="E78" s="9">
        <v>1214</v>
      </c>
      <c r="F78" s="25">
        <v>42989</v>
      </c>
      <c r="G78" s="70" t="s">
        <v>1774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1994</v>
      </c>
      <c r="B79" s="67">
        <v>13480043801</v>
      </c>
      <c r="C79" s="18" t="s">
        <v>1995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1996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1997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1998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1774</v>
      </c>
      <c r="H82" s="9"/>
      <c r="I82" s="8"/>
      <c r="J82" s="8"/>
      <c r="K82" s="8"/>
      <c r="L82" s="9">
        <v>232</v>
      </c>
      <c r="M82" s="8"/>
    </row>
    <row r="83" spans="1:13">
      <c r="A83" s="18" t="s">
        <v>1999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2000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2001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2002</v>
      </c>
      <c r="B86" s="67">
        <v>43053250802</v>
      </c>
      <c r="C86" s="68" t="s">
        <v>2003</v>
      </c>
      <c r="D86" s="69">
        <v>35893147880</v>
      </c>
      <c r="E86" s="9">
        <v>1128</v>
      </c>
      <c r="F86" s="25">
        <v>42972</v>
      </c>
      <c r="G86" s="70" t="s">
        <v>1774</v>
      </c>
      <c r="H86" s="9"/>
      <c r="I86" s="8"/>
      <c r="J86" s="8"/>
      <c r="K86" s="8"/>
      <c r="L86" s="8"/>
      <c r="M86" s="8"/>
    </row>
    <row r="87" spans="1:13">
      <c r="A87" s="71" t="s">
        <v>2004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1774</v>
      </c>
      <c r="H87" s="9"/>
      <c r="I87" s="8"/>
      <c r="J87" s="8"/>
      <c r="K87" s="8"/>
      <c r="L87" s="9">
        <v>318</v>
      </c>
      <c r="M87" s="8"/>
    </row>
    <row r="88" spans="1:13">
      <c r="A88" s="73" t="s">
        <v>2005</v>
      </c>
      <c r="B88" s="67">
        <v>33617584837</v>
      </c>
      <c r="C88" s="72" t="s">
        <v>2006</v>
      </c>
      <c r="D88" s="69">
        <v>26520094862</v>
      </c>
      <c r="E88" s="9">
        <v>608</v>
      </c>
      <c r="F88" s="25">
        <v>43012</v>
      </c>
      <c r="G88" s="70" t="s">
        <v>1774</v>
      </c>
      <c r="H88" s="9"/>
      <c r="I88" s="8"/>
      <c r="J88" s="8"/>
      <c r="K88" s="8"/>
      <c r="L88" s="8"/>
      <c r="M88" s="8"/>
    </row>
    <row r="89" spans="1:13">
      <c r="A89" s="14" t="s">
        <v>2007</v>
      </c>
      <c r="B89" s="67">
        <v>38168161858</v>
      </c>
      <c r="C89" s="72" t="s">
        <v>2008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2009</v>
      </c>
      <c r="B90" s="67">
        <v>38728353862</v>
      </c>
      <c r="C90" s="72" t="s">
        <v>2010</v>
      </c>
      <c r="D90" s="69">
        <v>37650358828</v>
      </c>
      <c r="E90" s="9">
        <v>1417</v>
      </c>
      <c r="F90" s="25">
        <v>43017</v>
      </c>
      <c r="G90" s="70" t="s">
        <v>1774</v>
      </c>
      <c r="H90" s="9"/>
      <c r="I90" s="8"/>
      <c r="J90" s="8"/>
      <c r="K90" s="8"/>
      <c r="L90" s="9" t="s">
        <v>2011</v>
      </c>
      <c r="M90" s="8"/>
    </row>
    <row r="91" spans="1:13">
      <c r="A91" s="15" t="s">
        <v>2012</v>
      </c>
      <c r="B91" s="67">
        <v>29479419858</v>
      </c>
      <c r="C91" s="72" t="s">
        <v>2013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2014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2015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1774</v>
      </c>
      <c r="H93" s="9"/>
      <c r="I93" s="8"/>
      <c r="J93" s="8"/>
      <c r="K93" s="8"/>
      <c r="L93" s="8"/>
      <c r="M93" s="8"/>
    </row>
    <row r="94" spans="1:13">
      <c r="A94" s="15" t="s">
        <v>2016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1774</v>
      </c>
      <c r="H94" s="9"/>
      <c r="I94" s="8"/>
      <c r="J94" s="8"/>
      <c r="K94" s="8"/>
      <c r="L94" s="9">
        <v>232</v>
      </c>
      <c r="M94" s="8"/>
    </row>
    <row r="95" spans="1:13">
      <c r="A95" s="72" t="s">
        <v>2017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2018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1774</v>
      </c>
      <c r="H96" s="9"/>
      <c r="I96" s="8"/>
      <c r="J96" s="8"/>
      <c r="K96" s="8"/>
      <c r="L96" s="9" t="s">
        <v>1918</v>
      </c>
      <c r="M96" s="8"/>
    </row>
    <row r="97" spans="1:13">
      <c r="A97" s="71" t="s">
        <v>2019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1774</v>
      </c>
      <c r="H97" s="9"/>
      <c r="I97" s="8"/>
      <c r="J97" s="8"/>
      <c r="K97" s="8"/>
      <c r="L97" s="8"/>
      <c r="M97" s="8"/>
    </row>
    <row r="98" spans="1:13">
      <c r="A98" s="29" t="s">
        <v>2020</v>
      </c>
      <c r="B98" s="67">
        <v>3317260505</v>
      </c>
      <c r="C98" s="29" t="s">
        <v>2021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2022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1774</v>
      </c>
      <c r="H99" s="9"/>
      <c r="I99" s="8"/>
      <c r="J99" s="8"/>
      <c r="K99" s="8"/>
      <c r="L99" s="8"/>
      <c r="M99" s="8"/>
    </row>
    <row r="100" spans="1:13">
      <c r="A100" s="15" t="s">
        <v>2023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2024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1774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2025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2026</v>
      </c>
      <c r="B103" s="67"/>
      <c r="C103" s="18" t="s">
        <v>1887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2027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1774</v>
      </c>
      <c r="H104" s="9"/>
      <c r="I104" s="8"/>
      <c r="J104" s="8"/>
      <c r="K104" s="8"/>
      <c r="L104" s="8"/>
      <c r="M104" s="8"/>
    </row>
    <row r="105" spans="1:13">
      <c r="A105" s="71" t="s">
        <v>2028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2029</v>
      </c>
      <c r="B106" s="67">
        <v>40823037827</v>
      </c>
      <c r="C106" s="72" t="s">
        <v>2030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2031</v>
      </c>
      <c r="B107" s="67">
        <v>54215625491</v>
      </c>
      <c r="C107" s="18" t="s">
        <v>2032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2033</v>
      </c>
      <c r="B108" s="67">
        <v>8424740807</v>
      </c>
      <c r="C108" s="18" t="s">
        <v>1887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2034</v>
      </c>
      <c r="B109" s="67">
        <v>78495857472</v>
      </c>
      <c r="C109" s="72" t="s">
        <v>2035</v>
      </c>
      <c r="D109" s="69">
        <v>148572863</v>
      </c>
      <c r="E109" s="9">
        <v>1752</v>
      </c>
      <c r="F109" s="25">
        <v>43051</v>
      </c>
      <c r="G109" s="70" t="s">
        <v>1774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2036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2037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1774</v>
      </c>
      <c r="H111" s="9"/>
      <c r="I111" s="8"/>
      <c r="J111" s="8"/>
      <c r="K111" s="8"/>
      <c r="L111" s="8"/>
      <c r="M111" s="8"/>
    </row>
    <row r="112" spans="1:13">
      <c r="A112" s="71" t="s">
        <v>2038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2039</v>
      </c>
      <c r="B113" s="67">
        <v>44444325860</v>
      </c>
      <c r="C113" s="72" t="s">
        <v>2040</v>
      </c>
      <c r="D113" s="69">
        <v>36636133805</v>
      </c>
      <c r="E113" s="9">
        <v>292</v>
      </c>
      <c r="F113" s="25">
        <v>43168</v>
      </c>
      <c r="G113" s="70" t="s">
        <v>1774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2041</v>
      </c>
      <c r="B114" s="67">
        <v>39701017862</v>
      </c>
      <c r="C114" s="72" t="s">
        <v>2042</v>
      </c>
      <c r="D114" s="69">
        <v>38933316892</v>
      </c>
      <c r="E114" s="9">
        <v>1350</v>
      </c>
      <c r="F114" s="25">
        <v>43006</v>
      </c>
      <c r="G114" s="70" t="s">
        <v>1774</v>
      </c>
      <c r="H114" s="9"/>
      <c r="I114" s="8"/>
      <c r="J114" s="8"/>
      <c r="K114" s="8"/>
      <c r="L114" s="8"/>
      <c r="M114" s="8"/>
    </row>
    <row r="115" spans="1:13">
      <c r="A115" s="71" t="s">
        <v>2043</v>
      </c>
      <c r="B115" s="67">
        <v>40003107809</v>
      </c>
      <c r="C115" s="72" t="s">
        <v>2044</v>
      </c>
      <c r="D115" s="69">
        <v>37929345823</v>
      </c>
      <c r="E115" s="9">
        <v>262</v>
      </c>
      <c r="F115" s="25">
        <v>43160</v>
      </c>
      <c r="G115" s="70" t="s">
        <v>1774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2045</v>
      </c>
      <c r="B116" s="67">
        <v>38786146831</v>
      </c>
      <c r="C116" s="29" t="s">
        <v>2046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2047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1788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2048</v>
      </c>
      <c r="B118" s="67">
        <v>3486705598</v>
      </c>
      <c r="C118" s="72" t="s">
        <v>2049</v>
      </c>
      <c r="D118" s="69">
        <v>3581817551</v>
      </c>
      <c r="E118" s="9">
        <v>1752</v>
      </c>
      <c r="F118" s="25">
        <v>43051</v>
      </c>
      <c r="G118" s="70" t="s">
        <v>1774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2050</v>
      </c>
      <c r="B119" s="67">
        <v>37051125893</v>
      </c>
      <c r="C119" s="72" t="s">
        <v>2051</v>
      </c>
      <c r="D119" s="69">
        <v>4303791458</v>
      </c>
      <c r="E119" s="9">
        <v>292</v>
      </c>
      <c r="F119" s="25">
        <v>43168</v>
      </c>
      <c r="G119" s="9" t="s">
        <v>1774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2052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2053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2054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2055</v>
      </c>
      <c r="B123" s="67">
        <v>33879586845</v>
      </c>
      <c r="C123" s="77" t="s">
        <v>2056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2057</v>
      </c>
      <c r="M123" s="8"/>
    </row>
    <row r="124" spans="1:13">
      <c r="A124" s="72" t="s">
        <v>2058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2059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2060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1774</v>
      </c>
      <c r="H126" s="9"/>
      <c r="I126" s="8"/>
      <c r="J126" s="8"/>
      <c r="K126" s="8"/>
      <c r="L126" s="8"/>
      <c r="M126" s="8"/>
    </row>
    <row r="127" spans="1:13">
      <c r="A127" s="72" t="s">
        <v>2061</v>
      </c>
      <c r="B127" s="67">
        <v>15401963807</v>
      </c>
      <c r="C127" s="72" t="s">
        <v>2062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2063</v>
      </c>
      <c r="B128" s="67">
        <v>2022016351</v>
      </c>
      <c r="C128" s="72" t="s">
        <v>2064</v>
      </c>
      <c r="D128" s="69">
        <v>84914270315</v>
      </c>
      <c r="E128" s="9">
        <v>1106</v>
      </c>
      <c r="F128" s="25">
        <v>42965</v>
      </c>
      <c r="G128" s="70" t="s">
        <v>1774</v>
      </c>
      <c r="H128" s="9"/>
      <c r="I128" s="8"/>
      <c r="J128" s="8"/>
      <c r="K128" s="8"/>
      <c r="L128" s="8"/>
      <c r="M128" s="8"/>
    </row>
    <row r="129" spans="1:13">
      <c r="A129" s="71" t="s">
        <v>2065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2066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2067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2068</v>
      </c>
      <c r="B132" s="67">
        <v>1860886558</v>
      </c>
      <c r="C132" s="72" t="s">
        <v>2069</v>
      </c>
      <c r="D132" s="69">
        <v>35132798845</v>
      </c>
      <c r="E132" s="9">
        <v>229</v>
      </c>
      <c r="F132" s="25">
        <v>43151</v>
      </c>
      <c r="G132" s="70" t="s">
        <v>1774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2070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1774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2071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2072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2073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1774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2074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1774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2075</v>
      </c>
      <c r="B138" s="67">
        <v>42262731845</v>
      </c>
      <c r="C138" s="72" t="s">
        <v>2076</v>
      </c>
      <c r="D138" s="69">
        <v>34728432840</v>
      </c>
      <c r="E138" s="9">
        <v>1824</v>
      </c>
      <c r="F138" s="25">
        <v>43091</v>
      </c>
      <c r="G138" s="70" t="s">
        <v>1774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2077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2078</v>
      </c>
      <c r="B140" s="67">
        <v>41446773892</v>
      </c>
      <c r="C140" s="72" t="s">
        <v>2079</v>
      </c>
      <c r="D140" s="69">
        <v>38180353850</v>
      </c>
      <c r="E140" s="9">
        <v>292</v>
      </c>
      <c r="F140" s="25">
        <v>43168</v>
      </c>
      <c r="G140" s="9" t="s">
        <v>1774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2080</v>
      </c>
      <c r="B141" s="67">
        <v>1436459354</v>
      </c>
      <c r="C141" s="72" t="s">
        <v>2081</v>
      </c>
      <c r="D141" s="69">
        <v>4149263310</v>
      </c>
      <c r="E141" s="9">
        <v>229</v>
      </c>
      <c r="F141" s="25">
        <v>43151</v>
      </c>
      <c r="G141" s="70" t="s">
        <v>1774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2082</v>
      </c>
      <c r="B142" s="67">
        <v>39953063818</v>
      </c>
      <c r="C142" s="29" t="s">
        <v>2083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2084</v>
      </c>
      <c r="B143" s="80">
        <v>15371893873</v>
      </c>
      <c r="C143" s="81" t="s">
        <v>2085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2086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1774</v>
      </c>
      <c r="H144" s="9"/>
      <c r="I144" s="8"/>
      <c r="J144" s="8"/>
      <c r="K144" s="8"/>
      <c r="L144" s="9" t="s">
        <v>1896</v>
      </c>
      <c r="M144" s="8"/>
    </row>
    <row r="145" spans="1:13">
      <c r="A145" s="73" t="s">
        <v>2087</v>
      </c>
      <c r="B145" s="67">
        <v>50773453334</v>
      </c>
      <c r="C145" s="72" t="s">
        <v>2088</v>
      </c>
      <c r="D145" s="69">
        <v>51551365391</v>
      </c>
      <c r="E145" s="9">
        <v>1106</v>
      </c>
      <c r="F145" s="25">
        <v>42965</v>
      </c>
      <c r="G145" s="70" t="s">
        <v>1780</v>
      </c>
      <c r="H145" s="9"/>
      <c r="I145" s="8"/>
      <c r="J145" s="8"/>
      <c r="K145" s="8"/>
      <c r="L145" s="8"/>
      <c r="M145" s="8"/>
    </row>
    <row r="146" spans="1:13">
      <c r="A146" s="71" t="s">
        <v>2089</v>
      </c>
      <c r="B146" s="67">
        <v>37805884803</v>
      </c>
      <c r="C146" s="72" t="s">
        <v>2090</v>
      </c>
      <c r="D146" s="69">
        <v>35792474842</v>
      </c>
      <c r="E146" s="9">
        <v>262</v>
      </c>
      <c r="F146" s="25">
        <v>43160</v>
      </c>
      <c r="G146" s="9" t="s">
        <v>1774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2091</v>
      </c>
      <c r="B147" s="67">
        <v>38072219804</v>
      </c>
      <c r="C147" s="72" t="s">
        <v>2092</v>
      </c>
      <c r="D147" s="69">
        <v>37125330800</v>
      </c>
      <c r="E147" s="9">
        <v>292</v>
      </c>
      <c r="F147" s="25">
        <v>43168</v>
      </c>
      <c r="G147" s="70" t="s">
        <v>1774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2093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1774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2094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2095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1774</v>
      </c>
      <c r="H150" s="9"/>
      <c r="I150" s="8"/>
      <c r="J150" s="8"/>
      <c r="K150" s="8"/>
      <c r="L150" s="8"/>
      <c r="M150" s="8"/>
    </row>
    <row r="151" spans="1:13">
      <c r="A151" s="72" t="s">
        <v>2096</v>
      </c>
      <c r="B151" s="67">
        <v>31476352879</v>
      </c>
      <c r="C151" s="72" t="s">
        <v>2097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2098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1774</v>
      </c>
      <c r="H152" s="9"/>
      <c r="I152" s="8"/>
      <c r="J152" s="8"/>
      <c r="K152" s="8"/>
      <c r="L152" s="8"/>
      <c r="M152" s="8"/>
    </row>
    <row r="153" spans="1:13">
      <c r="A153" s="71" t="s">
        <v>2099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1774</v>
      </c>
      <c r="H153" s="9"/>
      <c r="I153" s="8"/>
      <c r="J153" s="8"/>
      <c r="K153" s="8"/>
      <c r="L153" s="8"/>
      <c r="M153" s="8"/>
    </row>
    <row r="154" spans="1:13">
      <c r="A154" s="71" t="s">
        <v>2100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2101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2102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2103</v>
      </c>
      <c r="B157" s="67">
        <v>86665944468</v>
      </c>
      <c r="C157" s="72" t="s">
        <v>2104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2105</v>
      </c>
      <c r="B158" s="67">
        <v>39747831805</v>
      </c>
      <c r="C158" s="72" t="s">
        <v>2106</v>
      </c>
      <c r="D158" s="69">
        <v>1202056458</v>
      </c>
      <c r="E158" s="9">
        <v>292</v>
      </c>
      <c r="F158" s="25">
        <v>43168</v>
      </c>
      <c r="G158" s="70" t="s">
        <v>1774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2107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1774</v>
      </c>
      <c r="H159" s="9"/>
      <c r="I159" s="8"/>
      <c r="J159" s="8"/>
      <c r="K159" s="8"/>
      <c r="L159" s="8"/>
      <c r="M159" s="8"/>
    </row>
    <row r="160" spans="1:13">
      <c r="A160" s="29" t="s">
        <v>2108</v>
      </c>
      <c r="B160" s="67"/>
      <c r="C160" s="29" t="s">
        <v>2109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2110</v>
      </c>
      <c r="B161" s="67">
        <v>38107907884</v>
      </c>
      <c r="C161" s="72" t="s">
        <v>2111</v>
      </c>
      <c r="D161" s="69">
        <v>8669747685</v>
      </c>
      <c r="E161" s="9">
        <v>117</v>
      </c>
      <c r="F161" s="25">
        <v>43117</v>
      </c>
      <c r="G161" s="70" t="s">
        <v>1774</v>
      </c>
      <c r="H161" s="9"/>
      <c r="I161" s="8"/>
      <c r="J161" s="8"/>
      <c r="K161" s="8"/>
      <c r="L161" s="9" t="s">
        <v>1928</v>
      </c>
      <c r="M161" s="8"/>
    </row>
    <row r="162" spans="1:13">
      <c r="A162" s="29" t="s">
        <v>2112</v>
      </c>
      <c r="B162" s="67">
        <v>24759436880</v>
      </c>
      <c r="C162" s="29" t="s">
        <v>2113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2114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1774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2115</v>
      </c>
      <c r="B164" s="67">
        <v>22537971892</v>
      </c>
      <c r="C164" s="29" t="s">
        <v>2116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2117</v>
      </c>
      <c r="B165" s="67">
        <v>31362502812</v>
      </c>
      <c r="C165" s="72" t="s">
        <v>2118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2119</v>
      </c>
      <c r="B166" s="67">
        <v>4625640539</v>
      </c>
      <c r="C166" s="18" t="s">
        <v>2120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2121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2122</v>
      </c>
      <c r="B168" s="67">
        <v>22234108802</v>
      </c>
      <c r="C168" s="72" t="s">
        <v>2123</v>
      </c>
      <c r="D168" s="69"/>
      <c r="E168" s="9"/>
      <c r="F168" s="25"/>
      <c r="G168" s="70" t="s">
        <v>1774</v>
      </c>
      <c r="H168" s="9"/>
      <c r="I168" s="8"/>
      <c r="J168" s="8"/>
      <c r="K168" s="8"/>
      <c r="L168" s="8"/>
      <c r="M168" s="8"/>
    </row>
    <row r="169" spans="1:13">
      <c r="A169" s="30" t="s">
        <v>2124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2125</v>
      </c>
      <c r="B170" s="67">
        <v>182316599</v>
      </c>
      <c r="C170" s="72" t="s">
        <v>2126</v>
      </c>
      <c r="D170" s="69">
        <v>73673560549</v>
      </c>
      <c r="E170" s="9">
        <v>292</v>
      </c>
      <c r="F170" s="25">
        <v>43168</v>
      </c>
      <c r="G170" s="9" t="s">
        <v>1774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2127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1774</v>
      </c>
      <c r="H171" s="9"/>
      <c r="I171" s="8">
        <v>117</v>
      </c>
      <c r="J171" s="26">
        <v>43117</v>
      </c>
      <c r="K171" s="26">
        <v>43151</v>
      </c>
      <c r="L171" s="9" t="s">
        <v>2011</v>
      </c>
      <c r="M171" s="26"/>
    </row>
    <row r="172" spans="1:13">
      <c r="A172" s="71" t="s">
        <v>2128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1774</v>
      </c>
      <c r="H172" s="9"/>
      <c r="I172" s="8"/>
      <c r="J172" s="8"/>
      <c r="K172" s="8"/>
      <c r="L172" s="8"/>
      <c r="M172" s="8"/>
    </row>
    <row r="173" spans="1:13">
      <c r="A173" s="71" t="s">
        <v>2129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2130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2131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1774</v>
      </c>
      <c r="H175" s="9"/>
      <c r="I175" s="8"/>
      <c r="J175" s="8"/>
      <c r="K175" s="8"/>
      <c r="L175" s="8"/>
      <c r="M175" s="8"/>
    </row>
    <row r="176" spans="1:13">
      <c r="A176" s="71" t="s">
        <v>2132</v>
      </c>
      <c r="B176" s="67">
        <v>36777190899</v>
      </c>
      <c r="C176" s="72" t="s">
        <v>2133</v>
      </c>
      <c r="D176" s="69">
        <v>37104057854</v>
      </c>
      <c r="E176" s="9">
        <v>810</v>
      </c>
      <c r="F176" s="25">
        <v>42915</v>
      </c>
      <c r="G176" s="70" t="s">
        <v>1774</v>
      </c>
      <c r="H176" s="9"/>
      <c r="I176" s="8"/>
      <c r="J176" s="8"/>
      <c r="K176" s="8"/>
      <c r="L176" s="9" t="s">
        <v>1896</v>
      </c>
      <c r="M176" s="8"/>
    </row>
    <row r="177" spans="1:13">
      <c r="A177" s="15" t="s">
        <v>2134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1774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2135</v>
      </c>
      <c r="B178" s="67">
        <v>32428102877</v>
      </c>
      <c r="C178" s="72" t="s">
        <v>2136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2137</v>
      </c>
      <c r="B179" s="67">
        <v>28640229821</v>
      </c>
      <c r="C179" s="72" t="s">
        <v>2138</v>
      </c>
      <c r="D179" s="69">
        <v>7752420808</v>
      </c>
      <c r="E179" s="9">
        <v>1106</v>
      </c>
      <c r="F179" s="25">
        <v>42965</v>
      </c>
      <c r="G179" s="70" t="s">
        <v>1774</v>
      </c>
      <c r="H179" s="9"/>
      <c r="I179" s="8"/>
      <c r="J179" s="8"/>
      <c r="K179" s="8"/>
      <c r="L179" s="8"/>
      <c r="M179" s="8"/>
    </row>
    <row r="180" spans="1:13">
      <c r="A180" s="77" t="s">
        <v>2139</v>
      </c>
      <c r="B180" s="67">
        <v>38122976808</v>
      </c>
      <c r="C180" s="29" t="s">
        <v>2140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2141</v>
      </c>
      <c r="B181" s="67">
        <v>41494645882</v>
      </c>
      <c r="C181" s="72" t="s">
        <v>2142</v>
      </c>
      <c r="D181" s="69">
        <v>23413130862</v>
      </c>
      <c r="E181" s="9">
        <v>1824</v>
      </c>
      <c r="F181" s="25">
        <v>43091</v>
      </c>
      <c r="G181" s="70" t="s">
        <v>1774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2143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1774</v>
      </c>
      <c r="H182" s="9"/>
      <c r="I182" s="8"/>
      <c r="J182" s="8"/>
      <c r="K182" s="8"/>
      <c r="L182" s="8"/>
      <c r="M182" s="8"/>
    </row>
    <row r="183" spans="1:13">
      <c r="A183" s="71" t="s">
        <v>2144</v>
      </c>
      <c r="B183" s="67">
        <v>32882437846</v>
      </c>
      <c r="C183" s="77" t="s">
        <v>2145</v>
      </c>
      <c r="D183" s="69" t="s">
        <v>2146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2147</v>
      </c>
      <c r="B184" s="67">
        <v>40733908802</v>
      </c>
      <c r="C184" s="72" t="s">
        <v>2148</v>
      </c>
      <c r="D184" s="69"/>
      <c r="E184" s="9">
        <v>1128</v>
      </c>
      <c r="F184" s="25">
        <v>42972</v>
      </c>
      <c r="G184" s="70" t="s">
        <v>1774</v>
      </c>
      <c r="H184" s="9"/>
      <c r="I184" s="8"/>
      <c r="J184" s="8"/>
      <c r="K184" s="8"/>
      <c r="L184" s="8"/>
      <c r="M184" s="8"/>
    </row>
    <row r="185" spans="1:13">
      <c r="A185" s="71" t="s">
        <v>2149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2150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2151</v>
      </c>
      <c r="B187" s="67">
        <v>32321499877</v>
      </c>
      <c r="C187" s="72" t="s">
        <v>2152</v>
      </c>
      <c r="D187" s="69">
        <v>4788348373</v>
      </c>
      <c r="E187" s="9">
        <v>292</v>
      </c>
      <c r="F187" s="25">
        <v>43168</v>
      </c>
      <c r="G187" s="70" t="s">
        <v>1774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2153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1774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2154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1774</v>
      </c>
      <c r="H189" s="9"/>
      <c r="I189" s="8"/>
      <c r="J189" s="8"/>
      <c r="K189" s="8"/>
      <c r="L189" s="8"/>
      <c r="M189" s="8"/>
    </row>
    <row r="190" spans="1:13">
      <c r="A190" s="71" t="s">
        <v>2155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1788</v>
      </c>
      <c r="H190" s="9"/>
      <c r="I190" s="8"/>
      <c r="J190" s="8"/>
      <c r="K190" s="8"/>
      <c r="L190" s="9" t="s">
        <v>2156</v>
      </c>
      <c r="M190" s="8"/>
    </row>
    <row r="191" spans="1:13">
      <c r="A191" s="13" t="s">
        <v>2157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1774</v>
      </c>
      <c r="H191" s="9"/>
      <c r="I191" s="8"/>
      <c r="J191" s="8"/>
      <c r="K191" s="8"/>
      <c r="L191" s="8"/>
      <c r="M191" s="8"/>
    </row>
    <row r="192" spans="1:13">
      <c r="A192" s="14" t="s">
        <v>2158</v>
      </c>
      <c r="B192" s="67">
        <v>16700300835</v>
      </c>
      <c r="C192" s="72" t="s">
        <v>2159</v>
      </c>
      <c r="D192" s="69">
        <v>28699951809</v>
      </c>
      <c r="E192" s="9">
        <v>262</v>
      </c>
      <c r="F192" s="25">
        <v>43160</v>
      </c>
      <c r="G192" s="70" t="s">
        <v>1774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2160</v>
      </c>
      <c r="B193" s="67">
        <v>33595120817</v>
      </c>
      <c r="C193" s="68" t="s">
        <v>2161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2162</v>
      </c>
      <c r="B194" s="67">
        <v>40386203873</v>
      </c>
      <c r="C194" s="68" t="s">
        <v>2163</v>
      </c>
      <c r="D194" s="69">
        <v>27988479822</v>
      </c>
      <c r="E194" s="9">
        <v>1128</v>
      </c>
      <c r="F194" s="25">
        <v>42972</v>
      </c>
      <c r="G194" s="70" t="s">
        <v>1774</v>
      </c>
      <c r="H194" s="9"/>
      <c r="I194" s="8"/>
      <c r="J194" s="8"/>
      <c r="K194" s="8"/>
      <c r="L194" s="8"/>
      <c r="M194" s="8"/>
    </row>
    <row r="195" spans="1:13">
      <c r="A195" s="71" t="s">
        <v>2164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2165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2166</v>
      </c>
      <c r="B197" s="67">
        <v>23473254851</v>
      </c>
      <c r="C197" s="72" t="s">
        <v>2167</v>
      </c>
      <c r="D197" s="69">
        <v>32944503898</v>
      </c>
      <c r="E197" s="9">
        <v>85</v>
      </c>
      <c r="F197" s="25">
        <v>43109</v>
      </c>
      <c r="G197" s="70" t="s">
        <v>1774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2168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1774</v>
      </c>
      <c r="H198" s="9"/>
      <c r="I198" s="8"/>
      <c r="J198" s="8"/>
      <c r="K198" s="8"/>
      <c r="L198" s="8"/>
      <c r="M198" s="8"/>
    </row>
    <row r="199" spans="1:13">
      <c r="A199" s="15" t="s">
        <v>2169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1774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2170</v>
      </c>
      <c r="B200" s="67">
        <v>2218915871</v>
      </c>
      <c r="C200" s="72" t="s">
        <v>2171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2172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2173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2174</v>
      </c>
      <c r="B203" s="67">
        <v>31793836825</v>
      </c>
      <c r="C203" s="72" t="s">
        <v>2175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2176</v>
      </c>
      <c r="B204" s="67">
        <v>41307266843</v>
      </c>
      <c r="C204" s="18" t="s">
        <v>2177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2178</v>
      </c>
      <c r="B205" s="67">
        <v>96683295549</v>
      </c>
      <c r="C205" s="72"/>
      <c r="D205" s="69"/>
      <c r="E205" s="9"/>
      <c r="F205" s="25"/>
      <c r="G205" s="70" t="s">
        <v>1774</v>
      </c>
      <c r="H205" s="9"/>
      <c r="I205" s="8"/>
      <c r="J205" s="8"/>
      <c r="K205" s="8"/>
      <c r="L205" s="8"/>
      <c r="M205" s="8"/>
    </row>
    <row r="206" spans="1:13">
      <c r="A206" s="15" t="s">
        <v>2179</v>
      </c>
      <c r="B206" s="67">
        <v>18965913888</v>
      </c>
      <c r="C206" s="72" t="s">
        <v>2180</v>
      </c>
      <c r="D206" s="69">
        <v>30385646801</v>
      </c>
      <c r="E206" s="9">
        <v>117</v>
      </c>
      <c r="F206" s="25">
        <v>43117</v>
      </c>
      <c r="G206" s="70" t="s">
        <v>1774</v>
      </c>
      <c r="H206" s="9"/>
      <c r="I206" s="8"/>
      <c r="J206" s="8"/>
      <c r="K206" s="8"/>
      <c r="L206" s="9" t="s">
        <v>1928</v>
      </c>
      <c r="M206" s="8"/>
    </row>
    <row r="207" spans="1:13">
      <c r="A207" s="29" t="s">
        <v>2181</v>
      </c>
      <c r="B207" s="67">
        <v>52371501875</v>
      </c>
      <c r="C207" s="18" t="s">
        <v>1887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2182</v>
      </c>
      <c r="B208" s="67"/>
      <c r="C208" s="18" t="s">
        <v>1887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2183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2184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2185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1780</v>
      </c>
      <c r="H211" s="9"/>
      <c r="I211" s="8"/>
      <c r="J211" s="8"/>
      <c r="K211" s="8"/>
      <c r="L211" s="8"/>
      <c r="M211" s="8"/>
    </row>
    <row r="212" spans="1:13">
      <c r="A212" s="14" t="s">
        <v>2186</v>
      </c>
      <c r="B212" s="67">
        <v>25897391840</v>
      </c>
      <c r="C212" s="72" t="s">
        <v>2187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2188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2189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2190</v>
      </c>
      <c r="B215" s="67">
        <v>32841222810</v>
      </c>
      <c r="C215" s="72" t="s">
        <v>2191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2192</v>
      </c>
      <c r="B216" s="67">
        <v>32242692860</v>
      </c>
      <c r="C216" s="72" t="s">
        <v>2193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2194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2195</v>
      </c>
      <c r="B218" s="67">
        <v>35157366892</v>
      </c>
      <c r="C218" s="72" t="s">
        <v>2196</v>
      </c>
      <c r="D218" s="69">
        <v>7540659440</v>
      </c>
      <c r="E218" s="9">
        <v>262</v>
      </c>
      <c r="F218" s="25">
        <v>43160</v>
      </c>
      <c r="G218" s="70" t="s">
        <v>1774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2197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1774</v>
      </c>
      <c r="H219" s="70"/>
      <c r="I219" s="8"/>
      <c r="J219" s="8"/>
      <c r="K219" s="8"/>
      <c r="L219" s="8"/>
      <c r="M219" s="8"/>
    </row>
    <row r="220" spans="1:13">
      <c r="A220" s="15" t="s">
        <v>2198</v>
      </c>
      <c r="B220" s="67">
        <v>86052484594</v>
      </c>
      <c r="C220" s="72" t="s">
        <v>2199</v>
      </c>
      <c r="D220" s="69">
        <v>5551698556</v>
      </c>
      <c r="E220" s="9">
        <v>117</v>
      </c>
      <c r="F220" s="25">
        <v>43117</v>
      </c>
      <c r="G220" s="70" t="s">
        <v>1774</v>
      </c>
      <c r="H220" s="70"/>
      <c r="I220" s="8"/>
      <c r="J220" s="8"/>
      <c r="K220" s="8"/>
      <c r="L220" s="9" t="s">
        <v>1928</v>
      </c>
      <c r="M220" s="8"/>
    </row>
    <row r="221" spans="1:13">
      <c r="A221" s="15" t="s">
        <v>2200</v>
      </c>
      <c r="B221" s="67">
        <v>32193061874</v>
      </c>
      <c r="C221" s="72" t="s">
        <v>2201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2202</v>
      </c>
      <c r="B222" s="67">
        <v>32729382810</v>
      </c>
      <c r="C222" s="29" t="s">
        <v>2203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2204</v>
      </c>
      <c r="B223" s="67">
        <v>32554462879</v>
      </c>
      <c r="C223" s="72" t="s">
        <v>2205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2206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2207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2208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2209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1774</v>
      </c>
      <c r="H227" s="70"/>
      <c r="I227" s="8"/>
      <c r="J227" s="8"/>
      <c r="K227" s="8"/>
      <c r="L227" s="9" t="s">
        <v>1896</v>
      </c>
      <c r="M227" s="8"/>
    </row>
    <row r="228" spans="1:13">
      <c r="A228" s="72" t="s">
        <v>2210</v>
      </c>
      <c r="B228" s="67">
        <v>39961258878</v>
      </c>
      <c r="C228" s="72" t="s">
        <v>2211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2212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2213</v>
      </c>
      <c r="B230" s="67">
        <v>35719819878</v>
      </c>
      <c r="C230" s="72" t="s">
        <v>2214</v>
      </c>
      <c r="D230" s="69">
        <v>11407737473</v>
      </c>
      <c r="E230" s="9">
        <v>1214</v>
      </c>
      <c r="F230" s="25">
        <v>42989</v>
      </c>
      <c r="G230" s="70" t="s">
        <v>1774</v>
      </c>
      <c r="H230" s="70"/>
      <c r="I230" s="8"/>
      <c r="J230" s="8"/>
      <c r="K230" s="8"/>
      <c r="L230" s="8"/>
      <c r="M230" s="8"/>
    </row>
    <row r="231" spans="1:13">
      <c r="A231" s="13" t="s">
        <v>2215</v>
      </c>
      <c r="B231" s="67">
        <v>45813645829</v>
      </c>
      <c r="C231" s="68" t="s">
        <v>2216</v>
      </c>
      <c r="D231" s="69">
        <v>40890894841</v>
      </c>
      <c r="E231" s="9">
        <v>1752</v>
      </c>
      <c r="F231" s="25">
        <v>43051</v>
      </c>
      <c r="G231" s="70" t="s">
        <v>1774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2217</v>
      </c>
      <c r="B232" s="67">
        <v>43811085824</v>
      </c>
      <c r="C232" s="15" t="s">
        <v>2218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2219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2057</v>
      </c>
      <c r="M233" s="8"/>
    </row>
    <row r="234" spans="1:13">
      <c r="A234" s="29" t="s">
        <v>2220</v>
      </c>
      <c r="B234" s="67"/>
      <c r="C234" s="18" t="s">
        <v>1887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2221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2222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1774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2223</v>
      </c>
      <c r="B237" s="67">
        <v>86221152593</v>
      </c>
      <c r="C237" s="72" t="s">
        <v>2224</v>
      </c>
      <c r="D237" s="69">
        <v>3688414560</v>
      </c>
      <c r="E237" s="9">
        <v>1214</v>
      </c>
      <c r="F237" s="25">
        <v>42989</v>
      </c>
      <c r="G237" s="70" t="s">
        <v>1774</v>
      </c>
      <c r="H237" s="70"/>
      <c r="I237" s="8"/>
      <c r="J237" s="8"/>
      <c r="K237" s="8"/>
      <c r="L237" s="8"/>
      <c r="M237" s="8"/>
    </row>
    <row r="238" spans="1:13">
      <c r="A238" s="15" t="s">
        <v>2225</v>
      </c>
      <c r="B238" s="67">
        <v>5918222456</v>
      </c>
      <c r="C238" s="72" t="s">
        <v>2226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2227</v>
      </c>
      <c r="B239" s="67">
        <v>37239200809</v>
      </c>
      <c r="C239" s="72" t="s">
        <v>2228</v>
      </c>
      <c r="D239" s="69">
        <v>36014828869</v>
      </c>
      <c r="E239" s="9">
        <v>1350</v>
      </c>
      <c r="F239" s="25">
        <v>43006</v>
      </c>
      <c r="G239" s="70" t="s">
        <v>1774</v>
      </c>
      <c r="H239" s="70"/>
      <c r="I239" s="8"/>
      <c r="J239" s="8"/>
      <c r="K239" s="8"/>
      <c r="L239" s="8"/>
      <c r="M239" s="8"/>
    </row>
    <row r="240" spans="1:13">
      <c r="A240" s="71" t="s">
        <v>2229</v>
      </c>
      <c r="B240" s="67">
        <v>6620279813</v>
      </c>
      <c r="C240" s="72" t="s">
        <v>2230</v>
      </c>
      <c r="D240" s="69">
        <v>18461089855</v>
      </c>
      <c r="E240" s="9">
        <v>1824</v>
      </c>
      <c r="F240" s="25">
        <v>43091</v>
      </c>
      <c r="G240" s="70" t="s">
        <v>1774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2231</v>
      </c>
      <c r="B241" s="67">
        <v>11805424874</v>
      </c>
      <c r="C241" s="77" t="s">
        <v>2232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2233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2234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2235</v>
      </c>
      <c r="B244" s="67">
        <v>34001342871</v>
      </c>
      <c r="C244" s="18" t="s">
        <v>2236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2237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2238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2239</v>
      </c>
      <c r="B247" s="67">
        <v>1308082533</v>
      </c>
      <c r="C247" s="72" t="s">
        <v>2240</v>
      </c>
      <c r="D247" s="69">
        <v>73690139520</v>
      </c>
      <c r="E247" s="9">
        <v>262</v>
      </c>
      <c r="F247" s="25">
        <v>43160</v>
      </c>
      <c r="G247" s="70" t="s">
        <v>1774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2241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1774</v>
      </c>
      <c r="H248" s="70"/>
      <c r="I248" s="8"/>
      <c r="J248" s="8"/>
      <c r="K248" s="8"/>
      <c r="L248" s="9" t="s">
        <v>1928</v>
      </c>
      <c r="M248" s="8"/>
    </row>
    <row r="249" spans="1:13">
      <c r="A249" s="71" t="s">
        <v>2242</v>
      </c>
      <c r="B249" s="67">
        <v>4068496846</v>
      </c>
      <c r="C249" s="72" t="s">
        <v>2243</v>
      </c>
      <c r="D249" s="69">
        <v>26922524896</v>
      </c>
      <c r="E249" s="9">
        <v>1752</v>
      </c>
      <c r="F249" s="25">
        <v>43051</v>
      </c>
      <c r="G249" s="70" t="s">
        <v>1774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2244</v>
      </c>
      <c r="B250" s="67">
        <v>92175163849</v>
      </c>
      <c r="C250" s="72" t="s">
        <v>2245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2246</v>
      </c>
      <c r="B251" s="67">
        <v>76906388304</v>
      </c>
      <c r="C251" s="18" t="s">
        <v>2247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2248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1774</v>
      </c>
      <c r="H252" s="70"/>
      <c r="I252" s="8"/>
      <c r="J252" s="8"/>
      <c r="K252" s="8"/>
      <c r="L252" s="9" t="s">
        <v>1928</v>
      </c>
      <c r="M252" s="8"/>
    </row>
    <row r="253" spans="1:13">
      <c r="A253" s="71" t="s">
        <v>2249</v>
      </c>
      <c r="B253" s="67">
        <v>2925106323</v>
      </c>
      <c r="C253" s="72" t="s">
        <v>2250</v>
      </c>
      <c r="D253" s="69">
        <v>16131378851</v>
      </c>
      <c r="E253" s="9">
        <v>1214</v>
      </c>
      <c r="F253" s="25">
        <v>42989</v>
      </c>
      <c r="G253" s="70" t="s">
        <v>1774</v>
      </c>
      <c r="H253" s="70"/>
      <c r="I253" s="8"/>
      <c r="J253" s="8"/>
      <c r="K253" s="8"/>
      <c r="L253" s="8"/>
      <c r="M253" s="8"/>
    </row>
    <row r="254" spans="1:13">
      <c r="A254" s="13" t="s">
        <v>2251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1774</v>
      </c>
      <c r="H254" s="70"/>
      <c r="I254" s="8"/>
      <c r="J254" s="8"/>
      <c r="K254" s="8"/>
      <c r="L254" s="8"/>
      <c r="M254" s="8"/>
    </row>
    <row r="255" spans="1:13">
      <c r="A255" s="13" t="s">
        <v>2252</v>
      </c>
      <c r="B255" s="67">
        <v>30871120895</v>
      </c>
      <c r="C255" s="68" t="s">
        <v>2253</v>
      </c>
      <c r="D255" s="69">
        <v>7635106457</v>
      </c>
      <c r="E255" s="9">
        <v>1241</v>
      </c>
      <c r="F255" s="25">
        <v>42992</v>
      </c>
      <c r="G255" s="70" t="s">
        <v>1774</v>
      </c>
      <c r="H255" s="70"/>
      <c r="I255" s="8"/>
      <c r="J255" s="8"/>
      <c r="K255" s="8"/>
      <c r="L255" s="8"/>
      <c r="M255" s="8"/>
    </row>
    <row r="256" spans="1:13">
      <c r="A256" s="71" t="s">
        <v>2254</v>
      </c>
      <c r="B256" s="67">
        <v>32016102837</v>
      </c>
      <c r="C256" s="72" t="s">
        <v>2255</v>
      </c>
      <c r="D256" s="69">
        <v>25077406553</v>
      </c>
      <c r="E256" s="9">
        <v>292</v>
      </c>
      <c r="F256" s="25">
        <v>43168</v>
      </c>
      <c r="G256" s="70" t="s">
        <v>1774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2256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2257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2258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2259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1774</v>
      </c>
      <c r="H260" s="70"/>
      <c r="I260" s="8"/>
      <c r="J260" s="8"/>
      <c r="K260" s="8"/>
      <c r="L260" s="9" t="s">
        <v>2260</v>
      </c>
      <c r="M260" s="8"/>
    </row>
    <row r="261" spans="1:13">
      <c r="A261" s="15" t="s">
        <v>2261</v>
      </c>
      <c r="B261" s="67">
        <v>18856620847</v>
      </c>
      <c r="C261" s="72" t="s">
        <v>2262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2263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2264</v>
      </c>
      <c r="B263" s="67">
        <v>2766966382</v>
      </c>
      <c r="C263" s="72" t="s">
        <v>2265</v>
      </c>
      <c r="D263" s="69">
        <v>2385838303</v>
      </c>
      <c r="E263" s="9">
        <v>262</v>
      </c>
      <c r="F263" s="25">
        <v>43160</v>
      </c>
      <c r="G263" s="70" t="s">
        <v>1774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2266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2267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1774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2268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1774</v>
      </c>
      <c r="H266" s="70"/>
      <c r="I266" s="8"/>
      <c r="J266" s="8"/>
      <c r="K266" s="8"/>
      <c r="L266" s="8"/>
      <c r="M266" s="8"/>
    </row>
    <row r="267" spans="1:13">
      <c r="A267" s="71" t="s">
        <v>2269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1774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2270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1774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2271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1774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2272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2273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1774</v>
      </c>
      <c r="H271" s="70"/>
      <c r="I271" s="8"/>
      <c r="J271" s="8"/>
      <c r="K271" s="8"/>
      <c r="L271" s="9" t="s">
        <v>1918</v>
      </c>
      <c r="M271" s="8"/>
    </row>
    <row r="272" spans="1:13">
      <c r="A272" s="71" t="s">
        <v>2274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2275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1774</v>
      </c>
      <c r="H273" s="70"/>
      <c r="I273" s="8"/>
      <c r="J273" s="8"/>
      <c r="K273" s="8"/>
      <c r="L273" s="9" t="s">
        <v>1918</v>
      </c>
      <c r="M273" s="8"/>
    </row>
    <row r="274" spans="1:13">
      <c r="A274" s="71" t="s">
        <v>2276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1774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2277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2278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1774</v>
      </c>
      <c r="H276" s="70"/>
      <c r="I276" s="8"/>
      <c r="J276" s="8"/>
      <c r="K276" s="8"/>
      <c r="L276" s="9" t="s">
        <v>1896</v>
      </c>
      <c r="M276" s="8"/>
    </row>
    <row r="277" spans="1:13">
      <c r="A277" s="13" t="s">
        <v>2279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2280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1774</v>
      </c>
      <c r="H278" s="70"/>
      <c r="I278" s="8"/>
      <c r="J278" s="8"/>
      <c r="K278" s="8"/>
      <c r="L278" s="8"/>
      <c r="M278" s="8"/>
    </row>
    <row r="279" spans="1:13">
      <c r="A279" s="71" t="s">
        <v>2281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2282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2283</v>
      </c>
      <c r="B281" s="67">
        <v>5261128838</v>
      </c>
      <c r="C281" s="72" t="s">
        <v>2284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2285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2286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2287</v>
      </c>
      <c r="B284" s="67"/>
      <c r="C284" s="29" t="s">
        <v>1887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2288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2289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2290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1774</v>
      </c>
      <c r="H287" s="70"/>
      <c r="I287" s="8"/>
      <c r="J287" s="8"/>
      <c r="K287" s="8"/>
      <c r="L287" s="8"/>
      <c r="M287" s="8"/>
    </row>
    <row r="288" spans="1:13">
      <c r="A288" s="15" t="s">
        <v>2291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2292</v>
      </c>
      <c r="B289" s="67">
        <v>80117694304</v>
      </c>
      <c r="C289" s="72" t="s">
        <v>2293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2294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2295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2296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2297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2298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1774</v>
      </c>
      <c r="H294" s="70"/>
      <c r="I294" s="8"/>
      <c r="J294" s="8"/>
      <c r="K294" s="8"/>
      <c r="L294" s="8"/>
      <c r="M294" s="8"/>
    </row>
    <row r="295" spans="1:13">
      <c r="A295" s="71" t="s">
        <v>2299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1774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2300</v>
      </c>
      <c r="B296" s="67">
        <v>34227913888</v>
      </c>
      <c r="C296" s="72" t="s">
        <v>2301</v>
      </c>
      <c r="D296" s="69">
        <v>22306586896</v>
      </c>
      <c r="E296" s="9">
        <v>1214</v>
      </c>
      <c r="F296" s="25">
        <v>42989</v>
      </c>
      <c r="G296" s="70" t="s">
        <v>1774</v>
      </c>
      <c r="H296" s="70"/>
      <c r="I296" s="8"/>
      <c r="J296" s="8"/>
      <c r="K296" s="8"/>
      <c r="L296" s="8"/>
      <c r="M296" s="8"/>
    </row>
    <row r="297" spans="1:13">
      <c r="A297" s="71" t="s">
        <v>2302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1774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2303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1780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2304</v>
      </c>
      <c r="B299" s="67">
        <v>33547844827</v>
      </c>
      <c r="C299" s="72" t="s">
        <v>2305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2306</v>
      </c>
      <c r="B300" s="67"/>
      <c r="C300" s="18" t="s">
        <v>1887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2307</v>
      </c>
      <c r="B301" s="67">
        <v>5212801842</v>
      </c>
      <c r="C301" s="72" t="s">
        <v>2308</v>
      </c>
      <c r="D301" s="69">
        <v>7101207880</v>
      </c>
      <c r="E301" s="9">
        <v>262</v>
      </c>
      <c r="F301" s="25">
        <v>43160</v>
      </c>
      <c r="G301" s="70" t="s">
        <v>1774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2309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1774</v>
      </c>
      <c r="H302" s="9"/>
      <c r="I302" s="8"/>
      <c r="J302" s="8"/>
      <c r="K302" s="8"/>
      <c r="L302" s="9" t="s">
        <v>1896</v>
      </c>
      <c r="M302" s="8"/>
    </row>
    <row r="303" spans="1:13">
      <c r="A303" s="71" t="s">
        <v>2310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1774</v>
      </c>
      <c r="H303" s="9"/>
      <c r="I303" s="8"/>
      <c r="J303" s="8"/>
      <c r="K303" s="8"/>
      <c r="L303" s="8"/>
      <c r="M303" s="8"/>
    </row>
    <row r="304" spans="1:13">
      <c r="A304" s="29" t="s">
        <v>2311</v>
      </c>
      <c r="B304" s="67"/>
      <c r="C304" s="29" t="s">
        <v>2312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2313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1774</v>
      </c>
      <c r="H305" s="9"/>
      <c r="I305" s="8"/>
      <c r="J305" s="8"/>
      <c r="K305" s="8"/>
      <c r="L305" s="8"/>
      <c r="M305" s="8"/>
    </row>
    <row r="306" spans="1:13">
      <c r="A306" s="29" t="s">
        <v>2314</v>
      </c>
      <c r="B306" s="67">
        <v>43257974833</v>
      </c>
      <c r="C306" s="18" t="s">
        <v>1887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2315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1774</v>
      </c>
      <c r="H307" s="9"/>
      <c r="I307" s="8"/>
      <c r="J307" s="8"/>
      <c r="K307" s="8"/>
      <c r="L307" s="8"/>
      <c r="M307" s="8"/>
    </row>
    <row r="308" spans="1:13">
      <c r="A308" s="71" t="s">
        <v>2316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2317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1774</v>
      </c>
      <c r="H309" s="9"/>
      <c r="I309" s="8"/>
      <c r="J309" s="8"/>
      <c r="K309" s="8"/>
      <c r="L309" s="9" t="s">
        <v>1896</v>
      </c>
      <c r="M309" s="8"/>
    </row>
    <row r="310" spans="1:13">
      <c r="A310" s="13" t="s">
        <v>2318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1774</v>
      </c>
      <c r="H310" s="9"/>
      <c r="I310" s="8"/>
      <c r="J310" s="8"/>
      <c r="K310" s="8"/>
      <c r="L310" s="8"/>
      <c r="M310" s="8"/>
    </row>
    <row r="311" spans="1:13">
      <c r="A311" s="72" t="s">
        <v>2319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1774</v>
      </c>
      <c r="H311" s="9"/>
      <c r="I311" s="8"/>
      <c r="J311" s="8"/>
      <c r="K311" s="8"/>
      <c r="L311" s="9" t="s">
        <v>1918</v>
      </c>
      <c r="M311" s="8"/>
    </row>
    <row r="312" spans="1:13">
      <c r="A312" s="18" t="s">
        <v>2320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2321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1774</v>
      </c>
      <c r="H313" s="9"/>
      <c r="I313" s="8"/>
      <c r="J313" s="8"/>
      <c r="K313" s="8"/>
      <c r="L313" s="8"/>
      <c r="M313" s="8"/>
    </row>
    <row r="314" spans="1:13">
      <c r="A314" s="15" t="s">
        <v>2322</v>
      </c>
      <c r="B314" s="67">
        <v>56647751300</v>
      </c>
      <c r="C314" s="72" t="s">
        <v>2323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2324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1774</v>
      </c>
      <c r="H315" s="9"/>
      <c r="I315" s="8"/>
      <c r="J315" s="8"/>
      <c r="K315" s="8"/>
      <c r="L315" s="9" t="s">
        <v>1918</v>
      </c>
      <c r="M315" s="8"/>
    </row>
    <row r="316" spans="1:13">
      <c r="A316" s="71" t="s">
        <v>2325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2326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2327</v>
      </c>
      <c r="B318" s="67">
        <v>42049249802</v>
      </c>
      <c r="C318" s="72" t="s">
        <v>2328</v>
      </c>
      <c r="D318" s="69">
        <v>22669338844</v>
      </c>
      <c r="E318" s="9">
        <v>1267</v>
      </c>
      <c r="F318" s="25">
        <v>42998</v>
      </c>
      <c r="G318" s="70" t="s">
        <v>1774</v>
      </c>
      <c r="H318" s="9"/>
      <c r="I318" s="8"/>
      <c r="J318" s="8"/>
      <c r="K318" s="8"/>
      <c r="L318" s="8"/>
      <c r="M318" s="8"/>
    </row>
    <row r="319" spans="1:13">
      <c r="A319" s="71" t="s">
        <v>2329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1774</v>
      </c>
      <c r="H319" s="9"/>
      <c r="I319" s="8"/>
      <c r="J319" s="8"/>
      <c r="K319" s="8"/>
      <c r="L319" s="8"/>
      <c r="M319" s="8"/>
    </row>
    <row r="320" spans="1:13">
      <c r="A320" s="14" t="s">
        <v>2330</v>
      </c>
      <c r="B320" s="67">
        <v>1863847502</v>
      </c>
      <c r="C320" s="72" t="s">
        <v>2331</v>
      </c>
      <c r="D320" s="69">
        <v>1636882579</v>
      </c>
      <c r="E320" s="9">
        <v>292</v>
      </c>
      <c r="F320" s="25">
        <v>43168</v>
      </c>
      <c r="G320" s="70" t="s">
        <v>1774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2332</v>
      </c>
      <c r="B321" s="67">
        <v>24759459820</v>
      </c>
      <c r="C321" s="18" t="s">
        <v>2333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2334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1774</v>
      </c>
      <c r="H322" s="9"/>
      <c r="I322" s="8"/>
      <c r="J322" s="8"/>
      <c r="K322" s="8"/>
      <c r="L322" s="9" t="s">
        <v>2156</v>
      </c>
      <c r="M322" s="8"/>
    </row>
    <row r="323" spans="1:13">
      <c r="A323" s="29" t="s">
        <v>2335</v>
      </c>
      <c r="B323" s="67"/>
      <c r="C323" s="18" t="s">
        <v>1887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2336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1774</v>
      </c>
      <c r="H324" s="9"/>
      <c r="I324" s="8"/>
      <c r="J324" s="8"/>
      <c r="K324" s="8"/>
      <c r="L324" s="8"/>
      <c r="M324" s="8"/>
    </row>
    <row r="325" spans="1:13">
      <c r="A325" s="71" t="s">
        <v>2337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2338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2339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2340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2341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1774</v>
      </c>
      <c r="H329" s="9"/>
      <c r="I329" s="8"/>
      <c r="J329" s="8"/>
      <c r="K329" s="8"/>
      <c r="L329" s="8"/>
      <c r="M329" s="8"/>
    </row>
    <row r="330" spans="1:13">
      <c r="A330" s="71" t="s">
        <v>2342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1774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2343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1774</v>
      </c>
      <c r="H331" s="9"/>
      <c r="I331" s="8"/>
      <c r="J331" s="8"/>
      <c r="K331" s="8"/>
      <c r="L331" s="8"/>
      <c r="M331" s="8"/>
    </row>
    <row r="332" spans="1:13">
      <c r="A332" s="71" t="s">
        <v>2344</v>
      </c>
      <c r="B332" s="67">
        <v>43830821816</v>
      </c>
      <c r="C332" s="72" t="s">
        <v>2345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2346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2347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2348</v>
      </c>
      <c r="B335" s="67">
        <v>26501719879</v>
      </c>
      <c r="C335" s="75" t="s">
        <v>2349</v>
      </c>
      <c r="D335" s="69">
        <v>26502973876</v>
      </c>
      <c r="E335" s="9">
        <v>1106</v>
      </c>
      <c r="F335" s="25">
        <v>42965</v>
      </c>
      <c r="G335" s="70" t="s">
        <v>1774</v>
      </c>
      <c r="H335" s="9"/>
      <c r="I335" s="8"/>
      <c r="J335" s="8"/>
      <c r="K335" s="8"/>
      <c r="L335" s="8"/>
      <c r="M335" s="8"/>
    </row>
    <row r="336" spans="1:13">
      <c r="A336" s="13" t="s">
        <v>2350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1774</v>
      </c>
      <c r="H336" s="9"/>
      <c r="I336" s="8"/>
      <c r="J336" s="8"/>
      <c r="K336" s="8"/>
      <c r="L336" s="8"/>
      <c r="M336" s="8"/>
    </row>
    <row r="337" spans="1:13">
      <c r="A337" s="14" t="s">
        <v>2351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2352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1774</v>
      </c>
      <c r="H338" s="9"/>
      <c r="I338" s="8"/>
      <c r="J338" s="8"/>
      <c r="K338" s="8"/>
      <c r="L338" s="8"/>
      <c r="M338" s="8"/>
    </row>
    <row r="339" spans="1:13">
      <c r="A339" s="71" t="s">
        <v>2353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2354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2355</v>
      </c>
      <c r="B341" s="67">
        <v>33603802829</v>
      </c>
      <c r="C341" s="72" t="s">
        <v>2356</v>
      </c>
      <c r="D341" s="69">
        <v>26302620813</v>
      </c>
      <c r="E341" s="9">
        <v>1262</v>
      </c>
      <c r="F341" s="25">
        <v>42997</v>
      </c>
      <c r="G341" s="70" t="s">
        <v>1774</v>
      </c>
      <c r="H341" s="9"/>
      <c r="I341" s="8"/>
      <c r="J341" s="8"/>
      <c r="K341" s="8"/>
      <c r="L341" s="8"/>
      <c r="M341" s="8"/>
    </row>
    <row r="342" spans="1:13">
      <c r="A342" s="13" t="s">
        <v>2357</v>
      </c>
      <c r="B342" s="67">
        <v>23802013824</v>
      </c>
      <c r="C342" s="72" t="s">
        <v>2358</v>
      </c>
      <c r="D342" s="69">
        <v>23099249890</v>
      </c>
      <c r="E342" s="9">
        <v>1489</v>
      </c>
      <c r="F342" s="25">
        <v>43038</v>
      </c>
      <c r="G342" s="70" t="s">
        <v>1774</v>
      </c>
      <c r="H342" s="9"/>
      <c r="I342" s="8"/>
      <c r="J342" s="8"/>
      <c r="K342" s="8"/>
      <c r="L342" s="9" t="s">
        <v>1918</v>
      </c>
      <c r="M342" s="8"/>
    </row>
    <row r="343" spans="1:13">
      <c r="A343" s="71" t="s">
        <v>2359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2360</v>
      </c>
      <c r="B344" s="67">
        <v>39348497847</v>
      </c>
      <c r="C344" s="72" t="s">
        <v>2361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2362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1774</v>
      </c>
      <c r="H345" s="9"/>
      <c r="I345" s="8"/>
      <c r="J345" s="8"/>
      <c r="K345" s="8"/>
      <c r="L345" s="9" t="s">
        <v>1918</v>
      </c>
      <c r="M345" s="8"/>
    </row>
    <row r="346" spans="1:13">
      <c r="A346" s="71" t="s">
        <v>2363</v>
      </c>
      <c r="B346" s="67">
        <v>46102945832</v>
      </c>
      <c r="C346" s="72" t="s">
        <v>2364</v>
      </c>
      <c r="D346" s="69">
        <v>48110319890</v>
      </c>
      <c r="E346" s="9">
        <v>262</v>
      </c>
      <c r="F346" s="25">
        <v>43160</v>
      </c>
      <c r="G346" s="70" t="s">
        <v>1774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2365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1774</v>
      </c>
      <c r="H347" s="9"/>
      <c r="I347" s="8"/>
      <c r="J347" s="8"/>
      <c r="K347" s="8"/>
      <c r="L347" s="8"/>
      <c r="M347" s="8"/>
    </row>
    <row r="348" spans="1:13">
      <c r="A348" s="71" t="s">
        <v>2366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2367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1788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2368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1774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2369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2370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1774</v>
      </c>
      <c r="H352" s="9"/>
      <c r="I352" s="8"/>
      <c r="J352" s="8"/>
      <c r="K352" s="8"/>
      <c r="L352" s="8"/>
      <c r="M352" s="8"/>
    </row>
    <row r="353" spans="1:13">
      <c r="A353" s="13" t="s">
        <v>2371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1774</v>
      </c>
      <c r="H353" s="9"/>
      <c r="I353" s="8"/>
      <c r="J353" s="8"/>
      <c r="K353" s="8"/>
      <c r="L353" s="9" t="s">
        <v>2011</v>
      </c>
      <c r="M353" s="8"/>
    </row>
    <row r="354" spans="1:13">
      <c r="A354" s="15" t="s">
        <v>2372</v>
      </c>
      <c r="B354" s="67">
        <v>37738978805</v>
      </c>
      <c r="C354" s="15" t="s">
        <v>2373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2374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2375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2376</v>
      </c>
      <c r="B357" s="67">
        <v>37439665813</v>
      </c>
      <c r="C357" s="72" t="s">
        <v>2377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2057</v>
      </c>
      <c r="M357" s="8"/>
    </row>
    <row r="358" spans="1:13">
      <c r="A358" s="15" t="s">
        <v>2378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2379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2380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1774</v>
      </c>
      <c r="H360" s="9"/>
      <c r="I360" s="8"/>
      <c r="J360" s="8"/>
      <c r="K360" s="8"/>
      <c r="L360" s="9" t="s">
        <v>2260</v>
      </c>
      <c r="M360" s="8"/>
    </row>
    <row r="361" spans="1:13">
      <c r="A361" s="15" t="s">
        <v>2381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2382</v>
      </c>
      <c r="B362" s="67">
        <v>39263170860</v>
      </c>
      <c r="C362" s="72" t="s">
        <v>2383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2384</v>
      </c>
      <c r="B363" s="67">
        <v>17803665829</v>
      </c>
      <c r="C363" s="72" t="s">
        <v>2385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2386</v>
      </c>
      <c r="B364" s="67">
        <v>39996489884</v>
      </c>
      <c r="C364" s="72" t="s">
        <v>2387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2388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2389</v>
      </c>
      <c r="B366" s="67">
        <v>36210371876</v>
      </c>
      <c r="C366" s="72" t="s">
        <v>2390</v>
      </c>
      <c r="D366" s="69">
        <v>32340716837</v>
      </c>
      <c r="E366" s="9">
        <v>229</v>
      </c>
      <c r="F366" s="25">
        <v>43151</v>
      </c>
      <c r="G366" s="70" t="s">
        <v>1774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2391</v>
      </c>
      <c r="B367" s="67">
        <v>42016007850</v>
      </c>
      <c r="C367" s="72" t="s">
        <v>2392</v>
      </c>
      <c r="D367" s="69">
        <v>35228090843</v>
      </c>
      <c r="E367" s="9">
        <v>810</v>
      </c>
      <c r="F367" s="25">
        <v>42915</v>
      </c>
      <c r="G367" s="70" t="s">
        <v>1774</v>
      </c>
      <c r="H367" s="9"/>
      <c r="I367" s="8"/>
      <c r="J367" s="8"/>
      <c r="K367" s="8"/>
      <c r="L367" s="9" t="s">
        <v>1896</v>
      </c>
      <c r="M367" s="8"/>
    </row>
    <row r="368" spans="1:13">
      <c r="A368" s="14" t="s">
        <v>2393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1774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2394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1774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2395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1774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2396</v>
      </c>
      <c r="B371" s="67">
        <v>34350558802</v>
      </c>
      <c r="C371" s="18" t="s">
        <v>2397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2398</v>
      </c>
      <c r="B372" s="67">
        <v>41502336839</v>
      </c>
      <c r="C372" s="77" t="s">
        <v>2399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2400</v>
      </c>
      <c r="B373" s="67">
        <v>38156943880</v>
      </c>
      <c r="C373" s="72" t="s">
        <v>2401</v>
      </c>
      <c r="D373" s="69">
        <v>35830934884</v>
      </c>
      <c r="E373" s="9">
        <v>262</v>
      </c>
      <c r="F373" s="25">
        <v>43160</v>
      </c>
      <c r="G373" s="70" t="s">
        <v>1774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2402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1774</v>
      </c>
      <c r="H374" s="9"/>
      <c r="I374" s="8"/>
      <c r="J374" s="8"/>
      <c r="K374" s="8"/>
      <c r="L374" s="9" t="s">
        <v>1896</v>
      </c>
      <c r="M374" s="8"/>
    </row>
    <row r="375" spans="1:13">
      <c r="A375" s="71" t="s">
        <v>2403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1774</v>
      </c>
      <c r="H375" s="9"/>
      <c r="I375" s="8"/>
      <c r="J375" s="8"/>
      <c r="K375" s="8"/>
      <c r="L375" s="8"/>
      <c r="M375" s="8"/>
    </row>
    <row r="376" spans="1:13">
      <c r="A376" s="71" t="s">
        <v>2404</v>
      </c>
      <c r="B376" s="67" t="s">
        <v>2405</v>
      </c>
      <c r="C376" s="73" t="s">
        <v>2406</v>
      </c>
      <c r="D376" s="69" t="s">
        <v>2407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2408</v>
      </c>
      <c r="B377" s="67">
        <v>41104888858</v>
      </c>
      <c r="C377" s="72" t="s">
        <v>2409</v>
      </c>
      <c r="D377" s="69">
        <v>35714357884</v>
      </c>
      <c r="E377" s="9">
        <v>810</v>
      </c>
      <c r="F377" s="25">
        <v>42915</v>
      </c>
      <c r="G377" s="70" t="s">
        <v>1774</v>
      </c>
      <c r="H377" s="9"/>
      <c r="I377" s="8"/>
      <c r="J377" s="8"/>
      <c r="K377" s="8"/>
      <c r="L377" s="9" t="s">
        <v>1896</v>
      </c>
      <c r="M377" s="8"/>
    </row>
    <row r="378" spans="1:13">
      <c r="A378" s="71" t="s">
        <v>2410</v>
      </c>
      <c r="B378" s="67">
        <v>34954516846</v>
      </c>
      <c r="C378" s="72" t="s">
        <v>2411</v>
      </c>
      <c r="D378" s="69">
        <v>18356312825</v>
      </c>
      <c r="E378" s="9">
        <v>1824</v>
      </c>
      <c r="F378" s="25">
        <v>43091</v>
      </c>
      <c r="G378" s="70" t="s">
        <v>1788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2412</v>
      </c>
      <c r="B379" s="67"/>
      <c r="C379" s="29" t="s">
        <v>2413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2414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1774</v>
      </c>
      <c r="H380" s="9"/>
      <c r="I380" s="8"/>
      <c r="J380" s="8"/>
      <c r="K380" s="8"/>
      <c r="L380" s="8"/>
      <c r="M380" s="8"/>
    </row>
    <row r="381" spans="1:13">
      <c r="A381" s="13" t="s">
        <v>2415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1774</v>
      </c>
      <c r="H381" s="9"/>
      <c r="I381" s="8"/>
      <c r="J381" s="8"/>
      <c r="K381" s="8"/>
      <c r="L381" s="9" t="s">
        <v>1918</v>
      </c>
      <c r="M381" s="8"/>
    </row>
    <row r="382" spans="1:13">
      <c r="A382" s="71" t="s">
        <v>2416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2417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1774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2418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1774</v>
      </c>
      <c r="H384" s="9"/>
      <c r="I384" s="8"/>
      <c r="J384" s="8"/>
      <c r="K384" s="8"/>
      <c r="L384" s="9" t="s">
        <v>1918</v>
      </c>
      <c r="M384" s="8"/>
    </row>
    <row r="385" spans="1:13">
      <c r="A385" s="15" t="s">
        <v>2419</v>
      </c>
      <c r="B385" s="67">
        <v>33239238802</v>
      </c>
      <c r="C385" s="72" t="s">
        <v>2420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2421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2422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1774</v>
      </c>
      <c r="H387" s="9"/>
      <c r="I387" s="8"/>
      <c r="J387" s="8"/>
      <c r="K387" s="8"/>
      <c r="L387" s="8"/>
      <c r="M387" s="8"/>
    </row>
    <row r="388" spans="1:13">
      <c r="A388" s="71" t="s">
        <v>2423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1780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2424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2425</v>
      </c>
      <c r="B390" s="67">
        <v>13486189816</v>
      </c>
      <c r="C390" s="72" t="s">
        <v>2426</v>
      </c>
      <c r="D390" s="69">
        <v>15745057858</v>
      </c>
      <c r="E390" s="9">
        <v>262</v>
      </c>
      <c r="F390" s="25">
        <v>43160</v>
      </c>
      <c r="G390" s="70" t="s">
        <v>1774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2427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1774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2428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1774</v>
      </c>
      <c r="H392" s="9"/>
      <c r="I392" s="8"/>
      <c r="J392" s="8"/>
      <c r="K392" s="8"/>
      <c r="L392" s="8"/>
      <c r="M392" s="8"/>
    </row>
    <row r="393" spans="1:13">
      <c r="A393" s="71" t="s">
        <v>2429</v>
      </c>
      <c r="B393" s="67">
        <v>29672702884</v>
      </c>
      <c r="C393" s="72" t="s">
        <v>2430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2431</v>
      </c>
      <c r="B394" s="67"/>
      <c r="C394" s="29" t="s">
        <v>1887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2432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1774</v>
      </c>
      <c r="H395" s="9"/>
      <c r="I395" s="8"/>
      <c r="J395" s="8"/>
      <c r="K395" s="8"/>
      <c r="L395" s="8"/>
      <c r="M395" s="8"/>
    </row>
    <row r="396" spans="1:13">
      <c r="A396" s="15" t="s">
        <v>2433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1774</v>
      </c>
      <c r="H396" s="9"/>
      <c r="I396" s="8"/>
      <c r="J396" s="8"/>
      <c r="K396" s="8"/>
      <c r="L396" s="9" t="s">
        <v>1928</v>
      </c>
      <c r="M396" s="8"/>
    </row>
    <row r="397" spans="1:13">
      <c r="A397" s="15" t="s">
        <v>2434</v>
      </c>
      <c r="B397" s="67">
        <v>7030224582</v>
      </c>
      <c r="C397" s="72" t="s">
        <v>2435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2436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1774</v>
      </c>
      <c r="H398" s="9"/>
      <c r="I398" s="8"/>
      <c r="J398" s="8"/>
      <c r="K398" s="8"/>
      <c r="L398" s="8"/>
      <c r="M398" s="8"/>
    </row>
    <row r="399" spans="1:13">
      <c r="A399" s="72" t="s">
        <v>2437</v>
      </c>
      <c r="B399" s="67">
        <v>39783437895</v>
      </c>
      <c r="C399" s="72" t="s">
        <v>2438</v>
      </c>
      <c r="D399" s="69">
        <v>12062296754</v>
      </c>
      <c r="E399" s="9">
        <v>292</v>
      </c>
      <c r="F399" s="25">
        <v>43168</v>
      </c>
      <c r="G399" s="9" t="s">
        <v>1774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2439</v>
      </c>
      <c r="B400" s="67">
        <v>41759713864</v>
      </c>
      <c r="C400" s="72" t="s">
        <v>2440</v>
      </c>
      <c r="D400" s="69">
        <v>38653116877</v>
      </c>
      <c r="E400" s="9">
        <v>1824</v>
      </c>
      <c r="F400" s="25">
        <v>43091</v>
      </c>
      <c r="G400" s="70" t="s">
        <v>1774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2441</v>
      </c>
      <c r="B401" s="67">
        <v>37686754839</v>
      </c>
      <c r="C401" s="72" t="s">
        <v>2442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2443</v>
      </c>
      <c r="B402" s="67"/>
      <c r="C402" s="29" t="s">
        <v>2444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2445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1774</v>
      </c>
      <c r="H403" s="9"/>
      <c r="I403" s="8"/>
      <c r="J403" s="8"/>
      <c r="K403" s="8"/>
      <c r="L403" s="8"/>
      <c r="M403" s="8"/>
    </row>
    <row r="404" spans="1:13">
      <c r="A404" s="71" t="s">
        <v>2446</v>
      </c>
      <c r="B404" s="67">
        <v>44864217874</v>
      </c>
      <c r="C404" s="72" t="s">
        <v>2447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2448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1774</v>
      </c>
      <c r="H405" s="9"/>
      <c r="I405" s="8"/>
      <c r="J405" s="8"/>
      <c r="K405" s="8"/>
      <c r="L405" s="9" t="s">
        <v>2011</v>
      </c>
      <c r="M405" s="8"/>
    </row>
    <row r="406" spans="1:13">
      <c r="A406" s="15" t="s">
        <v>2449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1774</v>
      </c>
      <c r="H406" s="9"/>
      <c r="I406" s="8"/>
      <c r="J406" s="8"/>
      <c r="K406" s="8"/>
      <c r="L406" s="9" t="s">
        <v>1928</v>
      </c>
      <c r="M406" s="8"/>
    </row>
    <row r="407" spans="1:13">
      <c r="A407" s="13" t="s">
        <v>2450</v>
      </c>
      <c r="B407" s="67">
        <v>1329442512</v>
      </c>
      <c r="C407" s="68" t="s">
        <v>2451</v>
      </c>
      <c r="D407" s="69">
        <v>1320825516</v>
      </c>
      <c r="E407" s="9">
        <v>1214</v>
      </c>
      <c r="F407" s="25">
        <v>42989</v>
      </c>
      <c r="G407" s="70" t="s">
        <v>1774</v>
      </c>
      <c r="H407" s="9"/>
      <c r="I407" s="8"/>
      <c r="J407" s="8"/>
      <c r="K407" s="8"/>
      <c r="L407" s="8"/>
      <c r="M407" s="8"/>
    </row>
    <row r="408" spans="1:13">
      <c r="A408" s="71" t="s">
        <v>2452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2453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2454</v>
      </c>
      <c r="B410" s="67"/>
      <c r="C410" s="29" t="s">
        <v>1887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2455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1774</v>
      </c>
      <c r="H411" s="9"/>
      <c r="I411" s="8"/>
      <c r="J411" s="8"/>
      <c r="K411" s="8"/>
      <c r="L411" s="8"/>
      <c r="M411" s="8"/>
    </row>
    <row r="412" spans="1:13">
      <c r="A412" s="71" t="s">
        <v>2456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1774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2457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2458</v>
      </c>
      <c r="B414" s="67">
        <v>93440340520</v>
      </c>
      <c r="C414" s="68" t="s">
        <v>2459</v>
      </c>
      <c r="D414" s="69">
        <v>8858333845</v>
      </c>
      <c r="E414" s="9">
        <v>1267</v>
      </c>
      <c r="F414" s="25">
        <v>42998</v>
      </c>
      <c r="G414" s="70" t="s">
        <v>1774</v>
      </c>
      <c r="H414" s="9"/>
      <c r="I414" s="8"/>
      <c r="J414" s="8"/>
      <c r="K414" s="8"/>
      <c r="L414" s="8"/>
      <c r="M414" s="8"/>
    </row>
    <row r="415" spans="1:13">
      <c r="A415" s="29" t="s">
        <v>2460</v>
      </c>
      <c r="B415" s="67">
        <v>21947877801</v>
      </c>
      <c r="C415" s="29" t="s">
        <v>2461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2462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1774</v>
      </c>
      <c r="H416" s="9"/>
      <c r="I416" s="8"/>
      <c r="J416" s="8"/>
      <c r="K416" s="8"/>
      <c r="L416" s="8"/>
      <c r="M416" s="8"/>
    </row>
    <row r="417" spans="1:13">
      <c r="A417" s="71" t="s">
        <v>2463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2464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1774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2465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2466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2467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2468</v>
      </c>
      <c r="B422" s="67">
        <v>11163355810</v>
      </c>
      <c r="C422" s="72" t="s">
        <v>2469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2470</v>
      </c>
      <c r="B423" s="67">
        <v>12870537859</v>
      </c>
      <c r="C423" s="72" t="s">
        <v>2471</v>
      </c>
      <c r="D423" s="69">
        <v>59856912849</v>
      </c>
      <c r="E423" s="9">
        <v>1417</v>
      </c>
      <c r="F423" s="25">
        <v>43017</v>
      </c>
      <c r="G423" s="70" t="s">
        <v>1774</v>
      </c>
      <c r="H423" s="9"/>
      <c r="I423" s="8"/>
      <c r="J423" s="8"/>
      <c r="K423" s="8"/>
      <c r="L423" s="9" t="s">
        <v>2011</v>
      </c>
      <c r="M423" s="8"/>
    </row>
    <row r="424" spans="1:13">
      <c r="A424" s="14" t="s">
        <v>2472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2473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2474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1774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2475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1774</v>
      </c>
      <c r="H427" s="9"/>
      <c r="I427" s="8"/>
      <c r="J427" s="8"/>
      <c r="K427" s="8"/>
      <c r="L427" s="8"/>
      <c r="M427" s="8"/>
    </row>
    <row r="428" spans="1:13">
      <c r="A428" s="15" t="s">
        <v>2476</v>
      </c>
      <c r="B428" s="67">
        <v>34133269888</v>
      </c>
      <c r="C428" s="72" t="s">
        <v>2477</v>
      </c>
      <c r="D428" s="69">
        <v>35360635860</v>
      </c>
      <c r="E428" s="9">
        <v>1824</v>
      </c>
      <c r="F428" s="25">
        <v>43091</v>
      </c>
      <c r="G428" s="70" t="s">
        <v>1774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2478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2479</v>
      </c>
      <c r="B430" s="67">
        <v>26370314846</v>
      </c>
      <c r="C430" s="72" t="s">
        <v>2480</v>
      </c>
      <c r="D430" s="69">
        <v>26923862809</v>
      </c>
      <c r="E430" s="9">
        <v>117</v>
      </c>
      <c r="F430" s="25">
        <v>43117</v>
      </c>
      <c r="G430" s="70" t="s">
        <v>1774</v>
      </c>
      <c r="H430" s="9"/>
      <c r="I430" s="8"/>
      <c r="J430" s="8"/>
      <c r="K430" s="8"/>
      <c r="L430" s="9" t="s">
        <v>1928</v>
      </c>
      <c r="M430" s="8"/>
    </row>
    <row r="431" spans="1:13">
      <c r="A431" s="71" t="s">
        <v>2481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2482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1774</v>
      </c>
      <c r="H432" s="9"/>
      <c r="I432" s="8"/>
      <c r="J432" s="8"/>
      <c r="K432" s="8"/>
      <c r="L432" s="8"/>
      <c r="M432" s="8"/>
    </row>
    <row r="433" spans="1:13">
      <c r="A433" s="71" t="s">
        <v>2483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2484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1774</v>
      </c>
      <c r="H434" s="9"/>
      <c r="I434" s="8"/>
      <c r="J434" s="8"/>
      <c r="K434" s="8"/>
      <c r="L434" s="8"/>
      <c r="M434" s="8"/>
    </row>
    <row r="435" spans="1:13">
      <c r="A435" s="71" t="s">
        <v>2485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1774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2486</v>
      </c>
      <c r="B436" s="67"/>
      <c r="C436" s="29" t="s">
        <v>1887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2487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1788</v>
      </c>
      <c r="H437" s="9"/>
      <c r="I437" s="8"/>
      <c r="J437" s="8"/>
      <c r="K437" s="8"/>
      <c r="L437" s="9" t="s">
        <v>1928</v>
      </c>
      <c r="M437" s="8"/>
    </row>
    <row r="438" spans="1:13">
      <c r="A438" s="71" t="s">
        <v>2488</v>
      </c>
      <c r="B438" s="67">
        <v>28413241847</v>
      </c>
      <c r="C438" s="72" t="s">
        <v>2489</v>
      </c>
      <c r="D438" s="69">
        <v>14661915895</v>
      </c>
      <c r="E438" s="9">
        <v>810</v>
      </c>
      <c r="F438" s="25">
        <v>42915</v>
      </c>
      <c r="G438" s="70" t="s">
        <v>1774</v>
      </c>
      <c r="H438" s="9"/>
      <c r="I438" s="8"/>
      <c r="J438" s="8"/>
      <c r="K438" s="8"/>
      <c r="L438" s="9" t="s">
        <v>1896</v>
      </c>
      <c r="M438" s="8"/>
    </row>
    <row r="439" spans="1:13">
      <c r="A439" s="15" t="s">
        <v>2490</v>
      </c>
      <c r="B439" s="67">
        <v>12898733806</v>
      </c>
      <c r="C439" s="72" t="s">
        <v>2491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2492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1774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2493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2494</v>
      </c>
      <c r="B442" s="67">
        <v>667192328</v>
      </c>
      <c r="C442" s="29" t="s">
        <v>2495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2496</v>
      </c>
      <c r="B443" s="67">
        <v>3474339443</v>
      </c>
      <c r="C443" s="72" t="s">
        <v>2497</v>
      </c>
      <c r="D443" s="69">
        <v>58073604515</v>
      </c>
      <c r="E443" s="9">
        <v>810</v>
      </c>
      <c r="F443" s="25">
        <v>42915</v>
      </c>
      <c r="G443" s="70" t="s">
        <v>1774</v>
      </c>
      <c r="H443" s="9"/>
      <c r="I443" s="8"/>
      <c r="J443" s="8"/>
      <c r="K443" s="8"/>
      <c r="L443" s="9" t="s">
        <v>1896</v>
      </c>
      <c r="M443" s="8"/>
    </row>
    <row r="444" spans="1:13">
      <c r="A444" s="71" t="s">
        <v>2498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1774</v>
      </c>
      <c r="H444" s="9"/>
      <c r="I444" s="8"/>
      <c r="J444" s="8"/>
      <c r="K444" s="8"/>
      <c r="L444" s="8"/>
      <c r="M444" s="8"/>
    </row>
    <row r="445" spans="1:13">
      <c r="A445" s="14" t="s">
        <v>2499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2500</v>
      </c>
      <c r="B446" s="67">
        <v>70014140349</v>
      </c>
      <c r="C446" s="72" t="s">
        <v>2501</v>
      </c>
      <c r="D446" s="69">
        <v>16412436863</v>
      </c>
      <c r="E446" s="9">
        <v>1262</v>
      </c>
      <c r="F446" s="25">
        <v>42997</v>
      </c>
      <c r="G446" s="70" t="s">
        <v>1774</v>
      </c>
      <c r="H446" s="9"/>
      <c r="I446" s="8"/>
      <c r="J446" s="8"/>
      <c r="K446" s="8"/>
      <c r="L446" s="8"/>
      <c r="M446" s="8"/>
    </row>
    <row r="447" spans="1:13">
      <c r="A447" s="71" t="s">
        <v>2502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2503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2504</v>
      </c>
      <c r="B449" s="67">
        <v>42230945807</v>
      </c>
      <c r="C449" s="29" t="s">
        <v>2505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2506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2507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1774</v>
      </c>
      <c r="H451" s="9"/>
      <c r="I451" s="8"/>
      <c r="J451" s="8"/>
      <c r="K451" s="8"/>
      <c r="L451" s="8"/>
      <c r="M451" s="8"/>
    </row>
    <row r="452" spans="1:13">
      <c r="A452" s="13" t="s">
        <v>2508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1774</v>
      </c>
      <c r="H452" s="9"/>
      <c r="I452" s="8"/>
      <c r="J452" s="8"/>
      <c r="K452" s="8"/>
      <c r="L452" s="9" t="s">
        <v>1918</v>
      </c>
      <c r="M452" s="8"/>
    </row>
    <row r="453" spans="1:13">
      <c r="A453" s="71" t="s">
        <v>2509</v>
      </c>
      <c r="B453" s="67">
        <v>7380335456</v>
      </c>
      <c r="C453" s="72" t="s">
        <v>2510</v>
      </c>
      <c r="D453" s="69">
        <v>7548744439</v>
      </c>
      <c r="E453" s="9">
        <v>810</v>
      </c>
      <c r="F453" s="25">
        <v>42915</v>
      </c>
      <c r="G453" s="70" t="s">
        <v>1774</v>
      </c>
      <c r="H453" s="9"/>
      <c r="I453" s="8"/>
      <c r="J453" s="8"/>
      <c r="K453" s="8"/>
      <c r="L453" s="9" t="s">
        <v>1896</v>
      </c>
      <c r="M453" s="8"/>
    </row>
    <row r="454" spans="1:13">
      <c r="A454" s="18" t="s">
        <v>2511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2512</v>
      </c>
      <c r="B455" s="67">
        <v>38529900847</v>
      </c>
      <c r="C455" s="72" t="s">
        <v>2513</v>
      </c>
      <c r="D455" s="69">
        <v>36056823830</v>
      </c>
      <c r="E455" s="9">
        <v>262</v>
      </c>
      <c r="F455" s="25">
        <v>43160</v>
      </c>
      <c r="G455" s="70" t="s">
        <v>1774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2514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1774</v>
      </c>
      <c r="H456" s="9"/>
      <c r="I456" s="8"/>
      <c r="J456" s="8"/>
      <c r="K456" s="8"/>
      <c r="L456" s="9" t="s">
        <v>2011</v>
      </c>
      <c r="M456" s="8"/>
    </row>
    <row r="457" spans="1:13">
      <c r="A457" s="13" t="s">
        <v>2515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1774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2516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1774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2517</v>
      </c>
      <c r="B459" s="67">
        <v>11806390817</v>
      </c>
      <c r="C459" s="72" t="s">
        <v>2518</v>
      </c>
      <c r="D459" s="69">
        <v>6924399860</v>
      </c>
      <c r="E459" s="9">
        <v>85</v>
      </c>
      <c r="F459" s="25">
        <v>43109</v>
      </c>
      <c r="G459" s="70" t="s">
        <v>1774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2519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2520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1774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2521</v>
      </c>
      <c r="B462" s="67">
        <v>32734621835</v>
      </c>
      <c r="C462" s="77" t="s">
        <v>2522</v>
      </c>
      <c r="D462" s="69" t="s">
        <v>2523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2524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2525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2526</v>
      </c>
      <c r="B465" s="67">
        <v>31367730805</v>
      </c>
      <c r="C465" s="68" t="s">
        <v>2527</v>
      </c>
      <c r="D465" s="69">
        <v>39532354867</v>
      </c>
      <c r="E465" s="9">
        <v>1350</v>
      </c>
      <c r="F465" s="25">
        <v>43006</v>
      </c>
      <c r="G465" s="70" t="s">
        <v>1774</v>
      </c>
      <c r="H465" s="9"/>
      <c r="I465" s="8"/>
      <c r="J465" s="8"/>
      <c r="K465" s="8"/>
      <c r="L465" s="8"/>
      <c r="M465" s="8"/>
    </row>
    <row r="466" spans="1:13">
      <c r="A466" s="71" t="s">
        <v>2528</v>
      </c>
      <c r="B466" s="67">
        <v>5579867611</v>
      </c>
      <c r="C466" s="72" t="s">
        <v>2529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2530</v>
      </c>
      <c r="B467" s="67">
        <v>17118545813</v>
      </c>
      <c r="C467" s="72" t="s">
        <v>2531</v>
      </c>
      <c r="D467" s="69">
        <v>29932279803</v>
      </c>
      <c r="E467" s="9">
        <v>262</v>
      </c>
      <c r="F467" s="25">
        <v>43160</v>
      </c>
      <c r="G467" s="70" t="s">
        <v>1774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2532</v>
      </c>
      <c r="B468" s="67">
        <v>35031003855</v>
      </c>
      <c r="C468" s="72" t="s">
        <v>2533</v>
      </c>
      <c r="D468" s="69">
        <v>41246529840</v>
      </c>
      <c r="E468" s="9">
        <v>1422</v>
      </c>
      <c r="F468" s="25">
        <v>43018</v>
      </c>
      <c r="G468" s="70" t="s">
        <v>1774</v>
      </c>
      <c r="H468" s="9"/>
      <c r="I468" s="8"/>
      <c r="J468" s="8"/>
      <c r="K468" s="8"/>
      <c r="L468" s="8"/>
      <c r="M468" s="8"/>
    </row>
    <row r="469" spans="1:13">
      <c r="A469" s="32" t="s">
        <v>2534</v>
      </c>
      <c r="B469" s="67">
        <v>17803718884</v>
      </c>
      <c r="C469" s="32" t="s">
        <v>2535</v>
      </c>
      <c r="D469" s="69">
        <v>364628880</v>
      </c>
      <c r="E469" s="9">
        <v>1570</v>
      </c>
      <c r="F469" s="25">
        <v>43077</v>
      </c>
      <c r="G469" s="70" t="s">
        <v>1774</v>
      </c>
      <c r="H469" s="9"/>
      <c r="I469" s="8"/>
      <c r="J469" s="8"/>
      <c r="K469" s="8"/>
      <c r="L469" s="8"/>
      <c r="M469" s="8"/>
    </row>
    <row r="470" spans="1:13">
      <c r="A470" s="71" t="s">
        <v>2536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1774</v>
      </c>
      <c r="H470" s="9"/>
      <c r="I470" s="8"/>
      <c r="J470" s="8"/>
      <c r="K470" s="8"/>
      <c r="L470" s="9" t="s">
        <v>1928</v>
      </c>
      <c r="M470" s="8"/>
    </row>
    <row r="471" spans="1:13">
      <c r="A471" s="13" t="s">
        <v>2537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1774</v>
      </c>
      <c r="H471" s="9"/>
      <c r="I471" s="8"/>
      <c r="J471" s="8"/>
      <c r="K471" s="8"/>
      <c r="L471" s="8"/>
      <c r="M471" s="8"/>
    </row>
    <row r="472" spans="1:13">
      <c r="A472" s="71" t="s">
        <v>2538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1774</v>
      </c>
      <c r="H472" s="9"/>
      <c r="I472" s="8"/>
      <c r="J472" s="8"/>
      <c r="K472" s="8"/>
      <c r="L472" s="8"/>
      <c r="M472" s="8"/>
    </row>
    <row r="473" spans="1:13">
      <c r="A473" s="29" t="s">
        <v>2539</v>
      </c>
      <c r="B473" s="67">
        <v>22740303831</v>
      </c>
      <c r="C473" s="18" t="s">
        <v>1887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2540</v>
      </c>
      <c r="B474" s="67">
        <v>35482535800</v>
      </c>
      <c r="C474" s="72" t="s">
        <v>2541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2542</v>
      </c>
      <c r="B475" s="67">
        <v>22213116806</v>
      </c>
      <c r="C475" s="72" t="s">
        <v>2543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2544</v>
      </c>
      <c r="B476" s="67">
        <v>22168840814</v>
      </c>
      <c r="C476" s="29" t="s">
        <v>2545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2546</v>
      </c>
      <c r="B477" s="67">
        <v>30609785818</v>
      </c>
      <c r="C477" s="18" t="s">
        <v>2547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2548</v>
      </c>
      <c r="B478" s="67">
        <v>18515704897</v>
      </c>
      <c r="C478" s="18" t="s">
        <v>1887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2549</v>
      </c>
      <c r="B479" s="67">
        <v>14683022800</v>
      </c>
      <c r="C479" s="72" t="s">
        <v>2550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2551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2552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2553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2554</v>
      </c>
      <c r="B483" s="67"/>
      <c r="C483" s="29" t="s">
        <v>1887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2555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2556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1774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2557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2558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1774</v>
      </c>
      <c r="H487" s="9"/>
      <c r="I487" s="8"/>
      <c r="J487" s="8"/>
      <c r="K487" s="8"/>
      <c r="L487" s="9" t="s">
        <v>1918</v>
      </c>
      <c r="M487" s="8"/>
    </row>
    <row r="488" spans="1:13">
      <c r="A488" s="13" t="s">
        <v>2559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1774</v>
      </c>
      <c r="H488" s="9"/>
      <c r="I488" s="8"/>
      <c r="J488" s="8"/>
      <c r="K488" s="8"/>
      <c r="L488" s="8"/>
      <c r="M488" s="8"/>
    </row>
    <row r="489" spans="1:13">
      <c r="A489" s="71" t="s">
        <v>2560</v>
      </c>
      <c r="B489" s="67">
        <v>36664921855</v>
      </c>
      <c r="C489" s="72" t="s">
        <v>2561</v>
      </c>
      <c r="D489" s="69">
        <v>28495923823</v>
      </c>
      <c r="E489" s="9">
        <v>117</v>
      </c>
      <c r="F489" s="25">
        <v>43117</v>
      </c>
      <c r="G489" s="70" t="s">
        <v>1780</v>
      </c>
      <c r="H489" s="9"/>
      <c r="I489" s="8"/>
      <c r="J489" s="8"/>
      <c r="K489" s="8"/>
      <c r="L489" s="9" t="s">
        <v>1928</v>
      </c>
      <c r="M489" s="8"/>
    </row>
    <row r="490" spans="1:13">
      <c r="A490" s="79" t="s">
        <v>2562</v>
      </c>
      <c r="B490" s="80">
        <v>22561317854</v>
      </c>
      <c r="C490" s="81" t="s">
        <v>2563</v>
      </c>
      <c r="D490" s="82">
        <v>26718748803</v>
      </c>
      <c r="E490" s="47">
        <v>1106</v>
      </c>
      <c r="F490" s="48">
        <v>42965</v>
      </c>
      <c r="G490" s="83" t="s">
        <v>1780</v>
      </c>
      <c r="H490" s="47"/>
      <c r="I490" s="49"/>
      <c r="J490" s="49"/>
      <c r="K490" s="49"/>
      <c r="L490" s="49"/>
      <c r="M490" s="49"/>
    </row>
    <row r="491" spans="1:13">
      <c r="A491" s="15" t="s">
        <v>2564</v>
      </c>
      <c r="B491" s="67">
        <v>34870463857</v>
      </c>
      <c r="C491" s="72" t="s">
        <v>2565</v>
      </c>
      <c r="D491" s="69">
        <v>7049816531</v>
      </c>
      <c r="E491" s="9">
        <v>292</v>
      </c>
      <c r="F491" s="25">
        <v>43168</v>
      </c>
      <c r="G491" s="70" t="s">
        <v>1774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2566</v>
      </c>
      <c r="B492" s="67">
        <v>35225854885</v>
      </c>
      <c r="C492" s="72" t="s">
        <v>2567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2568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1774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2569</v>
      </c>
      <c r="B494" s="67">
        <v>35929092826</v>
      </c>
      <c r="C494" s="72" t="s">
        <v>2570</v>
      </c>
      <c r="D494" s="69">
        <v>29462804893</v>
      </c>
      <c r="E494" s="9">
        <v>1267</v>
      </c>
      <c r="F494" s="25">
        <v>42998</v>
      </c>
      <c r="G494" s="70" t="s">
        <v>1774</v>
      </c>
      <c r="H494" s="9"/>
      <c r="I494" s="8"/>
      <c r="J494" s="8"/>
      <c r="K494" s="8"/>
      <c r="L494" s="8"/>
      <c r="M494" s="8"/>
    </row>
    <row r="495" spans="1:13">
      <c r="A495" s="71" t="s">
        <v>2571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2572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2573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2574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2575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1788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2576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2577</v>
      </c>
      <c r="B501" s="67">
        <v>24660726886</v>
      </c>
      <c r="C501" s="72" t="s">
        <v>2578</v>
      </c>
      <c r="D501" s="69">
        <v>96400951504</v>
      </c>
      <c r="E501" s="9">
        <v>292</v>
      </c>
      <c r="F501" s="25">
        <v>43168</v>
      </c>
      <c r="G501" s="70" t="s">
        <v>1780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2579</v>
      </c>
      <c r="B502" s="69">
        <v>27863381827</v>
      </c>
      <c r="C502" s="71" t="s">
        <v>2580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2581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1774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2582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2583</v>
      </c>
      <c r="B505" s="67">
        <v>25856034821</v>
      </c>
      <c r="C505" s="72" t="s">
        <v>2584</v>
      </c>
      <c r="D505" s="69">
        <v>74821083353</v>
      </c>
      <c r="E505" s="9">
        <v>810</v>
      </c>
      <c r="F505" s="25">
        <v>42915</v>
      </c>
      <c r="G505" s="70" t="s">
        <v>1774</v>
      </c>
      <c r="H505" s="9"/>
      <c r="I505" s="8"/>
      <c r="J505" s="8"/>
      <c r="K505" s="8"/>
      <c r="L505" s="9" t="s">
        <v>1896</v>
      </c>
      <c r="M505" s="8"/>
    </row>
    <row r="506" spans="1:13">
      <c r="A506" s="71" t="s">
        <v>2585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2057</v>
      </c>
      <c r="M506" s="8"/>
    </row>
    <row r="507" spans="1:13">
      <c r="A507" s="71" t="s">
        <v>2586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2587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2057</v>
      </c>
      <c r="M508" s="8"/>
    </row>
    <row r="509" spans="1:13">
      <c r="A509" s="29" t="s">
        <v>2588</v>
      </c>
      <c r="B509" s="67">
        <v>4802267843</v>
      </c>
      <c r="C509" s="29" t="s">
        <v>2589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2590</v>
      </c>
      <c r="B510" s="67">
        <v>6672502807</v>
      </c>
      <c r="C510" s="72" t="s">
        <v>2591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2057</v>
      </c>
      <c r="M510" s="8"/>
    </row>
    <row r="511" spans="1:13">
      <c r="A511" s="18" t="s">
        <v>2592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2593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2594</v>
      </c>
      <c r="B513" s="67">
        <v>37233245843</v>
      </c>
      <c r="C513" s="29" t="s">
        <v>2595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2596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2597</v>
      </c>
      <c r="B515" s="67">
        <v>33456412835</v>
      </c>
      <c r="C515" s="72" t="s">
        <v>2598</v>
      </c>
      <c r="D515" s="69">
        <v>9387669882</v>
      </c>
      <c r="E515" s="9">
        <v>229</v>
      </c>
      <c r="F515" s="25">
        <v>43151</v>
      </c>
      <c r="G515" s="70" t="s">
        <v>1788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2599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1774</v>
      </c>
      <c r="H516" s="9"/>
      <c r="I516" s="8"/>
      <c r="J516" s="8"/>
      <c r="K516" s="8"/>
      <c r="L516" s="8"/>
      <c r="M516" s="8"/>
    </row>
    <row r="517" spans="1:13">
      <c r="A517" s="72" t="s">
        <v>2600</v>
      </c>
      <c r="B517" s="67">
        <v>10317452894</v>
      </c>
      <c r="C517" s="72" t="s">
        <v>2601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2602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1774</v>
      </c>
      <c r="H518" s="9"/>
      <c r="I518" s="8"/>
      <c r="J518" s="8"/>
      <c r="K518" s="8"/>
      <c r="L518" s="8"/>
      <c r="M518" s="8"/>
    </row>
    <row r="519" spans="1:13">
      <c r="A519" s="29" t="s">
        <v>2603</v>
      </c>
      <c r="B519" s="67"/>
      <c r="C519" s="29" t="s">
        <v>2604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2605</v>
      </c>
      <c r="B520" s="67">
        <v>42782953591</v>
      </c>
      <c r="C520" s="72" t="s">
        <v>2606</v>
      </c>
      <c r="D520" s="69">
        <v>53921186587</v>
      </c>
      <c r="E520" s="9">
        <v>85</v>
      </c>
      <c r="F520" s="25">
        <v>43109</v>
      </c>
      <c r="G520" s="70" t="s">
        <v>1774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2607</v>
      </c>
      <c r="B521" s="67">
        <v>3086762896</v>
      </c>
      <c r="C521" s="72" t="s">
        <v>2608</v>
      </c>
      <c r="D521" s="69">
        <v>89632877853</v>
      </c>
      <c r="E521" s="9">
        <v>810</v>
      </c>
      <c r="F521" s="25">
        <v>42915</v>
      </c>
      <c r="G521" s="70" t="s">
        <v>1774</v>
      </c>
      <c r="H521" s="9"/>
      <c r="I521" s="8"/>
      <c r="J521" s="8"/>
      <c r="K521" s="8"/>
      <c r="L521" s="9" t="s">
        <v>1896</v>
      </c>
      <c r="M521" s="8"/>
    </row>
    <row r="522" spans="1:13">
      <c r="A522" s="71" t="s">
        <v>2609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1774</v>
      </c>
      <c r="H522" s="9"/>
      <c r="I522" s="8"/>
      <c r="J522" s="8"/>
      <c r="K522" s="8"/>
      <c r="L522" s="8"/>
      <c r="M522" s="8"/>
    </row>
    <row r="523" spans="1:13">
      <c r="A523" s="13" t="s">
        <v>2610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1774</v>
      </c>
      <c r="H523" s="9"/>
      <c r="I523" s="8"/>
      <c r="J523" s="8"/>
      <c r="K523" s="8"/>
      <c r="L523" s="9" t="s">
        <v>2011</v>
      </c>
      <c r="M523" s="8"/>
    </row>
    <row r="524" spans="1:13">
      <c r="A524" s="33" t="s">
        <v>2611</v>
      </c>
      <c r="B524" s="67">
        <v>22624049843</v>
      </c>
      <c r="C524" s="32" t="s">
        <v>2612</v>
      </c>
      <c r="D524" s="69">
        <v>32978302801</v>
      </c>
      <c r="E524" s="9">
        <v>1570</v>
      </c>
      <c r="F524" s="25">
        <v>43077</v>
      </c>
      <c r="G524" s="70" t="s">
        <v>1774</v>
      </c>
      <c r="H524" s="9"/>
      <c r="I524" s="8"/>
      <c r="J524" s="8"/>
      <c r="K524" s="8"/>
      <c r="L524" s="8"/>
      <c r="M524" s="8"/>
    </row>
    <row r="525" spans="1:13">
      <c r="A525" s="15" t="s">
        <v>2613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2614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1774</v>
      </c>
      <c r="H526" s="9"/>
      <c r="I526" s="8"/>
      <c r="J526" s="8"/>
      <c r="K526" s="8"/>
      <c r="L526" s="9" t="s">
        <v>1918</v>
      </c>
      <c r="M526" s="8"/>
    </row>
    <row r="527" spans="1:13">
      <c r="A527" s="71" t="s">
        <v>2615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1774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2616</v>
      </c>
      <c r="B528" s="67">
        <v>27112847869</v>
      </c>
      <c r="C528" s="72" t="s">
        <v>2617</v>
      </c>
      <c r="D528" s="69">
        <v>37782363420</v>
      </c>
      <c r="E528" s="9">
        <v>1106</v>
      </c>
      <c r="F528" s="25">
        <v>42965</v>
      </c>
      <c r="G528" s="70" t="s">
        <v>1774</v>
      </c>
      <c r="H528" s="9"/>
      <c r="I528" s="8"/>
      <c r="J528" s="8"/>
      <c r="K528" s="8"/>
      <c r="L528" s="8"/>
      <c r="M528" s="8"/>
    </row>
    <row r="529" spans="1:13">
      <c r="A529" s="15" t="s">
        <v>2618</v>
      </c>
      <c r="B529" s="67">
        <v>32811648895</v>
      </c>
      <c r="C529" s="72" t="s">
        <v>2619</v>
      </c>
      <c r="D529" s="69">
        <v>25428395818</v>
      </c>
      <c r="E529" s="9">
        <v>85</v>
      </c>
      <c r="F529" s="25">
        <v>43109</v>
      </c>
      <c r="G529" s="70" t="s">
        <v>1774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2620</v>
      </c>
      <c r="B530" s="67">
        <v>12811159835</v>
      </c>
      <c r="C530" s="72" t="s">
        <v>2621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2622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2623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2624</v>
      </c>
      <c r="B533" s="67">
        <v>83941010468</v>
      </c>
      <c r="C533" s="18" t="s">
        <v>2625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2626</v>
      </c>
      <c r="B534" s="67">
        <v>43152462808</v>
      </c>
      <c r="C534" s="29" t="s">
        <v>2627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2628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2629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1774</v>
      </c>
      <c r="H536" s="9"/>
      <c r="I536" s="8"/>
      <c r="J536" s="8"/>
      <c r="K536" s="8"/>
      <c r="L536" s="8"/>
      <c r="M536" s="8"/>
    </row>
    <row r="537" spans="1:13">
      <c r="A537" s="29" t="s">
        <v>2630</v>
      </c>
      <c r="B537" s="67"/>
      <c r="C537" s="18" t="s">
        <v>1887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2631</v>
      </c>
      <c r="B538" s="67">
        <v>41249931886</v>
      </c>
      <c r="C538" s="72" t="s">
        <v>2632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2633</v>
      </c>
      <c r="B539" s="67">
        <v>34361118809</v>
      </c>
      <c r="C539" s="72" t="s">
        <v>2634</v>
      </c>
      <c r="D539" s="69">
        <v>14784595813</v>
      </c>
      <c r="E539" s="9">
        <v>85</v>
      </c>
      <c r="F539" s="25">
        <v>43109</v>
      </c>
      <c r="G539" s="70" t="s">
        <v>1774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2635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1774</v>
      </c>
      <c r="H540" s="9"/>
      <c r="I540" s="8"/>
      <c r="J540" s="8"/>
      <c r="K540" s="8"/>
      <c r="L540" s="9" t="s">
        <v>2260</v>
      </c>
      <c r="M540" s="8"/>
    </row>
    <row r="541" spans="1:13">
      <c r="A541" s="71" t="s">
        <v>2636</v>
      </c>
      <c r="B541" s="67">
        <v>45469747875</v>
      </c>
      <c r="C541" s="72" t="s">
        <v>2637</v>
      </c>
      <c r="D541" s="69">
        <v>39042679816</v>
      </c>
      <c r="E541" s="9">
        <v>117</v>
      </c>
      <c r="F541" s="25">
        <v>43117</v>
      </c>
      <c r="G541" s="70" t="s">
        <v>1774</v>
      </c>
      <c r="H541" s="9"/>
      <c r="I541" s="8"/>
      <c r="J541" s="8"/>
      <c r="K541" s="8"/>
      <c r="L541" s="9" t="s">
        <v>1928</v>
      </c>
      <c r="M541" s="8"/>
    </row>
    <row r="542" spans="1:13">
      <c r="A542" s="71" t="s">
        <v>2638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2639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2640</v>
      </c>
      <c r="B544" s="67">
        <v>33199855822</v>
      </c>
      <c r="C544" s="18" t="s">
        <v>2641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2642</v>
      </c>
      <c r="B545" s="67">
        <v>32878318870</v>
      </c>
      <c r="C545" s="18" t="s">
        <v>2643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2644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1774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2645</v>
      </c>
      <c r="B547" s="67">
        <v>31328839800</v>
      </c>
      <c r="C547" s="72" t="s">
        <v>2646</v>
      </c>
      <c r="D547" s="69">
        <v>13482435898</v>
      </c>
      <c r="E547" s="9">
        <v>262</v>
      </c>
      <c r="F547" s="25">
        <v>43160</v>
      </c>
      <c r="G547" s="70" t="s">
        <v>1774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2647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2648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1774</v>
      </c>
      <c r="H549" s="9"/>
      <c r="I549" s="8"/>
      <c r="J549" s="8"/>
      <c r="K549" s="8"/>
      <c r="L549" s="9" t="s">
        <v>1928</v>
      </c>
      <c r="M549" s="8"/>
    </row>
    <row r="550" spans="1:13">
      <c r="A550" s="73" t="s">
        <v>2649</v>
      </c>
      <c r="B550" s="67">
        <v>33311756843</v>
      </c>
      <c r="C550" s="72" t="s">
        <v>2650</v>
      </c>
      <c r="D550" s="69">
        <v>31561945811</v>
      </c>
      <c r="E550" s="9">
        <v>1106</v>
      </c>
      <c r="F550" s="25">
        <v>42965</v>
      </c>
      <c r="G550" s="70" t="s">
        <v>1774</v>
      </c>
      <c r="H550" s="9"/>
      <c r="I550" s="8"/>
      <c r="J550" s="8"/>
      <c r="K550" s="8"/>
      <c r="L550" s="8"/>
      <c r="M550" s="8"/>
    </row>
    <row r="551" spans="1:13">
      <c r="A551" s="71" t="s">
        <v>2651</v>
      </c>
      <c r="B551" s="67" t="s">
        <v>2652</v>
      </c>
      <c r="C551" s="77" t="s">
        <v>2653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2654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1774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2655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1774</v>
      </c>
      <c r="H553" s="9"/>
      <c r="I553" s="8"/>
      <c r="J553" s="8"/>
      <c r="K553" s="8"/>
      <c r="L553" s="8"/>
      <c r="M553" s="8"/>
    </row>
    <row r="554" spans="1:13">
      <c r="A554" s="29" t="s">
        <v>2656</v>
      </c>
      <c r="B554" s="67"/>
      <c r="C554" s="18" t="s">
        <v>1887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2657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1774</v>
      </c>
      <c r="H555" s="9"/>
      <c r="I555" s="8"/>
      <c r="J555" s="8"/>
      <c r="K555" s="8"/>
      <c r="L555" s="8"/>
      <c r="M555" s="8"/>
    </row>
    <row r="556" spans="1:13">
      <c r="A556" s="13" t="s">
        <v>2658</v>
      </c>
      <c r="B556" s="67">
        <v>37608246847</v>
      </c>
      <c r="C556" s="68" t="s">
        <v>2659</v>
      </c>
      <c r="D556" s="69">
        <v>27976942875</v>
      </c>
      <c r="E556" s="9">
        <v>608</v>
      </c>
      <c r="F556" s="25">
        <v>43012</v>
      </c>
      <c r="G556" s="70" t="s">
        <v>1774</v>
      </c>
      <c r="H556" s="9"/>
      <c r="I556" s="8"/>
      <c r="J556" s="8"/>
      <c r="K556" s="8"/>
      <c r="L556" s="8"/>
      <c r="M556" s="8"/>
    </row>
    <row r="557" spans="1:13">
      <c r="A557" s="14" t="s">
        <v>2660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2661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2662</v>
      </c>
      <c r="B559" s="67">
        <v>39990709866</v>
      </c>
      <c r="C559" s="72" t="s">
        <v>2663</v>
      </c>
      <c r="D559" s="69">
        <v>46936249850</v>
      </c>
      <c r="E559" s="9">
        <v>229</v>
      </c>
      <c r="F559" s="25">
        <v>43151</v>
      </c>
      <c r="G559" s="70" t="s">
        <v>1774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2664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2665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1774</v>
      </c>
      <c r="H561" s="9"/>
      <c r="I561" s="8"/>
      <c r="J561" s="8"/>
      <c r="K561" s="8"/>
      <c r="L561" s="8"/>
      <c r="M561" s="8"/>
    </row>
    <row r="562" spans="1:13">
      <c r="A562" s="71" t="s">
        <v>2666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1774</v>
      </c>
      <c r="H562" s="9"/>
      <c r="I562" s="8"/>
      <c r="J562" s="8"/>
      <c r="K562" s="8"/>
      <c r="L562" s="9" t="s">
        <v>1896</v>
      </c>
      <c r="M562" s="8"/>
    </row>
    <row r="563" spans="1:13">
      <c r="A563" s="71" t="s">
        <v>2667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2668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2669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1774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2670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2671</v>
      </c>
      <c r="B567" s="67">
        <v>9056201867</v>
      </c>
      <c r="C567" s="72" t="s">
        <v>2672</v>
      </c>
      <c r="D567" s="69">
        <v>59754605815</v>
      </c>
      <c r="E567" s="9">
        <v>810</v>
      </c>
      <c r="F567" s="25">
        <v>42915</v>
      </c>
      <c r="G567" s="70" t="s">
        <v>1774</v>
      </c>
      <c r="H567" s="9"/>
      <c r="I567" s="8"/>
      <c r="J567" s="8"/>
      <c r="K567" s="8"/>
      <c r="L567" s="9" t="s">
        <v>1896</v>
      </c>
      <c r="M567" s="8"/>
    </row>
    <row r="568" spans="1:13">
      <c r="A568" s="71" t="s">
        <v>2673</v>
      </c>
      <c r="B568" s="67">
        <v>4434698656</v>
      </c>
      <c r="C568" s="72" t="s">
        <v>2674</v>
      </c>
      <c r="D568" s="69">
        <v>75851300400</v>
      </c>
      <c r="E568" s="9">
        <v>810</v>
      </c>
      <c r="F568" s="25">
        <v>42915</v>
      </c>
      <c r="G568" s="70" t="s">
        <v>1774</v>
      </c>
      <c r="H568" s="9"/>
      <c r="I568" s="8"/>
      <c r="J568" s="8"/>
      <c r="K568" s="8"/>
      <c r="L568" s="9" t="s">
        <v>1896</v>
      </c>
      <c r="M568" s="8"/>
    </row>
    <row r="569" spans="1:13">
      <c r="A569" s="71" t="s">
        <v>2675</v>
      </c>
      <c r="B569" s="67">
        <v>27030279824</v>
      </c>
      <c r="C569" s="72" t="s">
        <v>2676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2677</v>
      </c>
      <c r="B570" s="67">
        <v>30478760884</v>
      </c>
      <c r="C570" s="77" t="s">
        <v>2678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2679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1774</v>
      </c>
      <c r="H571" s="76">
        <v>43213</v>
      </c>
      <c r="I571" s="8"/>
      <c r="J571" s="8"/>
      <c r="K571" s="8"/>
      <c r="L571" s="9" t="s">
        <v>1896</v>
      </c>
      <c r="M571" s="8"/>
    </row>
    <row r="572" spans="1:13">
      <c r="A572" s="71" t="s">
        <v>2680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1774</v>
      </c>
      <c r="H572" s="76">
        <v>43213</v>
      </c>
      <c r="I572" s="8"/>
      <c r="J572" s="8"/>
      <c r="K572" s="8"/>
      <c r="L572" s="9" t="s">
        <v>2011</v>
      </c>
      <c r="M572" s="8"/>
    </row>
    <row r="573" spans="1:13">
      <c r="A573" s="72" t="s">
        <v>2681</v>
      </c>
      <c r="B573" s="67">
        <v>16583214806</v>
      </c>
      <c r="C573" s="72" t="s">
        <v>2682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2683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2684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1774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2685</v>
      </c>
      <c r="B576" s="67">
        <v>6882969639</v>
      </c>
      <c r="C576" s="29" t="s">
        <v>2686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2687</v>
      </c>
      <c r="B577" s="67">
        <v>22449339892</v>
      </c>
      <c r="C577" s="29" t="s">
        <v>2688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2689</v>
      </c>
      <c r="B578" s="67"/>
      <c r="C578" s="18" t="s">
        <v>1887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2690</v>
      </c>
      <c r="B579" s="67">
        <v>22854740831</v>
      </c>
      <c r="C579" s="72" t="s">
        <v>2691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2692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2693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1774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2694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1774</v>
      </c>
      <c r="H582" s="9"/>
      <c r="I582" s="8"/>
      <c r="J582" s="8"/>
      <c r="K582" s="8"/>
      <c r="L582" s="9" t="s">
        <v>1896</v>
      </c>
      <c r="M582" s="8"/>
    </row>
    <row r="583" spans="1:13">
      <c r="A583" s="71" t="s">
        <v>2695</v>
      </c>
      <c r="B583" s="67">
        <v>47110994848</v>
      </c>
      <c r="C583" s="71" t="s">
        <v>2696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2697</v>
      </c>
      <c r="B584" s="67">
        <v>39353276845</v>
      </c>
      <c r="C584" s="72" t="s">
        <v>2698</v>
      </c>
      <c r="D584" s="69">
        <v>33343612847</v>
      </c>
      <c r="E584" s="9">
        <v>1417</v>
      </c>
      <c r="F584" s="25">
        <v>43017</v>
      </c>
      <c r="G584" s="70" t="s">
        <v>1780</v>
      </c>
      <c r="H584" s="9"/>
      <c r="I584" s="8"/>
      <c r="J584" s="8"/>
      <c r="K584" s="8"/>
      <c r="L584" s="9" t="s">
        <v>2011</v>
      </c>
      <c r="M584" s="8"/>
    </row>
    <row r="585" spans="1:13">
      <c r="A585" s="13" t="s">
        <v>2699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1774</v>
      </c>
      <c r="H585" s="9"/>
      <c r="I585" s="8"/>
      <c r="J585" s="8"/>
      <c r="K585" s="8"/>
      <c r="L585" s="8"/>
      <c r="M585" s="8"/>
    </row>
    <row r="586" spans="1:13">
      <c r="A586" s="13" t="s">
        <v>2700</v>
      </c>
      <c r="B586" s="67">
        <v>39937482801</v>
      </c>
      <c r="C586" s="68" t="s">
        <v>2701</v>
      </c>
      <c r="D586" s="69">
        <v>36243454860</v>
      </c>
      <c r="E586" s="9">
        <v>1128</v>
      </c>
      <c r="F586" s="25">
        <v>42972</v>
      </c>
      <c r="G586" s="70" t="s">
        <v>1774</v>
      </c>
      <c r="H586" s="9"/>
      <c r="I586" s="8"/>
      <c r="J586" s="8"/>
      <c r="K586" s="8"/>
      <c r="L586" s="8"/>
      <c r="M586" s="8"/>
    </row>
    <row r="587" spans="1:13">
      <c r="A587" s="13" t="s">
        <v>2702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1774</v>
      </c>
      <c r="H587" s="9"/>
      <c r="I587" s="8"/>
      <c r="J587" s="8"/>
      <c r="K587" s="8"/>
      <c r="L587" s="8"/>
      <c r="M587" s="8"/>
    </row>
    <row r="588" spans="1:13">
      <c r="A588" s="71" t="s">
        <v>2703</v>
      </c>
      <c r="B588" s="67">
        <v>4090078466</v>
      </c>
      <c r="C588" s="72" t="s">
        <v>2704</v>
      </c>
      <c r="D588" s="69">
        <v>31135278806</v>
      </c>
      <c r="E588" s="9">
        <v>1555</v>
      </c>
      <c r="F588" s="25">
        <v>43049</v>
      </c>
      <c r="G588" s="70" t="s">
        <v>1780</v>
      </c>
      <c r="H588" s="9"/>
      <c r="I588" s="8"/>
      <c r="J588" s="8"/>
      <c r="K588" s="8"/>
      <c r="L588" s="9" t="s">
        <v>2156</v>
      </c>
      <c r="M588" s="8"/>
    </row>
    <row r="589" spans="1:13">
      <c r="A589" s="72" t="s">
        <v>2705</v>
      </c>
      <c r="B589" s="67">
        <v>22857706855</v>
      </c>
      <c r="C589" s="72" t="s">
        <v>2706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2707</v>
      </c>
      <c r="B590" s="67">
        <v>30278629873</v>
      </c>
      <c r="C590" s="72" t="s">
        <v>2708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2709</v>
      </c>
      <c r="B591" s="67"/>
      <c r="C591" s="29" t="s">
        <v>2710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2711</v>
      </c>
      <c r="B592" s="67">
        <v>35569130896</v>
      </c>
      <c r="C592" s="72" t="s">
        <v>2712</v>
      </c>
      <c r="D592" s="69">
        <v>34252178878</v>
      </c>
      <c r="E592" s="9">
        <v>262</v>
      </c>
      <c r="F592" s="25">
        <v>43160</v>
      </c>
      <c r="G592" s="9" t="s">
        <v>1774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2713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1774</v>
      </c>
      <c r="H593" s="9"/>
      <c r="I593" s="8"/>
      <c r="J593" s="8"/>
      <c r="K593" s="8"/>
      <c r="L593" s="8"/>
      <c r="M593" s="8"/>
    </row>
    <row r="594" spans="1:13">
      <c r="A594" s="71" t="s">
        <v>2714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1774</v>
      </c>
      <c r="H594" s="9"/>
      <c r="I594" s="8"/>
      <c r="J594" s="8"/>
      <c r="K594" s="8"/>
      <c r="L594" s="9" t="s">
        <v>2156</v>
      </c>
      <c r="M594" s="8"/>
    </row>
    <row r="595" spans="1:13">
      <c r="A595" s="72" t="s">
        <v>2715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2716</v>
      </c>
      <c r="B596" s="67">
        <v>5704186580</v>
      </c>
      <c r="C596" s="72" t="s">
        <v>2717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2718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1774</v>
      </c>
      <c r="H597" s="9"/>
      <c r="I597" s="8"/>
      <c r="J597" s="8"/>
      <c r="K597" s="8"/>
      <c r="L597" s="8"/>
      <c r="M597" s="8"/>
    </row>
    <row r="598" spans="1:13">
      <c r="A598" s="13" t="s">
        <v>2719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1774</v>
      </c>
      <c r="H598" s="9"/>
      <c r="I598" s="8"/>
      <c r="J598" s="8"/>
      <c r="K598" s="8"/>
      <c r="L598" s="8"/>
      <c r="M598" s="8"/>
    </row>
    <row r="599" spans="1:13">
      <c r="A599" s="71" t="s">
        <v>2720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2721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1774</v>
      </c>
      <c r="H600" s="9"/>
      <c r="I600" s="8"/>
      <c r="J600" s="8"/>
      <c r="K600" s="8"/>
      <c r="L600" s="8"/>
      <c r="M600" s="8"/>
    </row>
    <row r="601" spans="1:13">
      <c r="A601" s="71" t="s">
        <v>2722</v>
      </c>
      <c r="B601" s="67">
        <v>38453816808</v>
      </c>
      <c r="C601" s="72" t="s">
        <v>2723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2724</v>
      </c>
      <c r="B602" s="67">
        <v>46366084882</v>
      </c>
      <c r="C602" s="18" t="s">
        <v>1887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2725</v>
      </c>
      <c r="B603" s="67"/>
      <c r="C603" s="18" t="s">
        <v>1887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2726</v>
      </c>
      <c r="B604" s="67">
        <v>40415212898</v>
      </c>
      <c r="C604" s="72" t="s">
        <v>2727</v>
      </c>
      <c r="D604" s="69">
        <v>35522659882</v>
      </c>
      <c r="E604" s="9">
        <v>262</v>
      </c>
      <c r="F604" s="25">
        <v>43160</v>
      </c>
      <c r="G604" s="70" t="s">
        <v>1774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2728</v>
      </c>
      <c r="B605" s="67">
        <v>41957432810</v>
      </c>
      <c r="C605" s="72" t="s">
        <v>2729</v>
      </c>
      <c r="D605" s="69">
        <v>22992085855</v>
      </c>
      <c r="E605" s="9">
        <v>1824</v>
      </c>
      <c r="F605" s="25">
        <v>43091</v>
      </c>
      <c r="G605" s="70" t="s">
        <v>1774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2730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1774</v>
      </c>
      <c r="H606" s="9"/>
      <c r="I606" s="8"/>
      <c r="J606" s="8"/>
      <c r="K606" s="8"/>
      <c r="L606" s="9" t="s">
        <v>1928</v>
      </c>
      <c r="M606" s="8"/>
    </row>
    <row r="607" spans="1:13">
      <c r="A607" s="15" t="s">
        <v>2731</v>
      </c>
      <c r="B607" s="67">
        <v>36252717886</v>
      </c>
      <c r="C607" s="72" t="s">
        <v>2732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2733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1774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2734</v>
      </c>
      <c r="B609" s="67">
        <v>23436019844</v>
      </c>
      <c r="C609" s="72" t="s">
        <v>2735</v>
      </c>
      <c r="D609" s="69">
        <v>35927095852</v>
      </c>
      <c r="E609" s="9">
        <v>810</v>
      </c>
      <c r="F609" s="25">
        <v>42915</v>
      </c>
      <c r="G609" s="70" t="s">
        <v>1774</v>
      </c>
      <c r="H609" s="9"/>
      <c r="I609" s="8"/>
      <c r="J609" s="8"/>
      <c r="K609" s="8"/>
      <c r="L609" s="9" t="s">
        <v>1896</v>
      </c>
      <c r="M609" s="8"/>
    </row>
    <row r="610" spans="1:13">
      <c r="A610" s="71" t="s">
        <v>2736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2737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1774</v>
      </c>
      <c r="H611" s="9"/>
      <c r="I611" s="8"/>
      <c r="J611" s="8"/>
      <c r="K611" s="8"/>
      <c r="L611" s="8"/>
      <c r="M611" s="8"/>
    </row>
    <row r="612" spans="1:13">
      <c r="A612" s="71" t="s">
        <v>2738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1774</v>
      </c>
      <c r="H612" s="9"/>
      <c r="I612" s="8"/>
      <c r="J612" s="8"/>
      <c r="K612" s="8"/>
      <c r="L612" s="8"/>
      <c r="M612" s="8"/>
    </row>
    <row r="613" spans="1:13">
      <c r="A613" s="71" t="s">
        <v>2739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2740</v>
      </c>
      <c r="B614" s="67">
        <v>32114645819</v>
      </c>
      <c r="C614" s="72" t="s">
        <v>2741</v>
      </c>
      <c r="D614" s="69">
        <v>33183764857</v>
      </c>
      <c r="E614" s="9">
        <v>810</v>
      </c>
      <c r="F614" s="25">
        <v>42915</v>
      </c>
      <c r="G614" s="70" t="s">
        <v>1774</v>
      </c>
      <c r="H614" s="9"/>
      <c r="I614" s="8"/>
      <c r="J614" s="8"/>
      <c r="K614" s="8"/>
      <c r="L614" s="9" t="s">
        <v>1896</v>
      </c>
      <c r="M614" s="8"/>
    </row>
    <row r="615" spans="1:13">
      <c r="A615" s="29" t="s">
        <v>2742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2743</v>
      </c>
      <c r="B616" s="67">
        <v>4836720508</v>
      </c>
      <c r="C616" s="18" t="s">
        <v>2744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2745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1774</v>
      </c>
      <c r="H617" s="9"/>
      <c r="I617" s="8"/>
      <c r="J617" s="8"/>
      <c r="K617" s="8"/>
      <c r="L617" s="8"/>
      <c r="M617" s="8"/>
    </row>
    <row r="618" spans="1:13">
      <c r="A618" s="29" t="s">
        <v>2746</v>
      </c>
      <c r="B618" s="67">
        <v>42187654800</v>
      </c>
      <c r="C618" s="29" t="s">
        <v>2747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2748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1774</v>
      </c>
      <c r="H619" s="9"/>
      <c r="I619" s="8"/>
      <c r="J619" s="8"/>
      <c r="K619" s="8"/>
      <c r="L619" s="9" t="s">
        <v>2260</v>
      </c>
      <c r="M619" s="8"/>
    </row>
    <row r="620" spans="1:13">
      <c r="A620" s="71" t="s">
        <v>2749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2750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2751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2752</v>
      </c>
      <c r="B623" s="67">
        <v>1283631504</v>
      </c>
      <c r="C623" s="72" t="s">
        <v>2753</v>
      </c>
      <c r="D623" s="69">
        <v>62180886349</v>
      </c>
      <c r="E623" s="9">
        <v>1824</v>
      </c>
      <c r="F623" s="25">
        <v>43091</v>
      </c>
      <c r="G623" s="70" t="s">
        <v>1774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2754</v>
      </c>
      <c r="B624" s="67">
        <v>5389709527</v>
      </c>
      <c r="C624" s="86" t="s">
        <v>2755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2756</v>
      </c>
      <c r="B625" s="67">
        <v>1262412528</v>
      </c>
      <c r="C625" s="68" t="s">
        <v>2757</v>
      </c>
      <c r="D625" s="69">
        <v>3045815502</v>
      </c>
      <c r="E625" s="9">
        <v>1241</v>
      </c>
      <c r="F625" s="25">
        <v>42992</v>
      </c>
      <c r="G625" s="70" t="s">
        <v>1774</v>
      </c>
      <c r="H625" s="9"/>
      <c r="I625" s="8"/>
      <c r="J625" s="8"/>
      <c r="K625" s="8"/>
      <c r="L625" s="8"/>
      <c r="M625" s="8"/>
    </row>
    <row r="626" spans="1:13">
      <c r="A626" s="71" t="s">
        <v>2758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2057</v>
      </c>
      <c r="M626" s="8"/>
    </row>
    <row r="627" spans="1:13">
      <c r="A627" s="71" t="s">
        <v>2759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1982</v>
      </c>
      <c r="B628" s="67">
        <v>9704111460</v>
      </c>
      <c r="C628" s="72" t="s">
        <v>2760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2761</v>
      </c>
      <c r="B629" s="67">
        <v>41653576855</v>
      </c>
      <c r="C629" s="72" t="s">
        <v>2762</v>
      </c>
      <c r="D629" s="69">
        <v>33219880894</v>
      </c>
      <c r="E629" s="9">
        <v>1439</v>
      </c>
      <c r="F629" s="25">
        <v>43025</v>
      </c>
      <c r="G629" s="70" t="s">
        <v>1774</v>
      </c>
      <c r="H629" s="9"/>
      <c r="I629" s="8"/>
      <c r="J629" s="8"/>
      <c r="K629" s="8"/>
      <c r="L629" s="9" t="s">
        <v>2260</v>
      </c>
      <c r="M629" s="8"/>
    </row>
    <row r="630" spans="1:13">
      <c r="A630" s="71" t="s">
        <v>2763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2764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1774</v>
      </c>
      <c r="H631" s="9"/>
      <c r="I631" s="8"/>
      <c r="J631" s="8"/>
      <c r="K631" s="8"/>
      <c r="L631" s="9" t="s">
        <v>1896</v>
      </c>
      <c r="M631" s="8"/>
    </row>
    <row r="632" spans="1:13">
      <c r="A632" s="29" t="s">
        <v>2765</v>
      </c>
      <c r="B632" s="67">
        <v>29065742875</v>
      </c>
      <c r="C632" s="29" t="s">
        <v>2766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2767</v>
      </c>
      <c r="B633" s="67">
        <v>39491305867</v>
      </c>
      <c r="C633" s="72" t="s">
        <v>2768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2769</v>
      </c>
      <c r="B634" s="67">
        <v>35049140846</v>
      </c>
      <c r="C634" s="18" t="s">
        <v>2770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2771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2772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2057</v>
      </c>
      <c r="M636" s="8"/>
    </row>
    <row r="637" spans="1:13">
      <c r="A637" s="71" t="s">
        <v>2773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1774</v>
      </c>
      <c r="H637" s="9"/>
      <c r="I637" s="8"/>
      <c r="J637" s="8"/>
      <c r="K637" s="8"/>
      <c r="L637" s="8"/>
      <c r="M637" s="8"/>
    </row>
    <row r="638" spans="1:13">
      <c r="A638" s="18" t="s">
        <v>2774</v>
      </c>
      <c r="B638" s="67"/>
      <c r="C638" s="18" t="s">
        <v>2775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2776</v>
      </c>
      <c r="B639" s="67">
        <v>198674503</v>
      </c>
      <c r="C639" s="18" t="s">
        <v>2777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2778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2779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2780</v>
      </c>
      <c r="B642" s="67">
        <v>28074733858</v>
      </c>
      <c r="C642" s="72" t="s">
        <v>2781</v>
      </c>
      <c r="D642" s="69">
        <v>18033766867</v>
      </c>
      <c r="E642" s="9">
        <v>810</v>
      </c>
      <c r="F642" s="25">
        <v>42915</v>
      </c>
      <c r="G642" s="70" t="s">
        <v>1774</v>
      </c>
      <c r="H642" s="9"/>
      <c r="I642" s="8"/>
      <c r="J642" s="8"/>
      <c r="K642" s="8"/>
      <c r="L642" s="9" t="s">
        <v>1896</v>
      </c>
      <c r="M642" s="8"/>
    </row>
    <row r="643" spans="1:13">
      <c r="A643" s="71" t="s">
        <v>2782</v>
      </c>
      <c r="B643" s="67">
        <v>41583475800</v>
      </c>
      <c r="C643" s="72" t="s">
        <v>2783</v>
      </c>
      <c r="D643" s="69">
        <v>47688665817</v>
      </c>
      <c r="E643" s="9">
        <v>810</v>
      </c>
      <c r="F643" s="25">
        <v>42915</v>
      </c>
      <c r="G643" s="70" t="s">
        <v>1774</v>
      </c>
      <c r="H643" s="9"/>
      <c r="I643" s="8"/>
      <c r="J643" s="8"/>
      <c r="K643" s="8"/>
      <c r="L643" s="9" t="s">
        <v>1896</v>
      </c>
      <c r="M643" s="8"/>
    </row>
    <row r="644" spans="1:13">
      <c r="A644" s="71" t="s">
        <v>2784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1774</v>
      </c>
      <c r="H644" s="9"/>
      <c r="I644" s="8"/>
      <c r="J644" s="8"/>
      <c r="K644" s="8"/>
      <c r="L644" s="9" t="s">
        <v>1896</v>
      </c>
      <c r="M644" s="8"/>
    </row>
    <row r="645" spans="1:13">
      <c r="A645" s="13" t="s">
        <v>2785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1774</v>
      </c>
      <c r="H645" s="9"/>
      <c r="I645" s="8"/>
      <c r="J645" s="8"/>
      <c r="K645" s="8"/>
      <c r="L645" s="8"/>
      <c r="M645" s="8"/>
    </row>
    <row r="646" spans="1:13">
      <c r="A646" s="29" t="s">
        <v>2786</v>
      </c>
      <c r="B646" s="67"/>
      <c r="C646" s="18" t="s">
        <v>1887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2787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2788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1774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2789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2790</v>
      </c>
      <c r="B650" s="67">
        <v>80234836334</v>
      </c>
      <c r="C650" s="72" t="s">
        <v>2791</v>
      </c>
      <c r="D650" s="69">
        <v>22522250841</v>
      </c>
      <c r="E650" s="9">
        <v>1267</v>
      </c>
      <c r="F650" s="25">
        <v>42998</v>
      </c>
      <c r="G650" s="70" t="s">
        <v>1774</v>
      </c>
      <c r="H650" s="9"/>
      <c r="I650" s="8"/>
      <c r="J650" s="8"/>
      <c r="K650" s="8"/>
      <c r="L650" s="8"/>
      <c r="M650" s="8"/>
    </row>
    <row r="651" spans="1:13">
      <c r="A651" s="71" t="s">
        <v>2792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1774</v>
      </c>
      <c r="H651" s="9"/>
      <c r="I651" s="8"/>
      <c r="J651" s="8"/>
      <c r="K651" s="8"/>
      <c r="L651" s="8"/>
      <c r="M651" s="8"/>
    </row>
    <row r="652" spans="1:13">
      <c r="A652" s="71" t="s">
        <v>2793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1774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2794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2795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1774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2796</v>
      </c>
      <c r="B655" s="67">
        <v>7385460895</v>
      </c>
      <c r="C655" s="72" t="s">
        <v>2797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2798</v>
      </c>
      <c r="B656" s="67">
        <v>31828009814</v>
      </c>
      <c r="C656" s="18" t="s">
        <v>2799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2800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1774</v>
      </c>
      <c r="H657" s="9"/>
      <c r="I657" s="8"/>
      <c r="J657" s="8"/>
      <c r="K657" s="8"/>
      <c r="L657" s="8"/>
      <c r="M657" s="8"/>
    </row>
    <row r="658" spans="1:13">
      <c r="A658" s="71" t="s">
        <v>2801</v>
      </c>
      <c r="B658" s="67">
        <v>15090098840</v>
      </c>
      <c r="C658" s="72" t="s">
        <v>2802</v>
      </c>
      <c r="D658" s="69">
        <v>3376233845</v>
      </c>
      <c r="E658" s="9">
        <v>1752</v>
      </c>
      <c r="F658" s="25">
        <v>43051</v>
      </c>
      <c r="G658" s="70" t="s">
        <v>1774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2803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1774</v>
      </c>
      <c r="H659" s="9"/>
      <c r="I659" s="8"/>
      <c r="J659" s="8"/>
      <c r="K659" s="8"/>
      <c r="L659" s="8"/>
      <c r="M659" s="8"/>
    </row>
    <row r="660" spans="1:13">
      <c r="A660" s="71" t="s">
        <v>2804</v>
      </c>
      <c r="B660" s="67">
        <v>30652965865</v>
      </c>
      <c r="C660" s="72" t="s">
        <v>2805</v>
      </c>
      <c r="D660" s="69">
        <v>23330127813</v>
      </c>
      <c r="E660" s="9">
        <v>1214</v>
      </c>
      <c r="F660" s="25">
        <v>42989</v>
      </c>
      <c r="G660" s="70" t="s">
        <v>1774</v>
      </c>
      <c r="H660" s="9"/>
      <c r="I660" s="8"/>
      <c r="J660" s="8"/>
      <c r="K660" s="8"/>
      <c r="L660" s="8"/>
      <c r="M660" s="8"/>
    </row>
    <row r="661" spans="1:13">
      <c r="A661" s="14" t="s">
        <v>2806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2807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2808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2809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2057</v>
      </c>
      <c r="M664" s="8"/>
    </row>
    <row r="665" spans="1:13">
      <c r="A665" s="71" t="s">
        <v>2810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1774</v>
      </c>
      <c r="H665" s="9"/>
      <c r="I665" s="8"/>
      <c r="J665" s="8"/>
      <c r="K665" s="8"/>
      <c r="L665" s="8"/>
      <c r="M665" s="8"/>
    </row>
    <row r="666" spans="1:13">
      <c r="A666" s="13" t="s">
        <v>2811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1774</v>
      </c>
      <c r="H666" s="9"/>
      <c r="I666" s="8"/>
      <c r="J666" s="8"/>
      <c r="K666" s="8"/>
      <c r="L666" s="8"/>
      <c r="M666" s="8"/>
    </row>
    <row r="667" spans="1:13">
      <c r="A667" s="71" t="s">
        <v>2812</v>
      </c>
      <c r="B667" s="67">
        <v>39898491825</v>
      </c>
      <c r="C667" s="72" t="s">
        <v>2813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2814</v>
      </c>
      <c r="B668" s="67">
        <v>96629428587</v>
      </c>
      <c r="C668" s="29" t="s">
        <v>2815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2816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1774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2817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1774</v>
      </c>
      <c r="H670" s="9"/>
      <c r="I670" s="8"/>
      <c r="J670" s="8"/>
      <c r="K670" s="8"/>
      <c r="L670" s="8"/>
      <c r="M670" s="8"/>
    </row>
    <row r="671" spans="1:13">
      <c r="A671" s="14" t="s">
        <v>2818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2819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1774</v>
      </c>
      <c r="H672" s="9"/>
      <c r="I672" s="8"/>
      <c r="J672" s="8"/>
      <c r="K672" s="8"/>
      <c r="L672" s="9" t="s">
        <v>2011</v>
      </c>
      <c r="M672" s="8"/>
    </row>
    <row r="673" spans="1:13">
      <c r="A673" s="71" t="s">
        <v>2820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2821</v>
      </c>
      <c r="B674" s="67">
        <v>11438313810</v>
      </c>
      <c r="C674" s="72" t="s">
        <v>2822</v>
      </c>
      <c r="D674" s="69">
        <v>11400812844</v>
      </c>
      <c r="E674" s="9">
        <v>292</v>
      </c>
      <c r="F674" s="25">
        <v>43168</v>
      </c>
      <c r="G674" s="70" t="s">
        <v>1774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2823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2824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1774</v>
      </c>
      <c r="H676" s="9"/>
      <c r="I676" s="8"/>
      <c r="J676" s="8"/>
      <c r="K676" s="8"/>
      <c r="L676" s="8"/>
      <c r="M676" s="8"/>
    </row>
    <row r="677" spans="1:13">
      <c r="A677" s="14" t="s">
        <v>2825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2826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2827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2828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2829</v>
      </c>
      <c r="B681" s="34">
        <v>31970473894</v>
      </c>
      <c r="C681" s="17" t="s">
        <v>2830</v>
      </c>
      <c r="D681" s="35">
        <v>22945039885</v>
      </c>
      <c r="E681" s="36">
        <v>1128</v>
      </c>
      <c r="F681" s="37">
        <v>42972</v>
      </c>
      <c r="G681" s="38" t="s">
        <v>1774</v>
      </c>
      <c r="H681" s="9"/>
      <c r="I681" s="8"/>
      <c r="J681" s="8"/>
      <c r="K681" s="8"/>
      <c r="L681" s="8"/>
      <c r="M681" s="8"/>
    </row>
    <row r="682" spans="1:13">
      <c r="A682" s="72" t="s">
        <v>2831</v>
      </c>
      <c r="B682" s="67">
        <v>29486419850</v>
      </c>
      <c r="C682" s="72" t="s">
        <v>2832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2833</v>
      </c>
      <c r="B683" s="67">
        <v>73699993272</v>
      </c>
      <c r="C683" s="72" t="s">
        <v>2834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2835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2836</v>
      </c>
      <c r="B685" s="67">
        <v>34833459817</v>
      </c>
      <c r="C685" s="68" t="s">
        <v>2837</v>
      </c>
      <c r="D685" s="69">
        <v>32077064870</v>
      </c>
      <c r="E685" s="9">
        <v>1128</v>
      </c>
      <c r="F685" s="25">
        <v>42972</v>
      </c>
      <c r="G685" s="70" t="s">
        <v>1774</v>
      </c>
      <c r="H685" s="9"/>
      <c r="I685" s="8"/>
      <c r="J685" s="8"/>
      <c r="K685" s="8"/>
      <c r="L685" s="8"/>
      <c r="M685" s="8"/>
    </row>
    <row r="686" spans="1:13">
      <c r="A686" s="13" t="s">
        <v>2838</v>
      </c>
      <c r="B686" s="67">
        <v>15203953880</v>
      </c>
      <c r="C686" s="72" t="s">
        <v>2839</v>
      </c>
      <c r="D686" s="69">
        <v>16339364810</v>
      </c>
      <c r="E686" s="9">
        <v>229</v>
      </c>
      <c r="F686" s="25">
        <v>43151</v>
      </c>
      <c r="G686" s="70" t="s">
        <v>1780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2840</v>
      </c>
      <c r="B687" s="67">
        <v>23891239882</v>
      </c>
      <c r="C687" s="72" t="s">
        <v>2841</v>
      </c>
      <c r="D687" s="69">
        <v>22474449892</v>
      </c>
      <c r="E687" s="9">
        <v>1555</v>
      </c>
      <c r="F687" s="25">
        <v>43049</v>
      </c>
      <c r="G687" s="70" t="s">
        <v>1774</v>
      </c>
      <c r="H687" s="9"/>
      <c r="I687" s="8"/>
      <c r="J687" s="8"/>
      <c r="K687" s="8"/>
      <c r="L687" s="9" t="s">
        <v>2156</v>
      </c>
      <c r="M687" s="8"/>
    </row>
    <row r="688" spans="1:13">
      <c r="A688" s="15" t="s">
        <v>2842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2843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1774</v>
      </c>
      <c r="H689" s="9"/>
      <c r="I689" s="8"/>
      <c r="J689" s="8"/>
      <c r="K689" s="8"/>
      <c r="L689" s="9" t="s">
        <v>1896</v>
      </c>
      <c r="M689" s="8"/>
    </row>
    <row r="690" spans="1:13">
      <c r="A690" s="72" t="s">
        <v>2844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2057</v>
      </c>
      <c r="M690" s="8"/>
    </row>
    <row r="691" spans="1:13">
      <c r="A691" s="13" t="s">
        <v>2845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1774</v>
      </c>
      <c r="H691" s="9"/>
      <c r="I691" s="8"/>
      <c r="J691" s="8"/>
      <c r="K691" s="8"/>
      <c r="L691" s="8"/>
      <c r="M691" s="8"/>
    </row>
    <row r="692" spans="1:13">
      <c r="A692" s="30" t="s">
        <v>2846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2847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1774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2848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2849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1774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2850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1780</v>
      </c>
      <c r="H696" s="9"/>
      <c r="I696" s="8"/>
      <c r="J696" s="8"/>
      <c r="K696" s="8"/>
      <c r="L696" s="8"/>
      <c r="M696" s="8"/>
    </row>
    <row r="697" spans="1:13">
      <c r="A697" s="71" t="s">
        <v>2851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1774</v>
      </c>
      <c r="H697" s="9"/>
      <c r="I697" s="8"/>
      <c r="J697" s="8"/>
      <c r="K697" s="8"/>
      <c r="L697" s="8"/>
      <c r="M697" s="8"/>
    </row>
    <row r="698" spans="1:13">
      <c r="A698" s="71" t="s">
        <v>2852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1774</v>
      </c>
      <c r="H698" s="9"/>
      <c r="I698" s="8"/>
      <c r="J698" s="8"/>
      <c r="K698" s="8"/>
      <c r="L698" s="9" t="s">
        <v>1896</v>
      </c>
      <c r="M698" s="8"/>
    </row>
    <row r="699" spans="1:13">
      <c r="A699" s="71" t="s">
        <v>2853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2854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1774</v>
      </c>
      <c r="H700" s="9"/>
      <c r="I700" s="8"/>
      <c r="J700" s="8"/>
      <c r="K700" s="8"/>
      <c r="L700" s="9" t="s">
        <v>1918</v>
      </c>
      <c r="M700" s="8"/>
    </row>
    <row r="701" spans="1:13">
      <c r="A701" s="71" t="s">
        <v>2855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2856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2857</v>
      </c>
      <c r="B703" s="67">
        <v>25698933820</v>
      </c>
      <c r="C703" s="72" t="s">
        <v>2858</v>
      </c>
      <c r="D703" s="69">
        <v>14047433837</v>
      </c>
      <c r="E703" s="9">
        <v>810</v>
      </c>
      <c r="F703" s="25">
        <v>42915</v>
      </c>
      <c r="G703" s="70" t="s">
        <v>1774</v>
      </c>
      <c r="H703" s="76">
        <v>43213</v>
      </c>
      <c r="I703" s="8"/>
      <c r="J703" s="8"/>
      <c r="K703" s="8"/>
      <c r="L703" s="9" t="s">
        <v>1896</v>
      </c>
      <c r="M703" s="8"/>
    </row>
    <row r="704" spans="1:13">
      <c r="A704" s="71" t="s">
        <v>2859</v>
      </c>
      <c r="B704" s="67">
        <v>34806644315</v>
      </c>
      <c r="C704" s="72" t="s">
        <v>2860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2861</v>
      </c>
      <c r="B705" s="67">
        <v>33189488886</v>
      </c>
      <c r="C705" s="72" t="s">
        <v>2862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2863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1774</v>
      </c>
      <c r="H706" s="76">
        <v>43213</v>
      </c>
      <c r="I706" s="8"/>
      <c r="J706" s="8"/>
      <c r="K706" s="8"/>
      <c r="L706" s="9" t="s">
        <v>1896</v>
      </c>
      <c r="M706" s="8"/>
    </row>
    <row r="707" spans="1:13">
      <c r="A707" s="71" t="s">
        <v>2864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1774</v>
      </c>
      <c r="H707" s="76">
        <v>43213</v>
      </c>
      <c r="I707" s="8"/>
      <c r="J707" s="8"/>
      <c r="K707" s="8"/>
      <c r="L707" s="9" t="s">
        <v>2156</v>
      </c>
      <c r="M707" s="8"/>
    </row>
    <row r="708" spans="1:13">
      <c r="A708" s="13" t="s">
        <v>2865</v>
      </c>
      <c r="B708" s="67">
        <v>28390636549</v>
      </c>
      <c r="C708" s="72" t="s">
        <v>2866</v>
      </c>
      <c r="D708" s="69">
        <v>49042904534</v>
      </c>
      <c r="E708" s="9">
        <v>1343</v>
      </c>
      <c r="F708" s="25">
        <v>43004</v>
      </c>
      <c r="G708" s="70" t="s">
        <v>1774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2867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2868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1774</v>
      </c>
      <c r="H710" s="76">
        <v>43213</v>
      </c>
      <c r="I710" s="8"/>
      <c r="J710" s="8"/>
      <c r="K710" s="8"/>
      <c r="L710" s="9" t="s">
        <v>1896</v>
      </c>
      <c r="M710" s="8"/>
    </row>
    <row r="711" spans="1:13">
      <c r="A711" s="71" t="s">
        <v>2869</v>
      </c>
      <c r="B711" s="67">
        <v>27863123534</v>
      </c>
      <c r="C711" s="72" t="s">
        <v>2870</v>
      </c>
      <c r="D711" s="69">
        <v>33480142800</v>
      </c>
      <c r="E711" s="9">
        <v>1214</v>
      </c>
      <c r="F711" s="25">
        <v>42989</v>
      </c>
      <c r="G711" s="70" t="s">
        <v>1774</v>
      </c>
      <c r="H711" s="9"/>
      <c r="I711" s="8"/>
      <c r="J711" s="8"/>
      <c r="K711" s="8"/>
      <c r="L711" s="8"/>
      <c r="M711" s="8"/>
    </row>
    <row r="712" spans="1:13">
      <c r="A712" s="72" t="s">
        <v>2871</v>
      </c>
      <c r="B712" s="67">
        <v>39454972804</v>
      </c>
      <c r="C712" s="72" t="s">
        <v>2872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2873</v>
      </c>
      <c r="B713" s="67"/>
      <c r="C713" s="29" t="s">
        <v>2874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2875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1774</v>
      </c>
      <c r="H714" s="9"/>
      <c r="I714" s="8"/>
      <c r="J714" s="8"/>
      <c r="K714" s="8"/>
      <c r="L714" s="8"/>
      <c r="M714" s="8"/>
    </row>
    <row r="715" spans="1:13">
      <c r="A715" s="15" t="s">
        <v>2876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1774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2877</v>
      </c>
      <c r="B716" s="67">
        <v>17810014803</v>
      </c>
      <c r="C716" s="72" t="s">
        <v>2878</v>
      </c>
      <c r="D716" s="69">
        <v>28934526807</v>
      </c>
      <c r="E716" s="9">
        <v>292</v>
      </c>
      <c r="F716" s="25">
        <v>43168</v>
      </c>
      <c r="G716" s="9" t="s">
        <v>1774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2879</v>
      </c>
      <c r="B717" s="67">
        <v>724258574</v>
      </c>
      <c r="C717" s="72" t="s">
        <v>2880</v>
      </c>
      <c r="D717" s="69">
        <v>18303361856</v>
      </c>
      <c r="E717" s="9">
        <v>262</v>
      </c>
      <c r="F717" s="25">
        <v>43160</v>
      </c>
      <c r="G717" s="70" t="s">
        <v>1774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2881</v>
      </c>
      <c r="B718" s="67">
        <v>37453999863</v>
      </c>
      <c r="C718" s="72" t="s">
        <v>2882</v>
      </c>
      <c r="D718" s="69"/>
      <c r="E718" s="9">
        <v>1241</v>
      </c>
      <c r="F718" s="25">
        <v>42992</v>
      </c>
      <c r="G718" s="70" t="s">
        <v>1774</v>
      </c>
      <c r="H718" s="9"/>
      <c r="I718" s="8"/>
      <c r="J718" s="8"/>
      <c r="K718" s="8"/>
      <c r="L718" s="8"/>
      <c r="M718" s="8"/>
    </row>
    <row r="719" spans="1:13">
      <c r="A719" s="71" t="s">
        <v>2883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2884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1774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2885</v>
      </c>
      <c r="B721" s="67">
        <v>30308539850</v>
      </c>
      <c r="C721" s="72" t="s">
        <v>2886</v>
      </c>
      <c r="D721" s="69">
        <v>84739517434</v>
      </c>
      <c r="E721" s="9">
        <v>810</v>
      </c>
      <c r="F721" s="25">
        <v>42915</v>
      </c>
      <c r="G721" s="70" t="s">
        <v>1774</v>
      </c>
      <c r="H721" s="9"/>
      <c r="I721" s="8"/>
      <c r="J721" s="8"/>
      <c r="K721" s="8"/>
      <c r="L721" s="9" t="s">
        <v>1896</v>
      </c>
      <c r="M721" s="8"/>
    </row>
    <row r="722" spans="1:13">
      <c r="A722" s="71" t="s">
        <v>2887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2888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2889</v>
      </c>
      <c r="B724" s="67">
        <v>21716687845</v>
      </c>
      <c r="C724" s="15" t="s">
        <v>2890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2891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1774</v>
      </c>
      <c r="H725" s="9"/>
      <c r="I725" s="8"/>
      <c r="J725" s="8"/>
      <c r="K725" s="8"/>
      <c r="L725" s="8"/>
      <c r="M725" s="8"/>
    </row>
    <row r="726" spans="1:13">
      <c r="A726" s="14" t="s">
        <v>2892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2893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1774</v>
      </c>
      <c r="H727" s="9"/>
      <c r="I727" s="8"/>
      <c r="J727" s="8"/>
      <c r="K727" s="8"/>
      <c r="L727" s="9" t="s">
        <v>2011</v>
      </c>
      <c r="M727" s="8"/>
    </row>
    <row r="728" spans="1:13">
      <c r="A728" s="14" t="s">
        <v>2894</v>
      </c>
      <c r="B728" s="67">
        <v>99658925553</v>
      </c>
      <c r="C728" s="72" t="s">
        <v>2895</v>
      </c>
      <c r="D728" s="69">
        <v>99610108504</v>
      </c>
      <c r="E728" s="9">
        <v>262</v>
      </c>
      <c r="F728" s="25">
        <v>43160</v>
      </c>
      <c r="G728" s="70" t="s">
        <v>1774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2896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2897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1774</v>
      </c>
      <c r="H730" s="9"/>
      <c r="I730" s="8"/>
      <c r="J730" s="8"/>
      <c r="K730" s="8"/>
      <c r="L730" s="8"/>
      <c r="M730" s="8"/>
    </row>
    <row r="731" spans="1:13">
      <c r="A731" s="29" t="s">
        <v>2898</v>
      </c>
      <c r="B731" s="67"/>
      <c r="C731" s="18" t="s">
        <v>1887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2899</v>
      </c>
      <c r="B732" s="67">
        <v>25905224870</v>
      </c>
      <c r="C732" s="68" t="s">
        <v>2900</v>
      </c>
      <c r="D732" s="69">
        <v>36185256304</v>
      </c>
      <c r="E732" s="9">
        <v>1824</v>
      </c>
      <c r="F732" s="25">
        <v>43091</v>
      </c>
      <c r="G732" s="70" t="s">
        <v>1774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2901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2902</v>
      </c>
      <c r="B734" s="67">
        <v>33160363856</v>
      </c>
      <c r="C734" s="72" t="s">
        <v>2903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2904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1774</v>
      </c>
      <c r="H735" s="9"/>
      <c r="I735" s="8"/>
      <c r="J735" s="8"/>
      <c r="K735" s="8"/>
      <c r="L735" s="9" t="s">
        <v>2011</v>
      </c>
      <c r="M735" s="8"/>
    </row>
    <row r="736" spans="1:13">
      <c r="A736" s="15" t="s">
        <v>2905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1774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2906</v>
      </c>
      <c r="B737" s="67">
        <v>71752722434</v>
      </c>
      <c r="C737" s="18" t="s">
        <v>1887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2907</v>
      </c>
      <c r="B738" s="67">
        <v>8590565890</v>
      </c>
      <c r="C738" s="72" t="s">
        <v>2908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2057</v>
      </c>
      <c r="M738" s="8"/>
    </row>
    <row r="739" spans="1:13">
      <c r="A739" s="71" t="s">
        <v>2909</v>
      </c>
      <c r="B739" s="67">
        <v>35556660883</v>
      </c>
      <c r="C739" s="72" t="s">
        <v>2910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2911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2912</v>
      </c>
      <c r="B741" s="67">
        <v>25905305870</v>
      </c>
      <c r="C741" s="72" t="s">
        <v>2913</v>
      </c>
      <c r="D741" s="69">
        <v>11480794830</v>
      </c>
      <c r="E741" s="9">
        <v>1267</v>
      </c>
      <c r="F741" s="25">
        <v>42998</v>
      </c>
      <c r="G741" s="70" t="s">
        <v>1774</v>
      </c>
      <c r="H741" s="9"/>
      <c r="I741" s="8"/>
      <c r="J741" s="8"/>
      <c r="K741" s="8"/>
      <c r="L741" s="8"/>
      <c r="M741" s="8"/>
    </row>
    <row r="742" spans="1:13">
      <c r="A742" s="71" t="s">
        <v>2914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2915</v>
      </c>
      <c r="B743" s="67">
        <v>18360141800</v>
      </c>
      <c r="C743" s="72" t="s">
        <v>2916</v>
      </c>
      <c r="D743" s="69">
        <v>48201979591</v>
      </c>
      <c r="E743" s="9">
        <v>117</v>
      </c>
      <c r="F743" s="25">
        <v>43117</v>
      </c>
      <c r="G743" s="70" t="s">
        <v>1774</v>
      </c>
      <c r="H743" s="9"/>
      <c r="I743" s="8"/>
      <c r="J743" s="8"/>
      <c r="K743" s="8"/>
      <c r="L743" s="9" t="s">
        <v>1928</v>
      </c>
      <c r="M743" s="8"/>
    </row>
    <row r="744" spans="1:13">
      <c r="A744" s="15" t="s">
        <v>2917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1928</v>
      </c>
      <c r="M744" s="8"/>
    </row>
    <row r="745" spans="1:13">
      <c r="A745" s="71" t="s">
        <v>2918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2919</v>
      </c>
      <c r="B746" s="67">
        <v>36613647829</v>
      </c>
      <c r="C746" s="72" t="s">
        <v>2920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2921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2922</v>
      </c>
      <c r="B748" s="67">
        <v>25332480881</v>
      </c>
      <c r="C748" s="18" t="s">
        <v>1887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2923</v>
      </c>
      <c r="B749" s="67">
        <v>16365042809</v>
      </c>
      <c r="C749" s="72" t="s">
        <v>2924</v>
      </c>
      <c r="D749" s="69">
        <v>26488933850</v>
      </c>
      <c r="E749" s="9">
        <v>117</v>
      </c>
      <c r="F749" s="25">
        <v>43117</v>
      </c>
      <c r="G749" s="70" t="s">
        <v>1774</v>
      </c>
      <c r="H749" s="25">
        <v>43151</v>
      </c>
      <c r="I749" s="8"/>
      <c r="J749" s="8"/>
      <c r="K749" s="8"/>
      <c r="L749" s="9" t="s">
        <v>1928</v>
      </c>
      <c r="M749" s="8"/>
    </row>
    <row r="750" spans="1:13">
      <c r="A750" s="15" t="s">
        <v>2925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1774</v>
      </c>
      <c r="H750" s="25">
        <v>43151</v>
      </c>
      <c r="I750" s="8"/>
      <c r="J750" s="8"/>
      <c r="K750" s="8"/>
      <c r="L750" s="9" t="s">
        <v>1928</v>
      </c>
      <c r="M750" s="8"/>
    </row>
    <row r="751" spans="1:13">
      <c r="A751" s="71" t="s">
        <v>2926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2927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1780</v>
      </c>
      <c r="H752" s="9"/>
      <c r="I752" s="8"/>
      <c r="J752" s="8"/>
      <c r="K752" s="8"/>
      <c r="L752" s="8"/>
      <c r="M752" s="8"/>
    </row>
    <row r="753" spans="1:13">
      <c r="A753" s="71" t="s">
        <v>2928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1774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2929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1774</v>
      </c>
      <c r="H754" s="9"/>
      <c r="I754" s="8"/>
      <c r="J754" s="8"/>
      <c r="K754" s="8"/>
      <c r="L754" s="8"/>
      <c r="M754" s="8"/>
    </row>
    <row r="755" spans="1:13">
      <c r="A755" s="29" t="s">
        <v>2930</v>
      </c>
      <c r="B755" s="67"/>
      <c r="C755" s="18" t="s">
        <v>1887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2931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2932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1774</v>
      </c>
      <c r="H757" s="9"/>
      <c r="I757" s="8"/>
      <c r="J757" s="8"/>
      <c r="K757" s="8"/>
      <c r="L757" s="8"/>
      <c r="M757" s="8"/>
    </row>
    <row r="758" spans="1:13">
      <c r="A758" s="71" t="s">
        <v>2933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2934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1896</v>
      </c>
      <c r="M759" s="8"/>
    </row>
    <row r="760" spans="1:13">
      <c r="A760" s="71" t="s">
        <v>2935</v>
      </c>
      <c r="B760" s="67">
        <v>41756319847</v>
      </c>
      <c r="C760" s="72" t="s">
        <v>2936</v>
      </c>
      <c r="D760" s="69">
        <v>28780799817</v>
      </c>
      <c r="E760" s="9">
        <v>1489</v>
      </c>
      <c r="F760" s="25">
        <v>43038</v>
      </c>
      <c r="G760" s="70" t="s">
        <v>1788</v>
      </c>
      <c r="H760" s="9"/>
      <c r="I760" s="8"/>
      <c r="J760" s="8"/>
      <c r="K760" s="8"/>
      <c r="L760" s="9" t="s">
        <v>1918</v>
      </c>
      <c r="M760" s="8"/>
    </row>
    <row r="761" spans="1:13">
      <c r="A761" s="71" t="s">
        <v>2937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1774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2938</v>
      </c>
      <c r="B762" s="67"/>
      <c r="C762" s="29" t="s">
        <v>1887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2939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2940</v>
      </c>
      <c r="B764" s="67">
        <v>39762019873</v>
      </c>
      <c r="C764" s="68" t="s">
        <v>2941</v>
      </c>
      <c r="D764" s="69">
        <v>28639452890</v>
      </c>
      <c r="E764" s="9">
        <v>1128</v>
      </c>
      <c r="F764" s="25">
        <v>42972</v>
      </c>
      <c r="G764" s="70" t="s">
        <v>1774</v>
      </c>
      <c r="H764" s="9"/>
      <c r="I764" s="8"/>
      <c r="J764" s="8"/>
      <c r="K764" s="8"/>
      <c r="L764" s="8"/>
      <c r="M764" s="8"/>
    </row>
    <row r="765" spans="1:13">
      <c r="A765" s="71" t="s">
        <v>2942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2943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2944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1774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2945</v>
      </c>
      <c r="B768" s="67">
        <v>21914504828</v>
      </c>
      <c r="C768" s="72" t="s">
        <v>2946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2947</v>
      </c>
      <c r="B769" s="67">
        <v>11259745830</v>
      </c>
      <c r="C769" s="72" t="s">
        <v>2948</v>
      </c>
      <c r="D769" s="69">
        <v>49121901368</v>
      </c>
      <c r="E769" s="9">
        <v>262</v>
      </c>
      <c r="F769" s="25">
        <v>43160</v>
      </c>
      <c r="G769" s="70" t="s">
        <v>1774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2949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1774</v>
      </c>
      <c r="H770" s="9"/>
      <c r="I770" s="8"/>
      <c r="J770" s="8"/>
      <c r="K770" s="8"/>
      <c r="L770" s="8"/>
      <c r="M770" s="8"/>
    </row>
    <row r="771" spans="1:13">
      <c r="A771" s="72" t="s">
        <v>2950</v>
      </c>
      <c r="B771" s="67">
        <v>22547591839</v>
      </c>
      <c r="C771" s="72" t="s">
        <v>2951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2952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2953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2954</v>
      </c>
      <c r="B774" s="67">
        <v>9881940400</v>
      </c>
      <c r="C774" s="72" t="s">
        <v>2955</v>
      </c>
      <c r="D774" s="69">
        <v>1778905501</v>
      </c>
      <c r="E774" s="9">
        <v>262</v>
      </c>
      <c r="F774" s="25">
        <v>43160</v>
      </c>
      <c r="G774" s="70" t="s">
        <v>1780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2956</v>
      </c>
      <c r="B775" s="67">
        <v>18240627889</v>
      </c>
      <c r="C775" s="77" t="s">
        <v>2957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2958</v>
      </c>
      <c r="B776" s="67">
        <v>34715955890</v>
      </c>
      <c r="C776" s="72" t="s">
        <v>2959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2960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1774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2961</v>
      </c>
      <c r="B778" s="67">
        <v>2413902490</v>
      </c>
      <c r="C778" s="77" t="s">
        <v>2962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2963</v>
      </c>
      <c r="B779" s="67">
        <v>30558706894</v>
      </c>
      <c r="C779" s="72" t="s">
        <v>2964</v>
      </c>
      <c r="D779" s="69">
        <v>87700352372</v>
      </c>
      <c r="E779" s="9">
        <v>810</v>
      </c>
      <c r="F779" s="25">
        <v>42915</v>
      </c>
      <c r="G779" s="70" t="s">
        <v>1774</v>
      </c>
      <c r="H779" s="9"/>
      <c r="I779" s="8"/>
      <c r="J779" s="8"/>
      <c r="K779" s="8"/>
      <c r="L779" s="9" t="s">
        <v>1896</v>
      </c>
      <c r="M779" s="8"/>
    </row>
    <row r="780" spans="1:13">
      <c r="A780" s="71" t="s">
        <v>2965</v>
      </c>
      <c r="B780" s="67">
        <v>27926471836</v>
      </c>
      <c r="C780" s="72" t="s">
        <v>2966</v>
      </c>
      <c r="D780" s="69">
        <v>2210309484</v>
      </c>
      <c r="E780" s="9">
        <v>1439</v>
      </c>
      <c r="F780" s="25">
        <v>43025</v>
      </c>
      <c r="G780" s="70" t="s">
        <v>1780</v>
      </c>
      <c r="H780" s="9"/>
      <c r="I780" s="8"/>
      <c r="J780" s="8"/>
      <c r="K780" s="8"/>
      <c r="L780" s="9" t="s">
        <v>2260</v>
      </c>
      <c r="M780" s="8"/>
    </row>
    <row r="781" spans="1:13">
      <c r="A781" s="15" t="s">
        <v>2967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1774</v>
      </c>
      <c r="H781" s="9"/>
      <c r="I781" s="8"/>
      <c r="J781" s="8"/>
      <c r="K781" s="8"/>
      <c r="L781" s="9" t="s">
        <v>1928</v>
      </c>
      <c r="M781" s="8"/>
    </row>
    <row r="782" spans="1:13">
      <c r="A782" s="71" t="s">
        <v>2968</v>
      </c>
      <c r="B782" s="67">
        <v>47361352391</v>
      </c>
      <c r="C782" s="72" t="s">
        <v>2969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2970</v>
      </c>
      <c r="B783" s="67">
        <v>32763223826</v>
      </c>
      <c r="C783" s="72" t="s">
        <v>2971</v>
      </c>
      <c r="D783" s="69">
        <v>27936363807</v>
      </c>
      <c r="E783" s="9">
        <v>608</v>
      </c>
      <c r="F783" s="25">
        <v>43012</v>
      </c>
      <c r="G783" s="70" t="s">
        <v>1774</v>
      </c>
      <c r="H783" s="9"/>
      <c r="I783" s="8"/>
      <c r="J783" s="8"/>
      <c r="K783" s="8"/>
      <c r="L783" s="8"/>
      <c r="M783" s="8"/>
    </row>
    <row r="784" spans="1:13">
      <c r="A784" s="18" t="s">
        <v>2972</v>
      </c>
      <c r="B784" s="67"/>
      <c r="C784" s="18" t="s">
        <v>2973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2974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2975</v>
      </c>
      <c r="B786" s="67">
        <v>39068600869</v>
      </c>
      <c r="C786" s="72"/>
      <c r="D786" s="69"/>
      <c r="E786" s="9"/>
      <c r="F786" s="25"/>
      <c r="G786" s="70" t="s">
        <v>1774</v>
      </c>
      <c r="H786" s="9"/>
      <c r="I786" s="8"/>
      <c r="J786" s="8"/>
      <c r="K786" s="8"/>
      <c r="L786" s="8"/>
      <c r="M786" s="8"/>
    </row>
    <row r="787" spans="1:13">
      <c r="A787" s="29" t="s">
        <v>2976</v>
      </c>
      <c r="B787" s="67">
        <v>31875471847</v>
      </c>
      <c r="C787" s="18" t="s">
        <v>2977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2978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2979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2980</v>
      </c>
      <c r="B790" s="67">
        <v>11634805844</v>
      </c>
      <c r="C790" s="29" t="s">
        <v>1887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2981</v>
      </c>
      <c r="B791" s="67">
        <v>39485124856</v>
      </c>
      <c r="C791" s="72" t="s">
        <v>2982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2983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2984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2985</v>
      </c>
      <c r="B794" s="67">
        <v>32221516877</v>
      </c>
      <c r="C794" s="72" t="s">
        <v>2986</v>
      </c>
      <c r="D794" s="69">
        <v>18338419800</v>
      </c>
      <c r="E794" s="9">
        <v>1752</v>
      </c>
      <c r="F794" s="25">
        <v>43051</v>
      </c>
      <c r="G794" s="70" t="s">
        <v>1774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2987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2988</v>
      </c>
      <c r="B796" s="67">
        <v>43951626810</v>
      </c>
      <c r="C796" s="72" t="s">
        <v>2989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2990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2991</v>
      </c>
      <c r="B798" s="67">
        <v>40840895836</v>
      </c>
      <c r="C798" s="72" t="s">
        <v>2992</v>
      </c>
      <c r="D798" s="69">
        <v>39329913890</v>
      </c>
      <c r="E798" s="9">
        <v>1106</v>
      </c>
      <c r="F798" s="25">
        <v>42965</v>
      </c>
      <c r="G798" s="70" t="s">
        <v>1774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2993</v>
      </c>
      <c r="B799" s="67">
        <v>30969194809</v>
      </c>
      <c r="C799" s="72" t="s">
        <v>2994</v>
      </c>
      <c r="D799" s="69">
        <v>13013456876</v>
      </c>
      <c r="E799" s="9">
        <v>810</v>
      </c>
      <c r="F799" s="25">
        <v>42915</v>
      </c>
      <c r="G799" s="70" t="s">
        <v>1774</v>
      </c>
      <c r="H799" s="76">
        <v>43213</v>
      </c>
      <c r="I799" s="8"/>
      <c r="J799" s="8"/>
      <c r="K799" s="8"/>
      <c r="L799" s="9" t="s">
        <v>1896</v>
      </c>
      <c r="M799" s="8"/>
    </row>
    <row r="800" spans="1:13">
      <c r="A800" s="71" t="s">
        <v>2995</v>
      </c>
      <c r="B800" s="67">
        <v>33186484855</v>
      </c>
      <c r="C800" s="77" t="s">
        <v>2996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2997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2998</v>
      </c>
      <c r="B802" s="67">
        <v>27298776819</v>
      </c>
      <c r="C802" s="72" t="s">
        <v>2999</v>
      </c>
      <c r="D802" s="69">
        <v>31387900544</v>
      </c>
      <c r="E802" s="9">
        <v>229</v>
      </c>
      <c r="F802" s="25">
        <v>43151</v>
      </c>
      <c r="G802" s="70" t="s">
        <v>1774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3000</v>
      </c>
      <c r="B803" s="67">
        <v>28802120811</v>
      </c>
      <c r="C803" s="72" t="s">
        <v>3001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3002</v>
      </c>
      <c r="B804" s="67">
        <v>34581351898</v>
      </c>
      <c r="C804" s="18" t="s">
        <v>3003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3004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3005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1774</v>
      </c>
      <c r="H806" s="9"/>
      <c r="I806" s="8"/>
      <c r="J806" s="8"/>
      <c r="K806" s="8"/>
      <c r="L806" s="8"/>
      <c r="M806" s="8"/>
    </row>
    <row r="807" spans="1:13">
      <c r="A807" s="29" t="s">
        <v>3006</v>
      </c>
      <c r="B807" s="67"/>
      <c r="C807" s="29" t="s">
        <v>1887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3007</v>
      </c>
      <c r="B808" s="67">
        <v>40324052391</v>
      </c>
      <c r="C808" s="72" t="s">
        <v>3008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3009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1774</v>
      </c>
      <c r="H809" s="9"/>
      <c r="I809" s="8"/>
      <c r="J809" s="8"/>
      <c r="K809" s="8"/>
      <c r="L809" s="9" t="s">
        <v>1896</v>
      </c>
      <c r="M809" s="8"/>
    </row>
    <row r="810" spans="1:13">
      <c r="A810" s="71" t="s">
        <v>3010</v>
      </c>
      <c r="B810" s="67">
        <v>29022777847</v>
      </c>
      <c r="C810" s="72" t="s">
        <v>3011</v>
      </c>
      <c r="D810" s="69">
        <v>33430349400</v>
      </c>
      <c r="E810" s="9">
        <v>262</v>
      </c>
      <c r="F810" s="25">
        <v>43160</v>
      </c>
      <c r="G810" s="70" t="s">
        <v>1774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3012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1774</v>
      </c>
      <c r="H811" s="9"/>
      <c r="I811" s="8"/>
      <c r="J811" s="8"/>
      <c r="K811" s="8"/>
      <c r="L811" s="8"/>
      <c r="M811" s="8"/>
    </row>
    <row r="812" spans="1:13">
      <c r="A812" s="71" t="s">
        <v>3013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3014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1774</v>
      </c>
      <c r="H813" s="9"/>
      <c r="I813" s="8"/>
      <c r="J813" s="8"/>
      <c r="K813" s="8"/>
      <c r="L813" s="8"/>
      <c r="M813" s="8"/>
    </row>
    <row r="814" spans="1:13">
      <c r="A814" s="71" t="s">
        <v>3015</v>
      </c>
      <c r="B814" s="67">
        <v>43523026865</v>
      </c>
      <c r="C814" s="72" t="s">
        <v>3016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3017</v>
      </c>
      <c r="B815" s="67"/>
      <c r="C815" s="29" t="s">
        <v>1887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3018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3019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1774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3020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1774</v>
      </c>
      <c r="H818" s="9"/>
      <c r="I818" s="8"/>
      <c r="J818" s="8"/>
      <c r="K818" s="8"/>
      <c r="L818" s="9" t="s">
        <v>1896</v>
      </c>
      <c r="M818" s="8"/>
    </row>
    <row r="819" spans="1:13">
      <c r="A819" s="71" t="s">
        <v>3021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3022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3023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1774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3024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1774</v>
      </c>
      <c r="H822" s="9"/>
      <c r="I822" s="8"/>
      <c r="J822" s="8"/>
      <c r="K822" s="8"/>
      <c r="L822" s="8"/>
      <c r="M822" s="8"/>
    </row>
    <row r="823" spans="1:13">
      <c r="A823" s="71" t="s">
        <v>3025</v>
      </c>
      <c r="B823" s="67">
        <v>5102923480</v>
      </c>
      <c r="C823" s="72" t="s">
        <v>3026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3027</v>
      </c>
      <c r="B824" s="67">
        <v>7268622406</v>
      </c>
      <c r="C824" s="72" t="s">
        <v>3028</v>
      </c>
      <c r="D824" s="69">
        <v>40507630874</v>
      </c>
      <c r="E824" s="9">
        <v>1267</v>
      </c>
      <c r="F824" s="25">
        <v>42998</v>
      </c>
      <c r="G824" s="70" t="s">
        <v>1774</v>
      </c>
      <c r="H824" s="9"/>
      <c r="I824" s="8"/>
      <c r="J824" s="8"/>
      <c r="K824" s="8"/>
      <c r="L824" s="8"/>
      <c r="M824" s="8"/>
    </row>
    <row r="825" spans="1:13">
      <c r="A825" s="71" t="s">
        <v>3029</v>
      </c>
      <c r="B825" s="67" t="s">
        <v>3030</v>
      </c>
      <c r="C825" s="77" t="s">
        <v>3031</v>
      </c>
      <c r="D825" s="69" t="s">
        <v>3032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3033</v>
      </c>
      <c r="B826" s="67"/>
      <c r="C826" s="29" t="s">
        <v>1887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3034</v>
      </c>
      <c r="B827" s="67">
        <v>31429224827</v>
      </c>
      <c r="C827" s="72" t="s">
        <v>3035</v>
      </c>
      <c r="D827" s="69">
        <v>27263725894</v>
      </c>
      <c r="E827" s="9">
        <v>292</v>
      </c>
      <c r="F827" s="25">
        <v>43168</v>
      </c>
      <c r="G827" s="70" t="s">
        <v>1780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3036</v>
      </c>
      <c r="B828" s="67">
        <v>3753540420</v>
      </c>
      <c r="C828" s="72" t="s">
        <v>2973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3037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3038</v>
      </c>
      <c r="B830" s="67">
        <v>36723660803</v>
      </c>
      <c r="C830" s="72" t="s">
        <v>3039</v>
      </c>
      <c r="D830" s="69">
        <v>32763586899</v>
      </c>
      <c r="E830" s="9">
        <v>608</v>
      </c>
      <c r="F830" s="25">
        <v>43012</v>
      </c>
      <c r="G830" s="70" t="s">
        <v>1774</v>
      </c>
      <c r="H830" s="9"/>
      <c r="I830" s="8"/>
      <c r="J830" s="8"/>
      <c r="K830" s="8"/>
      <c r="L830" s="8"/>
      <c r="M830" s="8"/>
    </row>
    <row r="831" spans="1:13">
      <c r="A831" s="13" t="s">
        <v>3040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1774</v>
      </c>
      <c r="H831" s="9"/>
      <c r="I831" s="8"/>
      <c r="J831" s="8"/>
      <c r="K831" s="8"/>
      <c r="L831" s="8"/>
      <c r="M831" s="8"/>
    </row>
    <row r="832" spans="1:13">
      <c r="A832" s="72" t="s">
        <v>3041</v>
      </c>
      <c r="B832" s="67">
        <v>166405462</v>
      </c>
      <c r="C832" s="15" t="s">
        <v>3042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3043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1774</v>
      </c>
      <c r="H833" s="9"/>
      <c r="I833" s="8"/>
      <c r="J833" s="8"/>
      <c r="K833" s="8"/>
      <c r="L833" s="9" t="s">
        <v>1896</v>
      </c>
      <c r="M833" s="8"/>
    </row>
    <row r="834" spans="1:13">
      <c r="A834" s="15" t="s">
        <v>3044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1774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3045</v>
      </c>
      <c r="B835" s="67">
        <v>13621159835</v>
      </c>
      <c r="C835" s="72" t="s">
        <v>3046</v>
      </c>
      <c r="D835" s="69">
        <v>35124170867</v>
      </c>
      <c r="E835" s="9">
        <v>229</v>
      </c>
      <c r="F835" s="25">
        <v>43151</v>
      </c>
      <c r="G835" s="70" t="s">
        <v>1774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3047</v>
      </c>
      <c r="B836" s="67">
        <v>34649647878</v>
      </c>
      <c r="C836" s="72" t="s">
        <v>3048</v>
      </c>
      <c r="D836" s="69">
        <v>17811429802</v>
      </c>
      <c r="E836" s="9">
        <v>810</v>
      </c>
      <c r="F836" s="25">
        <v>42915</v>
      </c>
      <c r="G836" s="70" t="s">
        <v>1774</v>
      </c>
      <c r="H836" s="9"/>
      <c r="I836" s="8"/>
      <c r="J836" s="8"/>
      <c r="K836" s="8"/>
      <c r="L836" s="9" t="s">
        <v>1896</v>
      </c>
      <c r="M836" s="8"/>
    </row>
    <row r="837" spans="1:13">
      <c r="A837" s="71" t="s">
        <v>3049</v>
      </c>
      <c r="B837" s="67">
        <v>25809517846</v>
      </c>
      <c r="C837" s="73" t="s">
        <v>3050</v>
      </c>
      <c r="D837" s="69">
        <v>68856830434</v>
      </c>
      <c r="E837" s="9">
        <v>292</v>
      </c>
      <c r="F837" s="25">
        <v>43168</v>
      </c>
      <c r="G837" s="70" t="s">
        <v>1780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3051</v>
      </c>
      <c r="B838" s="67">
        <v>6952730435</v>
      </c>
      <c r="C838" s="72" t="s">
        <v>3052</v>
      </c>
      <c r="D838" s="69">
        <v>8004608477</v>
      </c>
      <c r="E838" s="9">
        <v>810</v>
      </c>
      <c r="F838" s="25">
        <v>42915</v>
      </c>
      <c r="G838" s="70" t="s">
        <v>1774</v>
      </c>
      <c r="H838" s="9"/>
      <c r="I838" s="8"/>
      <c r="J838" s="8"/>
      <c r="K838" s="8"/>
      <c r="L838" s="9" t="s">
        <v>1896</v>
      </c>
      <c r="M838" s="8"/>
    </row>
    <row r="839" spans="1:13">
      <c r="A839" s="71" t="s">
        <v>3053</v>
      </c>
      <c r="B839" s="67">
        <v>23440697800</v>
      </c>
      <c r="C839" s="72" t="s">
        <v>3054</v>
      </c>
      <c r="D839" s="69">
        <v>93690177553</v>
      </c>
      <c r="E839" s="9">
        <v>292</v>
      </c>
      <c r="F839" s="25">
        <v>43168</v>
      </c>
      <c r="G839" s="70" t="s">
        <v>1774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3055</v>
      </c>
      <c r="B840" s="67">
        <v>93567421549</v>
      </c>
      <c r="C840" s="72" t="s">
        <v>3056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3057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3058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1774</v>
      </c>
      <c r="H842" s="9"/>
      <c r="I842" s="8"/>
      <c r="J842" s="8"/>
      <c r="K842" s="8"/>
      <c r="L842" s="9" t="s">
        <v>1928</v>
      </c>
      <c r="M842" s="8"/>
    </row>
    <row r="843" spans="1:13">
      <c r="A843" s="71" t="s">
        <v>3059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1774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3060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3061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1774</v>
      </c>
      <c r="H845" s="9"/>
      <c r="I845" s="8"/>
      <c r="J845" s="8"/>
      <c r="K845" s="8"/>
      <c r="L845" s="9" t="s">
        <v>1928</v>
      </c>
      <c r="M845" s="8"/>
    </row>
    <row r="846" spans="1:13">
      <c r="A846" s="71" t="s">
        <v>3062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1774</v>
      </c>
      <c r="H846" s="9"/>
      <c r="I846" s="8"/>
      <c r="J846" s="8"/>
      <c r="K846" s="8"/>
      <c r="L846" s="9" t="s">
        <v>2011</v>
      </c>
      <c r="M846" s="8"/>
    </row>
    <row r="847" spans="1:13">
      <c r="A847" s="71" t="s">
        <v>3063</v>
      </c>
      <c r="B847" s="67">
        <v>10762166843</v>
      </c>
      <c r="C847" s="72" t="s">
        <v>3064</v>
      </c>
      <c r="D847" s="69">
        <v>18471490811</v>
      </c>
      <c r="E847" s="9">
        <v>1752</v>
      </c>
      <c r="F847" s="25">
        <v>43051</v>
      </c>
      <c r="G847" s="83" t="s">
        <v>1774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3065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3066</v>
      </c>
      <c r="B849" s="67">
        <v>38988535863</v>
      </c>
      <c r="C849" s="72" t="s">
        <v>3067</v>
      </c>
      <c r="D849" s="69">
        <v>34543536886</v>
      </c>
      <c r="E849" s="9">
        <v>1555</v>
      </c>
      <c r="F849" s="25">
        <v>43049</v>
      </c>
      <c r="G849" s="70" t="s">
        <v>1774</v>
      </c>
      <c r="H849" s="9"/>
      <c r="I849" s="8"/>
      <c r="J849" s="8"/>
      <c r="K849" s="8"/>
      <c r="L849" s="9" t="s">
        <v>2156</v>
      </c>
      <c r="M849" s="8"/>
    </row>
    <row r="850" spans="1:13">
      <c r="A850" s="71" t="s">
        <v>3068</v>
      </c>
      <c r="B850" s="67">
        <v>81902581334</v>
      </c>
      <c r="C850" s="72" t="s">
        <v>3069</v>
      </c>
      <c r="D850" s="69">
        <v>42305020368</v>
      </c>
      <c r="E850" s="9">
        <v>1752</v>
      </c>
      <c r="F850" s="25">
        <v>43051</v>
      </c>
      <c r="G850" s="70" t="s">
        <v>1774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3070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3071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1774</v>
      </c>
      <c r="H852" s="9"/>
      <c r="I852" s="8"/>
      <c r="J852" s="8"/>
      <c r="K852" s="8"/>
      <c r="L852" s="8"/>
      <c r="M852" s="8"/>
    </row>
    <row r="853" spans="1:13">
      <c r="A853" s="72" t="s">
        <v>3072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1774</v>
      </c>
      <c r="H853" s="9"/>
      <c r="I853" s="8"/>
      <c r="J853" s="8"/>
      <c r="K853" s="8"/>
      <c r="L853" s="8"/>
      <c r="M853" s="8"/>
    </row>
    <row r="854" spans="1:13">
      <c r="A854" s="15" t="s">
        <v>3073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3074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3075</v>
      </c>
      <c r="B856" s="67">
        <v>36135801520</v>
      </c>
      <c r="C856" s="15" t="s">
        <v>3076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3077</v>
      </c>
      <c r="B857" s="67">
        <v>43231450802</v>
      </c>
      <c r="C857" s="72" t="s">
        <v>3078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3079</v>
      </c>
      <c r="B858" s="67">
        <v>38163601817</v>
      </c>
      <c r="C858" s="72" t="s">
        <v>3080</v>
      </c>
      <c r="D858" s="69">
        <v>36840584836</v>
      </c>
      <c r="E858" s="9">
        <v>292</v>
      </c>
      <c r="F858" s="25">
        <v>43168</v>
      </c>
      <c r="G858" s="70" t="s">
        <v>1774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3081</v>
      </c>
      <c r="B859" s="67">
        <v>40853154805</v>
      </c>
      <c r="C859" s="72" t="s">
        <v>3082</v>
      </c>
      <c r="D859" s="69">
        <v>23596403804</v>
      </c>
      <c r="E859" s="9">
        <v>229</v>
      </c>
      <c r="F859" s="25">
        <v>43151</v>
      </c>
      <c r="G859" s="70" t="s">
        <v>1774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3083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3084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3085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1774</v>
      </c>
      <c r="H862" s="9"/>
      <c r="I862" s="8"/>
      <c r="J862" s="8"/>
      <c r="K862" s="8"/>
      <c r="L862" s="9" t="s">
        <v>2156</v>
      </c>
      <c r="M862" s="8"/>
    </row>
    <row r="863" spans="1:13">
      <c r="A863" s="14" t="s">
        <v>3086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1774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3087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1774</v>
      </c>
      <c r="H864" s="9"/>
      <c r="I864" s="8"/>
      <c r="J864" s="8"/>
      <c r="K864" s="8"/>
      <c r="L864" s="8"/>
      <c r="M864" s="8"/>
    </row>
    <row r="865" spans="1:13">
      <c r="A865" s="71" t="s">
        <v>3088</v>
      </c>
      <c r="B865" s="67">
        <v>30708968805</v>
      </c>
      <c r="C865" s="72" t="s">
        <v>3089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3090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3091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1774</v>
      </c>
      <c r="H867" s="9"/>
      <c r="I867" s="8"/>
      <c r="J867" s="8"/>
      <c r="K867" s="8"/>
      <c r="L867" s="9" t="s">
        <v>1896</v>
      </c>
      <c r="M867" s="8"/>
    </row>
    <row r="868" spans="1:13">
      <c r="A868" s="71" t="s">
        <v>3092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3093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1774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3094</v>
      </c>
      <c r="B870" s="67">
        <v>41379878829</v>
      </c>
      <c r="C870" s="72" t="s">
        <v>3095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3096</v>
      </c>
      <c r="B871" s="67">
        <v>31471499863</v>
      </c>
      <c r="C871" s="72" t="s">
        <v>3097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3098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1774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3099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3100</v>
      </c>
      <c r="B874" s="67">
        <v>27878860866</v>
      </c>
      <c r="C874" s="72" t="s">
        <v>3101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3102</v>
      </c>
      <c r="B875" s="67">
        <v>25002291813</v>
      </c>
      <c r="C875" s="72" t="s">
        <v>3103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3104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3105</v>
      </c>
      <c r="B877" s="67"/>
      <c r="C877" s="29" t="s">
        <v>3106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3107</v>
      </c>
      <c r="B878" s="67">
        <v>7205116589</v>
      </c>
      <c r="C878" s="72" t="s">
        <v>3108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3109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3110</v>
      </c>
      <c r="B880" s="67">
        <v>82084602491</v>
      </c>
      <c r="C880" s="72" t="s">
        <v>3111</v>
      </c>
      <c r="D880" s="69">
        <v>74937758420</v>
      </c>
      <c r="E880" s="9">
        <v>292</v>
      </c>
      <c r="F880" s="25">
        <v>43168</v>
      </c>
      <c r="G880" s="9" t="s">
        <v>1774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3112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3113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3114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1774</v>
      </c>
      <c r="H883" s="9"/>
      <c r="I883" s="8"/>
      <c r="J883" s="8"/>
      <c r="K883" s="8"/>
      <c r="L883" s="8"/>
      <c r="M883" s="8"/>
    </row>
    <row r="884" spans="1:13">
      <c r="A884" s="13" t="s">
        <v>3115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1774</v>
      </c>
      <c r="H884" s="9"/>
      <c r="I884" s="8"/>
      <c r="J884" s="8"/>
      <c r="K884" s="8"/>
      <c r="L884" s="8"/>
      <c r="M884" s="8"/>
    </row>
    <row r="885" spans="1:13">
      <c r="A885" s="71" t="s">
        <v>3116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3117</v>
      </c>
      <c r="B886" s="67">
        <v>63234904553</v>
      </c>
      <c r="C886" s="68" t="s">
        <v>3118</v>
      </c>
      <c r="D886" s="69">
        <v>1193464870</v>
      </c>
      <c r="E886" s="9">
        <v>1128</v>
      </c>
      <c r="F886" s="25">
        <v>42972</v>
      </c>
      <c r="G886" s="70" t="s">
        <v>1774</v>
      </c>
      <c r="H886" s="9"/>
      <c r="I886" s="8"/>
      <c r="J886" s="8"/>
      <c r="K886" s="8"/>
      <c r="L886" s="8"/>
      <c r="M886" s="8"/>
    </row>
    <row r="887" spans="1:13">
      <c r="A887" s="71" t="s">
        <v>3119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3120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3121</v>
      </c>
      <c r="B889" s="67">
        <v>30967680808</v>
      </c>
      <c r="C889" s="18" t="s">
        <v>3122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3123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1774</v>
      </c>
      <c r="H890" s="9"/>
      <c r="I890" s="8"/>
      <c r="J890" s="8"/>
      <c r="K890" s="8"/>
      <c r="L890" s="9" t="s">
        <v>1896</v>
      </c>
      <c r="M890" s="8"/>
    </row>
    <row r="891" spans="1:13">
      <c r="A891" s="15" t="s">
        <v>3124</v>
      </c>
      <c r="B891" s="67">
        <v>3570397696</v>
      </c>
      <c r="C891" s="72" t="s">
        <v>3125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3126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3127</v>
      </c>
      <c r="B893" s="67">
        <v>1170658547</v>
      </c>
      <c r="C893" s="72" t="s">
        <v>3128</v>
      </c>
      <c r="D893" s="69">
        <v>2695281560</v>
      </c>
      <c r="E893" s="9">
        <v>1824</v>
      </c>
      <c r="F893" s="25">
        <v>43091</v>
      </c>
      <c r="G893" s="70" t="s">
        <v>1780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3129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1774</v>
      </c>
      <c r="H894" s="9"/>
      <c r="I894" s="8"/>
      <c r="J894" s="8"/>
      <c r="K894" s="8"/>
      <c r="L894" s="9" t="s">
        <v>1896</v>
      </c>
      <c r="M894" s="8"/>
    </row>
    <row r="895" spans="1:13">
      <c r="A895" s="71" t="s">
        <v>3130</v>
      </c>
      <c r="B895" s="67">
        <v>29927032811</v>
      </c>
      <c r="C895" s="72" t="s">
        <v>3131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3132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3133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1774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3134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3135</v>
      </c>
      <c r="B899" s="67">
        <v>37064427877</v>
      </c>
      <c r="C899" s="68" t="s">
        <v>3136</v>
      </c>
      <c r="D899" s="69">
        <v>34881680854</v>
      </c>
      <c r="E899" s="9">
        <v>1128</v>
      </c>
      <c r="F899" s="25">
        <v>42972</v>
      </c>
      <c r="G899" s="70" t="s">
        <v>1774</v>
      </c>
      <c r="H899" s="9"/>
      <c r="I899" s="8"/>
      <c r="J899" s="8"/>
      <c r="K899" s="8"/>
      <c r="L899" s="8"/>
      <c r="M899" s="8"/>
    </row>
    <row r="900" spans="1:13">
      <c r="A900" s="15" t="s">
        <v>3137</v>
      </c>
      <c r="B900" s="67">
        <v>34712023821</v>
      </c>
      <c r="C900" s="72" t="s">
        <v>3138</v>
      </c>
      <c r="D900" s="69">
        <v>80700918868</v>
      </c>
      <c r="E900" s="9">
        <v>117</v>
      </c>
      <c r="F900" s="25">
        <v>43117</v>
      </c>
      <c r="G900" s="70" t="s">
        <v>1774</v>
      </c>
      <c r="H900" s="9"/>
      <c r="I900" s="8"/>
      <c r="J900" s="8"/>
      <c r="K900" s="8"/>
      <c r="L900" s="9" t="s">
        <v>1928</v>
      </c>
      <c r="M900" s="8"/>
    </row>
    <row r="901" spans="1:13">
      <c r="A901" s="71" t="s">
        <v>3139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1774</v>
      </c>
      <c r="H901" s="9"/>
      <c r="I901" s="8"/>
      <c r="J901" s="8"/>
      <c r="K901" s="8"/>
      <c r="L901" s="9" t="s">
        <v>1896</v>
      </c>
      <c r="M901" s="8"/>
    </row>
    <row r="902" spans="1:13">
      <c r="A902" s="71" t="s">
        <v>3140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3141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1774</v>
      </c>
      <c r="H903" s="9"/>
      <c r="I903" s="8"/>
      <c r="J903" s="8"/>
      <c r="K903" s="8"/>
      <c r="L903" s="8"/>
      <c r="M903" s="8"/>
    </row>
    <row r="904" spans="1:13">
      <c r="A904" s="72" t="s">
        <v>3142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1774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3143</v>
      </c>
      <c r="B905" s="67">
        <v>42517278865</v>
      </c>
      <c r="C905" s="72" t="s">
        <v>3144</v>
      </c>
      <c r="D905" s="69">
        <v>45677965863</v>
      </c>
      <c r="E905" s="9">
        <v>117</v>
      </c>
      <c r="F905" s="25">
        <v>43117</v>
      </c>
      <c r="G905" s="70" t="s">
        <v>1774</v>
      </c>
      <c r="H905" s="9"/>
      <c r="I905" s="8"/>
      <c r="J905" s="8"/>
      <c r="K905" s="8"/>
      <c r="L905" s="9" t="s">
        <v>1928</v>
      </c>
      <c r="M905" s="8"/>
    </row>
    <row r="906" spans="1:13">
      <c r="A906" s="18" t="s">
        <v>3145</v>
      </c>
      <c r="B906" s="67">
        <v>34053574897</v>
      </c>
      <c r="C906" s="8" t="s">
        <v>3146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3147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3148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1774</v>
      </c>
      <c r="H908" s="9"/>
      <c r="I908" s="8"/>
      <c r="J908" s="8"/>
      <c r="K908" s="8"/>
      <c r="L908" s="8"/>
      <c r="M908" s="8"/>
    </row>
    <row r="909" spans="1:13">
      <c r="A909" s="71" t="s">
        <v>3149</v>
      </c>
      <c r="B909" s="67">
        <v>32391122802</v>
      </c>
      <c r="C909" s="72" t="s">
        <v>3150</v>
      </c>
      <c r="D909" s="69">
        <v>21653624825</v>
      </c>
      <c r="E909" s="9">
        <v>262</v>
      </c>
      <c r="F909" s="25">
        <v>43160</v>
      </c>
      <c r="G909" s="9" t="s">
        <v>1774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3151</v>
      </c>
      <c r="B910" s="67"/>
      <c r="C910" s="29" t="s">
        <v>3152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3153</v>
      </c>
      <c r="B911" s="67">
        <v>39641812858</v>
      </c>
      <c r="C911" s="72" t="s">
        <v>3154</v>
      </c>
      <c r="D911" s="69">
        <v>23425114859</v>
      </c>
      <c r="E911" s="9">
        <v>262</v>
      </c>
      <c r="F911" s="25">
        <v>43160</v>
      </c>
      <c r="G911" s="70" t="s">
        <v>1774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3155</v>
      </c>
      <c r="B912" s="67">
        <v>7664892481</v>
      </c>
      <c r="C912" s="72" t="s">
        <v>3156</v>
      </c>
      <c r="D912" s="69">
        <v>37120937804</v>
      </c>
      <c r="E912" s="9">
        <v>1570</v>
      </c>
      <c r="F912" s="25">
        <v>43077</v>
      </c>
      <c r="G912" s="70" t="s">
        <v>1774</v>
      </c>
      <c r="H912" s="9"/>
      <c r="I912" s="8"/>
      <c r="J912" s="8"/>
      <c r="K912" s="8"/>
      <c r="L912" s="8"/>
      <c r="M912" s="8"/>
    </row>
    <row r="913" spans="1:13">
      <c r="A913" s="71" t="s">
        <v>3157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3158</v>
      </c>
      <c r="B914" s="67">
        <v>35535310883</v>
      </c>
      <c r="C914" s="72" t="s">
        <v>3159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3160</v>
      </c>
      <c r="B915" s="67">
        <v>40993785867</v>
      </c>
      <c r="C915" s="72" t="s">
        <v>3161</v>
      </c>
      <c r="D915" s="69">
        <v>39284894883</v>
      </c>
      <c r="E915" s="9">
        <v>262</v>
      </c>
      <c r="F915" s="25">
        <v>43160</v>
      </c>
      <c r="G915" s="70" t="s">
        <v>1774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3162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3163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3164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1774</v>
      </c>
      <c r="H918" s="9"/>
      <c r="I918" s="8"/>
      <c r="J918" s="8"/>
      <c r="K918" s="8"/>
      <c r="L918" s="8"/>
      <c r="M918" s="8"/>
    </row>
    <row r="919" spans="1:13">
      <c r="A919" s="71" t="s">
        <v>3165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3166</v>
      </c>
      <c r="B920" s="67">
        <v>39485589816</v>
      </c>
      <c r="C920" s="72" t="s">
        <v>3167</v>
      </c>
      <c r="D920" s="69">
        <v>6884648589</v>
      </c>
      <c r="E920" s="9">
        <v>85</v>
      </c>
      <c r="F920" s="25">
        <v>43109</v>
      </c>
      <c r="G920" s="70" t="s">
        <v>1774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3168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3169</v>
      </c>
      <c r="B922" s="67">
        <v>39454700804</v>
      </c>
      <c r="C922" s="72" t="s">
        <v>3170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3171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3172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3173</v>
      </c>
      <c r="B925" s="67">
        <v>19681993810</v>
      </c>
      <c r="C925" s="72" t="s">
        <v>3174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3175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1774</v>
      </c>
      <c r="H926" s="9"/>
      <c r="I926" s="8"/>
      <c r="J926" s="8"/>
      <c r="K926" s="8"/>
      <c r="L926" s="9" t="s">
        <v>1896</v>
      </c>
      <c r="M926" s="8"/>
    </row>
    <row r="927" spans="1:13">
      <c r="A927" s="71" t="s">
        <v>3176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3177</v>
      </c>
      <c r="B928" s="67">
        <v>32424255881</v>
      </c>
      <c r="C928" s="72" t="s">
        <v>3178</v>
      </c>
      <c r="D928" s="69">
        <v>4615874596</v>
      </c>
      <c r="E928" s="9">
        <v>229</v>
      </c>
      <c r="F928" s="25">
        <v>43151</v>
      </c>
      <c r="G928" s="70" t="s">
        <v>1774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3179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3180</v>
      </c>
      <c r="B930" s="67">
        <v>77663551591</v>
      </c>
      <c r="C930" s="72" t="s">
        <v>3181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3182</v>
      </c>
      <c r="B931" s="67">
        <v>30768670837</v>
      </c>
      <c r="C931" s="72" t="s">
        <v>3183</v>
      </c>
      <c r="D931" s="69">
        <v>17858599860</v>
      </c>
      <c r="E931" s="9">
        <v>810</v>
      </c>
      <c r="F931" s="25">
        <v>42915</v>
      </c>
      <c r="G931" s="70" t="s">
        <v>1774</v>
      </c>
      <c r="H931" s="9"/>
      <c r="I931" s="8"/>
      <c r="J931" s="8"/>
      <c r="K931" s="8"/>
      <c r="L931" s="9" t="s">
        <v>1896</v>
      </c>
      <c r="M931" s="8"/>
    </row>
    <row r="932" spans="1:13">
      <c r="A932" s="71" t="s">
        <v>3184</v>
      </c>
      <c r="B932" s="67">
        <v>40801562864</v>
      </c>
      <c r="C932" s="72" t="s">
        <v>3185</v>
      </c>
      <c r="D932" s="69">
        <v>40630792879</v>
      </c>
      <c r="E932" s="9">
        <v>117</v>
      </c>
      <c r="F932" s="25">
        <v>43117</v>
      </c>
      <c r="G932" s="70" t="s">
        <v>1780</v>
      </c>
      <c r="H932" s="9"/>
      <c r="I932" s="8"/>
      <c r="J932" s="8"/>
      <c r="K932" s="8"/>
      <c r="L932" s="9" t="s">
        <v>1928</v>
      </c>
      <c r="M932" s="8"/>
    </row>
    <row r="933" spans="1:13">
      <c r="A933" s="71" t="s">
        <v>3186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1774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3187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1774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3188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3189</v>
      </c>
      <c r="B936" s="67">
        <v>33897782847</v>
      </c>
      <c r="C936" s="72" t="s">
        <v>3190</v>
      </c>
      <c r="D936" s="69">
        <v>22207136876</v>
      </c>
      <c r="E936" s="9">
        <v>1267</v>
      </c>
      <c r="F936" s="25">
        <v>42998</v>
      </c>
      <c r="G936" s="70" t="s">
        <v>1774</v>
      </c>
      <c r="H936" s="9"/>
      <c r="I936" s="8"/>
      <c r="J936" s="8"/>
      <c r="K936" s="8"/>
      <c r="L936" s="8"/>
      <c r="M936" s="8"/>
    </row>
    <row r="937" spans="1:13">
      <c r="A937" s="72" t="s">
        <v>3191</v>
      </c>
      <c r="B937" s="67">
        <v>31219124885</v>
      </c>
      <c r="C937" s="72" t="s">
        <v>3192</v>
      </c>
      <c r="D937" s="69">
        <v>53808967315</v>
      </c>
      <c r="E937" s="9">
        <v>292</v>
      </c>
      <c r="F937" s="25">
        <v>43168</v>
      </c>
      <c r="G937" s="70" t="s">
        <v>1774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3193</v>
      </c>
      <c r="B938" s="67">
        <v>32332935851</v>
      </c>
      <c r="C938" s="18" t="s">
        <v>3194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3195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3196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1788</v>
      </c>
      <c r="H940" s="47"/>
      <c r="I940" s="49"/>
      <c r="J940" s="49"/>
      <c r="K940" s="49"/>
      <c r="L940" s="9" t="s">
        <v>1928</v>
      </c>
      <c r="M940" s="49"/>
    </row>
    <row r="941" spans="1:13">
      <c r="A941" s="71" t="s">
        <v>3197</v>
      </c>
      <c r="B941" s="67">
        <v>35124692804</v>
      </c>
      <c r="C941" s="72" t="s">
        <v>3198</v>
      </c>
      <c r="D941" s="69">
        <v>17091274814</v>
      </c>
      <c r="E941" s="9">
        <v>262</v>
      </c>
      <c r="F941" s="25">
        <v>43160</v>
      </c>
      <c r="G941" s="70" t="s">
        <v>1774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3199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3200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3201</v>
      </c>
      <c r="B944" s="67">
        <v>35271393895</v>
      </c>
      <c r="C944" s="72" t="s">
        <v>3202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3203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1774</v>
      </c>
      <c r="H945" s="9"/>
      <c r="I945" s="8"/>
      <c r="J945" s="8"/>
      <c r="K945" s="8"/>
      <c r="L945" s="8"/>
      <c r="M945" s="8"/>
    </row>
    <row r="946" spans="1:13">
      <c r="A946" s="15" t="s">
        <v>3204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2057</v>
      </c>
      <c r="M946" s="8"/>
    </row>
    <row r="947" spans="1:13">
      <c r="A947" s="71" t="s">
        <v>3205</v>
      </c>
      <c r="B947" s="67">
        <v>899199399</v>
      </c>
      <c r="C947" s="72" t="s">
        <v>3206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3207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1774</v>
      </c>
      <c r="H948" s="9"/>
      <c r="I948" s="8"/>
      <c r="J948" s="8"/>
      <c r="K948" s="8"/>
      <c r="L948" s="9" t="s">
        <v>1896</v>
      </c>
      <c r="M948" s="8"/>
    </row>
    <row r="949" spans="1:13">
      <c r="A949" s="15" t="s">
        <v>3208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3209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1774</v>
      </c>
      <c r="H950" s="9"/>
      <c r="I950" s="8"/>
      <c r="J950" s="8"/>
      <c r="K950" s="8"/>
      <c r="L950" s="8"/>
      <c r="M950" s="8"/>
    </row>
    <row r="951" spans="1:13">
      <c r="A951" s="15" t="s">
        <v>3210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1780</v>
      </c>
      <c r="H951" s="9"/>
      <c r="I951" s="8"/>
      <c r="J951" s="8"/>
      <c r="K951" s="8"/>
      <c r="L951" s="9" t="s">
        <v>1928</v>
      </c>
      <c r="M951" s="8"/>
    </row>
    <row r="952" spans="1:13">
      <c r="A952" s="15" t="s">
        <v>3211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3212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1774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3213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3214</v>
      </c>
      <c r="B955" s="67">
        <v>19584308890</v>
      </c>
      <c r="C955" s="72" t="s">
        <v>3215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3216</v>
      </c>
      <c r="B956" s="67">
        <v>3220872441</v>
      </c>
      <c r="C956" s="72" t="s">
        <v>3217</v>
      </c>
      <c r="D956" s="69">
        <v>11805166808</v>
      </c>
      <c r="E956" s="9">
        <v>810</v>
      </c>
      <c r="F956" s="25">
        <v>42915</v>
      </c>
      <c r="G956" s="70" t="s">
        <v>1774</v>
      </c>
      <c r="H956" s="9"/>
      <c r="I956" s="8"/>
      <c r="J956" s="8"/>
      <c r="K956" s="8"/>
      <c r="L956" s="9" t="s">
        <v>1896</v>
      </c>
      <c r="M956" s="8"/>
    </row>
    <row r="957" spans="1:13">
      <c r="A957" s="73" t="s">
        <v>3218</v>
      </c>
      <c r="B957" s="67">
        <v>29773950832</v>
      </c>
      <c r="C957" s="72" t="s">
        <v>3219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3220</v>
      </c>
      <c r="B958" s="78" t="s">
        <v>3221</v>
      </c>
      <c r="C958" s="72" t="s">
        <v>3222</v>
      </c>
      <c r="D958" s="69">
        <v>84102780300</v>
      </c>
      <c r="E958" s="9">
        <v>292</v>
      </c>
      <c r="F958" s="25">
        <v>43168</v>
      </c>
      <c r="G958" s="9" t="s">
        <v>1774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3223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1774</v>
      </c>
      <c r="H959" s="9"/>
      <c r="I959" s="8"/>
      <c r="J959" s="8"/>
      <c r="K959" s="8"/>
      <c r="L959" s="8"/>
      <c r="M959" s="8"/>
    </row>
    <row r="960" spans="1:13">
      <c r="A960" s="71" t="s">
        <v>3224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3225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1774</v>
      </c>
      <c r="H961" s="9"/>
      <c r="I961" s="8"/>
      <c r="J961" s="8"/>
      <c r="K961" s="8"/>
      <c r="L961" s="8"/>
      <c r="M961" s="8"/>
    </row>
    <row r="962" spans="1:13">
      <c r="A962" s="71" t="s">
        <v>3226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1774</v>
      </c>
      <c r="H962" s="9"/>
      <c r="I962" s="8"/>
      <c r="J962" s="8"/>
      <c r="K962" s="8"/>
      <c r="L962" s="9" t="s">
        <v>2156</v>
      </c>
      <c r="M962" s="8"/>
    </row>
    <row r="963" spans="1:13">
      <c r="A963" s="15" t="s">
        <v>3227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1774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3228</v>
      </c>
      <c r="B964" s="67">
        <v>46248420300</v>
      </c>
      <c r="C964" s="72" t="s">
        <v>3229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3230</v>
      </c>
      <c r="B965" s="67">
        <v>84090294304</v>
      </c>
      <c r="C965" s="72" t="s">
        <v>3231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3232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3233</v>
      </c>
      <c r="B967" s="67">
        <v>918071313</v>
      </c>
      <c r="C967" s="72" t="s">
        <v>3234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3235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1774</v>
      </c>
      <c r="H968" s="9"/>
      <c r="I968" s="8"/>
      <c r="J968" s="8"/>
      <c r="K968" s="8"/>
      <c r="L968" s="9" t="s">
        <v>1928</v>
      </c>
      <c r="M968" s="8"/>
    </row>
    <row r="969" spans="1:13">
      <c r="A969" s="71" t="s">
        <v>3236</v>
      </c>
      <c r="B969" s="67">
        <v>86465651300</v>
      </c>
      <c r="C969" s="72" t="s">
        <v>3237</v>
      </c>
      <c r="D969" s="69">
        <v>7091216792</v>
      </c>
      <c r="E969" s="9">
        <v>1350</v>
      </c>
      <c r="F969" s="25">
        <v>43006</v>
      </c>
      <c r="G969" s="70" t="s">
        <v>1774</v>
      </c>
      <c r="H969" s="9"/>
      <c r="I969" s="8"/>
      <c r="J969" s="8"/>
      <c r="K969" s="8"/>
      <c r="L969" s="8"/>
      <c r="M969" s="8"/>
    </row>
    <row r="970" spans="1:13">
      <c r="A970" s="72" t="s">
        <v>3238</v>
      </c>
      <c r="B970" s="67">
        <v>22893362893</v>
      </c>
      <c r="C970" s="72" t="s">
        <v>3239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3240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1774</v>
      </c>
      <c r="H971" s="9"/>
      <c r="I971" s="8"/>
      <c r="J971" s="8"/>
      <c r="K971" s="8"/>
      <c r="L971" s="9" t="s">
        <v>2011</v>
      </c>
      <c r="M971" s="8"/>
    </row>
    <row r="972" spans="1:13">
      <c r="A972" s="29" t="s">
        <v>3241</v>
      </c>
      <c r="B972" s="67">
        <v>9964640854</v>
      </c>
      <c r="C972" s="18" t="s">
        <v>1887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3242</v>
      </c>
      <c r="B973" s="67">
        <v>46593499854</v>
      </c>
      <c r="C973" s="29" t="s">
        <v>3243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3244</v>
      </c>
      <c r="B974" s="67">
        <v>34412339807</v>
      </c>
      <c r="C974" s="72" t="s">
        <v>3245</v>
      </c>
      <c r="D974" s="69">
        <v>30849792860</v>
      </c>
      <c r="E974" s="9">
        <v>1824</v>
      </c>
      <c r="F974" s="25">
        <v>43091</v>
      </c>
      <c r="G974" s="70" t="s">
        <v>1774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3246</v>
      </c>
      <c r="B975" s="67">
        <v>63905825449</v>
      </c>
      <c r="C975" s="72" t="s">
        <v>3247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3248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1774</v>
      </c>
      <c r="H976" s="9"/>
      <c r="I976" s="8"/>
      <c r="J976" s="8"/>
      <c r="K976" s="8"/>
      <c r="L976" s="9" t="s">
        <v>1896</v>
      </c>
      <c r="M976" s="8"/>
    </row>
    <row r="977" spans="1:13">
      <c r="A977" s="71" t="s">
        <v>3249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3250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1774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3251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1774</v>
      </c>
      <c r="H979" s="9"/>
      <c r="I979" s="8"/>
      <c r="J979" s="8"/>
      <c r="K979" s="8"/>
      <c r="L979" s="9" t="s">
        <v>1896</v>
      </c>
      <c r="M979" s="8"/>
    </row>
    <row r="980" spans="1:13">
      <c r="A980" s="18" t="s">
        <v>3252</v>
      </c>
      <c r="B980" s="67">
        <v>18473037812</v>
      </c>
      <c r="C980" s="18" t="s">
        <v>3253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3254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3255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1774</v>
      </c>
      <c r="H982" s="9"/>
      <c r="I982" s="8"/>
      <c r="J982" s="8"/>
      <c r="K982" s="8"/>
      <c r="L982" s="8"/>
      <c r="M982" s="8"/>
    </row>
    <row r="983" spans="1:13">
      <c r="A983" s="71" t="s">
        <v>3256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3257</v>
      </c>
      <c r="B984" s="67">
        <v>30458696889</v>
      </c>
      <c r="C984" s="68" t="s">
        <v>3258</v>
      </c>
      <c r="D984" s="69">
        <v>25196748814</v>
      </c>
      <c r="E984" s="9">
        <v>1267</v>
      </c>
      <c r="F984" s="25">
        <v>42998</v>
      </c>
      <c r="G984" s="70" t="s">
        <v>1780</v>
      </c>
      <c r="H984" s="9"/>
      <c r="I984" s="8"/>
      <c r="J984" s="8"/>
      <c r="K984" s="8"/>
      <c r="L984" s="8"/>
      <c r="M984" s="8"/>
    </row>
    <row r="985" spans="1:13">
      <c r="A985" s="71" t="s">
        <v>3259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1774</v>
      </c>
      <c r="H985" s="9"/>
      <c r="I985" s="8"/>
      <c r="J985" s="8"/>
      <c r="K985" s="8"/>
      <c r="L985" s="8"/>
      <c r="M985" s="8"/>
    </row>
    <row r="986" spans="1:13">
      <c r="A986" s="29" t="s">
        <v>3260</v>
      </c>
      <c r="B986" s="67"/>
      <c r="C986" s="29" t="s">
        <v>3261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3262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3263</v>
      </c>
      <c r="B988" s="67" t="s">
        <v>3264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3265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3266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3267</v>
      </c>
      <c r="B991" s="67"/>
      <c r="C991" s="18" t="s">
        <v>1887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3268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3269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3270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3271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3272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1774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3273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3274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3275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3276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1774</v>
      </c>
      <c r="H1000" s="9"/>
      <c r="I1000" s="8"/>
      <c r="J1000" s="8"/>
      <c r="K1000" s="8"/>
      <c r="L1000" s="8"/>
      <c r="M1000" s="8"/>
    </row>
    <row r="1001" spans="1:13">
      <c r="A1001" s="15" t="s">
        <v>3277</v>
      </c>
      <c r="B1001" s="67">
        <v>39651975334</v>
      </c>
      <c r="C1001" s="72" t="s">
        <v>3278</v>
      </c>
      <c r="D1001" s="69">
        <v>35104799808</v>
      </c>
      <c r="E1001" s="9">
        <v>229</v>
      </c>
      <c r="F1001" s="25">
        <v>43151</v>
      </c>
      <c r="G1001" s="70" t="s">
        <v>1774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3279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1774</v>
      </c>
      <c r="H1002" s="9"/>
      <c r="I1002" s="8"/>
      <c r="J1002" s="8"/>
      <c r="K1002" s="8"/>
      <c r="L1002" s="8"/>
      <c r="M1002" s="8"/>
    </row>
    <row r="1003" spans="1:13">
      <c r="A1003" s="71" t="s">
        <v>3280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1774</v>
      </c>
      <c r="H1003" s="9"/>
      <c r="I1003" s="8"/>
      <c r="J1003" s="8"/>
      <c r="K1003" s="8"/>
      <c r="L1003" s="8"/>
      <c r="M1003" s="8"/>
    </row>
    <row r="1004" spans="1:13">
      <c r="A1004" s="14" t="s">
        <v>3281</v>
      </c>
      <c r="B1004" s="67">
        <v>46226383801</v>
      </c>
      <c r="C1004" s="72" t="s">
        <v>3282</v>
      </c>
      <c r="D1004" s="69">
        <v>46166460821</v>
      </c>
      <c r="E1004" s="9">
        <v>292</v>
      </c>
      <c r="F1004" s="25">
        <v>43168</v>
      </c>
      <c r="G1004" s="70" t="s">
        <v>1774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3283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3284</v>
      </c>
      <c r="B1006" s="67">
        <v>37051448803</v>
      </c>
      <c r="C1006" s="72" t="s">
        <v>3285</v>
      </c>
      <c r="D1006" s="69">
        <v>22442223813</v>
      </c>
      <c r="E1006" s="9">
        <v>1489</v>
      </c>
      <c r="F1006" s="25">
        <v>43038</v>
      </c>
      <c r="G1006" s="70" t="s">
        <v>1774</v>
      </c>
      <c r="H1006" s="9"/>
      <c r="I1006" s="8"/>
      <c r="J1006" s="8"/>
      <c r="K1006" s="8"/>
      <c r="L1006" s="9" t="s">
        <v>1918</v>
      </c>
      <c r="M1006" s="8"/>
    </row>
    <row r="1007" spans="1:13">
      <c r="A1007" s="71" t="s">
        <v>3286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3287</v>
      </c>
      <c r="B1008" s="67">
        <v>50092450865</v>
      </c>
      <c r="C1008" s="72" t="s">
        <v>3288</v>
      </c>
      <c r="D1008" s="69">
        <v>34366320827</v>
      </c>
      <c r="E1008" s="9">
        <v>608</v>
      </c>
      <c r="F1008" s="25">
        <v>43012</v>
      </c>
      <c r="G1008" s="70" t="s">
        <v>1774</v>
      </c>
      <c r="H1008" s="9"/>
      <c r="I1008" s="8"/>
      <c r="J1008" s="8"/>
      <c r="K1008" s="8"/>
      <c r="L1008" s="8"/>
      <c r="M1008" s="8"/>
    </row>
    <row r="1009" spans="1:13">
      <c r="A1009" s="71" t="s">
        <v>3289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1774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3290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1774</v>
      </c>
      <c r="H1010" s="9"/>
      <c r="I1010" s="8"/>
      <c r="J1010" s="8"/>
      <c r="K1010" s="8"/>
      <c r="L1010" s="8"/>
      <c r="M1010" s="8"/>
    </row>
    <row r="1011" spans="1:13">
      <c r="A1011" s="15" t="s">
        <v>3291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3292</v>
      </c>
      <c r="B1012" s="67">
        <v>36501110807</v>
      </c>
      <c r="C1012" s="72" t="s">
        <v>3293</v>
      </c>
      <c r="D1012" s="69">
        <v>36592467860</v>
      </c>
      <c r="E1012" s="9">
        <v>262</v>
      </c>
      <c r="F1012" s="25">
        <v>43160</v>
      </c>
      <c r="G1012" s="70" t="s">
        <v>1774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3294</v>
      </c>
      <c r="B1013" s="67">
        <v>34470374822</v>
      </c>
      <c r="C1013" s="29" t="s">
        <v>3295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3296</v>
      </c>
      <c r="B1014" s="67">
        <v>40814125883</v>
      </c>
      <c r="C1014" s="72" t="s">
        <v>3297</v>
      </c>
      <c r="D1014" s="69">
        <v>27095684898</v>
      </c>
      <c r="E1014" s="9">
        <v>810</v>
      </c>
      <c r="F1014" s="25">
        <v>42915</v>
      </c>
      <c r="G1014" s="70" t="s">
        <v>1774</v>
      </c>
      <c r="H1014" s="9"/>
      <c r="I1014" s="8"/>
      <c r="J1014" s="8"/>
      <c r="K1014" s="8"/>
      <c r="L1014" s="9" t="s">
        <v>1896</v>
      </c>
      <c r="M1014" s="8"/>
    </row>
    <row r="1015" spans="1:13">
      <c r="A1015" s="71" t="s">
        <v>3298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3299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1774</v>
      </c>
      <c r="H1016" s="9"/>
      <c r="I1016" s="8"/>
      <c r="J1016" s="8"/>
      <c r="K1016" s="8"/>
      <c r="L1016" s="8"/>
      <c r="M1016" s="8"/>
    </row>
    <row r="1017" spans="1:13">
      <c r="A1017" s="71" t="s">
        <v>3300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3301</v>
      </c>
      <c r="B1018" s="67"/>
      <c r="C1018" s="18" t="s">
        <v>1887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3302</v>
      </c>
      <c r="B1019" s="67">
        <v>26492754808</v>
      </c>
      <c r="C1019" s="9" t="s">
        <v>1887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3303</v>
      </c>
      <c r="B1020" s="67">
        <v>526417595</v>
      </c>
      <c r="C1020" s="72" t="s">
        <v>3304</v>
      </c>
      <c r="D1020" s="69">
        <v>25810630847</v>
      </c>
      <c r="E1020" s="9">
        <v>262</v>
      </c>
      <c r="F1020" s="25">
        <v>43160</v>
      </c>
      <c r="G1020" s="9" t="s">
        <v>1774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3305</v>
      </c>
      <c r="B1021" s="67">
        <v>26362064852</v>
      </c>
      <c r="C1021" s="77" t="s">
        <v>3306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2057</v>
      </c>
      <c r="M1021" s="8"/>
    </row>
    <row r="1022" spans="1:13">
      <c r="A1022" s="71" t="s">
        <v>3307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1774</v>
      </c>
      <c r="H1022" s="9"/>
      <c r="I1022" s="8"/>
      <c r="J1022" s="8"/>
      <c r="K1022" s="8"/>
      <c r="L1022" s="9" t="s">
        <v>1918</v>
      </c>
      <c r="M1022" s="8"/>
    </row>
    <row r="1023" spans="1:13">
      <c r="A1023" s="71" t="s">
        <v>3308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1774</v>
      </c>
      <c r="H1023" s="9"/>
      <c r="I1023" s="8"/>
      <c r="J1023" s="8"/>
      <c r="K1023" s="8"/>
      <c r="L1023" s="9" t="s">
        <v>1896</v>
      </c>
      <c r="M1023" s="8"/>
    </row>
    <row r="1024" spans="1:13">
      <c r="A1024" s="71" t="s">
        <v>3309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3310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3311</v>
      </c>
      <c r="B1026" s="67">
        <v>41791708846</v>
      </c>
      <c r="C1026" s="72" t="s">
        <v>3312</v>
      </c>
      <c r="D1026" s="69">
        <v>41003253806</v>
      </c>
      <c r="E1026" s="9">
        <v>262</v>
      </c>
      <c r="F1026" s="25">
        <v>43160</v>
      </c>
      <c r="G1026" s="70" t="s">
        <v>1774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3313</v>
      </c>
      <c r="B1027" s="67"/>
      <c r="C1027" s="29" t="s">
        <v>3314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3315</v>
      </c>
      <c r="B1028" s="67">
        <v>34575373800</v>
      </c>
      <c r="C1028" s="72" t="s">
        <v>3316</v>
      </c>
      <c r="D1028" s="69">
        <v>22427117846</v>
      </c>
      <c r="E1028" s="9">
        <v>1350</v>
      </c>
      <c r="F1028" s="25">
        <v>43006</v>
      </c>
      <c r="G1028" s="70" t="s">
        <v>1774</v>
      </c>
      <c r="H1028" s="9"/>
      <c r="I1028" s="8"/>
      <c r="J1028" s="8"/>
      <c r="K1028" s="8"/>
      <c r="L1028" s="8"/>
      <c r="M1028" s="8"/>
    </row>
    <row r="1029" spans="1:13">
      <c r="A1029" s="71" t="s">
        <v>3317</v>
      </c>
      <c r="B1029" s="67">
        <v>79215262334</v>
      </c>
      <c r="C1029" s="72" t="s">
        <v>3318</v>
      </c>
      <c r="D1029" s="69">
        <v>76370372315</v>
      </c>
      <c r="E1029" s="9">
        <v>1451</v>
      </c>
      <c r="F1029" s="25">
        <v>43027</v>
      </c>
      <c r="G1029" s="70" t="s">
        <v>1780</v>
      </c>
      <c r="H1029" s="9"/>
      <c r="I1029" s="8"/>
      <c r="J1029" s="8"/>
      <c r="K1029" s="8"/>
      <c r="L1029" s="8"/>
      <c r="M1029" s="8"/>
    </row>
    <row r="1030" spans="1:13">
      <c r="A1030" s="13" t="s">
        <v>3319</v>
      </c>
      <c r="B1030" s="67">
        <v>15208922843</v>
      </c>
      <c r="C1030" s="72" t="s">
        <v>3320</v>
      </c>
      <c r="D1030" s="69">
        <v>34068960810</v>
      </c>
      <c r="E1030" s="9">
        <v>229</v>
      </c>
      <c r="F1030" s="25">
        <v>43151</v>
      </c>
      <c r="G1030" s="70" t="s">
        <v>1788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3321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3322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3323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1774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3324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2057</v>
      </c>
      <c r="M1034" s="8"/>
    </row>
    <row r="1035" spans="1:13">
      <c r="A1035" s="71" t="s">
        <v>3325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3326</v>
      </c>
      <c r="B1036" s="67">
        <v>99570467304</v>
      </c>
      <c r="C1036" s="72" t="s">
        <v>3327</v>
      </c>
      <c r="D1036" s="69">
        <v>7702980877</v>
      </c>
      <c r="E1036" s="9">
        <v>229</v>
      </c>
      <c r="F1036" s="25">
        <v>43151</v>
      </c>
      <c r="G1036" s="70" t="s">
        <v>1774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3328</v>
      </c>
      <c r="B1037" s="67">
        <v>18710956549</v>
      </c>
      <c r="C1037" s="72" t="s">
        <v>3329</v>
      </c>
      <c r="D1037" s="69">
        <v>85859141572</v>
      </c>
      <c r="E1037" s="9">
        <v>1417</v>
      </c>
      <c r="F1037" s="25">
        <v>43017</v>
      </c>
      <c r="G1037" s="70" t="s">
        <v>1774</v>
      </c>
      <c r="H1037" s="76">
        <v>43213</v>
      </c>
      <c r="I1037" s="8"/>
      <c r="J1037" s="8"/>
      <c r="K1037" s="8"/>
      <c r="L1037" s="9" t="s">
        <v>2011</v>
      </c>
      <c r="M1037" s="8"/>
    </row>
    <row r="1038" spans="1:13">
      <c r="A1038" s="71" t="s">
        <v>3330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3331</v>
      </c>
      <c r="B1039" s="67">
        <v>42748662890</v>
      </c>
      <c r="C1039" s="18" t="s">
        <v>3332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3333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3334</v>
      </c>
      <c r="B1041" s="67">
        <v>23367537829</v>
      </c>
      <c r="C1041" s="72" t="s">
        <v>3335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3336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1774</v>
      </c>
      <c r="H1042" s="9"/>
      <c r="I1042" s="8"/>
      <c r="J1042" s="8"/>
      <c r="K1042" s="8"/>
      <c r="L1042" s="8"/>
      <c r="M1042" s="8"/>
    </row>
    <row r="1043" spans="1:13">
      <c r="A1043" s="15" t="s">
        <v>3337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3338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3339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1774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3340</v>
      </c>
      <c r="B1046" s="67">
        <v>74603671415</v>
      </c>
      <c r="C1046" s="72" t="s">
        <v>3341</v>
      </c>
      <c r="D1046" s="69">
        <v>28040569885</v>
      </c>
      <c r="E1046" s="9">
        <v>1267</v>
      </c>
      <c r="F1046" s="25">
        <v>42998</v>
      </c>
      <c r="G1046" s="70" t="s">
        <v>1780</v>
      </c>
      <c r="H1046" s="9"/>
      <c r="I1046" s="8"/>
      <c r="J1046" s="8"/>
      <c r="K1046" s="8"/>
      <c r="L1046" s="8"/>
      <c r="M1046" s="8"/>
    </row>
    <row r="1047" spans="1:13">
      <c r="A1047" s="72" t="s">
        <v>3342</v>
      </c>
      <c r="B1047" s="67">
        <v>41590060865</v>
      </c>
      <c r="C1047" s="72" t="s">
        <v>3343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3344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1774</v>
      </c>
      <c r="H1048" s="9"/>
      <c r="I1048" s="8"/>
      <c r="J1048" s="8"/>
      <c r="K1048" s="8"/>
      <c r="L1048" s="9" t="s">
        <v>1896</v>
      </c>
      <c r="M1048" s="8"/>
    </row>
    <row r="1049" spans="1:13">
      <c r="A1049" s="13" t="s">
        <v>3345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1774</v>
      </c>
      <c r="H1049" s="9"/>
      <c r="I1049" s="8"/>
      <c r="J1049" s="8"/>
      <c r="K1049" s="8"/>
      <c r="L1049" s="8"/>
      <c r="M1049" s="8"/>
    </row>
    <row r="1050" spans="1:13">
      <c r="A1050" s="71" t="s">
        <v>3346</v>
      </c>
      <c r="B1050" s="67">
        <v>35741867898</v>
      </c>
      <c r="C1050" s="72" t="s">
        <v>3347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3348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3349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3350</v>
      </c>
      <c r="B1053" s="67">
        <v>27928359820</v>
      </c>
      <c r="C1053" s="72" t="s">
        <v>3351</v>
      </c>
      <c r="D1053" s="69">
        <v>61803766468</v>
      </c>
      <c r="E1053" s="9">
        <v>810</v>
      </c>
      <c r="F1053" s="25">
        <v>42915</v>
      </c>
      <c r="G1053" s="70" t="s">
        <v>1774</v>
      </c>
      <c r="H1053" s="9"/>
      <c r="I1053" s="8"/>
      <c r="J1053" s="8"/>
      <c r="K1053" s="8"/>
      <c r="L1053" s="9" t="s">
        <v>1896</v>
      </c>
      <c r="M1053" s="8"/>
    </row>
    <row r="1054" spans="1:13">
      <c r="A1054" s="71" t="s">
        <v>3352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1774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3353</v>
      </c>
      <c r="B1055" s="67">
        <v>59431920506</v>
      </c>
      <c r="C1055" s="18" t="s">
        <v>1887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3354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1774</v>
      </c>
      <c r="H1056" s="9"/>
      <c r="I1056" s="8"/>
      <c r="J1056" s="8"/>
      <c r="K1056" s="8"/>
      <c r="L1056" s="8"/>
      <c r="M1056" s="8"/>
    </row>
    <row r="1057" spans="1:13">
      <c r="A1057" s="71" t="s">
        <v>3355</v>
      </c>
      <c r="B1057" s="67" t="s">
        <v>3356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3357</v>
      </c>
      <c r="B1058" s="67">
        <v>34366747880</v>
      </c>
      <c r="C1058" s="77" t="s">
        <v>3358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2057</v>
      </c>
      <c r="M1058" s="8"/>
    </row>
    <row r="1059" spans="1:13">
      <c r="A1059" s="71" t="s">
        <v>3359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1774</v>
      </c>
      <c r="H1059" s="9"/>
      <c r="I1059" s="8"/>
      <c r="J1059" s="8"/>
      <c r="K1059" s="8"/>
      <c r="L1059" s="9" t="s">
        <v>1918</v>
      </c>
      <c r="M1059" s="8"/>
    </row>
    <row r="1060" spans="1:13">
      <c r="A1060" s="14" t="s">
        <v>3360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3361</v>
      </c>
      <c r="B1061" s="67">
        <v>19580560811</v>
      </c>
      <c r="C1061" s="68" t="s">
        <v>3362</v>
      </c>
      <c r="D1061" s="69">
        <v>28925414848</v>
      </c>
      <c r="E1061" s="9">
        <v>1359</v>
      </c>
      <c r="F1061" s="25">
        <v>43006</v>
      </c>
      <c r="G1061" s="70" t="s">
        <v>1780</v>
      </c>
      <c r="H1061" s="9"/>
      <c r="I1061" s="8"/>
      <c r="J1061" s="8"/>
      <c r="K1061" s="8"/>
      <c r="L1061" s="8"/>
      <c r="M1061" s="8"/>
    </row>
    <row r="1062" spans="1:13">
      <c r="A1062" s="29" t="s">
        <v>3363</v>
      </c>
      <c r="B1062" s="67">
        <v>34230472838</v>
      </c>
      <c r="C1062" s="9" t="s">
        <v>1887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3364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3365</v>
      </c>
      <c r="B1064" s="67">
        <v>42398811883</v>
      </c>
      <c r="C1064" s="72" t="s">
        <v>3366</v>
      </c>
      <c r="D1064" s="69">
        <v>33876650836</v>
      </c>
      <c r="E1064" s="9">
        <v>117</v>
      </c>
      <c r="F1064" s="25">
        <v>43117</v>
      </c>
      <c r="G1064" s="70" t="s">
        <v>1780</v>
      </c>
      <c r="H1064" s="9"/>
      <c r="I1064" s="8"/>
      <c r="J1064" s="8"/>
      <c r="K1064" s="8"/>
      <c r="L1064" s="9" t="s">
        <v>1928</v>
      </c>
      <c r="M1064" s="8"/>
    </row>
    <row r="1065" spans="1:13">
      <c r="A1065" s="13" t="s">
        <v>3367</v>
      </c>
      <c r="B1065" s="67">
        <v>3876363829</v>
      </c>
      <c r="C1065" s="72" t="s">
        <v>3368</v>
      </c>
      <c r="D1065" s="69">
        <v>9491364847</v>
      </c>
      <c r="E1065" s="9">
        <v>1359</v>
      </c>
      <c r="F1065" s="25">
        <v>43006</v>
      </c>
      <c r="G1065" s="70" t="s">
        <v>1774</v>
      </c>
      <c r="H1065" s="9"/>
      <c r="I1065" s="8"/>
      <c r="J1065" s="8"/>
      <c r="K1065" s="8"/>
      <c r="L1065" s="8"/>
      <c r="M1065" s="8"/>
    </row>
    <row r="1066" spans="1:13">
      <c r="A1066" s="71" t="s">
        <v>3369</v>
      </c>
      <c r="B1066" s="67">
        <v>27340044884</v>
      </c>
      <c r="C1066" s="72" t="s">
        <v>3370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3371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3372</v>
      </c>
      <c r="B1068" s="67">
        <v>38422303892</v>
      </c>
      <c r="C1068" s="72" t="s">
        <v>3373</v>
      </c>
      <c r="D1068" s="69">
        <v>33753889857</v>
      </c>
      <c r="E1068" s="9">
        <v>608</v>
      </c>
      <c r="F1068" s="25">
        <v>43012</v>
      </c>
      <c r="G1068" s="70" t="s">
        <v>1774</v>
      </c>
      <c r="H1068" s="9"/>
      <c r="I1068" s="8"/>
      <c r="J1068" s="8"/>
      <c r="K1068" s="8"/>
      <c r="L1068" s="8"/>
      <c r="M1068" s="8"/>
    </row>
    <row r="1069" spans="1:13">
      <c r="A1069" s="13" t="s">
        <v>3374</v>
      </c>
      <c r="B1069" s="67">
        <v>36171676837</v>
      </c>
      <c r="C1069" s="68" t="s">
        <v>3375</v>
      </c>
      <c r="D1069" s="69">
        <v>1470162580</v>
      </c>
      <c r="E1069" s="9">
        <v>1128</v>
      </c>
      <c r="F1069" s="25">
        <v>42972</v>
      </c>
      <c r="G1069" s="70" t="s">
        <v>1774</v>
      </c>
      <c r="H1069" s="9"/>
      <c r="I1069" s="8"/>
      <c r="J1069" s="8"/>
      <c r="K1069" s="8"/>
      <c r="L1069" s="8"/>
      <c r="M1069" s="8"/>
    </row>
    <row r="1070" spans="1:13">
      <c r="A1070" s="14" t="s">
        <v>3376</v>
      </c>
      <c r="B1070" s="67">
        <v>42047014859</v>
      </c>
      <c r="C1070" s="72" t="s">
        <v>3377</v>
      </c>
      <c r="D1070" s="69">
        <v>9300065424</v>
      </c>
      <c r="E1070" s="9">
        <v>1417</v>
      </c>
      <c r="F1070" s="25">
        <v>43017</v>
      </c>
      <c r="G1070" s="70" t="s">
        <v>1780</v>
      </c>
      <c r="H1070" s="9"/>
      <c r="I1070" s="8"/>
      <c r="J1070" s="8"/>
      <c r="K1070" s="8"/>
      <c r="L1070" s="9" t="s">
        <v>2011</v>
      </c>
      <c r="M1070" s="8"/>
    </row>
    <row r="1071" spans="1:13">
      <c r="A1071" s="29" t="s">
        <v>3378</v>
      </c>
      <c r="B1071" s="67">
        <v>34822545830</v>
      </c>
      <c r="C1071" s="18" t="s">
        <v>1887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3379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3380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1774</v>
      </c>
      <c r="H1073" s="9"/>
      <c r="I1073" s="8"/>
      <c r="J1073" s="8"/>
      <c r="K1073" s="8"/>
      <c r="L1073" s="8"/>
      <c r="M1073" s="8"/>
    </row>
    <row r="1074" spans="1:13">
      <c r="A1074" s="71" t="s">
        <v>3381</v>
      </c>
      <c r="B1074" s="67">
        <v>1737249308</v>
      </c>
      <c r="C1074" s="72" t="s">
        <v>3382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3383</v>
      </c>
      <c r="B1075" s="67">
        <v>3844142576</v>
      </c>
      <c r="C1075" s="72" t="s">
        <v>3384</v>
      </c>
      <c r="D1075" s="69">
        <v>35502503801</v>
      </c>
      <c r="E1075" s="9">
        <v>810</v>
      </c>
      <c r="F1075" s="25">
        <v>42915</v>
      </c>
      <c r="G1075" s="70" t="s">
        <v>1774</v>
      </c>
      <c r="H1075" s="9"/>
      <c r="I1075" s="8"/>
      <c r="J1075" s="8"/>
      <c r="K1075" s="8"/>
      <c r="L1075" s="9" t="s">
        <v>1896</v>
      </c>
      <c r="M1075" s="8"/>
    </row>
    <row r="1076" spans="1:13">
      <c r="A1076" s="71" t="s">
        <v>3385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3386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1774</v>
      </c>
      <c r="H1077" s="9"/>
      <c r="I1077" s="8"/>
      <c r="J1077" s="8"/>
      <c r="K1077" s="8"/>
      <c r="L1077" s="8"/>
      <c r="M1077" s="8"/>
    </row>
    <row r="1078" spans="1:13">
      <c r="A1078" s="30" t="s">
        <v>3387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3388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1774</v>
      </c>
      <c r="H1079" s="9"/>
      <c r="I1079" s="8"/>
      <c r="J1079" s="8"/>
      <c r="K1079" s="8"/>
      <c r="L1079" s="9" t="s">
        <v>1928</v>
      </c>
      <c r="M1079" s="8"/>
    </row>
    <row r="1080" spans="1:13">
      <c r="A1080" s="18" t="s">
        <v>3389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3390</v>
      </c>
      <c r="B1081" s="67">
        <v>44410556843</v>
      </c>
      <c r="C1081" s="72" t="s">
        <v>3391</v>
      </c>
      <c r="D1081" s="69">
        <v>39436457898</v>
      </c>
      <c r="E1081" s="9">
        <v>262</v>
      </c>
      <c r="F1081" s="25">
        <v>43160</v>
      </c>
      <c r="G1081" s="70" t="s">
        <v>1774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3392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3393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3394</v>
      </c>
      <c r="B1084" s="67">
        <v>7838810884</v>
      </c>
      <c r="C1084" s="72" t="s">
        <v>3395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3396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1774</v>
      </c>
      <c r="H1085" s="9"/>
      <c r="I1085" s="8"/>
      <c r="J1085" s="8"/>
      <c r="K1085" s="8"/>
      <c r="L1085" s="8"/>
      <c r="M1085" s="8"/>
    </row>
    <row r="1086" spans="1:13">
      <c r="A1086" s="73" t="s">
        <v>3397</v>
      </c>
      <c r="B1086" s="67">
        <v>18239878857</v>
      </c>
      <c r="C1086" s="72" t="s">
        <v>3398</v>
      </c>
      <c r="D1086" s="69">
        <v>18871709870</v>
      </c>
      <c r="E1086" s="9">
        <v>85</v>
      </c>
      <c r="F1086" s="25">
        <v>43109</v>
      </c>
      <c r="G1086" s="70" t="s">
        <v>1774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3399</v>
      </c>
      <c r="B1087" s="67">
        <v>33213821802</v>
      </c>
      <c r="C1087" s="18" t="s">
        <v>1887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3400</v>
      </c>
      <c r="B1088" s="67">
        <v>39075719833</v>
      </c>
      <c r="C1088" s="72" t="s">
        <v>3401</v>
      </c>
      <c r="D1088" s="69">
        <v>29754975809</v>
      </c>
      <c r="E1088" s="9">
        <v>810</v>
      </c>
      <c r="F1088" s="25">
        <v>42915</v>
      </c>
      <c r="G1088" s="70" t="s">
        <v>1780</v>
      </c>
      <c r="H1088" s="9"/>
      <c r="I1088" s="8"/>
      <c r="J1088" s="8"/>
      <c r="K1088" s="8"/>
      <c r="L1088" s="9" t="s">
        <v>1896</v>
      </c>
      <c r="M1088" s="8"/>
    </row>
    <row r="1089" spans="1:13">
      <c r="A1089" s="71" t="s">
        <v>3402</v>
      </c>
      <c r="B1089" s="67">
        <v>22599824842</v>
      </c>
      <c r="C1089" s="73" t="s">
        <v>3403</v>
      </c>
      <c r="D1089" s="69" t="s">
        <v>3404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3405</v>
      </c>
      <c r="B1090" s="67">
        <v>41719739889</v>
      </c>
      <c r="C1090" s="72" t="s">
        <v>3406</v>
      </c>
      <c r="D1090" s="69">
        <v>35883252800</v>
      </c>
      <c r="E1090" s="9">
        <v>1752</v>
      </c>
      <c r="F1090" s="25">
        <v>43051</v>
      </c>
      <c r="G1090" s="70" t="s">
        <v>1774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3407</v>
      </c>
      <c r="B1091" s="67">
        <v>31524778800</v>
      </c>
      <c r="C1091" s="72" t="s">
        <v>3408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3409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3410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3411</v>
      </c>
      <c r="B1094" s="67">
        <v>6614830376</v>
      </c>
      <c r="C1094" s="72" t="s">
        <v>3412</v>
      </c>
      <c r="D1094" s="69">
        <v>6372277352</v>
      </c>
      <c r="E1094" s="9">
        <v>229</v>
      </c>
      <c r="F1094" s="25">
        <v>43151</v>
      </c>
      <c r="G1094" s="70" t="s">
        <v>1774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3413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3414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1774</v>
      </c>
      <c r="H1096" s="9"/>
      <c r="I1096" s="8"/>
      <c r="J1096" s="8"/>
      <c r="K1096" s="8"/>
      <c r="L1096" s="8"/>
      <c r="M1096" s="8"/>
    </row>
    <row r="1097" spans="1:13">
      <c r="A1097" s="71" t="s">
        <v>3415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3416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1774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3417</v>
      </c>
      <c r="B1099" s="67">
        <v>23047254818</v>
      </c>
      <c r="C1099" s="18" t="s">
        <v>1887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3418</v>
      </c>
      <c r="B1100" s="69">
        <v>15755371504</v>
      </c>
      <c r="C1100" s="71" t="s">
        <v>3419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3420</v>
      </c>
      <c r="B1101" s="67"/>
      <c r="C1101" s="29" t="s">
        <v>1887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3421</v>
      </c>
      <c r="B1102" s="67">
        <v>37975016845</v>
      </c>
      <c r="C1102" s="72" t="s">
        <v>3422</v>
      </c>
      <c r="D1102" s="69">
        <v>31274964865</v>
      </c>
      <c r="E1102" s="9">
        <v>810</v>
      </c>
      <c r="F1102" s="25">
        <v>42915</v>
      </c>
      <c r="G1102" s="70" t="s">
        <v>1774</v>
      </c>
      <c r="H1102" s="9"/>
      <c r="I1102" s="8"/>
      <c r="J1102" s="8"/>
      <c r="K1102" s="8"/>
      <c r="L1102" s="9" t="s">
        <v>1896</v>
      </c>
      <c r="M1102" s="8"/>
    </row>
    <row r="1103" spans="1:13">
      <c r="A1103" s="71" t="s">
        <v>3423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3424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3425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1774</v>
      </c>
      <c r="H1105" s="9"/>
      <c r="I1105" s="8"/>
      <c r="J1105" s="8"/>
      <c r="K1105" s="8"/>
      <c r="L1105" s="9" t="s">
        <v>1928</v>
      </c>
      <c r="M1105" s="8"/>
    </row>
    <row r="1106" spans="1:13">
      <c r="A1106" s="14" t="s">
        <v>3426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3427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3428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3429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3430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3431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3432</v>
      </c>
      <c r="B1112" s="67"/>
      <c r="C1112" s="29" t="s">
        <v>3433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3434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3435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3436</v>
      </c>
      <c r="B1115" s="67">
        <v>31228148899</v>
      </c>
      <c r="C1115" s="18" t="s">
        <v>3437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3438</v>
      </c>
      <c r="B1116" s="67">
        <v>28077309810</v>
      </c>
      <c r="C1116" s="72" t="s">
        <v>3439</v>
      </c>
      <c r="D1116" s="69">
        <v>62568370530</v>
      </c>
      <c r="E1116" s="9">
        <v>229</v>
      </c>
      <c r="F1116" s="25">
        <v>43151</v>
      </c>
      <c r="G1116" s="70" t="s">
        <v>1774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3440</v>
      </c>
      <c r="B1117" s="67">
        <v>43681754845</v>
      </c>
      <c r="C1117" s="72" t="s">
        <v>3441</v>
      </c>
      <c r="D1117" s="69">
        <v>51120226805</v>
      </c>
      <c r="E1117" s="9">
        <v>1555</v>
      </c>
      <c r="F1117" s="25">
        <v>43049</v>
      </c>
      <c r="G1117" s="70" t="s">
        <v>1774</v>
      </c>
      <c r="H1117" s="9"/>
      <c r="I1117" s="8"/>
      <c r="J1117" s="8"/>
      <c r="K1117" s="8"/>
      <c r="L1117" s="9" t="s">
        <v>2156</v>
      </c>
      <c r="M1117" s="8"/>
    </row>
    <row r="1118" spans="1:13">
      <c r="A1118" s="29" t="s">
        <v>3442</v>
      </c>
      <c r="B1118" s="67"/>
      <c r="C1118" s="29" t="s">
        <v>3443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3444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3445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3446</v>
      </c>
      <c r="B1121" s="67">
        <v>44708151870</v>
      </c>
      <c r="C1121" s="88" t="s">
        <v>3447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3448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3449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3450</v>
      </c>
      <c r="B1124" s="67">
        <v>8368671817</v>
      </c>
      <c r="C1124" s="72" t="s">
        <v>3451</v>
      </c>
      <c r="D1124" s="69">
        <v>19184424877</v>
      </c>
      <c r="E1124" s="9">
        <v>292</v>
      </c>
      <c r="F1124" s="25">
        <v>43168</v>
      </c>
      <c r="G1124" s="70" t="s">
        <v>1774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3452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3453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1774</v>
      </c>
      <c r="H1126" s="9"/>
      <c r="I1126" s="8"/>
      <c r="J1126" s="8"/>
      <c r="K1126" s="8"/>
      <c r="L1126" s="9" t="s">
        <v>1896</v>
      </c>
      <c r="M1126" s="8"/>
    </row>
    <row r="1127" spans="1:13">
      <c r="A1127" s="18" t="s">
        <v>3454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3455</v>
      </c>
      <c r="B1128" s="67">
        <v>45127604825</v>
      </c>
      <c r="C1128" s="72" t="s">
        <v>3456</v>
      </c>
      <c r="D1128" s="69" t="s">
        <v>3457</v>
      </c>
      <c r="E1128" s="9">
        <v>229</v>
      </c>
      <c r="F1128" s="25">
        <v>43151</v>
      </c>
      <c r="G1128" s="70" t="s">
        <v>1788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3458</v>
      </c>
      <c r="B1129" s="67">
        <v>42987674856</v>
      </c>
      <c r="C1129" s="72" t="s">
        <v>3459</v>
      </c>
      <c r="D1129" s="69">
        <v>38745840890</v>
      </c>
      <c r="E1129" s="9">
        <v>85</v>
      </c>
      <c r="F1129" s="25">
        <v>43109</v>
      </c>
      <c r="G1129" s="70" t="s">
        <v>1774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3460</v>
      </c>
      <c r="B1130" s="67">
        <v>36406558855</v>
      </c>
      <c r="C1130" s="72" t="s">
        <v>3461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3462</v>
      </c>
      <c r="B1131" s="67">
        <v>22758320843</v>
      </c>
      <c r="C1131" s="72" t="s">
        <v>3463</v>
      </c>
      <c r="D1131" s="69">
        <v>14229403810</v>
      </c>
      <c r="E1131" s="9">
        <v>1752</v>
      </c>
      <c r="F1131" s="25">
        <v>43051</v>
      </c>
      <c r="G1131" s="70" t="s">
        <v>1774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3464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3465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1774</v>
      </c>
      <c r="H1133" s="9"/>
      <c r="I1133" s="8"/>
      <c r="J1133" s="8"/>
      <c r="K1133" s="8"/>
      <c r="L1133" s="8"/>
      <c r="M1133" s="8"/>
    </row>
    <row r="1134" spans="1:13">
      <c r="A1134" s="71" t="s">
        <v>3466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1774</v>
      </c>
      <c r="H1134" s="9"/>
      <c r="I1134" s="8"/>
      <c r="J1134" s="8"/>
      <c r="K1134" s="8"/>
      <c r="L1134" s="8"/>
      <c r="M1134" s="8"/>
    </row>
    <row r="1135" spans="1:13">
      <c r="A1135" s="13" t="s">
        <v>3467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1774</v>
      </c>
      <c r="H1135" s="9"/>
      <c r="I1135" s="8"/>
      <c r="J1135" s="8"/>
      <c r="K1135" s="8"/>
      <c r="L1135" s="8"/>
      <c r="M1135" s="8"/>
    </row>
    <row r="1136" spans="1:13">
      <c r="A1136" s="73" t="s">
        <v>3468</v>
      </c>
      <c r="B1136" s="67">
        <v>32518683810</v>
      </c>
      <c r="C1136" s="72" t="s">
        <v>3469</v>
      </c>
      <c r="D1136" s="69">
        <v>32570919829</v>
      </c>
      <c r="E1136" s="9">
        <v>262</v>
      </c>
      <c r="F1136" s="25">
        <v>43160</v>
      </c>
      <c r="G1136" s="70" t="s">
        <v>1780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3470</v>
      </c>
      <c r="B1137" s="67">
        <v>35723911805</v>
      </c>
      <c r="C1137" s="18" t="s">
        <v>1887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3471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1774</v>
      </c>
      <c r="H1138" s="9"/>
      <c r="I1138" s="8"/>
      <c r="J1138" s="8"/>
      <c r="K1138" s="8"/>
      <c r="L1138" s="8"/>
      <c r="M1138" s="8"/>
    </row>
    <row r="1139" spans="1:13">
      <c r="A1139" s="71" t="s">
        <v>3472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1774</v>
      </c>
      <c r="H1139" s="9"/>
      <c r="I1139" s="8"/>
      <c r="J1139" s="8"/>
      <c r="K1139" s="8"/>
      <c r="L1139" s="8"/>
      <c r="M1139" s="8"/>
    </row>
    <row r="1140" spans="1:13">
      <c r="A1140" s="71" t="s">
        <v>3473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3474</v>
      </c>
      <c r="B1141" s="67">
        <v>9527670667</v>
      </c>
      <c r="C1141" s="18" t="s">
        <v>3475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3476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1774</v>
      </c>
      <c r="H1142" s="9"/>
      <c r="I1142" s="8"/>
      <c r="J1142" s="8"/>
      <c r="K1142" s="8"/>
      <c r="L1142" s="8"/>
      <c r="M1142" s="8"/>
    </row>
    <row r="1143" spans="1:13">
      <c r="A1143" s="51" t="s">
        <v>3477</v>
      </c>
      <c r="B1143" s="80">
        <v>15404916842</v>
      </c>
      <c r="C1143" s="81" t="s">
        <v>3478</v>
      </c>
      <c r="D1143" s="82">
        <v>26437120487</v>
      </c>
      <c r="E1143" s="47">
        <v>1752</v>
      </c>
      <c r="F1143" s="48">
        <v>43051</v>
      </c>
      <c r="G1143" s="83" t="s">
        <v>1788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3479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3480</v>
      </c>
      <c r="B1145" s="67">
        <v>16618981816</v>
      </c>
      <c r="C1145" s="77" t="s">
        <v>3481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3482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1774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3483</v>
      </c>
      <c r="B1147" s="67">
        <v>14396561857</v>
      </c>
      <c r="C1147" s="72" t="s">
        <v>3484</v>
      </c>
      <c r="D1147" s="69">
        <v>26877955854</v>
      </c>
      <c r="E1147" s="9">
        <v>1350</v>
      </c>
      <c r="F1147" s="25">
        <v>43006</v>
      </c>
      <c r="G1147" s="70" t="s">
        <v>1774</v>
      </c>
      <c r="H1147" s="9"/>
      <c r="I1147" s="8"/>
      <c r="J1147" s="8"/>
      <c r="K1147" s="8"/>
      <c r="L1147" s="8"/>
      <c r="M1147" s="8"/>
    </row>
    <row r="1148" spans="1:13">
      <c r="A1148" s="71" t="s">
        <v>3485</v>
      </c>
      <c r="B1148" s="67">
        <v>89014774591</v>
      </c>
      <c r="C1148" s="72" t="s">
        <v>3486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3487</v>
      </c>
      <c r="B1149" s="67">
        <v>36708561883</v>
      </c>
      <c r="C1149" s="72" t="s">
        <v>3488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3489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3490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3491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1774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3492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3493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3494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1774</v>
      </c>
      <c r="H1155" s="9"/>
      <c r="I1155" s="8"/>
      <c r="J1155" s="8"/>
      <c r="K1155" s="8"/>
      <c r="L1155" s="8"/>
      <c r="M1155" s="8"/>
    </row>
    <row r="1156" spans="1:13">
      <c r="A1156" s="71" t="s">
        <v>3495</v>
      </c>
      <c r="B1156" s="67">
        <v>35706404852</v>
      </c>
      <c r="C1156" s="72"/>
      <c r="D1156" s="69"/>
      <c r="E1156" s="9">
        <v>117</v>
      </c>
      <c r="F1156" s="25"/>
      <c r="G1156" s="70" t="s">
        <v>1788</v>
      </c>
      <c r="H1156" s="9"/>
      <c r="I1156" s="8"/>
      <c r="J1156" s="8"/>
      <c r="K1156" s="8"/>
      <c r="L1156" s="8"/>
      <c r="M1156" s="8"/>
    </row>
    <row r="1157" spans="1:13">
      <c r="A1157" s="71" t="s">
        <v>3496</v>
      </c>
      <c r="B1157" s="67">
        <v>2044062348</v>
      </c>
      <c r="C1157" s="72" t="s">
        <v>3497</v>
      </c>
      <c r="D1157" s="69">
        <v>61505005353</v>
      </c>
      <c r="E1157" s="9">
        <v>1214</v>
      </c>
      <c r="F1157" s="25">
        <v>42989</v>
      </c>
      <c r="G1157" s="70" t="s">
        <v>1774</v>
      </c>
      <c r="H1157" s="9"/>
      <c r="I1157" s="8"/>
      <c r="J1157" s="8"/>
      <c r="K1157" s="8"/>
      <c r="L1157" s="8"/>
      <c r="M1157" s="8"/>
    </row>
    <row r="1158" spans="1:13">
      <c r="A1158" s="71" t="s">
        <v>3498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1774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3499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3500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3501</v>
      </c>
      <c r="B1161" s="67">
        <v>11126789801</v>
      </c>
      <c r="C1161" s="72" t="s">
        <v>3502</v>
      </c>
      <c r="D1161" s="69">
        <v>13442330823</v>
      </c>
      <c r="E1161" s="9">
        <v>85</v>
      </c>
      <c r="F1161" s="25">
        <v>43109</v>
      </c>
      <c r="G1161" s="70" t="s">
        <v>1774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3503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3504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1774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3505</v>
      </c>
      <c r="B1164" s="67">
        <v>42134258861</v>
      </c>
      <c r="C1164" s="72" t="s">
        <v>3506</v>
      </c>
      <c r="D1164" s="69">
        <v>36485490817</v>
      </c>
      <c r="E1164" s="9">
        <v>262</v>
      </c>
      <c r="F1164" s="25">
        <v>43160</v>
      </c>
      <c r="G1164" s="9" t="s">
        <v>1774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3507</v>
      </c>
      <c r="B1165" s="67">
        <v>1772681318</v>
      </c>
      <c r="C1165" s="72" t="s">
        <v>3508</v>
      </c>
      <c r="D1165" s="69">
        <v>88109810306</v>
      </c>
      <c r="E1165" s="9">
        <v>85</v>
      </c>
      <c r="F1165" s="25">
        <v>43109</v>
      </c>
      <c r="G1165" s="70" t="s">
        <v>1774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3509</v>
      </c>
      <c r="B1166" s="67">
        <v>88244881291</v>
      </c>
      <c r="C1166" s="72" t="s">
        <v>3510</v>
      </c>
      <c r="D1166" s="69">
        <v>71885609272</v>
      </c>
      <c r="E1166" s="9">
        <v>292</v>
      </c>
      <c r="F1166" s="25">
        <v>43168</v>
      </c>
      <c r="G1166" s="9" t="s">
        <v>1774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3511</v>
      </c>
      <c r="B1167" s="67">
        <v>33535539838</v>
      </c>
      <c r="C1167" s="72" t="s">
        <v>3512</v>
      </c>
      <c r="D1167" s="69">
        <v>19438586830</v>
      </c>
      <c r="E1167" s="9">
        <v>85</v>
      </c>
      <c r="F1167" s="25">
        <v>43109</v>
      </c>
      <c r="G1167" s="70" t="s">
        <v>1774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3513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1774</v>
      </c>
      <c r="H1168" s="9"/>
      <c r="I1168" s="8"/>
      <c r="J1168" s="8"/>
      <c r="K1168" s="8"/>
      <c r="L1168" s="8"/>
      <c r="M1168" s="8"/>
    </row>
    <row r="1169" spans="1:13">
      <c r="A1169" s="71" t="s">
        <v>3514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1774</v>
      </c>
      <c r="H1169" s="9"/>
      <c r="I1169" s="8"/>
      <c r="J1169" s="8"/>
      <c r="K1169" s="8"/>
      <c r="L1169" s="9" t="s">
        <v>1928</v>
      </c>
      <c r="M1169" s="8"/>
    </row>
    <row r="1170" spans="1:13">
      <c r="A1170" s="71" t="s">
        <v>3515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3516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1774</v>
      </c>
      <c r="H1171" s="9"/>
      <c r="I1171" s="8"/>
      <c r="J1171" s="8"/>
      <c r="K1171" s="8"/>
      <c r="L1171" s="9" t="s">
        <v>1896</v>
      </c>
      <c r="M1171" s="8"/>
    </row>
    <row r="1172" spans="1:13">
      <c r="A1172" s="71" t="s">
        <v>3517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1774</v>
      </c>
      <c r="H1172" s="9"/>
      <c r="I1172" s="8"/>
      <c r="J1172" s="8"/>
      <c r="K1172" s="8"/>
      <c r="L1172" s="9" t="s">
        <v>2156</v>
      </c>
      <c r="M1172" s="8"/>
    </row>
    <row r="1173" spans="1:13">
      <c r="A1173" s="72" t="s">
        <v>3518</v>
      </c>
      <c r="B1173" s="67">
        <v>42160981850</v>
      </c>
      <c r="C1173" s="72" t="s">
        <v>3519</v>
      </c>
      <c r="D1173" s="69">
        <v>40077808894</v>
      </c>
      <c r="E1173" s="9">
        <v>608</v>
      </c>
      <c r="F1173" s="25">
        <v>43012</v>
      </c>
      <c r="G1173" s="70" t="s">
        <v>1774</v>
      </c>
      <c r="H1173" s="9"/>
      <c r="I1173" s="8"/>
      <c r="J1173" s="8"/>
      <c r="K1173" s="8"/>
      <c r="L1173" s="8"/>
      <c r="M1173" s="8"/>
    </row>
    <row r="1174" spans="1:13">
      <c r="A1174" s="71" t="s">
        <v>3520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1780</v>
      </c>
      <c r="H1174" s="9"/>
      <c r="I1174" s="8"/>
      <c r="J1174" s="8"/>
      <c r="K1174" s="8"/>
      <c r="L1174" s="8"/>
      <c r="M1174" s="8"/>
    </row>
    <row r="1175" spans="1:13">
      <c r="A1175" s="71" t="s">
        <v>3521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3522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2057</v>
      </c>
      <c r="M1176" s="8"/>
    </row>
    <row r="1177" spans="1:13">
      <c r="A1177" s="29" t="s">
        <v>3523</v>
      </c>
      <c r="B1177" s="67"/>
      <c r="C1177" s="29" t="s">
        <v>3524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3525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3526</v>
      </c>
      <c r="B1179" s="67">
        <v>11754585469</v>
      </c>
      <c r="C1179" s="77" t="s">
        <v>3527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2057</v>
      </c>
      <c r="M1179" s="8"/>
    </row>
    <row r="1180" spans="1:13">
      <c r="A1180" s="29" t="s">
        <v>3528</v>
      </c>
      <c r="B1180" s="67">
        <v>7621874503</v>
      </c>
      <c r="C1180" s="29" t="s">
        <v>3529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3530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1774</v>
      </c>
      <c r="H1181" s="9"/>
      <c r="I1181" s="8"/>
      <c r="J1181" s="8"/>
      <c r="K1181" s="8"/>
      <c r="L1181" s="8"/>
      <c r="M1181" s="8"/>
    </row>
    <row r="1182" spans="1:13">
      <c r="A1182" s="13" t="s">
        <v>3531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1774</v>
      </c>
      <c r="H1182" s="9"/>
      <c r="I1182" s="8"/>
      <c r="J1182" s="8"/>
      <c r="K1182" s="8"/>
      <c r="L1182" s="9" t="s">
        <v>2156</v>
      </c>
      <c r="M1182" s="8"/>
    </row>
    <row r="1183" spans="1:13">
      <c r="A1183" s="29" t="s">
        <v>3532</v>
      </c>
      <c r="B1183" s="67">
        <v>29913700841</v>
      </c>
      <c r="C1183" s="18" t="s">
        <v>1887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3533</v>
      </c>
      <c r="B1184" s="67">
        <v>28907743843</v>
      </c>
      <c r="C1184" s="29" t="s">
        <v>3534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3535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1774</v>
      </c>
      <c r="H1185" s="9"/>
      <c r="I1185" s="8"/>
      <c r="J1185" s="8"/>
      <c r="K1185" s="8"/>
      <c r="L1185" s="9" t="s">
        <v>1896</v>
      </c>
      <c r="M1185" s="8"/>
    </row>
    <row r="1186" spans="1:13">
      <c r="A1186" s="29" t="s">
        <v>3536</v>
      </c>
      <c r="B1186" s="67"/>
      <c r="C1186" s="18" t="s">
        <v>1887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3537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1774</v>
      </c>
      <c r="H1187" s="9"/>
      <c r="I1187" s="8"/>
      <c r="J1187" s="8"/>
      <c r="K1187" s="8"/>
      <c r="L1187" s="9" t="s">
        <v>1896</v>
      </c>
      <c r="M1187" s="8"/>
    </row>
    <row r="1188" spans="1:13">
      <c r="A1188" s="73" t="s">
        <v>3538</v>
      </c>
      <c r="B1188" s="67">
        <v>1198397500</v>
      </c>
      <c r="C1188" s="72" t="s">
        <v>3539</v>
      </c>
      <c r="D1188" s="69">
        <v>87142503572</v>
      </c>
      <c r="E1188" s="9">
        <v>810</v>
      </c>
      <c r="F1188" s="25">
        <v>42915</v>
      </c>
      <c r="G1188" s="70" t="s">
        <v>1774</v>
      </c>
      <c r="H1188" s="9"/>
      <c r="I1188" s="8"/>
      <c r="J1188" s="8"/>
      <c r="K1188" s="8"/>
      <c r="L1188" s="9" t="s">
        <v>1896</v>
      </c>
      <c r="M1188" s="8"/>
    </row>
    <row r="1189" spans="1:13">
      <c r="A1189" s="29" t="s">
        <v>3540</v>
      </c>
      <c r="B1189" s="67">
        <v>17487364852</v>
      </c>
      <c r="C1189" s="29" t="s">
        <v>3541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3542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3543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3544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3545</v>
      </c>
      <c r="B1193" s="67">
        <v>32993187805</v>
      </c>
      <c r="C1193" s="72" t="s">
        <v>3546</v>
      </c>
      <c r="D1193" s="69">
        <v>2605272460</v>
      </c>
      <c r="E1193" s="9">
        <v>1439</v>
      </c>
      <c r="F1193" s="25">
        <v>43025</v>
      </c>
      <c r="G1193" s="70" t="s">
        <v>1774</v>
      </c>
      <c r="H1193" s="9"/>
      <c r="I1193" s="8"/>
      <c r="J1193" s="8"/>
      <c r="K1193" s="8"/>
      <c r="L1193" s="9" t="s">
        <v>2260</v>
      </c>
      <c r="M1193" s="8"/>
    </row>
    <row r="1194" spans="1:13">
      <c r="A1194" s="71" t="s">
        <v>3547</v>
      </c>
      <c r="B1194" s="67">
        <v>33182368885</v>
      </c>
      <c r="C1194" s="77" t="s">
        <v>3548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3549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1774</v>
      </c>
      <c r="H1195" s="9"/>
      <c r="I1195" s="8"/>
      <c r="J1195" s="8"/>
      <c r="K1195" s="8"/>
      <c r="L1195" s="8"/>
      <c r="M1195" s="8"/>
    </row>
    <row r="1196" spans="1:13">
      <c r="A1196" s="71" t="s">
        <v>3550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3551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1774</v>
      </c>
      <c r="H1197" s="9"/>
      <c r="I1197" s="8"/>
      <c r="J1197" s="8"/>
      <c r="K1197" s="8"/>
      <c r="L1197" s="8"/>
      <c r="M1197" s="8"/>
    </row>
    <row r="1198" spans="1:13">
      <c r="A1198" s="71" t="s">
        <v>3552</v>
      </c>
      <c r="B1198" s="67">
        <v>32557609846</v>
      </c>
      <c r="C1198" s="72" t="s">
        <v>3553</v>
      </c>
      <c r="D1198" s="69">
        <v>19150806904</v>
      </c>
      <c r="E1198" s="9">
        <v>1241</v>
      </c>
      <c r="F1198" s="25">
        <v>42992</v>
      </c>
      <c r="G1198" s="70" t="s">
        <v>1774</v>
      </c>
      <c r="H1198" s="9"/>
      <c r="I1198" s="8"/>
      <c r="J1198" s="8"/>
      <c r="K1198" s="8"/>
      <c r="L1198" s="8"/>
      <c r="M1198" s="8"/>
    </row>
    <row r="1199" spans="1:13">
      <c r="A1199" s="13" t="s">
        <v>3554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1774</v>
      </c>
      <c r="H1199" s="9"/>
      <c r="I1199" s="8"/>
      <c r="J1199" s="8"/>
      <c r="K1199" s="8"/>
      <c r="L1199" s="8"/>
      <c r="M1199" s="8"/>
    </row>
    <row r="1200" spans="1:13">
      <c r="A1200" s="14" t="s">
        <v>3555</v>
      </c>
      <c r="B1200" s="67">
        <v>38236980871</v>
      </c>
      <c r="C1200" s="72" t="s">
        <v>3556</v>
      </c>
      <c r="D1200" s="69">
        <v>5177834360</v>
      </c>
      <c r="E1200" s="9">
        <v>262</v>
      </c>
      <c r="F1200" s="25">
        <v>43160</v>
      </c>
      <c r="G1200" s="70" t="s">
        <v>1774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3557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1774</v>
      </c>
      <c r="H1201" s="9"/>
      <c r="I1201" s="8"/>
      <c r="J1201" s="8"/>
      <c r="K1201" s="8"/>
      <c r="L1201" s="9" t="s">
        <v>1896</v>
      </c>
      <c r="M1201" s="8"/>
    </row>
    <row r="1202" spans="1:13">
      <c r="A1202" s="72" t="s">
        <v>3558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3559</v>
      </c>
      <c r="B1203" s="67">
        <v>177446102</v>
      </c>
      <c r="C1203" s="72" t="s">
        <v>3560</v>
      </c>
      <c r="D1203" s="69">
        <v>31301235806</v>
      </c>
      <c r="E1203" s="9">
        <v>229</v>
      </c>
      <c r="F1203" s="25">
        <v>43151</v>
      </c>
      <c r="G1203" s="70" t="s">
        <v>1774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3561</v>
      </c>
      <c r="B1204" s="67"/>
      <c r="C1204" s="29" t="s">
        <v>1887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3562</v>
      </c>
      <c r="B1205" s="67">
        <v>22394984805</v>
      </c>
      <c r="C1205" s="72" t="s">
        <v>3563</v>
      </c>
      <c r="D1205" s="69">
        <v>29161087858</v>
      </c>
      <c r="E1205" s="9">
        <v>1106</v>
      </c>
      <c r="F1205" s="25">
        <v>42965</v>
      </c>
      <c r="G1205" s="70" t="s">
        <v>1774</v>
      </c>
      <c r="H1205" s="9"/>
      <c r="I1205" s="8"/>
      <c r="J1205" s="8"/>
      <c r="K1205" s="8"/>
      <c r="L1205" s="8"/>
      <c r="M1205" s="8"/>
    </row>
    <row r="1206" spans="1:13">
      <c r="A1206" s="13" t="s">
        <v>3564</v>
      </c>
      <c r="B1206" s="67">
        <v>22495577806</v>
      </c>
      <c r="C1206" s="72" t="s">
        <v>3565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3566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3567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3568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1774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3569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3570</v>
      </c>
      <c r="B1211" s="67">
        <v>37304527897</v>
      </c>
      <c r="C1211" s="72" t="s">
        <v>3571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3572</v>
      </c>
      <c r="B1212" s="67">
        <v>11328067807</v>
      </c>
      <c r="C1212" s="72" t="s">
        <v>3573</v>
      </c>
      <c r="D1212" s="69">
        <v>60769793800</v>
      </c>
      <c r="E1212" s="9">
        <v>262</v>
      </c>
      <c r="F1212" s="25">
        <v>43160</v>
      </c>
      <c r="G1212" s="70" t="s">
        <v>1774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3574</v>
      </c>
      <c r="B1213" s="67">
        <v>4007781575</v>
      </c>
      <c r="C1213" s="72" t="s">
        <v>3575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3576</v>
      </c>
      <c r="B1214" s="67">
        <v>38448111842</v>
      </c>
      <c r="C1214" s="72" t="s">
        <v>3577</v>
      </c>
      <c r="D1214" s="69">
        <v>38350911824</v>
      </c>
      <c r="E1214" s="9"/>
      <c r="F1214" s="25"/>
      <c r="G1214" s="70" t="s">
        <v>1774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3578</v>
      </c>
      <c r="B1215" s="67"/>
      <c r="C1215" s="18" t="s">
        <v>1887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3579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3580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1774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3581</v>
      </c>
      <c r="B1218" s="67">
        <v>29040829802</v>
      </c>
      <c r="C1218" s="68" t="s">
        <v>3582</v>
      </c>
      <c r="D1218" s="69">
        <v>17804755864</v>
      </c>
      <c r="E1218" s="9">
        <v>1128</v>
      </c>
      <c r="F1218" s="25">
        <v>42972</v>
      </c>
      <c r="G1218" s="70" t="s">
        <v>1774</v>
      </c>
      <c r="H1218" s="9"/>
      <c r="I1218" s="8"/>
      <c r="J1218" s="8"/>
      <c r="K1218" s="8"/>
      <c r="L1218" s="8"/>
      <c r="M1218" s="8"/>
    </row>
    <row r="1219" spans="1:13">
      <c r="A1219" s="71" t="s">
        <v>3583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3584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1774</v>
      </c>
      <c r="H1220" s="9"/>
      <c r="I1220" s="8"/>
      <c r="J1220" s="8"/>
      <c r="K1220" s="8"/>
      <c r="L1220" s="9" t="s">
        <v>2011</v>
      </c>
      <c r="M1220" s="8"/>
    </row>
    <row r="1221" spans="1:13">
      <c r="A1221" s="14" t="s">
        <v>3585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3586</v>
      </c>
      <c r="B1222" s="67">
        <v>22614376841</v>
      </c>
      <c r="C1222" s="18" t="s">
        <v>1887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3587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3588</v>
      </c>
      <c r="B1224" s="67">
        <v>95023003515</v>
      </c>
      <c r="C1224" s="72" t="s">
        <v>3589</v>
      </c>
      <c r="D1224" s="69">
        <v>2283584507</v>
      </c>
      <c r="E1224" s="9">
        <v>117</v>
      </c>
      <c r="F1224" s="25">
        <v>43117</v>
      </c>
      <c r="G1224" s="70" t="s">
        <v>1774</v>
      </c>
      <c r="H1224" s="9"/>
      <c r="I1224" s="8"/>
      <c r="J1224" s="8"/>
      <c r="K1224" s="8"/>
      <c r="L1224" s="9" t="s">
        <v>1928</v>
      </c>
      <c r="M1224" s="8"/>
    </row>
    <row r="1225" spans="1:13">
      <c r="A1225" s="15" t="s">
        <v>3590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1774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3591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3592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1774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3593</v>
      </c>
      <c r="B1228" s="67">
        <v>40584610807</v>
      </c>
      <c r="C1228" s="72" t="s">
        <v>3594</v>
      </c>
      <c r="D1228" s="69">
        <v>29182543801</v>
      </c>
      <c r="E1228" s="9">
        <v>810</v>
      </c>
      <c r="F1228" s="25">
        <v>42915</v>
      </c>
      <c r="G1228" s="70" t="s">
        <v>1774</v>
      </c>
      <c r="H1228" s="9"/>
      <c r="I1228" s="8"/>
      <c r="J1228" s="8"/>
      <c r="K1228" s="8"/>
      <c r="L1228" s="9" t="s">
        <v>1896</v>
      </c>
      <c r="M1228" s="8"/>
    </row>
    <row r="1229" spans="1:13">
      <c r="A1229" s="71" t="s">
        <v>3595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1774</v>
      </c>
      <c r="H1229" s="9"/>
      <c r="I1229" s="8"/>
      <c r="J1229" s="8"/>
      <c r="K1229" s="8"/>
      <c r="L1229" s="8"/>
      <c r="M1229" s="8"/>
    </row>
    <row r="1230" spans="1:13">
      <c r="A1230" s="18" t="s">
        <v>3596</v>
      </c>
      <c r="B1230" s="67">
        <v>2330650590</v>
      </c>
      <c r="C1230" s="18" t="s">
        <v>2150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3597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2057</v>
      </c>
      <c r="M1231" s="8"/>
    </row>
    <row r="1232" spans="1:13">
      <c r="A1232" s="71" t="s">
        <v>3598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1774</v>
      </c>
      <c r="H1232" s="9"/>
      <c r="I1232" s="8"/>
      <c r="J1232" s="8"/>
      <c r="K1232" s="8"/>
      <c r="L1232" s="8"/>
      <c r="M1232" s="8"/>
    </row>
    <row r="1233" spans="1:13">
      <c r="A1233" s="71" t="s">
        <v>3599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3600</v>
      </c>
      <c r="B1234" s="67">
        <v>35116318826</v>
      </c>
      <c r="C1234" s="72" t="s">
        <v>3601</v>
      </c>
      <c r="D1234" s="69">
        <v>22432837860</v>
      </c>
      <c r="E1234" s="9">
        <v>1824</v>
      </c>
      <c r="F1234" s="25">
        <v>43091</v>
      </c>
      <c r="G1234" s="70" t="s">
        <v>1774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3602</v>
      </c>
      <c r="B1235" s="67">
        <v>40048912808</v>
      </c>
      <c r="C1235" s="72" t="s">
        <v>3603</v>
      </c>
      <c r="D1235" s="69">
        <v>43519054841</v>
      </c>
      <c r="E1235" s="9">
        <v>262</v>
      </c>
      <c r="F1235" s="25">
        <v>43160</v>
      </c>
      <c r="G1235" s="70" t="s">
        <v>1774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3604</v>
      </c>
      <c r="B1236" s="67">
        <v>26016197831</v>
      </c>
      <c r="C1236" s="15" t="s">
        <v>3605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3606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1774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3607</v>
      </c>
      <c r="B1238" s="67">
        <v>40121535878</v>
      </c>
      <c r="C1238" s="72" t="s">
        <v>3608</v>
      </c>
      <c r="D1238" s="69">
        <v>33343601802</v>
      </c>
      <c r="E1238" s="9">
        <v>292</v>
      </c>
      <c r="F1238" s="25">
        <v>43168</v>
      </c>
      <c r="G1238" s="70" t="s">
        <v>1774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3609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3610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1774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3611</v>
      </c>
      <c r="B1241" s="67">
        <v>31029975892</v>
      </c>
      <c r="C1241" s="72" t="s">
        <v>3612</v>
      </c>
      <c r="D1241" s="69">
        <v>36873004472</v>
      </c>
      <c r="E1241" s="9">
        <v>1106</v>
      </c>
      <c r="F1241" s="25">
        <v>42965</v>
      </c>
      <c r="G1241" s="9" t="s">
        <v>1774</v>
      </c>
      <c r="H1241" s="9"/>
      <c r="I1241" s="8"/>
      <c r="J1241" s="8"/>
      <c r="K1241" s="8"/>
      <c r="L1241" s="8"/>
      <c r="M1241" s="8"/>
    </row>
    <row r="1242" spans="1:13">
      <c r="A1242" s="72" t="s">
        <v>3613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1774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3614</v>
      </c>
      <c r="B1243" s="67">
        <v>36051592814</v>
      </c>
      <c r="C1243" s="72" t="s">
        <v>3615</v>
      </c>
      <c r="D1243" s="69">
        <v>13109522847</v>
      </c>
      <c r="E1243" s="9">
        <v>810</v>
      </c>
      <c r="F1243" s="25">
        <v>42915</v>
      </c>
      <c r="G1243" s="70" t="s">
        <v>1774</v>
      </c>
      <c r="H1243" s="9"/>
      <c r="I1243" s="8"/>
      <c r="J1243" s="8"/>
      <c r="K1243" s="8"/>
      <c r="L1243" s="9" t="s">
        <v>1896</v>
      </c>
      <c r="M1243" s="8"/>
    </row>
    <row r="1244" spans="1:13">
      <c r="A1244" s="71" t="s">
        <v>3616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3617</v>
      </c>
      <c r="B1245" s="67">
        <v>28142782820</v>
      </c>
      <c r="C1245" s="18" t="s">
        <v>3618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3619</v>
      </c>
      <c r="B1246" s="67">
        <v>30088939880</v>
      </c>
      <c r="C1246" s="72" t="s">
        <v>3620</v>
      </c>
      <c r="D1246" s="69">
        <v>2051861579</v>
      </c>
      <c r="E1246" s="9">
        <v>292</v>
      </c>
      <c r="F1246" s="25">
        <v>43168</v>
      </c>
      <c r="G1246" s="9" t="s">
        <v>1774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3621</v>
      </c>
      <c r="B1247" s="67">
        <v>11525085476</v>
      </c>
      <c r="C1247" s="72" t="s">
        <v>3622</v>
      </c>
      <c r="D1247" s="69">
        <v>9293576473</v>
      </c>
      <c r="E1247" s="9">
        <v>262</v>
      </c>
      <c r="F1247" s="25">
        <v>43160</v>
      </c>
      <c r="G1247" s="70" t="s">
        <v>1774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3623</v>
      </c>
      <c r="B1248" s="67"/>
      <c r="C1248" s="29" t="s">
        <v>3624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3625</v>
      </c>
      <c r="B1249" s="67">
        <v>31265129843</v>
      </c>
      <c r="C1249" s="68" t="s">
        <v>3626</v>
      </c>
      <c r="D1249" s="69">
        <v>2078435546</v>
      </c>
      <c r="E1249" s="9">
        <v>1241</v>
      </c>
      <c r="F1249" s="25">
        <v>42992</v>
      </c>
      <c r="G1249" s="70" t="s">
        <v>1774</v>
      </c>
      <c r="H1249" s="9"/>
      <c r="I1249" s="8"/>
      <c r="J1249" s="8"/>
      <c r="K1249" s="8"/>
      <c r="L1249" s="8"/>
      <c r="M1249" s="8"/>
    </row>
    <row r="1250" spans="1:13">
      <c r="A1250" s="15" t="s">
        <v>3627</v>
      </c>
      <c r="B1250" s="67">
        <v>22524200817</v>
      </c>
      <c r="C1250" s="72" t="s">
        <v>3628</v>
      </c>
      <c r="D1250" s="69">
        <v>22961531861</v>
      </c>
      <c r="E1250" s="9">
        <v>229</v>
      </c>
      <c r="F1250" s="25">
        <v>43151</v>
      </c>
      <c r="G1250" s="70" t="s">
        <v>1780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3629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1774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3630</v>
      </c>
      <c r="B1252" s="67">
        <v>29736807860</v>
      </c>
      <c r="C1252" s="72" t="s">
        <v>3631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3632</v>
      </c>
      <c r="B1253" s="67">
        <v>4890860398</v>
      </c>
      <c r="C1253" s="72" t="s">
        <v>3633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3634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1774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3635</v>
      </c>
      <c r="B1255" s="67">
        <v>35336343889</v>
      </c>
      <c r="C1255" s="18" t="s">
        <v>3636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3637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2057</v>
      </c>
      <c r="M1256" s="8"/>
    </row>
    <row r="1257" spans="1:13">
      <c r="A1257" s="14" t="s">
        <v>3638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3639</v>
      </c>
      <c r="B1258" s="67">
        <v>39107511809</v>
      </c>
      <c r="C1258" s="72" t="s">
        <v>3640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3641</v>
      </c>
      <c r="B1259" s="67">
        <v>6652314584</v>
      </c>
      <c r="C1259" s="72" t="s">
        <v>3642</v>
      </c>
      <c r="D1259" s="69">
        <v>4945754500</v>
      </c>
      <c r="E1259" s="9">
        <v>85</v>
      </c>
      <c r="F1259" s="25">
        <v>43109</v>
      </c>
      <c r="G1259" s="70" t="s">
        <v>1780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3643</v>
      </c>
      <c r="B1260" s="67">
        <v>43135974847</v>
      </c>
      <c r="C1260" s="73" t="s">
        <v>3644</v>
      </c>
      <c r="D1260" s="69" t="s">
        <v>3645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2057</v>
      </c>
      <c r="M1260" s="8"/>
    </row>
    <row r="1261" spans="1:13">
      <c r="A1261" s="13" t="s">
        <v>3646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1774</v>
      </c>
      <c r="H1261" s="9"/>
      <c r="I1261" s="8"/>
      <c r="J1261" s="8"/>
      <c r="K1261" s="8"/>
      <c r="L1261" s="8"/>
      <c r="M1261" s="8"/>
    </row>
    <row r="1262" spans="1:13">
      <c r="A1262" s="71" t="s">
        <v>3647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2057</v>
      </c>
      <c r="M1262" s="8"/>
    </row>
    <row r="1263" spans="1:13">
      <c r="A1263" s="14" t="s">
        <v>3648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1774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3649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3650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1780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3651</v>
      </c>
      <c r="B1266" s="67">
        <v>1748350943</v>
      </c>
      <c r="C1266" s="72" t="s">
        <v>3652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3653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3654</v>
      </c>
      <c r="B1268" s="67">
        <v>23502610851</v>
      </c>
      <c r="C1268" s="73" t="s">
        <v>3655</v>
      </c>
      <c r="D1268" s="69" t="s">
        <v>3656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3657</v>
      </c>
      <c r="B1269" s="67">
        <v>48857598896</v>
      </c>
      <c r="C1269" s="72" t="s">
        <v>3658</v>
      </c>
      <c r="D1269" s="69">
        <v>36223394896</v>
      </c>
      <c r="E1269" s="9">
        <v>262</v>
      </c>
      <c r="F1269" s="25">
        <v>43160</v>
      </c>
      <c r="G1269" s="46" t="s">
        <v>1780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3659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3660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3661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1774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3662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2057</v>
      </c>
      <c r="M1273" s="8"/>
    </row>
    <row r="1274" spans="1:13">
      <c r="A1274" s="71" t="s">
        <v>3663</v>
      </c>
      <c r="B1274" s="78" t="s">
        <v>3664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3665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1774</v>
      </c>
      <c r="H1275" s="9"/>
      <c r="I1275" s="8"/>
      <c r="J1275" s="8"/>
      <c r="K1275" s="8"/>
      <c r="L1275" s="8"/>
      <c r="M1275" s="8"/>
    </row>
    <row r="1276" spans="1:13">
      <c r="A1276" s="71" t="s">
        <v>3666</v>
      </c>
      <c r="B1276" s="67">
        <v>16354483876</v>
      </c>
      <c r="C1276" s="68" t="s">
        <v>3667</v>
      </c>
      <c r="D1276" s="69">
        <v>2853992845</v>
      </c>
      <c r="E1276" s="9">
        <v>1267</v>
      </c>
      <c r="F1276" s="25">
        <v>42998</v>
      </c>
      <c r="G1276" s="70" t="s">
        <v>1774</v>
      </c>
      <c r="H1276" s="9"/>
      <c r="I1276" s="8"/>
      <c r="J1276" s="8"/>
      <c r="K1276" s="8"/>
      <c r="L1276" s="8"/>
      <c r="M1276" s="8"/>
    </row>
    <row r="1277" spans="1:13">
      <c r="A1277" s="71" t="s">
        <v>3668</v>
      </c>
      <c r="B1277" s="67">
        <v>40753885816</v>
      </c>
      <c r="C1277" s="72" t="s">
        <v>3669</v>
      </c>
      <c r="D1277" s="69">
        <v>35877507850</v>
      </c>
      <c r="E1277" s="9">
        <v>85</v>
      </c>
      <c r="F1277" s="25">
        <v>43109</v>
      </c>
      <c r="G1277" s="70" t="s">
        <v>1774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3670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3671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1774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3672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3673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3674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3675</v>
      </c>
      <c r="B1283" s="67">
        <v>44632196800</v>
      </c>
      <c r="C1283" s="72" t="s">
        <v>3676</v>
      </c>
      <c r="D1283" s="69">
        <v>38901506831</v>
      </c>
      <c r="E1283" s="9">
        <v>1359</v>
      </c>
      <c r="F1283" s="25">
        <v>43006</v>
      </c>
      <c r="G1283" s="9" t="s">
        <v>1774</v>
      </c>
      <c r="H1283" s="9"/>
      <c r="I1283" s="8"/>
      <c r="J1283" s="8"/>
      <c r="K1283" s="8"/>
      <c r="L1283" s="8"/>
      <c r="M1283" s="8"/>
    </row>
    <row r="1284" spans="1:13">
      <c r="A1284" s="18" t="s">
        <v>3677</v>
      </c>
      <c r="B1284" s="67"/>
      <c r="C1284" s="18" t="s">
        <v>3678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3679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1774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3680</v>
      </c>
      <c r="B1286" s="67">
        <v>7354753505</v>
      </c>
      <c r="C1286" s="72" t="s">
        <v>3681</v>
      </c>
      <c r="D1286" s="69">
        <v>26646541876</v>
      </c>
      <c r="E1286" s="9">
        <v>117</v>
      </c>
      <c r="F1286" s="25">
        <v>43117</v>
      </c>
      <c r="G1286" s="70" t="s">
        <v>1774</v>
      </c>
      <c r="H1286" s="9"/>
      <c r="I1286" s="8"/>
      <c r="J1286" s="8"/>
      <c r="K1286" s="8"/>
      <c r="L1286" s="9" t="s">
        <v>1928</v>
      </c>
      <c r="M1286" s="8"/>
    </row>
    <row r="1287" spans="1:13">
      <c r="A1287" s="71" t="s">
        <v>3682</v>
      </c>
      <c r="B1287" s="67">
        <v>45378515890</v>
      </c>
      <c r="C1287" s="72" t="s">
        <v>3683</v>
      </c>
      <c r="D1287" s="69">
        <v>35635754520</v>
      </c>
      <c r="E1287" s="9">
        <v>1752</v>
      </c>
      <c r="F1287" s="25">
        <v>43051</v>
      </c>
      <c r="G1287" s="70" t="s">
        <v>1774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3684</v>
      </c>
      <c r="B1288" s="67">
        <v>41274505844</v>
      </c>
      <c r="C1288" s="18" t="s">
        <v>3685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3686</v>
      </c>
      <c r="B1289" s="67">
        <v>46583836831</v>
      </c>
      <c r="C1289" s="72" t="s">
        <v>3687</v>
      </c>
      <c r="D1289" s="69">
        <v>39199167867</v>
      </c>
      <c r="E1289" s="9">
        <v>292</v>
      </c>
      <c r="F1289" s="25">
        <v>43168</v>
      </c>
      <c r="G1289" s="9" t="s">
        <v>1774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3688</v>
      </c>
      <c r="B1290" s="67"/>
      <c r="C1290" s="29" t="s">
        <v>3689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3690</v>
      </c>
      <c r="B1291" s="67">
        <v>37483362847</v>
      </c>
      <c r="C1291" s="29" t="s">
        <v>3691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3692</v>
      </c>
      <c r="B1292" s="67">
        <v>43663899837</v>
      </c>
      <c r="C1292" s="18" t="s">
        <v>3693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3694</v>
      </c>
      <c r="B1293" s="67">
        <v>39203446850</v>
      </c>
      <c r="C1293" s="72" t="s">
        <v>3695</v>
      </c>
      <c r="D1293" s="69">
        <v>39255518836</v>
      </c>
      <c r="E1293" s="9">
        <v>292</v>
      </c>
      <c r="F1293" s="25">
        <v>43168</v>
      </c>
      <c r="G1293" s="70" t="s">
        <v>1774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3696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3697</v>
      </c>
      <c r="B1295" s="67">
        <v>45722318850</v>
      </c>
      <c r="C1295" s="72" t="s">
        <v>3698</v>
      </c>
      <c r="D1295" s="69">
        <v>61122102313</v>
      </c>
      <c r="E1295" s="9">
        <v>229</v>
      </c>
      <c r="F1295" s="25">
        <v>43151</v>
      </c>
      <c r="G1295" s="70" t="s">
        <v>1774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3699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3700</v>
      </c>
      <c r="B1297" s="67">
        <v>47697684861</v>
      </c>
      <c r="C1297" s="72" t="s">
        <v>3701</v>
      </c>
      <c r="D1297" s="69">
        <v>42642601838</v>
      </c>
      <c r="E1297" s="9">
        <v>229</v>
      </c>
      <c r="F1297" s="25">
        <v>43151</v>
      </c>
      <c r="G1297" s="70" t="s">
        <v>1774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3702</v>
      </c>
      <c r="B1298" s="67">
        <v>97503479515</v>
      </c>
      <c r="C1298" s="15" t="s">
        <v>3703</v>
      </c>
      <c r="D1298" s="69">
        <v>28269015830</v>
      </c>
      <c r="E1298" s="9">
        <v>262</v>
      </c>
      <c r="F1298" s="25">
        <v>43160</v>
      </c>
      <c r="G1298" s="70" t="s">
        <v>1774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3704</v>
      </c>
      <c r="B1299" s="67">
        <v>84327510491</v>
      </c>
      <c r="C1299" s="72" t="s">
        <v>3705</v>
      </c>
      <c r="D1299" s="69">
        <v>17305875856</v>
      </c>
      <c r="E1299" s="9">
        <v>292</v>
      </c>
      <c r="F1299" s="25">
        <v>43168</v>
      </c>
      <c r="G1299" s="70" t="s">
        <v>1774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3706</v>
      </c>
      <c r="B1300" s="67">
        <v>24870791854</v>
      </c>
      <c r="C1300" s="68" t="s">
        <v>3707</v>
      </c>
      <c r="D1300" s="69">
        <v>4398744835</v>
      </c>
      <c r="E1300" s="9">
        <v>1128</v>
      </c>
      <c r="F1300" s="25">
        <v>42972</v>
      </c>
      <c r="G1300" s="70" t="s">
        <v>1774</v>
      </c>
      <c r="H1300" s="9"/>
      <c r="I1300" s="8"/>
      <c r="J1300" s="8"/>
      <c r="K1300" s="8"/>
      <c r="L1300" s="8"/>
      <c r="M1300" s="8"/>
    </row>
    <row r="1301" spans="1:13">
      <c r="A1301" s="71" t="s">
        <v>3708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1774</v>
      </c>
      <c r="H1301" s="9"/>
      <c r="I1301" s="8"/>
      <c r="J1301" s="8"/>
      <c r="K1301" s="8"/>
      <c r="L1301" s="8"/>
      <c r="M1301" s="8"/>
    </row>
    <row r="1302" spans="1:13">
      <c r="A1302" s="29" t="s">
        <v>3709</v>
      </c>
      <c r="B1302" s="67"/>
      <c r="C1302" s="18" t="s">
        <v>1887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3710</v>
      </c>
      <c r="B1303" s="67">
        <v>25533246851</v>
      </c>
      <c r="C1303" s="72" t="s">
        <v>3711</v>
      </c>
      <c r="D1303" s="69">
        <v>2336832836</v>
      </c>
      <c r="E1303" s="9">
        <v>810</v>
      </c>
      <c r="F1303" s="25">
        <v>42915</v>
      </c>
      <c r="G1303" s="70" t="s">
        <v>1774</v>
      </c>
      <c r="H1303" s="9"/>
      <c r="I1303" s="8"/>
      <c r="J1303" s="8"/>
      <c r="K1303" s="8"/>
      <c r="L1303" s="9" t="s">
        <v>1896</v>
      </c>
      <c r="M1303" s="8"/>
    </row>
    <row r="1304" spans="1:13">
      <c r="A1304" s="71" t="s">
        <v>3712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1774</v>
      </c>
      <c r="H1304" s="9"/>
      <c r="I1304" s="8"/>
      <c r="J1304" s="8"/>
      <c r="K1304" s="8"/>
      <c r="L1304" s="8"/>
      <c r="M1304" s="8"/>
    </row>
    <row r="1305" spans="1:13">
      <c r="A1305" s="15" t="s">
        <v>3713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3714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3715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3716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3717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3718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3719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1774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3720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1774</v>
      </c>
      <c r="H1312" s="9"/>
      <c r="I1312" s="8"/>
      <c r="J1312" s="8"/>
      <c r="K1312" s="8"/>
      <c r="L1312" s="8"/>
      <c r="M1312" s="8"/>
    </row>
    <row r="1313" spans="1:13">
      <c r="A1313" s="18" t="s">
        <v>3721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3722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3723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1774</v>
      </c>
      <c r="H1315" s="9"/>
      <c r="I1315" s="8"/>
      <c r="J1315" s="8"/>
      <c r="K1315" s="8"/>
      <c r="L1315" s="9" t="s">
        <v>2011</v>
      </c>
      <c r="M1315" s="8"/>
    </row>
    <row r="1316" spans="1:13">
      <c r="A1316" s="71" t="s">
        <v>3724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1774</v>
      </c>
      <c r="H1316" s="9"/>
      <c r="I1316" s="8"/>
      <c r="J1316" s="8"/>
      <c r="K1316" s="8"/>
      <c r="L1316" s="8"/>
      <c r="M1316" s="8"/>
    </row>
    <row r="1317" spans="1:13">
      <c r="A1317" s="18" t="s">
        <v>3725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3726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1774</v>
      </c>
      <c r="H1318" s="9"/>
      <c r="I1318" s="8"/>
      <c r="J1318" s="8"/>
      <c r="K1318" s="8"/>
      <c r="L1318" s="9" t="s">
        <v>2260</v>
      </c>
      <c r="M1318" s="8"/>
    </row>
    <row r="1319" spans="1:13">
      <c r="A1319" s="15" t="s">
        <v>3727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3728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3729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1774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3730</v>
      </c>
      <c r="B1322" s="67">
        <v>10519320921</v>
      </c>
      <c r="C1322" s="77" t="s">
        <v>3731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3732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1774</v>
      </c>
      <c r="H1323" s="9"/>
      <c r="I1323" s="8"/>
      <c r="J1323" s="8"/>
      <c r="K1323" s="8"/>
      <c r="L1323" s="8"/>
      <c r="M1323" s="8"/>
    </row>
    <row r="1324" spans="1:13">
      <c r="A1324" s="29" t="s">
        <v>3733</v>
      </c>
      <c r="B1324" s="67"/>
      <c r="C1324" s="18" t="s">
        <v>1887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3734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3735</v>
      </c>
      <c r="B1326" s="67"/>
      <c r="C1326" s="29" t="s">
        <v>1887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3736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1774</v>
      </c>
      <c r="H1327" s="9"/>
      <c r="I1327" s="8"/>
      <c r="J1327" s="8"/>
      <c r="K1327" s="8"/>
      <c r="L1327" s="8"/>
      <c r="M1327" s="8"/>
    </row>
    <row r="1328" spans="1:13">
      <c r="A1328" s="71" t="s">
        <v>3737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3738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1774</v>
      </c>
      <c r="H1329" s="9"/>
      <c r="I1329" s="8"/>
      <c r="J1329" s="8"/>
      <c r="K1329" s="8"/>
      <c r="L1329" s="8"/>
      <c r="M1329" s="8"/>
    </row>
    <row r="1330" spans="1:13">
      <c r="A1330" s="15" t="s">
        <v>3739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3740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1774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3741</v>
      </c>
      <c r="B1332" s="67">
        <v>27211072830</v>
      </c>
      <c r="C1332" s="72" t="s">
        <v>3742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3743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3744</v>
      </c>
      <c r="B1334" s="67">
        <v>35197770880</v>
      </c>
      <c r="C1334" s="72" t="s">
        <v>3745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3746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3747</v>
      </c>
      <c r="B1336" s="67">
        <v>35236970857</v>
      </c>
      <c r="C1336" s="68" t="s">
        <v>3748</v>
      </c>
      <c r="D1336" s="69">
        <v>41901199894</v>
      </c>
      <c r="E1336" s="9">
        <v>1417</v>
      </c>
      <c r="F1336" s="25">
        <v>43017</v>
      </c>
      <c r="G1336" s="70" t="s">
        <v>1774</v>
      </c>
      <c r="H1336" s="76">
        <v>43213</v>
      </c>
      <c r="I1336" s="8"/>
      <c r="J1336" s="8"/>
      <c r="K1336" s="8"/>
      <c r="L1336" s="9" t="s">
        <v>2011</v>
      </c>
      <c r="M1336" s="8"/>
    </row>
    <row r="1337" spans="1:13">
      <c r="A1337" s="71" t="s">
        <v>3749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1774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3750</v>
      </c>
      <c r="B1338" s="67"/>
      <c r="C1338" s="29" t="s">
        <v>1887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3751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3752</v>
      </c>
      <c r="B1340" s="67">
        <v>5263835850</v>
      </c>
      <c r="C1340" s="72" t="s">
        <v>3753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3754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3755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1774</v>
      </c>
      <c r="H1342" s="76">
        <v>43213</v>
      </c>
      <c r="I1342" s="8"/>
      <c r="J1342" s="8"/>
      <c r="K1342" s="8"/>
      <c r="L1342" s="9" t="s">
        <v>1928</v>
      </c>
      <c r="M1342" s="8"/>
    </row>
    <row r="1343" spans="1:13">
      <c r="A1343" s="29" t="s">
        <v>3756</v>
      </c>
      <c r="B1343" s="67">
        <v>31148209808</v>
      </c>
      <c r="C1343" s="18" t="s">
        <v>1887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3757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3758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1774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3759</v>
      </c>
      <c r="B1346" s="67">
        <v>85794398507</v>
      </c>
      <c r="C1346" s="72" t="s">
        <v>3760</v>
      </c>
      <c r="D1346" s="69">
        <v>59689188534</v>
      </c>
      <c r="E1346" s="9">
        <v>292</v>
      </c>
      <c r="F1346" s="25">
        <v>43168</v>
      </c>
      <c r="G1346" s="70" t="s">
        <v>1774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3761</v>
      </c>
      <c r="B1347" s="67">
        <v>2770765442</v>
      </c>
      <c r="C1347" s="72" t="s">
        <v>3762</v>
      </c>
      <c r="D1347" s="69">
        <v>24730161866</v>
      </c>
      <c r="E1347" s="9">
        <v>229</v>
      </c>
      <c r="F1347" s="25">
        <v>43151</v>
      </c>
      <c r="G1347" s="70" t="s">
        <v>1774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3763</v>
      </c>
      <c r="B1348" s="67">
        <v>1295044838</v>
      </c>
      <c r="C1348" s="72" t="s">
        <v>3764</v>
      </c>
      <c r="D1348" s="69">
        <v>29976206860</v>
      </c>
      <c r="E1348" s="9">
        <v>485</v>
      </c>
      <c r="F1348" s="25">
        <v>43196</v>
      </c>
      <c r="G1348" s="70" t="s">
        <v>1780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3765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3766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3767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3768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1774</v>
      </c>
      <c r="H1352" s="9"/>
      <c r="I1352" s="8"/>
      <c r="J1352" s="8"/>
      <c r="K1352" s="8"/>
      <c r="L1352" s="8"/>
      <c r="M1352" s="8"/>
    </row>
    <row r="1353" spans="1:13">
      <c r="A1353" s="71" t="s">
        <v>3769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1774</v>
      </c>
      <c r="H1353" s="9"/>
      <c r="I1353" s="8"/>
      <c r="J1353" s="8"/>
      <c r="K1353" s="8"/>
      <c r="L1353" s="8"/>
      <c r="M1353" s="8"/>
    </row>
    <row r="1354" spans="1:13">
      <c r="A1354" s="15" t="s">
        <v>3770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3771</v>
      </c>
      <c r="B1355" s="67">
        <v>75678772520</v>
      </c>
      <c r="C1355" s="72" t="s">
        <v>3772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3773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3774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3775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1774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3776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3777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1774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3778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1774</v>
      </c>
      <c r="H1361" s="9"/>
      <c r="I1361" s="8"/>
      <c r="J1361" s="8"/>
      <c r="K1361" s="8"/>
      <c r="L1361" s="8"/>
      <c r="M1361" s="8"/>
    </row>
    <row r="1362" spans="1:13">
      <c r="A1362" s="29" t="s">
        <v>3779</v>
      </c>
      <c r="B1362" s="67"/>
      <c r="C1362" s="18" t="s">
        <v>1887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3780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3781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3782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3783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1774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3784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3785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1774</v>
      </c>
      <c r="H1368" s="9"/>
      <c r="I1368" s="8"/>
      <c r="J1368" s="8"/>
      <c r="K1368" s="8"/>
      <c r="L1368" s="9" t="s">
        <v>1928</v>
      </c>
      <c r="M1368" s="8"/>
    </row>
    <row r="1369" spans="1:13">
      <c r="A1369" s="29" t="s">
        <v>3786</v>
      </c>
      <c r="B1369" s="67"/>
      <c r="C1369" s="29" t="s">
        <v>1887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3787</v>
      </c>
      <c r="B1370" s="67">
        <v>87915170520</v>
      </c>
      <c r="C1370" s="72" t="s">
        <v>3788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3789</v>
      </c>
      <c r="B1371" s="67">
        <v>30693970855</v>
      </c>
      <c r="C1371" s="72" t="s">
        <v>3790</v>
      </c>
      <c r="D1371" s="69">
        <v>6402681610</v>
      </c>
      <c r="E1371" s="9">
        <v>608</v>
      </c>
      <c r="F1371" s="25">
        <v>43012</v>
      </c>
      <c r="G1371" s="70" t="s">
        <v>1780</v>
      </c>
      <c r="H1371" s="9"/>
      <c r="I1371" s="8"/>
      <c r="J1371" s="8"/>
      <c r="K1371" s="8"/>
      <c r="L1371" s="8"/>
      <c r="M1371" s="8"/>
    </row>
    <row r="1372" spans="1:13">
      <c r="A1372" s="71" t="s">
        <v>3791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3792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3793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3794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1774</v>
      </c>
      <c r="H1375" s="9"/>
      <c r="I1375" s="8"/>
      <c r="J1375" s="8"/>
      <c r="K1375" s="8"/>
      <c r="L1375" s="8"/>
      <c r="M1375" s="8"/>
    </row>
    <row r="1376" spans="1:13">
      <c r="A1376" s="71" t="s">
        <v>3795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1774</v>
      </c>
      <c r="H1376" s="9"/>
      <c r="I1376" s="8"/>
      <c r="J1376" s="8"/>
      <c r="K1376" s="8"/>
      <c r="L1376" s="9" t="s">
        <v>1896</v>
      </c>
      <c r="M1376" s="8"/>
    </row>
    <row r="1377" spans="1:13">
      <c r="A1377" s="71" t="s">
        <v>3796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1774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3797</v>
      </c>
      <c r="B1378" s="78" t="s">
        <v>3798</v>
      </c>
      <c r="C1378" s="72"/>
      <c r="D1378" s="69"/>
      <c r="E1378" s="9">
        <v>292</v>
      </c>
      <c r="F1378" s="25">
        <v>43168</v>
      </c>
      <c r="G1378" s="9" t="s">
        <v>1774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3799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3800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1774</v>
      </c>
      <c r="H1380" s="9"/>
      <c r="I1380" s="8"/>
      <c r="J1380" s="8"/>
      <c r="K1380" s="8"/>
      <c r="L1380" s="8"/>
      <c r="M1380" s="8"/>
    </row>
    <row r="1381" spans="1:13">
      <c r="A1381" s="71" t="s">
        <v>3801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1774</v>
      </c>
      <c r="H1381" s="9"/>
      <c r="I1381" s="8"/>
      <c r="J1381" s="8"/>
      <c r="K1381" s="8"/>
      <c r="L1381" s="9" t="s">
        <v>2156</v>
      </c>
      <c r="M1381" s="8"/>
    </row>
    <row r="1382" spans="1:13">
      <c r="A1382" s="71" t="s">
        <v>3802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3803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3804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3805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1774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3806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1774</v>
      </c>
      <c r="H1386" s="9"/>
      <c r="I1386" s="8"/>
      <c r="J1386" s="8"/>
      <c r="K1386" s="8"/>
      <c r="L1386" s="8"/>
      <c r="M1386" s="8"/>
    </row>
    <row r="1387" spans="1:13">
      <c r="A1387" s="29" t="s">
        <v>3807</v>
      </c>
      <c r="B1387" s="67">
        <v>5753509894</v>
      </c>
      <c r="C1387" s="9" t="s">
        <v>1887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3808</v>
      </c>
      <c r="B1388" s="67"/>
      <c r="C1388" s="18" t="s">
        <v>3809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3810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3811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1774</v>
      </c>
      <c r="H1390" s="9"/>
      <c r="I1390" s="8"/>
      <c r="J1390" s="8"/>
      <c r="K1390" s="8"/>
      <c r="L1390" s="9" t="s">
        <v>1896</v>
      </c>
      <c r="M1390" s="8"/>
    </row>
    <row r="1391" spans="1:13">
      <c r="A1391" s="71" t="s">
        <v>3812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1774</v>
      </c>
      <c r="H1391" s="9"/>
      <c r="I1391" s="8"/>
      <c r="J1391" s="8"/>
      <c r="K1391" s="8"/>
      <c r="L1391" s="9" t="s">
        <v>1896</v>
      </c>
      <c r="M1391" s="8"/>
    </row>
    <row r="1392" spans="1:13">
      <c r="A1392" s="13" t="s">
        <v>3813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1774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3814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1780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3815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3816</v>
      </c>
      <c r="B1395" s="67">
        <v>61260606449</v>
      </c>
      <c r="C1395" s="72" t="s">
        <v>3817</v>
      </c>
      <c r="D1395" s="69">
        <v>73505854468</v>
      </c>
      <c r="E1395" s="9">
        <v>608</v>
      </c>
      <c r="F1395" s="25">
        <v>43012</v>
      </c>
      <c r="G1395" s="70" t="s">
        <v>1774</v>
      </c>
      <c r="H1395" s="9"/>
      <c r="I1395" s="8"/>
      <c r="J1395" s="8"/>
      <c r="K1395" s="8"/>
      <c r="L1395" s="8"/>
      <c r="M1395" s="8"/>
    </row>
    <row r="1396" spans="1:13">
      <c r="A1396" s="71" t="s">
        <v>3818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1774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3819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3820</v>
      </c>
      <c r="B1398" s="67">
        <v>68516274853</v>
      </c>
      <c r="C1398" s="18" t="s">
        <v>1887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3821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1774</v>
      </c>
      <c r="H1399" s="9"/>
      <c r="I1399" s="8"/>
      <c r="J1399" s="8"/>
      <c r="K1399" s="8"/>
      <c r="L1399" s="9" t="s">
        <v>1918</v>
      </c>
      <c r="M1399" s="8"/>
    </row>
    <row r="1400" spans="1:13">
      <c r="A1400" s="15" t="s">
        <v>3822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3823</v>
      </c>
      <c r="B1401" s="67">
        <v>85576492820</v>
      </c>
      <c r="C1401" s="72" t="s">
        <v>3824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3825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3826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1774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3827</v>
      </c>
      <c r="B1404" s="67">
        <v>27903916882</v>
      </c>
      <c r="C1404" s="32" t="s">
        <v>3828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3829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1774</v>
      </c>
      <c r="H1405" s="9"/>
      <c r="I1405" s="8"/>
      <c r="J1405" s="8"/>
      <c r="K1405" s="8"/>
      <c r="L1405" s="9" t="s">
        <v>1918</v>
      </c>
      <c r="M1405" s="8"/>
    </row>
    <row r="1406" spans="1:13">
      <c r="A1406" s="71" t="s">
        <v>3830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1780</v>
      </c>
      <c r="H1406" s="9"/>
      <c r="I1406" s="8"/>
      <c r="J1406" s="8"/>
      <c r="K1406" s="8"/>
      <c r="L1406" s="8"/>
      <c r="M1406" s="8"/>
    </row>
    <row r="1407" spans="1:13">
      <c r="A1407" s="71" t="s">
        <v>3831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3832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1774</v>
      </c>
      <c r="H1408" s="9"/>
      <c r="I1408" s="8"/>
      <c r="J1408" s="8"/>
      <c r="K1408" s="8"/>
      <c r="L1408" s="9" t="s">
        <v>1896</v>
      </c>
      <c r="M1408" s="8"/>
    </row>
    <row r="1409" spans="1:13">
      <c r="A1409" s="15" t="s">
        <v>3833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3834</v>
      </c>
      <c r="B1410" s="67">
        <v>754731863</v>
      </c>
      <c r="C1410" s="72" t="s">
        <v>3835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3836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1774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3837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1774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3838</v>
      </c>
      <c r="B1413" s="67" t="s">
        <v>3839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3840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1774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3841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1774</v>
      </c>
      <c r="H1415" s="9"/>
      <c r="I1415" s="8"/>
      <c r="J1415" s="8"/>
      <c r="K1415" s="8"/>
      <c r="L1415" s="9" t="s">
        <v>1896</v>
      </c>
      <c r="M1415" s="8"/>
    </row>
    <row r="1416" spans="1:13">
      <c r="A1416" s="71" t="s">
        <v>3842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1774</v>
      </c>
      <c r="H1416" s="9"/>
      <c r="I1416" s="8"/>
      <c r="J1416" s="8"/>
      <c r="K1416" s="8"/>
      <c r="L1416" s="8"/>
      <c r="M1416" s="8"/>
    </row>
    <row r="1417" spans="1:13">
      <c r="A1417" s="15" t="s">
        <v>3843</v>
      </c>
      <c r="B1417" s="67">
        <v>32045988880</v>
      </c>
      <c r="C1417" s="72" t="s">
        <v>3844</v>
      </c>
      <c r="D1417" s="69">
        <v>28522432880</v>
      </c>
      <c r="E1417" s="9">
        <v>85</v>
      </c>
      <c r="F1417" s="25">
        <v>43109</v>
      </c>
      <c r="G1417" s="70" t="s">
        <v>1774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3845</v>
      </c>
      <c r="B1418" s="67">
        <v>14692639806</v>
      </c>
      <c r="C1418" s="18" t="s">
        <v>1887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3846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3847</v>
      </c>
      <c r="B1420" s="67">
        <v>25745713801</v>
      </c>
      <c r="C1420" s="29" t="s">
        <v>3848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3849</v>
      </c>
      <c r="B1421" s="67">
        <v>10373973802</v>
      </c>
      <c r="C1421" s="72" t="s">
        <v>3850</v>
      </c>
      <c r="D1421" s="69">
        <v>3613530813</v>
      </c>
      <c r="E1421" s="9">
        <v>1752</v>
      </c>
      <c r="F1421" s="25">
        <v>43051</v>
      </c>
      <c r="G1421" s="70" t="s">
        <v>1774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3851</v>
      </c>
      <c r="B1422" s="67">
        <v>25397304859</v>
      </c>
      <c r="C1422" s="29" t="s">
        <v>3852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3853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3854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1774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3855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3856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3857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1774</v>
      </c>
      <c r="H1427" s="9"/>
      <c r="I1427" s="8"/>
      <c r="J1427" s="8"/>
      <c r="K1427" s="8"/>
      <c r="L1427" s="8"/>
      <c r="M1427" s="8"/>
    </row>
    <row r="1428" spans="1:13">
      <c r="A1428" s="72" t="s">
        <v>3858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3859</v>
      </c>
      <c r="B1429" s="67">
        <v>31115215833</v>
      </c>
      <c r="C1429" s="72" t="s">
        <v>3860</v>
      </c>
      <c r="D1429" s="69">
        <v>54134781515</v>
      </c>
      <c r="E1429" s="9">
        <v>608</v>
      </c>
      <c r="F1429" s="25">
        <v>43012</v>
      </c>
      <c r="G1429" s="70" t="s">
        <v>1774</v>
      </c>
      <c r="H1429" s="9"/>
      <c r="I1429" s="8"/>
      <c r="J1429" s="8"/>
      <c r="K1429" s="8"/>
      <c r="L1429" s="8"/>
      <c r="M1429" s="8"/>
    </row>
    <row r="1430" spans="1:13">
      <c r="A1430" s="15" t="s">
        <v>3861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3862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1774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3863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1774</v>
      </c>
      <c r="H1432" s="9"/>
      <c r="I1432" s="8"/>
      <c r="J1432" s="8"/>
      <c r="K1432" s="8"/>
      <c r="L1432" s="8"/>
      <c r="M1432" s="8"/>
    </row>
    <row r="1433" spans="1:13">
      <c r="A1433" s="71" t="s">
        <v>3864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1774</v>
      </c>
      <c r="H1433" s="9"/>
      <c r="I1433" s="8"/>
      <c r="J1433" s="8"/>
      <c r="K1433" s="8"/>
      <c r="L1433" s="8"/>
      <c r="M1433" s="8"/>
    </row>
    <row r="1434" spans="1:13">
      <c r="A1434" s="71" t="s">
        <v>3865</v>
      </c>
      <c r="B1434" s="67">
        <v>35198444863</v>
      </c>
      <c r="C1434" s="72" t="s">
        <v>3866</v>
      </c>
      <c r="D1434" s="69">
        <v>30956969810</v>
      </c>
      <c r="E1434" s="9">
        <v>1489</v>
      </c>
      <c r="F1434" s="25">
        <v>43038</v>
      </c>
      <c r="G1434" s="70" t="s">
        <v>1774</v>
      </c>
      <c r="H1434" s="9"/>
      <c r="I1434" s="8"/>
      <c r="J1434" s="8"/>
      <c r="K1434" s="8"/>
      <c r="L1434" s="9" t="s">
        <v>1918</v>
      </c>
      <c r="M1434" s="8"/>
    </row>
    <row r="1435" spans="1:13">
      <c r="A1435" s="72" t="s">
        <v>3867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3868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1774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3869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1774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3870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1774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3871</v>
      </c>
      <c r="B1439" s="67">
        <v>1930099517</v>
      </c>
      <c r="C1439" s="68" t="s">
        <v>3872</v>
      </c>
      <c r="D1439" s="69">
        <v>91788226534</v>
      </c>
      <c r="E1439" s="9">
        <v>1752</v>
      </c>
      <c r="F1439" s="25">
        <v>43051</v>
      </c>
      <c r="G1439" s="70" t="s">
        <v>1774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3873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3874</v>
      </c>
      <c r="B1441" s="67">
        <v>31068143819</v>
      </c>
      <c r="C1441" s="72" t="s">
        <v>3875</v>
      </c>
      <c r="D1441" s="69">
        <v>27121002809</v>
      </c>
      <c r="E1441" s="9">
        <v>608</v>
      </c>
      <c r="F1441" s="25">
        <v>43012</v>
      </c>
      <c r="G1441" s="70" t="s">
        <v>1780</v>
      </c>
      <c r="H1441" s="9"/>
      <c r="I1441" s="8"/>
      <c r="J1441" s="8"/>
      <c r="K1441" s="8"/>
      <c r="L1441" s="8"/>
      <c r="M1441" s="8"/>
    </row>
    <row r="1442" spans="1:13">
      <c r="A1442" s="71" t="s">
        <v>3876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1774</v>
      </c>
      <c r="H1442" s="9"/>
      <c r="I1442" s="8"/>
      <c r="J1442" s="8"/>
      <c r="K1442" s="8"/>
      <c r="L1442" s="9" t="s">
        <v>2260</v>
      </c>
      <c r="M1442" s="8"/>
    </row>
    <row r="1443" spans="1:13">
      <c r="A1443" s="15" t="s">
        <v>3877</v>
      </c>
      <c r="B1443" s="67">
        <v>33100600800</v>
      </c>
      <c r="C1443" s="72" t="s">
        <v>3878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3879</v>
      </c>
      <c r="B1444" s="67">
        <v>23284980865</v>
      </c>
      <c r="C1444" s="72" t="s">
        <v>3880</v>
      </c>
      <c r="D1444" s="69">
        <v>8170993792</v>
      </c>
      <c r="E1444" s="9">
        <v>1214</v>
      </c>
      <c r="F1444" s="25">
        <v>42989</v>
      </c>
      <c r="G1444" s="70" t="s">
        <v>1774</v>
      </c>
      <c r="H1444" s="9"/>
      <c r="I1444" s="8"/>
      <c r="J1444" s="8"/>
      <c r="K1444" s="8"/>
      <c r="L1444" s="8"/>
      <c r="M1444" s="8"/>
    </row>
    <row r="1445" spans="1:13">
      <c r="A1445" s="73" t="s">
        <v>3881</v>
      </c>
      <c r="B1445" s="67">
        <v>27235231874</v>
      </c>
      <c r="C1445" s="72" t="s">
        <v>3882</v>
      </c>
      <c r="D1445" s="69">
        <v>36182133520</v>
      </c>
      <c r="E1445" s="9">
        <v>1106</v>
      </c>
      <c r="F1445" s="25">
        <v>42965</v>
      </c>
      <c r="G1445" s="70" t="s">
        <v>1774</v>
      </c>
      <c r="H1445" s="9"/>
      <c r="I1445" s="8"/>
      <c r="J1445" s="8"/>
      <c r="K1445" s="8"/>
      <c r="L1445" s="8"/>
      <c r="M1445" s="8"/>
    </row>
    <row r="1446" spans="1:13">
      <c r="A1446" s="71" t="s">
        <v>3883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3884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3885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3886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3887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3888</v>
      </c>
      <c r="B1451" s="67">
        <v>774242809</v>
      </c>
      <c r="C1451" s="72" t="s">
        <v>3889</v>
      </c>
      <c r="D1451" s="69">
        <v>16619607829</v>
      </c>
      <c r="E1451" s="9">
        <v>1824</v>
      </c>
      <c r="F1451" s="25">
        <v>43091</v>
      </c>
      <c r="G1451" s="70" t="s">
        <v>1774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3890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1774</v>
      </c>
      <c r="H1452" s="9"/>
      <c r="I1452" s="8"/>
      <c r="J1452" s="8"/>
      <c r="K1452" s="8"/>
      <c r="L1452" s="8"/>
      <c r="M1452" s="8"/>
    </row>
    <row r="1453" spans="1:13">
      <c r="A1453" s="71" t="s">
        <v>3891</v>
      </c>
      <c r="B1453" s="67">
        <v>34817829850</v>
      </c>
      <c r="C1453" s="72" t="s">
        <v>3892</v>
      </c>
      <c r="D1453" s="69">
        <v>8025534863</v>
      </c>
      <c r="E1453" s="9">
        <v>1241</v>
      </c>
      <c r="F1453" s="25">
        <v>42992</v>
      </c>
      <c r="G1453" s="70" t="s">
        <v>1788</v>
      </c>
      <c r="H1453" s="9"/>
      <c r="I1453" s="8"/>
      <c r="J1453" s="8"/>
      <c r="K1453" s="8"/>
      <c r="L1453" s="8"/>
      <c r="M1453" s="8"/>
    </row>
    <row r="1454" spans="1:13">
      <c r="A1454" s="71" t="s">
        <v>3893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3894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3895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1774</v>
      </c>
      <c r="H1456" s="9"/>
      <c r="I1456" s="8"/>
      <c r="J1456" s="8"/>
      <c r="K1456" s="8"/>
      <c r="L1456" s="8"/>
      <c r="M1456" s="8"/>
    </row>
    <row r="1457" spans="1:13">
      <c r="A1457" s="71" t="s">
        <v>3896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2057</v>
      </c>
      <c r="M1457" s="8"/>
    </row>
    <row r="1458" spans="1:13">
      <c r="A1458" s="14" t="s">
        <v>3897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3898</v>
      </c>
      <c r="B1459" s="67">
        <v>32547457873</v>
      </c>
      <c r="C1459" s="72" t="s">
        <v>3899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3900</v>
      </c>
      <c r="B1460" s="67">
        <v>16784597800</v>
      </c>
      <c r="C1460" s="72" t="s">
        <v>3901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2948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3902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1774</v>
      </c>
      <c r="H1462" s="9"/>
      <c r="I1462" s="8"/>
      <c r="J1462" s="8"/>
      <c r="K1462" s="8"/>
      <c r="L1462" s="8"/>
      <c r="M1462" s="8"/>
    </row>
    <row r="1463" spans="1:13">
      <c r="A1463" s="71" t="s">
        <v>3903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3904</v>
      </c>
      <c r="B1464" s="67">
        <v>2467378403</v>
      </c>
      <c r="C1464" s="72" t="s">
        <v>3905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3906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3907</v>
      </c>
      <c r="B1466" s="67">
        <v>34247512862</v>
      </c>
      <c r="C1466" s="77" t="s">
        <v>3908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2057</v>
      </c>
      <c r="M1466" s="8"/>
    </row>
    <row r="1467" spans="1:13">
      <c r="A1467" s="71" t="s">
        <v>3909</v>
      </c>
      <c r="B1467" s="67" t="s">
        <v>3910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3911</v>
      </c>
      <c r="B1468" s="67">
        <v>47168211889</v>
      </c>
      <c r="C1468" s="72" t="s">
        <v>3912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3913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1774</v>
      </c>
      <c r="H1469" s="9"/>
      <c r="I1469" s="8"/>
      <c r="J1469" s="8"/>
      <c r="K1469" s="8"/>
      <c r="L1469" s="8"/>
      <c r="M1469" s="8"/>
    </row>
    <row r="1470" spans="1:13">
      <c r="A1470" s="71" t="s">
        <v>3914</v>
      </c>
      <c r="B1470" s="67">
        <v>1532239521</v>
      </c>
      <c r="C1470" s="72" t="s">
        <v>3915</v>
      </c>
      <c r="D1470" s="69">
        <v>37104060804</v>
      </c>
      <c r="E1470" s="9">
        <v>810</v>
      </c>
      <c r="F1470" s="25">
        <v>42915</v>
      </c>
      <c r="G1470" s="70" t="s">
        <v>1774</v>
      </c>
      <c r="H1470" s="9"/>
      <c r="I1470" s="8"/>
      <c r="J1470" s="8"/>
      <c r="K1470" s="8"/>
      <c r="L1470" s="9" t="s">
        <v>1896</v>
      </c>
      <c r="M1470" s="8"/>
    </row>
    <row r="1471" spans="1:13">
      <c r="A1471" s="15" t="s">
        <v>3916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1774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3917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1774</v>
      </c>
      <c r="H1472" s="9"/>
      <c r="I1472" s="8"/>
      <c r="J1472" s="8"/>
      <c r="K1472" s="8"/>
      <c r="L1472" s="9" t="s">
        <v>1896</v>
      </c>
      <c r="M1472" s="8"/>
    </row>
    <row r="1473" spans="1:13">
      <c r="A1473" s="71" t="s">
        <v>3918</v>
      </c>
      <c r="B1473" s="67">
        <v>37117512881</v>
      </c>
      <c r="C1473" s="75" t="s">
        <v>3919</v>
      </c>
      <c r="D1473" s="69">
        <v>39740259871</v>
      </c>
      <c r="E1473" s="9">
        <v>1106</v>
      </c>
      <c r="F1473" s="25">
        <v>42965</v>
      </c>
      <c r="G1473" s="70" t="s">
        <v>1774</v>
      </c>
      <c r="H1473" s="9"/>
      <c r="I1473" s="8"/>
      <c r="J1473" s="8"/>
      <c r="K1473" s="8"/>
      <c r="L1473" s="8"/>
      <c r="M1473" s="8"/>
    </row>
    <row r="1474" spans="1:13">
      <c r="A1474" s="13" t="s">
        <v>3920</v>
      </c>
      <c r="B1474" s="67">
        <v>39967942827</v>
      </c>
      <c r="C1474" s="72" t="s">
        <v>3921</v>
      </c>
      <c r="D1474" s="69">
        <v>32777947848</v>
      </c>
      <c r="E1474" s="9">
        <v>1267</v>
      </c>
      <c r="F1474" s="25">
        <v>42998</v>
      </c>
      <c r="G1474" s="70" t="s">
        <v>1774</v>
      </c>
      <c r="H1474" s="9"/>
      <c r="I1474" s="8"/>
      <c r="J1474" s="8"/>
      <c r="K1474" s="8"/>
      <c r="L1474" s="8"/>
      <c r="M1474" s="8"/>
    </row>
    <row r="1475" spans="1:13">
      <c r="A1475" s="71" t="s">
        <v>3922</v>
      </c>
      <c r="B1475" s="67">
        <v>18464307802</v>
      </c>
      <c r="C1475" s="72" t="s">
        <v>3923</v>
      </c>
      <c r="D1475" s="69">
        <v>13642437842</v>
      </c>
      <c r="E1475" s="9">
        <v>608</v>
      </c>
      <c r="F1475" s="25">
        <v>43012</v>
      </c>
      <c r="G1475" s="70" t="s">
        <v>1780</v>
      </c>
      <c r="H1475" s="9"/>
      <c r="I1475" s="8"/>
      <c r="J1475" s="8"/>
      <c r="K1475" s="8"/>
      <c r="L1475" s="8"/>
      <c r="M1475" s="8"/>
    </row>
    <row r="1476" spans="1:13">
      <c r="A1476" s="71" t="s">
        <v>3924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1774</v>
      </c>
      <c r="H1476" s="9"/>
      <c r="I1476" s="8"/>
      <c r="J1476" s="8"/>
      <c r="K1476" s="8"/>
      <c r="L1476" s="8"/>
      <c r="M1476" s="8"/>
    </row>
    <row r="1477" spans="1:13">
      <c r="A1477" s="71" t="s">
        <v>3925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1774</v>
      </c>
      <c r="H1477" s="9"/>
      <c r="I1477" s="8"/>
      <c r="J1477" s="8"/>
      <c r="K1477" s="8"/>
      <c r="L1477" s="8"/>
      <c r="M1477" s="8"/>
    </row>
    <row r="1478" spans="1:13">
      <c r="A1478" s="71" t="s">
        <v>3926</v>
      </c>
      <c r="B1478" s="67">
        <v>91413168515</v>
      </c>
      <c r="C1478" s="72" t="s">
        <v>3927</v>
      </c>
      <c r="D1478" s="69">
        <v>12713438861</v>
      </c>
      <c r="E1478" s="9">
        <v>810</v>
      </c>
      <c r="F1478" s="25">
        <v>42915</v>
      </c>
      <c r="G1478" s="70" t="s">
        <v>1774</v>
      </c>
      <c r="H1478" s="9"/>
      <c r="I1478" s="8"/>
      <c r="J1478" s="8"/>
      <c r="K1478" s="8"/>
      <c r="L1478" s="9" t="s">
        <v>1896</v>
      </c>
      <c r="M1478" s="8"/>
    </row>
    <row r="1479" spans="1:13">
      <c r="A1479" s="72" t="s">
        <v>3928</v>
      </c>
      <c r="B1479" s="67">
        <v>13554461806</v>
      </c>
      <c r="C1479" s="72" t="s">
        <v>3929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3930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1774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3931</v>
      </c>
      <c r="B1481" s="67">
        <v>23473313882</v>
      </c>
      <c r="C1481" s="72" t="s">
        <v>3932</v>
      </c>
      <c r="D1481" s="69">
        <v>51042797404</v>
      </c>
      <c r="E1481" s="9">
        <v>485</v>
      </c>
      <c r="F1481" s="25">
        <v>43196</v>
      </c>
      <c r="G1481" s="70" t="s">
        <v>1780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3933</v>
      </c>
      <c r="B1482" s="67">
        <v>7753877895</v>
      </c>
      <c r="C1482" s="68" t="s">
        <v>3934</v>
      </c>
      <c r="D1482" s="69">
        <v>66725372872</v>
      </c>
      <c r="E1482" s="9">
        <v>1214</v>
      </c>
      <c r="F1482" s="25">
        <v>42989</v>
      </c>
      <c r="G1482" s="70" t="s">
        <v>1774</v>
      </c>
      <c r="H1482" s="9"/>
      <c r="I1482" s="8"/>
      <c r="J1482" s="8"/>
      <c r="K1482" s="8"/>
      <c r="L1482" s="8"/>
      <c r="M1482" s="8"/>
    </row>
    <row r="1483" spans="1:13">
      <c r="A1483" s="71" t="s">
        <v>3935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3936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1774</v>
      </c>
      <c r="H1484" s="9"/>
      <c r="I1484" s="8"/>
      <c r="J1484" s="8"/>
      <c r="K1484" s="8"/>
      <c r="L1484" s="9" t="s">
        <v>1896</v>
      </c>
      <c r="M1484" s="8"/>
    </row>
    <row r="1485" spans="1:13">
      <c r="A1485" s="71" t="s">
        <v>3937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1774</v>
      </c>
      <c r="H1485" s="9"/>
      <c r="I1485" s="8"/>
      <c r="J1485" s="8"/>
      <c r="K1485" s="8"/>
      <c r="L1485" s="9" t="s">
        <v>1896</v>
      </c>
      <c r="M1485" s="8"/>
    </row>
    <row r="1486" spans="1:13">
      <c r="A1486" s="13" t="s">
        <v>3938</v>
      </c>
      <c r="B1486" s="67">
        <v>40779583850</v>
      </c>
      <c r="C1486" s="68" t="s">
        <v>3939</v>
      </c>
      <c r="D1486" s="69">
        <v>36411481890</v>
      </c>
      <c r="E1486" s="9">
        <v>1343</v>
      </c>
      <c r="F1486" s="25">
        <v>43004</v>
      </c>
      <c r="G1486" s="70" t="s">
        <v>1774</v>
      </c>
      <c r="H1486" s="9"/>
      <c r="I1486" s="8"/>
      <c r="J1486" s="8"/>
      <c r="K1486" s="8"/>
      <c r="L1486" s="8"/>
      <c r="M1486" s="8"/>
    </row>
    <row r="1487" spans="1:13">
      <c r="A1487" s="29" t="s">
        <v>3940</v>
      </c>
      <c r="B1487" s="67"/>
      <c r="C1487" s="29" t="s">
        <v>1887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3941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3942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1774</v>
      </c>
      <c r="H1489" s="9"/>
      <c r="I1489" s="8"/>
      <c r="J1489" s="8"/>
      <c r="K1489" s="8"/>
      <c r="L1489" s="9" t="s">
        <v>1896</v>
      </c>
      <c r="M1489" s="8"/>
    </row>
    <row r="1490" spans="1:13">
      <c r="A1490" s="15" t="s">
        <v>3943</v>
      </c>
      <c r="B1490" s="67">
        <v>45854900866</v>
      </c>
      <c r="C1490" s="72" t="s">
        <v>3944</v>
      </c>
      <c r="D1490" s="69">
        <v>23474048813</v>
      </c>
      <c r="E1490" s="9">
        <v>229</v>
      </c>
      <c r="F1490" s="25">
        <v>43151</v>
      </c>
      <c r="G1490" s="70" t="s">
        <v>1774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3945</v>
      </c>
      <c r="B1491" s="67">
        <v>40870285858</v>
      </c>
      <c r="C1491" s="72" t="s">
        <v>3946</v>
      </c>
      <c r="D1491" s="69">
        <v>39638342854</v>
      </c>
      <c r="E1491" s="9">
        <v>229</v>
      </c>
      <c r="F1491" s="25">
        <v>43151</v>
      </c>
      <c r="G1491" s="70" t="s">
        <v>1788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3947</v>
      </c>
      <c r="B1492" s="67">
        <v>43053164809</v>
      </c>
      <c r="C1492" s="71" t="s">
        <v>3948</v>
      </c>
      <c r="D1492" s="69">
        <v>35649973857</v>
      </c>
      <c r="E1492" s="9">
        <v>292</v>
      </c>
      <c r="F1492" s="25">
        <v>43168</v>
      </c>
      <c r="G1492" s="70" t="s">
        <v>1780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3949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3950</v>
      </c>
      <c r="B1494" s="67">
        <v>34727823829</v>
      </c>
      <c r="C1494" s="72" t="s">
        <v>3951</v>
      </c>
      <c r="D1494" s="69">
        <v>33790197807</v>
      </c>
      <c r="E1494" s="9">
        <v>262</v>
      </c>
      <c r="F1494" s="25">
        <v>43160</v>
      </c>
      <c r="G1494" s="70" t="s">
        <v>1780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3952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3953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1774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3954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3955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1774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3956</v>
      </c>
      <c r="B1499" s="67">
        <v>13576812830</v>
      </c>
      <c r="C1499" s="72" t="s">
        <v>3957</v>
      </c>
      <c r="D1499" s="69">
        <v>1075554845</v>
      </c>
      <c r="E1499" s="9">
        <v>1489</v>
      </c>
      <c r="F1499" s="25">
        <v>43038</v>
      </c>
      <c r="G1499" s="70" t="s">
        <v>1774</v>
      </c>
      <c r="H1499" s="9"/>
      <c r="I1499" s="8"/>
      <c r="J1499" s="8"/>
      <c r="K1499" s="8"/>
      <c r="L1499" s="9" t="s">
        <v>1918</v>
      </c>
      <c r="M1499" s="8"/>
    </row>
    <row r="1500" spans="1:13">
      <c r="A1500" s="71" t="s">
        <v>3958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3959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3960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1774</v>
      </c>
      <c r="H1502" s="9"/>
      <c r="I1502" s="8"/>
      <c r="J1502" s="8"/>
      <c r="K1502" s="8"/>
      <c r="L1502" s="9" t="s">
        <v>1896</v>
      </c>
      <c r="M1502" s="8"/>
    </row>
    <row r="1503" spans="1:13">
      <c r="A1503" s="71" t="s">
        <v>3961</v>
      </c>
      <c r="B1503" s="67">
        <v>42490041800</v>
      </c>
      <c r="C1503" s="71" t="s">
        <v>3962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3963</v>
      </c>
      <c r="B1504" s="67">
        <v>37150144829</v>
      </c>
      <c r="C1504" s="72" t="s">
        <v>3964</v>
      </c>
      <c r="D1504" s="69">
        <v>33420633866</v>
      </c>
      <c r="E1504" s="9">
        <v>1417</v>
      </c>
      <c r="F1504" s="25">
        <v>43017</v>
      </c>
      <c r="G1504" s="70" t="s">
        <v>1788</v>
      </c>
      <c r="H1504" s="9"/>
      <c r="I1504" s="8"/>
      <c r="J1504" s="8"/>
      <c r="K1504" s="8"/>
      <c r="L1504" s="9" t="s">
        <v>2011</v>
      </c>
      <c r="M1504" s="8"/>
    </row>
    <row r="1505" spans="1:13">
      <c r="A1505" s="71" t="s">
        <v>3965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3966</v>
      </c>
      <c r="B1506" s="67">
        <v>95482300544</v>
      </c>
      <c r="C1506" s="72" t="s">
        <v>3967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3968</v>
      </c>
      <c r="B1507" s="67">
        <v>3915987590</v>
      </c>
      <c r="C1507" s="72" t="s">
        <v>3969</v>
      </c>
      <c r="D1507" s="69">
        <v>1733607501</v>
      </c>
      <c r="E1507" s="9">
        <v>85</v>
      </c>
      <c r="F1507" s="25">
        <v>43109</v>
      </c>
      <c r="G1507" s="70" t="s">
        <v>1774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3970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1774</v>
      </c>
      <c r="H1508" s="9"/>
      <c r="I1508" s="8"/>
      <c r="J1508" s="8"/>
      <c r="K1508" s="8"/>
      <c r="L1508" s="9" t="s">
        <v>2260</v>
      </c>
      <c r="M1508" s="8"/>
    </row>
    <row r="1509" spans="1:13">
      <c r="A1509" s="71" t="s">
        <v>3971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1774</v>
      </c>
      <c r="H1509" s="9"/>
      <c r="I1509" s="8"/>
      <c r="J1509" s="8"/>
      <c r="K1509" s="8"/>
      <c r="L1509" s="9" t="s">
        <v>1928</v>
      </c>
      <c r="M1509" s="8"/>
    </row>
    <row r="1510" spans="1:13">
      <c r="A1510" s="29" t="s">
        <v>3972</v>
      </c>
      <c r="B1510" s="67"/>
      <c r="C1510" s="18" t="s">
        <v>1887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3973</v>
      </c>
      <c r="B1511" s="80">
        <v>39490354864</v>
      </c>
      <c r="C1511" s="81" t="s">
        <v>3974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3975</v>
      </c>
      <c r="B1512" s="67">
        <v>36190827829</v>
      </c>
      <c r="C1512" s="72" t="s">
        <v>3976</v>
      </c>
      <c r="D1512" s="69">
        <v>6501914809</v>
      </c>
      <c r="E1512" s="9">
        <v>1489</v>
      </c>
      <c r="F1512" s="25">
        <v>43038</v>
      </c>
      <c r="G1512" s="70" t="s">
        <v>1774</v>
      </c>
      <c r="H1512" s="9"/>
      <c r="I1512" s="8"/>
      <c r="J1512" s="8"/>
      <c r="K1512" s="8"/>
      <c r="L1512" s="9" t="s">
        <v>1918</v>
      </c>
      <c r="M1512" s="8"/>
    </row>
    <row r="1513" spans="1:13">
      <c r="A1513" s="71" t="s">
        <v>3977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3978</v>
      </c>
      <c r="B1514" s="67">
        <v>37978221890</v>
      </c>
      <c r="C1514" s="15" t="s">
        <v>3979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3980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2057</v>
      </c>
      <c r="M1515" s="8"/>
    </row>
    <row r="1516" spans="1:13">
      <c r="A1516" s="71" t="s">
        <v>3981</v>
      </c>
      <c r="B1516" s="67">
        <v>23341671854</v>
      </c>
      <c r="C1516" s="72" t="s">
        <v>3982</v>
      </c>
      <c r="D1516" s="69">
        <v>34413431820</v>
      </c>
      <c r="E1516" s="9">
        <v>810</v>
      </c>
      <c r="F1516" s="25">
        <v>42915</v>
      </c>
      <c r="G1516" s="83" t="s">
        <v>1774</v>
      </c>
      <c r="H1516" s="9"/>
      <c r="I1516" s="8"/>
      <c r="J1516" s="8"/>
      <c r="K1516" s="8"/>
      <c r="L1516" s="9" t="s">
        <v>1896</v>
      </c>
      <c r="M1516" s="8"/>
    </row>
    <row r="1517" spans="1:13">
      <c r="A1517" s="71" t="s">
        <v>3983</v>
      </c>
      <c r="B1517" s="67">
        <v>35934079816</v>
      </c>
      <c r="C1517" s="72" t="s">
        <v>3984</v>
      </c>
      <c r="D1517" s="69">
        <v>2511538512</v>
      </c>
      <c r="E1517" s="9">
        <v>262</v>
      </c>
      <c r="F1517" s="25">
        <v>43160</v>
      </c>
      <c r="G1517" s="70" t="s">
        <v>1774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3985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1774</v>
      </c>
      <c r="H1518" s="9"/>
      <c r="I1518" s="8"/>
      <c r="J1518" s="8"/>
      <c r="K1518" s="8"/>
      <c r="L1518" s="9" t="s">
        <v>1928</v>
      </c>
      <c r="M1518" s="8"/>
    </row>
    <row r="1519" spans="1:13">
      <c r="A1519" s="71" t="s">
        <v>3986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3987</v>
      </c>
      <c r="B1520" s="67">
        <v>37395316819</v>
      </c>
      <c r="C1520" s="72" t="s">
        <v>3988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3989</v>
      </c>
      <c r="B1521" s="80">
        <v>47168651854</v>
      </c>
      <c r="C1521" s="50" t="s">
        <v>3990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3991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3992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1774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3993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1774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3994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3995</v>
      </c>
      <c r="B1526" s="67">
        <v>36776791848</v>
      </c>
      <c r="C1526" s="72" t="s">
        <v>3996</v>
      </c>
      <c r="D1526" s="69">
        <v>23340578869</v>
      </c>
      <c r="E1526" s="9">
        <v>608</v>
      </c>
      <c r="F1526" s="25">
        <v>43012</v>
      </c>
      <c r="G1526" s="70" t="s">
        <v>1774</v>
      </c>
      <c r="H1526" s="9"/>
      <c r="I1526" s="8"/>
      <c r="J1526" s="8"/>
      <c r="K1526" s="8"/>
      <c r="L1526" s="8"/>
      <c r="M1526" s="8"/>
    </row>
    <row r="1527" spans="1:13">
      <c r="A1527" s="71" t="s">
        <v>3997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3998</v>
      </c>
      <c r="B1528" s="67">
        <v>32561817830</v>
      </c>
      <c r="C1528" s="72" t="s">
        <v>3999</v>
      </c>
      <c r="D1528" s="69">
        <v>30328335827</v>
      </c>
      <c r="E1528" s="9">
        <v>1824</v>
      </c>
      <c r="F1528" s="25">
        <v>43091</v>
      </c>
      <c r="G1528" s="70" t="s">
        <v>1780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4000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1774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4001</v>
      </c>
      <c r="B1530" s="67">
        <v>36044847829</v>
      </c>
      <c r="C1530" s="72" t="s">
        <v>4002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4003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4004</v>
      </c>
      <c r="B1532" s="67">
        <v>35070422820</v>
      </c>
      <c r="C1532" s="72" t="s">
        <v>4005</v>
      </c>
      <c r="D1532" s="69">
        <v>24871235831</v>
      </c>
      <c r="E1532" s="9">
        <v>292</v>
      </c>
      <c r="F1532" s="25">
        <v>43168</v>
      </c>
      <c r="G1532" s="70" t="s">
        <v>1774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4006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2057</v>
      </c>
      <c r="M1533" s="8"/>
    </row>
    <row r="1534" spans="1:13">
      <c r="A1534" s="15" t="s">
        <v>4007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4008</v>
      </c>
      <c r="B1535" s="67"/>
      <c r="C1535" s="29" t="s">
        <v>4009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4010</v>
      </c>
      <c r="B1536" s="67">
        <v>47240915840</v>
      </c>
      <c r="C1536" s="72"/>
      <c r="D1536" s="69"/>
      <c r="E1536" s="9"/>
      <c r="F1536" s="25"/>
      <c r="G1536" s="70" t="s">
        <v>1774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4011</v>
      </c>
      <c r="B1537" s="67"/>
      <c r="C1537" s="18" t="s">
        <v>1887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4012</v>
      </c>
      <c r="B1538" s="67">
        <v>42424051895</v>
      </c>
      <c r="C1538" s="72" t="s">
        <v>4013</v>
      </c>
      <c r="D1538" s="69">
        <v>34920392869</v>
      </c>
      <c r="E1538" s="9">
        <v>1214</v>
      </c>
      <c r="F1538" s="25">
        <v>42989</v>
      </c>
      <c r="G1538" s="70" t="s">
        <v>1774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4014</v>
      </c>
      <c r="B1539" s="67">
        <v>45298965873</v>
      </c>
      <c r="C1539" s="18" t="s">
        <v>1887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4015</v>
      </c>
      <c r="B1540" s="67">
        <v>48176009857</v>
      </c>
      <c r="C1540" s="18" t="s">
        <v>1887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4016</v>
      </c>
      <c r="B1541" s="67">
        <v>32645353860</v>
      </c>
      <c r="C1541" s="71" t="s">
        <v>4017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4018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4019</v>
      </c>
      <c r="B1543" s="67">
        <v>34899686897</v>
      </c>
      <c r="C1543" s="72" t="s">
        <v>4020</v>
      </c>
      <c r="D1543" s="69">
        <v>34782852835</v>
      </c>
      <c r="E1543" s="9">
        <v>810</v>
      </c>
      <c r="F1543" s="25">
        <v>42915</v>
      </c>
      <c r="G1543" s="70" t="s">
        <v>1774</v>
      </c>
      <c r="H1543" s="76">
        <v>43213</v>
      </c>
      <c r="I1543" s="8"/>
      <c r="J1543" s="8"/>
      <c r="K1543" s="8"/>
      <c r="L1543" s="9" t="s">
        <v>1896</v>
      </c>
      <c r="M1543" s="8"/>
    </row>
    <row r="1544" spans="1:13">
      <c r="A1544" s="71" t="s">
        <v>4021</v>
      </c>
      <c r="B1544" s="67">
        <v>39778910812</v>
      </c>
      <c r="C1544" s="68" t="s">
        <v>4022</v>
      </c>
      <c r="D1544" s="69">
        <v>34703237806</v>
      </c>
      <c r="E1544" s="9">
        <v>1128</v>
      </c>
      <c r="F1544" s="25">
        <v>42972</v>
      </c>
      <c r="G1544" s="70" t="s">
        <v>1774</v>
      </c>
      <c r="H1544" s="9"/>
      <c r="I1544" s="8"/>
      <c r="J1544" s="8"/>
      <c r="K1544" s="8"/>
      <c r="L1544" s="8"/>
      <c r="M1544" s="8"/>
    </row>
    <row r="1545" spans="1:13">
      <c r="A1545" s="71" t="s">
        <v>4023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2057</v>
      </c>
      <c r="M1545" s="8"/>
    </row>
    <row r="1546" spans="1:13">
      <c r="A1546" s="72" t="s">
        <v>4024</v>
      </c>
      <c r="B1546" s="67">
        <v>22429349884</v>
      </c>
      <c r="C1546" s="72" t="s">
        <v>4025</v>
      </c>
      <c r="D1546" s="69">
        <v>32307277897</v>
      </c>
      <c r="E1546" s="9">
        <v>1417</v>
      </c>
      <c r="F1546" s="25">
        <v>43017</v>
      </c>
      <c r="G1546" s="70" t="s">
        <v>1774</v>
      </c>
      <c r="H1546" s="9"/>
      <c r="I1546" s="8"/>
      <c r="J1546" s="8"/>
      <c r="K1546" s="8"/>
      <c r="L1546" s="9" t="s">
        <v>2011</v>
      </c>
      <c r="M1546" s="8"/>
    </row>
    <row r="1547" spans="1:13">
      <c r="A1547" s="13" t="s">
        <v>4026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1774</v>
      </c>
      <c r="H1547" s="9"/>
      <c r="I1547" s="8"/>
      <c r="J1547" s="8"/>
      <c r="K1547" s="8"/>
      <c r="L1547" s="8"/>
      <c r="M1547" s="8"/>
    </row>
    <row r="1548" spans="1:13">
      <c r="A1548" s="71" t="s">
        <v>4027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2057</v>
      </c>
      <c r="M1548" s="8"/>
    </row>
    <row r="1549" spans="1:13">
      <c r="A1549" s="15" t="s">
        <v>4028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1774</v>
      </c>
      <c r="H1549" s="9"/>
      <c r="I1549" s="8"/>
      <c r="J1549" s="8"/>
      <c r="K1549" s="8"/>
      <c r="L1549" s="9" t="s">
        <v>1928</v>
      </c>
      <c r="M1549" s="8"/>
    </row>
    <row r="1550" spans="1:13">
      <c r="A1550" s="15" t="s">
        <v>4029</v>
      </c>
      <c r="B1550" s="67">
        <v>7081215432</v>
      </c>
      <c r="C1550" s="15" t="s">
        <v>4030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2057</v>
      </c>
      <c r="M1550" s="8"/>
    </row>
    <row r="1551" spans="1:13">
      <c r="A1551" s="71" t="s">
        <v>4031</v>
      </c>
      <c r="B1551" s="67">
        <v>37104895809</v>
      </c>
      <c r="C1551" s="72" t="s">
        <v>4032</v>
      </c>
      <c r="D1551" s="69">
        <v>34256763856</v>
      </c>
      <c r="E1551" s="9">
        <v>1752</v>
      </c>
      <c r="F1551" s="25">
        <v>43051</v>
      </c>
      <c r="G1551" s="70" t="s">
        <v>1788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4033</v>
      </c>
      <c r="B1552" s="67"/>
      <c r="C1552" s="29" t="s">
        <v>1887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4034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2057</v>
      </c>
      <c r="M1553" s="8"/>
    </row>
    <row r="1554" spans="1:13">
      <c r="A1554" s="14" t="s">
        <v>4035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1774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4036</v>
      </c>
      <c r="B1555" s="67">
        <v>45862437835</v>
      </c>
      <c r="C1555" s="72" t="s">
        <v>4037</v>
      </c>
      <c r="D1555" s="69">
        <v>2301226280</v>
      </c>
      <c r="E1555" s="9">
        <v>1752</v>
      </c>
      <c r="F1555" s="25">
        <v>43051</v>
      </c>
      <c r="G1555" s="70" t="s">
        <v>1774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4038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1774</v>
      </c>
      <c r="H1556" s="9"/>
      <c r="I1556" s="8"/>
      <c r="J1556" s="8"/>
      <c r="K1556" s="8"/>
      <c r="L1556" s="8"/>
      <c r="M1556" s="8"/>
    </row>
    <row r="1557" spans="1:13">
      <c r="A1557" s="29" t="s">
        <v>4039</v>
      </c>
      <c r="B1557" s="67"/>
      <c r="C1557" s="29" t="s">
        <v>4040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4041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4042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2057</v>
      </c>
      <c r="M1559" s="8"/>
    </row>
    <row r="1560" spans="1:13">
      <c r="A1560" s="71" t="s">
        <v>4043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4044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1774</v>
      </c>
      <c r="H1561" s="9"/>
      <c r="I1561" s="8"/>
      <c r="J1561" s="8"/>
      <c r="K1561" s="8"/>
      <c r="L1561" s="8"/>
      <c r="M1561" s="8"/>
    </row>
    <row r="1562" spans="1:13">
      <c r="A1562" s="71" t="s">
        <v>4045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1774</v>
      </c>
      <c r="H1562" s="9"/>
      <c r="I1562" s="8"/>
      <c r="J1562" s="8"/>
      <c r="K1562" s="8"/>
      <c r="L1562" s="9" t="s">
        <v>1896</v>
      </c>
      <c r="M1562" s="8"/>
    </row>
    <row r="1563" spans="1:13">
      <c r="A1563" s="15" t="s">
        <v>4046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4047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1774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4048</v>
      </c>
      <c r="B1565" s="67">
        <v>33390811826</v>
      </c>
      <c r="C1565" s="72" t="s">
        <v>4049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4050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1774</v>
      </c>
      <c r="H1566" s="9"/>
      <c r="I1566" s="8"/>
      <c r="J1566" s="8"/>
      <c r="K1566" s="8"/>
      <c r="L1566" s="9" t="s">
        <v>2011</v>
      </c>
      <c r="M1566" s="8"/>
    </row>
    <row r="1567" spans="1:13">
      <c r="A1567" s="29" t="s">
        <v>4051</v>
      </c>
      <c r="B1567" s="67">
        <v>22173656813</v>
      </c>
      <c r="C1567" s="18" t="s">
        <v>1887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4052</v>
      </c>
      <c r="B1568" s="67">
        <v>30690514808</v>
      </c>
      <c r="C1568" s="72" t="s">
        <v>4053</v>
      </c>
      <c r="D1568" s="69">
        <v>22622085818</v>
      </c>
      <c r="E1568" s="9">
        <v>423</v>
      </c>
      <c r="F1568" s="25">
        <v>43182</v>
      </c>
      <c r="G1568" s="9" t="s">
        <v>1774</v>
      </c>
      <c r="H1568" s="9"/>
      <c r="I1568" s="8"/>
      <c r="J1568" s="8"/>
      <c r="K1568" s="8"/>
      <c r="L1568" s="8"/>
      <c r="M1568" s="8"/>
    </row>
    <row r="1569" spans="1:13">
      <c r="A1569" s="71" t="s">
        <v>4054</v>
      </c>
      <c r="B1569" s="67">
        <v>43901748865</v>
      </c>
      <c r="C1569" s="72" t="s">
        <v>4055</v>
      </c>
      <c r="D1569" s="69">
        <v>34818027812</v>
      </c>
      <c r="E1569" s="9">
        <v>1824</v>
      </c>
      <c r="F1569" s="25">
        <v>43091</v>
      </c>
      <c r="G1569" s="70" t="s">
        <v>1774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4056</v>
      </c>
      <c r="B1570" s="67"/>
      <c r="C1570" s="18" t="s">
        <v>1887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4057</v>
      </c>
      <c r="B1571" s="67">
        <v>5212444390</v>
      </c>
      <c r="C1571" s="15" t="s">
        <v>4058</v>
      </c>
      <c r="D1571" s="69">
        <v>2231738350</v>
      </c>
      <c r="E1571" s="9">
        <v>292</v>
      </c>
      <c r="F1571" s="25">
        <v>43168</v>
      </c>
      <c r="G1571" s="70" t="s">
        <v>1774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4059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4060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4061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4062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1774</v>
      </c>
      <c r="H1575" s="9"/>
      <c r="I1575" s="8"/>
      <c r="J1575" s="8"/>
      <c r="K1575" s="8"/>
      <c r="L1575" s="9" t="s">
        <v>1896</v>
      </c>
      <c r="M1575" s="8"/>
    </row>
    <row r="1576" spans="1:13">
      <c r="A1576" s="71" t="s">
        <v>4063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1774</v>
      </c>
      <c r="H1576" s="9"/>
      <c r="I1576" s="8"/>
      <c r="J1576" s="8"/>
      <c r="K1576" s="8"/>
      <c r="L1576" s="8"/>
      <c r="M1576" s="8"/>
    </row>
    <row r="1577" spans="1:13">
      <c r="A1577" s="71" t="s">
        <v>4064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4065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4066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4067</v>
      </c>
      <c r="B1580" s="67">
        <v>88436144520</v>
      </c>
      <c r="C1580" s="29" t="s">
        <v>1887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4068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4069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1774</v>
      </c>
      <c r="H1582" s="9"/>
      <c r="I1582" s="8"/>
      <c r="J1582" s="8"/>
      <c r="K1582" s="8"/>
      <c r="L1582" s="8"/>
      <c r="M1582" s="8"/>
    </row>
    <row r="1583" spans="1:13">
      <c r="A1583" s="72" t="s">
        <v>4070</v>
      </c>
      <c r="B1583" s="67">
        <v>4967493580</v>
      </c>
      <c r="C1583" s="15" t="s">
        <v>4071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4072</v>
      </c>
      <c r="B1584" s="67">
        <v>28043649847</v>
      </c>
      <c r="C1584" s="72" t="s">
        <v>4073</v>
      </c>
      <c r="D1584" s="69">
        <v>37064432870</v>
      </c>
      <c r="E1584" s="9">
        <v>117</v>
      </c>
      <c r="F1584" s="25">
        <v>43117</v>
      </c>
      <c r="G1584" s="70" t="s">
        <v>1774</v>
      </c>
      <c r="H1584" s="9"/>
      <c r="I1584" s="8"/>
      <c r="J1584" s="8"/>
      <c r="K1584" s="8"/>
      <c r="L1584" s="9" t="s">
        <v>1928</v>
      </c>
      <c r="M1584" s="8"/>
    </row>
    <row r="1585" spans="1:13">
      <c r="A1585" s="71" t="s">
        <v>4074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1774</v>
      </c>
      <c r="H1585" s="9"/>
      <c r="I1585" s="8"/>
      <c r="J1585" s="8"/>
      <c r="K1585" s="8"/>
      <c r="L1585" s="9" t="s">
        <v>1896</v>
      </c>
      <c r="M1585" s="8"/>
    </row>
    <row r="1586" spans="1:13">
      <c r="A1586" s="73" t="s">
        <v>4075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1774</v>
      </c>
      <c r="H1586" s="9"/>
      <c r="I1586" s="8"/>
      <c r="J1586" s="8"/>
      <c r="K1586" s="8"/>
      <c r="L1586" s="8"/>
      <c r="M1586" s="8"/>
    </row>
    <row r="1587" spans="1:13">
      <c r="A1587" s="15" t="s">
        <v>4076</v>
      </c>
      <c r="B1587" s="67">
        <v>45671290325</v>
      </c>
      <c r="C1587" s="72" t="s">
        <v>4077</v>
      </c>
      <c r="D1587" s="69">
        <v>13019071895</v>
      </c>
      <c r="E1587" s="9">
        <v>117</v>
      </c>
      <c r="F1587" s="25">
        <v>43117</v>
      </c>
      <c r="G1587" s="70" t="s">
        <v>1788</v>
      </c>
      <c r="H1587" s="9"/>
      <c r="I1587" s="8"/>
      <c r="J1587" s="8"/>
      <c r="K1587" s="8"/>
      <c r="L1587" s="9" t="s">
        <v>1928</v>
      </c>
      <c r="M1587" s="8"/>
    </row>
    <row r="1588" spans="1:13">
      <c r="A1588" s="13" t="s">
        <v>4078</v>
      </c>
      <c r="B1588" s="67">
        <v>7677424864</v>
      </c>
      <c r="C1588" s="72" t="s">
        <v>4079</v>
      </c>
      <c r="D1588" s="69">
        <v>6128186831</v>
      </c>
      <c r="E1588" s="9">
        <v>1570</v>
      </c>
      <c r="F1588" s="25">
        <v>43077</v>
      </c>
      <c r="G1588" s="70" t="s">
        <v>1774</v>
      </c>
      <c r="H1588" s="9"/>
      <c r="I1588" s="8"/>
      <c r="J1588" s="8"/>
      <c r="K1588" s="8"/>
      <c r="L1588" s="8"/>
      <c r="M1588" s="8"/>
    </row>
    <row r="1589" spans="1:13">
      <c r="A1589" s="13" t="s">
        <v>4080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4081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4082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4083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4084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1774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4085</v>
      </c>
      <c r="B1594" s="67"/>
      <c r="C1594" s="29" t="s">
        <v>1887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4086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1774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4087</v>
      </c>
      <c r="B1596" s="67">
        <v>47555303850</v>
      </c>
      <c r="C1596" s="18" t="s">
        <v>1887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4088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1774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4089</v>
      </c>
      <c r="B1598" s="67">
        <v>25966733805</v>
      </c>
      <c r="C1598" s="72" t="s">
        <v>4090</v>
      </c>
      <c r="D1598" s="69">
        <v>19681706854</v>
      </c>
      <c r="E1598" s="9">
        <v>1752</v>
      </c>
      <c r="F1598" s="25">
        <v>43051</v>
      </c>
      <c r="G1598" s="70" t="s">
        <v>1780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4091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1774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4092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4093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4094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4095</v>
      </c>
      <c r="B1603" s="67">
        <v>32448230846</v>
      </c>
      <c r="C1603" s="18" t="s">
        <v>4096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4097</v>
      </c>
      <c r="B1604" s="67">
        <v>56151250559</v>
      </c>
      <c r="C1604" s="18" t="s">
        <v>4098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4099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1774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4100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4101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1774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4102</v>
      </c>
      <c r="B1608" s="67">
        <v>36713930840</v>
      </c>
      <c r="C1608" s="68" t="s">
        <v>4103</v>
      </c>
      <c r="D1608" s="69">
        <v>30171047885</v>
      </c>
      <c r="E1608" s="9">
        <v>1128</v>
      </c>
      <c r="F1608" s="25">
        <v>42972</v>
      </c>
      <c r="G1608" s="70" t="s">
        <v>1774</v>
      </c>
      <c r="H1608" s="9"/>
      <c r="I1608" s="8"/>
      <c r="J1608" s="8"/>
      <c r="K1608" s="8"/>
      <c r="L1608" s="8"/>
      <c r="M1608" s="8"/>
    </row>
    <row r="1609" spans="1:13">
      <c r="A1609" s="29" t="s">
        <v>4104</v>
      </c>
      <c r="B1609" s="67">
        <v>37138221827</v>
      </c>
      <c r="C1609" s="29" t="s">
        <v>4105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4106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1774</v>
      </c>
      <c r="H1610" s="9"/>
      <c r="I1610" s="8"/>
      <c r="J1610" s="8"/>
      <c r="K1610" s="8"/>
      <c r="L1610" s="8"/>
      <c r="M1610" s="8"/>
    </row>
    <row r="1611" spans="1:13">
      <c r="A1611" s="71" t="s">
        <v>4107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1774</v>
      </c>
      <c r="H1611" s="9"/>
      <c r="I1611" s="8"/>
      <c r="J1611" s="8"/>
      <c r="K1611" s="8"/>
      <c r="L1611" s="8"/>
      <c r="M1611" s="8"/>
    </row>
    <row r="1612" spans="1:13">
      <c r="A1612" s="71" t="s">
        <v>4108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1774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4109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4110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4111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1774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4112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1774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4113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4114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1774</v>
      </c>
      <c r="H1618" s="9"/>
      <c r="I1618" s="8"/>
      <c r="J1618" s="8"/>
      <c r="K1618" s="8"/>
      <c r="L1618" s="9" t="s">
        <v>1896</v>
      </c>
      <c r="M1618" s="8"/>
    </row>
    <row r="1619" spans="1:13">
      <c r="A1619" s="71" t="s">
        <v>4115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1774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4116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1774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4117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4118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4119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4120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4121</v>
      </c>
      <c r="B1625" s="67">
        <v>37338189897</v>
      </c>
      <c r="C1625" s="72" t="s">
        <v>4122</v>
      </c>
      <c r="D1625" s="69">
        <v>27359655897</v>
      </c>
      <c r="E1625" s="9">
        <v>1824</v>
      </c>
      <c r="F1625" s="25">
        <v>43091</v>
      </c>
      <c r="G1625" s="70" t="s">
        <v>1774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4123</v>
      </c>
      <c r="B1626" s="67">
        <v>45632601854</v>
      </c>
      <c r="C1626" s="32" t="s">
        <v>4124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2057</v>
      </c>
      <c r="M1626" s="8"/>
    </row>
    <row r="1627" spans="1:13">
      <c r="A1627" s="29" t="s">
        <v>4125</v>
      </c>
      <c r="B1627" s="67"/>
      <c r="C1627" s="29" t="s">
        <v>4126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4127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4128</v>
      </c>
      <c r="B1629" s="67">
        <v>38150547886</v>
      </c>
      <c r="C1629" s="72" t="s">
        <v>4129</v>
      </c>
      <c r="D1629" s="69">
        <v>36270820871</v>
      </c>
      <c r="E1629" s="9">
        <v>262</v>
      </c>
      <c r="F1629" s="25">
        <v>43160</v>
      </c>
      <c r="G1629" s="9" t="s">
        <v>1774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4130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4131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4132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4133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4134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1774</v>
      </c>
      <c r="H1634" s="9"/>
      <c r="I1634" s="8"/>
      <c r="J1634" s="8"/>
      <c r="K1634" s="8"/>
      <c r="L1634" s="8"/>
      <c r="M1634" s="8"/>
    </row>
    <row r="1635" spans="1:13">
      <c r="A1635" s="71" t="s">
        <v>4135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4136</v>
      </c>
      <c r="B1636" s="67">
        <v>44852605858</v>
      </c>
      <c r="C1636" s="15" t="s">
        <v>4137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4138</v>
      </c>
      <c r="B1637" s="67">
        <v>42130610862</v>
      </c>
      <c r="C1637" s="29" t="s">
        <v>4139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4140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1774</v>
      </c>
      <c r="H1638" s="9"/>
      <c r="I1638" s="8"/>
      <c r="J1638" s="8"/>
      <c r="K1638" s="8"/>
      <c r="L1638" s="9" t="s">
        <v>1928</v>
      </c>
      <c r="M1638" s="8"/>
    </row>
    <row r="1639" spans="1:13">
      <c r="A1639" s="15" t="s">
        <v>4141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4142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1774</v>
      </c>
      <c r="H1640" s="9"/>
      <c r="I1640" s="8"/>
      <c r="J1640" s="8"/>
      <c r="K1640" s="8"/>
      <c r="L1640" s="9" t="s">
        <v>1928</v>
      </c>
      <c r="M1640" s="8"/>
    </row>
    <row r="1641" spans="1:13">
      <c r="A1641" s="71" t="s">
        <v>4143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4144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4145</v>
      </c>
      <c r="B1643" s="67">
        <v>25399089858</v>
      </c>
      <c r="C1643" s="18" t="s">
        <v>4146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4147</v>
      </c>
      <c r="B1644" s="67">
        <v>36758489817</v>
      </c>
      <c r="C1644" s="72" t="s">
        <v>4148</v>
      </c>
      <c r="D1644" s="69">
        <v>15602238808</v>
      </c>
      <c r="E1644" s="9">
        <v>117</v>
      </c>
      <c r="F1644" s="25">
        <v>43117</v>
      </c>
      <c r="G1644" s="70" t="s">
        <v>1774</v>
      </c>
      <c r="H1644" s="9"/>
      <c r="I1644" s="8"/>
      <c r="J1644" s="8"/>
      <c r="K1644" s="8"/>
      <c r="L1644" s="9" t="s">
        <v>1928</v>
      </c>
      <c r="M1644" s="8"/>
    </row>
    <row r="1645" spans="1:13">
      <c r="A1645" s="71" t="s">
        <v>4149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1774</v>
      </c>
      <c r="H1645" s="9"/>
      <c r="I1645" s="8"/>
      <c r="J1645" s="8"/>
      <c r="K1645" s="8"/>
      <c r="L1645" s="8"/>
      <c r="M1645" s="8"/>
    </row>
    <row r="1646" spans="1:13">
      <c r="A1646" s="71" t="s">
        <v>4150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4151</v>
      </c>
      <c r="B1647" s="67">
        <v>3051791440</v>
      </c>
      <c r="C1647" s="72" t="s">
        <v>4152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4153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4154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4155</v>
      </c>
      <c r="B1650" s="67">
        <v>8774817841</v>
      </c>
      <c r="C1650" s="18" t="s">
        <v>1887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4156</v>
      </c>
      <c r="B1651" s="67">
        <v>15730438850</v>
      </c>
      <c r="C1651" s="72" t="s">
        <v>4157</v>
      </c>
      <c r="D1651" s="69">
        <v>11253544883</v>
      </c>
      <c r="E1651" s="9">
        <v>1628</v>
      </c>
      <c r="F1651" s="25">
        <v>43077</v>
      </c>
      <c r="G1651" s="70" t="s">
        <v>1774</v>
      </c>
      <c r="H1651" s="9"/>
      <c r="I1651" s="8"/>
      <c r="J1651" s="8"/>
      <c r="K1651" s="8"/>
      <c r="L1651" s="8"/>
      <c r="M1651" s="8"/>
    </row>
    <row r="1652" spans="1:13">
      <c r="A1652" s="72" t="s">
        <v>4158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4159</v>
      </c>
      <c r="B1653" s="67">
        <v>16416601800</v>
      </c>
      <c r="C1653" s="72" t="s">
        <v>4160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4161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4162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4163</v>
      </c>
      <c r="B1656" s="67">
        <v>6595999617</v>
      </c>
      <c r="C1656" s="68" t="s">
        <v>4164</v>
      </c>
      <c r="D1656" s="69">
        <v>9929242430</v>
      </c>
      <c r="E1656" s="9">
        <v>1128</v>
      </c>
      <c r="F1656" s="25">
        <v>42972</v>
      </c>
      <c r="G1656" s="70" t="s">
        <v>1774</v>
      </c>
      <c r="H1656" s="9"/>
      <c r="I1656" s="8"/>
      <c r="J1656" s="8"/>
      <c r="K1656" s="8"/>
      <c r="L1656" s="8"/>
      <c r="M1656" s="8"/>
    </row>
    <row r="1657" spans="1:13">
      <c r="A1657" s="71" t="s">
        <v>4165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1774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4166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4167</v>
      </c>
      <c r="B1659" s="67">
        <v>28785359874</v>
      </c>
      <c r="C1659" s="72" t="s">
        <v>4168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4169</v>
      </c>
      <c r="B1660" s="67">
        <v>36460261890</v>
      </c>
      <c r="C1660" s="72" t="s">
        <v>4170</v>
      </c>
      <c r="D1660" s="69">
        <v>7468402841</v>
      </c>
      <c r="E1660" s="9">
        <v>608</v>
      </c>
      <c r="F1660" s="25">
        <v>43012</v>
      </c>
      <c r="G1660" s="70" t="s">
        <v>1774</v>
      </c>
      <c r="H1660" s="9"/>
      <c r="I1660" s="8"/>
      <c r="J1660" s="8"/>
      <c r="K1660" s="8"/>
      <c r="L1660" s="8"/>
      <c r="M1660" s="8"/>
    </row>
    <row r="1661" spans="1:13">
      <c r="A1661" s="15" t="s">
        <v>4171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4172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4173</v>
      </c>
      <c r="B1663" s="67">
        <v>34385358826</v>
      </c>
      <c r="C1663" s="72" t="s">
        <v>4174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4175</v>
      </c>
      <c r="B1664" s="67">
        <v>24820428870</v>
      </c>
      <c r="C1664" s="72" t="s">
        <v>4176</v>
      </c>
      <c r="D1664" s="69">
        <v>22012255833</v>
      </c>
      <c r="E1664" s="9">
        <v>1417</v>
      </c>
      <c r="F1664" s="25">
        <v>43017</v>
      </c>
      <c r="G1664" s="70" t="s">
        <v>1774</v>
      </c>
      <c r="H1664" s="9"/>
      <c r="I1664" s="8"/>
      <c r="J1664" s="8"/>
      <c r="K1664" s="8"/>
      <c r="L1664" s="9" t="s">
        <v>2011</v>
      </c>
      <c r="M1664" s="8"/>
    </row>
    <row r="1665" spans="1:13">
      <c r="A1665" s="29" t="s">
        <v>4177</v>
      </c>
      <c r="B1665" s="67">
        <v>31148609822</v>
      </c>
      <c r="C1665" s="29" t="s">
        <v>4178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4179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1788</v>
      </c>
      <c r="H1666" s="9"/>
      <c r="I1666" s="8"/>
      <c r="J1666" s="8"/>
      <c r="K1666" s="8"/>
      <c r="L1666" s="9" t="s">
        <v>1928</v>
      </c>
      <c r="M1666" s="8"/>
    </row>
    <row r="1667" spans="1:13">
      <c r="A1667" s="14" t="s">
        <v>4180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4180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4181</v>
      </c>
      <c r="B1669" s="67">
        <v>44772896856</v>
      </c>
      <c r="C1669" s="72" t="s">
        <v>4182</v>
      </c>
      <c r="D1669" s="69">
        <v>39313729873</v>
      </c>
      <c r="E1669" s="9">
        <v>117</v>
      </c>
      <c r="F1669" s="25">
        <v>43117</v>
      </c>
      <c r="G1669" s="70" t="s">
        <v>1774</v>
      </c>
      <c r="H1669" s="9"/>
      <c r="I1669" s="8"/>
      <c r="J1669" s="8"/>
      <c r="K1669" s="8"/>
      <c r="L1669" s="9" t="s">
        <v>1928</v>
      </c>
      <c r="M1669" s="8"/>
    </row>
    <row r="1670" spans="1:13">
      <c r="A1670" s="29" t="s">
        <v>4183</v>
      </c>
      <c r="B1670" s="67">
        <v>28501359840</v>
      </c>
      <c r="C1670" s="29" t="s">
        <v>4184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4185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4186</v>
      </c>
      <c r="B1672" s="67">
        <v>30131142828</v>
      </c>
      <c r="C1672" s="77" t="s">
        <v>4187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4188</v>
      </c>
      <c r="B1673" s="67"/>
      <c r="C1673" s="29" t="s">
        <v>1887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4189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1774</v>
      </c>
      <c r="H1674" s="9"/>
      <c r="I1674" s="8"/>
      <c r="J1674" s="8"/>
      <c r="K1674" s="8"/>
      <c r="L1674" s="8"/>
      <c r="M1674" s="8"/>
    </row>
    <row r="1675" spans="1:13">
      <c r="A1675" s="15" t="s">
        <v>4190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4191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4192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4193</v>
      </c>
      <c r="B1678" s="67">
        <v>30319988805</v>
      </c>
      <c r="C1678" s="29" t="s">
        <v>1887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4194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4195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4196</v>
      </c>
      <c r="B1681" s="67">
        <v>1565236122</v>
      </c>
      <c r="C1681" s="72" t="s">
        <v>4197</v>
      </c>
      <c r="D1681" s="69">
        <v>218506589</v>
      </c>
      <c r="E1681" s="9">
        <v>1241</v>
      </c>
      <c r="F1681" s="25">
        <v>42992</v>
      </c>
      <c r="G1681" s="70" t="s">
        <v>1774</v>
      </c>
      <c r="H1681" s="9"/>
      <c r="I1681" s="8"/>
      <c r="J1681" s="8"/>
      <c r="K1681" s="8"/>
      <c r="L1681" s="8"/>
      <c r="M1681" s="8"/>
    </row>
    <row r="1682" spans="1:13">
      <c r="A1682" s="71" t="s">
        <v>4198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4199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1774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4200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4201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4202</v>
      </c>
      <c r="B1686" s="67">
        <v>28842233803</v>
      </c>
      <c r="C1686" s="72" t="s">
        <v>4203</v>
      </c>
      <c r="D1686" s="69">
        <v>39207708892</v>
      </c>
      <c r="E1686" s="9">
        <v>262</v>
      </c>
      <c r="F1686" s="25">
        <v>43160</v>
      </c>
      <c r="G1686" s="70" t="s">
        <v>1780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4204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1774</v>
      </c>
      <c r="H1687" s="9"/>
      <c r="I1687" s="8"/>
      <c r="J1687" s="8"/>
      <c r="K1687" s="8"/>
      <c r="L1687" s="9" t="s">
        <v>1896</v>
      </c>
      <c r="M1687" s="8"/>
    </row>
    <row r="1688" spans="1:13">
      <c r="A1688" s="71" t="s">
        <v>4205</v>
      </c>
      <c r="B1688" s="67">
        <v>39111957883</v>
      </c>
      <c r="C1688" s="72" t="s">
        <v>4206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4207</v>
      </c>
      <c r="B1689" s="67">
        <v>26763450877</v>
      </c>
      <c r="C1689" s="72" t="s">
        <v>4208</v>
      </c>
      <c r="D1689" s="69">
        <v>23405053803</v>
      </c>
      <c r="E1689" s="9">
        <v>292</v>
      </c>
      <c r="F1689" s="25">
        <v>43168</v>
      </c>
      <c r="G1689" s="70" t="s">
        <v>1774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4209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1774</v>
      </c>
      <c r="H1690" s="9"/>
      <c r="I1690" s="8"/>
      <c r="J1690" s="8"/>
      <c r="K1690" s="8"/>
      <c r="L1690" s="9" t="s">
        <v>1928</v>
      </c>
      <c r="M1690" s="8"/>
    </row>
    <row r="1691" spans="1:13">
      <c r="A1691" s="29" t="s">
        <v>4210</v>
      </c>
      <c r="B1691" s="67">
        <v>41696411831</v>
      </c>
      <c r="C1691" s="29" t="s">
        <v>4211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4212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4213</v>
      </c>
      <c r="B1693" s="67"/>
      <c r="C1693" s="18" t="s">
        <v>1887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4214</v>
      </c>
      <c r="B1694" s="67">
        <v>8946062479</v>
      </c>
      <c r="C1694" s="15" t="s">
        <v>4215</v>
      </c>
      <c r="D1694" s="69">
        <v>9671165460</v>
      </c>
      <c r="E1694" s="9">
        <v>292</v>
      </c>
      <c r="F1694" s="25">
        <v>43168</v>
      </c>
      <c r="G1694" s="70" t="s">
        <v>1780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4216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4217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4218</v>
      </c>
      <c r="B1697" s="67"/>
      <c r="C1697" s="18" t="s">
        <v>1887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4219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1774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4220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4221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4222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4223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4224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4225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4226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4227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4228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1774</v>
      </c>
      <c r="H1707" s="9"/>
      <c r="I1707" s="8"/>
      <c r="J1707" s="8"/>
      <c r="K1707" s="8"/>
      <c r="L1707" s="9" t="s">
        <v>2011</v>
      </c>
      <c r="M1707" s="8"/>
    </row>
    <row r="1708" spans="1:13">
      <c r="A1708" s="13" t="s">
        <v>4229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1774</v>
      </c>
      <c r="H1708" s="9"/>
      <c r="I1708" s="8"/>
      <c r="J1708" s="8"/>
      <c r="K1708" s="8"/>
      <c r="L1708" s="8"/>
      <c r="M1708" s="8"/>
    </row>
    <row r="1709" spans="1:13">
      <c r="A1709" s="71" t="s">
        <v>4230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4231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4232</v>
      </c>
      <c r="B1711" s="67"/>
      <c r="C1711" s="18" t="s">
        <v>1887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4233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1774</v>
      </c>
      <c r="H1712" s="9"/>
      <c r="I1712" s="8"/>
      <c r="J1712" s="8"/>
      <c r="K1712" s="8"/>
      <c r="L1712" s="9" t="s">
        <v>1928</v>
      </c>
      <c r="M1712" s="8"/>
    </row>
    <row r="1713" spans="1:13">
      <c r="A1713" s="71" t="s">
        <v>4234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4235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4236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4237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1774</v>
      </c>
      <c r="H1716" s="9"/>
      <c r="I1716" s="8"/>
      <c r="J1716" s="8"/>
      <c r="K1716" s="8"/>
      <c r="L1716" s="9" t="s">
        <v>1896</v>
      </c>
      <c r="M1716" s="8"/>
    </row>
    <row r="1717" spans="1:13">
      <c r="A1717" s="71" t="s">
        <v>4238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4239</v>
      </c>
      <c r="B1718" s="67">
        <v>26903961810</v>
      </c>
      <c r="C1718" s="72" t="s">
        <v>4240</v>
      </c>
      <c r="D1718" s="69">
        <v>40904229904</v>
      </c>
      <c r="E1718" s="9">
        <v>1555</v>
      </c>
      <c r="F1718" s="25">
        <v>43049</v>
      </c>
      <c r="G1718" s="70" t="s">
        <v>1774</v>
      </c>
      <c r="H1718" s="9"/>
      <c r="I1718" s="8"/>
      <c r="J1718" s="8"/>
      <c r="K1718" s="8"/>
      <c r="L1718" s="9" t="s">
        <v>2156</v>
      </c>
      <c r="M1718" s="8"/>
    </row>
    <row r="1719" spans="1:13">
      <c r="A1719" s="18" t="s">
        <v>4241</v>
      </c>
      <c r="B1719" s="67">
        <v>31611651875</v>
      </c>
      <c r="C1719" s="18" t="s">
        <v>4242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4243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1774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4244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4245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4246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4247</v>
      </c>
      <c r="B1724" s="69">
        <v>22580790802</v>
      </c>
      <c r="C1724" s="71" t="s">
        <v>4248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4249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4250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4251</v>
      </c>
      <c r="B1727" s="69">
        <v>88565386520</v>
      </c>
      <c r="C1727" s="15" t="s">
        <v>4252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4253</v>
      </c>
      <c r="B1728" s="67">
        <v>1147816565</v>
      </c>
      <c r="C1728" s="72" t="s">
        <v>4254</v>
      </c>
      <c r="D1728" s="69">
        <v>24692193883</v>
      </c>
      <c r="E1728" s="9">
        <v>262</v>
      </c>
      <c r="F1728" s="25">
        <v>43160</v>
      </c>
      <c r="G1728" s="70" t="s">
        <v>1774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4255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1774</v>
      </c>
      <c r="H1729" s="9"/>
      <c r="I1729" s="8"/>
      <c r="J1729" s="8"/>
      <c r="K1729" s="8"/>
      <c r="L1729" s="9" t="s">
        <v>1896</v>
      </c>
      <c r="M1729" s="8"/>
    </row>
    <row r="1730" spans="1:13">
      <c r="A1730" s="14" t="s">
        <v>4256</v>
      </c>
      <c r="B1730" s="67">
        <v>7039189402</v>
      </c>
      <c r="C1730" s="72" t="s">
        <v>4257</v>
      </c>
      <c r="D1730" s="69">
        <v>5531291558</v>
      </c>
      <c r="E1730" s="9">
        <v>262</v>
      </c>
      <c r="F1730" s="25">
        <v>43160</v>
      </c>
      <c r="G1730" s="70" t="s">
        <v>1774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4258</v>
      </c>
      <c r="B1731" s="67">
        <v>34602647804</v>
      </c>
      <c r="C1731" s="72" t="s">
        <v>4259</v>
      </c>
      <c r="D1731" s="69">
        <v>27640163870</v>
      </c>
      <c r="E1731" s="9">
        <v>229</v>
      </c>
      <c r="F1731" s="25">
        <v>43151</v>
      </c>
      <c r="G1731" s="70" t="s">
        <v>1774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4260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1774</v>
      </c>
      <c r="H1732" s="9"/>
      <c r="I1732" s="8"/>
      <c r="J1732" s="8"/>
      <c r="K1732" s="8"/>
      <c r="L1732" s="8"/>
      <c r="M1732" s="8"/>
    </row>
    <row r="1733" spans="1:13">
      <c r="A1733" s="71" t="s">
        <v>4261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1774</v>
      </c>
      <c r="H1733" s="9"/>
      <c r="I1733" s="8"/>
      <c r="J1733" s="8"/>
      <c r="K1733" s="8"/>
      <c r="L1733" s="9" t="s">
        <v>2260</v>
      </c>
      <c r="M1733" s="8"/>
    </row>
    <row r="1734" spans="1:13">
      <c r="A1734" s="71" t="s">
        <v>4262</v>
      </c>
      <c r="B1734" s="67">
        <v>4656282570</v>
      </c>
      <c r="C1734" s="72" t="s">
        <v>4263</v>
      </c>
      <c r="D1734" s="69">
        <v>85025780578</v>
      </c>
      <c r="E1734" s="9">
        <v>85</v>
      </c>
      <c r="F1734" s="25">
        <v>43109</v>
      </c>
      <c r="G1734" s="70" t="s">
        <v>1774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4264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4265</v>
      </c>
      <c r="B1736" s="67">
        <v>44808773805</v>
      </c>
      <c r="C1736" s="72" t="s">
        <v>4266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4267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1774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4268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4269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1774</v>
      </c>
      <c r="H1739" s="9"/>
      <c r="I1739" s="8"/>
      <c r="J1739" s="8"/>
      <c r="K1739" s="8"/>
      <c r="L1739" s="9" t="s">
        <v>1896</v>
      </c>
      <c r="M1739" s="8"/>
    </row>
    <row r="1740" spans="1:13">
      <c r="A1740" s="71" t="s">
        <v>4270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1788</v>
      </c>
      <c r="H1740" s="9"/>
      <c r="I1740" s="8"/>
      <c r="J1740" s="8"/>
      <c r="K1740" s="8"/>
      <c r="L1740" s="9" t="s">
        <v>2011</v>
      </c>
      <c r="M1740" s="8"/>
    </row>
    <row r="1741" spans="1:13">
      <c r="A1741" s="15" t="s">
        <v>4271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4272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4273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4274</v>
      </c>
      <c r="B1744" s="67">
        <v>19129440491</v>
      </c>
      <c r="C1744" s="72" t="s">
        <v>4275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4276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1774</v>
      </c>
      <c r="H1745" s="9"/>
      <c r="I1745" s="8"/>
      <c r="J1745" s="8"/>
      <c r="K1745" s="8"/>
      <c r="L1745" s="8"/>
      <c r="M1745" s="8"/>
    </row>
    <row r="1746" spans="1:13">
      <c r="A1746" s="71" t="s">
        <v>4277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1774</v>
      </c>
      <c r="H1746" s="9"/>
      <c r="I1746" s="8"/>
      <c r="J1746" s="8"/>
      <c r="K1746" s="8"/>
      <c r="L1746" s="8"/>
      <c r="M1746" s="8"/>
    </row>
    <row r="1747" spans="1:13">
      <c r="A1747" s="15" t="s">
        <v>4278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1774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4279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1774</v>
      </c>
      <c r="H1748" s="9"/>
      <c r="I1748" s="8"/>
      <c r="J1748" s="8"/>
      <c r="K1748" s="8"/>
      <c r="L1748" s="9" t="s">
        <v>2156</v>
      </c>
      <c r="M1748" s="8"/>
    </row>
    <row r="1749" spans="1:13">
      <c r="A1749" s="13" t="s">
        <v>4280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1774</v>
      </c>
      <c r="H1749" s="9"/>
      <c r="I1749" s="8"/>
      <c r="J1749" s="8"/>
      <c r="K1749" s="8"/>
      <c r="L1749" s="8"/>
      <c r="M1749" s="8"/>
    </row>
    <row r="1750" spans="1:13">
      <c r="A1750" s="71" t="s">
        <v>4281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4282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1774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4283</v>
      </c>
      <c r="B1752" s="67">
        <v>15634351871</v>
      </c>
      <c r="C1752" s="72" t="s">
        <v>4284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4285</v>
      </c>
      <c r="B1753" s="67">
        <v>35994306835</v>
      </c>
      <c r="C1753" s="72" t="s">
        <v>4286</v>
      </c>
      <c r="D1753" s="69">
        <v>25021610880</v>
      </c>
      <c r="E1753" s="9">
        <v>262</v>
      </c>
      <c r="F1753" s="25">
        <v>43160</v>
      </c>
      <c r="G1753" s="70" t="s">
        <v>1774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4287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4288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4289</v>
      </c>
      <c r="B1756" s="67">
        <v>32525046854</v>
      </c>
      <c r="C1756" s="29" t="s">
        <v>1887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4290</v>
      </c>
      <c r="B1757" s="67">
        <v>23704553816</v>
      </c>
      <c r="C1757" s="77" t="s">
        <v>4291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2057</v>
      </c>
      <c r="M1757" s="8"/>
    </row>
    <row r="1758" spans="1:13">
      <c r="A1758" s="71" t="s">
        <v>4292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1774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4293</v>
      </c>
      <c r="B1759" s="67">
        <v>3180351543</v>
      </c>
      <c r="C1759" s="72" t="s">
        <v>4294</v>
      </c>
      <c r="D1759" s="69">
        <v>38259838893</v>
      </c>
      <c r="E1759" s="9">
        <v>1752</v>
      </c>
      <c r="F1759" s="25">
        <v>43051</v>
      </c>
      <c r="G1759" s="70" t="s">
        <v>1774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4295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1774</v>
      </c>
      <c r="H1760" s="9"/>
      <c r="I1760" s="8"/>
      <c r="J1760" s="8"/>
      <c r="K1760" s="8"/>
      <c r="L1760" s="9" t="s">
        <v>1896</v>
      </c>
      <c r="M1760" s="8"/>
    </row>
    <row r="1761" spans="1:13">
      <c r="A1761" s="71" t="s">
        <v>4296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1774</v>
      </c>
      <c r="H1761" s="9"/>
      <c r="I1761" s="8"/>
      <c r="J1761" s="8"/>
      <c r="K1761" s="8"/>
      <c r="L1761" s="8"/>
      <c r="M1761" s="8"/>
    </row>
    <row r="1762" spans="1:13">
      <c r="A1762" s="14" t="s">
        <v>4297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4298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4299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1774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4300</v>
      </c>
      <c r="B1765" s="80">
        <v>27034088896</v>
      </c>
      <c r="C1765" s="81" t="s">
        <v>4301</v>
      </c>
      <c r="D1765" s="82">
        <v>31801530831</v>
      </c>
      <c r="E1765" s="47">
        <v>1267</v>
      </c>
      <c r="F1765" s="48">
        <v>42998</v>
      </c>
      <c r="G1765" s="83" t="s">
        <v>1780</v>
      </c>
      <c r="H1765" s="47"/>
      <c r="I1765" s="49"/>
      <c r="J1765" s="49"/>
      <c r="K1765" s="49"/>
      <c r="L1765" s="49"/>
      <c r="M1765" s="49"/>
    </row>
    <row r="1766" spans="1:13">
      <c r="A1766" s="15" t="s">
        <v>4302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4303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4304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1774</v>
      </c>
      <c r="H1768" s="9"/>
      <c r="I1768" s="8"/>
      <c r="J1768" s="8"/>
      <c r="K1768" s="8"/>
      <c r="L1768" s="8"/>
      <c r="M1768" s="8"/>
    </row>
    <row r="1769" spans="1:13">
      <c r="A1769" s="71" t="s">
        <v>4305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1774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4306</v>
      </c>
      <c r="B1770" s="67">
        <v>13035980861</v>
      </c>
      <c r="C1770" s="72" t="s">
        <v>4307</v>
      </c>
      <c r="D1770" s="69">
        <v>60623608553</v>
      </c>
      <c r="E1770" s="9">
        <v>1752</v>
      </c>
      <c r="F1770" s="25">
        <v>43051</v>
      </c>
      <c r="G1770" s="70" t="s">
        <v>1774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4308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4309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1774</v>
      </c>
      <c r="H1772" s="9"/>
      <c r="I1772" s="8"/>
      <c r="J1772" s="8"/>
      <c r="K1772" s="8"/>
      <c r="L1772" s="9" t="s">
        <v>1896</v>
      </c>
      <c r="M1772" s="8"/>
    </row>
    <row r="1773" spans="1:13">
      <c r="A1773" s="29" t="s">
        <v>4310</v>
      </c>
      <c r="B1773" s="67">
        <v>7965453401</v>
      </c>
      <c r="C1773" s="29" t="s">
        <v>4311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4312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1774</v>
      </c>
      <c r="H1774" s="9"/>
      <c r="I1774" s="8"/>
      <c r="J1774" s="8"/>
      <c r="K1774" s="8"/>
      <c r="L1774" s="8"/>
      <c r="M1774" s="8"/>
    </row>
    <row r="1775" spans="1:13">
      <c r="A1775" s="71" t="s">
        <v>4313</v>
      </c>
      <c r="B1775" s="67">
        <v>29335127850</v>
      </c>
      <c r="C1775" s="68" t="s">
        <v>4314</v>
      </c>
      <c r="D1775" s="69">
        <v>18384225877</v>
      </c>
      <c r="E1775" s="9">
        <v>1214</v>
      </c>
      <c r="F1775" s="25">
        <v>42989</v>
      </c>
      <c r="G1775" s="70" t="s">
        <v>1774</v>
      </c>
      <c r="H1775" s="9"/>
      <c r="I1775" s="8"/>
      <c r="J1775" s="8"/>
      <c r="K1775" s="8"/>
      <c r="L1775" s="8"/>
      <c r="M1775" s="8"/>
    </row>
    <row r="1776" spans="1:13">
      <c r="A1776" s="71" t="s">
        <v>4315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4316</v>
      </c>
      <c r="B1777" s="67">
        <v>22530539880</v>
      </c>
      <c r="C1777" s="72" t="s">
        <v>4317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4318</v>
      </c>
      <c r="B1778" s="67">
        <v>22135571873</v>
      </c>
      <c r="C1778" s="72" t="s">
        <v>4319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4320</v>
      </c>
      <c r="B1779" s="67">
        <v>29928831823</v>
      </c>
      <c r="C1779" s="72" t="s">
        <v>4321</v>
      </c>
      <c r="D1779" s="69">
        <v>9500916428</v>
      </c>
      <c r="E1779" s="9">
        <v>810</v>
      </c>
      <c r="F1779" s="25">
        <v>42915</v>
      </c>
      <c r="G1779" s="70" t="s">
        <v>1774</v>
      </c>
      <c r="H1779" s="9"/>
      <c r="I1779" s="8"/>
      <c r="J1779" s="8"/>
      <c r="K1779" s="8"/>
      <c r="L1779" s="9" t="s">
        <v>1896</v>
      </c>
      <c r="M1779" s="8"/>
    </row>
    <row r="1780" spans="1:13">
      <c r="A1780" s="72" t="s">
        <v>4322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4323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1774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4324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4325</v>
      </c>
      <c r="B1783" s="67"/>
      <c r="C1783" s="29" t="s">
        <v>1887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4326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4327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1774</v>
      </c>
      <c r="H1785" s="9"/>
      <c r="I1785" s="8"/>
      <c r="J1785" s="8"/>
      <c r="K1785" s="8"/>
      <c r="L1785" s="8"/>
      <c r="M1785" s="8"/>
    </row>
    <row r="1786" spans="1:13">
      <c r="A1786" s="71" t="s">
        <v>4328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1774</v>
      </c>
      <c r="H1786" s="9"/>
      <c r="I1786" s="8"/>
      <c r="J1786" s="8"/>
      <c r="K1786" s="8"/>
      <c r="L1786" s="8"/>
      <c r="M1786" s="8"/>
    </row>
    <row r="1787" spans="1:13">
      <c r="A1787" s="71" t="s">
        <v>4329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1774</v>
      </c>
      <c r="H1787" s="9"/>
      <c r="I1787" s="8"/>
      <c r="J1787" s="8"/>
      <c r="K1787" s="8"/>
      <c r="L1787" s="8"/>
      <c r="M1787" s="8"/>
    </row>
    <row r="1788" spans="1:13">
      <c r="A1788" s="71" t="s">
        <v>4330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1774</v>
      </c>
      <c r="H1788" s="9"/>
      <c r="I1788" s="8"/>
      <c r="J1788" s="8"/>
      <c r="K1788" s="8"/>
      <c r="L1788" s="9" t="s">
        <v>1896</v>
      </c>
      <c r="M1788" s="8"/>
    </row>
    <row r="1789" spans="1:13">
      <c r="A1789" s="71" t="s">
        <v>4331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1774</v>
      </c>
      <c r="H1789" s="9"/>
      <c r="I1789" s="8"/>
      <c r="J1789" s="8"/>
      <c r="K1789" s="8"/>
      <c r="L1789" s="8"/>
      <c r="M1789" s="8"/>
    </row>
    <row r="1790" spans="1:13">
      <c r="A1790" s="71" t="s">
        <v>4332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1774</v>
      </c>
      <c r="H1790" s="9"/>
      <c r="I1790" s="8"/>
      <c r="J1790" s="8"/>
      <c r="K1790" s="8"/>
      <c r="L1790" s="8"/>
      <c r="M1790" s="8"/>
    </row>
    <row r="1791" spans="1:13">
      <c r="A1791" s="15" t="s">
        <v>4333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4334</v>
      </c>
      <c r="B1792" s="67">
        <v>29652104825</v>
      </c>
      <c r="C1792" s="68" t="s">
        <v>4335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4336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1774</v>
      </c>
      <c r="H1793" s="9"/>
      <c r="I1793" s="8"/>
      <c r="J1793" s="8"/>
      <c r="K1793" s="8"/>
      <c r="L1793" s="8"/>
      <c r="M1793" s="8"/>
    </row>
    <row r="1794" spans="1:13">
      <c r="A1794" s="14" t="s">
        <v>4337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4338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4339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1774</v>
      </c>
      <c r="H1796" s="9"/>
      <c r="I1796" s="8"/>
      <c r="J1796" s="8"/>
      <c r="K1796" s="8"/>
      <c r="L1796" s="9" t="s">
        <v>2260</v>
      </c>
      <c r="M1796" s="8"/>
    </row>
    <row r="1797" spans="1:13">
      <c r="A1797" s="71" t="s">
        <v>4340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1774</v>
      </c>
      <c r="H1797" s="9"/>
      <c r="I1797" s="8"/>
      <c r="J1797" s="8"/>
      <c r="K1797" s="8"/>
      <c r="L1797" s="8"/>
      <c r="M1797" s="8"/>
    </row>
    <row r="1798" spans="1:13">
      <c r="A1798" s="29" t="s">
        <v>4341</v>
      </c>
      <c r="B1798" s="67">
        <v>6896659890</v>
      </c>
      <c r="C1798" s="29" t="s">
        <v>4342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4343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1774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4344</v>
      </c>
      <c r="B1800" s="67">
        <v>60230380506</v>
      </c>
      <c r="C1800" s="72" t="s">
        <v>4345</v>
      </c>
      <c r="D1800" s="69">
        <v>30853536821</v>
      </c>
      <c r="E1800" s="9">
        <v>1570</v>
      </c>
      <c r="F1800" s="25">
        <v>43051</v>
      </c>
      <c r="G1800" s="70" t="s">
        <v>1780</v>
      </c>
      <c r="H1800" s="9"/>
      <c r="I1800" s="8"/>
      <c r="J1800" s="8"/>
      <c r="K1800" s="8"/>
      <c r="L1800" s="8"/>
      <c r="M1800" s="8"/>
    </row>
    <row r="1801" spans="1:13">
      <c r="A1801" s="14" t="s">
        <v>4346</v>
      </c>
      <c r="B1801" s="67">
        <v>44556393817</v>
      </c>
      <c r="C1801" s="72" t="s">
        <v>4347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4348</v>
      </c>
      <c r="B1802" s="67">
        <v>35780076847</v>
      </c>
      <c r="C1802" s="29" t="s">
        <v>4349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4350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4351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1774</v>
      </c>
      <c r="H1804" s="9"/>
      <c r="I1804" s="8"/>
      <c r="J1804" s="8"/>
      <c r="K1804" s="8"/>
      <c r="L1804" s="8"/>
      <c r="M1804" s="8"/>
    </row>
    <row r="1805" spans="1:13">
      <c r="A1805" s="71" t="s">
        <v>4352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4353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4354</v>
      </c>
      <c r="B1807" s="67">
        <v>8265497806</v>
      </c>
      <c r="C1807" s="18" t="s">
        <v>1887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4355</v>
      </c>
      <c r="B1808" s="67">
        <v>27435732877</v>
      </c>
      <c r="C1808" s="29" t="s">
        <v>1887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4356</v>
      </c>
      <c r="B1809" s="67">
        <v>17620421858</v>
      </c>
      <c r="C1809" s="72" t="s">
        <v>4357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4358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1774</v>
      </c>
      <c r="H1810" s="9"/>
      <c r="I1810" s="8"/>
      <c r="J1810" s="8"/>
      <c r="K1810" s="8"/>
      <c r="L1810" s="8"/>
      <c r="M1810" s="8"/>
    </row>
    <row r="1811" spans="1:13">
      <c r="A1811" s="71" t="s">
        <v>4359</v>
      </c>
      <c r="B1811" s="78" t="s">
        <v>4360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4361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1774</v>
      </c>
      <c r="H1812" s="9"/>
      <c r="I1812" s="8"/>
      <c r="J1812" s="8"/>
      <c r="K1812" s="8"/>
      <c r="L1812" s="8"/>
      <c r="M1812" s="8"/>
    </row>
    <row r="1813" spans="1:13">
      <c r="A1813" s="71" t="s">
        <v>4362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4363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4364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1774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4365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2057</v>
      </c>
      <c r="M1816" s="8"/>
    </row>
    <row r="1817" spans="1:13">
      <c r="A1817" s="14" t="s">
        <v>4366</v>
      </c>
      <c r="B1817" s="67">
        <v>24655581883</v>
      </c>
      <c r="C1817" s="72" t="s">
        <v>4367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4368</v>
      </c>
      <c r="B1818" s="67">
        <v>6455171861</v>
      </c>
      <c r="C1818" s="72" t="s">
        <v>4369</v>
      </c>
      <c r="D1818" s="69">
        <v>34375910534</v>
      </c>
      <c r="E1818" s="9">
        <v>1417</v>
      </c>
      <c r="F1818" s="25">
        <v>43017</v>
      </c>
      <c r="G1818" s="70" t="s">
        <v>1774</v>
      </c>
      <c r="H1818" s="9"/>
      <c r="I1818" s="8"/>
      <c r="J1818" s="8"/>
      <c r="K1818" s="8"/>
      <c r="L1818" s="9" t="s">
        <v>2011</v>
      </c>
      <c r="M1818" s="8"/>
    </row>
    <row r="1819" spans="1:13">
      <c r="A1819" s="71" t="s">
        <v>4370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1774</v>
      </c>
      <c r="H1819" s="9"/>
      <c r="I1819" s="8"/>
      <c r="J1819" s="8"/>
      <c r="K1819" s="8"/>
      <c r="L1819" s="8"/>
      <c r="M1819" s="8"/>
    </row>
    <row r="1820" spans="1:13">
      <c r="A1820" s="71" t="s">
        <v>4371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1774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4372</v>
      </c>
      <c r="B1821" s="67">
        <v>16417318850</v>
      </c>
      <c r="C1821" s="72" t="s">
        <v>4373</v>
      </c>
      <c r="D1821" s="69">
        <v>18195940846</v>
      </c>
      <c r="E1821" s="9">
        <v>810</v>
      </c>
      <c r="F1821" s="25">
        <v>42915</v>
      </c>
      <c r="G1821" s="70" t="s">
        <v>1780</v>
      </c>
      <c r="H1821" s="9"/>
      <c r="I1821" s="8"/>
      <c r="J1821" s="8"/>
      <c r="K1821" s="8"/>
      <c r="L1821" s="9" t="s">
        <v>1896</v>
      </c>
      <c r="M1821" s="8"/>
    </row>
    <row r="1822" spans="1:13">
      <c r="A1822" s="14" t="s">
        <v>4374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1774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4375</v>
      </c>
      <c r="B1823" s="67">
        <v>14369207878</v>
      </c>
      <c r="C1823" s="72" t="s">
        <v>4376</v>
      </c>
      <c r="D1823" s="69">
        <v>7358923421</v>
      </c>
      <c r="E1823" s="9">
        <v>292</v>
      </c>
      <c r="F1823" s="25">
        <v>43168</v>
      </c>
      <c r="G1823" s="9" t="s">
        <v>1774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4377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4377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4378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1774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4379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4380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4381</v>
      </c>
      <c r="B1829" s="67" t="s">
        <v>4382</v>
      </c>
      <c r="C1829" s="72" t="s">
        <v>4383</v>
      </c>
      <c r="D1829" s="69">
        <v>43860821822</v>
      </c>
      <c r="E1829" s="9">
        <v>1752</v>
      </c>
      <c r="F1829" s="25">
        <v>43051</v>
      </c>
      <c r="G1829" s="70" t="s">
        <v>1774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4381</v>
      </c>
      <c r="B1830" s="67"/>
      <c r="C1830" s="18" t="s">
        <v>1887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4384</v>
      </c>
      <c r="B1831" s="67">
        <v>32969576856</v>
      </c>
      <c r="C1831" s="72" t="s">
        <v>4385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4386</v>
      </c>
      <c r="B1832" s="67">
        <v>23651706842</v>
      </c>
      <c r="C1832" s="18" t="s">
        <v>4387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4388</v>
      </c>
      <c r="B1833" s="67"/>
      <c r="C1833" s="29" t="s">
        <v>4389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4390</v>
      </c>
      <c r="B1834" s="67">
        <v>24891699809</v>
      </c>
      <c r="C1834" s="72" t="s">
        <v>4391</v>
      </c>
      <c r="D1834" s="69">
        <v>17610300861</v>
      </c>
      <c r="E1834" s="9">
        <v>262</v>
      </c>
      <c r="F1834" s="25">
        <v>43160</v>
      </c>
      <c r="G1834" s="70" t="s">
        <v>1780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4392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1774</v>
      </c>
      <c r="H1835" s="9"/>
      <c r="I1835" s="8"/>
      <c r="J1835" s="8"/>
      <c r="K1835" s="8"/>
      <c r="L1835" s="8"/>
      <c r="M1835" s="8"/>
    </row>
    <row r="1836" spans="1:13">
      <c r="A1836" s="71" t="s">
        <v>4393</v>
      </c>
      <c r="B1836" s="67">
        <v>79465617687</v>
      </c>
      <c r="C1836" s="77" t="s">
        <v>4394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2057</v>
      </c>
      <c r="M1836" s="8"/>
    </row>
    <row r="1837" spans="1:13">
      <c r="A1837" s="29" t="s">
        <v>4395</v>
      </c>
      <c r="B1837" s="67"/>
      <c r="C1837" s="29" t="s">
        <v>1887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4396</v>
      </c>
      <c r="B1838" s="67" t="s">
        <v>4397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4398</v>
      </c>
      <c r="B1839" s="67">
        <v>8545670893</v>
      </c>
      <c r="C1839" s="18" t="s">
        <v>4399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4398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1774</v>
      </c>
      <c r="H1840" s="9"/>
      <c r="I1840" s="8"/>
      <c r="J1840" s="8"/>
      <c r="K1840" s="8"/>
      <c r="L1840" s="9" t="s">
        <v>1896</v>
      </c>
      <c r="M1840" s="8"/>
    </row>
    <row r="1841" spans="1:13">
      <c r="A1841" s="72" t="s">
        <v>4400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4401</v>
      </c>
      <c r="B1842" s="67"/>
      <c r="C1842" s="29" t="s">
        <v>1887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4402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1774</v>
      </c>
      <c r="H1843" s="9"/>
      <c r="I1843" s="8"/>
      <c r="J1843" s="8"/>
      <c r="K1843" s="8"/>
      <c r="L1843" s="8"/>
      <c r="M1843" s="8"/>
    </row>
    <row r="1844" spans="1:13">
      <c r="A1844" s="72" t="s">
        <v>4403</v>
      </c>
      <c r="B1844" s="69">
        <v>84920157487</v>
      </c>
      <c r="C1844" s="71" t="s">
        <v>4404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4405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4406</v>
      </c>
      <c r="B1846" s="67">
        <v>35331745814</v>
      </c>
      <c r="C1846" s="75" t="s">
        <v>4407</v>
      </c>
      <c r="D1846" s="69">
        <v>33184459837</v>
      </c>
      <c r="E1846" s="9">
        <v>1106</v>
      </c>
      <c r="F1846" s="25">
        <v>42965</v>
      </c>
      <c r="G1846" s="70" t="s">
        <v>1774</v>
      </c>
      <c r="H1846" s="9"/>
      <c r="I1846" s="8"/>
      <c r="J1846" s="8"/>
      <c r="K1846" s="8"/>
      <c r="L1846" s="8"/>
      <c r="M1846" s="8"/>
    </row>
    <row r="1847" spans="1:13">
      <c r="A1847" s="15" t="s">
        <v>4408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4409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4410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1774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4411</v>
      </c>
      <c r="B1850" s="67">
        <v>14686278805</v>
      </c>
      <c r="C1850" s="18" t="s">
        <v>1887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4412</v>
      </c>
      <c r="B1851" s="67">
        <v>14857592851</v>
      </c>
      <c r="C1851" s="72" t="s">
        <v>4413</v>
      </c>
      <c r="D1851" s="69">
        <v>35142215885</v>
      </c>
      <c r="E1851" s="9">
        <v>1106</v>
      </c>
      <c r="F1851" s="25">
        <v>42965</v>
      </c>
      <c r="G1851" s="70" t="s">
        <v>1774</v>
      </c>
      <c r="H1851" s="9"/>
      <c r="I1851" s="8"/>
      <c r="J1851" s="8"/>
      <c r="K1851" s="8"/>
      <c r="L1851" s="8"/>
      <c r="M1851" s="8"/>
    </row>
    <row r="1852" spans="1:13">
      <c r="A1852" s="71" t="s">
        <v>4414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1774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4415</v>
      </c>
      <c r="B1853" s="67">
        <v>35714112857</v>
      </c>
      <c r="C1853" s="72" t="s">
        <v>4416</v>
      </c>
      <c r="D1853" s="69">
        <v>32342783850</v>
      </c>
      <c r="E1853" s="9">
        <v>810</v>
      </c>
      <c r="F1853" s="25">
        <v>42915</v>
      </c>
      <c r="G1853" s="70" t="s">
        <v>1774</v>
      </c>
      <c r="H1853" s="9"/>
      <c r="I1853" s="8"/>
      <c r="J1853" s="8"/>
      <c r="K1853" s="8"/>
      <c r="L1853" s="9" t="s">
        <v>1896</v>
      </c>
      <c r="M1853" s="8"/>
    </row>
    <row r="1854" spans="1:13">
      <c r="A1854" s="15" t="s">
        <v>4417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4418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1774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4419</v>
      </c>
      <c r="B1856" s="67">
        <v>22009621859</v>
      </c>
      <c r="C1856" s="72" t="s">
        <v>4420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4421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1774</v>
      </c>
      <c r="H1857" s="9"/>
      <c r="I1857" s="8"/>
      <c r="J1857" s="8"/>
      <c r="K1857" s="8"/>
      <c r="L1857" s="9" t="s">
        <v>1896</v>
      </c>
      <c r="M1857" s="8"/>
    </row>
    <row r="1858" spans="1:13">
      <c r="A1858" s="71" t="s">
        <v>4422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1774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4423</v>
      </c>
      <c r="B1859" s="67">
        <v>32752183879</v>
      </c>
      <c r="C1859" s="72" t="s">
        <v>4424</v>
      </c>
      <c r="D1859" s="69">
        <v>15202346867</v>
      </c>
      <c r="E1859" s="9">
        <v>85</v>
      </c>
      <c r="F1859" s="25">
        <v>43109</v>
      </c>
      <c r="G1859" s="70" t="s">
        <v>1774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4425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4426</v>
      </c>
      <c r="B1861" s="67">
        <v>13622732873</v>
      </c>
      <c r="C1861" s="68"/>
      <c r="D1861" s="69"/>
      <c r="E1861" s="9"/>
      <c r="F1861" s="25"/>
      <c r="G1861" s="70" t="s">
        <v>1774</v>
      </c>
      <c r="H1861" s="9"/>
      <c r="I1861" s="8"/>
      <c r="J1861" s="8"/>
      <c r="K1861" s="8"/>
      <c r="L1861" s="8"/>
      <c r="M1861" s="8"/>
    </row>
    <row r="1862" spans="1:13">
      <c r="A1862" s="71" t="s">
        <v>4427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4428</v>
      </c>
      <c r="B1863" s="67">
        <v>17094778813</v>
      </c>
      <c r="C1863" s="72" t="s">
        <v>4429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4430</v>
      </c>
      <c r="B1864" s="67"/>
      <c r="C1864" s="72" t="s">
        <v>4431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4432</v>
      </c>
      <c r="B1865" s="67">
        <v>43289674878</v>
      </c>
      <c r="C1865" s="72" t="s">
        <v>4433</v>
      </c>
      <c r="D1865" s="69">
        <v>39726735823</v>
      </c>
      <c r="E1865" s="9">
        <v>810</v>
      </c>
      <c r="F1865" s="25">
        <v>42915</v>
      </c>
      <c r="G1865" s="70" t="s">
        <v>1774</v>
      </c>
      <c r="H1865" s="9"/>
      <c r="I1865" s="8"/>
      <c r="J1865" s="8"/>
      <c r="K1865" s="8"/>
      <c r="L1865" s="9" t="s">
        <v>1896</v>
      </c>
      <c r="M1865" s="8"/>
    </row>
    <row r="1866" spans="1:13">
      <c r="A1866" s="29" t="s">
        <v>4434</v>
      </c>
      <c r="B1866" s="67">
        <v>3778856812</v>
      </c>
      <c r="C1866" s="18" t="s">
        <v>1887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4435</v>
      </c>
      <c r="B1867" s="67">
        <v>36074731888</v>
      </c>
      <c r="C1867" s="29" t="s">
        <v>1887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4436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4437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4438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2057</v>
      </c>
      <c r="M1870" s="8"/>
    </row>
    <row r="1871" spans="1:13">
      <c r="A1871" s="71" t="s">
        <v>4439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4440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1774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4441</v>
      </c>
      <c r="B1873" s="67">
        <v>35885861803</v>
      </c>
      <c r="C1873" s="72" t="s">
        <v>4442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4443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4444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1774</v>
      </c>
      <c r="H1875" s="9"/>
      <c r="I1875" s="8"/>
      <c r="J1875" s="8"/>
      <c r="K1875" s="8"/>
      <c r="L1875" s="9" t="s">
        <v>1896</v>
      </c>
      <c r="M1875" s="8"/>
    </row>
    <row r="1876" spans="1:13">
      <c r="A1876" s="13" t="s">
        <v>4445</v>
      </c>
      <c r="B1876" s="67">
        <v>14888258821</v>
      </c>
      <c r="C1876" s="72" t="s">
        <v>4446</v>
      </c>
      <c r="D1876" s="69">
        <v>9173891827</v>
      </c>
      <c r="E1876" s="9">
        <v>229</v>
      </c>
      <c r="F1876" s="25">
        <v>43151</v>
      </c>
      <c r="G1876" s="70" t="s">
        <v>1774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4447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1774</v>
      </c>
      <c r="H1877" s="9"/>
      <c r="I1877" s="8"/>
      <c r="J1877" s="8"/>
      <c r="K1877" s="8"/>
      <c r="L1877" s="9" t="s">
        <v>2260</v>
      </c>
      <c r="M1877" s="8"/>
    </row>
    <row r="1878" spans="1:13">
      <c r="A1878" s="73" t="s">
        <v>4448</v>
      </c>
      <c r="B1878" s="67">
        <v>36238125870</v>
      </c>
      <c r="C1878" s="72" t="s">
        <v>4449</v>
      </c>
      <c r="D1878" s="69">
        <v>44321368391</v>
      </c>
      <c r="E1878" s="9">
        <v>1106</v>
      </c>
      <c r="F1878" s="25">
        <v>42965</v>
      </c>
      <c r="G1878" s="70" t="s">
        <v>1774</v>
      </c>
      <c r="H1878" s="9"/>
      <c r="I1878" s="8"/>
      <c r="J1878" s="8"/>
      <c r="K1878" s="8"/>
      <c r="L1878" s="8"/>
      <c r="M1878" s="8"/>
    </row>
    <row r="1879" spans="1:13">
      <c r="A1879" s="71" t="s">
        <v>4450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1774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4451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4452</v>
      </c>
      <c r="B1881" s="67">
        <v>25970465836</v>
      </c>
      <c r="C1881" s="29" t="s">
        <v>4453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4454</v>
      </c>
      <c r="B1882" s="67">
        <v>26569869825</v>
      </c>
      <c r="C1882" s="15" t="s">
        <v>4455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4456</v>
      </c>
      <c r="B1883" s="67">
        <v>87835053349</v>
      </c>
      <c r="C1883" s="72" t="s">
        <v>4457</v>
      </c>
      <c r="D1883" s="69">
        <v>18172850840</v>
      </c>
      <c r="E1883" s="9">
        <v>1106</v>
      </c>
      <c r="F1883" s="25">
        <v>42965</v>
      </c>
      <c r="G1883" s="70" t="s">
        <v>1774</v>
      </c>
      <c r="H1883" s="9"/>
      <c r="I1883" s="8"/>
      <c r="J1883" s="8"/>
      <c r="K1883" s="8"/>
      <c r="L1883" s="8"/>
      <c r="M1883" s="8"/>
    </row>
    <row r="1884" spans="1:13">
      <c r="A1884" s="71" t="s">
        <v>4458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2057</v>
      </c>
      <c r="M1884" s="8"/>
    </row>
    <row r="1885" spans="1:13">
      <c r="A1885" s="72" t="s">
        <v>4459</v>
      </c>
      <c r="B1885" s="67">
        <v>32747471810</v>
      </c>
      <c r="C1885" s="72" t="s">
        <v>4460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4461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4462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1774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4463</v>
      </c>
      <c r="B1888" s="67">
        <v>31413965822</v>
      </c>
      <c r="C1888" s="72" t="s">
        <v>4464</v>
      </c>
      <c r="D1888" s="69">
        <v>17486425882</v>
      </c>
      <c r="E1888" s="9">
        <v>1106</v>
      </c>
      <c r="F1888" s="25">
        <v>42965</v>
      </c>
      <c r="G1888" s="70" t="s">
        <v>1774</v>
      </c>
      <c r="H1888" s="9"/>
      <c r="I1888" s="8"/>
      <c r="J1888" s="8"/>
      <c r="K1888" s="8"/>
      <c r="L1888" s="8"/>
      <c r="M1888" s="8"/>
    </row>
    <row r="1889" spans="1:13">
      <c r="A1889" s="33" t="s">
        <v>4465</v>
      </c>
      <c r="B1889" s="67">
        <v>35736302861</v>
      </c>
      <c r="C1889" s="72" t="s">
        <v>4466</v>
      </c>
      <c r="D1889" s="69">
        <v>39355200854</v>
      </c>
      <c r="E1889" s="9">
        <v>229</v>
      </c>
      <c r="F1889" s="25">
        <v>43151</v>
      </c>
      <c r="G1889" s="70" t="s">
        <v>1774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4467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1774</v>
      </c>
      <c r="H1890" s="9"/>
      <c r="I1890" s="8"/>
      <c r="J1890" s="8"/>
      <c r="K1890" s="8"/>
      <c r="L1890" s="8"/>
      <c r="M1890" s="8"/>
    </row>
    <row r="1891" spans="1:13">
      <c r="A1891" s="15" t="s">
        <v>4468</v>
      </c>
      <c r="B1891" s="67">
        <v>16364261825</v>
      </c>
      <c r="C1891" s="72" t="s">
        <v>4469</v>
      </c>
      <c r="D1891" s="69">
        <v>3293003427</v>
      </c>
      <c r="E1891" s="9">
        <v>117</v>
      </c>
      <c r="F1891" s="25">
        <v>43117</v>
      </c>
      <c r="G1891" s="70" t="s">
        <v>1774</v>
      </c>
      <c r="H1891" s="9"/>
      <c r="I1891" s="8"/>
      <c r="J1891" s="8"/>
      <c r="K1891" s="8"/>
      <c r="L1891" s="9" t="s">
        <v>1928</v>
      </c>
      <c r="M1891" s="8"/>
    </row>
    <row r="1892" spans="1:13">
      <c r="A1892" s="84" t="s">
        <v>4470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4471</v>
      </c>
      <c r="B1893" s="67">
        <v>33729129856</v>
      </c>
      <c r="C1893" s="72" t="s">
        <v>4472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4473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1774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4474</v>
      </c>
      <c r="B1895" s="67">
        <v>6579182458</v>
      </c>
      <c r="C1895" s="72" t="s">
        <v>4475</v>
      </c>
      <c r="D1895" s="69">
        <v>7424068490</v>
      </c>
      <c r="E1895" s="9">
        <v>810</v>
      </c>
      <c r="F1895" s="25">
        <v>42915</v>
      </c>
      <c r="G1895" s="70" t="s">
        <v>1774</v>
      </c>
      <c r="H1895" s="9"/>
      <c r="I1895" s="8"/>
      <c r="J1895" s="8"/>
      <c r="K1895" s="8"/>
      <c r="L1895" s="9" t="s">
        <v>1896</v>
      </c>
      <c r="M1895" s="8"/>
    </row>
    <row r="1896" spans="1:13">
      <c r="A1896" s="71" t="s">
        <v>4476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4477</v>
      </c>
      <c r="B1897" s="67">
        <v>65195140553</v>
      </c>
      <c r="C1897" s="29" t="s">
        <v>1887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4478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4478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1774</v>
      </c>
      <c r="H1899" s="9"/>
      <c r="I1899" s="8"/>
      <c r="J1899" s="8"/>
      <c r="K1899" s="8"/>
      <c r="L1899" s="8"/>
      <c r="M1899" s="8"/>
    </row>
    <row r="1900" spans="1:13">
      <c r="A1900" s="71" t="s">
        <v>4479</v>
      </c>
      <c r="B1900" s="67">
        <v>17146759806</v>
      </c>
      <c r="C1900" s="72" t="s">
        <v>4480</v>
      </c>
      <c r="D1900" s="69">
        <v>39095494896</v>
      </c>
      <c r="E1900" s="9">
        <v>1262</v>
      </c>
      <c r="F1900" s="25">
        <v>42997</v>
      </c>
      <c r="G1900" s="70" t="s">
        <v>1780</v>
      </c>
      <c r="H1900" s="9"/>
      <c r="I1900" s="8"/>
      <c r="J1900" s="8"/>
      <c r="K1900" s="8"/>
      <c r="L1900" s="8"/>
      <c r="M1900" s="8"/>
    </row>
    <row r="1901" spans="1:13">
      <c r="A1901" s="13" t="s">
        <v>4481</v>
      </c>
      <c r="B1901" s="67">
        <v>3893020403</v>
      </c>
      <c r="C1901" s="68" t="s">
        <v>4482</v>
      </c>
      <c r="D1901" s="69">
        <v>31615704809</v>
      </c>
      <c r="E1901" s="9">
        <v>1128</v>
      </c>
      <c r="F1901" s="25">
        <v>42972</v>
      </c>
      <c r="G1901" s="70" t="s">
        <v>1774</v>
      </c>
      <c r="H1901" s="9"/>
      <c r="I1901" s="8"/>
      <c r="J1901" s="8"/>
      <c r="K1901" s="8"/>
      <c r="L1901" s="8"/>
      <c r="M1901" s="8"/>
    </row>
    <row r="1902" spans="1:13">
      <c r="A1902" s="73" t="s">
        <v>4483</v>
      </c>
      <c r="B1902" s="67">
        <v>70116695404</v>
      </c>
      <c r="C1902" s="72" t="s">
        <v>4484</v>
      </c>
      <c r="D1902" s="69">
        <v>66319943491</v>
      </c>
      <c r="E1902" s="9">
        <v>1106</v>
      </c>
      <c r="F1902" s="25">
        <v>42965</v>
      </c>
      <c r="G1902" s="70" t="s">
        <v>1774</v>
      </c>
      <c r="H1902" s="9"/>
      <c r="I1902" s="8"/>
      <c r="J1902" s="8"/>
      <c r="K1902" s="8"/>
      <c r="L1902" s="8"/>
      <c r="M1902" s="8"/>
    </row>
    <row r="1903" spans="1:13">
      <c r="A1903" s="29" t="s">
        <v>4485</v>
      </c>
      <c r="B1903" s="67"/>
      <c r="C1903" s="29" t="s">
        <v>4486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4487</v>
      </c>
      <c r="B1904" s="67"/>
      <c r="C1904" s="29" t="s">
        <v>1887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4488</v>
      </c>
      <c r="B1905" s="67"/>
      <c r="C1905" s="29" t="s">
        <v>4489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4490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4491</v>
      </c>
      <c r="B1907" s="67">
        <v>6936214436</v>
      </c>
      <c r="C1907" s="72" t="s">
        <v>4492</v>
      </c>
      <c r="D1907" s="69">
        <v>8583452423</v>
      </c>
      <c r="E1907" s="9">
        <v>85</v>
      </c>
      <c r="F1907" s="25">
        <v>43109</v>
      </c>
      <c r="G1907" s="70" t="s">
        <v>1774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4493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1774</v>
      </c>
      <c r="H1908" s="9"/>
      <c r="I1908" s="8"/>
      <c r="J1908" s="8"/>
      <c r="K1908" s="8"/>
      <c r="L1908" s="9" t="s">
        <v>1896</v>
      </c>
      <c r="M1908" s="8"/>
    </row>
    <row r="1909" spans="1:13">
      <c r="A1909" s="15" t="s">
        <v>4494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1774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4495</v>
      </c>
      <c r="B1910" s="67">
        <v>35264817847</v>
      </c>
      <c r="C1910" s="29" t="s">
        <v>1887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4496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4497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1774</v>
      </c>
      <c r="H1912" s="9"/>
      <c r="I1912" s="8"/>
      <c r="J1912" s="8"/>
      <c r="K1912" s="8"/>
      <c r="L1912" s="8"/>
      <c r="M1912" s="8"/>
    </row>
    <row r="1913" spans="1:13">
      <c r="A1913" s="71" t="s">
        <v>4498</v>
      </c>
      <c r="B1913" s="67">
        <v>90046226591</v>
      </c>
      <c r="C1913" s="72" t="s">
        <v>4499</v>
      </c>
      <c r="D1913" s="69">
        <v>74829505591</v>
      </c>
      <c r="E1913" s="9">
        <v>262</v>
      </c>
      <c r="F1913" s="25">
        <v>43160</v>
      </c>
      <c r="G1913" s="9" t="s">
        <v>1774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4500</v>
      </c>
      <c r="B1914" s="67">
        <v>29871369867</v>
      </c>
      <c r="C1914" s="72" t="s">
        <v>4501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4502</v>
      </c>
      <c r="B1915" s="67">
        <v>26681571883</v>
      </c>
      <c r="C1915" s="71" t="s">
        <v>4503</v>
      </c>
      <c r="D1915" s="69">
        <v>18465693897</v>
      </c>
      <c r="E1915" s="9">
        <v>292</v>
      </c>
      <c r="F1915" s="25">
        <v>43168</v>
      </c>
      <c r="G1915" s="70" t="s">
        <v>1774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4504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4505</v>
      </c>
      <c r="B1917" s="67">
        <v>26526680801</v>
      </c>
      <c r="C1917" s="68" t="s">
        <v>4506</v>
      </c>
      <c r="D1917" s="69">
        <v>7117205631</v>
      </c>
      <c r="E1917" s="9">
        <v>1128</v>
      </c>
      <c r="F1917" s="25">
        <v>42972</v>
      </c>
      <c r="G1917" s="70" t="s">
        <v>1774</v>
      </c>
      <c r="H1917" s="9"/>
      <c r="I1917" s="8"/>
      <c r="J1917" s="8"/>
      <c r="K1917" s="8"/>
      <c r="L1917" s="8"/>
      <c r="M1917" s="8"/>
    </row>
    <row r="1918" spans="1:13">
      <c r="A1918" s="71" t="s">
        <v>4507</v>
      </c>
      <c r="B1918" s="67">
        <v>67285902420</v>
      </c>
      <c r="C1918" s="72" t="s">
        <v>3275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2057</v>
      </c>
      <c r="M1918" s="8"/>
    </row>
    <row r="1919" spans="1:13">
      <c r="A1919" s="29" t="s">
        <v>4508</v>
      </c>
      <c r="B1919" s="67"/>
      <c r="C1919" s="18" t="s">
        <v>1887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4509</v>
      </c>
      <c r="B1920" s="67">
        <v>1097111490</v>
      </c>
      <c r="C1920" s="77" t="s">
        <v>4510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2057</v>
      </c>
      <c r="M1920" s="8"/>
    </row>
    <row r="1921" spans="1:13">
      <c r="A1921" s="71" t="s">
        <v>4511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4512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1774</v>
      </c>
      <c r="H1922" s="9"/>
      <c r="I1922" s="8"/>
      <c r="J1922" s="8"/>
      <c r="K1922" s="8"/>
      <c r="L1922" s="8"/>
      <c r="M1922" s="8"/>
    </row>
    <row r="1923" spans="1:13">
      <c r="A1923" s="71" t="s">
        <v>4513</v>
      </c>
      <c r="B1923" s="67">
        <v>16756911856</v>
      </c>
      <c r="C1923" s="72" t="s">
        <v>4514</v>
      </c>
      <c r="D1923" s="69">
        <v>10411415808</v>
      </c>
      <c r="E1923" s="9">
        <v>1752</v>
      </c>
      <c r="F1923" s="25">
        <v>43051</v>
      </c>
      <c r="G1923" s="70" t="s">
        <v>1774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4515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4516</v>
      </c>
      <c r="B1925" s="67"/>
      <c r="C1925" s="72" t="s">
        <v>4517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4518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1780</v>
      </c>
      <c r="H1926" s="9"/>
      <c r="I1926" s="8"/>
      <c r="J1926" s="8"/>
      <c r="K1926" s="8"/>
      <c r="L1926" s="8"/>
      <c r="M1926" s="8"/>
    </row>
    <row r="1927" spans="1:13">
      <c r="A1927" s="72" t="s">
        <v>4519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4520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1774</v>
      </c>
      <c r="H1928" s="9"/>
      <c r="I1928" s="8"/>
      <c r="J1928" s="8"/>
      <c r="K1928" s="8"/>
      <c r="L1928" s="9" t="s">
        <v>2260</v>
      </c>
      <c r="M1928" s="8"/>
    </row>
    <row r="1929" spans="1:13">
      <c r="A1929" s="29" t="s">
        <v>4521</v>
      </c>
      <c r="B1929" s="67"/>
      <c r="C1929" s="29" t="s">
        <v>1887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4522</v>
      </c>
      <c r="B1930" s="67"/>
      <c r="C1930" s="29" t="s">
        <v>4523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4524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1774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4525</v>
      </c>
      <c r="B1932" s="67">
        <v>30900118830</v>
      </c>
      <c r="C1932" s="72" t="s">
        <v>4526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4527</v>
      </c>
      <c r="B1933" s="67">
        <v>64217299400</v>
      </c>
      <c r="C1933" s="18" t="s">
        <v>4528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4529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4530</v>
      </c>
      <c r="B1935" s="67">
        <v>95875409487</v>
      </c>
      <c r="C1935" s="72" t="s">
        <v>4531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4532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4533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4534</v>
      </c>
      <c r="B1938" s="67">
        <v>26655730325</v>
      </c>
      <c r="C1938" s="72" t="s">
        <v>4535</v>
      </c>
      <c r="D1938" s="69">
        <v>59222891520</v>
      </c>
      <c r="E1938" s="9">
        <v>262</v>
      </c>
      <c r="F1938" s="25">
        <v>43160</v>
      </c>
      <c r="G1938" s="70" t="s">
        <v>1774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4536</v>
      </c>
      <c r="B1939" s="67">
        <v>15696788807</v>
      </c>
      <c r="C1939" s="72" t="s">
        <v>4537</v>
      </c>
      <c r="D1939" s="69">
        <v>4231184801</v>
      </c>
      <c r="E1939" s="9">
        <v>1555</v>
      </c>
      <c r="F1939" s="25">
        <v>43049</v>
      </c>
      <c r="G1939" s="70" t="s">
        <v>1774</v>
      </c>
      <c r="H1939" s="9"/>
      <c r="I1939" s="8"/>
      <c r="J1939" s="8"/>
      <c r="K1939" s="8"/>
      <c r="L1939" s="9" t="s">
        <v>2156</v>
      </c>
      <c r="M1939" s="8"/>
    </row>
    <row r="1940" spans="1:13">
      <c r="A1940" s="71" t="s">
        <v>4538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1780</v>
      </c>
      <c r="H1940" s="9"/>
      <c r="I1940" s="8"/>
      <c r="J1940" s="8"/>
      <c r="K1940" s="8"/>
      <c r="L1940" s="8"/>
      <c r="M1940" s="8"/>
    </row>
    <row r="1941" spans="1:13">
      <c r="A1941" s="71" t="s">
        <v>4539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1774</v>
      </c>
      <c r="H1941" s="9"/>
      <c r="I1941" s="8"/>
      <c r="J1941" s="8"/>
      <c r="K1941" s="8"/>
      <c r="L1941" s="9" t="s">
        <v>1928</v>
      </c>
      <c r="M1941" s="8"/>
    </row>
    <row r="1942" spans="1:13">
      <c r="A1942" s="71" t="s">
        <v>4540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1774</v>
      </c>
      <c r="H1942" s="9"/>
      <c r="I1942" s="8"/>
      <c r="J1942" s="8"/>
      <c r="K1942" s="8"/>
      <c r="L1942" s="8"/>
      <c r="M1942" s="8"/>
    </row>
    <row r="1943" spans="1:13">
      <c r="A1943" s="71" t="s">
        <v>4541</v>
      </c>
      <c r="B1943" s="67">
        <v>1280254688</v>
      </c>
      <c r="C1943" s="72" t="s">
        <v>4542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4543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1774</v>
      </c>
      <c r="H1944" s="9"/>
      <c r="I1944" s="8"/>
      <c r="J1944" s="8"/>
      <c r="K1944" s="8"/>
      <c r="L1944" s="8"/>
      <c r="M1944" s="8"/>
    </row>
    <row r="1945" spans="1:13">
      <c r="A1945" s="15" t="s">
        <v>4544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4545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4546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1774</v>
      </c>
      <c r="H1947" s="9"/>
      <c r="I1947" s="8"/>
      <c r="J1947" s="8"/>
      <c r="K1947" s="8"/>
      <c r="L1947" s="8"/>
      <c r="M1947" s="8"/>
    </row>
    <row r="1948" spans="1:13">
      <c r="A1948" s="14" t="s">
        <v>4547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4547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1774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4547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1774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4548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4549</v>
      </c>
      <c r="B1952" s="67">
        <v>33635659843</v>
      </c>
      <c r="C1952" s="29" t="s">
        <v>4550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4551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4551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2057</v>
      </c>
      <c r="M1954" s="8"/>
    </row>
    <row r="1955" spans="1:13">
      <c r="A1955" s="71" t="s">
        <v>4552</v>
      </c>
      <c r="B1955" s="67">
        <v>36841231880</v>
      </c>
      <c r="C1955" s="77" t="s">
        <v>4553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4554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1774</v>
      </c>
      <c r="H1956" s="9"/>
      <c r="I1956" s="8"/>
      <c r="J1956" s="8"/>
      <c r="K1956" s="8"/>
      <c r="L1956" s="9" t="s">
        <v>1918</v>
      </c>
      <c r="M1956" s="8"/>
    </row>
    <row r="1957" spans="1:13">
      <c r="A1957" s="29" t="s">
        <v>4555</v>
      </c>
      <c r="B1957" s="67"/>
      <c r="C1957" s="29" t="s">
        <v>1887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4556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4557</v>
      </c>
      <c r="B1959" s="67"/>
      <c r="C1959" s="29" t="s">
        <v>4558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4559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4560</v>
      </c>
      <c r="B1961" s="67">
        <v>64404714734</v>
      </c>
      <c r="C1961" s="29" t="s">
        <v>4561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4562</v>
      </c>
      <c r="B1962" s="67">
        <v>29783527878</v>
      </c>
      <c r="C1962" s="29" t="s">
        <v>4563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4564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1774</v>
      </c>
      <c r="H1963" s="9"/>
      <c r="I1963" s="8"/>
      <c r="J1963" s="8"/>
      <c r="K1963" s="8"/>
      <c r="L1963" s="8"/>
      <c r="M1963" s="8"/>
    </row>
    <row r="1964" spans="1:13">
      <c r="A1964" s="18" t="s">
        <v>4565</v>
      </c>
      <c r="B1964" s="67">
        <v>70155356372</v>
      </c>
      <c r="C1964" s="18" t="s">
        <v>4566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4567</v>
      </c>
      <c r="B1965" s="67">
        <v>4350125337</v>
      </c>
      <c r="C1965" s="72" t="s">
        <v>4568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4569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1788</v>
      </c>
      <c r="H1966" s="9"/>
      <c r="I1966" s="8"/>
      <c r="J1966" s="8"/>
      <c r="K1966" s="8"/>
      <c r="L1966" s="9" t="s">
        <v>2011</v>
      </c>
      <c r="M1966" s="8"/>
    </row>
    <row r="1967" spans="1:13">
      <c r="A1967" s="72" t="s">
        <v>4570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1774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4571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4572</v>
      </c>
      <c r="B1969" s="67"/>
      <c r="C1969" s="29" t="s">
        <v>1887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4573</v>
      </c>
      <c r="B1970" s="67">
        <v>49628474812</v>
      </c>
      <c r="C1970" s="72" t="s">
        <v>4574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4575</v>
      </c>
      <c r="B1971" s="67">
        <v>37473032852</v>
      </c>
      <c r="C1971" s="72" t="s">
        <v>4576</v>
      </c>
      <c r="D1971" s="69">
        <v>21894541820</v>
      </c>
      <c r="E1971" s="9">
        <v>1824</v>
      </c>
      <c r="F1971" s="25">
        <v>43091</v>
      </c>
      <c r="G1971" s="70" t="s">
        <v>1788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4577</v>
      </c>
      <c r="B1972" s="67">
        <v>36383878875</v>
      </c>
      <c r="C1972" s="72" t="s">
        <v>4578</v>
      </c>
      <c r="D1972" s="69">
        <v>39907872849</v>
      </c>
      <c r="E1972" s="9">
        <v>117</v>
      </c>
      <c r="F1972" s="25">
        <v>43117</v>
      </c>
      <c r="G1972" s="70" t="s">
        <v>1780</v>
      </c>
      <c r="H1972" s="9"/>
      <c r="I1972" s="8"/>
      <c r="J1972" s="8"/>
      <c r="K1972" s="8"/>
      <c r="L1972" s="9" t="s">
        <v>1928</v>
      </c>
      <c r="M1972" s="8"/>
    </row>
    <row r="1973" spans="1:13">
      <c r="A1973" s="71" t="s">
        <v>4579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1774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4580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1774</v>
      </c>
      <c r="H1974" s="9"/>
      <c r="I1974" s="8"/>
      <c r="J1974" s="8"/>
      <c r="K1974" s="8"/>
      <c r="L1974" s="8"/>
      <c r="M1974" s="8"/>
    </row>
    <row r="1975" spans="1:13">
      <c r="A1975" s="71" t="s">
        <v>4580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1774</v>
      </c>
      <c r="H1975" s="9"/>
      <c r="I1975" s="8"/>
      <c r="J1975" s="8"/>
      <c r="K1975" s="8"/>
      <c r="L1975" s="8"/>
      <c r="M1975" s="8"/>
    </row>
    <row r="1976" spans="1:13">
      <c r="A1976" s="71" t="s">
        <v>4580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1774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4581</v>
      </c>
      <c r="B1977" s="80">
        <v>87102331487</v>
      </c>
      <c r="C1977" s="81" t="s">
        <v>4582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1896</v>
      </c>
      <c r="M1977" s="49"/>
    </row>
    <row r="1978" spans="1:13">
      <c r="A1978" s="15" t="s">
        <v>4583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4584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4585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4586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1774</v>
      </c>
      <c r="H1981" s="9"/>
      <c r="I1981" s="8"/>
      <c r="J1981" s="8"/>
      <c r="K1981" s="8"/>
      <c r="L1981" s="9" t="s">
        <v>1928</v>
      </c>
      <c r="M1981" s="8"/>
    </row>
    <row r="1982" spans="1:13">
      <c r="A1982" s="71" t="s">
        <v>4587</v>
      </c>
      <c r="B1982" s="67">
        <v>18360384886</v>
      </c>
      <c r="C1982" s="72" t="s">
        <v>4588</v>
      </c>
      <c r="D1982" s="69">
        <v>28828648848</v>
      </c>
      <c r="E1982" s="9">
        <v>1214</v>
      </c>
      <c r="F1982" s="25">
        <v>42989</v>
      </c>
      <c r="G1982" s="70" t="s">
        <v>1774</v>
      </c>
      <c r="H1982" s="9"/>
      <c r="I1982" s="8"/>
      <c r="J1982" s="8"/>
      <c r="K1982" s="8"/>
      <c r="L1982" s="8"/>
      <c r="M1982" s="8"/>
    </row>
    <row r="1983" spans="1:13">
      <c r="A1983" s="71" t="s">
        <v>4589</v>
      </c>
      <c r="B1983" s="67">
        <v>8224204812</v>
      </c>
      <c r="C1983" s="72" t="s">
        <v>4590</v>
      </c>
      <c r="D1983" s="69">
        <v>5373139823</v>
      </c>
      <c r="E1983" s="9">
        <v>1752</v>
      </c>
      <c r="F1983" s="25">
        <v>43051</v>
      </c>
      <c r="G1983" s="70" t="s">
        <v>1774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4591</v>
      </c>
      <c r="B1984" s="67">
        <v>61232386200</v>
      </c>
      <c r="C1984" s="72" t="s">
        <v>4592</v>
      </c>
      <c r="D1984" s="69">
        <v>30971900310</v>
      </c>
      <c r="E1984" s="9">
        <v>1267</v>
      </c>
      <c r="F1984" s="25">
        <v>42998</v>
      </c>
      <c r="G1984" s="70" t="s">
        <v>1774</v>
      </c>
      <c r="H1984" s="9"/>
      <c r="I1984" s="8"/>
      <c r="J1984" s="8"/>
      <c r="K1984" s="8"/>
      <c r="L1984" s="8"/>
      <c r="M1984" s="8"/>
    </row>
    <row r="1985" spans="1:13">
      <c r="A1985" s="30" t="s">
        <v>4593</v>
      </c>
      <c r="B1985" s="67">
        <v>68688210420</v>
      </c>
      <c r="C1985" s="32" t="s">
        <v>4594</v>
      </c>
      <c r="D1985" s="69">
        <v>3241531805</v>
      </c>
      <c r="E1985" s="9">
        <v>1570</v>
      </c>
      <c r="F1985" s="25">
        <v>43077</v>
      </c>
      <c r="G1985" s="70" t="s">
        <v>1774</v>
      </c>
      <c r="H1985" s="9"/>
      <c r="I1985" s="8"/>
      <c r="J1985" s="8"/>
      <c r="K1985" s="8"/>
      <c r="L1985" s="8"/>
      <c r="M1985" s="8"/>
    </row>
    <row r="1986" spans="1:13">
      <c r="A1986" s="72" t="s">
        <v>4595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1774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4596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1774</v>
      </c>
      <c r="H1987" s="9"/>
      <c r="I1987" s="8"/>
      <c r="J1987" s="8"/>
      <c r="K1987" s="8"/>
      <c r="L1987" s="8"/>
      <c r="M1987" s="8"/>
    </row>
    <row r="1988" spans="1:13">
      <c r="A1988" s="71" t="s">
        <v>4597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4598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1774</v>
      </c>
      <c r="H1989" s="9"/>
      <c r="I1989" s="8"/>
      <c r="J1989" s="8"/>
      <c r="K1989" s="8"/>
      <c r="L1989" s="9" t="s">
        <v>1896</v>
      </c>
      <c r="M1989" s="8"/>
    </row>
    <row r="1990" spans="1:13">
      <c r="A1990" s="71" t="s">
        <v>4599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4600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4601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4602</v>
      </c>
      <c r="B1993" s="67">
        <v>22566146896</v>
      </c>
      <c r="C1993" s="72" t="s">
        <v>4603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4604</v>
      </c>
      <c r="B1994" s="67">
        <v>27957199836</v>
      </c>
      <c r="C1994" s="72" t="s">
        <v>4605</v>
      </c>
      <c r="D1994" s="69">
        <v>14369564808</v>
      </c>
      <c r="E1994" s="9">
        <v>292</v>
      </c>
      <c r="F1994" s="25">
        <v>43168</v>
      </c>
      <c r="G1994" s="70" t="s">
        <v>1774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4606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1774</v>
      </c>
      <c r="H1995" s="9"/>
      <c r="I1995" s="8"/>
      <c r="J1995" s="8"/>
      <c r="K1995" s="8"/>
      <c r="L1995" s="9" t="s">
        <v>2156</v>
      </c>
      <c r="M1995" s="8"/>
    </row>
    <row r="1996" spans="1:13">
      <c r="A1996" s="18" t="s">
        <v>4607</v>
      </c>
      <c r="B1996" s="67"/>
      <c r="C1996" s="18" t="s">
        <v>4608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4609</v>
      </c>
      <c r="B1997" s="67">
        <v>12723195805</v>
      </c>
      <c r="C1997" s="72" t="s">
        <v>4610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4611</v>
      </c>
      <c r="B1998" s="67">
        <v>15731373833</v>
      </c>
      <c r="C1998" s="75" t="s">
        <v>4612</v>
      </c>
      <c r="D1998" s="69">
        <v>12858074801</v>
      </c>
      <c r="E1998" s="9">
        <v>1106</v>
      </c>
      <c r="F1998" s="25">
        <v>42965</v>
      </c>
      <c r="G1998" s="70" t="s">
        <v>1780</v>
      </c>
      <c r="H1998" s="9"/>
      <c r="I1998" s="8"/>
      <c r="J1998" s="8"/>
      <c r="K1998" s="8"/>
      <c r="L1998" s="8"/>
      <c r="M1998" s="8"/>
    </row>
    <row r="1999" spans="1:13">
      <c r="A1999" s="71" t="s">
        <v>4613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1774</v>
      </c>
      <c r="H1999" s="9"/>
      <c r="I1999" s="8"/>
      <c r="J1999" s="8"/>
      <c r="K1999" s="8"/>
      <c r="L1999" s="9" t="s">
        <v>1896</v>
      </c>
      <c r="M1999" s="8"/>
    </row>
    <row r="2000" spans="1:13">
      <c r="A2000" s="71" t="s">
        <v>4614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4615</v>
      </c>
      <c r="B2001" s="67">
        <v>38402878806</v>
      </c>
      <c r="C2001" s="72" t="s">
        <v>4616</v>
      </c>
      <c r="D2001" s="69">
        <v>23700547862</v>
      </c>
      <c r="E2001" s="9">
        <v>262</v>
      </c>
      <c r="F2001" s="25">
        <v>43160</v>
      </c>
      <c r="G2001" s="9" t="s">
        <v>1774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4617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4618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4619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4620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4621</v>
      </c>
      <c r="B2006" s="67">
        <v>27023833862</v>
      </c>
      <c r="C2006" s="29" t="s">
        <v>4622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4623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4624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1774</v>
      </c>
      <c r="H2008" s="9"/>
      <c r="I2008" s="8"/>
      <c r="J2008" s="8"/>
      <c r="K2008" s="8"/>
      <c r="L2008" s="9" t="s">
        <v>1928</v>
      </c>
      <c r="M2008" s="8"/>
    </row>
    <row r="2009" spans="1:13">
      <c r="A2009" s="71" t="s">
        <v>4625</v>
      </c>
      <c r="B2009" s="67">
        <v>38815800344</v>
      </c>
      <c r="C2009" s="72" t="s">
        <v>4626</v>
      </c>
      <c r="D2009" s="69">
        <v>39085252334</v>
      </c>
      <c r="E2009" s="9">
        <v>85</v>
      </c>
      <c r="F2009" s="25">
        <v>43109</v>
      </c>
      <c r="G2009" s="70" t="s">
        <v>1774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4627</v>
      </c>
      <c r="B2010" s="67">
        <v>36154299826</v>
      </c>
      <c r="C2010" s="72" t="s">
        <v>4628</v>
      </c>
      <c r="D2010" s="69">
        <v>34489273843</v>
      </c>
      <c r="E2010" s="9">
        <v>1267</v>
      </c>
      <c r="F2010" s="25">
        <v>42998</v>
      </c>
      <c r="G2010" s="70" t="s">
        <v>1780</v>
      </c>
      <c r="H2010" s="9"/>
      <c r="I2010" s="8"/>
      <c r="J2010" s="8"/>
      <c r="K2010" s="8"/>
      <c r="L2010" s="8"/>
      <c r="M2010" s="8"/>
    </row>
    <row r="2011" spans="1:13">
      <c r="A2011" s="15" t="s">
        <v>4629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1774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4630</v>
      </c>
      <c r="B2012" s="67"/>
      <c r="C2012" s="18" t="s">
        <v>1887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4631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4632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4633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4634</v>
      </c>
      <c r="B2016" s="67">
        <v>64174182434</v>
      </c>
      <c r="C2016" s="72" t="s">
        <v>4635</v>
      </c>
      <c r="D2016" s="69">
        <v>98105183587</v>
      </c>
      <c r="E2016" s="9">
        <v>262</v>
      </c>
      <c r="F2016" s="25">
        <v>43160</v>
      </c>
      <c r="G2016" s="70" t="s">
        <v>1774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4636</v>
      </c>
      <c r="B2017" s="67">
        <v>4148505485</v>
      </c>
      <c r="C2017" s="29" t="s">
        <v>4637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4638</v>
      </c>
      <c r="B2018" s="67">
        <v>39364828372</v>
      </c>
      <c r="C2018" s="72" t="s">
        <v>4639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4640</v>
      </c>
      <c r="B2019" s="67">
        <v>82046042468</v>
      </c>
      <c r="C2019" s="72" t="s">
        <v>4641</v>
      </c>
      <c r="D2019" s="69">
        <v>88251098491</v>
      </c>
      <c r="E2019" s="9">
        <v>85</v>
      </c>
      <c r="F2019" s="25">
        <v>43109</v>
      </c>
      <c r="G2019" s="70" t="s">
        <v>1774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4642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1774</v>
      </c>
      <c r="H2020" s="9"/>
      <c r="I2020" s="8"/>
      <c r="J2020" s="8"/>
      <c r="K2020" s="8"/>
      <c r="L2020" s="8"/>
      <c r="M2020" s="8"/>
    </row>
    <row r="2021" spans="1:13">
      <c r="A2021" s="14" t="s">
        <v>4643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1774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4644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1774</v>
      </c>
      <c r="H2022" s="9"/>
      <c r="I2022" s="8"/>
      <c r="J2022" s="8"/>
      <c r="K2022" s="8"/>
      <c r="L2022" s="9" t="s">
        <v>2011</v>
      </c>
      <c r="M2022" s="8"/>
    </row>
    <row r="2023" spans="1:13">
      <c r="A2023" s="72" t="s">
        <v>4645</v>
      </c>
      <c r="B2023" s="67">
        <v>37806851836</v>
      </c>
      <c r="C2023" s="72" t="s">
        <v>4646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4647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4648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4649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4650</v>
      </c>
      <c r="B2027" s="67">
        <v>27506021811</v>
      </c>
      <c r="C2027" s="72" t="s">
        <v>4651</v>
      </c>
      <c r="D2027" s="69">
        <v>13130281851</v>
      </c>
      <c r="E2027" s="9">
        <v>810</v>
      </c>
      <c r="F2027" s="25">
        <v>42915</v>
      </c>
      <c r="G2027" s="70" t="s">
        <v>1774</v>
      </c>
      <c r="H2027" s="9"/>
      <c r="I2027" s="8"/>
      <c r="J2027" s="8"/>
      <c r="K2027" s="8"/>
      <c r="L2027" s="9" t="s">
        <v>1896</v>
      </c>
      <c r="M2027" s="8"/>
    </row>
    <row r="2028" spans="1:13">
      <c r="A2028" s="15" t="s">
        <v>4652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1774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4653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1774</v>
      </c>
      <c r="H2029" s="9"/>
      <c r="I2029" s="8"/>
      <c r="J2029" s="8"/>
      <c r="K2029" s="8"/>
      <c r="L2029" s="9" t="s">
        <v>2011</v>
      </c>
      <c r="M2029" s="8"/>
    </row>
    <row r="2030" spans="1:13">
      <c r="A2030" s="15" t="s">
        <v>4654</v>
      </c>
      <c r="B2030" s="67">
        <v>660919346</v>
      </c>
      <c r="C2030" s="72" t="s">
        <v>4655</v>
      </c>
      <c r="D2030" s="69">
        <v>296516384</v>
      </c>
      <c r="E2030" s="9">
        <v>262</v>
      </c>
      <c r="F2030" s="25">
        <v>43160</v>
      </c>
      <c r="G2030" s="70" t="s">
        <v>1780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4656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1774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4657</v>
      </c>
      <c r="B2032" s="67">
        <v>55075746500</v>
      </c>
      <c r="C2032" s="72" t="s">
        <v>4658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4659</v>
      </c>
      <c r="B2033" s="67">
        <v>34549590807</v>
      </c>
      <c r="C2033" s="72" t="s">
        <v>4660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4661</v>
      </c>
      <c r="B2034" s="67"/>
      <c r="C2034" s="18" t="s">
        <v>1887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4662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4663</v>
      </c>
      <c r="B2036" s="67">
        <v>41292199873</v>
      </c>
      <c r="C2036" s="72" t="s">
        <v>4664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4665</v>
      </c>
      <c r="B2037" s="67"/>
      <c r="C2037" s="29" t="s">
        <v>1887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4666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4667</v>
      </c>
      <c r="B2039" s="67">
        <v>42318039860</v>
      </c>
      <c r="C2039" s="72" t="s">
        <v>4668</v>
      </c>
      <c r="D2039" s="69">
        <v>23059375801</v>
      </c>
      <c r="E2039" s="9">
        <v>85</v>
      </c>
      <c r="F2039" s="25">
        <v>43109</v>
      </c>
      <c r="G2039" s="70" t="s">
        <v>1774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4669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1774</v>
      </c>
      <c r="H2040" s="9"/>
      <c r="I2040" s="8"/>
      <c r="J2040" s="8"/>
      <c r="K2040" s="8"/>
      <c r="L2040" s="9" t="s">
        <v>1896</v>
      </c>
      <c r="M2040" s="8"/>
    </row>
    <row r="2041" spans="1:13">
      <c r="A2041" s="71" t="s">
        <v>4670</v>
      </c>
      <c r="B2041" s="67">
        <v>2693234573</v>
      </c>
      <c r="C2041" s="71" t="s">
        <v>4671</v>
      </c>
      <c r="D2041" s="69">
        <v>36131987890</v>
      </c>
      <c r="E2041" s="9">
        <v>292</v>
      </c>
      <c r="F2041" s="25">
        <v>43168</v>
      </c>
      <c r="G2041" s="9" t="s">
        <v>1774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4672</v>
      </c>
      <c r="B2042" s="67">
        <v>19677621807</v>
      </c>
      <c r="C2042" s="72" t="s">
        <v>4673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4674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1774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4675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4676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1774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4677</v>
      </c>
      <c r="B2046" s="67">
        <v>22583603825</v>
      </c>
      <c r="C2046" s="72" t="s">
        <v>4678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4679</v>
      </c>
      <c r="B2047" s="67">
        <v>14858077861</v>
      </c>
      <c r="C2047" s="15" t="s">
        <v>4680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4681</v>
      </c>
      <c r="B2048" s="67">
        <v>32291860879</v>
      </c>
      <c r="C2048" s="29" t="s">
        <v>4682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4683</v>
      </c>
      <c r="B2049" s="67">
        <v>76396126320</v>
      </c>
      <c r="C2049" s="72" t="s">
        <v>4684</v>
      </c>
      <c r="D2049" s="69">
        <v>62133390510</v>
      </c>
      <c r="E2049" s="9">
        <v>1262</v>
      </c>
      <c r="F2049" s="25">
        <v>42997</v>
      </c>
      <c r="G2049" s="70" t="s">
        <v>1774</v>
      </c>
      <c r="H2049" s="9"/>
      <c r="I2049" s="8"/>
      <c r="J2049" s="8"/>
      <c r="K2049" s="8"/>
      <c r="L2049" s="8"/>
      <c r="M2049" s="8"/>
    </row>
    <row r="2050" spans="1:13">
      <c r="A2050" s="14" t="s">
        <v>4685</v>
      </c>
      <c r="B2050" s="67">
        <v>34303186880</v>
      </c>
      <c r="C2050" s="72" t="s">
        <v>4686</v>
      </c>
      <c r="D2050" s="69">
        <v>39695431852</v>
      </c>
      <c r="E2050" s="9">
        <v>1570</v>
      </c>
      <c r="F2050" s="25">
        <v>43077</v>
      </c>
      <c r="G2050" s="70" t="s">
        <v>1774</v>
      </c>
      <c r="H2050" s="9"/>
      <c r="I2050" s="8"/>
      <c r="J2050" s="8"/>
      <c r="K2050" s="8"/>
      <c r="L2050" s="8"/>
      <c r="M2050" s="8"/>
    </row>
    <row r="2051" spans="1:13">
      <c r="A2051" s="18" t="s">
        <v>4687</v>
      </c>
      <c r="B2051" s="67">
        <v>14331980880</v>
      </c>
      <c r="C2051" s="8" t="s">
        <v>4688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4687</v>
      </c>
      <c r="B2052" s="67">
        <v>14331980880</v>
      </c>
      <c r="C2052" s="77" t="s">
        <v>4688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4689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4690</v>
      </c>
      <c r="B2054" s="67"/>
      <c r="C2054" s="29" t="s">
        <v>4691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4692</v>
      </c>
      <c r="B2055" s="67">
        <v>31662836848</v>
      </c>
      <c r="C2055" s="72" t="s">
        <v>4693</v>
      </c>
      <c r="D2055" s="69">
        <v>12871784809</v>
      </c>
      <c r="E2055" s="9">
        <v>1570</v>
      </c>
      <c r="F2055" s="25">
        <v>43077</v>
      </c>
      <c r="G2055" s="70" t="s">
        <v>1774</v>
      </c>
      <c r="H2055" s="9"/>
      <c r="I2055" s="8"/>
      <c r="J2055" s="8"/>
      <c r="K2055" s="8"/>
      <c r="L2055" s="8"/>
      <c r="M2055" s="8"/>
    </row>
    <row r="2056" spans="1:13">
      <c r="A2056" s="14" t="s">
        <v>4694</v>
      </c>
      <c r="B2056" s="67">
        <v>39000389372</v>
      </c>
      <c r="C2056" s="72" t="s">
        <v>4695</v>
      </c>
      <c r="D2056" s="69">
        <v>14683732858</v>
      </c>
      <c r="E2056" s="9">
        <v>1417</v>
      </c>
      <c r="F2056" s="25">
        <v>43017</v>
      </c>
      <c r="G2056" s="70" t="s">
        <v>1774</v>
      </c>
      <c r="H2056" s="9"/>
      <c r="I2056" s="8"/>
      <c r="J2056" s="8"/>
      <c r="K2056" s="8"/>
      <c r="L2056" s="9" t="s">
        <v>2011</v>
      </c>
      <c r="M2056" s="8"/>
    </row>
    <row r="2057" spans="1:13">
      <c r="A2057" s="18" t="s">
        <v>4696</v>
      </c>
      <c r="B2057" s="67">
        <v>10349044856</v>
      </c>
      <c r="C2057" s="18" t="s">
        <v>3967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4697</v>
      </c>
      <c r="B2058" s="67">
        <v>25058845873</v>
      </c>
      <c r="C2058" s="71" t="s">
        <v>4698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4699</v>
      </c>
      <c r="B2059" s="67"/>
      <c r="C2059" s="29" t="s">
        <v>4700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4701</v>
      </c>
      <c r="B2060" s="67">
        <v>5088717431</v>
      </c>
      <c r="C2060" s="72" t="s">
        <v>4702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2057</v>
      </c>
      <c r="M2060" s="8"/>
    </row>
    <row r="2061" spans="1:13">
      <c r="A2061" s="13" t="s">
        <v>4703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1774</v>
      </c>
      <c r="H2061" s="9"/>
      <c r="I2061" s="8"/>
      <c r="J2061" s="8"/>
      <c r="K2061" s="8"/>
      <c r="L2061" s="8"/>
      <c r="M2061" s="8"/>
    </row>
    <row r="2062" spans="1:13">
      <c r="A2062" s="71" t="s">
        <v>4704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4705</v>
      </c>
      <c r="B2063" s="67">
        <v>33517044881</v>
      </c>
      <c r="C2063" s="72" t="s">
        <v>4706</v>
      </c>
      <c r="D2063" s="69">
        <v>28076571847</v>
      </c>
      <c r="E2063" s="9">
        <v>85</v>
      </c>
      <c r="F2063" s="25">
        <v>43109</v>
      </c>
      <c r="G2063" s="93" t="s">
        <v>1780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4707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1774</v>
      </c>
      <c r="H2064" s="9"/>
      <c r="I2064" s="8"/>
      <c r="J2064" s="8"/>
      <c r="K2064" s="8"/>
      <c r="L2064" s="8"/>
      <c r="M2064" s="8"/>
    </row>
    <row r="2065" spans="1:13">
      <c r="A2065" s="71" t="s">
        <v>4708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4709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1774</v>
      </c>
      <c r="H2066" s="9"/>
      <c r="I2066" s="8"/>
      <c r="J2066" s="8"/>
      <c r="K2066" s="8"/>
      <c r="L2066" s="9" t="s">
        <v>2156</v>
      </c>
      <c r="M2066" s="8"/>
    </row>
    <row r="2067" spans="1:13">
      <c r="A2067" s="71" t="s">
        <v>4710</v>
      </c>
      <c r="B2067" s="67">
        <v>16488724843</v>
      </c>
      <c r="C2067" s="73" t="s">
        <v>4711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4712</v>
      </c>
      <c r="B2068" s="67">
        <v>22230898876</v>
      </c>
      <c r="C2068" s="18" t="s">
        <v>1887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4713</v>
      </c>
      <c r="B2069" s="67">
        <v>1218219866</v>
      </c>
      <c r="C2069" s="18" t="s">
        <v>1887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4714</v>
      </c>
      <c r="B2070" s="67">
        <v>75696312772</v>
      </c>
      <c r="C2070" s="77" t="s">
        <v>4715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4716</v>
      </c>
      <c r="B2071" s="67">
        <v>12772099873</v>
      </c>
      <c r="C2071" s="29" t="s">
        <v>4717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4718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2057</v>
      </c>
      <c r="M2072" s="8"/>
    </row>
    <row r="2073" spans="1:13">
      <c r="A2073" s="18" t="s">
        <v>2175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2175</v>
      </c>
      <c r="B2074" s="67">
        <v>40312801491</v>
      </c>
      <c r="C2074" s="72" t="s">
        <v>4719</v>
      </c>
      <c r="D2074" s="69">
        <v>36270235823</v>
      </c>
      <c r="E2074" s="9">
        <v>810</v>
      </c>
      <c r="F2074" s="25">
        <v>42915</v>
      </c>
      <c r="G2074" s="70" t="s">
        <v>1774</v>
      </c>
      <c r="H2074" s="9"/>
      <c r="I2074" s="8"/>
      <c r="J2074" s="8"/>
      <c r="K2074" s="8"/>
      <c r="L2074" s="9" t="s">
        <v>1896</v>
      </c>
      <c r="M2074" s="8"/>
    </row>
    <row r="2075" spans="1:13">
      <c r="A2075" s="71" t="s">
        <v>2175</v>
      </c>
      <c r="B2075" s="67">
        <v>13016641895</v>
      </c>
      <c r="C2075" s="72" t="s">
        <v>4720</v>
      </c>
      <c r="D2075" s="69">
        <v>2681565731</v>
      </c>
      <c r="E2075" s="9">
        <v>810</v>
      </c>
      <c r="F2075" s="25">
        <v>42915</v>
      </c>
      <c r="G2075" s="70" t="s">
        <v>1774</v>
      </c>
      <c r="H2075" s="9"/>
      <c r="I2075" s="8"/>
      <c r="J2075" s="8"/>
      <c r="K2075" s="8"/>
      <c r="L2075" s="9" t="s">
        <v>1896</v>
      </c>
      <c r="M2075" s="8"/>
    </row>
    <row r="2076" spans="1:13">
      <c r="A2076" s="71" t="s">
        <v>4721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4722</v>
      </c>
      <c r="B2077" s="67">
        <v>18472653838</v>
      </c>
      <c r="C2077" s="72" t="s">
        <v>4723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4724</v>
      </c>
      <c r="B2078" s="67"/>
      <c r="C2078" s="18" t="s">
        <v>1887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4725</v>
      </c>
      <c r="B2079" s="67">
        <v>21531362885</v>
      </c>
      <c r="C2079" s="72" t="s">
        <v>4726</v>
      </c>
      <c r="D2079" s="69">
        <v>27454333850</v>
      </c>
      <c r="E2079" s="9">
        <v>117</v>
      </c>
      <c r="F2079" s="25">
        <v>43117</v>
      </c>
      <c r="G2079" s="70" t="s">
        <v>1774</v>
      </c>
      <c r="H2079" s="9"/>
      <c r="I2079" s="8"/>
      <c r="J2079" s="8"/>
      <c r="K2079" s="8"/>
      <c r="L2079" s="9" t="s">
        <v>1928</v>
      </c>
      <c r="M2079" s="8"/>
    </row>
    <row r="2080" spans="1:13">
      <c r="A2080" s="13" t="s">
        <v>4725</v>
      </c>
      <c r="B2080" s="67">
        <v>35537854899</v>
      </c>
      <c r="C2080" s="72" t="s">
        <v>4727</v>
      </c>
      <c r="D2080" s="69">
        <v>35365081897</v>
      </c>
      <c r="E2080" s="9">
        <v>1128</v>
      </c>
      <c r="F2080" s="25">
        <v>42972</v>
      </c>
      <c r="G2080" s="70" t="s">
        <v>1774</v>
      </c>
      <c r="H2080" s="9"/>
      <c r="I2080" s="8"/>
      <c r="J2080" s="8"/>
      <c r="K2080" s="8"/>
      <c r="L2080" s="8"/>
      <c r="M2080" s="8"/>
    </row>
    <row r="2081" spans="1:13">
      <c r="A2081" s="29" t="s">
        <v>4728</v>
      </c>
      <c r="B2081" s="67"/>
      <c r="C2081" s="29" t="s">
        <v>4729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4730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1774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4731</v>
      </c>
      <c r="B2083" s="67">
        <v>35483702840</v>
      </c>
      <c r="C2083" s="72" t="s">
        <v>4732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4733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1774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4734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2057</v>
      </c>
      <c r="M2085" s="8"/>
    </row>
    <row r="2086" spans="1:13">
      <c r="A2086" s="72" t="s">
        <v>4735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4736</v>
      </c>
      <c r="B2087" s="67">
        <v>3322258440</v>
      </c>
      <c r="C2087" s="18" t="s">
        <v>4737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4738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4739</v>
      </c>
      <c r="B2089" s="67"/>
      <c r="C2089" s="18" t="s">
        <v>1887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4740</v>
      </c>
      <c r="B2090" s="67">
        <v>25564758897</v>
      </c>
      <c r="C2090" s="72" t="s">
        <v>4741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4742</v>
      </c>
      <c r="B2091" s="67">
        <v>9722276875</v>
      </c>
      <c r="C2091" s="72" t="s">
        <v>4743</v>
      </c>
      <c r="D2091" s="69">
        <v>7777516825</v>
      </c>
      <c r="E2091" s="9">
        <v>810</v>
      </c>
      <c r="F2091" s="25">
        <v>42915</v>
      </c>
      <c r="G2091" s="70" t="s">
        <v>1774</v>
      </c>
      <c r="H2091" s="9"/>
      <c r="I2091" s="8"/>
      <c r="J2091" s="8"/>
      <c r="K2091" s="8"/>
      <c r="L2091" s="9" t="s">
        <v>1896</v>
      </c>
      <c r="M2091" s="8"/>
    </row>
    <row r="2092" spans="1:13">
      <c r="A2092" s="71" t="s">
        <v>4744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4745</v>
      </c>
      <c r="B2093" s="67">
        <v>27192176893</v>
      </c>
      <c r="C2093" s="68" t="s">
        <v>4746</v>
      </c>
      <c r="D2093" s="69">
        <v>8367664825</v>
      </c>
      <c r="E2093" s="9">
        <v>608</v>
      </c>
      <c r="F2093" s="25">
        <v>43012</v>
      </c>
      <c r="G2093" s="70" t="s">
        <v>1774</v>
      </c>
      <c r="H2093" s="9"/>
      <c r="I2093" s="8"/>
      <c r="J2093" s="8"/>
      <c r="K2093" s="8"/>
      <c r="L2093" s="8"/>
      <c r="M2093" s="8"/>
    </row>
    <row r="2094" spans="1:13">
      <c r="A2094" s="18" t="s">
        <v>4747</v>
      </c>
      <c r="B2094" s="67">
        <v>16514255825</v>
      </c>
      <c r="C2094" s="18" t="s">
        <v>4748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4749</v>
      </c>
      <c r="B2095" s="67">
        <v>4809644324</v>
      </c>
      <c r="C2095" s="72" t="s">
        <v>4750</v>
      </c>
      <c r="D2095" s="69">
        <v>31827963808</v>
      </c>
      <c r="E2095" s="9">
        <v>1214</v>
      </c>
      <c r="F2095" s="25">
        <v>42989</v>
      </c>
      <c r="G2095" s="70" t="s">
        <v>1774</v>
      </c>
      <c r="H2095" s="9"/>
      <c r="I2095" s="8"/>
      <c r="J2095" s="8"/>
      <c r="K2095" s="8"/>
      <c r="L2095" s="8"/>
      <c r="M2095" s="8"/>
    </row>
    <row r="2096" spans="1:13">
      <c r="A2096" s="71" t="s">
        <v>4751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4752</v>
      </c>
      <c r="B2097" s="67">
        <v>11894918428</v>
      </c>
      <c r="C2097" s="72" t="s">
        <v>4753</v>
      </c>
      <c r="D2097" s="69">
        <v>37623185810</v>
      </c>
      <c r="E2097" s="9">
        <v>810</v>
      </c>
      <c r="F2097" s="25">
        <v>42915</v>
      </c>
      <c r="G2097" s="70" t="s">
        <v>1774</v>
      </c>
      <c r="H2097" s="9"/>
      <c r="I2097" s="8"/>
      <c r="J2097" s="8"/>
      <c r="K2097" s="8"/>
      <c r="L2097" s="9" t="s">
        <v>1896</v>
      </c>
      <c r="M2097" s="8"/>
    </row>
    <row r="2098" spans="1:13">
      <c r="A2098" s="15" t="s">
        <v>4754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1774</v>
      </c>
      <c r="H2098" s="9"/>
      <c r="I2098" s="8"/>
      <c r="J2098" s="8"/>
      <c r="K2098" s="8"/>
      <c r="L2098" s="8"/>
      <c r="M2098" s="8"/>
    </row>
    <row r="2099" spans="1:13">
      <c r="A2099" s="72" t="s">
        <v>4755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4756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2057</v>
      </c>
      <c r="M2100" s="8"/>
    </row>
    <row r="2101" spans="1:13">
      <c r="A2101" s="15" t="s">
        <v>4757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4758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1774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4759</v>
      </c>
      <c r="B2103" s="67"/>
      <c r="C2103" s="29" t="s">
        <v>1887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4760</v>
      </c>
      <c r="B2104" s="67">
        <v>4241745377</v>
      </c>
      <c r="C2104" s="72" t="s">
        <v>4761</v>
      </c>
      <c r="D2104" s="69">
        <v>4417028303</v>
      </c>
      <c r="E2104" s="9">
        <v>85</v>
      </c>
      <c r="F2104" s="25">
        <v>43109</v>
      </c>
      <c r="G2104" s="70" t="s">
        <v>1774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4762</v>
      </c>
      <c r="B2105" s="67"/>
      <c r="C2105" s="29" t="s">
        <v>4763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4764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1774</v>
      </c>
      <c r="H2106" s="9"/>
      <c r="I2106" s="8"/>
      <c r="J2106" s="8"/>
      <c r="K2106" s="8"/>
      <c r="L2106" s="8"/>
      <c r="M2106" s="8"/>
    </row>
    <row r="2107" spans="1:13">
      <c r="A2107" s="71" t="s">
        <v>4765</v>
      </c>
      <c r="B2107" s="67">
        <v>2182682708</v>
      </c>
      <c r="C2107" s="72" t="s">
        <v>4766</v>
      </c>
      <c r="D2107" s="69">
        <v>1409950727</v>
      </c>
      <c r="E2107" s="9">
        <v>810</v>
      </c>
      <c r="F2107" s="25">
        <v>42915</v>
      </c>
      <c r="G2107" s="70" t="s">
        <v>1788</v>
      </c>
      <c r="H2107" s="9"/>
      <c r="I2107" s="8"/>
      <c r="J2107" s="8"/>
      <c r="K2107" s="8"/>
      <c r="L2107" s="9" t="s">
        <v>1896</v>
      </c>
      <c r="M2107" s="8"/>
    </row>
    <row r="2108" spans="1:13">
      <c r="A2108" s="71" t="s">
        <v>4767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4768</v>
      </c>
      <c r="B2109" s="67">
        <v>11694151808</v>
      </c>
      <c r="C2109" s="72" t="s">
        <v>4769</v>
      </c>
      <c r="D2109" s="69">
        <v>29721167800</v>
      </c>
      <c r="E2109" s="9">
        <v>485</v>
      </c>
      <c r="F2109" s="25">
        <v>43196</v>
      </c>
      <c r="G2109" s="70" t="s">
        <v>1780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4770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4771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4772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4773</v>
      </c>
      <c r="B2113" s="67">
        <v>24613427843</v>
      </c>
      <c r="C2113" s="72" t="s">
        <v>4774</v>
      </c>
      <c r="D2113" s="69">
        <v>6003706821</v>
      </c>
      <c r="E2113" s="9">
        <v>810</v>
      </c>
      <c r="F2113" s="25">
        <v>42915</v>
      </c>
      <c r="G2113" s="70" t="s">
        <v>1774</v>
      </c>
      <c r="H2113" s="76">
        <v>43213</v>
      </c>
      <c r="I2113" s="8"/>
      <c r="J2113" s="8"/>
      <c r="K2113" s="8"/>
      <c r="L2113" s="9" t="s">
        <v>1896</v>
      </c>
      <c r="M2113" s="8"/>
    </row>
    <row r="2114" spans="1:13">
      <c r="A2114" s="72" t="s">
        <v>4775</v>
      </c>
      <c r="B2114" s="67">
        <v>61234508400</v>
      </c>
      <c r="C2114" s="72" t="s">
        <v>4776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4777</v>
      </c>
      <c r="B2115" s="67"/>
      <c r="C2115" s="18" t="s">
        <v>1887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4778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1774</v>
      </c>
      <c r="H2116" s="76">
        <v>43213</v>
      </c>
      <c r="I2116" s="8"/>
      <c r="J2116" s="8"/>
      <c r="K2116" s="8"/>
      <c r="L2116" s="9" t="s">
        <v>1896</v>
      </c>
      <c r="M2116" s="8"/>
    </row>
    <row r="2117" spans="1:13">
      <c r="A2117" s="71" t="s">
        <v>4779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1788</v>
      </c>
      <c r="H2117" s="76">
        <v>43213</v>
      </c>
      <c r="I2117" s="8"/>
      <c r="J2117" s="8"/>
      <c r="K2117" s="8"/>
      <c r="L2117" s="9" t="s">
        <v>2156</v>
      </c>
      <c r="M2117" s="8"/>
    </row>
    <row r="2118" spans="1:13">
      <c r="A2118" s="71" t="s">
        <v>4780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4781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4782</v>
      </c>
      <c r="B2120" s="67">
        <v>3493507364</v>
      </c>
      <c r="C2120" s="72" t="s">
        <v>4783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4784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1774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4785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1774</v>
      </c>
      <c r="H2122" s="9"/>
      <c r="I2122" s="8"/>
      <c r="J2122" s="8"/>
      <c r="K2122" s="8"/>
      <c r="L2122" s="9" t="s">
        <v>1896</v>
      </c>
      <c r="M2122" s="8"/>
    </row>
    <row r="2123" spans="1:13">
      <c r="A2123" s="71" t="s">
        <v>4786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4787</v>
      </c>
      <c r="B2124" s="67">
        <v>31365484858</v>
      </c>
      <c r="C2124" s="71" t="s">
        <v>4788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4789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1774</v>
      </c>
      <c r="H2125" s="9"/>
      <c r="I2125" s="8"/>
      <c r="J2125" s="8"/>
      <c r="K2125" s="8"/>
      <c r="L2125" s="8"/>
      <c r="M2125" s="8"/>
    </row>
    <row r="2126" spans="1:13">
      <c r="A2126" s="71" t="s">
        <v>4790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1774</v>
      </c>
      <c r="H2126" s="9"/>
      <c r="I2126" s="8"/>
      <c r="J2126" s="8"/>
      <c r="K2126" s="8"/>
      <c r="L2126" s="9" t="s">
        <v>1896</v>
      </c>
      <c r="M2126" s="8"/>
    </row>
    <row r="2127" spans="1:13">
      <c r="A2127" s="14" t="s">
        <v>4791</v>
      </c>
      <c r="B2127" s="67">
        <v>69813043504</v>
      </c>
      <c r="C2127" s="72" t="s">
        <v>4792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4793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4794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1774</v>
      </c>
      <c r="H2129" s="9"/>
      <c r="I2129" s="8"/>
      <c r="J2129" s="8"/>
      <c r="K2129" s="8"/>
      <c r="L2129" s="9" t="s">
        <v>1928</v>
      </c>
      <c r="M2129" s="8"/>
    </row>
    <row r="2130" spans="1:13">
      <c r="A2130" s="18" t="s">
        <v>4795</v>
      </c>
      <c r="B2130" s="67">
        <v>15800175845</v>
      </c>
      <c r="C2130" s="18" t="s">
        <v>4796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4797</v>
      </c>
      <c r="B2131" s="67">
        <v>13018290801</v>
      </c>
      <c r="C2131" s="72" t="s">
        <v>4798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4799</v>
      </c>
      <c r="B2132" s="67">
        <v>61505078318</v>
      </c>
      <c r="C2132" s="18" t="s">
        <v>4800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4801</v>
      </c>
      <c r="B2133" s="67">
        <v>6097323824</v>
      </c>
      <c r="C2133" s="72" t="s">
        <v>4802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4803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4804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1774</v>
      </c>
      <c r="H2135" s="76">
        <v>43213</v>
      </c>
      <c r="I2135" s="8"/>
      <c r="J2135" s="8"/>
      <c r="K2135" s="8"/>
      <c r="L2135" s="9" t="s">
        <v>1896</v>
      </c>
      <c r="M2135" s="8"/>
    </row>
    <row r="2136" spans="1:13">
      <c r="A2136" s="71" t="s">
        <v>4805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1774</v>
      </c>
      <c r="H2136" s="76">
        <v>43213</v>
      </c>
      <c r="I2136" s="8"/>
      <c r="J2136" s="8"/>
      <c r="K2136" s="8"/>
      <c r="L2136" s="9" t="s">
        <v>1896</v>
      </c>
      <c r="M2136" s="8"/>
    </row>
    <row r="2137" spans="1:13">
      <c r="A2137" s="71" t="s">
        <v>4806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1774</v>
      </c>
      <c r="H2137" s="76">
        <v>43213</v>
      </c>
      <c r="I2137" s="8"/>
      <c r="J2137" s="8"/>
      <c r="K2137" s="8"/>
      <c r="L2137" s="9" t="s">
        <v>1896</v>
      </c>
      <c r="M2137" s="8"/>
    </row>
    <row r="2138" spans="1:13">
      <c r="A2138" s="71" t="s">
        <v>4807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4808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4809</v>
      </c>
      <c r="B2140" s="67">
        <v>33005130819</v>
      </c>
      <c r="C2140" s="72" t="s">
        <v>4810</v>
      </c>
      <c r="D2140" s="69">
        <v>29843431820</v>
      </c>
      <c r="E2140" s="9">
        <v>117</v>
      </c>
      <c r="F2140" s="25">
        <v>43117</v>
      </c>
      <c r="G2140" s="70" t="s">
        <v>1774</v>
      </c>
      <c r="H2140" s="76">
        <v>43213</v>
      </c>
      <c r="I2140" s="8"/>
      <c r="J2140" s="8"/>
      <c r="K2140" s="8"/>
      <c r="L2140" s="9" t="s">
        <v>1928</v>
      </c>
      <c r="M2140" s="8"/>
    </row>
    <row r="2141" spans="1:13">
      <c r="A2141" s="71" t="s">
        <v>4811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1774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4812</v>
      </c>
      <c r="B2142" s="67">
        <v>42840674866</v>
      </c>
      <c r="C2142" s="72" t="s">
        <v>4813</v>
      </c>
      <c r="D2142" s="69">
        <v>33066015866</v>
      </c>
      <c r="E2142" s="9">
        <v>117</v>
      </c>
      <c r="F2142" s="25">
        <v>43117</v>
      </c>
      <c r="G2142" s="70" t="s">
        <v>1774</v>
      </c>
      <c r="H2142" s="9"/>
      <c r="I2142" s="8"/>
      <c r="J2142" s="8"/>
      <c r="K2142" s="8"/>
      <c r="L2142" s="9" t="s">
        <v>1928</v>
      </c>
      <c r="M2142" s="8"/>
    </row>
    <row r="2143" spans="1:13">
      <c r="A2143" s="71" t="s">
        <v>4814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4815</v>
      </c>
      <c r="B2144" s="67">
        <v>2312065851</v>
      </c>
      <c r="C2144" s="73" t="s">
        <v>4816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4817</v>
      </c>
      <c r="B2145" s="67">
        <v>48549010472</v>
      </c>
      <c r="C2145" s="72" t="s">
        <v>4818</v>
      </c>
      <c r="D2145" s="69">
        <v>7796014830</v>
      </c>
      <c r="E2145" s="9">
        <v>1267</v>
      </c>
      <c r="F2145" s="25">
        <v>42998</v>
      </c>
      <c r="G2145" s="70" t="s">
        <v>1774</v>
      </c>
      <c r="H2145" s="9"/>
      <c r="I2145" s="8"/>
      <c r="J2145" s="8"/>
      <c r="K2145" s="8"/>
      <c r="L2145" s="8"/>
      <c r="M2145" s="8"/>
    </row>
    <row r="2146" spans="1:13">
      <c r="A2146" s="29" t="s">
        <v>4819</v>
      </c>
      <c r="B2146" s="67"/>
      <c r="C2146" s="18" t="s">
        <v>1887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4819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4820</v>
      </c>
      <c r="B2148" s="67">
        <v>38348922890</v>
      </c>
      <c r="C2148" s="72" t="s">
        <v>4821</v>
      </c>
      <c r="D2148" s="69">
        <v>22580367802</v>
      </c>
      <c r="E2148" s="9">
        <v>810</v>
      </c>
      <c r="F2148" s="25">
        <v>42915</v>
      </c>
      <c r="G2148" s="70" t="s">
        <v>1774</v>
      </c>
      <c r="H2148" s="9"/>
      <c r="I2148" s="8"/>
      <c r="J2148" s="8"/>
      <c r="K2148" s="8"/>
      <c r="L2148" s="9" t="s">
        <v>1896</v>
      </c>
      <c r="M2148" s="8"/>
    </row>
    <row r="2149" spans="1:13">
      <c r="A2149" s="72" t="s">
        <v>4822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1774</v>
      </c>
      <c r="H2149" s="9"/>
      <c r="I2149" s="8"/>
      <c r="J2149" s="8"/>
      <c r="K2149" s="8"/>
      <c r="L2149" s="9" t="s">
        <v>1928</v>
      </c>
      <c r="M2149" s="8"/>
    </row>
    <row r="2150" spans="1:13">
      <c r="A2150" s="71" t="s">
        <v>4823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4824</v>
      </c>
      <c r="B2151" s="67">
        <v>36691354800</v>
      </c>
      <c r="C2151" s="72" t="s">
        <v>4825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4826</v>
      </c>
      <c r="B2152" s="67">
        <v>2599679559</v>
      </c>
      <c r="C2152" s="72" t="s">
        <v>4827</v>
      </c>
      <c r="D2152" s="69">
        <v>99002051549</v>
      </c>
      <c r="E2152" s="9">
        <v>1824</v>
      </c>
      <c r="F2152" s="25">
        <v>43091</v>
      </c>
      <c r="G2152" s="70" t="s">
        <v>1788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4828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4829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1774</v>
      </c>
      <c r="H2154" s="9"/>
      <c r="I2154" s="8"/>
      <c r="J2154" s="8"/>
      <c r="K2154" s="8"/>
      <c r="L2154" s="8"/>
      <c r="M2154" s="8"/>
    </row>
    <row r="2155" spans="1:13">
      <c r="A2155" s="15" t="s">
        <v>4830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1774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4831</v>
      </c>
      <c r="B2156" s="67">
        <v>94813078591</v>
      </c>
      <c r="C2156" s="18" t="s">
        <v>4832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4833</v>
      </c>
      <c r="B2157" s="67">
        <v>6522038846</v>
      </c>
      <c r="C2157" s="72" t="s">
        <v>4834</v>
      </c>
      <c r="D2157" s="69">
        <v>390582808</v>
      </c>
      <c r="E2157" s="9">
        <v>292</v>
      </c>
      <c r="F2157" s="25">
        <v>43168</v>
      </c>
      <c r="G2157" s="70" t="s">
        <v>1774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4835</v>
      </c>
      <c r="B2158" s="67">
        <v>70986847402</v>
      </c>
      <c r="C2158" s="72" t="s">
        <v>4836</v>
      </c>
      <c r="D2158" s="69">
        <v>39640099899</v>
      </c>
      <c r="E2158" s="9">
        <v>229</v>
      </c>
      <c r="F2158" s="25">
        <v>43151</v>
      </c>
      <c r="G2158" s="70" t="s">
        <v>1774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4837</v>
      </c>
      <c r="B2159" s="67">
        <v>37737032878</v>
      </c>
      <c r="C2159" s="72" t="s">
        <v>4838</v>
      </c>
      <c r="D2159" s="69">
        <v>24659778819</v>
      </c>
      <c r="E2159" s="9">
        <v>1417</v>
      </c>
      <c r="F2159" s="25">
        <v>43017</v>
      </c>
      <c r="G2159" s="70" t="s">
        <v>1780</v>
      </c>
      <c r="H2159" s="9"/>
      <c r="I2159" s="8"/>
      <c r="J2159" s="8"/>
      <c r="K2159" s="8"/>
      <c r="L2159" s="9" t="s">
        <v>2011</v>
      </c>
      <c r="M2159" s="8"/>
    </row>
    <row r="2160" spans="1:13">
      <c r="A2160" s="71" t="s">
        <v>4839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4840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1774</v>
      </c>
      <c r="H2161" s="9"/>
      <c r="I2161" s="8"/>
      <c r="J2161" s="8"/>
      <c r="K2161" s="8"/>
      <c r="L2161" s="8"/>
      <c r="M2161" s="8"/>
    </row>
    <row r="2162" spans="1:13">
      <c r="A2162" s="73" t="s">
        <v>4841</v>
      </c>
      <c r="B2162" s="67">
        <v>15716959822</v>
      </c>
      <c r="C2162" s="72" t="s">
        <v>4842</v>
      </c>
      <c r="D2162" s="69">
        <v>10451985877</v>
      </c>
      <c r="E2162" s="9">
        <v>262</v>
      </c>
      <c r="F2162" s="25">
        <v>43160</v>
      </c>
      <c r="G2162" s="70" t="s">
        <v>1774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4843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4844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4845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1774</v>
      </c>
      <c r="H2165" s="9"/>
      <c r="I2165" s="8"/>
      <c r="J2165" s="8"/>
      <c r="K2165" s="8"/>
      <c r="L2165" s="8"/>
      <c r="M2165" s="8"/>
    </row>
    <row r="2166" spans="1:13">
      <c r="A2166" s="71" t="s">
        <v>4846</v>
      </c>
      <c r="B2166" s="67">
        <v>32241408875</v>
      </c>
      <c r="C2166" s="72" t="s">
        <v>4847</v>
      </c>
      <c r="D2166" s="69">
        <v>7164250413</v>
      </c>
      <c r="E2166" s="9">
        <v>1824</v>
      </c>
      <c r="F2166" s="25">
        <v>43091</v>
      </c>
      <c r="G2166" s="70" t="s">
        <v>1774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4848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4849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1774</v>
      </c>
      <c r="H2168" s="9"/>
      <c r="I2168" s="8"/>
      <c r="J2168" s="8"/>
      <c r="K2168" s="8"/>
      <c r="L2168" s="8"/>
      <c r="M2168" s="8"/>
    </row>
    <row r="2169" spans="1:13">
      <c r="A2169" s="72" t="s">
        <v>4850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4851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4852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4853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1774</v>
      </c>
      <c r="H2172" s="9"/>
      <c r="I2172" s="8"/>
      <c r="J2172" s="8"/>
      <c r="K2172" s="8"/>
      <c r="L2172" s="9" t="s">
        <v>2011</v>
      </c>
      <c r="M2172" s="8"/>
    </row>
    <row r="2173" spans="1:13">
      <c r="A2173" s="71" t="s">
        <v>4854</v>
      </c>
      <c r="B2173" s="67">
        <v>8983229870</v>
      </c>
      <c r="C2173" s="72" t="s">
        <v>4855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4856</v>
      </c>
      <c r="B2174" s="67">
        <v>9269199894</v>
      </c>
      <c r="C2174" s="72" t="s">
        <v>4857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4858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1774</v>
      </c>
      <c r="H2175" s="9"/>
      <c r="I2175" s="8"/>
      <c r="J2175" s="8"/>
      <c r="K2175" s="8"/>
      <c r="L2175" s="8"/>
      <c r="M2175" s="8"/>
    </row>
    <row r="2176" spans="1:13">
      <c r="A2176" s="13" t="s">
        <v>4859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1774</v>
      </c>
      <c r="H2176" s="9"/>
      <c r="I2176" s="8"/>
      <c r="J2176" s="8"/>
      <c r="K2176" s="8"/>
      <c r="L2176" s="8"/>
      <c r="M2176" s="8"/>
    </row>
    <row r="2177" spans="1:13">
      <c r="A2177" s="71" t="s">
        <v>4860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1774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4861</v>
      </c>
      <c r="B2178" s="67">
        <v>34641758808</v>
      </c>
      <c r="C2178" s="72" t="s">
        <v>4862</v>
      </c>
      <c r="D2178" s="69">
        <v>30083315802</v>
      </c>
      <c r="E2178" s="9">
        <v>810</v>
      </c>
      <c r="F2178" s="25">
        <v>42915</v>
      </c>
      <c r="G2178" s="70" t="s">
        <v>1774</v>
      </c>
      <c r="H2178" s="9"/>
      <c r="I2178" s="8"/>
      <c r="J2178" s="8"/>
      <c r="K2178" s="8"/>
      <c r="L2178" s="9" t="s">
        <v>1896</v>
      </c>
      <c r="M2178" s="8"/>
    </row>
    <row r="2179" spans="1:13">
      <c r="A2179" s="71" t="s">
        <v>4863</v>
      </c>
      <c r="B2179" s="67">
        <v>1335459383</v>
      </c>
      <c r="C2179" s="71" t="s">
        <v>4864</v>
      </c>
      <c r="D2179" s="69">
        <v>2369426381</v>
      </c>
      <c r="E2179" s="9">
        <v>292</v>
      </c>
      <c r="F2179" s="25">
        <v>43168</v>
      </c>
      <c r="G2179" s="70" t="s">
        <v>1774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4865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1774</v>
      </c>
      <c r="H2180" s="9"/>
      <c r="I2180" s="8"/>
      <c r="J2180" s="8"/>
      <c r="K2180" s="8"/>
      <c r="L2180" s="9" t="s">
        <v>1928</v>
      </c>
      <c r="M2180" s="8"/>
    </row>
    <row r="2181" spans="1:13">
      <c r="A2181" s="71" t="s">
        <v>4866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1774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4867</v>
      </c>
      <c r="B2182" s="67">
        <v>38248770826</v>
      </c>
      <c r="C2182" s="29" t="s">
        <v>4868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4869</v>
      </c>
      <c r="B2183" s="67">
        <v>32857847840</v>
      </c>
      <c r="C2183" s="72" t="s">
        <v>4870</v>
      </c>
      <c r="D2183" s="69">
        <v>33885204886</v>
      </c>
      <c r="E2183" s="9">
        <v>810</v>
      </c>
      <c r="F2183" s="25">
        <v>42915</v>
      </c>
      <c r="G2183" s="70" t="s">
        <v>1774</v>
      </c>
      <c r="H2183" s="9"/>
      <c r="I2183" s="8"/>
      <c r="J2183" s="8"/>
      <c r="K2183" s="8"/>
      <c r="L2183" s="9" t="s">
        <v>1896</v>
      </c>
      <c r="M2183" s="8"/>
    </row>
    <row r="2184" spans="1:13">
      <c r="A2184" s="14" t="s">
        <v>4871</v>
      </c>
      <c r="B2184" s="67">
        <v>25367069827</v>
      </c>
      <c r="C2184" s="72" t="s">
        <v>4872</v>
      </c>
      <c r="D2184" s="69">
        <v>28922275855</v>
      </c>
      <c r="E2184" s="9">
        <v>262</v>
      </c>
      <c r="F2184" s="25">
        <v>43160</v>
      </c>
      <c r="G2184" s="70" t="s">
        <v>1780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4873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1774</v>
      </c>
      <c r="H2185" s="9"/>
      <c r="I2185" s="8"/>
      <c r="J2185" s="8"/>
      <c r="K2185" s="8"/>
      <c r="L2185" s="9" t="s">
        <v>1928</v>
      </c>
      <c r="M2185" s="8"/>
    </row>
    <row r="2186" spans="1:13">
      <c r="A2186" s="71" t="s">
        <v>4874</v>
      </c>
      <c r="B2186" s="67">
        <v>29652533866</v>
      </c>
      <c r="C2186" s="72" t="s">
        <v>4875</v>
      </c>
      <c r="D2186" s="69">
        <v>21898199892</v>
      </c>
      <c r="E2186" s="9">
        <v>1752</v>
      </c>
      <c r="F2186" s="25">
        <v>43051</v>
      </c>
      <c r="G2186" s="70" t="s">
        <v>1774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4876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1774</v>
      </c>
      <c r="H2187" s="9"/>
      <c r="I2187" s="8"/>
      <c r="J2187" s="8"/>
      <c r="K2187" s="8"/>
      <c r="L2187" s="8"/>
      <c r="M2187" s="8"/>
    </row>
    <row r="2188" spans="1:13">
      <c r="A2188" s="14" t="s">
        <v>4877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1774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4878</v>
      </c>
      <c r="B2189" s="67">
        <v>34777966836</v>
      </c>
      <c r="C2189" s="72" t="s">
        <v>4879</v>
      </c>
      <c r="D2189" s="69">
        <v>33600648870</v>
      </c>
      <c r="E2189" s="9">
        <v>117</v>
      </c>
      <c r="F2189" s="25">
        <v>43117</v>
      </c>
      <c r="G2189" s="70" t="s">
        <v>1774</v>
      </c>
      <c r="H2189" s="9"/>
      <c r="I2189" s="8"/>
      <c r="J2189" s="8"/>
      <c r="K2189" s="8"/>
      <c r="L2189" s="9" t="s">
        <v>1928</v>
      </c>
      <c r="M2189" s="8"/>
    </row>
    <row r="2190" spans="1:13">
      <c r="A2190" s="29" t="s">
        <v>4880</v>
      </c>
      <c r="B2190" s="67"/>
      <c r="C2190" s="29" t="s">
        <v>4881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4882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1774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4883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4884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1774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4885</v>
      </c>
      <c r="B2194" s="67">
        <v>27082581840</v>
      </c>
      <c r="C2194" s="77" t="s">
        <v>4886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4887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4888</v>
      </c>
      <c r="B2196" s="67">
        <v>40878539859</v>
      </c>
      <c r="C2196" s="72" t="s">
        <v>4889</v>
      </c>
      <c r="D2196" s="69"/>
      <c r="E2196" s="9">
        <v>1489</v>
      </c>
      <c r="F2196" s="25">
        <v>43038</v>
      </c>
      <c r="G2196" s="70" t="s">
        <v>1774</v>
      </c>
      <c r="H2196" s="9"/>
      <c r="I2196" s="8"/>
      <c r="J2196" s="8"/>
      <c r="K2196" s="8"/>
      <c r="L2196" s="9" t="s">
        <v>1918</v>
      </c>
      <c r="M2196" s="8"/>
    </row>
    <row r="2197" spans="1:13">
      <c r="A2197" s="71" t="s">
        <v>4890</v>
      </c>
      <c r="B2197" s="67">
        <v>35643661802</v>
      </c>
      <c r="C2197" s="68" t="s">
        <v>4891</v>
      </c>
      <c r="D2197" s="69">
        <v>34613571898</v>
      </c>
      <c r="E2197" s="9">
        <v>1128</v>
      </c>
      <c r="F2197" s="25">
        <v>42972</v>
      </c>
      <c r="G2197" s="70" t="s">
        <v>1774</v>
      </c>
      <c r="H2197" s="9"/>
      <c r="I2197" s="8"/>
      <c r="J2197" s="8"/>
      <c r="K2197" s="8"/>
      <c r="L2197" s="8"/>
      <c r="M2197" s="8"/>
    </row>
    <row r="2198" spans="1:13">
      <c r="A2198" s="29" t="s">
        <v>4892</v>
      </c>
      <c r="B2198" s="67">
        <v>89251660549</v>
      </c>
      <c r="C2198" s="18" t="s">
        <v>1887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4893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1774</v>
      </c>
      <c r="H2199" s="9"/>
      <c r="I2199" s="8"/>
      <c r="J2199" s="8"/>
      <c r="K2199" s="8"/>
      <c r="L2199" s="8"/>
      <c r="M2199" s="8"/>
    </row>
    <row r="2200" spans="1:13">
      <c r="A2200" s="13" t="s">
        <v>4894</v>
      </c>
      <c r="B2200" s="67">
        <v>28280731814</v>
      </c>
      <c r="C2200" s="68" t="s">
        <v>4895</v>
      </c>
      <c r="D2200" s="69">
        <v>36523032884</v>
      </c>
      <c r="E2200" s="9">
        <v>1128</v>
      </c>
      <c r="F2200" s="25">
        <v>42972</v>
      </c>
      <c r="G2200" s="70" t="s">
        <v>1774</v>
      </c>
      <c r="H2200" s="9"/>
      <c r="I2200" s="8"/>
      <c r="J2200" s="8"/>
      <c r="K2200" s="8"/>
      <c r="L2200" s="8"/>
      <c r="M2200" s="8"/>
    </row>
    <row r="2201" spans="1:13">
      <c r="A2201" s="71" t="s">
        <v>4896</v>
      </c>
      <c r="B2201" s="67">
        <v>12525223802</v>
      </c>
      <c r="C2201" s="68" t="s">
        <v>4897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4898</v>
      </c>
      <c r="B2202" s="67">
        <v>37014825860</v>
      </c>
      <c r="C2202" s="72" t="s">
        <v>4899</v>
      </c>
      <c r="D2202" s="69">
        <v>38869051870</v>
      </c>
      <c r="E2202" s="9">
        <v>1752</v>
      </c>
      <c r="F2202" s="25">
        <v>43051</v>
      </c>
      <c r="G2202" s="70" t="s">
        <v>1774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4900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1774</v>
      </c>
      <c r="H2203" s="9"/>
      <c r="I2203" s="8"/>
      <c r="J2203" s="8"/>
      <c r="K2203" s="8"/>
      <c r="L2203" s="8"/>
      <c r="M2203" s="8"/>
    </row>
    <row r="2204" spans="1:13">
      <c r="A2204" s="71" t="s">
        <v>4901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1774</v>
      </c>
      <c r="H2204" s="9"/>
      <c r="I2204" s="8"/>
      <c r="J2204" s="8"/>
      <c r="K2204" s="8"/>
      <c r="L2204" s="8"/>
      <c r="M2204" s="8"/>
    </row>
    <row r="2205" spans="1:13">
      <c r="A2205" s="71" t="s">
        <v>4902</v>
      </c>
      <c r="B2205" s="67">
        <v>15095801825</v>
      </c>
      <c r="C2205" s="72" t="s">
        <v>4903</v>
      </c>
      <c r="D2205" s="69">
        <v>16417229831</v>
      </c>
      <c r="E2205" s="9">
        <v>85</v>
      </c>
      <c r="F2205" s="25">
        <v>43109</v>
      </c>
      <c r="G2205" s="70" t="s">
        <v>1774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4904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4905</v>
      </c>
      <c r="B2207" s="67">
        <v>58037845249</v>
      </c>
      <c r="C2207" s="72" t="s">
        <v>4906</v>
      </c>
      <c r="D2207" s="69">
        <v>496500333</v>
      </c>
      <c r="E2207" s="9">
        <v>117</v>
      </c>
      <c r="F2207" s="25">
        <v>43117</v>
      </c>
      <c r="G2207" s="70" t="s">
        <v>1774</v>
      </c>
      <c r="H2207" s="9"/>
      <c r="I2207" s="8"/>
      <c r="J2207" s="8"/>
      <c r="K2207" s="8"/>
      <c r="L2207" s="9" t="s">
        <v>1928</v>
      </c>
      <c r="M2207" s="8"/>
    </row>
    <row r="2208" spans="1:13">
      <c r="A2208" s="84" t="s">
        <v>4907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4908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4909</v>
      </c>
      <c r="B2210" s="67">
        <v>4416847858</v>
      </c>
      <c r="C2210" s="72" t="s">
        <v>4910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4911</v>
      </c>
      <c r="B2211" s="67"/>
      <c r="C2211" s="18" t="s">
        <v>1887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4912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1774</v>
      </c>
      <c r="H2212" s="9"/>
      <c r="I2212" s="8"/>
      <c r="J2212" s="8"/>
      <c r="K2212" s="8"/>
      <c r="L2212" s="8"/>
      <c r="M2212" s="8"/>
    </row>
    <row r="2213" spans="1:13">
      <c r="A2213" s="71" t="s">
        <v>4913</v>
      </c>
      <c r="B2213" s="67">
        <v>35325197800</v>
      </c>
      <c r="C2213" s="72" t="s">
        <v>4914</v>
      </c>
      <c r="D2213" s="69">
        <v>38159378840</v>
      </c>
      <c r="E2213" s="9">
        <v>810</v>
      </c>
      <c r="F2213" s="25">
        <v>42915</v>
      </c>
      <c r="G2213" s="70" t="s">
        <v>1774</v>
      </c>
      <c r="H2213" s="9"/>
      <c r="I2213" s="8"/>
      <c r="J2213" s="8"/>
      <c r="K2213" s="8"/>
      <c r="L2213" s="9" t="s">
        <v>1896</v>
      </c>
      <c r="M2213" s="8"/>
    </row>
    <row r="2214" spans="1:13">
      <c r="A2214" s="71" t="s">
        <v>4915</v>
      </c>
      <c r="B2214" s="67">
        <v>37527821884</v>
      </c>
      <c r="C2214" s="72" t="s">
        <v>4916</v>
      </c>
      <c r="D2214" s="69">
        <v>69447810420</v>
      </c>
      <c r="E2214" s="9">
        <v>262</v>
      </c>
      <c r="F2214" s="25">
        <v>43160</v>
      </c>
      <c r="G2214" s="70" t="s">
        <v>1774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4917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1774</v>
      </c>
      <c r="H2215" s="9"/>
      <c r="I2215" s="8"/>
      <c r="J2215" s="8"/>
      <c r="K2215" s="8"/>
      <c r="L2215" s="9" t="s">
        <v>1928</v>
      </c>
      <c r="M2215" s="8"/>
    </row>
    <row r="2216" spans="1:13">
      <c r="A2216" s="15" t="s">
        <v>4918</v>
      </c>
      <c r="B2216" s="67">
        <v>85281050672</v>
      </c>
      <c r="C2216" s="72" t="s">
        <v>4919</v>
      </c>
      <c r="D2216" s="69">
        <v>5490696664</v>
      </c>
      <c r="E2216" s="9">
        <v>229</v>
      </c>
      <c r="F2216" s="25">
        <v>43151</v>
      </c>
      <c r="G2216" s="70" t="s">
        <v>1774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4920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4921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1780</v>
      </c>
      <c r="H2218" s="9"/>
      <c r="I2218" s="8"/>
      <c r="J2218" s="8"/>
      <c r="K2218" s="8"/>
      <c r="L2218" s="9" t="s">
        <v>1928</v>
      </c>
      <c r="M2218" s="8"/>
    </row>
    <row r="2219" spans="1:13">
      <c r="A2219" s="71" t="s">
        <v>4922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4923</v>
      </c>
      <c r="B2220" s="67">
        <v>27851461820</v>
      </c>
      <c r="C2220" s="72" t="s">
        <v>4924</v>
      </c>
      <c r="D2220" s="69">
        <v>27264565882</v>
      </c>
      <c r="E2220" s="9">
        <v>117</v>
      </c>
      <c r="F2220" s="25">
        <v>43117</v>
      </c>
      <c r="G2220" s="70" t="s">
        <v>1774</v>
      </c>
      <c r="H2220" s="9"/>
      <c r="I2220" s="8"/>
      <c r="J2220" s="8"/>
      <c r="K2220" s="8"/>
      <c r="L2220" s="9" t="s">
        <v>1928</v>
      </c>
      <c r="M2220" s="8"/>
    </row>
    <row r="2221" spans="1:13">
      <c r="A2221" s="71" t="s">
        <v>4925</v>
      </c>
      <c r="B2221" s="67">
        <v>32960731832</v>
      </c>
      <c r="C2221" s="77" t="s">
        <v>4926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4927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4928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1774</v>
      </c>
      <c r="H2223" s="9"/>
      <c r="I2223" s="8"/>
      <c r="J2223" s="8"/>
      <c r="K2223" s="8"/>
      <c r="L2223" s="8"/>
      <c r="M2223" s="8"/>
    </row>
    <row r="2224" spans="1:13">
      <c r="A2224" s="71" t="s">
        <v>4929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1774</v>
      </c>
      <c r="H2224" s="9"/>
      <c r="I2224" s="8"/>
      <c r="J2224" s="8"/>
      <c r="K2224" s="8"/>
      <c r="L2224" s="9" t="s">
        <v>1918</v>
      </c>
      <c r="M2224" s="8"/>
    </row>
    <row r="2225" spans="1:13">
      <c r="A2225" s="71" t="s">
        <v>4930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1774</v>
      </c>
      <c r="H2225" s="9"/>
      <c r="I2225" s="8"/>
      <c r="J2225" s="8"/>
      <c r="K2225" s="8"/>
      <c r="L2225" s="8"/>
      <c r="M2225" s="8"/>
    </row>
    <row r="2226" spans="1:13">
      <c r="A2226" s="71" t="s">
        <v>4931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1774</v>
      </c>
      <c r="H2226" s="9"/>
      <c r="I2226" s="8"/>
      <c r="J2226" s="8"/>
      <c r="K2226" s="8"/>
      <c r="L2226" s="8"/>
      <c r="M2226" s="8"/>
    </row>
    <row r="2227" spans="1:13">
      <c r="A2227" s="29" t="s">
        <v>4932</v>
      </c>
      <c r="B2227" s="67"/>
      <c r="C2227" s="18" t="s">
        <v>1887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4933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1774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4934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4935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4936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1774</v>
      </c>
      <c r="H2231" s="9"/>
      <c r="I2231" s="8"/>
      <c r="J2231" s="8"/>
      <c r="K2231" s="8"/>
      <c r="L2231" s="9" t="s">
        <v>1928</v>
      </c>
      <c r="M2231" s="8"/>
    </row>
    <row r="2232" spans="1:13">
      <c r="A2232" s="14" t="s">
        <v>4937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4938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4939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4940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4941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4942</v>
      </c>
      <c r="B2237" s="67">
        <v>22548549844</v>
      </c>
      <c r="C2237" s="77" t="s">
        <v>4943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4944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1774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4945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1774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4946</v>
      </c>
      <c r="B2240" s="67">
        <v>27757716888</v>
      </c>
      <c r="C2240" s="77" t="s">
        <v>4947</v>
      </c>
      <c r="D2240" s="69" t="s">
        <v>4948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4949</v>
      </c>
      <c r="B2241" s="67">
        <v>30926413880</v>
      </c>
      <c r="C2241" s="72" t="s">
        <v>4950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2057</v>
      </c>
      <c r="M2241" s="8"/>
    </row>
    <row r="2242" spans="1:13">
      <c r="A2242" s="71" t="s">
        <v>4951</v>
      </c>
      <c r="B2242" s="67">
        <v>32954076810</v>
      </c>
      <c r="C2242" s="72" t="s">
        <v>4952</v>
      </c>
      <c r="D2242" s="69">
        <v>82353131468</v>
      </c>
      <c r="E2242" s="9">
        <v>292</v>
      </c>
      <c r="F2242" s="25">
        <v>43168</v>
      </c>
      <c r="G2242" s="70" t="s">
        <v>1774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4953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1780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4954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1774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4955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1774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4956</v>
      </c>
      <c r="B2246" s="67">
        <v>23171032805</v>
      </c>
      <c r="C2246" s="72" t="s">
        <v>4957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4958</v>
      </c>
      <c r="B2247" s="67">
        <v>33375182813</v>
      </c>
      <c r="C2247" s="75" t="s">
        <v>4959</v>
      </c>
      <c r="D2247" s="69">
        <v>30178836800</v>
      </c>
      <c r="E2247" s="9">
        <v>1106</v>
      </c>
      <c r="F2247" s="25">
        <v>42965</v>
      </c>
      <c r="G2247" s="70" t="s">
        <v>1774</v>
      </c>
      <c r="H2247" s="9"/>
      <c r="I2247" s="8"/>
      <c r="J2247" s="8"/>
      <c r="K2247" s="8"/>
      <c r="L2247" s="8"/>
      <c r="M2247" s="8"/>
    </row>
    <row r="2248" spans="1:13">
      <c r="A2248" s="71" t="s">
        <v>4960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1774</v>
      </c>
      <c r="H2248" s="9"/>
      <c r="I2248" s="8"/>
      <c r="J2248" s="8"/>
      <c r="K2248" s="8"/>
      <c r="L2248" s="8"/>
      <c r="M2248" s="8"/>
    </row>
    <row r="2249" spans="1:13">
      <c r="A2249" s="71" t="s">
        <v>4961</v>
      </c>
      <c r="B2249" s="67">
        <v>15712243865</v>
      </c>
      <c r="C2249" s="72" t="s">
        <v>4962</v>
      </c>
      <c r="D2249" s="69">
        <v>501095705</v>
      </c>
      <c r="E2249" s="9">
        <v>1752</v>
      </c>
      <c r="F2249" s="25">
        <v>43051</v>
      </c>
      <c r="G2249" s="70" t="s">
        <v>1774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4963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1774</v>
      </c>
      <c r="H2250" s="9"/>
      <c r="I2250" s="8"/>
      <c r="J2250" s="8"/>
      <c r="K2250" s="8"/>
      <c r="L2250" s="9" t="s">
        <v>1896</v>
      </c>
      <c r="M2250" s="8"/>
    </row>
    <row r="2251" spans="1:13">
      <c r="A2251" s="15" t="s">
        <v>4964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4965</v>
      </c>
      <c r="B2252" s="67">
        <v>22403927899</v>
      </c>
      <c r="C2252" s="72" t="s">
        <v>4966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4967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1774</v>
      </c>
      <c r="H2253" s="9"/>
      <c r="I2253" s="8"/>
      <c r="J2253" s="8"/>
      <c r="K2253" s="8"/>
      <c r="L2253" s="9" t="s">
        <v>1928</v>
      </c>
      <c r="M2253" s="8"/>
    </row>
    <row r="2254" spans="1:13">
      <c r="A2254" s="14" t="s">
        <v>4968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4969</v>
      </c>
      <c r="B2255" s="67">
        <v>32624504800</v>
      </c>
      <c r="C2255" s="72" t="s">
        <v>4970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4971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1774</v>
      </c>
      <c r="H2256" s="9"/>
      <c r="I2256" s="8"/>
      <c r="J2256" s="8"/>
      <c r="K2256" s="8"/>
      <c r="L2256" s="8"/>
      <c r="M2256" s="8"/>
    </row>
    <row r="2257" spans="1:13">
      <c r="A2257" s="71" t="s">
        <v>4972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1780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4973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4974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4975</v>
      </c>
      <c r="B2260" s="67">
        <v>14688456832</v>
      </c>
      <c r="C2260" s="72" t="s">
        <v>4976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4977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1774</v>
      </c>
      <c r="H2261" s="9"/>
      <c r="I2261" s="8"/>
      <c r="J2261" s="8"/>
      <c r="K2261" s="8"/>
      <c r="L2261" s="8"/>
      <c r="M2261" s="8"/>
    </row>
    <row r="2262" spans="1:13">
      <c r="A2262" s="71" t="s">
        <v>4978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4979</v>
      </c>
      <c r="B2263" s="67">
        <v>38726646897</v>
      </c>
      <c r="C2263" s="18" t="s">
        <v>4980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4981</v>
      </c>
      <c r="B2264" s="67">
        <v>45171952876</v>
      </c>
      <c r="C2264" s="29" t="s">
        <v>4982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4983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1774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4984</v>
      </c>
      <c r="B2266" s="67">
        <v>36695082871</v>
      </c>
      <c r="C2266" s="72" t="s">
        <v>4985</v>
      </c>
      <c r="D2266" s="69">
        <v>36736721857</v>
      </c>
      <c r="E2266" s="9">
        <v>1241</v>
      </c>
      <c r="F2266" s="25">
        <v>42992</v>
      </c>
      <c r="G2266" s="70" t="s">
        <v>1774</v>
      </c>
      <c r="H2266" s="9"/>
      <c r="I2266" s="8"/>
      <c r="J2266" s="8"/>
      <c r="K2266" s="8"/>
      <c r="L2266" s="8"/>
      <c r="M2266" s="8"/>
    </row>
    <row r="2267" spans="1:13">
      <c r="A2267" s="13" t="s">
        <v>4986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4987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4988</v>
      </c>
      <c r="B2269" s="67">
        <v>42141950864</v>
      </c>
      <c r="C2269" s="72" t="s">
        <v>4989</v>
      </c>
      <c r="D2269" s="69"/>
      <c r="E2269" s="9">
        <v>1214</v>
      </c>
      <c r="F2269" s="25">
        <v>42989</v>
      </c>
      <c r="G2269" s="70" t="s">
        <v>1774</v>
      </c>
      <c r="H2269" s="9"/>
      <c r="I2269" s="8"/>
      <c r="J2269" s="8"/>
      <c r="K2269" s="8"/>
      <c r="L2269" s="8"/>
      <c r="M2269" s="8"/>
    </row>
    <row r="2270" spans="1:13">
      <c r="A2270" s="15" t="s">
        <v>4990</v>
      </c>
      <c r="B2270" s="67">
        <v>47270275858</v>
      </c>
      <c r="C2270" s="72" t="s">
        <v>4991</v>
      </c>
      <c r="D2270" s="69">
        <v>34861975840</v>
      </c>
      <c r="E2270" s="9">
        <v>1824</v>
      </c>
      <c r="F2270" s="25">
        <v>43091</v>
      </c>
      <c r="G2270" s="70" t="s">
        <v>1774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4992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1774</v>
      </c>
      <c r="H2271" s="9"/>
      <c r="I2271" s="8"/>
      <c r="J2271" s="8"/>
      <c r="K2271" s="8"/>
      <c r="L2271" s="9" t="s">
        <v>1928</v>
      </c>
      <c r="M2271" s="8"/>
    </row>
    <row r="2272" spans="1:13">
      <c r="A2272" s="29" t="s">
        <v>4993</v>
      </c>
      <c r="B2272" s="67">
        <v>22899917838</v>
      </c>
      <c r="C2272" s="18" t="s">
        <v>1887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4994</v>
      </c>
      <c r="B2273" s="67"/>
      <c r="C2273" s="29" t="s">
        <v>1887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4995</v>
      </c>
      <c r="B2274" s="67">
        <v>45477385804</v>
      </c>
      <c r="C2274" s="72" t="s">
        <v>4996</v>
      </c>
      <c r="D2274" s="69">
        <v>40972166866</v>
      </c>
      <c r="E2274" s="9">
        <v>1417</v>
      </c>
      <c r="F2274" s="25">
        <v>43017</v>
      </c>
      <c r="G2274" s="70" t="s">
        <v>1774</v>
      </c>
      <c r="H2274" s="9"/>
      <c r="I2274" s="8"/>
      <c r="J2274" s="8"/>
      <c r="K2274" s="8"/>
      <c r="L2274" s="9" t="s">
        <v>2011</v>
      </c>
      <c r="M2274" s="8"/>
    </row>
    <row r="2275" spans="1:13">
      <c r="A2275" s="71" t="s">
        <v>4997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1774</v>
      </c>
      <c r="H2275" s="9"/>
      <c r="I2275" s="8"/>
      <c r="J2275" s="8"/>
      <c r="K2275" s="8"/>
      <c r="L2275" s="8"/>
      <c r="M2275" s="8"/>
    </row>
    <row r="2276" spans="1:13">
      <c r="A2276" s="29" t="s">
        <v>4998</v>
      </c>
      <c r="B2276" s="67"/>
      <c r="C2276" s="29" t="s">
        <v>4999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5000</v>
      </c>
      <c r="B2277" s="67">
        <v>8990461855</v>
      </c>
      <c r="C2277" s="15" t="s">
        <v>4839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5001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5002</v>
      </c>
      <c r="B2279" s="67"/>
      <c r="C2279" s="29" t="s">
        <v>5003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5004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5005</v>
      </c>
      <c r="B2281" s="67">
        <v>38917984827</v>
      </c>
      <c r="C2281" s="72" t="s">
        <v>5006</v>
      </c>
      <c r="D2281" s="69">
        <v>42231603896</v>
      </c>
      <c r="E2281" s="9">
        <v>229</v>
      </c>
      <c r="F2281" s="25">
        <v>43151</v>
      </c>
      <c r="G2281" s="70" t="s">
        <v>1774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5007</v>
      </c>
      <c r="B2282" s="67">
        <v>37870673889</v>
      </c>
      <c r="C2282" s="72" t="s">
        <v>5008</v>
      </c>
      <c r="D2282" s="69">
        <v>2786569516</v>
      </c>
      <c r="E2282" s="9">
        <v>262</v>
      </c>
      <c r="F2282" s="25">
        <v>43160</v>
      </c>
      <c r="G2282" s="70" t="s">
        <v>1774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5009</v>
      </c>
      <c r="B2283" s="67">
        <v>10441616801</v>
      </c>
      <c r="C2283" s="72" t="s">
        <v>5010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5011</v>
      </c>
      <c r="B2284" s="67">
        <v>11702039811</v>
      </c>
      <c r="C2284" s="32" t="s">
        <v>5012</v>
      </c>
      <c r="D2284" s="69">
        <v>14689396884</v>
      </c>
      <c r="E2284" s="9">
        <v>1350</v>
      </c>
      <c r="F2284" s="25">
        <v>43006</v>
      </c>
      <c r="G2284" s="70" t="s">
        <v>1774</v>
      </c>
      <c r="H2284" s="9"/>
      <c r="I2284" s="8"/>
      <c r="J2284" s="8"/>
      <c r="K2284" s="8"/>
      <c r="L2284" s="8"/>
      <c r="M2284" s="8"/>
    </row>
    <row r="2285" spans="1:13">
      <c r="A2285" s="15" t="s">
        <v>5013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1774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5014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5015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5016</v>
      </c>
      <c r="B2288" s="67">
        <v>46959766842</v>
      </c>
      <c r="C2288" s="72" t="s">
        <v>5017</v>
      </c>
      <c r="D2288" s="69">
        <v>40096022876</v>
      </c>
      <c r="E2288" s="9">
        <v>1350</v>
      </c>
      <c r="F2288" s="25">
        <v>43006</v>
      </c>
      <c r="G2288" s="70" t="s">
        <v>1774</v>
      </c>
      <c r="H2288" s="9"/>
      <c r="I2288" s="8"/>
      <c r="J2288" s="8"/>
      <c r="K2288" s="8"/>
      <c r="L2288" s="8"/>
      <c r="M2288" s="8"/>
    </row>
    <row r="2289" spans="1:13">
      <c r="A2289" s="71" t="s">
        <v>5018</v>
      </c>
      <c r="B2289" s="67">
        <v>15147799869</v>
      </c>
      <c r="C2289" s="72" t="s">
        <v>5019</v>
      </c>
      <c r="D2289" s="69">
        <v>18304595893</v>
      </c>
      <c r="E2289" s="9">
        <v>1824</v>
      </c>
      <c r="F2289" s="25">
        <v>43091</v>
      </c>
      <c r="G2289" s="70" t="s">
        <v>1774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5020</v>
      </c>
      <c r="B2290" s="67">
        <v>29012884802</v>
      </c>
      <c r="C2290" s="72" t="s">
        <v>5021</v>
      </c>
      <c r="D2290" s="69">
        <v>16761377854</v>
      </c>
      <c r="E2290" s="9">
        <v>85</v>
      </c>
      <c r="F2290" s="25">
        <v>43109</v>
      </c>
      <c r="G2290" s="70" t="s">
        <v>1774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5022</v>
      </c>
      <c r="B2291" s="67">
        <v>13009518854</v>
      </c>
      <c r="C2291" s="72" t="s">
        <v>5023</v>
      </c>
      <c r="D2291" s="69">
        <v>59636467749</v>
      </c>
      <c r="E2291" s="9">
        <v>1267</v>
      </c>
      <c r="F2291" s="25">
        <v>42998</v>
      </c>
      <c r="G2291" s="70" t="s">
        <v>1788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5024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5025</v>
      </c>
      <c r="B2293" s="67">
        <v>38605259809</v>
      </c>
      <c r="C2293" s="72" t="s">
        <v>5026</v>
      </c>
      <c r="D2293" s="69">
        <v>1090388519</v>
      </c>
      <c r="E2293" s="9">
        <v>117</v>
      </c>
      <c r="F2293" s="25">
        <v>43117</v>
      </c>
      <c r="G2293" s="70" t="s">
        <v>1774</v>
      </c>
      <c r="H2293" s="9"/>
      <c r="I2293" s="8"/>
      <c r="J2293" s="8"/>
      <c r="K2293" s="8"/>
      <c r="L2293" s="9" t="s">
        <v>1928</v>
      </c>
      <c r="M2293" s="8"/>
    </row>
    <row r="2294" spans="1:13">
      <c r="A2294" s="15" t="s">
        <v>5027</v>
      </c>
      <c r="B2294" s="67">
        <v>9333321810</v>
      </c>
      <c r="C2294" s="72" t="s">
        <v>5028</v>
      </c>
      <c r="D2294" s="69">
        <v>16122645818</v>
      </c>
      <c r="E2294" s="9">
        <v>117</v>
      </c>
      <c r="F2294" s="25">
        <v>43117</v>
      </c>
      <c r="G2294" s="70" t="s">
        <v>1774</v>
      </c>
      <c r="H2294" s="9"/>
      <c r="I2294" s="8"/>
      <c r="J2294" s="8"/>
      <c r="K2294" s="8"/>
      <c r="L2294" s="9" t="s">
        <v>1928</v>
      </c>
      <c r="M2294" s="8"/>
    </row>
    <row r="2295" spans="1:13">
      <c r="A2295" s="71" t="s">
        <v>5029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1774</v>
      </c>
      <c r="H2295" s="9"/>
      <c r="I2295" s="8"/>
      <c r="J2295" s="8"/>
      <c r="K2295" s="8"/>
      <c r="L2295" s="9" t="s">
        <v>1896</v>
      </c>
      <c r="M2295" s="8"/>
    </row>
    <row r="2296" spans="1:13">
      <c r="A2296" s="71" t="s">
        <v>5030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5031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5032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5033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5034</v>
      </c>
      <c r="B2300" s="67">
        <v>35810601839</v>
      </c>
      <c r="C2300" s="18" t="s">
        <v>5035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5036</v>
      </c>
      <c r="B2301" s="67">
        <v>32203433841</v>
      </c>
      <c r="C2301" s="72" t="s">
        <v>5037</v>
      </c>
      <c r="D2301" s="69">
        <v>36256617890</v>
      </c>
      <c r="E2301" s="9">
        <v>810</v>
      </c>
      <c r="F2301" s="25">
        <v>42915</v>
      </c>
      <c r="G2301" s="70" t="s">
        <v>1774</v>
      </c>
      <c r="H2301" s="9"/>
      <c r="I2301" s="8"/>
      <c r="J2301" s="8"/>
      <c r="K2301" s="8"/>
      <c r="L2301" s="9" t="s">
        <v>1896</v>
      </c>
      <c r="M2301" s="8"/>
    </row>
    <row r="2302" spans="1:13">
      <c r="A2302" s="72" t="s">
        <v>5038</v>
      </c>
      <c r="B2302" s="67">
        <v>29816586894</v>
      </c>
      <c r="C2302" s="72" t="s">
        <v>5039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5040</v>
      </c>
      <c r="B2303" s="67">
        <v>3087797545</v>
      </c>
      <c r="C2303" s="71" t="s">
        <v>5041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5042</v>
      </c>
      <c r="B2304" s="67">
        <v>44135110851</v>
      </c>
      <c r="C2304" s="18" t="s">
        <v>5043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5044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1774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5045</v>
      </c>
      <c r="B2306" s="67">
        <v>5416929847</v>
      </c>
      <c r="C2306" s="72" t="s">
        <v>5046</v>
      </c>
      <c r="D2306" s="69">
        <v>69220670887</v>
      </c>
      <c r="E2306" s="9">
        <v>292</v>
      </c>
      <c r="F2306" s="25">
        <v>43168</v>
      </c>
      <c r="G2306" s="70" t="s">
        <v>1780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5047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1774</v>
      </c>
      <c r="H2307" s="70"/>
      <c r="I2307" s="8"/>
      <c r="J2307" s="8"/>
      <c r="K2307" s="8"/>
      <c r="L2307" s="8"/>
      <c r="M2307" s="8"/>
    </row>
    <row r="2308" spans="1:13">
      <c r="A2308" s="71" t="s">
        <v>5048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5049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1774</v>
      </c>
      <c r="H2309" s="70"/>
      <c r="I2309" s="8"/>
      <c r="J2309" s="8"/>
      <c r="K2309" s="8"/>
      <c r="L2309" s="9" t="s">
        <v>2011</v>
      </c>
      <c r="M2309" s="8"/>
    </row>
    <row r="2310" spans="1:13">
      <c r="A2310" s="71" t="s">
        <v>5050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1774</v>
      </c>
      <c r="H2310" s="70"/>
      <c r="I2310" s="8"/>
      <c r="J2310" s="8"/>
      <c r="K2310" s="8"/>
      <c r="L2310" s="8"/>
      <c r="M2310" s="8"/>
    </row>
    <row r="2311" spans="1:13">
      <c r="A2311" s="71" t="s">
        <v>5051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5052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1774</v>
      </c>
      <c r="H2312" s="70"/>
      <c r="I2312" s="8"/>
      <c r="J2312" s="8"/>
      <c r="K2312" s="8"/>
      <c r="L2312" s="8"/>
      <c r="M2312" s="8"/>
    </row>
    <row r="2313" spans="1:13">
      <c r="A2313" s="71" t="s">
        <v>5053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1774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5054</v>
      </c>
      <c r="B2314" s="67">
        <v>60363616373</v>
      </c>
      <c r="C2314" s="72" t="s">
        <v>5055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5056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1774</v>
      </c>
      <c r="H2315" s="70"/>
      <c r="I2315" s="8"/>
      <c r="J2315" s="8"/>
      <c r="K2315" s="8"/>
      <c r="L2315" s="8"/>
      <c r="M2315" s="8"/>
    </row>
    <row r="2316" spans="1:13">
      <c r="A2316" s="29" t="s">
        <v>5057</v>
      </c>
      <c r="B2316" s="67">
        <v>6780677833</v>
      </c>
      <c r="C2316" s="29" t="s">
        <v>5058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5059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5060</v>
      </c>
      <c r="B2318" s="67"/>
      <c r="C2318" s="29" t="s">
        <v>1887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5061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5062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5063</v>
      </c>
      <c r="B2321" s="67"/>
      <c r="C2321" s="18" t="s">
        <v>5064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5065</v>
      </c>
      <c r="B2322" s="67">
        <v>47104776800</v>
      </c>
      <c r="C2322" s="72" t="s">
        <v>5066</v>
      </c>
      <c r="D2322" s="69">
        <v>29524413833</v>
      </c>
      <c r="E2322" s="9">
        <v>117</v>
      </c>
      <c r="F2322" s="25">
        <v>43117</v>
      </c>
      <c r="G2322" s="70" t="s">
        <v>1774</v>
      </c>
      <c r="H2322" s="70"/>
      <c r="I2322" s="8"/>
      <c r="J2322" s="8"/>
      <c r="K2322" s="8"/>
      <c r="L2322" s="9" t="s">
        <v>1928</v>
      </c>
      <c r="M2322" s="8"/>
    </row>
    <row r="2323" spans="1:13">
      <c r="A2323" s="71" t="s">
        <v>5067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1774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5068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1774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5069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5070</v>
      </c>
      <c r="B2326" s="67"/>
      <c r="C2326" s="29" t="s">
        <v>5071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5072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1774</v>
      </c>
      <c r="H2327" s="9"/>
      <c r="I2327" s="8"/>
      <c r="J2327" s="8"/>
      <c r="K2327" s="8"/>
      <c r="L2327" s="9" t="s">
        <v>1928</v>
      </c>
      <c r="M2327" s="8"/>
    </row>
    <row r="2328" spans="1:13">
      <c r="A2328" s="71" t="s">
        <v>5073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5074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5075</v>
      </c>
      <c r="B2330" s="67">
        <v>44920823878</v>
      </c>
      <c r="C2330" s="72" t="s">
        <v>5076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5077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5078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5079</v>
      </c>
      <c r="B2333" s="67">
        <v>8665698809</v>
      </c>
      <c r="C2333" s="72" t="s">
        <v>5080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5081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5082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5083</v>
      </c>
      <c r="B2336" s="67">
        <v>37383675860</v>
      </c>
      <c r="C2336" s="72" t="s">
        <v>5084</v>
      </c>
      <c r="D2336" s="69">
        <v>37457320814</v>
      </c>
      <c r="E2336" s="9">
        <v>1824</v>
      </c>
      <c r="F2336" s="25">
        <v>43091</v>
      </c>
      <c r="G2336" s="70" t="s">
        <v>1774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5085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1774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5086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5087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5088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5089</v>
      </c>
      <c r="B2341" s="67">
        <v>36394093882</v>
      </c>
      <c r="C2341" s="72" t="s">
        <v>5090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5091</v>
      </c>
      <c r="B2342" s="80">
        <v>38327155687</v>
      </c>
      <c r="C2342" s="81" t="s">
        <v>5092</v>
      </c>
      <c r="D2342" s="82">
        <v>20534089879</v>
      </c>
      <c r="E2342" s="47">
        <v>1824</v>
      </c>
      <c r="F2342" s="48">
        <v>43091</v>
      </c>
      <c r="G2342" s="83" t="s">
        <v>1788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5093</v>
      </c>
      <c r="B2343" s="67">
        <v>36553625875</v>
      </c>
      <c r="C2343" s="72" t="s">
        <v>5094</v>
      </c>
      <c r="D2343" s="69">
        <v>34615418850</v>
      </c>
      <c r="E2343" s="9">
        <v>608</v>
      </c>
      <c r="F2343" s="25">
        <v>43012</v>
      </c>
      <c r="G2343" s="70" t="s">
        <v>1774</v>
      </c>
      <c r="H2343" s="9"/>
      <c r="I2343" s="8"/>
      <c r="J2343" s="8"/>
      <c r="K2343" s="8"/>
      <c r="L2343" s="8"/>
      <c r="M2343" s="8"/>
    </row>
    <row r="2344" spans="1:13">
      <c r="A2344" s="71" t="s">
        <v>5095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1774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5096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1774</v>
      </c>
      <c r="H2345" s="9"/>
      <c r="I2345" s="8"/>
      <c r="J2345" s="8"/>
      <c r="K2345" s="8"/>
      <c r="L2345" s="9" t="s">
        <v>1896</v>
      </c>
      <c r="M2345" s="8"/>
    </row>
    <row r="2346" spans="1:13">
      <c r="A2346" s="13" t="s">
        <v>5097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1774</v>
      </c>
      <c r="H2346" s="9"/>
      <c r="I2346" s="8"/>
      <c r="J2346" s="8"/>
      <c r="K2346" s="8"/>
      <c r="L2346" s="9" t="s">
        <v>1918</v>
      </c>
      <c r="M2346" s="8"/>
    </row>
    <row r="2347" spans="1:13">
      <c r="A2347" s="71" t="s">
        <v>5098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5099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5100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1774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5101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1774</v>
      </c>
      <c r="H2350" s="9"/>
      <c r="I2350" s="8"/>
      <c r="J2350" s="8"/>
      <c r="K2350" s="8"/>
      <c r="L2350" s="8"/>
      <c r="M2350" s="8"/>
    </row>
    <row r="2351" spans="1:13">
      <c r="A2351" s="14" t="s">
        <v>5102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5103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5104</v>
      </c>
      <c r="B2353" s="67">
        <v>2267811863</v>
      </c>
      <c r="C2353" s="68" t="s">
        <v>5105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5106</v>
      </c>
      <c r="B2354" s="67">
        <v>4640546726</v>
      </c>
      <c r="C2354" s="72" t="s">
        <v>5107</v>
      </c>
      <c r="D2354" s="69">
        <v>72849215791</v>
      </c>
      <c r="E2354" s="9">
        <v>262</v>
      </c>
      <c r="F2354" s="25">
        <v>43160</v>
      </c>
      <c r="G2354" s="70" t="s">
        <v>1774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5108</v>
      </c>
      <c r="B2355" s="67">
        <v>11862093806</v>
      </c>
      <c r="C2355" s="18" t="s">
        <v>1887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5109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1774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5110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5111</v>
      </c>
      <c r="B2358" s="67">
        <v>12983214842</v>
      </c>
      <c r="C2358" s="72" t="s">
        <v>5112</v>
      </c>
      <c r="D2358" s="69">
        <v>33776403802</v>
      </c>
      <c r="E2358" s="9">
        <v>85</v>
      </c>
      <c r="F2358" s="25">
        <v>43109</v>
      </c>
      <c r="G2358" s="70" t="s">
        <v>1774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5113</v>
      </c>
      <c r="B2359" s="67">
        <v>3343521507</v>
      </c>
      <c r="C2359" s="15" t="s">
        <v>5114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5115</v>
      </c>
      <c r="B2360" s="67">
        <v>41812689500</v>
      </c>
      <c r="C2360" s="72" t="s">
        <v>5116</v>
      </c>
      <c r="D2360" s="69">
        <v>14037047837</v>
      </c>
      <c r="E2360" s="9">
        <v>1106</v>
      </c>
      <c r="F2360" s="25">
        <v>42965</v>
      </c>
      <c r="G2360" s="70" t="s">
        <v>1774</v>
      </c>
      <c r="H2360" s="9"/>
      <c r="I2360" s="8"/>
      <c r="J2360" s="8"/>
      <c r="K2360" s="8"/>
      <c r="L2360" s="8"/>
      <c r="M2360" s="8"/>
    </row>
    <row r="2361" spans="1:13">
      <c r="A2361" s="71" t="s">
        <v>5117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5118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1774</v>
      </c>
      <c r="H2362" s="9"/>
      <c r="I2362" s="8"/>
      <c r="J2362" s="8"/>
      <c r="K2362" s="8"/>
      <c r="L2362" s="9" t="s">
        <v>1896</v>
      </c>
      <c r="M2362" s="8"/>
    </row>
    <row r="2363" spans="1:13">
      <c r="A2363" s="71" t="s">
        <v>5119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5120</v>
      </c>
      <c r="B2364" s="67">
        <v>45479391879</v>
      </c>
      <c r="C2364" s="30" t="s">
        <v>5121</v>
      </c>
      <c r="D2364" s="67">
        <v>35624185820</v>
      </c>
      <c r="E2364" s="9">
        <v>1350</v>
      </c>
      <c r="F2364" s="25">
        <v>43006</v>
      </c>
      <c r="G2364" s="70" t="s">
        <v>1774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5122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1788</v>
      </c>
      <c r="H2365" s="9"/>
      <c r="I2365" s="8"/>
      <c r="J2365" s="8"/>
      <c r="K2365" s="8"/>
      <c r="L2365" s="9" t="s">
        <v>2260</v>
      </c>
      <c r="M2365" s="8"/>
    </row>
    <row r="2366" spans="1:13">
      <c r="A2366" s="15" t="s">
        <v>5123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5124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5125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5126</v>
      </c>
      <c r="B2369" s="67">
        <v>36159577840</v>
      </c>
      <c r="C2369" s="72" t="s">
        <v>5127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5128</v>
      </c>
      <c r="B2370" s="67">
        <v>39308828842</v>
      </c>
      <c r="C2370" s="72" t="s">
        <v>5129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5130</v>
      </c>
      <c r="B2371" s="67">
        <v>6619801897</v>
      </c>
      <c r="C2371" s="29" t="s">
        <v>5131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5132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5133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1774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5134</v>
      </c>
      <c r="B2374" s="67">
        <v>36138056850</v>
      </c>
      <c r="C2374" s="72" t="s">
        <v>5135</v>
      </c>
      <c r="D2374" s="69">
        <v>56721897504</v>
      </c>
      <c r="E2374" s="9">
        <v>262</v>
      </c>
      <c r="F2374" s="25">
        <v>43160</v>
      </c>
      <c r="G2374" s="70" t="s">
        <v>1774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5136</v>
      </c>
      <c r="B2375" s="67">
        <v>22365509878</v>
      </c>
      <c r="C2375" s="72" t="s">
        <v>5137</v>
      </c>
      <c r="D2375" s="69">
        <v>9353681839</v>
      </c>
      <c r="E2375" s="9">
        <v>810</v>
      </c>
      <c r="F2375" s="25">
        <v>42915</v>
      </c>
      <c r="G2375" s="70" t="s">
        <v>1774</v>
      </c>
      <c r="H2375" s="9"/>
      <c r="I2375" s="8"/>
      <c r="J2375" s="8"/>
      <c r="K2375" s="8"/>
      <c r="L2375" s="9" t="s">
        <v>1896</v>
      </c>
      <c r="M2375" s="8"/>
    </row>
    <row r="2376" spans="1:13">
      <c r="A2376" s="72" t="s">
        <v>5138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5139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1774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5140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5141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1774</v>
      </c>
      <c r="H2379" s="9"/>
      <c r="I2379" s="8"/>
      <c r="J2379" s="8"/>
      <c r="K2379" s="8"/>
      <c r="L2379" s="9" t="s">
        <v>2156</v>
      </c>
      <c r="M2379" s="8"/>
    </row>
    <row r="2380" spans="1:13">
      <c r="A2380" s="71" t="s">
        <v>5142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1774</v>
      </c>
      <c r="H2380" s="9"/>
      <c r="I2380" s="8"/>
      <c r="J2380" s="8"/>
      <c r="K2380" s="8"/>
      <c r="L2380" s="9" t="s">
        <v>1928</v>
      </c>
      <c r="M2380" s="8"/>
    </row>
    <row r="2381" spans="1:13">
      <c r="A2381" s="71" t="s">
        <v>5143</v>
      </c>
      <c r="B2381" s="67">
        <v>40878398856</v>
      </c>
      <c r="C2381" s="72" t="s">
        <v>5144</v>
      </c>
      <c r="D2381" s="69">
        <v>73226718568</v>
      </c>
      <c r="E2381" s="9">
        <v>262</v>
      </c>
      <c r="F2381" s="25">
        <v>43160</v>
      </c>
      <c r="G2381" s="70" t="s">
        <v>1774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5145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1774</v>
      </c>
      <c r="H2382" s="9"/>
      <c r="I2382" s="8"/>
      <c r="J2382" s="8"/>
      <c r="K2382" s="8"/>
      <c r="L2382" s="8"/>
      <c r="M2382" s="8"/>
    </row>
    <row r="2383" spans="1:13">
      <c r="A2383" s="13" t="s">
        <v>5146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1774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5147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1774</v>
      </c>
      <c r="H2384" s="9"/>
      <c r="I2384" s="8"/>
      <c r="J2384" s="8"/>
      <c r="K2384" s="8"/>
      <c r="L2384" s="8"/>
      <c r="M2384" s="8"/>
    </row>
    <row r="2385" spans="1:13">
      <c r="A2385" s="71" t="s">
        <v>5148</v>
      </c>
      <c r="B2385" s="67">
        <v>33475393387</v>
      </c>
      <c r="C2385" s="72" t="s">
        <v>5149</v>
      </c>
      <c r="D2385" s="69">
        <v>21580260306</v>
      </c>
      <c r="E2385" s="9">
        <v>292</v>
      </c>
      <c r="F2385" s="25">
        <v>43168</v>
      </c>
      <c r="G2385" s="70" t="s">
        <v>1774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5150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5151</v>
      </c>
      <c r="B2387" s="67">
        <v>15114386816</v>
      </c>
      <c r="C2387" s="29" t="s">
        <v>5152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5153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5154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1774</v>
      </c>
      <c r="H2389" s="9"/>
      <c r="I2389" s="8"/>
      <c r="J2389" s="8"/>
      <c r="K2389" s="8"/>
      <c r="L2389" s="8"/>
      <c r="M2389" s="8"/>
    </row>
    <row r="2390" spans="1:13">
      <c r="A2390" s="71" t="s">
        <v>5155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5156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5157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5158</v>
      </c>
      <c r="B2393" s="67">
        <v>38754982839</v>
      </c>
      <c r="C2393" s="72" t="s">
        <v>5159</v>
      </c>
      <c r="D2393" s="69">
        <v>34941494881</v>
      </c>
      <c r="E2393" s="9">
        <v>85</v>
      </c>
      <c r="F2393" s="25">
        <v>43109</v>
      </c>
      <c r="G2393" s="70" t="s">
        <v>1788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5160</v>
      </c>
      <c r="B2394" s="67">
        <v>33401168819</v>
      </c>
      <c r="C2394" s="72" t="s">
        <v>5161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5162</v>
      </c>
      <c r="B2395" s="67">
        <v>42116294843</v>
      </c>
      <c r="C2395" s="72" t="s">
        <v>5163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5164</v>
      </c>
      <c r="B2396" s="67">
        <v>12648968679</v>
      </c>
      <c r="C2396" s="72" t="s">
        <v>5165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5166</v>
      </c>
      <c r="B2397" s="67">
        <v>34361698899</v>
      </c>
      <c r="C2397" s="72" t="s">
        <v>5167</v>
      </c>
      <c r="D2397" s="69">
        <v>21266025839</v>
      </c>
      <c r="E2397" s="9">
        <v>1489</v>
      </c>
      <c r="F2397" s="25">
        <v>43038</v>
      </c>
      <c r="G2397" s="70" t="s">
        <v>1774</v>
      </c>
      <c r="H2397" s="9"/>
      <c r="I2397" s="8"/>
      <c r="J2397" s="8"/>
      <c r="K2397" s="8"/>
      <c r="L2397" s="9" t="s">
        <v>1918</v>
      </c>
      <c r="M2397" s="8"/>
    </row>
    <row r="2398" spans="1:13">
      <c r="A2398" s="71" t="s">
        <v>5168</v>
      </c>
      <c r="B2398" s="67">
        <v>12835905812</v>
      </c>
      <c r="C2398" s="72" t="s">
        <v>5169</v>
      </c>
      <c r="D2398" s="69">
        <v>26821342890</v>
      </c>
      <c r="E2398" s="9">
        <v>262</v>
      </c>
      <c r="F2398" s="25">
        <v>43160</v>
      </c>
      <c r="G2398" s="70" t="s">
        <v>1780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5170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5171</v>
      </c>
      <c r="B2400" s="67">
        <v>22713517826</v>
      </c>
      <c r="C2400" s="72" t="s">
        <v>5172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5173</v>
      </c>
      <c r="B2401" s="67">
        <v>28467390808</v>
      </c>
      <c r="C2401" s="72" t="s">
        <v>5174</v>
      </c>
      <c r="D2401" s="69">
        <v>90847547</v>
      </c>
      <c r="E2401" s="9">
        <v>810</v>
      </c>
      <c r="F2401" s="25">
        <v>42915</v>
      </c>
      <c r="G2401" s="70" t="s">
        <v>1774</v>
      </c>
      <c r="H2401" s="9"/>
      <c r="I2401" s="8"/>
      <c r="J2401" s="8"/>
      <c r="K2401" s="8"/>
      <c r="L2401" s="9" t="s">
        <v>1896</v>
      </c>
      <c r="M2401" s="8"/>
    </row>
    <row r="2402" spans="1:13">
      <c r="A2402" s="71" t="s">
        <v>5175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1774</v>
      </c>
      <c r="H2402" s="9"/>
      <c r="I2402" s="8"/>
      <c r="J2402" s="8"/>
      <c r="K2402" s="8"/>
      <c r="L2402" s="8"/>
      <c r="M2402" s="8"/>
    </row>
    <row r="2403" spans="1:13">
      <c r="A2403" s="73" t="s">
        <v>5176</v>
      </c>
      <c r="B2403" s="67">
        <v>32033541878</v>
      </c>
      <c r="C2403" s="72" t="s">
        <v>5177</v>
      </c>
      <c r="D2403" s="69">
        <v>19674006877</v>
      </c>
      <c r="E2403" s="9">
        <v>1752</v>
      </c>
      <c r="F2403" s="25">
        <v>43051</v>
      </c>
      <c r="G2403" s="70" t="s">
        <v>1774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5178</v>
      </c>
      <c r="B2404" s="67">
        <v>23241720896</v>
      </c>
      <c r="C2404" s="18" t="s">
        <v>5179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5180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5181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5182</v>
      </c>
      <c r="B2407" s="67">
        <v>1889333360</v>
      </c>
      <c r="C2407" s="72" t="s">
        <v>5183</v>
      </c>
      <c r="D2407" s="69">
        <v>580003302</v>
      </c>
      <c r="E2407" s="9">
        <v>1241</v>
      </c>
      <c r="F2407" s="25">
        <v>42992</v>
      </c>
      <c r="G2407" s="70" t="s">
        <v>1774</v>
      </c>
      <c r="H2407" s="9"/>
      <c r="I2407" s="8"/>
      <c r="J2407" s="8"/>
      <c r="K2407" s="8"/>
      <c r="L2407" s="8"/>
      <c r="M2407" s="8"/>
    </row>
    <row r="2408" spans="1:13">
      <c r="A2408" s="71" t="s">
        <v>5184</v>
      </c>
      <c r="B2408" s="67">
        <v>40321655800</v>
      </c>
      <c r="C2408" s="72" t="s">
        <v>5185</v>
      </c>
      <c r="D2408" s="69">
        <v>37378835803</v>
      </c>
      <c r="E2408" s="9">
        <v>810</v>
      </c>
      <c r="F2408" s="25">
        <v>42915</v>
      </c>
      <c r="G2408" s="70" t="s">
        <v>1774</v>
      </c>
      <c r="H2408" s="9"/>
      <c r="I2408" s="8"/>
      <c r="J2408" s="8"/>
      <c r="K2408" s="8"/>
      <c r="L2408" s="9" t="s">
        <v>1896</v>
      </c>
      <c r="M2408" s="8"/>
    </row>
    <row r="2409" spans="1:13">
      <c r="A2409" s="14" t="s">
        <v>5186</v>
      </c>
      <c r="B2409" s="67">
        <v>5117256557</v>
      </c>
      <c r="C2409" s="72" t="s">
        <v>5187</v>
      </c>
      <c r="D2409" s="69">
        <v>5063737544</v>
      </c>
      <c r="E2409" s="9">
        <v>262</v>
      </c>
      <c r="F2409" s="25">
        <v>43160</v>
      </c>
      <c r="G2409" s="70" t="s">
        <v>1780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5188</v>
      </c>
      <c r="B2410" s="67">
        <v>21863985832</v>
      </c>
      <c r="C2410" s="72" t="s">
        <v>5189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5190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1774</v>
      </c>
      <c r="H2411" s="9"/>
      <c r="I2411" s="8"/>
      <c r="J2411" s="8"/>
      <c r="K2411" s="8"/>
      <c r="L2411" s="9" t="s">
        <v>2011</v>
      </c>
      <c r="M2411" s="8"/>
    </row>
    <row r="2412" spans="1:13">
      <c r="A2412" s="18" t="s">
        <v>5191</v>
      </c>
      <c r="B2412" s="67">
        <v>31694477851</v>
      </c>
      <c r="C2412" s="18" t="s">
        <v>5192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5193</v>
      </c>
      <c r="B2413" s="67">
        <v>14690610827</v>
      </c>
      <c r="C2413" s="72" t="s">
        <v>5194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5195</v>
      </c>
      <c r="B2414" s="67">
        <v>1740803523</v>
      </c>
      <c r="C2414" s="72" t="s">
        <v>5196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5197</v>
      </c>
      <c r="B2415" s="67">
        <v>23328195840</v>
      </c>
      <c r="C2415" s="72" t="s">
        <v>5198</v>
      </c>
      <c r="D2415" s="69">
        <v>770249310</v>
      </c>
      <c r="E2415" s="9">
        <v>810</v>
      </c>
      <c r="F2415" s="25">
        <v>42915</v>
      </c>
      <c r="G2415" s="70" t="s">
        <v>1774</v>
      </c>
      <c r="H2415" s="9"/>
      <c r="I2415" s="8"/>
      <c r="J2415" s="8"/>
      <c r="K2415" s="8"/>
      <c r="L2415" s="9" t="s">
        <v>1896</v>
      </c>
      <c r="M2415" s="8"/>
    </row>
    <row r="2416" spans="1:13">
      <c r="A2416" s="71" t="s">
        <v>5199</v>
      </c>
      <c r="B2416" s="67">
        <v>28082388862</v>
      </c>
      <c r="C2416" s="72" t="s">
        <v>5200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5201</v>
      </c>
      <c r="B2417" s="67">
        <v>43054747867</v>
      </c>
      <c r="C2417" s="29" t="s">
        <v>5202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5203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5204</v>
      </c>
      <c r="B2419" s="67">
        <v>89863704504</v>
      </c>
      <c r="C2419" s="72" t="s">
        <v>5205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5206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5207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1774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5208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5209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1774</v>
      </c>
      <c r="H2423" s="9"/>
      <c r="I2423" s="8"/>
      <c r="J2423" s="8"/>
      <c r="K2423" s="8"/>
      <c r="L2423" s="8"/>
      <c r="M2423" s="8"/>
    </row>
    <row r="2424" spans="1:13">
      <c r="A2424" s="73" t="s">
        <v>5210</v>
      </c>
      <c r="B2424" s="67">
        <v>33538686823</v>
      </c>
      <c r="C2424" s="72" t="s">
        <v>5211</v>
      </c>
      <c r="D2424" s="69">
        <v>37104062858</v>
      </c>
      <c r="E2424" s="9">
        <v>810</v>
      </c>
      <c r="F2424" s="25">
        <v>42915</v>
      </c>
      <c r="G2424" s="9" t="s">
        <v>1774</v>
      </c>
      <c r="H2424" s="9"/>
      <c r="I2424" s="8"/>
      <c r="J2424" s="8"/>
      <c r="K2424" s="8"/>
      <c r="L2424" s="9" t="s">
        <v>1896</v>
      </c>
      <c r="M2424" s="8"/>
    </row>
    <row r="2425" spans="1:13">
      <c r="A2425" s="18" t="s">
        <v>5212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5213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5214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5215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1774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5216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1774</v>
      </c>
      <c r="H2429" s="9"/>
      <c r="I2429" s="8"/>
      <c r="J2429" s="8"/>
      <c r="K2429" s="8"/>
      <c r="L2429" s="8"/>
      <c r="M2429" s="8"/>
    </row>
    <row r="2430" spans="1:13">
      <c r="A2430" s="29" t="s">
        <v>5217</v>
      </c>
      <c r="B2430" s="67"/>
      <c r="C2430" s="29" t="s">
        <v>1887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5218</v>
      </c>
      <c r="B2431" s="67">
        <v>39308964860</v>
      </c>
      <c r="C2431" s="72" t="s">
        <v>5219</v>
      </c>
      <c r="D2431" s="69">
        <v>39308963898</v>
      </c>
      <c r="E2431" s="9">
        <v>229</v>
      </c>
      <c r="F2431" s="25">
        <v>43151</v>
      </c>
      <c r="G2431" s="70" t="s">
        <v>1774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5220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1774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5221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1774</v>
      </c>
      <c r="H2433" s="9"/>
      <c r="I2433" s="8"/>
      <c r="J2433" s="8"/>
      <c r="K2433" s="8"/>
      <c r="L2433" s="8"/>
      <c r="M2433" s="8"/>
    </row>
    <row r="2434" spans="1:13">
      <c r="A2434" s="71" t="s">
        <v>5222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5223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1774</v>
      </c>
      <c r="H2435" s="9"/>
      <c r="I2435" s="8"/>
      <c r="J2435" s="8"/>
      <c r="K2435" s="8"/>
      <c r="L2435" s="8"/>
      <c r="M2435" s="8"/>
    </row>
    <row r="2436" spans="1:13">
      <c r="A2436" s="71" t="s">
        <v>5224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5225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5226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5227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1774</v>
      </c>
      <c r="H2439" s="9"/>
      <c r="I2439" s="8"/>
      <c r="J2439" s="8"/>
      <c r="K2439" s="8"/>
      <c r="L2439" s="9" t="s">
        <v>1928</v>
      </c>
      <c r="M2439" s="8"/>
    </row>
    <row r="2440" spans="1:13">
      <c r="A2440" s="71" t="s">
        <v>5228</v>
      </c>
      <c r="B2440" s="67">
        <v>36344864818</v>
      </c>
      <c r="C2440" s="72" t="s">
        <v>5229</v>
      </c>
      <c r="D2440" s="69">
        <v>35601867810</v>
      </c>
      <c r="E2440" s="9">
        <v>810</v>
      </c>
      <c r="F2440" s="25">
        <v>42915</v>
      </c>
      <c r="G2440" s="70" t="s">
        <v>1774</v>
      </c>
      <c r="H2440" s="9"/>
      <c r="I2440" s="8"/>
      <c r="J2440" s="8"/>
      <c r="K2440" s="8"/>
      <c r="L2440" s="9" t="s">
        <v>1896</v>
      </c>
      <c r="M2440" s="8"/>
    </row>
    <row r="2441" spans="1:13">
      <c r="A2441" s="29" t="s">
        <v>5230</v>
      </c>
      <c r="B2441" s="67"/>
      <c r="C2441" s="29" t="s">
        <v>1887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5231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1774</v>
      </c>
      <c r="H2442" s="9"/>
      <c r="I2442" s="8"/>
      <c r="J2442" s="8"/>
      <c r="K2442" s="8"/>
      <c r="L2442" s="8"/>
      <c r="M2442" s="8"/>
    </row>
    <row r="2443" spans="1:13">
      <c r="A2443" s="73" t="s">
        <v>5232</v>
      </c>
      <c r="B2443" s="67">
        <v>23969560861</v>
      </c>
      <c r="C2443" s="72" t="s">
        <v>5233</v>
      </c>
      <c r="D2443" s="69">
        <v>16141701850</v>
      </c>
      <c r="E2443" s="9">
        <v>1267</v>
      </c>
      <c r="F2443" s="25">
        <v>42998</v>
      </c>
      <c r="G2443" s="70" t="s">
        <v>1774</v>
      </c>
      <c r="H2443" s="9"/>
      <c r="I2443" s="8"/>
      <c r="J2443" s="8"/>
      <c r="K2443" s="8"/>
      <c r="L2443" s="8"/>
      <c r="M2443" s="8"/>
    </row>
    <row r="2444" spans="1:13">
      <c r="A2444" s="71" t="s">
        <v>5234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5235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5236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1774</v>
      </c>
      <c r="H2446" s="9"/>
      <c r="I2446" s="8"/>
      <c r="J2446" s="8"/>
      <c r="K2446" s="8"/>
      <c r="L2446" s="8"/>
      <c r="M2446" s="8"/>
    </row>
    <row r="2447" spans="1:13">
      <c r="A2447" s="72" t="s">
        <v>5237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5238</v>
      </c>
      <c r="B2448" s="67">
        <v>35193151817</v>
      </c>
      <c r="C2448" s="72" t="s">
        <v>5239</v>
      </c>
      <c r="D2448" s="69">
        <v>26084005829</v>
      </c>
      <c r="E2448" s="9">
        <v>229</v>
      </c>
      <c r="F2448" s="25">
        <v>43151</v>
      </c>
      <c r="G2448" s="70" t="s">
        <v>1774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5240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5241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5242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1774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5243</v>
      </c>
      <c r="B2452" s="67">
        <v>34674605857</v>
      </c>
      <c r="C2452" s="72" t="s">
        <v>5244</v>
      </c>
      <c r="D2452" s="69">
        <v>36771603830</v>
      </c>
      <c r="E2452" s="9">
        <v>810</v>
      </c>
      <c r="F2452" s="25">
        <v>42915</v>
      </c>
      <c r="G2452" s="70" t="s">
        <v>1774</v>
      </c>
      <c r="H2452" s="9"/>
      <c r="I2452" s="8"/>
      <c r="J2452" s="8"/>
      <c r="K2452" s="8"/>
      <c r="L2452" s="9" t="s">
        <v>1896</v>
      </c>
      <c r="M2452" s="8"/>
    </row>
    <row r="2453" spans="1:13">
      <c r="A2453" s="71" t="s">
        <v>5245</v>
      </c>
      <c r="B2453" s="67">
        <v>33248807857</v>
      </c>
      <c r="C2453" s="72" t="s">
        <v>5246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5247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1774</v>
      </c>
      <c r="H2454" s="9"/>
      <c r="I2454" s="8"/>
      <c r="J2454" s="8"/>
      <c r="K2454" s="8"/>
      <c r="L2454" s="8"/>
      <c r="M2454" s="8"/>
    </row>
    <row r="2455" spans="1:13">
      <c r="A2455" s="13" t="s">
        <v>5248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1774</v>
      </c>
      <c r="H2455" s="9"/>
      <c r="I2455" s="8"/>
      <c r="J2455" s="8"/>
      <c r="K2455" s="8"/>
      <c r="L2455" s="8"/>
      <c r="M2455" s="8"/>
    </row>
    <row r="2456" spans="1:13">
      <c r="A2456" s="71" t="s">
        <v>5249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5250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1774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5251</v>
      </c>
      <c r="B2458" s="67">
        <v>7143855901</v>
      </c>
      <c r="C2458" s="18" t="s">
        <v>1887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5252</v>
      </c>
      <c r="B2459" s="67"/>
      <c r="C2459" s="29" t="s">
        <v>1887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5253</v>
      </c>
      <c r="B2460" s="67">
        <v>5365375505</v>
      </c>
      <c r="C2460" s="68" t="s">
        <v>5254</v>
      </c>
      <c r="D2460" s="69">
        <v>34658162857</v>
      </c>
      <c r="E2460" s="9">
        <v>1128</v>
      </c>
      <c r="F2460" s="25">
        <v>42972</v>
      </c>
      <c r="G2460" s="70" t="s">
        <v>1774</v>
      </c>
      <c r="H2460" s="9"/>
      <c r="I2460" s="8"/>
      <c r="J2460" s="8"/>
      <c r="K2460" s="8"/>
      <c r="L2460" s="8"/>
      <c r="M2460" s="8"/>
    </row>
    <row r="2461" spans="1:13">
      <c r="A2461" s="18" t="s">
        <v>5255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5256</v>
      </c>
      <c r="B2462" s="67">
        <v>66691990404</v>
      </c>
      <c r="C2462" s="29" t="s">
        <v>5257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5258</v>
      </c>
      <c r="B2463" s="67">
        <v>60347000355</v>
      </c>
      <c r="C2463" s="72" t="s">
        <v>5259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5260</v>
      </c>
      <c r="B2464" s="67">
        <v>37467543808</v>
      </c>
      <c r="C2464" s="72" t="s">
        <v>5261</v>
      </c>
      <c r="D2464" s="69">
        <v>40552745804</v>
      </c>
      <c r="E2464" s="9">
        <v>229</v>
      </c>
      <c r="F2464" s="25">
        <v>43151</v>
      </c>
      <c r="G2464" s="70" t="s">
        <v>1774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5262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5263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5264</v>
      </c>
      <c r="B2467" s="67"/>
      <c r="C2467" s="18" t="s">
        <v>1887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5265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1774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5266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5267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5268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5269</v>
      </c>
      <c r="B2472" s="67"/>
      <c r="C2472" s="18" t="s">
        <v>1887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5270</v>
      </c>
      <c r="B2473" s="67">
        <v>34907942818</v>
      </c>
      <c r="C2473" s="72" t="s">
        <v>5271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5272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5273</v>
      </c>
      <c r="B2475" s="67">
        <v>40642684820</v>
      </c>
      <c r="C2475" s="72" t="s">
        <v>5274</v>
      </c>
      <c r="D2475" s="69">
        <v>43189527890</v>
      </c>
      <c r="E2475" s="9">
        <v>292</v>
      </c>
      <c r="F2475" s="25">
        <v>43168</v>
      </c>
      <c r="G2475" s="70" t="s">
        <v>1774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5275</v>
      </c>
      <c r="B2476" s="67">
        <v>36401343893</v>
      </c>
      <c r="C2476" s="72" t="s">
        <v>5276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2057</v>
      </c>
      <c r="M2476" s="8"/>
    </row>
    <row r="2477" spans="1:13">
      <c r="A2477" s="15" t="s">
        <v>5277</v>
      </c>
      <c r="B2477" s="67">
        <v>10413301460</v>
      </c>
      <c r="C2477" s="72" t="s">
        <v>5278</v>
      </c>
      <c r="D2477" s="69">
        <v>10931047404</v>
      </c>
      <c r="E2477" s="9">
        <v>117</v>
      </c>
      <c r="F2477" s="25">
        <v>43117</v>
      </c>
      <c r="G2477" s="70" t="s">
        <v>1774</v>
      </c>
      <c r="H2477" s="9"/>
      <c r="I2477" s="8"/>
      <c r="J2477" s="8"/>
      <c r="K2477" s="8"/>
      <c r="L2477" s="9" t="s">
        <v>1928</v>
      </c>
      <c r="M2477" s="8"/>
    </row>
    <row r="2478" spans="1:13">
      <c r="A2478" s="15" t="s">
        <v>5279</v>
      </c>
      <c r="B2478" s="67">
        <v>42030087866</v>
      </c>
      <c r="C2478" s="72" t="s">
        <v>5280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5281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5282</v>
      </c>
      <c r="B2480" s="67">
        <v>38302413801</v>
      </c>
      <c r="C2480" s="77" t="s">
        <v>5283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5284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1774</v>
      </c>
      <c r="H2481" s="9"/>
      <c r="I2481" s="8"/>
      <c r="J2481" s="8"/>
      <c r="K2481" s="8"/>
      <c r="L2481" s="9" t="s">
        <v>1896</v>
      </c>
      <c r="M2481" s="8"/>
    </row>
    <row r="2482" spans="1:13">
      <c r="A2482" s="71" t="s">
        <v>5285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5286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1780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5287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5288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5289</v>
      </c>
      <c r="B2486" s="67">
        <v>34034498315</v>
      </c>
      <c r="C2486" s="72" t="s">
        <v>5290</v>
      </c>
      <c r="D2486" s="69">
        <v>30620015349</v>
      </c>
      <c r="E2486" s="9">
        <v>1470</v>
      </c>
      <c r="F2486" s="25">
        <v>43031</v>
      </c>
      <c r="G2486" s="70" t="s">
        <v>1774</v>
      </c>
      <c r="H2486" s="9"/>
      <c r="I2486" s="8"/>
      <c r="J2486" s="8"/>
      <c r="K2486" s="8"/>
      <c r="L2486" s="8"/>
      <c r="M2486" s="8"/>
    </row>
    <row r="2487" spans="1:13">
      <c r="A2487" s="71" t="s">
        <v>5291</v>
      </c>
      <c r="B2487" s="67">
        <v>38027861810</v>
      </c>
      <c r="C2487" s="72" t="s">
        <v>5292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5293</v>
      </c>
      <c r="B2488" s="67">
        <v>34557275818</v>
      </c>
      <c r="C2488" s="72" t="s">
        <v>5294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5295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1774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5296</v>
      </c>
      <c r="B2490" s="67"/>
      <c r="C2490" s="29" t="s">
        <v>5297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5298</v>
      </c>
      <c r="B2491" s="67">
        <v>40298877830</v>
      </c>
      <c r="C2491" s="72" t="s">
        <v>5299</v>
      </c>
      <c r="D2491" s="69">
        <v>5551703576</v>
      </c>
      <c r="E2491" s="9">
        <v>262</v>
      </c>
      <c r="F2491" s="25">
        <v>43160</v>
      </c>
      <c r="G2491" s="70" t="s">
        <v>1774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5300</v>
      </c>
      <c r="B2492" s="67">
        <v>36295512895</v>
      </c>
      <c r="C2492" s="72" t="s">
        <v>5301</v>
      </c>
      <c r="D2492" s="69">
        <v>29129585805</v>
      </c>
      <c r="E2492" s="9">
        <v>292</v>
      </c>
      <c r="F2492" s="25">
        <v>43168</v>
      </c>
      <c r="G2492" s="70" t="s">
        <v>1774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5302</v>
      </c>
      <c r="B2493" s="67">
        <v>13188101830</v>
      </c>
      <c r="C2493" s="72" t="s">
        <v>5303</v>
      </c>
      <c r="D2493" s="69">
        <v>55072399320</v>
      </c>
      <c r="E2493" s="9">
        <v>1752</v>
      </c>
      <c r="F2493" s="25">
        <v>43051</v>
      </c>
      <c r="G2493" s="70" t="s">
        <v>1780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5304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5305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1774</v>
      </c>
      <c r="H2495" s="9"/>
      <c r="I2495" s="8"/>
      <c r="J2495" s="8"/>
      <c r="K2495" s="8"/>
      <c r="L2495" s="9" t="s">
        <v>1918</v>
      </c>
      <c r="M2495" s="8"/>
    </row>
    <row r="2496" spans="1:13">
      <c r="A2496" s="71" t="s">
        <v>5306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5307</v>
      </c>
      <c r="B2497" s="67">
        <v>18468597864</v>
      </c>
      <c r="C2497" s="72" t="s">
        <v>5308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5309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1774</v>
      </c>
      <c r="H2498" s="9"/>
      <c r="I2498" s="8"/>
      <c r="J2498" s="8"/>
      <c r="K2498" s="8"/>
      <c r="L2498" s="8"/>
      <c r="M2498" s="8"/>
    </row>
    <row r="2499" spans="1:13">
      <c r="A2499" s="15" t="s">
        <v>5310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5311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5312</v>
      </c>
      <c r="B2501" s="67">
        <v>23134916843</v>
      </c>
      <c r="C2501" s="72" t="s">
        <v>5313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5314</v>
      </c>
      <c r="B2502" s="67">
        <v>60939966468</v>
      </c>
      <c r="C2502" s="72" t="s">
        <v>5315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5316</v>
      </c>
      <c r="B2503" s="67"/>
      <c r="C2503" s="29" t="s">
        <v>5317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5318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5319</v>
      </c>
      <c r="B2505" s="67">
        <v>33594407810</v>
      </c>
      <c r="C2505" s="68" t="s">
        <v>5320</v>
      </c>
      <c r="D2505" s="69">
        <v>5613611777</v>
      </c>
      <c r="E2505" s="9">
        <v>1128</v>
      </c>
      <c r="F2505" s="25">
        <v>42972</v>
      </c>
      <c r="G2505" s="70" t="s">
        <v>1774</v>
      </c>
      <c r="H2505" s="9"/>
      <c r="I2505" s="8"/>
      <c r="J2505" s="8"/>
      <c r="K2505" s="8"/>
      <c r="L2505" s="8"/>
      <c r="M2505" s="8"/>
    </row>
    <row r="2506" spans="1:13">
      <c r="A2506" s="71" t="s">
        <v>5321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1774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5322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5323</v>
      </c>
      <c r="B2508" s="67">
        <v>38404903832</v>
      </c>
      <c r="C2508" s="72" t="s">
        <v>5324</v>
      </c>
      <c r="D2508" s="69">
        <v>35612360819</v>
      </c>
      <c r="E2508" s="9">
        <v>810</v>
      </c>
      <c r="F2508" s="25">
        <v>42915</v>
      </c>
      <c r="G2508" s="70" t="s">
        <v>1774</v>
      </c>
      <c r="H2508" s="9"/>
      <c r="I2508" s="8"/>
      <c r="J2508" s="8"/>
      <c r="K2508" s="8"/>
      <c r="L2508" s="9" t="s">
        <v>1896</v>
      </c>
      <c r="M2508" s="8"/>
    </row>
    <row r="2509" spans="1:13">
      <c r="A2509" s="71" t="s">
        <v>5325</v>
      </c>
      <c r="B2509" s="67">
        <v>33198410843</v>
      </c>
      <c r="C2509" s="72" t="s">
        <v>5326</v>
      </c>
      <c r="D2509" s="69">
        <v>32853865843</v>
      </c>
      <c r="E2509" s="9">
        <v>810</v>
      </c>
      <c r="F2509" s="25">
        <v>42915</v>
      </c>
      <c r="G2509" s="70" t="s">
        <v>1774</v>
      </c>
      <c r="H2509" s="9"/>
      <c r="I2509" s="8"/>
      <c r="J2509" s="8"/>
      <c r="K2509" s="8"/>
      <c r="L2509" s="9" t="s">
        <v>1896</v>
      </c>
      <c r="M2509" s="8"/>
    </row>
    <row r="2510" spans="1:13">
      <c r="A2510" s="71" t="s">
        <v>5327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1774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5328</v>
      </c>
      <c r="B2511" s="67">
        <v>46962268831</v>
      </c>
      <c r="C2511" s="72" t="s">
        <v>5329</v>
      </c>
      <c r="D2511" s="69">
        <v>40564058831</v>
      </c>
      <c r="E2511" s="9">
        <v>1752</v>
      </c>
      <c r="F2511" s="25">
        <v>43051</v>
      </c>
      <c r="G2511" s="70" t="s">
        <v>1788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5330</v>
      </c>
      <c r="B2512" s="67">
        <v>33337344860</v>
      </c>
      <c r="C2512" s="72" t="s">
        <v>5331</v>
      </c>
      <c r="D2512" s="69">
        <v>33436663867</v>
      </c>
      <c r="E2512" s="9">
        <v>810</v>
      </c>
      <c r="F2512" s="25">
        <v>42915</v>
      </c>
      <c r="G2512" s="70" t="s">
        <v>1774</v>
      </c>
      <c r="H2512" s="9"/>
      <c r="I2512" s="8"/>
      <c r="J2512" s="8"/>
      <c r="K2512" s="8"/>
      <c r="L2512" s="9" t="s">
        <v>1896</v>
      </c>
      <c r="M2512" s="8"/>
    </row>
    <row r="2513" spans="1:13">
      <c r="A2513" s="14" t="s">
        <v>5332</v>
      </c>
      <c r="B2513" s="67">
        <v>11587518694</v>
      </c>
      <c r="C2513" s="72" t="s">
        <v>5333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5334</v>
      </c>
      <c r="B2514" s="67">
        <v>37957151809</v>
      </c>
      <c r="C2514" s="72" t="s">
        <v>5335</v>
      </c>
      <c r="D2514" s="69">
        <v>28342788814</v>
      </c>
      <c r="E2514" s="9">
        <v>1570</v>
      </c>
      <c r="F2514" s="25">
        <v>43077</v>
      </c>
      <c r="G2514" s="70" t="s">
        <v>1774</v>
      </c>
      <c r="H2514" s="9"/>
      <c r="I2514" s="8"/>
      <c r="J2514" s="8"/>
      <c r="K2514" s="8"/>
      <c r="L2514" s="8"/>
      <c r="M2514" s="8"/>
    </row>
    <row r="2515" spans="1:13">
      <c r="A2515" s="71" t="s">
        <v>5336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2057</v>
      </c>
      <c r="M2515" s="8"/>
    </row>
    <row r="2516" spans="1:13">
      <c r="A2516" s="29" t="s">
        <v>5337</v>
      </c>
      <c r="B2516" s="67">
        <v>35434226852</v>
      </c>
      <c r="C2516" s="29" t="s">
        <v>5338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5339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5340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1774</v>
      </c>
      <c r="H2518" s="9"/>
      <c r="I2518" s="8"/>
      <c r="J2518" s="8"/>
      <c r="K2518" s="8"/>
      <c r="L2518" s="8"/>
      <c r="M2518" s="8"/>
    </row>
    <row r="2519" spans="1:13">
      <c r="A2519" s="15" t="s">
        <v>5341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5342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5343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5344</v>
      </c>
      <c r="B2522" s="67">
        <v>31989585809</v>
      </c>
      <c r="C2522" s="72" t="s">
        <v>5345</v>
      </c>
      <c r="D2522" s="69">
        <v>4312861919</v>
      </c>
      <c r="E2522" s="9">
        <v>1824</v>
      </c>
      <c r="F2522" s="25">
        <v>43091</v>
      </c>
      <c r="G2522" s="70" t="s">
        <v>1788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5346</v>
      </c>
      <c r="B2523" s="67">
        <v>30264611802</v>
      </c>
      <c r="C2523" s="29" t="s">
        <v>5347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5348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1774</v>
      </c>
      <c r="H2524" s="9"/>
      <c r="I2524" s="8"/>
      <c r="J2524" s="8"/>
      <c r="K2524" s="8"/>
      <c r="L2524" s="8"/>
      <c r="M2524" s="8"/>
    </row>
    <row r="2525" spans="1:13">
      <c r="A2525" s="71" t="s">
        <v>5349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5350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5351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5352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5353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5354</v>
      </c>
      <c r="B2530" s="67">
        <v>31117169880</v>
      </c>
      <c r="C2530" s="72" t="s">
        <v>5355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5356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1774</v>
      </c>
      <c r="H2531" s="9"/>
      <c r="I2531" s="8"/>
      <c r="J2531" s="8"/>
      <c r="K2531" s="8"/>
      <c r="L2531" s="9" t="s">
        <v>1928</v>
      </c>
      <c r="M2531" s="8"/>
    </row>
    <row r="2532" spans="1:13">
      <c r="A2532" s="29" t="s">
        <v>5357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5358</v>
      </c>
      <c r="B2533" s="67">
        <v>34800386896</v>
      </c>
      <c r="C2533" s="72" t="s">
        <v>5359</v>
      </c>
      <c r="D2533" s="69">
        <v>33748068808</v>
      </c>
      <c r="E2533" s="9">
        <v>810</v>
      </c>
      <c r="F2533" s="25">
        <v>42915</v>
      </c>
      <c r="G2533" s="70" t="s">
        <v>1774</v>
      </c>
      <c r="H2533" s="9"/>
      <c r="I2533" s="8"/>
      <c r="J2533" s="8"/>
      <c r="K2533" s="8"/>
      <c r="L2533" s="9" t="s">
        <v>1896</v>
      </c>
      <c r="M2533" s="8"/>
    </row>
    <row r="2534" spans="1:13">
      <c r="A2534" s="72" t="s">
        <v>5360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5361</v>
      </c>
      <c r="B2535" s="67">
        <v>38858760867</v>
      </c>
      <c r="C2535" s="68" t="s">
        <v>5362</v>
      </c>
      <c r="D2535" s="69">
        <v>37279553842</v>
      </c>
      <c r="E2535" s="9">
        <v>1128</v>
      </c>
      <c r="F2535" s="25">
        <v>42972</v>
      </c>
      <c r="G2535" s="70" t="s">
        <v>1774</v>
      </c>
      <c r="H2535" s="9"/>
      <c r="I2535" s="8"/>
      <c r="J2535" s="8"/>
      <c r="K2535" s="8"/>
      <c r="L2535" s="8"/>
      <c r="M2535" s="8"/>
    </row>
    <row r="2536" spans="1:13">
      <c r="A2536" s="29" t="s">
        <v>5363</v>
      </c>
      <c r="B2536" s="67">
        <v>43621579800</v>
      </c>
      <c r="C2536" s="29" t="s">
        <v>1887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5364</v>
      </c>
      <c r="B2537" s="67">
        <v>37412192825</v>
      </c>
      <c r="C2537" s="72" t="s">
        <v>5365</v>
      </c>
      <c r="D2537" s="69">
        <v>27576214830</v>
      </c>
      <c r="E2537" s="9">
        <v>1489</v>
      </c>
      <c r="F2537" s="25">
        <v>43038</v>
      </c>
      <c r="G2537" s="70" t="s">
        <v>1774</v>
      </c>
      <c r="H2537" s="9"/>
      <c r="I2537" s="8"/>
      <c r="J2537" s="8"/>
      <c r="K2537" s="8"/>
      <c r="L2537" s="9" t="s">
        <v>1918</v>
      </c>
      <c r="M2537" s="8"/>
    </row>
    <row r="2538" spans="1:13">
      <c r="A2538" s="71" t="s">
        <v>5366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1774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5367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1774</v>
      </c>
      <c r="H2539" s="9"/>
      <c r="I2539" s="8"/>
      <c r="J2539" s="8"/>
      <c r="K2539" s="8"/>
      <c r="L2539" s="9" t="s">
        <v>1896</v>
      </c>
      <c r="M2539" s="8"/>
    </row>
    <row r="2540" spans="1:13">
      <c r="A2540" s="71" t="s">
        <v>5368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5369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5370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5371</v>
      </c>
      <c r="B2543" s="67">
        <v>36613563803</v>
      </c>
      <c r="C2543" s="72" t="s">
        <v>5372</v>
      </c>
      <c r="D2543" s="69">
        <v>27798369899</v>
      </c>
      <c r="E2543" s="9">
        <v>292</v>
      </c>
      <c r="F2543" s="25">
        <v>43168</v>
      </c>
      <c r="G2543" s="70" t="s">
        <v>1774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5373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5374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1774</v>
      </c>
      <c r="H2545" s="9"/>
      <c r="I2545" s="8"/>
      <c r="J2545" s="8"/>
      <c r="K2545" s="8"/>
      <c r="L2545" s="9" t="s">
        <v>1896</v>
      </c>
      <c r="M2545" s="8"/>
    </row>
    <row r="2546" spans="1:13" ht="30">
      <c r="A2546" s="91" t="s">
        <v>5375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1774</v>
      </c>
      <c r="H2546" s="9"/>
      <c r="I2546" s="8"/>
      <c r="J2546" s="8"/>
      <c r="K2546" s="8"/>
      <c r="L2546" s="8"/>
      <c r="M2546" s="8"/>
    </row>
    <row r="2547" spans="1:13">
      <c r="A2547" s="15" t="s">
        <v>5376</v>
      </c>
      <c r="B2547" s="67">
        <v>2950068545</v>
      </c>
      <c r="C2547" s="15" t="s">
        <v>5377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5378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1774</v>
      </c>
      <c r="H2548" s="9"/>
      <c r="I2548" s="8"/>
      <c r="J2548" s="8"/>
      <c r="K2548" s="8"/>
      <c r="L2548" s="8"/>
      <c r="M2548" s="8"/>
    </row>
    <row r="2549" spans="1:13">
      <c r="A2549" s="71" t="s">
        <v>5379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1780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5380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5381</v>
      </c>
      <c r="B2551" s="67">
        <v>44618522453</v>
      </c>
      <c r="C2551" s="68" t="s">
        <v>5382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5383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1774</v>
      </c>
      <c r="H2552" s="9"/>
      <c r="I2552" s="8"/>
      <c r="J2552" s="8"/>
      <c r="K2552" s="8"/>
      <c r="L2552" s="9" t="s">
        <v>1928</v>
      </c>
      <c r="M2552" s="8"/>
    </row>
    <row r="2553" spans="1:13">
      <c r="A2553" s="71" t="s">
        <v>5384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1774</v>
      </c>
      <c r="H2553" s="9"/>
      <c r="I2553" s="8"/>
      <c r="J2553" s="8"/>
      <c r="K2553" s="8"/>
      <c r="L2553" s="9" t="s">
        <v>2011</v>
      </c>
      <c r="M2553" s="8"/>
    </row>
    <row r="2554" spans="1:13">
      <c r="A2554" s="71" t="s">
        <v>5385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5386</v>
      </c>
      <c r="B2555" s="67">
        <v>26333731862</v>
      </c>
      <c r="C2555" s="72" t="s">
        <v>5387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5388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2057</v>
      </c>
      <c r="M2556" s="8"/>
    </row>
    <row r="2557" spans="1:13">
      <c r="A2557" s="71" t="s">
        <v>5389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1774</v>
      </c>
      <c r="H2557" s="9"/>
      <c r="I2557" s="8"/>
      <c r="J2557" s="8"/>
      <c r="K2557" s="8"/>
      <c r="L2557" s="8"/>
      <c r="M2557" s="8"/>
    </row>
    <row r="2558" spans="1:13">
      <c r="A2558" s="71" t="s">
        <v>5390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5391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1774</v>
      </c>
      <c r="H2559" s="9"/>
      <c r="I2559" s="8"/>
      <c r="J2559" s="8"/>
      <c r="K2559" s="8"/>
      <c r="L2559" s="8"/>
      <c r="M2559" s="8"/>
    </row>
    <row r="2560" spans="1:13">
      <c r="A2560" s="71" t="s">
        <v>5392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1774</v>
      </c>
      <c r="H2560" s="9"/>
      <c r="I2560" s="8"/>
      <c r="J2560" s="8"/>
      <c r="K2560" s="8"/>
      <c r="L2560" s="8"/>
      <c r="M2560" s="8"/>
    </row>
    <row r="2561" spans="1:13">
      <c r="A2561" s="84" t="s">
        <v>5393</v>
      </c>
      <c r="B2561" s="67">
        <v>2035513545</v>
      </c>
      <c r="C2561" s="77" t="s">
        <v>5394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5395</v>
      </c>
      <c r="B2562" s="67">
        <v>32375610881</v>
      </c>
      <c r="C2562" s="72" t="s">
        <v>5396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5397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5398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1774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5399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5400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1774</v>
      </c>
      <c r="H2566" s="9"/>
      <c r="I2566" s="8"/>
      <c r="J2566" s="8"/>
      <c r="K2566" s="8"/>
      <c r="L2566" s="9" t="s">
        <v>1918</v>
      </c>
      <c r="M2566" s="8"/>
    </row>
    <row r="2567" spans="1:13">
      <c r="A2567" s="71" t="s">
        <v>5401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5402</v>
      </c>
      <c r="B2568" s="67">
        <v>28040254892</v>
      </c>
      <c r="C2568" s="72" t="s">
        <v>5403</v>
      </c>
      <c r="D2568" s="69">
        <v>27414145808</v>
      </c>
      <c r="E2568" s="9">
        <v>810</v>
      </c>
      <c r="F2568" s="25">
        <v>42915</v>
      </c>
      <c r="G2568" s="70" t="s">
        <v>1774</v>
      </c>
      <c r="H2568" s="25">
        <v>42921</v>
      </c>
      <c r="I2568" s="8"/>
      <c r="J2568" s="8"/>
      <c r="K2568" s="8"/>
      <c r="L2568" s="9" t="s">
        <v>1896</v>
      </c>
      <c r="M2568" s="8"/>
    </row>
    <row r="2569" spans="1:13">
      <c r="A2569" s="71" t="s">
        <v>5404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5405</v>
      </c>
      <c r="B2570" s="67">
        <v>19585439859</v>
      </c>
      <c r="C2570" s="72" t="s">
        <v>5406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5407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5408</v>
      </c>
      <c r="B2572" s="67">
        <v>33167057831</v>
      </c>
      <c r="C2572" s="18" t="s">
        <v>1887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5409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1774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5410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5411</v>
      </c>
      <c r="B2575" s="67">
        <v>41360953841</v>
      </c>
      <c r="C2575" s="72" t="s">
        <v>5412</v>
      </c>
      <c r="D2575" s="69">
        <v>39212484859</v>
      </c>
      <c r="E2575" s="9">
        <v>117</v>
      </c>
      <c r="F2575" s="25">
        <v>43117</v>
      </c>
      <c r="G2575" s="70" t="s">
        <v>1774</v>
      </c>
      <c r="H2575" s="25">
        <v>43151</v>
      </c>
      <c r="I2575" s="8"/>
      <c r="J2575" s="8"/>
      <c r="K2575" s="8"/>
      <c r="L2575" s="9" t="s">
        <v>1928</v>
      </c>
      <c r="M2575" s="8"/>
    </row>
    <row r="2576" spans="1:13">
      <c r="A2576" s="15" t="s">
        <v>5413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5414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5415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1774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5416</v>
      </c>
      <c r="B2579" s="67"/>
      <c r="C2579" s="29" t="s">
        <v>1887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5417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5418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5419</v>
      </c>
      <c r="B2582" s="67">
        <v>39407601889</v>
      </c>
      <c r="C2582" s="72" t="s">
        <v>5420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5421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5422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5423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1774</v>
      </c>
      <c r="H2585" s="25">
        <v>42921</v>
      </c>
      <c r="I2585" s="8"/>
      <c r="J2585" s="8"/>
      <c r="K2585" s="8"/>
      <c r="L2585" s="9" t="s">
        <v>1896</v>
      </c>
      <c r="M2585" s="8"/>
    </row>
    <row r="2586" spans="1:13">
      <c r="A2586" s="71" t="s">
        <v>5424</v>
      </c>
      <c r="B2586" s="67">
        <v>40831453826</v>
      </c>
      <c r="C2586" s="72" t="s">
        <v>5425</v>
      </c>
      <c r="D2586" s="69">
        <v>41787837858</v>
      </c>
      <c r="E2586" s="9">
        <v>1214</v>
      </c>
      <c r="F2586" s="25">
        <v>42989</v>
      </c>
      <c r="G2586" s="70" t="s">
        <v>1774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5426</v>
      </c>
      <c r="B2587" s="67">
        <v>23043868811</v>
      </c>
      <c r="C2587" s="18" t="s">
        <v>5427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5428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5429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5430</v>
      </c>
      <c r="B2590" s="67">
        <v>11739082850</v>
      </c>
      <c r="C2590" s="72" t="s">
        <v>5431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5432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5433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1774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5434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5435</v>
      </c>
      <c r="B2594" s="67">
        <v>36782552809</v>
      </c>
      <c r="C2594" s="72" t="s">
        <v>5436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5437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5438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1774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5439</v>
      </c>
      <c r="B2597" s="67">
        <v>28249902874</v>
      </c>
      <c r="C2597" s="29" t="s">
        <v>5440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5441</v>
      </c>
      <c r="B2598" s="67">
        <v>36169238836</v>
      </c>
      <c r="C2598" s="77" t="s">
        <v>5442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5443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5444</v>
      </c>
      <c r="B2600" s="67">
        <v>30886267870</v>
      </c>
      <c r="C2600" s="29" t="s">
        <v>5445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5446</v>
      </c>
      <c r="B2601" s="67"/>
      <c r="C2601" s="29" t="s">
        <v>5447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5448</v>
      </c>
      <c r="B2602" s="67">
        <v>26107569847</v>
      </c>
      <c r="C2602" s="77" t="s">
        <v>5449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5450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1774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5451</v>
      </c>
      <c r="B2604" s="67">
        <v>13516251875</v>
      </c>
      <c r="C2604" s="68" t="s">
        <v>5452</v>
      </c>
      <c r="D2604" s="69">
        <v>10146756851</v>
      </c>
      <c r="E2604" s="9">
        <v>1214</v>
      </c>
      <c r="F2604" s="25">
        <v>42989</v>
      </c>
      <c r="G2604" s="70" t="s">
        <v>1774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5453</v>
      </c>
      <c r="B2605" s="67">
        <v>3597715486</v>
      </c>
      <c r="C2605" s="72" t="s">
        <v>5454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5455</v>
      </c>
      <c r="B2606" s="67">
        <v>1563161532</v>
      </c>
      <c r="C2606" s="68" t="s">
        <v>5456</v>
      </c>
      <c r="D2606" s="69">
        <v>92557732591</v>
      </c>
      <c r="E2606" s="9">
        <v>1128</v>
      </c>
      <c r="F2606" s="25">
        <v>42972</v>
      </c>
      <c r="G2606" s="70" t="s">
        <v>1774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5457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5458</v>
      </c>
      <c r="B2608" s="67">
        <v>31914362861</v>
      </c>
      <c r="C2608" s="72" t="s">
        <v>5459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2057</v>
      </c>
      <c r="M2608" s="8"/>
    </row>
    <row r="2609" spans="1:13">
      <c r="A2609" s="18" t="s">
        <v>5460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5461</v>
      </c>
      <c r="B2610" s="67">
        <v>35218693855</v>
      </c>
      <c r="C2610" s="72" t="s">
        <v>5462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5463</v>
      </c>
      <c r="B2611" s="67">
        <v>30947166874</v>
      </c>
      <c r="C2611" s="72" t="s">
        <v>5464</v>
      </c>
      <c r="D2611" s="69">
        <v>1304805506</v>
      </c>
      <c r="E2611" s="9">
        <v>1241</v>
      </c>
      <c r="F2611" s="25">
        <v>42992</v>
      </c>
      <c r="G2611" s="70" t="s">
        <v>1774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5465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5466</v>
      </c>
      <c r="B2613" s="67">
        <v>3632265593</v>
      </c>
      <c r="C2613" s="72" t="s">
        <v>5467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5468</v>
      </c>
      <c r="B2614" s="67">
        <v>9500687801</v>
      </c>
      <c r="C2614" s="77" t="s">
        <v>5469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2057</v>
      </c>
      <c r="M2614" s="8"/>
    </row>
    <row r="2615" spans="1:13">
      <c r="A2615" s="71" t="s">
        <v>5470</v>
      </c>
      <c r="B2615" s="67">
        <v>78808405400</v>
      </c>
      <c r="C2615" s="72" t="s">
        <v>5471</v>
      </c>
      <c r="D2615" s="69">
        <v>6840084400</v>
      </c>
      <c r="E2615" s="9">
        <v>1824</v>
      </c>
      <c r="F2615" s="25">
        <v>43091</v>
      </c>
      <c r="G2615" s="70" t="s">
        <v>1774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5472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5473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5474</v>
      </c>
      <c r="B2618" s="67">
        <v>37500289820</v>
      </c>
      <c r="C2618" s="68" t="s">
        <v>5475</v>
      </c>
      <c r="D2618" s="69">
        <v>26607571867</v>
      </c>
      <c r="E2618" s="9">
        <v>1350</v>
      </c>
      <c r="F2618" s="25">
        <v>43006</v>
      </c>
      <c r="G2618" s="70" t="s">
        <v>1774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5476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5477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1774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5478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5479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1774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5480</v>
      </c>
      <c r="B2623" s="67">
        <v>8192130800</v>
      </c>
      <c r="C2623" s="72" t="s">
        <v>5481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5482</v>
      </c>
      <c r="B2624" s="67">
        <v>26853070879</v>
      </c>
      <c r="C2624" s="18" t="s">
        <v>5483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5484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1774</v>
      </c>
      <c r="H2625" s="25">
        <v>43027</v>
      </c>
      <c r="I2625" s="8"/>
      <c r="J2625" s="8"/>
      <c r="K2625" s="8"/>
      <c r="L2625" s="9" t="s">
        <v>2011</v>
      </c>
      <c r="M2625" s="8"/>
    </row>
    <row r="2626" spans="1:13">
      <c r="A2626" s="13" t="s">
        <v>5485</v>
      </c>
      <c r="B2626" s="67">
        <v>27440063864</v>
      </c>
      <c r="C2626" s="68" t="s">
        <v>5486</v>
      </c>
      <c r="D2626" s="69">
        <v>66533287400</v>
      </c>
      <c r="E2626" s="9">
        <v>1241</v>
      </c>
      <c r="F2626" s="25">
        <v>42992</v>
      </c>
      <c r="G2626" s="70" t="s">
        <v>1774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5487</v>
      </c>
      <c r="B2627" s="67">
        <v>32362879852</v>
      </c>
      <c r="C2627" s="72" t="s">
        <v>5488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2057</v>
      </c>
      <c r="M2627" s="8"/>
    </row>
    <row r="2628" spans="1:13">
      <c r="A2628" s="15" t="s">
        <v>5489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5490</v>
      </c>
      <c r="B2629" s="67">
        <v>37904123843</v>
      </c>
      <c r="C2629" s="72" t="s">
        <v>5491</v>
      </c>
      <c r="D2629" s="69">
        <v>16565739897</v>
      </c>
      <c r="E2629" s="9">
        <v>292</v>
      </c>
      <c r="F2629" s="25">
        <v>43168</v>
      </c>
      <c r="G2629" s="70" t="s">
        <v>1774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5492</v>
      </c>
      <c r="B2630" s="67">
        <v>30775860883</v>
      </c>
      <c r="C2630" s="72" t="s">
        <v>5493</v>
      </c>
      <c r="D2630" s="69">
        <v>34227894808</v>
      </c>
      <c r="E2630" s="9">
        <v>1359</v>
      </c>
      <c r="F2630" s="25">
        <v>43006</v>
      </c>
      <c r="G2630" s="70" t="s">
        <v>1774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5494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5495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1774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5496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5497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5498</v>
      </c>
      <c r="B2635" s="67">
        <v>29287401802</v>
      </c>
      <c r="C2635" s="72" t="s">
        <v>5499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5377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1774</v>
      </c>
      <c r="H2636" s="25">
        <v>43151</v>
      </c>
      <c r="I2636" s="8"/>
      <c r="J2636" s="8"/>
      <c r="K2636" s="8"/>
      <c r="L2636" s="9" t="s">
        <v>1928</v>
      </c>
      <c r="M2636" s="8"/>
    </row>
    <row r="2637" spans="1:13">
      <c r="A2637" s="71" t="s">
        <v>5500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5501</v>
      </c>
      <c r="B2638" s="67">
        <v>36051425837</v>
      </c>
      <c r="C2638" s="77" t="s">
        <v>5502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5503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5504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2057</v>
      </c>
      <c r="M2640" s="8"/>
    </row>
    <row r="2641" spans="1:13">
      <c r="A2641" s="72" t="s">
        <v>5505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5506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1774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5507</v>
      </c>
      <c r="B2643" s="67">
        <v>3212055375</v>
      </c>
      <c r="C2643" s="77" t="s">
        <v>5508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5509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1774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5510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5511</v>
      </c>
      <c r="B2646" s="67">
        <v>11452168890</v>
      </c>
      <c r="C2646" s="72" t="s">
        <v>5512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5513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5514</v>
      </c>
      <c r="B2648" s="67">
        <v>31856157865</v>
      </c>
      <c r="C2648" s="72" t="s">
        <v>5515</v>
      </c>
      <c r="D2648" s="69">
        <v>94552967568</v>
      </c>
      <c r="E2648" s="9">
        <v>810</v>
      </c>
      <c r="F2648" s="25">
        <v>42915</v>
      </c>
      <c r="G2648" s="70" t="s">
        <v>1774</v>
      </c>
      <c r="H2648" s="25">
        <v>42921</v>
      </c>
      <c r="I2648" s="8"/>
      <c r="J2648" s="8"/>
      <c r="K2648" s="8"/>
      <c r="L2648" s="9" t="s">
        <v>1896</v>
      </c>
      <c r="M2648" s="8"/>
    </row>
    <row r="2649" spans="1:13">
      <c r="A2649" s="71" t="s">
        <v>5516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5517</v>
      </c>
      <c r="B2650" s="67">
        <v>37478827810</v>
      </c>
      <c r="C2650" s="72" t="s">
        <v>5518</v>
      </c>
      <c r="D2650" s="69">
        <v>37591131842</v>
      </c>
      <c r="E2650" s="9">
        <v>292</v>
      </c>
      <c r="F2650" s="25">
        <v>43168</v>
      </c>
      <c r="G2650" s="70" t="s">
        <v>1774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5519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5520</v>
      </c>
      <c r="B2652" s="67">
        <v>23465596870</v>
      </c>
      <c r="C2652" s="72" t="s">
        <v>5521</v>
      </c>
      <c r="D2652" s="69">
        <v>23522451848</v>
      </c>
      <c r="E2652" s="9">
        <v>292</v>
      </c>
      <c r="F2652" s="25">
        <v>43168</v>
      </c>
      <c r="G2652" s="70" t="s">
        <v>1774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5522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2057</v>
      </c>
      <c r="M2653" s="8"/>
    </row>
    <row r="2654" spans="1:13">
      <c r="A2654" s="73" t="s">
        <v>5523</v>
      </c>
      <c r="B2654" s="67">
        <v>34274784835</v>
      </c>
      <c r="C2654" s="72" t="s">
        <v>5524</v>
      </c>
      <c r="D2654" s="69">
        <v>19379885890</v>
      </c>
      <c r="E2654" s="9">
        <v>810</v>
      </c>
      <c r="F2654" s="25">
        <v>42915</v>
      </c>
      <c r="G2654" s="70" t="s">
        <v>1774</v>
      </c>
      <c r="H2654" s="25">
        <v>42921</v>
      </c>
      <c r="I2654" s="8"/>
      <c r="J2654" s="8"/>
      <c r="K2654" s="8"/>
      <c r="L2654" s="9" t="s">
        <v>1896</v>
      </c>
      <c r="M2654" s="8"/>
    </row>
    <row r="2655" spans="1:13">
      <c r="A2655" s="71" t="s">
        <v>5525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1774</v>
      </c>
      <c r="H2655" s="25">
        <v>42921</v>
      </c>
      <c r="I2655" s="8"/>
      <c r="J2655" s="8"/>
      <c r="K2655" s="8"/>
      <c r="L2655" s="9" t="s">
        <v>1896</v>
      </c>
      <c r="M2655" s="8"/>
    </row>
    <row r="2656" spans="1:13">
      <c r="A2656" s="71" t="s">
        <v>5526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1774</v>
      </c>
      <c r="H2656" s="25">
        <v>42921</v>
      </c>
      <c r="I2656" s="8"/>
      <c r="J2656" s="8"/>
      <c r="K2656" s="8"/>
      <c r="L2656" s="9" t="s">
        <v>1896</v>
      </c>
      <c r="M2656" s="8"/>
    </row>
    <row r="2657" spans="1:13">
      <c r="A2657" s="71" t="s">
        <v>5527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1774</v>
      </c>
      <c r="H2657" s="25">
        <v>43151</v>
      </c>
      <c r="I2657" s="8"/>
      <c r="J2657" s="8"/>
      <c r="K2657" s="8"/>
      <c r="L2657" s="9" t="s">
        <v>1928</v>
      </c>
      <c r="M2657" s="8"/>
    </row>
    <row r="2658" spans="1:13">
      <c r="A2658" s="71" t="s">
        <v>5528</v>
      </c>
      <c r="B2658" s="67">
        <v>41491764856</v>
      </c>
      <c r="C2658" s="72" t="s">
        <v>5529</v>
      </c>
      <c r="D2658" s="69">
        <v>91076447520</v>
      </c>
      <c r="E2658" s="9">
        <v>292</v>
      </c>
      <c r="F2658" s="25">
        <v>43168</v>
      </c>
      <c r="G2658" s="70" t="s">
        <v>1774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5530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5531</v>
      </c>
      <c r="B2660" s="67">
        <v>32962624820</v>
      </c>
      <c r="C2660" s="72" t="s">
        <v>5532</v>
      </c>
      <c r="D2660" s="69">
        <v>3430918871</v>
      </c>
      <c r="E2660" s="9"/>
      <c r="F2660" s="25"/>
      <c r="G2660" s="70" t="s">
        <v>1774</v>
      </c>
      <c r="H2660" s="9"/>
      <c r="I2660" s="8"/>
      <c r="J2660" s="8"/>
      <c r="K2660" s="8"/>
      <c r="L2660" s="8"/>
      <c r="M2660" s="8"/>
    </row>
    <row r="2661" spans="1:13">
      <c r="A2661" s="71" t="s">
        <v>5533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1780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5534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5535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5536</v>
      </c>
      <c r="B2664" s="67" t="s">
        <v>5537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5538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1774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5539</v>
      </c>
      <c r="B2666" s="67">
        <v>99048957753</v>
      </c>
      <c r="C2666" s="29" t="s">
        <v>5540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5541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5542</v>
      </c>
      <c r="B2668" s="67">
        <v>11234152851</v>
      </c>
      <c r="C2668" s="72" t="s">
        <v>5543</v>
      </c>
      <c r="D2668" s="69">
        <v>11353668886</v>
      </c>
      <c r="E2668" s="9">
        <v>117</v>
      </c>
      <c r="F2668" s="25">
        <v>43117</v>
      </c>
      <c r="G2668" s="70" t="s">
        <v>1774</v>
      </c>
      <c r="H2668" s="25">
        <v>43151</v>
      </c>
      <c r="I2668" s="8"/>
      <c r="J2668" s="8"/>
      <c r="K2668" s="8"/>
      <c r="L2668" s="9" t="s">
        <v>1928</v>
      </c>
      <c r="M2668" s="8"/>
    </row>
    <row r="2669" spans="1:13">
      <c r="A2669" s="14" t="s">
        <v>5544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5545</v>
      </c>
      <c r="B2670" s="67">
        <v>39109326812</v>
      </c>
      <c r="C2670" s="29" t="s">
        <v>5546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5547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1774</v>
      </c>
      <c r="H2671" s="25">
        <v>42921</v>
      </c>
      <c r="I2671" s="8"/>
      <c r="J2671" s="8"/>
      <c r="K2671" s="8"/>
      <c r="L2671" s="9" t="s">
        <v>1896</v>
      </c>
      <c r="M2671" s="8"/>
    </row>
    <row r="2672" spans="1:13">
      <c r="A2672" s="71" t="s">
        <v>5548</v>
      </c>
      <c r="B2672" s="67">
        <v>33211970819</v>
      </c>
      <c r="C2672" s="72" t="s">
        <v>5549</v>
      </c>
      <c r="D2672" s="69">
        <v>22546816802</v>
      </c>
      <c r="E2672" s="9">
        <v>810</v>
      </c>
      <c r="F2672" s="25">
        <v>42915</v>
      </c>
      <c r="G2672" s="70" t="s">
        <v>1774</v>
      </c>
      <c r="H2672" s="25">
        <v>42921</v>
      </c>
      <c r="I2672" s="8"/>
      <c r="J2672" s="8"/>
      <c r="K2672" s="8"/>
      <c r="L2672" s="9" t="s">
        <v>1896</v>
      </c>
      <c r="M2672" s="8"/>
    </row>
    <row r="2673" spans="1:13">
      <c r="A2673" s="71" t="s">
        <v>5550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5551</v>
      </c>
      <c r="B2674" s="67">
        <v>45170442890</v>
      </c>
      <c r="C2674" s="18" t="s">
        <v>1887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5552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1774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5553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1774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5554</v>
      </c>
      <c r="B2677" s="67"/>
      <c r="C2677" s="71" t="s">
        <v>5555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5556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5557</v>
      </c>
      <c r="B2679" s="67"/>
      <c r="C2679" s="29" t="s">
        <v>1887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5558</v>
      </c>
      <c r="B2680" s="67">
        <v>1846996490</v>
      </c>
      <c r="C2680" s="72" t="s">
        <v>5559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5560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1774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5561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5562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1774</v>
      </c>
      <c r="H2683" s="25">
        <v>43027</v>
      </c>
      <c r="I2683" s="8"/>
      <c r="J2683" s="8"/>
      <c r="K2683" s="8"/>
      <c r="L2683" s="9" t="s">
        <v>2011</v>
      </c>
      <c r="M2683" s="8"/>
    </row>
    <row r="2684" spans="1:13">
      <c r="A2684" s="13" t="s">
        <v>5563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1774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5564</v>
      </c>
      <c r="B2685" s="67"/>
      <c r="C2685" s="29" t="s">
        <v>1887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5565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5566</v>
      </c>
      <c r="B2687" s="67">
        <v>18033634871</v>
      </c>
      <c r="C2687" s="72" t="s">
        <v>5567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5568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5569</v>
      </c>
      <c r="B2689" s="67">
        <v>16155105839</v>
      </c>
      <c r="C2689" s="72" t="s">
        <v>5570</v>
      </c>
      <c r="D2689" s="69">
        <v>53581717468</v>
      </c>
      <c r="E2689" s="9">
        <v>1359</v>
      </c>
      <c r="F2689" s="25">
        <v>43006</v>
      </c>
      <c r="G2689" s="70" t="s">
        <v>1774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5571</v>
      </c>
      <c r="B2690" s="67">
        <v>33244692877</v>
      </c>
      <c r="C2690" s="72" t="s">
        <v>5572</v>
      </c>
      <c r="D2690" s="69">
        <v>7582246802</v>
      </c>
      <c r="E2690" s="9">
        <v>1417</v>
      </c>
      <c r="F2690" s="25">
        <v>43017</v>
      </c>
      <c r="G2690" s="70" t="s">
        <v>1774</v>
      </c>
      <c r="H2690" s="25">
        <v>43027</v>
      </c>
      <c r="I2690" s="8"/>
      <c r="J2690" s="8"/>
      <c r="K2690" s="8"/>
      <c r="L2690" s="9" t="s">
        <v>2011</v>
      </c>
      <c r="M2690" s="8"/>
    </row>
    <row r="2691" spans="1:13">
      <c r="A2691" s="71" t="s">
        <v>5573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5574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5575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5576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5577</v>
      </c>
      <c r="B2695" s="67">
        <v>8715634795</v>
      </c>
      <c r="C2695" s="72" t="s">
        <v>5578</v>
      </c>
      <c r="D2695" s="69">
        <v>30386378827</v>
      </c>
      <c r="E2695" s="9">
        <v>1106</v>
      </c>
      <c r="F2695" s="25">
        <v>42965</v>
      </c>
      <c r="G2695" s="70" t="s">
        <v>1774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5579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1774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5580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1774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5581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5582</v>
      </c>
      <c r="B2699" s="67">
        <v>85941933517</v>
      </c>
      <c r="C2699" s="72" t="s">
        <v>5583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5584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5585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5586</v>
      </c>
      <c r="B2702" s="67"/>
      <c r="C2702" s="18" t="s">
        <v>1887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5587</v>
      </c>
      <c r="B2703" s="67">
        <v>39766945845</v>
      </c>
      <c r="C2703" s="72" t="s">
        <v>5588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5589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5590</v>
      </c>
      <c r="B2705" s="67">
        <v>16374846826</v>
      </c>
      <c r="C2705" s="72" t="s">
        <v>5591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5592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5593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5594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1774</v>
      </c>
      <c r="H2708" s="9"/>
      <c r="I2708" s="8"/>
      <c r="J2708" s="8"/>
      <c r="K2708" s="8"/>
      <c r="L2708" s="9" t="s">
        <v>2156</v>
      </c>
      <c r="M2708" s="8"/>
    </row>
    <row r="2709" spans="1:13">
      <c r="A2709" s="71" t="s">
        <v>5595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5596</v>
      </c>
      <c r="B2710" s="67">
        <v>14337129898</v>
      </c>
      <c r="C2710" s="77" t="s">
        <v>5597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5598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1774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5599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5600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5601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5602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1774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5603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5604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5605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5606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1774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5607</v>
      </c>
      <c r="B2720" s="67">
        <v>38482003844</v>
      </c>
      <c r="C2720" s="72" t="s">
        <v>5608</v>
      </c>
      <c r="D2720" s="69">
        <v>34337869840</v>
      </c>
      <c r="E2720" s="9">
        <v>117</v>
      </c>
      <c r="F2720" s="25">
        <v>43117</v>
      </c>
      <c r="G2720" s="70" t="s">
        <v>1774</v>
      </c>
      <c r="H2720" s="25">
        <v>43151</v>
      </c>
      <c r="I2720" s="8"/>
      <c r="J2720" s="8"/>
      <c r="K2720" s="8"/>
      <c r="L2720" s="9" t="s">
        <v>1928</v>
      </c>
      <c r="M2720" s="8"/>
    </row>
    <row r="2721" spans="1:13">
      <c r="A2721" s="71" t="s">
        <v>5609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5610</v>
      </c>
      <c r="B2722" s="67">
        <v>33079736818</v>
      </c>
      <c r="C2722" s="72" t="s">
        <v>5611</v>
      </c>
      <c r="D2722" s="69">
        <v>35642667807</v>
      </c>
      <c r="E2722" s="9">
        <v>262</v>
      </c>
      <c r="F2722" s="25">
        <v>43160</v>
      </c>
      <c r="G2722" s="70" t="s">
        <v>1774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5612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5613</v>
      </c>
      <c r="B2724" s="67">
        <v>31620090813</v>
      </c>
      <c r="C2724" s="72" t="s">
        <v>5614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5615</v>
      </c>
      <c r="B2725" s="67">
        <v>39621579805</v>
      </c>
      <c r="C2725" s="77" t="s">
        <v>5616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5617</v>
      </c>
      <c r="B2726" s="67">
        <v>221267328</v>
      </c>
      <c r="C2726" s="72" t="s">
        <v>5618</v>
      </c>
      <c r="D2726" s="69">
        <v>98610830306</v>
      </c>
      <c r="E2726" s="9">
        <v>85</v>
      </c>
      <c r="F2726" s="25">
        <v>43109</v>
      </c>
      <c r="G2726" s="70" t="s">
        <v>1774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5619</v>
      </c>
      <c r="B2727" s="67">
        <v>35706262888</v>
      </c>
      <c r="C2727" s="71" t="s">
        <v>5620</v>
      </c>
      <c r="D2727" s="69">
        <v>28992397836</v>
      </c>
      <c r="E2727" s="9">
        <v>292</v>
      </c>
      <c r="F2727" s="25">
        <v>43168</v>
      </c>
      <c r="G2727" s="9" t="s">
        <v>1774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5621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1774</v>
      </c>
      <c r="H2728" s="25">
        <v>42921</v>
      </c>
      <c r="I2728" s="8"/>
      <c r="J2728" s="8"/>
      <c r="K2728" s="8"/>
      <c r="L2728" s="9" t="s">
        <v>1896</v>
      </c>
      <c r="M2728" s="8"/>
    </row>
    <row r="2729" spans="1:13">
      <c r="A2729" s="71" t="s">
        <v>5622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5623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5624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5625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5626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5627</v>
      </c>
      <c r="B2734" s="67">
        <v>34393827880</v>
      </c>
      <c r="C2734" s="72" t="s">
        <v>5628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5629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5630</v>
      </c>
      <c r="B2736" s="67">
        <v>35679630826</v>
      </c>
      <c r="C2736" s="72" t="s">
        <v>5631</v>
      </c>
      <c r="D2736" s="69">
        <v>34083542861</v>
      </c>
      <c r="E2736" s="9">
        <v>1752</v>
      </c>
      <c r="F2736" s="25">
        <v>43051</v>
      </c>
      <c r="G2736" s="70" t="s">
        <v>1774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5632</v>
      </c>
      <c r="B2737" s="67">
        <v>34949006800</v>
      </c>
      <c r="C2737" s="18" t="s">
        <v>5633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5634</v>
      </c>
      <c r="B2738" s="67">
        <v>1157524559</v>
      </c>
      <c r="C2738" s="72" t="s">
        <v>5635</v>
      </c>
      <c r="D2738" s="69">
        <v>1436524512</v>
      </c>
      <c r="E2738" s="9">
        <v>117</v>
      </c>
      <c r="F2738" s="25">
        <v>43117</v>
      </c>
      <c r="G2738" s="70" t="s">
        <v>1780</v>
      </c>
      <c r="H2738" s="25">
        <v>43151</v>
      </c>
      <c r="I2738" s="8"/>
      <c r="J2738" s="8"/>
      <c r="K2738" s="8"/>
      <c r="L2738" s="9" t="s">
        <v>1928</v>
      </c>
      <c r="M2738" s="8"/>
    </row>
    <row r="2739" spans="1:13">
      <c r="A2739" s="71" t="s">
        <v>5636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5637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5638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5639</v>
      </c>
      <c r="B2742" s="67">
        <v>21686263830</v>
      </c>
      <c r="C2742" s="29" t="s">
        <v>5640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5641</v>
      </c>
      <c r="B2743" s="67">
        <v>22497995800</v>
      </c>
      <c r="C2743" s="18" t="s">
        <v>5642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5643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1774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5644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5645</v>
      </c>
      <c r="B2746" s="67">
        <v>40291692877</v>
      </c>
      <c r="C2746" s="72" t="s">
        <v>5646</v>
      </c>
      <c r="D2746" s="69">
        <v>1566073367</v>
      </c>
      <c r="E2746" s="9">
        <v>810</v>
      </c>
      <c r="F2746" s="25">
        <v>42915</v>
      </c>
      <c r="G2746" s="70" t="s">
        <v>1774</v>
      </c>
      <c r="H2746" s="25">
        <v>42921</v>
      </c>
      <c r="I2746" s="8"/>
      <c r="J2746" s="8"/>
      <c r="K2746" s="8"/>
      <c r="L2746" s="9" t="s">
        <v>1896</v>
      </c>
      <c r="M2746" s="8"/>
    </row>
    <row r="2747" spans="1:13">
      <c r="A2747" s="72" t="s">
        <v>5647</v>
      </c>
      <c r="B2747" s="67">
        <v>11767064896</v>
      </c>
      <c r="C2747" s="72" t="s">
        <v>5648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5649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1774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5650</v>
      </c>
      <c r="B2749" s="67">
        <v>49009893391</v>
      </c>
      <c r="C2749" s="72" t="s">
        <v>5651</v>
      </c>
      <c r="D2749" s="69">
        <v>37349813368</v>
      </c>
      <c r="E2749" s="9">
        <v>292</v>
      </c>
      <c r="F2749" s="25">
        <v>43168</v>
      </c>
      <c r="G2749" s="70" t="s">
        <v>1774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5652</v>
      </c>
      <c r="B2750" s="67">
        <v>92361587572</v>
      </c>
      <c r="C2750" s="72" t="s">
        <v>5653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5654</v>
      </c>
      <c r="B2751" s="67">
        <v>17487435890</v>
      </c>
      <c r="C2751" s="72" t="s">
        <v>5655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5656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5657</v>
      </c>
      <c r="B2753" s="67">
        <v>86815121615</v>
      </c>
      <c r="C2753" s="72" t="s">
        <v>5658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5659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5660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5661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1774</v>
      </c>
      <c r="H2756" s="25">
        <v>42921</v>
      </c>
      <c r="I2756" s="8"/>
      <c r="J2756" s="8"/>
      <c r="K2756" s="8"/>
      <c r="L2756" s="9" t="s">
        <v>1896</v>
      </c>
      <c r="M2756" s="8"/>
    </row>
    <row r="2757" spans="1:13">
      <c r="A2757" s="72" t="s">
        <v>5662</v>
      </c>
      <c r="B2757" s="67">
        <v>25261161800</v>
      </c>
      <c r="C2757" s="72" t="s">
        <v>5663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5664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1774</v>
      </c>
      <c r="H2758" s="25">
        <v>43151</v>
      </c>
      <c r="I2758" s="8"/>
      <c r="J2758" s="8"/>
      <c r="K2758" s="8"/>
      <c r="L2758" s="9" t="s">
        <v>1928</v>
      </c>
      <c r="M2758" s="8"/>
    </row>
    <row r="2759" spans="1:13">
      <c r="A2759" s="71" t="s">
        <v>5665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1774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5666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5667</v>
      </c>
      <c r="B2761" s="67">
        <v>22638604879</v>
      </c>
      <c r="C2761" s="72" t="s">
        <v>5668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5669</v>
      </c>
      <c r="B2762" s="67" t="s">
        <v>5670</v>
      </c>
      <c r="C2762" s="18" t="s">
        <v>5671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5672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5673</v>
      </c>
      <c r="B2764" s="67">
        <v>32880462886</v>
      </c>
      <c r="C2764" s="72" t="s">
        <v>5674</v>
      </c>
      <c r="D2764" s="69">
        <v>30845711806</v>
      </c>
      <c r="E2764" s="9">
        <v>810</v>
      </c>
      <c r="F2764" s="25">
        <v>42915</v>
      </c>
      <c r="G2764" s="70" t="s">
        <v>1774</v>
      </c>
      <c r="H2764" s="25">
        <v>42921</v>
      </c>
      <c r="I2764" s="8"/>
      <c r="J2764" s="8"/>
      <c r="K2764" s="8"/>
      <c r="L2764" s="9" t="s">
        <v>1896</v>
      </c>
      <c r="M2764" s="8"/>
    </row>
    <row r="2765" spans="1:13">
      <c r="A2765" s="29" t="s">
        <v>5675</v>
      </c>
      <c r="B2765" s="67">
        <v>31228758883</v>
      </c>
      <c r="C2765" s="29" t="s">
        <v>5676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5677</v>
      </c>
      <c r="B2766" s="67">
        <v>40443218846</v>
      </c>
      <c r="C2766" s="88" t="s">
        <v>5678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5679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5680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1780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5681</v>
      </c>
      <c r="B2769" s="67"/>
      <c r="C2769" s="29" t="s">
        <v>5682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5683</v>
      </c>
      <c r="B2770" s="67">
        <v>34462426860</v>
      </c>
      <c r="C2770" s="72" t="s">
        <v>5684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2057</v>
      </c>
      <c r="M2770" s="8"/>
    </row>
    <row r="2771" spans="1:13">
      <c r="A2771" s="15" t="s">
        <v>5685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5686</v>
      </c>
      <c r="B2772" s="67">
        <v>39600488827</v>
      </c>
      <c r="C2772" s="72" t="s">
        <v>5687</v>
      </c>
      <c r="D2772" s="69">
        <v>34795746885</v>
      </c>
      <c r="E2772" s="9">
        <v>292</v>
      </c>
      <c r="F2772" s="25">
        <v>43168</v>
      </c>
      <c r="G2772" s="70" t="s">
        <v>1774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5688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5689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1788</v>
      </c>
      <c r="H2774" s="25">
        <v>42921</v>
      </c>
      <c r="I2774" s="8"/>
      <c r="J2774" s="8"/>
      <c r="K2774" s="8"/>
      <c r="L2774" s="9" t="s">
        <v>1896</v>
      </c>
      <c r="M2774" s="8"/>
    </row>
    <row r="2775" spans="1:13">
      <c r="A2775" s="71" t="s">
        <v>5690</v>
      </c>
      <c r="B2775" s="67">
        <v>32768872822</v>
      </c>
      <c r="C2775" s="72" t="s">
        <v>5691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5692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5693</v>
      </c>
      <c r="B2777" s="67">
        <v>85942588104</v>
      </c>
      <c r="C2777" s="88" t="s">
        <v>5694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5695</v>
      </c>
      <c r="B2778" s="67"/>
      <c r="C2778" s="29" t="s">
        <v>1887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5696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5697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1774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5698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5699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5700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5701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5702</v>
      </c>
      <c r="B2785" s="67">
        <v>30834349876</v>
      </c>
      <c r="C2785" s="72" t="s">
        <v>5703</v>
      </c>
      <c r="D2785" s="69">
        <v>58355561520</v>
      </c>
      <c r="E2785" s="9">
        <v>262</v>
      </c>
      <c r="F2785" s="25">
        <v>43160</v>
      </c>
      <c r="G2785" s="70" t="s">
        <v>1774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5704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5705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1780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5706</v>
      </c>
      <c r="B2788" s="67">
        <v>22682142818</v>
      </c>
      <c r="C2788" s="72" t="s">
        <v>4506</v>
      </c>
      <c r="D2788" s="69">
        <v>22853401847</v>
      </c>
      <c r="E2788" s="9">
        <v>117</v>
      </c>
      <c r="F2788" s="25">
        <v>43117</v>
      </c>
      <c r="G2788" s="70" t="s">
        <v>1774</v>
      </c>
      <c r="H2788" s="25">
        <v>43151</v>
      </c>
      <c r="I2788" s="8"/>
      <c r="J2788" s="8"/>
      <c r="K2788" s="8"/>
      <c r="L2788" s="9" t="s">
        <v>1928</v>
      </c>
      <c r="M2788" s="8"/>
    </row>
    <row r="2789" spans="1:13">
      <c r="A2789" s="71" t="s">
        <v>5707</v>
      </c>
      <c r="B2789" s="67">
        <v>32700235886</v>
      </c>
      <c r="C2789" s="72" t="s">
        <v>5708</v>
      </c>
      <c r="D2789" s="69">
        <v>30542314886</v>
      </c>
      <c r="E2789" s="9">
        <v>292</v>
      </c>
      <c r="F2789" s="25">
        <v>43168</v>
      </c>
      <c r="G2789" s="70" t="s">
        <v>1774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5709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5710</v>
      </c>
      <c r="B2791" s="67">
        <v>12487731877</v>
      </c>
      <c r="C2791" s="72" t="s">
        <v>5711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5712</v>
      </c>
      <c r="B2792" s="67" t="s">
        <v>5713</v>
      </c>
      <c r="C2792" s="88" t="s">
        <v>5714</v>
      </c>
      <c r="D2792" s="69" t="s">
        <v>5715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5716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1774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5717</v>
      </c>
      <c r="B2794" s="67">
        <v>35705436840</v>
      </c>
      <c r="C2794" s="88" t="s">
        <v>5718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5719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5720</v>
      </c>
      <c r="B2796" s="67">
        <v>34086913801</v>
      </c>
      <c r="C2796" s="72" t="s">
        <v>5721</v>
      </c>
      <c r="D2796" s="69">
        <v>31013050800</v>
      </c>
      <c r="E2796" s="9">
        <v>229</v>
      </c>
      <c r="F2796" s="25">
        <v>43151</v>
      </c>
      <c r="G2796" s="70" t="s">
        <v>1774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5722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1774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5723</v>
      </c>
      <c r="B2798" s="67">
        <v>24648996828</v>
      </c>
      <c r="C2798" s="72" t="s">
        <v>5724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5725</v>
      </c>
      <c r="B2799" s="67">
        <v>87445824472</v>
      </c>
      <c r="C2799" s="72" t="s">
        <v>5726</v>
      </c>
      <c r="D2799" s="69">
        <v>30439764874</v>
      </c>
      <c r="E2799" s="9">
        <v>1417</v>
      </c>
      <c r="F2799" s="25">
        <v>43017</v>
      </c>
      <c r="G2799" s="70" t="s">
        <v>1774</v>
      </c>
      <c r="H2799" s="25">
        <v>43027</v>
      </c>
      <c r="I2799" s="8"/>
      <c r="J2799" s="8"/>
      <c r="K2799" s="8"/>
      <c r="L2799" s="9" t="s">
        <v>2011</v>
      </c>
      <c r="M2799" s="8"/>
    </row>
    <row r="2800" spans="1:13">
      <c r="A2800" s="71" t="s">
        <v>5727</v>
      </c>
      <c r="B2800" s="67">
        <v>25630230840</v>
      </c>
      <c r="C2800" s="77" t="s">
        <v>5728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2057</v>
      </c>
      <c r="M2800" s="8"/>
    </row>
    <row r="2801" spans="1:13">
      <c r="A2801" s="71" t="s">
        <v>5729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5730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1774</v>
      </c>
      <c r="H2802" s="25">
        <v>43027</v>
      </c>
      <c r="I2802" s="8"/>
      <c r="J2802" s="8"/>
      <c r="K2802" s="8"/>
      <c r="L2802" s="9" t="s">
        <v>2011</v>
      </c>
      <c r="M2802" s="8"/>
    </row>
    <row r="2803" spans="1:13">
      <c r="A2803" s="71" t="s">
        <v>5731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5732</v>
      </c>
      <c r="B2804" s="67">
        <v>17128618830</v>
      </c>
      <c r="C2804" s="72" t="s">
        <v>5733</v>
      </c>
      <c r="D2804" s="69">
        <v>69305315534</v>
      </c>
      <c r="E2804" s="9">
        <v>810</v>
      </c>
      <c r="F2804" s="25">
        <v>42915</v>
      </c>
      <c r="G2804" s="70" t="s">
        <v>1780</v>
      </c>
      <c r="H2804" s="25">
        <v>42921</v>
      </c>
      <c r="I2804" s="8"/>
      <c r="J2804" s="8"/>
      <c r="K2804" s="8"/>
      <c r="L2804" s="9" t="s">
        <v>1896</v>
      </c>
      <c r="M2804" s="8"/>
    </row>
    <row r="2805" spans="1:13">
      <c r="A2805" s="71" t="s">
        <v>5734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5735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5736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5737</v>
      </c>
      <c r="B2808" s="67">
        <v>79572421468</v>
      </c>
      <c r="C2808" s="29" t="s">
        <v>5738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5739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5740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5741</v>
      </c>
      <c r="B2811" s="67">
        <v>44518427866</v>
      </c>
      <c r="C2811" s="72" t="s">
        <v>5742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5743</v>
      </c>
      <c r="B2812" s="67">
        <v>35625515840</v>
      </c>
      <c r="C2812" s="72" t="s">
        <v>5744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5745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5746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2057</v>
      </c>
      <c r="M2814" s="8"/>
    </row>
    <row r="2815" spans="1:13">
      <c r="A2815" s="18" t="s">
        <v>5747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5748</v>
      </c>
      <c r="B2816" s="67">
        <v>40663707803</v>
      </c>
      <c r="C2816" s="72" t="s">
        <v>5749</v>
      </c>
      <c r="D2816" s="69">
        <v>35138540807</v>
      </c>
      <c r="E2816" s="9">
        <v>262</v>
      </c>
      <c r="F2816" s="25">
        <v>43160</v>
      </c>
      <c r="G2816" s="70" t="s">
        <v>1774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5750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5751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5752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5753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5754</v>
      </c>
      <c r="B2821" s="67"/>
      <c r="C2821" s="29" t="s">
        <v>5755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5756</v>
      </c>
      <c r="B2822" s="67">
        <v>40874659850</v>
      </c>
      <c r="C2822" s="77" t="s">
        <v>5757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2057</v>
      </c>
      <c r="M2822" s="8"/>
    </row>
    <row r="2823" spans="1:13">
      <c r="A2823" s="29" t="s">
        <v>5758</v>
      </c>
      <c r="B2823" s="67"/>
      <c r="C2823" s="29" t="s">
        <v>5759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5760</v>
      </c>
      <c r="B2824" s="67">
        <v>37028047814</v>
      </c>
      <c r="C2824" s="72" t="s">
        <v>5761</v>
      </c>
      <c r="D2824" s="69">
        <v>34812554896</v>
      </c>
      <c r="E2824" s="9">
        <v>1824</v>
      </c>
      <c r="F2824" s="25">
        <v>43091</v>
      </c>
      <c r="G2824" s="70" t="s">
        <v>1774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5762</v>
      </c>
      <c r="B2825" s="67">
        <v>10774591650</v>
      </c>
      <c r="C2825" s="72" t="s">
        <v>5763</v>
      </c>
      <c r="D2825" s="69">
        <v>33230795822</v>
      </c>
      <c r="E2825" s="9">
        <v>292</v>
      </c>
      <c r="F2825" s="25">
        <v>43168</v>
      </c>
      <c r="G2825" s="70" t="s">
        <v>1774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5764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5765</v>
      </c>
      <c r="B2827" s="67">
        <v>42779099810</v>
      </c>
      <c r="C2827" s="18" t="s">
        <v>5766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5767</v>
      </c>
      <c r="B2828" s="67">
        <v>50748310835</v>
      </c>
      <c r="C2828" s="18" t="s">
        <v>5768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5769</v>
      </c>
      <c r="B2829" s="67">
        <v>42651266850</v>
      </c>
      <c r="C2829" s="72" t="s">
        <v>5770</v>
      </c>
      <c r="D2829" s="69">
        <v>3580715429</v>
      </c>
      <c r="E2829" s="9">
        <v>1350</v>
      </c>
      <c r="F2829" s="25">
        <v>43006</v>
      </c>
      <c r="G2829" s="70" t="s">
        <v>1774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5771</v>
      </c>
      <c r="B2830" s="67">
        <v>36474824808</v>
      </c>
      <c r="C2830" s="72" t="s">
        <v>5772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5773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5774</v>
      </c>
      <c r="B2832" s="67">
        <v>22034628845</v>
      </c>
      <c r="C2832" s="72" t="s">
        <v>5775</v>
      </c>
      <c r="D2832" s="69">
        <v>26990288515</v>
      </c>
      <c r="E2832" s="9">
        <v>1555</v>
      </c>
      <c r="F2832" s="25">
        <v>43049</v>
      </c>
      <c r="G2832" s="70" t="s">
        <v>1774</v>
      </c>
      <c r="H2832" s="9"/>
      <c r="I2832" s="8"/>
      <c r="J2832" s="8"/>
      <c r="K2832" s="8"/>
      <c r="L2832" s="9" t="s">
        <v>2156</v>
      </c>
      <c r="M2832" s="8"/>
    </row>
    <row r="2833" spans="1:13">
      <c r="A2833" s="71" t="s">
        <v>5776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5777</v>
      </c>
      <c r="B2834" s="67">
        <v>10782475876</v>
      </c>
      <c r="C2834" s="72" t="s">
        <v>5778</v>
      </c>
      <c r="D2834" s="69">
        <v>616947895</v>
      </c>
      <c r="E2834" s="9">
        <v>1214</v>
      </c>
      <c r="F2834" s="25">
        <v>42989</v>
      </c>
      <c r="G2834" s="70" t="s">
        <v>1774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5779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5780</v>
      </c>
      <c r="B2836" s="67"/>
      <c r="C2836" s="18" t="s">
        <v>1887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5781</v>
      </c>
      <c r="B2837" s="67">
        <v>42151049809</v>
      </c>
      <c r="C2837" s="68" t="s">
        <v>5782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5783</v>
      </c>
      <c r="B2838" s="67">
        <v>38785656828</v>
      </c>
      <c r="C2838" s="18" t="s">
        <v>5784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5785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5786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5787</v>
      </c>
      <c r="B2841" s="67">
        <v>22815009854</v>
      </c>
      <c r="C2841" s="77" t="s">
        <v>5788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5789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1780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5790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5791</v>
      </c>
      <c r="B2844" s="67">
        <v>40506629813</v>
      </c>
      <c r="C2844" s="72" t="s">
        <v>5792</v>
      </c>
      <c r="D2844" s="69">
        <v>32485329800</v>
      </c>
      <c r="E2844" s="9">
        <v>262</v>
      </c>
      <c r="F2844" s="25">
        <v>43160</v>
      </c>
      <c r="G2844" s="70" t="s">
        <v>1774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5793</v>
      </c>
      <c r="B2845" s="67">
        <v>31504729897</v>
      </c>
      <c r="C2845" s="68" t="s">
        <v>5794</v>
      </c>
      <c r="D2845" s="69">
        <v>24816878840</v>
      </c>
      <c r="E2845" s="9">
        <v>1214</v>
      </c>
      <c r="F2845" s="25">
        <v>42989</v>
      </c>
      <c r="G2845" s="70" t="s">
        <v>1774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5795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1774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5796</v>
      </c>
      <c r="B2847" s="67">
        <v>12925287700</v>
      </c>
      <c r="C2847" s="72" t="s">
        <v>5797</v>
      </c>
      <c r="D2847" s="69">
        <v>37253983807</v>
      </c>
      <c r="E2847" s="9">
        <v>1752</v>
      </c>
      <c r="F2847" s="25">
        <v>43051</v>
      </c>
      <c r="G2847" s="70" t="s">
        <v>1774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5798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2057</v>
      </c>
      <c r="M2848" s="8"/>
    </row>
    <row r="2849" spans="1:13">
      <c r="A2849" s="71" t="s">
        <v>5799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1774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5800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1774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5801</v>
      </c>
      <c r="B2851" s="67">
        <v>26735743873</v>
      </c>
      <c r="C2851" s="72" t="s">
        <v>5802</v>
      </c>
      <c r="D2851" s="69">
        <v>14913845810</v>
      </c>
      <c r="E2851" s="9">
        <v>1214</v>
      </c>
      <c r="F2851" s="25">
        <v>42989</v>
      </c>
      <c r="G2851" s="70" t="s">
        <v>1780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5803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5804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1774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5805</v>
      </c>
      <c r="B2854" s="67">
        <v>26193222863</v>
      </c>
      <c r="C2854" s="18" t="s">
        <v>5806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5807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5808</v>
      </c>
      <c r="B2856" s="67">
        <v>3381508890</v>
      </c>
      <c r="C2856" s="72" t="s">
        <v>5809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2057</v>
      </c>
      <c r="M2856" s="8"/>
    </row>
    <row r="2857" spans="1:13">
      <c r="A2857" s="15" t="s">
        <v>5810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1774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5811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5812</v>
      </c>
      <c r="B2859" s="67">
        <v>11507771843</v>
      </c>
      <c r="C2859" s="72" t="s">
        <v>5813</v>
      </c>
      <c r="D2859" s="69">
        <v>6898979876</v>
      </c>
      <c r="E2859" s="9">
        <v>292</v>
      </c>
      <c r="F2859" s="25">
        <v>43168</v>
      </c>
      <c r="G2859" s="70" t="s">
        <v>1774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5814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1774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5815</v>
      </c>
      <c r="B2861" s="67">
        <v>42597970850</v>
      </c>
      <c r="C2861" s="72" t="s">
        <v>5816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5817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5818</v>
      </c>
      <c r="B2863" s="67"/>
      <c r="C2863" s="29" t="s">
        <v>5819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5820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1774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5821</v>
      </c>
      <c r="B2865" s="67">
        <v>48081983805</v>
      </c>
      <c r="C2865" s="77" t="s">
        <v>5822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5823</v>
      </c>
      <c r="B2866" s="67">
        <v>43249836826</v>
      </c>
      <c r="C2866" s="72" t="s">
        <v>5824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5825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1774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5826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5827</v>
      </c>
      <c r="B2869" s="67">
        <v>11894872681</v>
      </c>
      <c r="C2869" s="72" t="s">
        <v>5828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5829</v>
      </c>
      <c r="B2870" s="67">
        <v>40155044885</v>
      </c>
      <c r="C2870" s="72" t="s">
        <v>5830</v>
      </c>
      <c r="D2870" s="69">
        <v>34935837888</v>
      </c>
      <c r="E2870" s="9">
        <v>292</v>
      </c>
      <c r="F2870" s="25">
        <v>43168</v>
      </c>
      <c r="G2870" s="9" t="s">
        <v>1774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5831</v>
      </c>
      <c r="B2871" s="67">
        <v>35165262898</v>
      </c>
      <c r="C2871" s="68" t="s">
        <v>5832</v>
      </c>
      <c r="D2871" s="69">
        <v>34112749805</v>
      </c>
      <c r="E2871" s="9">
        <v>1241</v>
      </c>
      <c r="F2871" s="25">
        <v>42992</v>
      </c>
      <c r="G2871" s="70" t="s">
        <v>1774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5833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1774</v>
      </c>
      <c r="H2872" s="25">
        <v>43151</v>
      </c>
      <c r="I2872" s="8"/>
      <c r="J2872" s="8"/>
      <c r="K2872" s="8"/>
      <c r="L2872" s="9" t="s">
        <v>1928</v>
      </c>
      <c r="M2872" s="8"/>
    </row>
    <row r="2873" spans="1:13">
      <c r="A2873" s="72" t="s">
        <v>5834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5835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5836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5837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5838</v>
      </c>
      <c r="B2877" s="67">
        <v>40770970885</v>
      </c>
      <c r="C2877" s="72" t="s">
        <v>5839</v>
      </c>
      <c r="D2877" s="69">
        <v>43652847890</v>
      </c>
      <c r="E2877" s="9">
        <v>117</v>
      </c>
      <c r="F2877" s="25">
        <v>43117</v>
      </c>
      <c r="G2877" s="70" t="s">
        <v>1774</v>
      </c>
      <c r="H2877" s="25">
        <v>43151</v>
      </c>
      <c r="I2877" s="8"/>
      <c r="J2877" s="8"/>
      <c r="K2877" s="8"/>
      <c r="L2877" s="9" t="s">
        <v>1928</v>
      </c>
      <c r="M2877" s="8"/>
    </row>
    <row r="2878" spans="1:13">
      <c r="A2878" s="29" t="s">
        <v>5840</v>
      </c>
      <c r="B2878" s="67"/>
      <c r="C2878" s="18" t="s">
        <v>1887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5841</v>
      </c>
      <c r="B2879" s="67">
        <v>38462624800</v>
      </c>
      <c r="C2879" s="18" t="s">
        <v>1887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5842</v>
      </c>
      <c r="B2880" s="67">
        <v>30942876890</v>
      </c>
      <c r="C2880" s="72" t="s">
        <v>5843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5844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1774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5845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5846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1774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5847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5848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5849</v>
      </c>
      <c r="B2886" s="67">
        <v>28965520819</v>
      </c>
      <c r="C2886" s="72" t="s">
        <v>5850</v>
      </c>
      <c r="D2886" s="69">
        <v>8432372447</v>
      </c>
      <c r="E2886" s="9">
        <v>1824</v>
      </c>
      <c r="F2886" s="25">
        <v>43091</v>
      </c>
      <c r="G2886" s="70" t="s">
        <v>1780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5851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5852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2057</v>
      </c>
      <c r="M2888" s="8"/>
    </row>
    <row r="2889" spans="1:13">
      <c r="A2889" s="71" t="s">
        <v>5853</v>
      </c>
      <c r="B2889" s="67">
        <v>31336065818</v>
      </c>
      <c r="C2889" s="72" t="s">
        <v>5854</v>
      </c>
      <c r="D2889" s="69">
        <v>43264481804</v>
      </c>
      <c r="E2889" s="9">
        <v>1214</v>
      </c>
      <c r="F2889" s="25">
        <v>42989</v>
      </c>
      <c r="G2889" s="70" t="s">
        <v>1774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5855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5856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5857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1774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5858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1774</v>
      </c>
      <c r="H2893" s="25">
        <v>43027</v>
      </c>
      <c r="I2893" s="8"/>
      <c r="J2893" s="8"/>
      <c r="K2893" s="8"/>
      <c r="L2893" s="9" t="s">
        <v>2260</v>
      </c>
      <c r="M2893" s="8"/>
    </row>
    <row r="2894" spans="1:13">
      <c r="A2894" s="15" t="s">
        <v>5859</v>
      </c>
      <c r="B2894" s="67">
        <v>2655794494</v>
      </c>
      <c r="C2894" s="72" t="s">
        <v>5860</v>
      </c>
      <c r="D2894" s="69">
        <v>96385081591</v>
      </c>
      <c r="E2894" s="9">
        <v>117</v>
      </c>
      <c r="F2894" s="25">
        <v>43117</v>
      </c>
      <c r="G2894" s="70" t="s">
        <v>1774</v>
      </c>
      <c r="H2894" s="25">
        <v>43151</v>
      </c>
      <c r="I2894" s="8"/>
      <c r="J2894" s="8"/>
      <c r="K2894" s="8"/>
      <c r="L2894" s="9" t="s">
        <v>1928</v>
      </c>
      <c r="M2894" s="8"/>
    </row>
    <row r="2895" spans="1:13">
      <c r="A2895" s="71" t="s">
        <v>5861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1774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5862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1774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5863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1774</v>
      </c>
      <c r="H2897" s="9"/>
      <c r="I2897" s="9">
        <v>229</v>
      </c>
      <c r="J2897" s="25">
        <v>43151</v>
      </c>
      <c r="K2897" s="25">
        <v>43158</v>
      </c>
      <c r="L2897" s="9" t="s">
        <v>1918</v>
      </c>
      <c r="M2897" s="25"/>
    </row>
    <row r="2898" spans="1:13">
      <c r="A2898" s="71" t="s">
        <v>5864</v>
      </c>
      <c r="B2898" s="67">
        <v>38085002809</v>
      </c>
      <c r="C2898" s="72" t="s">
        <v>5865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5866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1774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5867</v>
      </c>
      <c r="B2900" s="67">
        <v>23357346877</v>
      </c>
      <c r="C2900" s="72" t="s">
        <v>5868</v>
      </c>
      <c r="D2900" s="69">
        <v>39917830880</v>
      </c>
      <c r="E2900" s="9">
        <v>1555</v>
      </c>
      <c r="F2900" s="25">
        <v>43049</v>
      </c>
      <c r="G2900" s="70" t="s">
        <v>1774</v>
      </c>
      <c r="H2900" s="9"/>
      <c r="I2900" s="8"/>
      <c r="J2900" s="8"/>
      <c r="K2900" s="8"/>
      <c r="L2900" s="9" t="s">
        <v>2156</v>
      </c>
      <c r="M2900" s="8"/>
    </row>
    <row r="2901" spans="1:13">
      <c r="A2901" s="71" t="s">
        <v>5869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5870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5871</v>
      </c>
      <c r="B2903" s="67">
        <v>33733642805</v>
      </c>
      <c r="C2903" s="72" t="s">
        <v>5872</v>
      </c>
      <c r="D2903" s="69">
        <v>1860087590</v>
      </c>
      <c r="E2903" s="9">
        <v>85</v>
      </c>
      <c r="F2903" s="25">
        <v>43109</v>
      </c>
      <c r="G2903" s="70" t="s">
        <v>1774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5873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1774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5874</v>
      </c>
      <c r="B2905" s="67">
        <v>5387678802</v>
      </c>
      <c r="C2905" s="72" t="s">
        <v>5875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5876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1774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5877</v>
      </c>
      <c r="B2907" s="67">
        <v>41173451846</v>
      </c>
      <c r="C2907" s="72" t="s">
        <v>5878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5879</v>
      </c>
      <c r="B2908" s="67">
        <v>36432395801</v>
      </c>
      <c r="C2908" s="77" t="s">
        <v>5880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5881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5882</v>
      </c>
      <c r="B2910" s="67">
        <v>28196011890</v>
      </c>
      <c r="C2910" s="72" t="s">
        <v>5883</v>
      </c>
      <c r="D2910" s="69">
        <v>73582980553</v>
      </c>
      <c r="E2910" s="9">
        <v>1262</v>
      </c>
      <c r="F2910" s="25">
        <v>42997</v>
      </c>
      <c r="G2910" s="70" t="s">
        <v>1774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5884</v>
      </c>
      <c r="B2911" s="67">
        <v>8710545409</v>
      </c>
      <c r="C2911" s="72" t="s">
        <v>5885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5886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5887</v>
      </c>
      <c r="B2913" s="67">
        <v>27279265880</v>
      </c>
      <c r="C2913" s="77" t="s">
        <v>5888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5889</v>
      </c>
      <c r="B2914" s="67">
        <v>2973007844</v>
      </c>
      <c r="C2914" s="18" t="s">
        <v>1887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5890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5891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5892</v>
      </c>
      <c r="B2917" s="67">
        <v>97080756391</v>
      </c>
      <c r="C2917" s="68" t="s">
        <v>5893</v>
      </c>
      <c r="D2917" s="69">
        <v>78464463391</v>
      </c>
      <c r="E2917" s="9">
        <v>1343</v>
      </c>
      <c r="F2917" s="25">
        <v>43004</v>
      </c>
      <c r="G2917" s="70" t="s">
        <v>1774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5894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5895</v>
      </c>
      <c r="B2919" s="67">
        <v>542688778</v>
      </c>
      <c r="C2919" s="18" t="s">
        <v>1887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5896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5897</v>
      </c>
      <c r="B2921" s="67">
        <v>19521938854</v>
      </c>
      <c r="C2921" s="72" t="s">
        <v>5898</v>
      </c>
      <c r="D2921" s="69">
        <v>16398980506</v>
      </c>
      <c r="E2921" s="9">
        <v>1214</v>
      </c>
      <c r="F2921" s="25">
        <v>42989</v>
      </c>
      <c r="G2921" s="70" t="s">
        <v>1774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5899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5900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5901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1774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5902</v>
      </c>
      <c r="B2925" s="67">
        <v>81710763272</v>
      </c>
      <c r="C2925" s="77" t="s">
        <v>5903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5904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5905</v>
      </c>
      <c r="B2927" s="67">
        <v>35453812850</v>
      </c>
      <c r="C2927" s="18" t="s">
        <v>5906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5907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5908</v>
      </c>
      <c r="B2929" s="67">
        <v>22665008807</v>
      </c>
      <c r="C2929" s="72" t="s">
        <v>5909</v>
      </c>
      <c r="D2929" s="69">
        <v>35575903800</v>
      </c>
      <c r="E2929" s="9">
        <v>262</v>
      </c>
      <c r="F2929" s="25">
        <v>43160</v>
      </c>
      <c r="G2929" s="9" t="s">
        <v>1774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5910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1774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5911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5912</v>
      </c>
      <c r="B2932" s="67">
        <v>60615920357</v>
      </c>
      <c r="C2932" s="72" t="s">
        <v>5913</v>
      </c>
      <c r="D2932" s="69">
        <v>4818511358</v>
      </c>
      <c r="E2932" s="9">
        <v>292</v>
      </c>
      <c r="F2932" s="25">
        <v>43168</v>
      </c>
      <c r="G2932" s="9" t="s">
        <v>1774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5914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5915</v>
      </c>
      <c r="B2934" s="67">
        <v>31633338851</v>
      </c>
      <c r="C2934" s="72" t="s">
        <v>5916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2057</v>
      </c>
      <c r="M2934" s="8"/>
    </row>
    <row r="2935" spans="1:13">
      <c r="A2935" s="71" t="s">
        <v>5917</v>
      </c>
      <c r="B2935" s="67">
        <v>42518509801</v>
      </c>
      <c r="C2935" s="72" t="s">
        <v>5918</v>
      </c>
      <c r="D2935" s="69">
        <v>36320707844</v>
      </c>
      <c r="E2935" s="9">
        <v>1752</v>
      </c>
      <c r="F2935" s="25">
        <v>43051</v>
      </c>
      <c r="G2935" s="70" t="s">
        <v>1788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5919</v>
      </c>
      <c r="B2936" s="67">
        <v>22958464806</v>
      </c>
      <c r="C2936" s="72" t="s">
        <v>5920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5921</v>
      </c>
      <c r="B2937" s="67">
        <v>31152044850</v>
      </c>
      <c r="C2937" s="72" t="s">
        <v>5922</v>
      </c>
      <c r="D2937" s="69">
        <v>31152043889</v>
      </c>
      <c r="E2937" s="9">
        <v>1128</v>
      </c>
      <c r="F2937" s="25">
        <v>42972</v>
      </c>
      <c r="G2937" s="70" t="s">
        <v>1774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5923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5924</v>
      </c>
      <c r="B2939" s="80">
        <v>35805723859</v>
      </c>
      <c r="C2939" s="81" t="s">
        <v>5925</v>
      </c>
      <c r="D2939" s="82">
        <v>12726161855</v>
      </c>
      <c r="E2939" s="47">
        <v>1824</v>
      </c>
      <c r="F2939" s="48">
        <v>43091</v>
      </c>
      <c r="G2939" s="83" t="s">
        <v>1780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5926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5927</v>
      </c>
      <c r="B2941" s="67">
        <v>7358002431</v>
      </c>
      <c r="C2941" s="72" t="s">
        <v>5928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5929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1774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5930</v>
      </c>
      <c r="B2943" s="67">
        <v>43354497807</v>
      </c>
      <c r="C2943" s="72" t="s">
        <v>5931</v>
      </c>
      <c r="D2943" s="69">
        <v>40802896855</v>
      </c>
      <c r="E2943" s="9">
        <v>1214</v>
      </c>
      <c r="F2943" s="25">
        <v>42989</v>
      </c>
      <c r="G2943" s="70" t="s">
        <v>1774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5932</v>
      </c>
      <c r="B2944" s="67">
        <v>43586522800</v>
      </c>
      <c r="C2944" s="68" t="s">
        <v>5933</v>
      </c>
      <c r="D2944" s="69">
        <v>43586522800</v>
      </c>
      <c r="E2944" s="9">
        <v>1128</v>
      </c>
      <c r="F2944" s="25">
        <v>42972</v>
      </c>
      <c r="G2944" s="70" t="s">
        <v>1774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5934</v>
      </c>
      <c r="B2945" s="67">
        <v>17447067865</v>
      </c>
      <c r="C2945" s="72" t="s">
        <v>5935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5936</v>
      </c>
      <c r="B2946" s="67">
        <v>3568560542</v>
      </c>
      <c r="C2946" s="72" t="s">
        <v>5937</v>
      </c>
      <c r="D2946" s="69">
        <v>4078587500</v>
      </c>
      <c r="E2946" s="9">
        <v>1106</v>
      </c>
      <c r="F2946" s="25">
        <v>42965</v>
      </c>
      <c r="G2946" s="70" t="s">
        <v>1774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5938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5939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5940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1928</v>
      </c>
      <c r="M2949" s="8"/>
    </row>
    <row r="2950" spans="1:13">
      <c r="A2950" s="71" t="s">
        <v>5941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1774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5942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1774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5943</v>
      </c>
      <c r="B2952" s="67"/>
      <c r="C2952" s="29" t="s">
        <v>5944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5945</v>
      </c>
      <c r="B2953" s="67">
        <v>1326462857</v>
      </c>
      <c r="C2953" s="72" t="s">
        <v>5946</v>
      </c>
      <c r="D2953" s="69">
        <v>4906141838</v>
      </c>
      <c r="E2953" s="9">
        <v>229</v>
      </c>
      <c r="F2953" s="25">
        <v>43151</v>
      </c>
      <c r="G2953" s="70" t="s">
        <v>1774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5947</v>
      </c>
      <c r="B2954" s="67">
        <v>7722903428</v>
      </c>
      <c r="C2954" s="29" t="s">
        <v>5948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5949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5950</v>
      </c>
      <c r="B2956" s="67">
        <v>37794411874</v>
      </c>
      <c r="C2956" s="72" t="s">
        <v>5951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5952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5953</v>
      </c>
      <c r="B2958" s="67">
        <v>34093287856</v>
      </c>
      <c r="C2958" s="68" t="s">
        <v>5954</v>
      </c>
      <c r="D2958" s="69">
        <v>1517221536</v>
      </c>
      <c r="E2958" s="9">
        <v>1489</v>
      </c>
      <c r="F2958" s="25"/>
      <c r="G2958" s="70" t="s">
        <v>1774</v>
      </c>
      <c r="H2958" s="9"/>
      <c r="I2958" s="8"/>
      <c r="J2958" s="8"/>
      <c r="K2958" s="8"/>
      <c r="L2958" s="9" t="s">
        <v>1918</v>
      </c>
      <c r="M2958" s="8"/>
    </row>
    <row r="2959" spans="1:13">
      <c r="A2959" s="71" t="s">
        <v>5955</v>
      </c>
      <c r="B2959" s="67">
        <v>29289559845</v>
      </c>
      <c r="C2959" s="72" t="s">
        <v>5956</v>
      </c>
      <c r="D2959" s="69">
        <v>25585724827</v>
      </c>
      <c r="E2959" s="9">
        <v>1752</v>
      </c>
      <c r="F2959" s="25">
        <v>43051</v>
      </c>
      <c r="G2959" s="70" t="s">
        <v>1774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5957</v>
      </c>
      <c r="B2960" s="67"/>
      <c r="C2960" s="29" t="s">
        <v>5958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5959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5960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5961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5962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5963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5964</v>
      </c>
      <c r="B2966" s="67">
        <v>32368859802</v>
      </c>
      <c r="C2966" s="68" t="s">
        <v>5965</v>
      </c>
      <c r="D2966" s="69">
        <v>28517056876</v>
      </c>
      <c r="E2966" s="9">
        <v>1343</v>
      </c>
      <c r="F2966" s="25">
        <v>43004</v>
      </c>
      <c r="G2966" s="70" t="s">
        <v>1774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5966</v>
      </c>
      <c r="B2967" s="67">
        <v>35104711803</v>
      </c>
      <c r="C2967" s="72" t="s">
        <v>5967</v>
      </c>
      <c r="D2967" s="69">
        <v>34881906844</v>
      </c>
      <c r="E2967" s="9">
        <v>292</v>
      </c>
      <c r="F2967" s="25">
        <v>43168</v>
      </c>
      <c r="G2967" s="9" t="s">
        <v>1774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5968</v>
      </c>
      <c r="B2968" s="67">
        <v>23093033802</v>
      </c>
      <c r="C2968" s="29" t="s">
        <v>5969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5970</v>
      </c>
      <c r="B2969" s="67">
        <v>92605494420</v>
      </c>
      <c r="C2969" s="72" t="s">
        <v>5971</v>
      </c>
      <c r="D2969" s="69">
        <v>37622834866</v>
      </c>
      <c r="E2969" s="9">
        <v>608</v>
      </c>
      <c r="F2969" s="25">
        <v>43012</v>
      </c>
      <c r="G2969" s="70" t="s">
        <v>1774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5972</v>
      </c>
      <c r="B2970" s="67">
        <v>27646989843</v>
      </c>
      <c r="C2970" s="72" t="s">
        <v>5973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5974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5975</v>
      </c>
      <c r="B2972" s="67">
        <v>29312608860</v>
      </c>
      <c r="C2972" s="29" t="s">
        <v>5976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5977</v>
      </c>
      <c r="B2973" s="67"/>
      <c r="C2973" s="29" t="s">
        <v>5978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5979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5980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5981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5982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5983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5984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5985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5986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5987</v>
      </c>
      <c r="B2982" s="67">
        <v>13562151810</v>
      </c>
      <c r="C2982" s="72" t="s">
        <v>5988</v>
      </c>
      <c r="D2982" s="69">
        <v>47393076772</v>
      </c>
      <c r="E2982" s="9">
        <v>292</v>
      </c>
      <c r="F2982" s="25">
        <v>43168</v>
      </c>
      <c r="G2982" s="70" t="s">
        <v>1780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5989</v>
      </c>
      <c r="B2983" s="67">
        <v>10488541832</v>
      </c>
      <c r="C2983" s="72" t="s">
        <v>5990</v>
      </c>
      <c r="D2983" s="69">
        <v>8437233860</v>
      </c>
      <c r="E2983" s="9">
        <v>229</v>
      </c>
      <c r="F2983" s="25">
        <v>43151</v>
      </c>
      <c r="G2983" s="70" t="s">
        <v>1774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5991</v>
      </c>
      <c r="B2984" s="67">
        <v>52291168894</v>
      </c>
      <c r="C2984" s="29" t="s">
        <v>1887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5992</v>
      </c>
      <c r="B2985" s="67">
        <v>32455945855</v>
      </c>
      <c r="C2985" s="77" t="s">
        <v>5993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5994</v>
      </c>
      <c r="B2986" s="67">
        <v>7127228663</v>
      </c>
      <c r="C2986" s="72" t="s">
        <v>5995</v>
      </c>
      <c r="D2986" s="69">
        <v>18053058833</v>
      </c>
      <c r="E2986" s="9">
        <v>1628</v>
      </c>
      <c r="F2986" s="25">
        <v>43077</v>
      </c>
      <c r="G2986" s="70" t="s">
        <v>1774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5996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5997</v>
      </c>
      <c r="B2988" s="67">
        <v>32318059888</v>
      </c>
      <c r="C2988" s="68" t="s">
        <v>5998</v>
      </c>
      <c r="D2988" s="69">
        <v>38564888807</v>
      </c>
      <c r="E2988" s="9">
        <v>1128</v>
      </c>
      <c r="F2988" s="25">
        <v>42972</v>
      </c>
      <c r="G2988" s="70" t="s">
        <v>1774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5999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6000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1774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6001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6002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1774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6003</v>
      </c>
      <c r="B2993" s="67">
        <v>45255799866</v>
      </c>
      <c r="C2993" s="72" t="s">
        <v>6004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6005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6006</v>
      </c>
      <c r="B2995" s="67">
        <v>37570860829</v>
      </c>
      <c r="C2995" s="72" t="s">
        <v>6007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6008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1774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6009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6010</v>
      </c>
      <c r="B2998" s="67">
        <v>25712620847</v>
      </c>
      <c r="C2998" s="18" t="s">
        <v>6011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6012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2057</v>
      </c>
      <c r="M2999" s="8"/>
    </row>
    <row r="3000" spans="1:13">
      <c r="A3000" s="72" t="s">
        <v>6013</v>
      </c>
      <c r="B3000" s="67">
        <v>40000949809</v>
      </c>
      <c r="C3000" s="72" t="s">
        <v>6014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2057</v>
      </c>
      <c r="M3000" s="8"/>
    </row>
    <row r="3001" spans="1:13">
      <c r="A3001" s="71" t="s">
        <v>6015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6016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6017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6018</v>
      </c>
      <c r="B3004" s="67"/>
      <c r="C3004" s="29" t="s">
        <v>1887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6019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6020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6021</v>
      </c>
      <c r="B3007" s="67">
        <v>13517396893</v>
      </c>
      <c r="C3007" s="72" t="s">
        <v>6022</v>
      </c>
      <c r="D3007" s="69">
        <v>61574252453</v>
      </c>
      <c r="E3007" s="9">
        <v>262</v>
      </c>
      <c r="F3007" s="25">
        <v>43160</v>
      </c>
      <c r="G3007" s="70" t="s">
        <v>1780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6023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1774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6024</v>
      </c>
      <c r="B3009" s="67"/>
      <c r="C3009" s="29" t="s">
        <v>6025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6026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1774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6027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1774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6028</v>
      </c>
      <c r="B3012" s="67">
        <v>4609966654</v>
      </c>
      <c r="C3012" s="72" t="s">
        <v>6029</v>
      </c>
      <c r="D3012" s="69">
        <v>28402756867</v>
      </c>
      <c r="E3012" s="9">
        <v>292</v>
      </c>
      <c r="F3012" s="25">
        <v>43168</v>
      </c>
      <c r="G3012" s="70" t="s">
        <v>1774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6030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6031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1774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6032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6033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6034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6034</v>
      </c>
      <c r="B3018" s="67"/>
      <c r="C3018" s="18" t="s">
        <v>1887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6035</v>
      </c>
      <c r="B3019" s="67"/>
      <c r="C3019" s="29" t="s">
        <v>1887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6036</v>
      </c>
      <c r="B3020" s="67">
        <v>40882575880</v>
      </c>
      <c r="C3020" s="72" t="s">
        <v>6037</v>
      </c>
      <c r="D3020" s="69">
        <v>39163987848</v>
      </c>
      <c r="E3020" s="9">
        <v>292</v>
      </c>
      <c r="F3020" s="25">
        <v>43168</v>
      </c>
      <c r="G3020" s="70" t="s">
        <v>1774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6038</v>
      </c>
      <c r="B3021" s="67"/>
      <c r="C3021" s="29" t="s">
        <v>1887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6039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6040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6041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6042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6043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6044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6045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6046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6047</v>
      </c>
      <c r="B3030" s="67"/>
      <c r="C3030" s="29" t="s">
        <v>1887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6048</v>
      </c>
      <c r="B3031" s="67">
        <v>44374068856</v>
      </c>
      <c r="C3031" s="72" t="s">
        <v>6049</v>
      </c>
      <c r="D3031" s="69">
        <v>34698741823</v>
      </c>
      <c r="E3031" s="9">
        <v>1489</v>
      </c>
      <c r="F3031" s="25">
        <v>43038</v>
      </c>
      <c r="G3031" s="70" t="s">
        <v>1774</v>
      </c>
      <c r="H3031" s="9"/>
      <c r="I3031" s="8"/>
      <c r="J3031" s="8"/>
      <c r="K3031" s="8"/>
      <c r="L3031" s="9" t="s">
        <v>1918</v>
      </c>
      <c r="M3031" s="8"/>
    </row>
    <row r="3032" spans="1:13">
      <c r="A3032" s="71" t="s">
        <v>6050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6051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2057</v>
      </c>
      <c r="M3033" s="8"/>
    </row>
    <row r="3034" spans="1:13">
      <c r="A3034" s="71" t="s">
        <v>6052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6053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1774</v>
      </c>
      <c r="H3035" s="9"/>
      <c r="I3035" s="8"/>
      <c r="J3035" s="8"/>
      <c r="K3035" s="8"/>
      <c r="L3035" s="8"/>
      <c r="M3035" s="8"/>
    </row>
    <row r="3036" spans="1:13">
      <c r="A3036" s="15" t="s">
        <v>6054</v>
      </c>
      <c r="B3036" s="67">
        <v>46812344869</v>
      </c>
      <c r="C3036" s="72" t="s">
        <v>6055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6056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6057</v>
      </c>
      <c r="B3038" s="67">
        <v>70659834634</v>
      </c>
      <c r="C3038" s="68" t="s">
        <v>6058</v>
      </c>
      <c r="D3038" s="69">
        <v>70558795404</v>
      </c>
      <c r="E3038" s="9">
        <v>1267</v>
      </c>
      <c r="F3038" s="25">
        <v>42998</v>
      </c>
      <c r="G3038" s="70" t="s">
        <v>1774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6059</v>
      </c>
      <c r="B3039" s="67"/>
      <c r="C3039" s="72" t="s">
        <v>6060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6061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6062</v>
      </c>
      <c r="B3041" s="67">
        <v>3867219630</v>
      </c>
      <c r="C3041" s="72" t="s">
        <v>6063</v>
      </c>
      <c r="D3041" s="69">
        <v>4268294503</v>
      </c>
      <c r="E3041" s="9">
        <v>1824</v>
      </c>
      <c r="F3041" s="25">
        <v>43091</v>
      </c>
      <c r="G3041" s="70" t="s">
        <v>1774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6064</v>
      </c>
      <c r="B3042" s="67">
        <v>27084341870</v>
      </c>
      <c r="C3042" s="72" t="s">
        <v>2081</v>
      </c>
      <c r="D3042" s="69">
        <v>70639957315</v>
      </c>
      <c r="E3042" s="9">
        <v>1214</v>
      </c>
      <c r="F3042" s="25">
        <v>42989</v>
      </c>
      <c r="G3042" s="70" t="s">
        <v>1780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6065</v>
      </c>
      <c r="B3043" s="67">
        <v>29697189870</v>
      </c>
      <c r="C3043" s="72" t="s">
        <v>6066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6067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1774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6068</v>
      </c>
      <c r="B3045" s="67">
        <v>4055380810</v>
      </c>
      <c r="C3045" s="29" t="s">
        <v>1887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6069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1774</v>
      </c>
      <c r="H3046" s="25">
        <v>43027</v>
      </c>
      <c r="I3046" s="8"/>
      <c r="J3046" s="8"/>
      <c r="K3046" s="8"/>
      <c r="L3046" s="9" t="s">
        <v>2011</v>
      </c>
      <c r="M3046" s="8"/>
    </row>
    <row r="3047" spans="1:13">
      <c r="A3047" s="16" t="s">
        <v>6070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6071</v>
      </c>
      <c r="B3048" s="67">
        <v>99038862504</v>
      </c>
      <c r="C3048" s="72" t="s">
        <v>6072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6073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1774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6074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6075</v>
      </c>
      <c r="B3051" s="67">
        <v>22505123888</v>
      </c>
      <c r="C3051" s="72" t="s">
        <v>6076</v>
      </c>
      <c r="D3051" s="69">
        <v>39819234808</v>
      </c>
      <c r="E3051" s="9">
        <v>1752</v>
      </c>
      <c r="F3051" s="25">
        <v>43051</v>
      </c>
      <c r="G3051" s="70" t="s">
        <v>1774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6077</v>
      </c>
      <c r="B3052" s="67"/>
      <c r="C3052" s="29" t="s">
        <v>1887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6078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6079</v>
      </c>
      <c r="B3054" s="67">
        <v>34850143890</v>
      </c>
      <c r="C3054" s="72" t="s">
        <v>6080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6081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6082</v>
      </c>
      <c r="B3056" s="67">
        <v>17852199879</v>
      </c>
      <c r="C3056" s="72" t="s">
        <v>6083</v>
      </c>
      <c r="D3056" s="69">
        <v>15255063827</v>
      </c>
      <c r="E3056" s="9">
        <v>1128</v>
      </c>
      <c r="F3056" s="25">
        <v>42972</v>
      </c>
      <c r="G3056" s="70" t="s">
        <v>1774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6084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1774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6085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6086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1774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6" priority="5" stopIfTrue="1"/>
  </conditionalFormatting>
  <conditionalFormatting sqref="A3:A128">
    <cfRule type="duplicateValues" dxfId="45" priority="4" stopIfTrue="1"/>
  </conditionalFormatting>
  <conditionalFormatting sqref="A3:A626">
    <cfRule type="duplicateValues" dxfId="44" priority="1" stopIfTrue="1"/>
  </conditionalFormatting>
  <conditionalFormatting sqref="B2684">
    <cfRule type="duplicateValues" dxfId="43" priority="3" stopIfTrue="1"/>
  </conditionalFormatting>
  <conditionalFormatting sqref="C689">
    <cfRule type="duplicateValues" dxfId="4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>
      <c r="K2" s="215"/>
      <c r="P2" s="217"/>
      <c r="Q2" s="218"/>
      <c r="R2" s="218"/>
    </row>
    <row r="3" spans="2:18" ht="24.75" customHeight="1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>
      <c r="B6" s="212"/>
      <c r="C6" s="212"/>
      <c r="D6" s="212"/>
      <c r="E6" s="191" t="s">
        <v>99</v>
      </c>
      <c r="F6" s="290" t="s">
        <v>148</v>
      </c>
      <c r="G6" s="290" t="s">
        <v>149</v>
      </c>
      <c r="H6" s="290" t="s">
        <v>151</v>
      </c>
      <c r="I6" s="290" t="s">
        <v>152</v>
      </c>
      <c r="K6" s="215"/>
      <c r="P6" s="220"/>
      <c r="Q6" s="220"/>
      <c r="R6" s="220"/>
    </row>
    <row r="7" spans="2:18" ht="24.75" customHeight="1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>
      <c r="D16" s="224"/>
      <c r="E16" s="191" t="s">
        <v>99</v>
      </c>
      <c r="F16" s="290" t="s">
        <v>552</v>
      </c>
      <c r="G16" s="290" t="s">
        <v>553</v>
      </c>
      <c r="H16" s="290" t="s">
        <v>555</v>
      </c>
      <c r="I16" s="290" t="s">
        <v>556</v>
      </c>
      <c r="K16" s="215"/>
      <c r="P16" s="220"/>
      <c r="Q16" s="220"/>
      <c r="R16" s="220"/>
    </row>
    <row r="17" spans="4:18" ht="24.75" customHeight="1">
      <c r="D17" s="223"/>
      <c r="E17" s="191" t="s">
        <v>99</v>
      </c>
      <c r="F17" s="290" t="s">
        <v>755</v>
      </c>
      <c r="G17" s="290" t="s">
        <v>756</v>
      </c>
      <c r="H17" s="290" t="s">
        <v>758</v>
      </c>
      <c r="I17" s="191" t="s">
        <v>759</v>
      </c>
      <c r="K17" s="215"/>
      <c r="P17" s="220"/>
      <c r="Q17" s="220"/>
      <c r="R17" s="220"/>
    </row>
    <row r="18" spans="4:18" ht="24.75" customHeight="1">
      <c r="D18" s="223"/>
      <c r="E18" s="191" t="s">
        <v>99</v>
      </c>
      <c r="F18" s="290" t="s">
        <v>760</v>
      </c>
      <c r="G18" s="290" t="s">
        <v>761</v>
      </c>
      <c r="H18" s="290" t="s">
        <v>763</v>
      </c>
      <c r="I18" s="163" t="s">
        <v>764</v>
      </c>
      <c r="K18" s="215"/>
      <c r="P18" s="220"/>
      <c r="Q18" s="220"/>
      <c r="R18" s="220"/>
    </row>
    <row r="19" spans="4:18" ht="24.75" customHeight="1">
      <c r="D19" s="223"/>
      <c r="E19" s="191" t="s">
        <v>99</v>
      </c>
      <c r="F19" s="290" t="s">
        <v>765</v>
      </c>
      <c r="G19" s="290" t="s">
        <v>766</v>
      </c>
      <c r="H19" s="290" t="s">
        <v>768</v>
      </c>
      <c r="I19" s="163" t="s">
        <v>770</v>
      </c>
      <c r="K19" s="215"/>
      <c r="P19" s="220"/>
      <c r="Q19" s="220"/>
      <c r="R19" s="225"/>
    </row>
    <row r="20" spans="4:18" ht="24.75" customHeight="1">
      <c r="E20" s="191" t="s">
        <v>99</v>
      </c>
      <c r="F20" s="290" t="s">
        <v>815</v>
      </c>
      <c r="G20" s="290" t="s">
        <v>816</v>
      </c>
      <c r="H20" s="290" t="s">
        <v>818</v>
      </c>
      <c r="I20" s="288" t="s">
        <v>819</v>
      </c>
      <c r="K20" s="215"/>
      <c r="P20" s="220"/>
      <c r="Q20" s="220"/>
      <c r="R20" s="220"/>
    </row>
    <row r="21" spans="4:18" ht="24.75" customHeight="1">
      <c r="E21" s="191" t="s">
        <v>99</v>
      </c>
      <c r="F21" s="290" t="s">
        <v>820</v>
      </c>
      <c r="G21" s="290" t="s">
        <v>821</v>
      </c>
      <c r="H21" s="290" t="s">
        <v>823</v>
      </c>
      <c r="I21" s="288" t="s">
        <v>824</v>
      </c>
      <c r="K21" s="215"/>
      <c r="P21" s="220"/>
      <c r="Q21" s="220"/>
      <c r="R21" s="220"/>
    </row>
    <row r="22" spans="4:18" ht="24.75" customHeight="1">
      <c r="E22" s="191" t="s">
        <v>99</v>
      </c>
      <c r="F22" s="290" t="s">
        <v>825</v>
      </c>
      <c r="G22" s="290" t="s">
        <v>826</v>
      </c>
      <c r="H22" s="290" t="s">
        <v>828</v>
      </c>
      <c r="I22" s="288" t="s">
        <v>829</v>
      </c>
      <c r="K22" s="215"/>
      <c r="P22" s="220"/>
      <c r="Q22" s="220"/>
      <c r="R22" s="220"/>
    </row>
    <row r="23" spans="4:18" ht="24.75" customHeight="1">
      <c r="E23" s="191" t="s">
        <v>99</v>
      </c>
      <c r="F23" s="290" t="s">
        <v>830</v>
      </c>
      <c r="G23" s="290" t="s">
        <v>831</v>
      </c>
      <c r="H23" s="290" t="s">
        <v>833</v>
      </c>
      <c r="I23" s="288" t="s">
        <v>834</v>
      </c>
      <c r="K23" s="214"/>
      <c r="P23" s="220"/>
      <c r="Q23" s="220"/>
      <c r="R23" s="220"/>
    </row>
    <row r="24" spans="4:18" ht="24.75" customHeight="1">
      <c r="E24" s="191" t="s">
        <v>99</v>
      </c>
      <c r="F24" s="290" t="s">
        <v>857</v>
      </c>
      <c r="G24" s="290" t="s">
        <v>858</v>
      </c>
      <c r="H24" s="290" t="s">
        <v>860</v>
      </c>
      <c r="I24" s="290" t="s">
        <v>861</v>
      </c>
      <c r="K24" s="215"/>
      <c r="P24" s="220"/>
      <c r="Q24" s="220"/>
      <c r="R24" s="220"/>
    </row>
    <row r="25" spans="4:18" ht="24.75" customHeight="1">
      <c r="E25" s="191" t="s">
        <v>99</v>
      </c>
      <c r="F25" s="290" t="s">
        <v>887</v>
      </c>
      <c r="G25" s="290" t="s">
        <v>888</v>
      </c>
      <c r="H25" s="290" t="s">
        <v>890</v>
      </c>
      <c r="I25" s="290" t="s">
        <v>892</v>
      </c>
      <c r="K25" s="215"/>
      <c r="P25" s="220"/>
      <c r="Q25" s="220"/>
      <c r="R25" s="220"/>
    </row>
    <row r="26" spans="4:18" ht="24.75" customHeight="1">
      <c r="E26" s="191" t="s">
        <v>99</v>
      </c>
      <c r="F26" s="290" t="s">
        <v>893</v>
      </c>
      <c r="G26" s="290" t="s">
        <v>897</v>
      </c>
      <c r="H26" s="290" t="s">
        <v>899</v>
      </c>
      <c r="I26" s="290" t="s">
        <v>900</v>
      </c>
      <c r="K26" s="215"/>
      <c r="P26" s="220"/>
      <c r="Q26" s="220"/>
      <c r="R26" s="220"/>
    </row>
    <row r="27" spans="4:18" ht="24.75" customHeight="1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>
      <c r="E38" s="260"/>
      <c r="K38" s="215"/>
      <c r="Q38" s="226"/>
      <c r="R38" s="227"/>
    </row>
    <row r="39" spans="5:18" ht="24.75" customHeight="1">
      <c r="E39" s="207"/>
      <c r="K39" s="215"/>
      <c r="Q39" s="226"/>
      <c r="R39" s="226"/>
    </row>
    <row r="40" spans="5:18" ht="24.75" customHeight="1">
      <c r="E40" s="207"/>
      <c r="K40" s="215"/>
      <c r="Q40" s="226"/>
      <c r="R40" s="226"/>
    </row>
    <row r="41" spans="5:18" ht="24.75" customHeight="1">
      <c r="E41" s="207"/>
      <c r="K41" s="215"/>
      <c r="Q41" s="226"/>
      <c r="R41" s="226"/>
    </row>
    <row r="42" spans="5:18" ht="24.75" customHeight="1">
      <c r="E42" s="207"/>
      <c r="K42" s="214"/>
      <c r="Q42" s="226"/>
      <c r="R42" s="227"/>
    </row>
    <row r="43" spans="5:18" ht="24.75" customHeight="1">
      <c r="E43" s="207" t="s">
        <v>99</v>
      </c>
      <c r="K43" s="215"/>
      <c r="Q43" s="226"/>
      <c r="R43" s="226"/>
    </row>
    <row r="44" spans="5:18" ht="24.75" customHeight="1">
      <c r="E44" s="207" t="s">
        <v>99</v>
      </c>
      <c r="K44" s="215"/>
      <c r="Q44" s="226"/>
      <c r="R44" s="227"/>
    </row>
    <row r="45" spans="5:18" ht="24.75" customHeight="1">
      <c r="E45" s="207" t="s">
        <v>99</v>
      </c>
      <c r="K45" s="214"/>
      <c r="Q45" s="227"/>
      <c r="R45" s="227"/>
    </row>
    <row r="46" spans="5:18" ht="24.75" customHeight="1">
      <c r="E46" s="207" t="s">
        <v>99</v>
      </c>
      <c r="K46" s="214"/>
      <c r="Q46" s="226"/>
      <c r="R46" s="226"/>
    </row>
    <row r="47" spans="5:18" ht="24.75" customHeight="1">
      <c r="E47" s="207" t="s">
        <v>99</v>
      </c>
      <c r="K47" s="215"/>
      <c r="Q47" s="227"/>
      <c r="R47" s="227"/>
    </row>
    <row r="48" spans="5:18" ht="24.75" customHeight="1">
      <c r="E48" s="207" t="s">
        <v>99</v>
      </c>
      <c r="K48" s="215"/>
      <c r="Q48" s="227"/>
      <c r="R48" s="227"/>
    </row>
    <row r="49" spans="5:18" ht="24.75" customHeight="1">
      <c r="E49" s="207" t="s">
        <v>99</v>
      </c>
      <c r="K49" s="215"/>
      <c r="Q49" s="226"/>
      <c r="R49" s="227"/>
    </row>
    <row r="50" spans="5:18" ht="24.75" customHeight="1">
      <c r="E50" s="207" t="s">
        <v>99</v>
      </c>
      <c r="K50" s="215"/>
      <c r="Q50" s="227"/>
      <c r="R50" s="227"/>
    </row>
    <row r="51" spans="5:18" ht="24.75" customHeight="1">
      <c r="E51" s="207" t="s">
        <v>99</v>
      </c>
      <c r="K51" s="214"/>
      <c r="Q51" s="227"/>
      <c r="R51" s="227"/>
    </row>
    <row r="52" spans="5:18" ht="24.75" customHeight="1">
      <c r="E52" s="207" t="s">
        <v>99</v>
      </c>
      <c r="K52" s="214"/>
      <c r="Q52" s="227"/>
      <c r="R52" s="227"/>
    </row>
    <row r="53" spans="5:18" ht="24.75" customHeight="1">
      <c r="E53" s="207" t="s">
        <v>99</v>
      </c>
      <c r="K53" s="215"/>
      <c r="Q53" s="227"/>
      <c r="R53" s="227"/>
    </row>
    <row r="54" spans="5:18" ht="24.75" customHeight="1">
      <c r="K54" s="215"/>
      <c r="Q54" s="227"/>
      <c r="R54" s="227"/>
    </row>
    <row r="55" spans="5:18" ht="24.75" customHeight="1">
      <c r="K55" s="215"/>
      <c r="Q55" s="227"/>
      <c r="R55" s="227"/>
    </row>
    <row r="56" spans="5:18" ht="24.75" customHeight="1">
      <c r="K56" s="215"/>
      <c r="Q56" s="227"/>
      <c r="R56" s="227"/>
    </row>
    <row r="57" spans="5:18" ht="24.75" customHeight="1">
      <c r="K57" s="215"/>
      <c r="Q57" s="227"/>
      <c r="R57" s="227"/>
    </row>
    <row r="58" spans="5:18" ht="24.75" customHeight="1">
      <c r="K58" s="215"/>
      <c r="Q58" s="227"/>
      <c r="R58" s="227"/>
    </row>
    <row r="59" spans="5:18" ht="24.75" customHeight="1">
      <c r="K59" s="215"/>
      <c r="Q59" s="227"/>
      <c r="R59" s="227"/>
    </row>
    <row r="60" spans="5:18" ht="24.75" customHeight="1">
      <c r="K60" s="215"/>
      <c r="Q60" s="226"/>
      <c r="R60" s="227"/>
    </row>
    <row r="61" spans="5:18" ht="24.75" customHeight="1">
      <c r="K61" s="215"/>
      <c r="Q61" s="226"/>
      <c r="R61" s="227"/>
    </row>
    <row r="62" spans="5:18" ht="24.75" customHeight="1">
      <c r="K62" s="215"/>
      <c r="Q62" s="226"/>
      <c r="R62" s="227"/>
    </row>
    <row r="63" spans="5:18" ht="24.75" customHeight="1">
      <c r="K63" s="215"/>
      <c r="Q63" s="226"/>
      <c r="R63" s="227"/>
    </row>
    <row r="64" spans="5:18" ht="24.75" customHeight="1">
      <c r="K64" s="214"/>
      <c r="Q64" s="226"/>
      <c r="R64" s="226"/>
    </row>
    <row r="65" spans="11:18" ht="24.75" customHeight="1">
      <c r="K65" s="214"/>
      <c r="Q65" s="226"/>
      <c r="R65" s="227"/>
    </row>
    <row r="66" spans="11:18" ht="24.75" customHeight="1">
      <c r="K66" s="215"/>
      <c r="Q66" s="226"/>
      <c r="R66" s="227"/>
    </row>
    <row r="67" spans="11:18" ht="24.75" customHeight="1">
      <c r="K67" s="215"/>
      <c r="Q67" s="226"/>
      <c r="R67" s="227"/>
    </row>
    <row r="68" spans="11:18" ht="24.75" customHeight="1">
      <c r="K68" s="215"/>
      <c r="Q68" s="227"/>
      <c r="R68" s="227"/>
    </row>
    <row r="69" spans="11:18" ht="24.75" customHeight="1">
      <c r="K69" s="215"/>
      <c r="Q69" s="226"/>
      <c r="R69" s="227"/>
    </row>
    <row r="70" spans="11:18" ht="24.75" customHeight="1">
      <c r="K70" s="215"/>
      <c r="Q70" s="226"/>
      <c r="R70" s="227"/>
    </row>
    <row r="71" spans="11:18" ht="24.75" customHeight="1">
      <c r="K71" s="215"/>
      <c r="Q71" s="226"/>
      <c r="R71" s="227"/>
    </row>
    <row r="72" spans="11:18" ht="24.75" customHeight="1">
      <c r="K72" s="215"/>
      <c r="Q72" s="226"/>
      <c r="R72" s="227"/>
    </row>
    <row r="73" spans="11:18" ht="24.75" customHeight="1">
      <c r="K73" s="215"/>
      <c r="Q73" s="226"/>
      <c r="R73" s="226"/>
    </row>
    <row r="74" spans="11:18" ht="24.75" customHeight="1">
      <c r="K74" s="215"/>
      <c r="Q74" s="226"/>
      <c r="R74" s="227"/>
    </row>
    <row r="75" spans="11:18" ht="24.75" customHeight="1">
      <c r="K75" s="215"/>
      <c r="Q75" s="226"/>
      <c r="R75" s="227"/>
    </row>
    <row r="76" spans="11:18" ht="24.75" customHeight="1">
      <c r="K76" s="215"/>
      <c r="Q76" s="226"/>
      <c r="R76" s="227"/>
    </row>
    <row r="77" spans="11:18" ht="24.75" customHeight="1">
      <c r="K77" s="215"/>
      <c r="Q77" s="226"/>
      <c r="R77" s="226"/>
    </row>
    <row r="78" spans="11:18" ht="24.75" customHeight="1">
      <c r="K78" s="215"/>
      <c r="Q78" s="226"/>
      <c r="R78" s="226"/>
    </row>
    <row r="79" spans="11:18" ht="24.75" customHeight="1">
      <c r="K79" s="215"/>
      <c r="Q79" s="226"/>
      <c r="R79" s="227"/>
    </row>
    <row r="80" spans="11:18" ht="24.75" customHeight="1">
      <c r="K80" s="214"/>
      <c r="Q80" s="226"/>
      <c r="R80" s="226"/>
    </row>
    <row r="81" spans="11:18" ht="24.75" customHeight="1">
      <c r="K81" s="215"/>
      <c r="Q81" s="226"/>
      <c r="R81" s="226"/>
    </row>
    <row r="82" spans="11:18" ht="24.75" customHeight="1">
      <c r="K82" s="215"/>
      <c r="Q82" s="227"/>
      <c r="R82" s="227"/>
    </row>
    <row r="83" spans="11:18" ht="24.75" customHeight="1">
      <c r="K83" s="215"/>
      <c r="Q83" s="227"/>
      <c r="R83" s="227"/>
    </row>
    <row r="84" spans="11:18" ht="24.75" customHeight="1">
      <c r="K84" s="215"/>
      <c r="Q84" s="226"/>
      <c r="R84" s="226"/>
    </row>
    <row r="85" spans="11:18" ht="24.75" customHeight="1">
      <c r="K85" s="215"/>
      <c r="Q85" s="227"/>
      <c r="R85" s="227"/>
    </row>
    <row r="86" spans="11:18" ht="24.75" customHeight="1">
      <c r="K86" s="215"/>
      <c r="Q86" s="227"/>
      <c r="R86" s="227"/>
    </row>
    <row r="87" spans="11:18" ht="24.75" customHeight="1">
      <c r="K87" s="215"/>
      <c r="Q87" s="227"/>
      <c r="R87" s="227"/>
    </row>
    <row r="88" spans="11:18" ht="24.75" customHeight="1">
      <c r="K88" s="215"/>
      <c r="Q88" s="227"/>
      <c r="R88" s="227"/>
    </row>
    <row r="89" spans="11:18" ht="24.75" customHeight="1">
      <c r="K89" s="215"/>
      <c r="Q89" s="227"/>
      <c r="R89" s="227"/>
    </row>
    <row r="90" spans="11:18" ht="24.75" customHeight="1">
      <c r="K90" s="215"/>
      <c r="Q90" s="227"/>
      <c r="R90" s="227"/>
    </row>
    <row r="91" spans="11:18" ht="24.75" customHeight="1">
      <c r="K91" s="215"/>
      <c r="Q91" s="227"/>
      <c r="R91" s="227"/>
    </row>
    <row r="92" spans="11:18" ht="24.75" customHeight="1">
      <c r="K92" s="215"/>
      <c r="Q92" s="227"/>
      <c r="R92" s="227"/>
    </row>
    <row r="93" spans="11:18" ht="24.75" customHeight="1">
      <c r="K93" s="215"/>
      <c r="Q93" s="227"/>
      <c r="R93" s="227"/>
    </row>
    <row r="94" spans="11:18" ht="24.75" customHeight="1">
      <c r="K94" s="215"/>
      <c r="Q94" s="227"/>
      <c r="R94" s="227"/>
    </row>
    <row r="95" spans="11:18" ht="24.75" customHeight="1">
      <c r="K95" s="215"/>
      <c r="Q95" s="227"/>
      <c r="R95" s="227"/>
    </row>
    <row r="96" spans="11:18" ht="24.75" customHeight="1">
      <c r="K96" s="215"/>
      <c r="Q96" s="227"/>
      <c r="R96" s="227"/>
    </row>
    <row r="97" spans="11:18" ht="24.75" customHeight="1">
      <c r="K97" s="215"/>
      <c r="Q97" s="227"/>
      <c r="R97" s="227"/>
    </row>
    <row r="98" spans="11:18" ht="24.75" customHeight="1">
      <c r="K98" s="215"/>
      <c r="Q98" s="227"/>
      <c r="R98" s="227"/>
    </row>
    <row r="99" spans="11:18" ht="24.75" customHeight="1">
      <c r="K99" s="215"/>
      <c r="Q99" s="227"/>
      <c r="R99" s="227"/>
    </row>
    <row r="100" spans="11:18" ht="24.75" customHeight="1">
      <c r="K100" s="215"/>
      <c r="Q100" s="227"/>
      <c r="R100" s="227"/>
    </row>
    <row r="101" spans="11:18" ht="24.75" customHeight="1">
      <c r="K101" s="215"/>
      <c r="Q101" s="227"/>
      <c r="R101" s="227"/>
    </row>
    <row r="102" spans="11:18" ht="24.75" customHeight="1">
      <c r="K102" s="215"/>
      <c r="Q102" s="226"/>
      <c r="R102" s="226"/>
    </row>
    <row r="103" spans="11:18" ht="24.75" customHeight="1">
      <c r="K103" s="215"/>
      <c r="Q103" s="226"/>
      <c r="R103" s="226"/>
    </row>
    <row r="104" spans="11:18" ht="24.75" customHeight="1">
      <c r="K104" s="215"/>
      <c r="Q104" s="227"/>
      <c r="R104" s="227"/>
    </row>
    <row r="105" spans="11:18" ht="24.75" customHeight="1">
      <c r="K105" s="215"/>
      <c r="Q105" s="227"/>
      <c r="R105" s="227"/>
    </row>
    <row r="106" spans="11:18" ht="24.75" customHeight="1">
      <c r="K106" s="215"/>
      <c r="Q106" s="227"/>
      <c r="R106" s="227"/>
    </row>
    <row r="107" spans="11:18" ht="24.75" customHeight="1">
      <c r="K107" s="215"/>
      <c r="Q107" s="227"/>
      <c r="R107" s="227"/>
    </row>
    <row r="108" spans="11:18" ht="24.75" customHeight="1">
      <c r="K108" s="215"/>
      <c r="Q108" s="227"/>
      <c r="R108" s="227"/>
    </row>
    <row r="109" spans="11:18" ht="24.75" customHeight="1">
      <c r="K109" s="215"/>
      <c r="Q109" s="227"/>
      <c r="R109" s="227"/>
    </row>
    <row r="110" spans="11:18" ht="24.75" customHeight="1">
      <c r="K110" s="215"/>
      <c r="Q110" s="227"/>
      <c r="R110" s="227"/>
    </row>
    <row r="111" spans="11:18" ht="24.75" customHeight="1">
      <c r="K111" s="215"/>
      <c r="Q111" s="227"/>
      <c r="R111" s="227"/>
    </row>
    <row r="112" spans="11:18" ht="24.75" customHeight="1">
      <c r="K112" s="215"/>
      <c r="Q112" s="227"/>
      <c r="R112" s="227"/>
    </row>
    <row r="113" spans="11:18" ht="24.75" customHeight="1">
      <c r="K113" s="215"/>
      <c r="Q113" s="227"/>
      <c r="R113" s="227"/>
    </row>
    <row r="114" spans="11:18" ht="24.75" customHeight="1">
      <c r="K114" s="215"/>
      <c r="Q114" s="227"/>
      <c r="R114" s="227"/>
    </row>
    <row r="115" spans="11:18" ht="24.75" customHeight="1">
      <c r="K115" s="215"/>
      <c r="Q115" s="227"/>
      <c r="R115" s="227"/>
    </row>
    <row r="116" spans="11:18" ht="24.75" customHeight="1">
      <c r="K116" s="215"/>
      <c r="Q116" s="227"/>
      <c r="R116" s="227"/>
    </row>
    <row r="117" spans="11:18" ht="24.75" customHeight="1">
      <c r="K117" s="215"/>
      <c r="Q117" s="226"/>
      <c r="R117" s="226"/>
    </row>
    <row r="118" spans="11:18" ht="24.75" customHeight="1">
      <c r="K118" s="215"/>
      <c r="Q118" s="226"/>
      <c r="R118" s="226"/>
    </row>
    <row r="119" spans="11:18" ht="24.75" customHeight="1">
      <c r="K119" s="215"/>
      <c r="Q119" s="227"/>
      <c r="R119" s="227"/>
    </row>
    <row r="120" spans="11:18" ht="24.75" customHeight="1">
      <c r="K120" s="215"/>
      <c r="Q120" s="226"/>
      <c r="R120" s="226"/>
    </row>
    <row r="121" spans="11:18" ht="24.75" customHeight="1">
      <c r="K121" s="215"/>
      <c r="Q121" s="227"/>
      <c r="R121" s="227"/>
    </row>
    <row r="122" spans="11:18" ht="24.75" customHeight="1">
      <c r="K122" s="215"/>
      <c r="Q122" s="227"/>
      <c r="R122" s="227"/>
    </row>
    <row r="123" spans="11:18" ht="24.75" customHeight="1">
      <c r="K123" s="215"/>
      <c r="Q123" s="226"/>
      <c r="R123" s="227"/>
    </row>
    <row r="124" spans="11:18" ht="24.75" customHeight="1">
      <c r="K124" s="215"/>
      <c r="Q124" s="227"/>
      <c r="R124" s="227"/>
    </row>
    <row r="125" spans="11:18" ht="24.75" customHeight="1">
      <c r="K125" s="215"/>
      <c r="Q125" s="227"/>
      <c r="R125" s="227"/>
    </row>
    <row r="126" spans="11:18" ht="24.75" customHeight="1">
      <c r="K126" s="215"/>
      <c r="Q126" s="226"/>
      <c r="R126" s="226"/>
    </row>
    <row r="127" spans="11:18" ht="24.75" customHeight="1">
      <c r="K127" s="215"/>
      <c r="Q127" s="226"/>
      <c r="R127" s="227"/>
    </row>
    <row r="128" spans="11:18" ht="24.75" customHeight="1">
      <c r="K128" s="215"/>
      <c r="Q128" s="227"/>
      <c r="R128" s="227"/>
    </row>
    <row r="129" spans="11:18" ht="24.75" customHeight="1">
      <c r="K129" s="215"/>
      <c r="Q129" s="227"/>
      <c r="R129" s="227"/>
    </row>
    <row r="130" spans="11:18" ht="24.75" customHeight="1">
      <c r="K130" s="215"/>
      <c r="Q130" s="227"/>
      <c r="R130" s="227"/>
    </row>
    <row r="131" spans="11:18" ht="24.75" customHeight="1">
      <c r="K131" s="215"/>
      <c r="Q131" s="227"/>
      <c r="R131" s="227"/>
    </row>
    <row r="132" spans="11:18" ht="24.75" customHeight="1">
      <c r="K132" s="215"/>
      <c r="Q132" s="226"/>
      <c r="R132" s="226"/>
    </row>
    <row r="133" spans="11:18" ht="24.75" customHeight="1">
      <c r="K133" s="215"/>
      <c r="Q133" s="227"/>
      <c r="R133" s="227"/>
    </row>
    <row r="134" spans="11:18" ht="24.75" customHeight="1">
      <c r="Q134" s="227"/>
      <c r="R134" s="227"/>
    </row>
    <row r="135" spans="11:18" ht="24.75" customHeight="1">
      <c r="Q135" s="227"/>
      <c r="R135" s="227"/>
    </row>
    <row r="136" spans="11:18" ht="24.75" customHeight="1">
      <c r="Q136" s="226"/>
      <c r="R136" s="226"/>
    </row>
    <row r="137" spans="11:18" ht="24.75" customHeight="1">
      <c r="Q137" s="226"/>
      <c r="R137" s="227"/>
    </row>
    <row r="138" spans="11:18" ht="24.75" customHeight="1">
      <c r="Q138" s="226"/>
      <c r="R138" s="227"/>
    </row>
    <row r="139" spans="11:18" ht="24.75" customHeight="1">
      <c r="Q139" s="226"/>
      <c r="R139" s="227"/>
    </row>
    <row r="140" spans="11:18" ht="24.75" customHeight="1">
      <c r="Q140" s="226"/>
      <c r="R140" s="227"/>
    </row>
    <row r="141" spans="11:18" ht="24.75" customHeight="1">
      <c r="Q141" s="226"/>
      <c r="R141" s="227"/>
    </row>
    <row r="142" spans="11:18" ht="24.75" customHeight="1">
      <c r="Q142" s="226"/>
      <c r="R142" s="226"/>
    </row>
    <row r="143" spans="11:18" ht="24.75" customHeight="1">
      <c r="Q143" s="227"/>
      <c r="R143" s="227"/>
    </row>
    <row r="144" spans="11:18" ht="24.75" customHeight="1">
      <c r="Q144" s="226"/>
      <c r="R144" s="227"/>
    </row>
    <row r="145" spans="17:18" ht="24.75" customHeight="1">
      <c r="Q145" s="226"/>
      <c r="R145" s="227"/>
    </row>
    <row r="146" spans="17:18" ht="24.75" customHeight="1">
      <c r="Q146" s="226"/>
      <c r="R146" s="226"/>
    </row>
    <row r="147" spans="17:18" ht="24.75" customHeight="1">
      <c r="Q147" s="227"/>
      <c r="R147" s="227"/>
    </row>
    <row r="148" spans="17:18" ht="24.75" customHeight="1">
      <c r="Q148" s="226"/>
      <c r="R148" s="226"/>
    </row>
    <row r="149" spans="17:18" ht="24.75" customHeight="1">
      <c r="Q149" s="227"/>
      <c r="R149" s="227"/>
    </row>
    <row r="150" spans="17:18" ht="24.75" customHeight="1">
      <c r="Q150" s="227"/>
      <c r="R150" s="227"/>
    </row>
    <row r="151" spans="17:18" ht="24.75" customHeight="1">
      <c r="Q151" s="226"/>
      <c r="R151" s="226"/>
    </row>
    <row r="152" spans="17:18" ht="24.75" customHeight="1">
      <c r="Q152" s="226"/>
      <c r="R152" s="226"/>
    </row>
    <row r="153" spans="17:18" ht="24.75" customHeight="1">
      <c r="Q153" s="226"/>
      <c r="R153" s="226"/>
    </row>
    <row r="154" spans="17:18" ht="24.75" customHeight="1">
      <c r="Q154" s="226"/>
      <c r="R154" s="227"/>
    </row>
    <row r="155" spans="17:18" ht="24.75" customHeight="1">
      <c r="Q155" s="226"/>
      <c r="R155" s="227"/>
    </row>
    <row r="156" spans="17:18" ht="24.75" customHeight="1">
      <c r="Q156" s="227"/>
      <c r="R156" s="227"/>
    </row>
    <row r="157" spans="17:18" ht="24.75" customHeight="1">
      <c r="Q157" s="227"/>
      <c r="R157" s="227"/>
    </row>
    <row r="158" spans="17:18" ht="24.75" customHeight="1">
      <c r="Q158" s="227"/>
      <c r="R158" s="227"/>
    </row>
    <row r="159" spans="17:18" ht="24.75" customHeight="1">
      <c r="Q159" s="227"/>
      <c r="R159" s="227"/>
    </row>
    <row r="160" spans="17:18" ht="24.75" customHeight="1">
      <c r="Q160" s="227"/>
      <c r="R160" s="227"/>
    </row>
    <row r="161" spans="17:18" ht="24.75" customHeight="1">
      <c r="Q161" s="227"/>
      <c r="R161" s="227"/>
    </row>
    <row r="162" spans="17:18" ht="24.75" customHeight="1">
      <c r="Q162" s="226"/>
      <c r="R162" s="227"/>
    </row>
    <row r="163" spans="17:18" ht="24.75" customHeight="1">
      <c r="Q163" s="227"/>
      <c r="R163" s="227"/>
    </row>
    <row r="164" spans="17:18" ht="24.75" customHeight="1">
      <c r="Q164" s="227"/>
      <c r="R164" s="227"/>
    </row>
    <row r="165" spans="17:18" ht="24.75" customHeight="1">
      <c r="Q165" s="227"/>
      <c r="R165" s="227"/>
    </row>
    <row r="166" spans="17:18" ht="24.75" customHeight="1">
      <c r="Q166" s="227"/>
      <c r="R166" s="227"/>
    </row>
    <row r="167" spans="17:18" ht="24.75" customHeight="1">
      <c r="Q167" s="227"/>
      <c r="R167" s="227"/>
    </row>
    <row r="168" spans="17:18" ht="24.75" customHeight="1">
      <c r="Q168" s="226"/>
      <c r="R168" s="227"/>
    </row>
    <row r="169" spans="17:18" ht="24.75" customHeight="1">
      <c r="Q169" s="227"/>
      <c r="R169" s="227"/>
    </row>
    <row r="170" spans="17:18" ht="24.75" customHeight="1">
      <c r="Q170" s="227"/>
      <c r="R170" s="227"/>
    </row>
    <row r="171" spans="17:18" ht="24.75" customHeight="1">
      <c r="Q171" s="227"/>
      <c r="R171" s="227"/>
    </row>
    <row r="172" spans="17:18" ht="24.75" customHeight="1">
      <c r="Q172" s="226"/>
      <c r="R172" s="227"/>
    </row>
    <row r="173" spans="17:18" ht="24.75" customHeight="1">
      <c r="Q173" s="227"/>
      <c r="R173" s="227"/>
    </row>
    <row r="174" spans="17:18" ht="24.75" customHeight="1">
      <c r="Q174" s="227"/>
      <c r="R174" s="227"/>
    </row>
    <row r="175" spans="17:18" ht="24.75" customHeight="1">
      <c r="Q175" s="227"/>
      <c r="R175" s="227"/>
    </row>
    <row r="176" spans="17:18" ht="24.75" customHeight="1">
      <c r="Q176" s="227"/>
      <c r="R176" s="227"/>
    </row>
    <row r="177" spans="17:18" ht="24.75" customHeight="1">
      <c r="Q177" s="226"/>
      <c r="R177" s="227"/>
    </row>
    <row r="178" spans="17:18" ht="24.75" customHeight="1">
      <c r="Q178" s="227"/>
      <c r="R178" s="227"/>
    </row>
    <row r="179" spans="17:18" ht="24.75" customHeight="1">
      <c r="Q179" s="227"/>
      <c r="R179" s="227"/>
    </row>
    <row r="180" spans="17:18" ht="24.75" customHeight="1">
      <c r="Q180" s="227"/>
      <c r="R180" s="227"/>
    </row>
    <row r="181" spans="17:18" ht="24.75" customHeight="1">
      <c r="Q181" s="227"/>
      <c r="R181" s="227"/>
    </row>
    <row r="182" spans="17:18" ht="24.75" customHeight="1">
      <c r="Q182" s="227"/>
      <c r="R182" s="227"/>
    </row>
    <row r="183" spans="17:18" ht="24.75" customHeight="1">
      <c r="Q183" s="227"/>
      <c r="R183" s="227"/>
    </row>
    <row r="184" spans="17:18" ht="24.75" customHeight="1">
      <c r="Q184" s="227"/>
      <c r="R184" s="227"/>
    </row>
    <row r="185" spans="17:18" ht="24.75" customHeight="1">
      <c r="Q185" s="227"/>
      <c r="R185" s="227"/>
    </row>
    <row r="186" spans="17:18" ht="24.75" customHeight="1">
      <c r="Q186" s="227"/>
      <c r="R186" s="227"/>
    </row>
    <row r="187" spans="17:18" ht="24.75" customHeight="1">
      <c r="Q187" s="226"/>
      <c r="R187" s="227"/>
    </row>
    <row r="188" spans="17:18" ht="24.75" customHeight="1">
      <c r="Q188" s="227"/>
      <c r="R188" s="227"/>
    </row>
    <row r="189" spans="17:18" ht="24.75" customHeight="1">
      <c r="Q189" s="226"/>
      <c r="R189" s="227"/>
    </row>
    <row r="190" spans="17:18" ht="24.75" customHeight="1">
      <c r="Q190" s="227"/>
      <c r="R190" s="227"/>
    </row>
    <row r="191" spans="17:18" ht="24.75" customHeight="1">
      <c r="Q191" s="227"/>
      <c r="R191" s="227"/>
    </row>
    <row r="192" spans="17:18" ht="24.75" customHeight="1">
      <c r="Q192" s="227"/>
      <c r="R192" s="227"/>
    </row>
    <row r="193" spans="17:18" ht="24.75" customHeight="1">
      <c r="Q193" s="227"/>
      <c r="R193" s="227"/>
    </row>
    <row r="194" spans="17:18" ht="24.75" customHeight="1">
      <c r="Q194" s="227"/>
      <c r="R194" s="227"/>
    </row>
    <row r="195" spans="17:18" ht="24.75" customHeight="1">
      <c r="Q195" s="227"/>
      <c r="R195" s="227"/>
    </row>
    <row r="196" spans="17:18" ht="24.75" customHeight="1">
      <c r="Q196" s="227"/>
      <c r="R196" s="227"/>
    </row>
    <row r="197" spans="17:18" ht="24.75" customHeight="1">
      <c r="Q197" s="227"/>
      <c r="R197" s="227"/>
    </row>
    <row r="198" spans="17:18" ht="24.75" customHeight="1">
      <c r="Q198" s="227"/>
      <c r="R198" s="227"/>
    </row>
    <row r="199" spans="17:18" ht="24.75" customHeight="1">
      <c r="Q199" s="227"/>
      <c r="R199" s="227"/>
    </row>
    <row r="200" spans="17:18" ht="24.75" customHeight="1">
      <c r="Q200" s="228"/>
      <c r="R200" s="227"/>
    </row>
    <row r="201" spans="17:18" ht="24.75" customHeight="1">
      <c r="Q201" s="226"/>
      <c r="R201" s="227"/>
    </row>
    <row r="202" spans="17:18" ht="24.75" customHeight="1">
      <c r="Q202" s="227"/>
      <c r="R202" s="227"/>
    </row>
    <row r="203" spans="17:18" ht="24.75" customHeight="1">
      <c r="Q203" s="227"/>
      <c r="R203" s="227"/>
    </row>
    <row r="204" spans="17:18" ht="24.75" customHeight="1">
      <c r="Q204" s="227"/>
      <c r="R204" s="227"/>
    </row>
    <row r="205" spans="17:18" ht="24.75" customHeight="1">
      <c r="Q205" s="227"/>
      <c r="R205" s="227"/>
    </row>
    <row r="206" spans="17:18" ht="24.75" customHeight="1">
      <c r="Q206" s="227"/>
      <c r="R206" s="227"/>
    </row>
    <row r="207" spans="17:18" ht="24.75" customHeight="1">
      <c r="Q207" s="227"/>
      <c r="R207" s="227"/>
    </row>
    <row r="208" spans="17:18" ht="24.75" customHeight="1">
      <c r="Q208" s="226"/>
      <c r="R208" s="227"/>
    </row>
    <row r="209" spans="17:18" ht="24.75" customHeight="1">
      <c r="Q209" s="227"/>
      <c r="R209" s="227"/>
    </row>
    <row r="210" spans="17:18" ht="24.75" customHeight="1">
      <c r="Q210" s="227"/>
      <c r="R210" s="227"/>
    </row>
    <row r="211" spans="17:18" ht="24.75" customHeight="1">
      <c r="Q211" s="227"/>
      <c r="R211" s="227"/>
    </row>
    <row r="212" spans="17:18" ht="24.75" customHeight="1">
      <c r="Q212" s="227"/>
      <c r="R212" s="227"/>
    </row>
    <row r="213" spans="17:18" ht="24.75" customHeight="1">
      <c r="Q213" s="227"/>
      <c r="R213" s="227"/>
    </row>
    <row r="214" spans="17:18" ht="24.75" customHeight="1">
      <c r="Q214" s="226"/>
      <c r="R214" s="227"/>
    </row>
    <row r="215" spans="17:18" ht="24.75" customHeight="1">
      <c r="Q215" s="226"/>
      <c r="R215" s="227"/>
    </row>
    <row r="216" spans="17:18" ht="24.75" customHeight="1">
      <c r="Q216" s="227"/>
      <c r="R216" s="227"/>
    </row>
    <row r="217" spans="17:18" ht="24.75" customHeight="1">
      <c r="Q217" s="227"/>
      <c r="R217" s="227"/>
    </row>
    <row r="218" spans="17:18" ht="24.75" customHeight="1">
      <c r="Q218" s="226"/>
      <c r="R218" s="227"/>
    </row>
    <row r="219" spans="17:18" ht="24.75" customHeight="1">
      <c r="Q219" s="227"/>
      <c r="R219" s="227"/>
    </row>
    <row r="220" spans="17:18" ht="24.75" customHeight="1">
      <c r="Q220" s="227"/>
      <c r="R220" s="227"/>
    </row>
    <row r="221" spans="17:18" ht="24.75" customHeight="1">
      <c r="Q221" s="227"/>
      <c r="R221" s="227"/>
    </row>
    <row r="222" spans="17:18" ht="24.75" customHeight="1">
      <c r="Q222" s="227"/>
      <c r="R222" s="227"/>
    </row>
    <row r="223" spans="17:18" ht="24.75" customHeight="1">
      <c r="Q223" s="227"/>
      <c r="R223" s="227"/>
    </row>
    <row r="224" spans="17:18" ht="24.75" customHeight="1">
      <c r="Q224" s="227"/>
      <c r="R224" s="227"/>
    </row>
    <row r="225" spans="17:18" ht="24.75" customHeight="1">
      <c r="Q225" s="227"/>
      <c r="R225" s="227"/>
    </row>
    <row r="226" spans="17:18" ht="24.75" customHeight="1">
      <c r="Q226" s="227"/>
      <c r="R226" s="227"/>
    </row>
    <row r="227" spans="17:18" ht="24.75" customHeight="1">
      <c r="Q227" s="227"/>
      <c r="R227" s="227"/>
    </row>
    <row r="228" spans="17:18" ht="24.75" customHeight="1">
      <c r="Q228" s="226"/>
      <c r="R228" s="227"/>
    </row>
    <row r="229" spans="17:18" ht="24.75" customHeight="1">
      <c r="Q229" s="227"/>
      <c r="R229" s="227"/>
    </row>
    <row r="230" spans="17:18" ht="24.75" customHeight="1">
      <c r="Q230" s="226"/>
      <c r="R230" s="227"/>
    </row>
    <row r="231" spans="17:18" ht="24.75" customHeight="1">
      <c r="Q231" s="227"/>
      <c r="R231" s="227"/>
    </row>
    <row r="232" spans="17:18" ht="24.75" customHeight="1">
      <c r="Q232" s="227"/>
      <c r="R232" s="227"/>
    </row>
    <row r="233" spans="17:18" ht="24.75" customHeight="1">
      <c r="Q233" s="227"/>
      <c r="R233" s="227"/>
    </row>
    <row r="234" spans="17:18" ht="24.75" customHeight="1">
      <c r="Q234" s="227"/>
      <c r="R234" s="227"/>
    </row>
    <row r="235" spans="17:18" ht="24.75" customHeight="1">
      <c r="Q235" s="227"/>
      <c r="R235" s="227"/>
    </row>
    <row r="236" spans="17:18" ht="24.75" customHeight="1">
      <c r="Q236" s="226"/>
      <c r="R236" s="227"/>
    </row>
    <row r="237" spans="17:18" ht="24.75" customHeight="1">
      <c r="Q237" s="227"/>
      <c r="R237" s="227"/>
    </row>
    <row r="238" spans="17:18" ht="24.75" customHeight="1">
      <c r="Q238" s="227"/>
      <c r="R238" s="227"/>
    </row>
    <row r="239" spans="17:18" ht="24.75" customHeight="1">
      <c r="Q239" s="227"/>
      <c r="R239" s="227"/>
    </row>
    <row r="240" spans="17:18" ht="24.75" customHeight="1">
      <c r="Q240" s="227"/>
      <c r="R240" s="227"/>
    </row>
    <row r="241" spans="17:18" ht="24.75" customHeight="1">
      <c r="Q241" s="227"/>
      <c r="R241" s="227"/>
    </row>
    <row r="242" spans="17:18" ht="24.75" customHeight="1">
      <c r="Q242" s="227"/>
      <c r="R242" s="227"/>
    </row>
    <row r="243" spans="17:18" ht="24.75" customHeight="1">
      <c r="Q243" s="227"/>
      <c r="R243" s="227"/>
    </row>
    <row r="244" spans="17:18" ht="24.75" customHeight="1">
      <c r="Q244" s="227"/>
      <c r="R244" s="227"/>
    </row>
    <row r="245" spans="17:18" ht="24.75" customHeight="1">
      <c r="Q245" s="226"/>
      <c r="R245" s="227"/>
    </row>
    <row r="246" spans="17:18" ht="24.75" customHeight="1">
      <c r="Q246" s="227"/>
      <c r="R246" s="227"/>
    </row>
    <row r="247" spans="17:18" ht="24.75" customHeight="1">
      <c r="Q247" s="227"/>
      <c r="R247" s="227"/>
    </row>
    <row r="248" spans="17:18" ht="24.75" customHeight="1">
      <c r="Q248" s="226"/>
      <c r="R248" s="227"/>
    </row>
    <row r="249" spans="17:18" ht="24.75" customHeight="1">
      <c r="Q249" s="227"/>
      <c r="R249" s="227"/>
    </row>
    <row r="250" spans="17:18" ht="24.75" customHeight="1">
      <c r="Q250" s="227"/>
      <c r="R250" s="227"/>
    </row>
    <row r="251" spans="17:18" ht="24.75" customHeight="1">
      <c r="Q251" s="227"/>
      <c r="R251" s="227"/>
    </row>
    <row r="252" spans="17:18" ht="24.75" customHeight="1">
      <c r="Q252" s="227"/>
      <c r="R252" s="227"/>
    </row>
    <row r="253" spans="17:18" ht="24.75" customHeight="1">
      <c r="Q253" s="227"/>
      <c r="R253" s="227"/>
    </row>
    <row r="254" spans="17:18" ht="24.75" customHeight="1">
      <c r="Q254" s="227"/>
      <c r="R254" s="227"/>
    </row>
    <row r="255" spans="17:18" ht="24.75" customHeight="1">
      <c r="Q255" s="227"/>
      <c r="R255" s="227"/>
    </row>
    <row r="256" spans="17:18" ht="24.75" customHeight="1">
      <c r="Q256" s="227"/>
      <c r="R256" s="227"/>
    </row>
    <row r="257" spans="17:18" ht="24.75" customHeight="1">
      <c r="Q257" s="226"/>
      <c r="R257" s="227"/>
    </row>
    <row r="258" spans="17:18" ht="24.75" customHeight="1">
      <c r="Q258" s="227"/>
      <c r="R258" s="227"/>
    </row>
    <row r="259" spans="17:18" ht="24.75" customHeight="1">
      <c r="Q259" s="227"/>
      <c r="R259" s="227"/>
    </row>
    <row r="260" spans="17:18" ht="24.75" customHeight="1">
      <c r="Q260" s="227"/>
      <c r="R260" s="227"/>
    </row>
    <row r="261" spans="17:18" ht="24.75" customHeight="1">
      <c r="Q261" s="227"/>
      <c r="R261" s="227"/>
    </row>
    <row r="262" spans="17:18" ht="24.75" customHeight="1">
      <c r="Q262" s="226"/>
      <c r="R262" s="227"/>
    </row>
    <row r="263" spans="17:18" ht="24.75" customHeight="1">
      <c r="Q263" s="227"/>
      <c r="R263" s="227"/>
    </row>
    <row r="264" spans="17:18" ht="24.75" customHeight="1">
      <c r="Q264" s="227"/>
      <c r="R264" s="227"/>
    </row>
    <row r="265" spans="17:18" ht="24.75" customHeight="1">
      <c r="Q265" s="227"/>
      <c r="R265" s="227"/>
    </row>
    <row r="266" spans="17:18" ht="24.75" customHeight="1">
      <c r="Q266" s="227"/>
      <c r="R266" s="227"/>
    </row>
    <row r="267" spans="17:18" ht="24.75" customHeight="1">
      <c r="Q267" s="227"/>
      <c r="R267" s="227"/>
    </row>
    <row r="268" spans="17:18" ht="24.75" customHeight="1">
      <c r="Q268" s="227"/>
      <c r="R268" s="227"/>
    </row>
    <row r="269" spans="17:18" ht="24.75" customHeight="1">
      <c r="Q269" s="227"/>
      <c r="R269" s="227"/>
    </row>
    <row r="270" spans="17:18" ht="24.75" customHeight="1">
      <c r="Q270" s="227"/>
      <c r="R270" s="227"/>
    </row>
    <row r="271" spans="17:18" ht="24.75" customHeight="1">
      <c r="Q271" s="227"/>
      <c r="R271" s="227"/>
    </row>
    <row r="272" spans="17:18" ht="24.75" customHeight="1">
      <c r="Q272" s="227"/>
      <c r="R272" s="227"/>
    </row>
    <row r="273" spans="17:18" ht="24.75" customHeight="1">
      <c r="Q273" s="227"/>
      <c r="R273" s="227"/>
    </row>
    <row r="274" spans="17:18" ht="24.75" customHeight="1">
      <c r="Q274" s="227"/>
      <c r="R274" s="227"/>
    </row>
    <row r="275" spans="17:18" ht="24.75" customHeight="1">
      <c r="Q275" s="226"/>
      <c r="R275" s="227"/>
    </row>
    <row r="276" spans="17:18" ht="24.75" customHeight="1">
      <c r="Q276" s="227"/>
      <c r="R276" s="227"/>
    </row>
    <row r="277" spans="17:18" ht="24.75" customHeight="1">
      <c r="Q277" s="227"/>
      <c r="R277" s="227"/>
    </row>
    <row r="278" spans="17:18" ht="24.75" customHeight="1">
      <c r="Q278" s="227"/>
      <c r="R278" s="227"/>
    </row>
    <row r="279" spans="17:18" ht="24.75" customHeight="1">
      <c r="Q279" s="227"/>
      <c r="R279" s="227"/>
    </row>
    <row r="280" spans="17:18" ht="24.75" customHeight="1">
      <c r="Q280" s="227"/>
      <c r="R280" s="227"/>
    </row>
    <row r="281" spans="17:18" ht="24.75" customHeight="1">
      <c r="Q281" s="227"/>
      <c r="R281" s="227"/>
    </row>
    <row r="282" spans="17:18" ht="24.75" customHeight="1">
      <c r="Q282" s="227"/>
      <c r="R282" s="227"/>
    </row>
    <row r="283" spans="17:18" ht="24.75" customHeight="1">
      <c r="Q283" s="227"/>
      <c r="R283" s="227"/>
    </row>
    <row r="284" spans="17:18" ht="24.75" customHeight="1">
      <c r="Q284" s="227"/>
      <c r="R284" s="227"/>
    </row>
    <row r="285" spans="17:18" ht="24.75" customHeight="1">
      <c r="Q285" s="227"/>
      <c r="R285" s="227"/>
    </row>
    <row r="286" spans="17:18" ht="24.75" customHeight="1">
      <c r="Q286" s="226"/>
      <c r="R286" s="227"/>
    </row>
    <row r="287" spans="17:18" ht="24.75" customHeight="1">
      <c r="Q287" s="227"/>
      <c r="R287" s="227"/>
    </row>
    <row r="288" spans="17:18" ht="24.75" customHeight="1">
      <c r="Q288" s="227"/>
      <c r="R288" s="227"/>
    </row>
    <row r="289" spans="17:18" ht="24.75" customHeight="1">
      <c r="Q289" s="227"/>
      <c r="R289" s="227"/>
    </row>
    <row r="290" spans="17:18" ht="24.75" customHeight="1">
      <c r="Q290" s="227"/>
      <c r="R290" s="227"/>
    </row>
    <row r="291" spans="17:18" ht="24.75" customHeight="1">
      <c r="Q291" s="227"/>
      <c r="R291" s="227"/>
    </row>
    <row r="292" spans="17:18" ht="24.75" customHeight="1">
      <c r="Q292" s="227"/>
      <c r="R292" s="227"/>
    </row>
    <row r="293" spans="17:18" ht="24.75" customHeight="1">
      <c r="Q293" s="227"/>
      <c r="R293" s="227"/>
    </row>
    <row r="294" spans="17:18" ht="24.75" customHeight="1">
      <c r="Q294" s="227"/>
      <c r="R294" s="227"/>
    </row>
    <row r="295" spans="17:18" ht="24.75" customHeight="1">
      <c r="Q295" s="227"/>
      <c r="R295" s="227"/>
    </row>
    <row r="296" spans="17:18" ht="24.75" customHeight="1">
      <c r="Q296" s="227"/>
      <c r="R296" s="227"/>
    </row>
    <row r="297" spans="17:18" ht="24.75" customHeight="1">
      <c r="Q297" s="227"/>
      <c r="R297" s="227"/>
    </row>
    <row r="298" spans="17:18" ht="24.75" customHeight="1">
      <c r="Q298" s="227"/>
      <c r="R298" s="227"/>
    </row>
    <row r="299" spans="17:18" ht="24.75" customHeight="1">
      <c r="Q299" s="227"/>
      <c r="R299" s="227"/>
    </row>
    <row r="300" spans="17:18" ht="24.75" customHeight="1">
      <c r="Q300" s="227"/>
      <c r="R300" s="227"/>
    </row>
    <row r="301" spans="17:18" ht="24.75" customHeight="1">
      <c r="Q301" s="227"/>
      <c r="R301" s="227"/>
    </row>
    <row r="302" spans="17:18" ht="24.75" customHeight="1">
      <c r="Q302" s="227"/>
      <c r="R302" s="227"/>
    </row>
    <row r="303" spans="17:18" ht="24.75" customHeight="1">
      <c r="Q303" s="227"/>
      <c r="R303" s="227"/>
    </row>
    <row r="304" spans="17:18" ht="24.75" customHeight="1">
      <c r="Q304" s="227"/>
      <c r="R304" s="227"/>
    </row>
    <row r="305" spans="17:18" ht="24.75" customHeight="1">
      <c r="Q305" s="227"/>
      <c r="R305" s="227"/>
    </row>
    <row r="306" spans="17:18" ht="24.75" customHeight="1">
      <c r="Q306" s="227"/>
      <c r="R306" s="227"/>
    </row>
    <row r="307" spans="17:18" ht="24.75" customHeight="1">
      <c r="Q307" s="226"/>
      <c r="R307" s="227"/>
    </row>
    <row r="308" spans="17:18" ht="24.75" customHeight="1">
      <c r="Q308" s="227"/>
      <c r="R308" s="227"/>
    </row>
    <row r="309" spans="17:18" ht="24.75" customHeight="1">
      <c r="Q309" s="227"/>
      <c r="R309" s="227"/>
    </row>
    <row r="310" spans="17:18" ht="24.75" customHeight="1">
      <c r="Q310" s="227"/>
      <c r="R310" s="227"/>
    </row>
    <row r="311" spans="17:18" ht="24.75" customHeight="1">
      <c r="Q311" s="227"/>
      <c r="R311" s="227"/>
    </row>
    <row r="312" spans="17:18" ht="24.75" customHeight="1">
      <c r="Q312" s="227"/>
      <c r="R312" s="227"/>
    </row>
    <row r="313" spans="17:18" ht="24.75" customHeight="1">
      <c r="Q313" s="226"/>
      <c r="R313" s="227"/>
    </row>
    <row r="314" spans="17:18" ht="24.75" customHeight="1">
      <c r="Q314" s="227"/>
      <c r="R314" s="227"/>
    </row>
    <row r="315" spans="17:18" ht="24.75" customHeight="1">
      <c r="Q315" s="227"/>
      <c r="R315" s="227"/>
    </row>
    <row r="316" spans="17:18" ht="24.75" customHeight="1">
      <c r="Q316" s="227"/>
      <c r="R316" s="227"/>
    </row>
    <row r="317" spans="17:18" ht="24.75" customHeight="1">
      <c r="Q317" s="227"/>
      <c r="R317" s="227"/>
    </row>
    <row r="318" spans="17:18" ht="24.75" customHeight="1">
      <c r="Q318" s="227"/>
      <c r="R318" s="227"/>
    </row>
    <row r="319" spans="17:18" ht="24.75" customHeight="1">
      <c r="Q319" s="227"/>
      <c r="R319" s="227"/>
    </row>
    <row r="320" spans="17:18" ht="24.75" customHeight="1">
      <c r="Q320" s="227"/>
      <c r="R320" s="227"/>
    </row>
    <row r="321" spans="17:18" ht="24.75" customHeight="1">
      <c r="Q321" s="227"/>
      <c r="R321" s="227"/>
    </row>
    <row r="322" spans="17:18" ht="24.75" customHeight="1">
      <c r="Q322" s="227"/>
      <c r="R322" s="227"/>
    </row>
    <row r="323" spans="17:18" ht="24.75" customHeight="1">
      <c r="Q323" s="227"/>
      <c r="R323" s="227"/>
    </row>
    <row r="324" spans="17:18" ht="24.75" customHeight="1">
      <c r="Q324" s="227"/>
      <c r="R324" s="227"/>
    </row>
    <row r="325" spans="17:18" ht="24.75" customHeight="1">
      <c r="Q325" s="227"/>
      <c r="R325" s="227"/>
    </row>
    <row r="326" spans="17:18" ht="24.75" customHeight="1">
      <c r="Q326" s="227"/>
      <c r="R326" s="227"/>
    </row>
    <row r="327" spans="17:18" ht="24.75" customHeight="1">
      <c r="Q327" s="227"/>
      <c r="R327" s="227"/>
    </row>
    <row r="328" spans="17:18" ht="24.75" customHeight="1">
      <c r="Q328" s="227"/>
      <c r="R328" s="227"/>
    </row>
    <row r="329" spans="17:18" ht="24.75" customHeight="1">
      <c r="Q329" s="227"/>
      <c r="R329" s="227"/>
    </row>
    <row r="330" spans="17:18" ht="24.75" customHeight="1">
      <c r="Q330" s="227"/>
      <c r="R330" s="227"/>
    </row>
    <row r="331" spans="17:18" ht="24.75" customHeight="1">
      <c r="Q331" s="227"/>
      <c r="R331" s="227"/>
    </row>
    <row r="332" spans="17:18" ht="24.75" customHeight="1">
      <c r="Q332" s="227"/>
      <c r="R332" s="227"/>
    </row>
    <row r="333" spans="17:18" ht="24.75" customHeight="1">
      <c r="Q333" s="227"/>
      <c r="R333" s="227"/>
    </row>
    <row r="334" spans="17:18" ht="24.75" customHeight="1">
      <c r="Q334" s="227"/>
      <c r="R334" s="227"/>
    </row>
    <row r="335" spans="17:18" ht="24.75" customHeight="1">
      <c r="Q335" s="227"/>
      <c r="R335" s="227"/>
    </row>
    <row r="336" spans="17:18" ht="24.75" customHeight="1">
      <c r="Q336" s="227"/>
      <c r="R336" s="227"/>
    </row>
    <row r="337" spans="17:18" ht="24.75" customHeight="1">
      <c r="Q337" s="227"/>
      <c r="R337" s="227"/>
    </row>
    <row r="338" spans="17:18" ht="24.75" customHeight="1">
      <c r="Q338" s="227"/>
      <c r="R338" s="227"/>
    </row>
    <row r="339" spans="17:18" ht="24.75" customHeight="1">
      <c r="Q339" s="227"/>
      <c r="R339" s="227"/>
    </row>
    <row r="340" spans="17:18" ht="24.75" customHeight="1">
      <c r="Q340" s="227"/>
      <c r="R340" s="227"/>
    </row>
    <row r="341" spans="17:18" ht="24.75" customHeight="1">
      <c r="Q341" s="227"/>
      <c r="R341" s="227"/>
    </row>
    <row r="342" spans="17:18" ht="24.75" customHeight="1">
      <c r="Q342" s="227"/>
      <c r="R342" s="227"/>
    </row>
    <row r="343" spans="17:18" ht="24.75" customHeight="1">
      <c r="Q343" s="227"/>
      <c r="R343" s="227"/>
    </row>
    <row r="344" spans="17:18" ht="24.75" customHeight="1">
      <c r="Q344" s="227"/>
      <c r="R344" s="227"/>
    </row>
    <row r="345" spans="17:18" ht="24.75" customHeight="1">
      <c r="Q345" s="227"/>
      <c r="R345" s="227"/>
    </row>
    <row r="346" spans="17:18" ht="24.75" customHeight="1">
      <c r="Q346" s="227"/>
      <c r="R346" s="227"/>
    </row>
    <row r="347" spans="17:18" ht="24.75" customHeight="1">
      <c r="Q347" s="227"/>
      <c r="R347" s="227"/>
    </row>
    <row r="348" spans="17:18" ht="24.75" customHeight="1">
      <c r="Q348" s="227"/>
      <c r="R348" s="227"/>
    </row>
    <row r="349" spans="17:18" ht="24.75" customHeight="1">
      <c r="Q349" s="227"/>
      <c r="R349" s="227"/>
    </row>
    <row r="350" spans="17:18" ht="24.75" customHeight="1">
      <c r="Q350" s="227"/>
      <c r="R350" s="227"/>
    </row>
    <row r="351" spans="17:18" ht="24.75" customHeight="1">
      <c r="Q351" s="227"/>
      <c r="R351" s="227"/>
    </row>
    <row r="352" spans="17:18" ht="24.75" customHeight="1">
      <c r="Q352" s="227"/>
      <c r="R352" s="227"/>
    </row>
    <row r="353" spans="17:18" ht="24.75" customHeight="1">
      <c r="Q353" s="227"/>
      <c r="R353" s="227"/>
    </row>
    <row r="354" spans="17:18" ht="24.75" customHeight="1">
      <c r="Q354" s="227"/>
      <c r="R354" s="227"/>
    </row>
    <row r="355" spans="17:18" ht="24.75" customHeight="1">
      <c r="Q355" s="227"/>
      <c r="R355" s="227"/>
    </row>
    <row r="356" spans="17:18" ht="24.75" customHeight="1">
      <c r="Q356" s="227"/>
      <c r="R356" s="227"/>
    </row>
    <row r="357" spans="17:18" ht="24.75" customHeight="1">
      <c r="Q357" s="227"/>
      <c r="R357" s="227"/>
    </row>
    <row r="358" spans="17:18" ht="24.75" customHeight="1">
      <c r="Q358" s="227"/>
      <c r="R358" s="227"/>
    </row>
    <row r="359" spans="17:18" ht="24.75" customHeight="1">
      <c r="Q359" s="227"/>
      <c r="R359" s="227"/>
    </row>
    <row r="360" spans="17:18" ht="24.75" customHeight="1">
      <c r="Q360" s="227"/>
      <c r="R360" s="227"/>
    </row>
    <row r="361" spans="17:18" ht="24.75" customHeight="1">
      <c r="Q361" s="227"/>
      <c r="R361" s="227"/>
    </row>
    <row r="362" spans="17:18" ht="24.75" customHeight="1">
      <c r="Q362" s="227"/>
      <c r="R362" s="227"/>
    </row>
    <row r="363" spans="17:18" ht="24.75" customHeight="1">
      <c r="Q363" s="227"/>
      <c r="R363" s="227"/>
    </row>
    <row r="364" spans="17:18" ht="24.75" customHeight="1">
      <c r="Q364" s="227"/>
      <c r="R364" s="227"/>
    </row>
    <row r="365" spans="17:18" ht="24.75" customHeight="1">
      <c r="Q365" s="227"/>
      <c r="R365" s="227"/>
    </row>
    <row r="366" spans="17:18" ht="24.75" customHeight="1">
      <c r="Q366" s="227"/>
      <c r="R366" s="227"/>
    </row>
    <row r="367" spans="17:18" ht="24.75" customHeight="1">
      <c r="Q367" s="227"/>
      <c r="R367" s="227"/>
    </row>
    <row r="368" spans="17:18" ht="24.75" customHeight="1">
      <c r="Q368" s="226"/>
      <c r="R368" s="227"/>
    </row>
    <row r="369" spans="17:18" ht="24.75" customHeight="1">
      <c r="Q369" s="227"/>
      <c r="R369" s="227"/>
    </row>
    <row r="370" spans="17:18" ht="24.75" customHeight="1">
      <c r="Q370" s="227"/>
      <c r="R370" s="227"/>
    </row>
    <row r="371" spans="17:18" ht="24.75" customHeight="1">
      <c r="Q371" s="227"/>
      <c r="R371" s="227"/>
    </row>
    <row r="372" spans="17:18" ht="24.75" customHeight="1">
      <c r="Q372" s="227"/>
      <c r="R372" s="227"/>
    </row>
    <row r="373" spans="17:18" ht="24.75" customHeight="1">
      <c r="Q373" s="227"/>
      <c r="R373" s="227"/>
    </row>
    <row r="374" spans="17:18" ht="24.75" customHeight="1">
      <c r="Q374" s="227"/>
      <c r="R374" s="227"/>
    </row>
    <row r="375" spans="17:18" ht="24.75" customHeight="1">
      <c r="Q375" s="227"/>
      <c r="R375" s="227"/>
    </row>
    <row r="376" spans="17:18" ht="24.75" customHeight="1">
      <c r="Q376" s="227"/>
      <c r="R376" s="229"/>
    </row>
    <row r="377" spans="17:18" ht="24.75" customHeight="1">
      <c r="Q377" s="227"/>
      <c r="R377" s="227"/>
    </row>
    <row r="378" spans="17:18" ht="24.75" customHeight="1">
      <c r="Q378" s="227"/>
      <c r="R378" s="227"/>
    </row>
    <row r="379" spans="17:18" ht="24.75" customHeight="1">
      <c r="Q379" s="227"/>
      <c r="R379" s="227"/>
    </row>
    <row r="380" spans="17:18" ht="24.75" customHeight="1">
      <c r="Q380" s="227"/>
      <c r="R380" s="227"/>
    </row>
    <row r="381" spans="17:18" ht="24.75" customHeight="1">
      <c r="Q381" s="227"/>
      <c r="R381" s="227"/>
    </row>
    <row r="382" spans="17:18" ht="24.75" customHeight="1">
      <c r="Q382" s="227"/>
      <c r="R382" s="227"/>
    </row>
    <row r="383" spans="17:18" ht="24.75" customHeight="1">
      <c r="Q383" s="227"/>
      <c r="R383" s="227"/>
    </row>
    <row r="384" spans="17:18" ht="24.75" customHeight="1">
      <c r="Q384" s="227"/>
      <c r="R384" s="227"/>
    </row>
    <row r="385" spans="17:18" ht="24.75" customHeight="1">
      <c r="Q385" s="227"/>
      <c r="R385" s="227"/>
    </row>
    <row r="386" spans="17:18" ht="24.75" customHeight="1">
      <c r="Q386" s="227"/>
      <c r="R386" s="227"/>
    </row>
    <row r="387" spans="17:18" ht="24.75" customHeight="1">
      <c r="Q387" s="227"/>
      <c r="R387" s="227"/>
    </row>
    <row r="388" spans="17:18" ht="24.75" customHeight="1">
      <c r="Q388" s="227"/>
      <c r="R388" s="227"/>
    </row>
    <row r="389" spans="17:18" ht="24.75" customHeight="1">
      <c r="Q389" s="227"/>
      <c r="R389" s="227"/>
    </row>
    <row r="390" spans="17:18" ht="24.75" customHeight="1">
      <c r="Q390" s="227"/>
      <c r="R390" s="227"/>
    </row>
    <row r="391" spans="17:18" ht="24.75" customHeight="1">
      <c r="Q391" s="227"/>
      <c r="R391" s="227"/>
    </row>
    <row r="392" spans="17:18" ht="24.75" customHeight="1">
      <c r="Q392" s="227"/>
      <c r="R392" s="227"/>
    </row>
    <row r="393" spans="17:18" ht="24.75" customHeight="1">
      <c r="Q393" s="227"/>
      <c r="R393" s="227"/>
    </row>
    <row r="394" spans="17:18" ht="24.75" customHeight="1">
      <c r="Q394" s="227"/>
      <c r="R394" s="227"/>
    </row>
    <row r="395" spans="17:18" ht="24.75" customHeight="1">
      <c r="Q395" s="227"/>
      <c r="R395" s="227"/>
    </row>
    <row r="396" spans="17:18" ht="24.75" customHeight="1">
      <c r="Q396" s="227"/>
      <c r="R396" s="227"/>
    </row>
    <row r="397" spans="17:18" ht="24.75" customHeight="1">
      <c r="Q397" s="227"/>
      <c r="R397" s="227"/>
    </row>
    <row r="398" spans="17:18" ht="24.75" customHeight="1">
      <c r="Q398" s="227"/>
      <c r="R398" s="227"/>
    </row>
    <row r="399" spans="17:18" ht="24.75" customHeight="1">
      <c r="Q399" s="226"/>
      <c r="R399" s="227"/>
    </row>
    <row r="400" spans="17:18" ht="24.75" customHeight="1">
      <c r="Q400" s="227"/>
      <c r="R400" s="227"/>
    </row>
    <row r="401" spans="17:18" ht="24.75" customHeight="1">
      <c r="Q401" s="227"/>
      <c r="R401" s="227"/>
    </row>
    <row r="402" spans="17:18" ht="24.75" customHeight="1">
      <c r="Q402" s="227"/>
      <c r="R402" s="227"/>
    </row>
    <row r="403" spans="17:18" ht="24.75" customHeight="1">
      <c r="Q403" s="227"/>
      <c r="R403" s="227"/>
    </row>
    <row r="404" spans="17:18" ht="24.75" customHeight="1">
      <c r="Q404" s="227"/>
      <c r="R404" s="227"/>
    </row>
    <row r="405" spans="17:18" ht="24.75" customHeight="1">
      <c r="Q405" s="227"/>
      <c r="R405" s="227"/>
    </row>
    <row r="406" spans="17:18" ht="24.75" customHeight="1">
      <c r="Q406" s="227"/>
      <c r="R406" s="227"/>
    </row>
    <row r="407" spans="17:18" ht="24.75" customHeight="1">
      <c r="Q407" s="227"/>
      <c r="R407" s="227"/>
    </row>
    <row r="408" spans="17:18" ht="24.75" customHeight="1">
      <c r="Q408" s="227"/>
      <c r="R408" s="227"/>
    </row>
    <row r="409" spans="17:18" ht="24.75" customHeight="1">
      <c r="Q409" s="227"/>
      <c r="R409" s="227"/>
    </row>
    <row r="410" spans="17:18" ht="24.75" customHeight="1">
      <c r="Q410" s="227"/>
      <c r="R410" s="227"/>
    </row>
    <row r="411" spans="17:18" ht="24.75" customHeight="1">
      <c r="Q411" s="227"/>
      <c r="R411" s="227"/>
    </row>
    <row r="412" spans="17:18" ht="24.75" customHeight="1">
      <c r="Q412" s="227"/>
      <c r="R412" s="227"/>
    </row>
    <row r="413" spans="17:18" ht="24.75" customHeight="1">
      <c r="Q413" s="227"/>
      <c r="R413" s="227"/>
    </row>
    <row r="414" spans="17:18" ht="24.75" customHeight="1">
      <c r="Q414" s="227"/>
      <c r="R414" s="227"/>
    </row>
    <row r="415" spans="17:18" ht="24.75" customHeight="1">
      <c r="Q415" s="227"/>
      <c r="R415" s="227"/>
    </row>
    <row r="416" spans="17:18" ht="24.75" customHeight="1">
      <c r="Q416" s="227"/>
      <c r="R416" s="227"/>
    </row>
    <row r="417" spans="17:18" ht="24.75" customHeight="1">
      <c r="Q417" s="226"/>
      <c r="R417" s="227"/>
    </row>
    <row r="418" spans="17:18" ht="24.75" customHeight="1">
      <c r="Q418" s="227"/>
      <c r="R418" s="227"/>
    </row>
    <row r="419" spans="17:18" ht="24.75" customHeight="1">
      <c r="Q419" s="227"/>
      <c r="R419" s="227"/>
    </row>
    <row r="420" spans="17:18" ht="24.75" customHeight="1">
      <c r="Q420" s="226"/>
      <c r="R420" s="227"/>
    </row>
    <row r="421" spans="17:18" ht="24.75" customHeight="1">
      <c r="Q421" s="227"/>
      <c r="R421" s="227"/>
    </row>
    <row r="422" spans="17:18" ht="24.75" customHeight="1">
      <c r="Q422" s="226"/>
      <c r="R422" s="227"/>
    </row>
    <row r="423" spans="17:18" ht="24.75" customHeight="1">
      <c r="Q423" s="227"/>
      <c r="R423" s="226"/>
    </row>
    <row r="424" spans="17:18" ht="24.75" customHeight="1">
      <c r="Q424" s="226"/>
      <c r="R424" s="226"/>
    </row>
    <row r="425" spans="17:18" ht="24.75" customHeight="1">
      <c r="Q425" s="226"/>
      <c r="R425" s="227"/>
    </row>
    <row r="426" spans="17:18" ht="24.75" customHeight="1">
      <c r="Q426" s="227"/>
      <c r="R426" s="226"/>
    </row>
    <row r="427" spans="17:18" ht="24.75" customHeight="1">
      <c r="Q427" s="227"/>
      <c r="R427" s="227"/>
    </row>
    <row r="428" spans="17:18" ht="24.75" customHeight="1">
      <c r="Q428" s="226"/>
      <c r="R428" s="227"/>
    </row>
    <row r="429" spans="17:18" ht="24.75" customHeight="1">
      <c r="Q429" s="226"/>
      <c r="R429" s="227"/>
    </row>
    <row r="430" spans="17:18" ht="24.75" customHeight="1">
      <c r="Q430" s="227"/>
      <c r="R430" s="227"/>
    </row>
    <row r="431" spans="17:18" ht="24.75" customHeight="1">
      <c r="Q431" s="227"/>
      <c r="R431" s="227"/>
    </row>
    <row r="432" spans="17:18" ht="24.75" customHeight="1">
      <c r="Q432" s="226"/>
      <c r="R432" s="226"/>
    </row>
    <row r="433" spans="17:18" ht="24.75" customHeight="1">
      <c r="Q433" s="226"/>
      <c r="R433" s="227"/>
    </row>
    <row r="434" spans="17:18" ht="24.75" customHeight="1">
      <c r="Q434" s="226"/>
      <c r="R434" s="226"/>
    </row>
    <row r="435" spans="17:18" ht="24.75" customHeight="1">
      <c r="Q435" s="226"/>
      <c r="R435" s="226"/>
    </row>
    <row r="436" spans="17:18" ht="24.75" customHeight="1">
      <c r="Q436" s="226"/>
      <c r="R436" s="226"/>
    </row>
    <row r="437" spans="17:18" ht="24.75" customHeight="1">
      <c r="Q437" s="226"/>
      <c r="R437" s="226"/>
    </row>
    <row r="438" spans="17:18" ht="24.75" customHeight="1">
      <c r="Q438" s="227"/>
      <c r="R438" s="227"/>
    </row>
    <row r="439" spans="17:18" ht="24.75" customHeight="1">
      <c r="Q439" s="227"/>
      <c r="R439" s="227"/>
    </row>
    <row r="440" spans="17:18" ht="24.75" customHeight="1">
      <c r="Q440" s="226"/>
      <c r="R440" s="226"/>
    </row>
    <row r="441" spans="17:18" ht="24.75" customHeight="1">
      <c r="Q441" s="227"/>
      <c r="R441" s="227"/>
    </row>
    <row r="442" spans="17:18" ht="24.75" customHeight="1">
      <c r="Q442" s="227"/>
      <c r="R442" s="227"/>
    </row>
    <row r="443" spans="17:18" ht="24.75" customHeight="1">
      <c r="Q443" s="226"/>
      <c r="R443" s="226"/>
    </row>
    <row r="444" spans="17:18" ht="24.75" customHeight="1">
      <c r="Q444" s="226"/>
      <c r="R444" s="226"/>
    </row>
    <row r="445" spans="17:18" ht="24.75" customHeight="1">
      <c r="Q445" s="226"/>
      <c r="R445" s="226"/>
    </row>
    <row r="446" spans="17:18" ht="24.75" customHeight="1">
      <c r="Q446" s="227"/>
      <c r="R446" s="227"/>
    </row>
    <row r="447" spans="17:18" ht="24.75" customHeight="1">
      <c r="Q447" s="227"/>
      <c r="R447" s="227"/>
    </row>
    <row r="448" spans="17:18" ht="24.75" customHeight="1">
      <c r="Q448" s="227"/>
      <c r="R448" s="227"/>
    </row>
    <row r="449" spans="17:18" ht="24.75" customHeight="1">
      <c r="Q449" s="227"/>
      <c r="R449" s="227"/>
    </row>
    <row r="450" spans="17:18" ht="24.75" customHeight="1">
      <c r="Q450" s="227"/>
      <c r="R450" s="227"/>
    </row>
    <row r="451" spans="17:18" ht="24.75" customHeight="1">
      <c r="Q451" s="227"/>
      <c r="R451" s="227"/>
    </row>
    <row r="452" spans="17:18" ht="24.75" customHeight="1">
      <c r="Q452" s="227"/>
      <c r="R452" s="227"/>
    </row>
    <row r="453" spans="17:18" ht="24.75" customHeight="1">
      <c r="Q453" s="227"/>
      <c r="R453" s="227"/>
    </row>
    <row r="454" spans="17:18" ht="24.75" customHeight="1">
      <c r="Q454" s="226"/>
      <c r="R454" s="226"/>
    </row>
    <row r="455" spans="17:18" ht="24.75" customHeight="1">
      <c r="Q455" s="227"/>
      <c r="R455" s="227"/>
    </row>
    <row r="456" spans="17:18" ht="24.75" customHeight="1">
      <c r="Q456" s="226"/>
      <c r="R456" s="226"/>
    </row>
    <row r="457" spans="17:18" ht="24.75" customHeight="1">
      <c r="Q457" s="227"/>
      <c r="R457" s="227"/>
    </row>
    <row r="458" spans="17:18" ht="24.75" customHeight="1">
      <c r="Q458" s="227"/>
      <c r="R458" s="227"/>
    </row>
    <row r="459" spans="17:18" ht="24.75" customHeight="1">
      <c r="Q459" s="227"/>
      <c r="R459" s="227"/>
    </row>
    <row r="460" spans="17:18" ht="24.75" customHeight="1">
      <c r="Q460" s="227"/>
      <c r="R460" s="227"/>
    </row>
    <row r="461" spans="17:18" ht="24.75" customHeight="1">
      <c r="Q461" s="227"/>
      <c r="R461" s="227"/>
    </row>
    <row r="462" spans="17:18" ht="24.75" customHeight="1">
      <c r="Q462" s="227"/>
      <c r="R462" s="227"/>
    </row>
    <row r="463" spans="17:18" ht="24.75" customHeight="1">
      <c r="Q463" s="227"/>
      <c r="R463" s="227"/>
    </row>
    <row r="464" spans="17:18" ht="24.75" customHeight="1">
      <c r="Q464" s="227"/>
      <c r="R464" s="227"/>
    </row>
    <row r="465" spans="17:18" ht="24.75" customHeight="1">
      <c r="Q465" s="227"/>
      <c r="R465" s="227"/>
    </row>
    <row r="466" spans="17:18" ht="24.75" customHeight="1">
      <c r="Q466" s="227"/>
      <c r="R466" s="227"/>
    </row>
    <row r="467" spans="17:18" ht="24.75" customHeight="1">
      <c r="Q467" s="227"/>
      <c r="R467" s="227"/>
    </row>
    <row r="468" spans="17:18" ht="24.75" customHeight="1">
      <c r="Q468" s="227"/>
      <c r="R468" s="227"/>
    </row>
    <row r="469" spans="17:18" ht="24.75" customHeight="1">
      <c r="Q469" s="227"/>
      <c r="R469" s="227"/>
    </row>
    <row r="470" spans="17:18" ht="24.75" customHeight="1">
      <c r="Q470" s="227"/>
      <c r="R470" s="227"/>
    </row>
    <row r="471" spans="17:18" ht="24.75" customHeight="1">
      <c r="Q471" s="227"/>
      <c r="R471" s="227"/>
    </row>
    <row r="472" spans="17:18" ht="24.75" customHeight="1">
      <c r="Q472" s="227"/>
      <c r="R472" s="227"/>
    </row>
    <row r="473" spans="17:18" ht="24.75" customHeight="1">
      <c r="Q473" s="227"/>
      <c r="R473" s="227"/>
    </row>
    <row r="474" spans="17:18" ht="24.75" customHeight="1">
      <c r="Q474" s="227"/>
      <c r="R474" s="227"/>
    </row>
    <row r="475" spans="17:18" ht="24.75" customHeight="1">
      <c r="Q475" s="227"/>
      <c r="R475" s="227"/>
    </row>
    <row r="476" spans="17:18" ht="24.75" customHeight="1">
      <c r="Q476" s="227"/>
      <c r="R476" s="227"/>
    </row>
    <row r="477" spans="17:18" ht="24.75" customHeight="1">
      <c r="Q477" s="227"/>
      <c r="R477" s="227"/>
    </row>
    <row r="478" spans="17:18" ht="24.75" customHeight="1">
      <c r="Q478" s="227"/>
      <c r="R478" s="227"/>
    </row>
    <row r="479" spans="17:18" ht="24.75" customHeight="1">
      <c r="Q479" s="227"/>
      <c r="R479" s="227"/>
    </row>
    <row r="480" spans="17:18" ht="24.75" customHeight="1">
      <c r="Q480" s="227"/>
      <c r="R480" s="227"/>
    </row>
    <row r="481" spans="17:18" ht="24.75" customHeight="1">
      <c r="Q481" s="227"/>
      <c r="R481" s="227"/>
    </row>
    <row r="482" spans="17:18" ht="24.75" customHeight="1">
      <c r="Q482" s="227"/>
      <c r="R482" s="226"/>
    </row>
    <row r="483" spans="17:18" ht="24.75" customHeight="1">
      <c r="Q483" s="226"/>
      <c r="R483" s="226"/>
    </row>
    <row r="484" spans="17:18" ht="24.75" customHeight="1">
      <c r="Q484" s="226"/>
      <c r="R484" s="227"/>
    </row>
    <row r="485" spans="17:18" ht="24.75" customHeight="1">
      <c r="Q485" s="226"/>
      <c r="R485" s="226"/>
    </row>
    <row r="486" spans="17:18" ht="24.75" customHeight="1">
      <c r="Q486" s="227"/>
      <c r="R486" s="227"/>
    </row>
    <row r="487" spans="17:18" ht="24.75" customHeight="1">
      <c r="Q487" s="227"/>
      <c r="R487" s="226"/>
    </row>
    <row r="488" spans="17:18" ht="24.75" customHeight="1">
      <c r="Q488" s="227"/>
      <c r="R488" s="227"/>
    </row>
    <row r="489" spans="17:18" ht="24.75" customHeight="1">
      <c r="Q489" s="227"/>
      <c r="R489" s="227"/>
    </row>
    <row r="490" spans="17:18" ht="24.75" customHeight="1">
      <c r="Q490" s="226"/>
      <c r="R490" s="226"/>
    </row>
    <row r="491" spans="17:18" ht="24.75" customHeight="1">
      <c r="Q491" s="226"/>
      <c r="R491" s="226"/>
    </row>
    <row r="492" spans="17:18" ht="24.75" customHeight="1">
      <c r="Q492" s="226"/>
      <c r="R492" s="226"/>
    </row>
    <row r="493" spans="17:18" ht="24.75" customHeight="1">
      <c r="Q493" s="227"/>
      <c r="R493" s="226"/>
    </row>
    <row r="494" spans="17:18" ht="24.75" customHeight="1">
      <c r="Q494" s="227"/>
      <c r="R494" s="227"/>
    </row>
    <row r="495" spans="17:18" ht="24.75" customHeight="1">
      <c r="Q495" s="227"/>
      <c r="R495" s="227"/>
    </row>
    <row r="496" spans="17:18" ht="24.75" customHeight="1">
      <c r="Q496" s="227"/>
      <c r="R496" s="227"/>
    </row>
    <row r="497" spans="17:18" ht="24.75" customHeight="1">
      <c r="Q497" s="226"/>
      <c r="R497" s="227"/>
    </row>
    <row r="498" spans="17:18" ht="24.75" customHeight="1">
      <c r="Q498" s="227"/>
      <c r="R498" s="227"/>
    </row>
    <row r="499" spans="17:18" ht="24.75" customHeight="1">
      <c r="Q499" s="227"/>
      <c r="R499" s="227"/>
    </row>
    <row r="500" spans="17:18" ht="24.75" customHeight="1">
      <c r="Q500" s="227"/>
      <c r="R500" s="227"/>
    </row>
    <row r="501" spans="17:18" ht="24.75" customHeight="1">
      <c r="Q501" s="227"/>
      <c r="R501" s="227"/>
    </row>
    <row r="502" spans="17:18" ht="24.75" customHeight="1">
      <c r="Q502" s="226"/>
      <c r="R502" s="226"/>
    </row>
    <row r="503" spans="17:18" ht="24.75" customHeight="1">
      <c r="Q503" s="226"/>
      <c r="R503" s="226"/>
    </row>
    <row r="504" spans="17:18" ht="24.75" customHeight="1">
      <c r="Q504" s="227"/>
      <c r="R504" s="227"/>
    </row>
    <row r="505" spans="17:18" ht="24.75" customHeight="1">
      <c r="Q505" s="227"/>
      <c r="R505" s="227"/>
    </row>
    <row r="506" spans="17:18" ht="24.75" customHeight="1">
      <c r="Q506" s="226"/>
      <c r="R506" s="226"/>
    </row>
    <row r="507" spans="17:18" ht="24.75" customHeight="1">
      <c r="Q507" s="226"/>
      <c r="R507" s="226"/>
    </row>
    <row r="508" spans="17:18" ht="24.75" customHeight="1">
      <c r="Q508" s="226"/>
      <c r="R508" s="226"/>
    </row>
    <row r="509" spans="17:18" ht="24.75" customHeight="1">
      <c r="Q509" s="227"/>
      <c r="R509" s="227"/>
    </row>
    <row r="510" spans="17:18" ht="24.75" customHeight="1">
      <c r="Q510" s="227"/>
      <c r="R510" s="227"/>
    </row>
    <row r="511" spans="17:18" ht="24.75" customHeight="1">
      <c r="Q511" s="226"/>
      <c r="R511" s="226"/>
    </row>
    <row r="512" spans="17:18" ht="24.75" customHeight="1">
      <c r="Q512" s="226"/>
      <c r="R512" s="227"/>
    </row>
    <row r="513" spans="17:18" ht="24.75" customHeight="1">
      <c r="Q513" s="226"/>
      <c r="R513" s="226"/>
    </row>
    <row r="514" spans="17:18" ht="24.75" customHeight="1">
      <c r="Q514" s="227"/>
      <c r="R514" s="226"/>
    </row>
    <row r="515" spans="17:18" ht="24.75" customHeight="1">
      <c r="Q515" s="226"/>
      <c r="R515" s="226"/>
    </row>
    <row r="516" spans="17:18" ht="24.75" customHeight="1">
      <c r="Q516" s="226"/>
      <c r="R516" s="226"/>
    </row>
    <row r="517" spans="17:18" ht="24.75" customHeight="1">
      <c r="Q517" s="226"/>
      <c r="R517" s="226"/>
    </row>
    <row r="518" spans="17:18" ht="24.75" customHeight="1">
      <c r="Q518" s="227"/>
      <c r="R518" s="227"/>
    </row>
    <row r="519" spans="17:18" ht="24.75" customHeight="1">
      <c r="Q519" s="226"/>
      <c r="R519" s="226"/>
    </row>
    <row r="520" spans="17:18" ht="24.75" customHeight="1">
      <c r="Q520" s="227"/>
      <c r="R520" s="227"/>
    </row>
    <row r="521" spans="17:18" ht="24.75" customHeight="1">
      <c r="Q521" s="226"/>
      <c r="R521" s="226"/>
    </row>
    <row r="522" spans="17:18" ht="24.75" customHeight="1">
      <c r="Q522" s="227"/>
      <c r="R522" s="226"/>
    </row>
    <row r="523" spans="17:18" ht="24.75" customHeight="1">
      <c r="Q523" s="226"/>
      <c r="R523" s="226"/>
    </row>
    <row r="524" spans="17:18" ht="24.75" customHeight="1">
      <c r="Q524" s="226"/>
      <c r="R524" s="226"/>
    </row>
    <row r="525" spans="17:18" ht="24.75" customHeight="1">
      <c r="Q525" s="226"/>
      <c r="R525" s="226"/>
    </row>
    <row r="526" spans="17:18" ht="24.75" customHeight="1">
      <c r="Q526" s="226"/>
      <c r="R526" s="226"/>
    </row>
    <row r="527" spans="17:18" ht="24.75" customHeight="1">
      <c r="Q527" s="226"/>
      <c r="R527" s="226"/>
    </row>
    <row r="528" spans="17:18" ht="24.75" customHeight="1">
      <c r="Q528" s="227"/>
      <c r="R528" s="227"/>
    </row>
    <row r="529" spans="17:18" ht="24.75" customHeight="1">
      <c r="Q529" s="227"/>
      <c r="R529" s="227"/>
    </row>
    <row r="530" spans="17:18" ht="24.75" customHeight="1">
      <c r="Q530" s="227"/>
      <c r="R530" s="227"/>
    </row>
    <row r="531" spans="17:18" ht="24.75" customHeight="1">
      <c r="Q531" s="227"/>
      <c r="R531" s="227"/>
    </row>
    <row r="532" spans="17:18" ht="24.75" customHeight="1">
      <c r="Q532" s="227"/>
      <c r="R532" s="227"/>
    </row>
    <row r="533" spans="17:18" ht="24.75" customHeight="1">
      <c r="Q533" s="227"/>
      <c r="R533" s="227"/>
    </row>
    <row r="534" spans="17:18" ht="24.75" customHeight="1">
      <c r="Q534" s="227"/>
      <c r="R534" s="227"/>
    </row>
    <row r="535" spans="17:18" ht="24.75" customHeight="1">
      <c r="Q535" s="227"/>
      <c r="R535" s="227"/>
    </row>
    <row r="536" spans="17:18" ht="24.75" customHeight="1">
      <c r="Q536" s="227"/>
      <c r="R536" s="227"/>
    </row>
    <row r="537" spans="17:18" ht="24.75" customHeight="1">
      <c r="Q537" s="227"/>
      <c r="R537" s="227"/>
    </row>
    <row r="538" spans="17:18" ht="24.75" customHeight="1">
      <c r="Q538" s="226"/>
      <c r="R538" s="226"/>
    </row>
    <row r="539" spans="17:18" ht="24.75" customHeight="1">
      <c r="Q539" s="227"/>
      <c r="R539" s="227"/>
    </row>
    <row r="540" spans="17:18" ht="24.75" customHeight="1">
      <c r="Q540" s="227"/>
      <c r="R540" s="227"/>
    </row>
    <row r="541" spans="17:18" ht="24.75" customHeight="1">
      <c r="Q541" s="227"/>
      <c r="R541" s="227"/>
    </row>
    <row r="542" spans="17:18" ht="24.75" customHeight="1">
      <c r="Q542" s="227"/>
      <c r="R542" s="227"/>
    </row>
    <row r="543" spans="17:18" ht="24.75" customHeight="1">
      <c r="Q543" s="227"/>
      <c r="R543" s="227"/>
    </row>
    <row r="544" spans="17:18" ht="24.75" customHeight="1">
      <c r="Q544" s="226"/>
      <c r="R544" s="227"/>
    </row>
    <row r="545" spans="17:18" ht="24.75" customHeight="1">
      <c r="Q545" s="226"/>
      <c r="R545" s="227"/>
    </row>
    <row r="546" spans="17:18" ht="24.75" customHeight="1">
      <c r="Q546" s="226"/>
      <c r="R546" s="226"/>
    </row>
    <row r="547" spans="17:18" ht="24.75" customHeight="1">
      <c r="Q547" s="226"/>
      <c r="R547" s="227"/>
    </row>
    <row r="548" spans="17:18" ht="24.75" customHeight="1">
      <c r="Q548" s="226"/>
      <c r="R548" s="226"/>
    </row>
    <row r="549" spans="17:18" ht="24.75" customHeight="1">
      <c r="Q549" s="226"/>
      <c r="R549" s="227"/>
    </row>
    <row r="550" spans="17:18" ht="24.75" customHeight="1">
      <c r="Q550" s="226"/>
      <c r="R550" s="227"/>
    </row>
    <row r="551" spans="17:18" ht="24.75" customHeight="1">
      <c r="Q551" s="226"/>
      <c r="R551" s="226"/>
    </row>
    <row r="552" spans="17:18" ht="24.75" customHeight="1">
      <c r="Q552" s="227"/>
      <c r="R552" s="227"/>
    </row>
    <row r="553" spans="17:18" ht="24.75" customHeight="1">
      <c r="Q553" s="227"/>
      <c r="R553" s="227"/>
    </row>
    <row r="554" spans="17:18" ht="24.75" customHeight="1">
      <c r="Q554" s="227"/>
      <c r="R554" s="227"/>
    </row>
    <row r="555" spans="17:18" ht="24.75" customHeight="1">
      <c r="Q555" s="227"/>
      <c r="R555" s="226"/>
    </row>
    <row r="556" spans="17:18" ht="24.75" customHeight="1">
      <c r="Q556" s="227"/>
      <c r="R556" s="227"/>
    </row>
    <row r="557" spans="17:18" ht="24.75" customHeight="1">
      <c r="Q557" s="226"/>
      <c r="R557" s="226"/>
    </row>
    <row r="558" spans="17:18" ht="24.75" customHeight="1">
      <c r="Q558" s="226"/>
      <c r="R558" s="226"/>
    </row>
    <row r="559" spans="17:18" ht="24.75" customHeight="1">
      <c r="Q559" s="227"/>
      <c r="R559" s="227"/>
    </row>
    <row r="560" spans="17:18" ht="24.75" customHeight="1">
      <c r="Q560" s="226"/>
      <c r="R560" s="226"/>
    </row>
    <row r="561" spans="17:18" ht="24.75" customHeight="1">
      <c r="Q561" s="226"/>
      <c r="R561" s="226"/>
    </row>
    <row r="562" spans="17:18" ht="24.75" customHeight="1">
      <c r="Q562" s="227"/>
      <c r="R562" s="226"/>
    </row>
    <row r="563" spans="17:18" ht="24.75" customHeight="1">
      <c r="Q563" s="227"/>
      <c r="R563" s="226"/>
    </row>
    <row r="564" spans="17:18" ht="24.75" customHeight="1">
      <c r="Q564" s="226"/>
      <c r="R564" s="226"/>
    </row>
    <row r="565" spans="17:18" ht="24.75" customHeight="1">
      <c r="Q565" s="226"/>
      <c r="R565" s="226"/>
    </row>
    <row r="566" spans="17:18" ht="24.75" customHeight="1">
      <c r="Q566" s="226"/>
      <c r="R566" s="226"/>
    </row>
    <row r="567" spans="17:18" ht="24.75" customHeight="1">
      <c r="Q567" s="226"/>
      <c r="R567" s="227"/>
    </row>
    <row r="568" spans="17:18" ht="24.75" customHeight="1">
      <c r="Q568" s="227"/>
      <c r="R568" s="227"/>
    </row>
    <row r="569" spans="17:18" ht="24.75" customHeight="1">
      <c r="Q569" s="227"/>
      <c r="R569" s="227"/>
    </row>
    <row r="570" spans="17:18" ht="24.75" customHeight="1">
      <c r="Q570" s="227"/>
      <c r="R570" s="227"/>
    </row>
    <row r="571" spans="17:18" ht="24.75" customHeight="1">
      <c r="Q571" s="226"/>
      <c r="R571" s="226"/>
    </row>
    <row r="572" spans="17:18" ht="24.75" customHeight="1">
      <c r="Q572" s="227"/>
      <c r="R572" s="227"/>
    </row>
    <row r="573" spans="17:18" ht="24.75" customHeight="1">
      <c r="Q573" s="227"/>
      <c r="R573" s="227"/>
    </row>
    <row r="574" spans="17:18" ht="24.75" customHeight="1">
      <c r="Q574" s="226"/>
      <c r="R574" s="226"/>
    </row>
    <row r="575" spans="17:18" ht="24.75" customHeight="1">
      <c r="Q575" s="226"/>
      <c r="R575" s="226"/>
    </row>
    <row r="576" spans="17:18" ht="24.75" customHeight="1">
      <c r="Q576" s="226"/>
      <c r="R576" s="226"/>
    </row>
    <row r="577" spans="17:18" ht="24.75" customHeight="1">
      <c r="Q577" s="226"/>
      <c r="R577" s="227"/>
    </row>
    <row r="578" spans="17:18" ht="24.75" customHeight="1">
      <c r="Q578" s="227"/>
      <c r="R578" s="227"/>
    </row>
    <row r="579" spans="17:18" ht="24.75" customHeight="1">
      <c r="Q579" s="226"/>
      <c r="R579" s="227"/>
    </row>
    <row r="580" spans="17:18" ht="24.75" customHeight="1">
      <c r="Q580" s="227"/>
      <c r="R580" s="227"/>
    </row>
    <row r="581" spans="17:18" ht="24.75" customHeight="1">
      <c r="Q581" s="227"/>
      <c r="R581" s="227"/>
    </row>
    <row r="582" spans="17:18" ht="24.75" customHeight="1">
      <c r="Q582" s="227"/>
      <c r="R582" s="227"/>
    </row>
    <row r="583" spans="17:18" ht="24.75" customHeight="1">
      <c r="Q583" s="227"/>
      <c r="R583" s="227"/>
    </row>
    <row r="584" spans="17:18" ht="24.75" customHeight="1">
      <c r="Q584" s="227"/>
      <c r="R584" s="227"/>
    </row>
    <row r="585" spans="17:18" ht="24.75" customHeight="1">
      <c r="Q585" s="227"/>
      <c r="R585" s="227"/>
    </row>
    <row r="586" spans="17:18" ht="24.75" customHeight="1">
      <c r="Q586" s="226"/>
      <c r="R586" s="227"/>
    </row>
    <row r="587" spans="17:18" ht="24.75" customHeight="1">
      <c r="Q587" s="226"/>
      <c r="R587" s="227"/>
    </row>
    <row r="588" spans="17:18" ht="24.75" customHeight="1">
      <c r="Q588" s="226"/>
      <c r="R588" s="227"/>
    </row>
    <row r="589" spans="17:18" ht="24.75" customHeight="1">
      <c r="Q589" s="226"/>
      <c r="R589" s="227"/>
    </row>
    <row r="590" spans="17:18" ht="24.75" customHeight="1">
      <c r="Q590" s="227"/>
      <c r="R590" s="227"/>
    </row>
    <row r="591" spans="17:18" ht="24.75" customHeight="1">
      <c r="Q591" s="227"/>
      <c r="R591" s="227"/>
    </row>
    <row r="592" spans="17:18" ht="24.75" customHeight="1">
      <c r="Q592" s="226"/>
      <c r="R592" s="226"/>
    </row>
    <row r="593" spans="17:18" ht="24.75" customHeight="1">
      <c r="Q593" s="227"/>
      <c r="R593" s="227"/>
    </row>
    <row r="594" spans="17:18" ht="24.75" customHeight="1">
      <c r="Q594" s="226"/>
      <c r="R594" s="226"/>
    </row>
    <row r="595" spans="17:18" ht="24.75" customHeight="1">
      <c r="Q595" s="227"/>
      <c r="R595" s="227"/>
    </row>
    <row r="596" spans="17:18" ht="24.75" customHeight="1">
      <c r="Q596" s="227"/>
      <c r="R596" s="227"/>
    </row>
    <row r="597" spans="17:18" ht="24.75" customHeight="1">
      <c r="Q597" s="227"/>
      <c r="R597" s="227"/>
    </row>
    <row r="598" spans="17:18" ht="24.75" customHeight="1">
      <c r="Q598" s="227"/>
      <c r="R598" s="227"/>
    </row>
    <row r="599" spans="17:18" ht="24.75" customHeight="1">
      <c r="Q599" s="227"/>
      <c r="R599" s="227"/>
    </row>
    <row r="600" spans="17:18" ht="24.75" customHeight="1">
      <c r="Q600" s="227"/>
      <c r="R600" s="227"/>
    </row>
    <row r="601" spans="17:18" ht="24.75" customHeight="1">
      <c r="Q601" s="227"/>
      <c r="R601" s="227"/>
    </row>
    <row r="602" spans="17:18" ht="24.75" customHeight="1">
      <c r="Q602" s="227"/>
      <c r="R602" s="227"/>
    </row>
    <row r="603" spans="17:18" ht="24.75" customHeight="1">
      <c r="Q603" s="227"/>
      <c r="R603" s="227"/>
    </row>
    <row r="604" spans="17:18" ht="24.75" customHeight="1">
      <c r="Q604" s="227"/>
      <c r="R604" s="227"/>
    </row>
    <row r="605" spans="17:18" ht="24.75" customHeight="1">
      <c r="Q605" s="227"/>
      <c r="R605" s="227"/>
    </row>
    <row r="606" spans="17:18" ht="24.75" customHeight="1">
      <c r="Q606" s="227"/>
      <c r="R606" s="227"/>
    </row>
    <row r="607" spans="17:18" ht="24.75" customHeight="1">
      <c r="Q607" s="227"/>
      <c r="R607" s="227"/>
    </row>
    <row r="608" spans="17:18" ht="24.75" customHeight="1">
      <c r="Q608" s="227"/>
      <c r="R608" s="227"/>
    </row>
    <row r="609" spans="17:18" ht="24.75" customHeight="1">
      <c r="Q609" s="227"/>
      <c r="R609" s="227"/>
    </row>
    <row r="610" spans="17:18" ht="24.75" customHeight="1">
      <c r="Q610" s="227"/>
      <c r="R610" s="229"/>
    </row>
    <row r="611" spans="17:18" ht="24.75" customHeight="1">
      <c r="Q611" s="227"/>
      <c r="R611" s="227"/>
    </row>
    <row r="612" spans="17:18" ht="24.75" customHeight="1">
      <c r="Q612" s="227"/>
      <c r="R612" s="227"/>
    </row>
    <row r="613" spans="17:18" ht="24.75" customHeight="1">
      <c r="Q613" s="227"/>
      <c r="R613" s="227"/>
    </row>
    <row r="614" spans="17:18" ht="24.75" customHeight="1">
      <c r="Q614" s="227"/>
      <c r="R614" s="227"/>
    </row>
    <row r="615" spans="17:18" ht="24.75" customHeight="1">
      <c r="Q615" s="227"/>
      <c r="R615" s="227"/>
    </row>
    <row r="616" spans="17:18" ht="24.75" customHeight="1">
      <c r="Q616" s="227"/>
      <c r="R616" s="227"/>
    </row>
    <row r="617" spans="17:18" ht="24.75" customHeight="1">
      <c r="Q617" s="226"/>
      <c r="R617" s="226"/>
    </row>
    <row r="618" spans="17:18" ht="24.75" customHeight="1">
      <c r="Q618" s="227"/>
      <c r="R618" s="227"/>
    </row>
    <row r="619" spans="17:18" ht="24.75" customHeight="1">
      <c r="Q619" s="227"/>
      <c r="R619" s="227"/>
    </row>
    <row r="620" spans="17:18" ht="24.75" customHeight="1">
      <c r="Q620" s="227"/>
      <c r="R620" s="227"/>
    </row>
    <row r="621" spans="17:18" ht="24.75" customHeight="1">
      <c r="Q621" s="227"/>
      <c r="R621" s="227"/>
    </row>
    <row r="622" spans="17:18" ht="24.75" customHeight="1">
      <c r="Q622" s="227"/>
      <c r="R622" s="227"/>
    </row>
    <row r="623" spans="17:18" ht="24.75" customHeight="1">
      <c r="Q623" s="226"/>
      <c r="R623" s="227"/>
    </row>
    <row r="624" spans="17:18" ht="24.75" customHeight="1">
      <c r="Q624" s="227"/>
      <c r="R624" s="227"/>
    </row>
    <row r="625" spans="17:18" ht="24.75" customHeight="1">
      <c r="Q625" s="227"/>
      <c r="R625" s="227"/>
    </row>
    <row r="626" spans="17:18" ht="24.75" customHeight="1">
      <c r="Q626" s="227"/>
      <c r="R626" s="227"/>
    </row>
    <row r="627" spans="17:18" ht="24.75" customHeight="1">
      <c r="Q627" s="227"/>
      <c r="R627" s="227"/>
    </row>
    <row r="628" spans="17:18" ht="24.75" customHeight="1">
      <c r="Q628" s="227"/>
      <c r="R628" s="227"/>
    </row>
    <row r="629" spans="17:18" ht="24.75" customHeight="1">
      <c r="Q629" s="227"/>
      <c r="R629" s="227"/>
    </row>
    <row r="630" spans="17:18" ht="24.75" customHeight="1">
      <c r="Q630" s="227"/>
      <c r="R630" s="226"/>
    </row>
    <row r="631" spans="17:18" ht="24.75" customHeight="1">
      <c r="Q631" s="227"/>
      <c r="R631" s="227"/>
    </row>
    <row r="632" spans="17:18" ht="24.75" customHeight="1">
      <c r="Q632" s="227"/>
      <c r="R632" s="227"/>
    </row>
    <row r="633" spans="17:18" ht="24.75" customHeight="1">
      <c r="Q633" s="227"/>
      <c r="R633" s="227"/>
    </row>
    <row r="634" spans="17:18" ht="24.75" customHeight="1">
      <c r="Q634" s="227"/>
      <c r="R634" s="227"/>
    </row>
    <row r="635" spans="17:18" ht="24.75" customHeight="1">
      <c r="Q635" s="227"/>
      <c r="R635" s="227"/>
    </row>
    <row r="636" spans="17:18" ht="24.75" customHeight="1">
      <c r="Q636" s="227"/>
      <c r="R636" s="227"/>
    </row>
    <row r="637" spans="17:18" ht="24.75" customHeight="1">
      <c r="Q637" s="227"/>
      <c r="R637" s="227"/>
    </row>
    <row r="638" spans="17:18" ht="24.75" customHeight="1">
      <c r="Q638" s="227"/>
      <c r="R638" s="227"/>
    </row>
    <row r="639" spans="17:18" ht="24.75" customHeight="1">
      <c r="Q639" s="227"/>
      <c r="R639" s="227"/>
    </row>
    <row r="640" spans="17:18" ht="24.75" customHeight="1">
      <c r="Q640" s="227"/>
      <c r="R640" s="227"/>
    </row>
    <row r="641" spans="17:18" ht="24.75" customHeight="1">
      <c r="Q641" s="226"/>
      <c r="R641" s="227"/>
    </row>
    <row r="642" spans="17:18" ht="24.75" customHeight="1">
      <c r="Q642" s="226"/>
      <c r="R642" s="227"/>
    </row>
    <row r="643" spans="17:18" ht="24.75" customHeight="1">
      <c r="Q643" s="227"/>
      <c r="R643" s="227"/>
    </row>
    <row r="644" spans="17:18" ht="24.75" customHeight="1">
      <c r="Q644" s="226"/>
      <c r="R644" s="227"/>
    </row>
    <row r="645" spans="17:18" ht="24.75" customHeight="1">
      <c r="Q645" s="226"/>
      <c r="R645" s="227"/>
    </row>
    <row r="646" spans="17:18" ht="24.75" customHeight="1">
      <c r="Q646" s="226"/>
      <c r="R646" s="227"/>
    </row>
    <row r="647" spans="17:18" ht="24.75" customHeight="1">
      <c r="Q647" s="226"/>
      <c r="R647" s="227"/>
    </row>
    <row r="648" spans="17:18" ht="24.75" customHeight="1">
      <c r="Q648" s="226"/>
      <c r="R648" s="227"/>
    </row>
    <row r="649" spans="17:18" ht="24.75" customHeight="1">
      <c r="Q649" s="226"/>
      <c r="R649" s="227"/>
    </row>
    <row r="650" spans="17:18" ht="24.75" customHeight="1">
      <c r="Q650" s="226"/>
      <c r="R650" s="227"/>
    </row>
    <row r="651" spans="17:18" ht="24.75" customHeight="1">
      <c r="Q651" s="226"/>
      <c r="R651" s="227"/>
    </row>
    <row r="652" spans="17:18" ht="24.75" customHeight="1">
      <c r="Q652" s="226"/>
      <c r="R652" s="227"/>
    </row>
    <row r="653" spans="17:18" ht="24.75" customHeight="1">
      <c r="Q653" s="227"/>
      <c r="R653" s="227"/>
    </row>
    <row r="654" spans="17:18" ht="24.75" customHeight="1">
      <c r="Q654" s="226"/>
      <c r="R654" s="227"/>
    </row>
    <row r="655" spans="17:18" ht="24.75" customHeight="1">
      <c r="Q655" s="226"/>
      <c r="R655" s="227"/>
    </row>
    <row r="656" spans="17:18" ht="24.75" customHeight="1">
      <c r="Q656" s="226"/>
      <c r="R656" s="227"/>
    </row>
    <row r="657" spans="17:18" ht="24.75" customHeight="1">
      <c r="Q657" s="227"/>
      <c r="R657" s="227"/>
    </row>
    <row r="658" spans="17:18" ht="24.75" customHeight="1">
      <c r="Q658" s="226"/>
      <c r="R658" s="227"/>
    </row>
    <row r="659" spans="17:18" ht="24.75" customHeight="1">
      <c r="Q659" s="226"/>
      <c r="R659" s="227"/>
    </row>
    <row r="660" spans="17:18" ht="24.75" customHeight="1">
      <c r="Q660" s="226"/>
      <c r="R660" s="227"/>
    </row>
    <row r="661" spans="17:18" ht="24.75" customHeight="1">
      <c r="Q661" s="227"/>
      <c r="R661" s="227"/>
    </row>
    <row r="662" spans="17:18" ht="24.75" customHeight="1">
      <c r="Q662" s="227"/>
      <c r="R662" s="227"/>
    </row>
    <row r="663" spans="17:18" ht="24.75" customHeight="1">
      <c r="Q663" s="227"/>
      <c r="R663" s="227"/>
    </row>
    <row r="664" spans="17:18" ht="24.75" customHeight="1">
      <c r="Q664" s="226"/>
      <c r="R664" s="227"/>
    </row>
    <row r="665" spans="17:18" ht="24.75" customHeight="1">
      <c r="Q665" s="227"/>
      <c r="R665" s="227"/>
    </row>
    <row r="666" spans="17:18" ht="24.75" customHeight="1">
      <c r="Q666" s="227"/>
      <c r="R666" s="227"/>
    </row>
    <row r="667" spans="17:18" ht="24.75" customHeight="1">
      <c r="Q667" s="226"/>
      <c r="R667" s="227"/>
    </row>
    <row r="668" spans="17:18" ht="24.75" customHeight="1">
      <c r="Q668" s="226"/>
      <c r="R668" s="227"/>
    </row>
    <row r="669" spans="17:18" ht="24.75" customHeight="1">
      <c r="Q669" s="227"/>
      <c r="R669" s="227"/>
    </row>
    <row r="670" spans="17:18" ht="24.75" customHeight="1">
      <c r="Q670" s="226"/>
      <c r="R670" s="227"/>
    </row>
    <row r="671" spans="17:18" ht="24.75" customHeight="1">
      <c r="Q671" s="226"/>
      <c r="R671" s="227"/>
    </row>
    <row r="672" spans="17:18" ht="24.75" customHeight="1">
      <c r="Q672" s="227"/>
      <c r="R672" s="227"/>
    </row>
    <row r="673" spans="17:18" ht="24.75" customHeight="1">
      <c r="Q673" s="226"/>
      <c r="R673" s="227"/>
    </row>
    <row r="674" spans="17:18" ht="24.75" customHeight="1">
      <c r="Q674" s="226"/>
      <c r="R674" s="227"/>
    </row>
    <row r="675" spans="17:18" ht="24.75" customHeight="1">
      <c r="Q675" s="227"/>
      <c r="R675" s="227"/>
    </row>
    <row r="676" spans="17:18" ht="24.75" customHeight="1">
      <c r="Q676" s="227"/>
      <c r="R676" s="227"/>
    </row>
    <row r="677" spans="17:18" ht="24.75" customHeight="1">
      <c r="Q677" s="226"/>
      <c r="R677" s="227"/>
    </row>
    <row r="678" spans="17:18" ht="24.75" customHeight="1">
      <c r="Q678" s="226"/>
      <c r="R678" s="227"/>
    </row>
    <row r="679" spans="17:18" ht="24.75" customHeight="1">
      <c r="Q679" s="226"/>
      <c r="R679" s="227"/>
    </row>
    <row r="680" spans="17:18" ht="24.75" customHeight="1">
      <c r="Q680" s="227"/>
      <c r="R680" s="227"/>
    </row>
    <row r="681" spans="17:18" ht="24.75" customHeight="1">
      <c r="Q681" s="227"/>
      <c r="R681" s="227"/>
    </row>
    <row r="682" spans="17:18" ht="24.75" customHeight="1">
      <c r="Q682" s="226"/>
      <c r="R682" s="227"/>
    </row>
    <row r="683" spans="17:18" ht="24.75" customHeight="1">
      <c r="Q683" s="227"/>
      <c r="R683" s="227"/>
    </row>
    <row r="684" spans="17:18" ht="24.75" customHeight="1">
      <c r="Q684" s="227"/>
      <c r="R684" s="227"/>
    </row>
    <row r="685" spans="17:18" ht="24.75" customHeight="1">
      <c r="Q685" s="226"/>
      <c r="R685" s="227"/>
    </row>
    <row r="686" spans="17:18" ht="24.75" customHeight="1">
      <c r="Q686" s="227"/>
      <c r="R686" s="218"/>
    </row>
    <row r="687" spans="17:18" ht="24.75" customHeight="1">
      <c r="Q687" s="226"/>
      <c r="R687" s="227"/>
    </row>
    <row r="688" spans="17:18" ht="24.75" customHeight="1">
      <c r="Q688" s="226"/>
      <c r="R688" s="227"/>
    </row>
    <row r="689" spans="17:18" ht="24.75" customHeight="1">
      <c r="Q689" s="226"/>
      <c r="R689" s="227"/>
    </row>
    <row r="690" spans="17:18" ht="24.75" customHeight="1">
      <c r="Q690" s="226"/>
      <c r="R690" s="227"/>
    </row>
    <row r="691" spans="17:18" ht="24.75" customHeight="1">
      <c r="Q691" s="227"/>
      <c r="R691" s="227"/>
    </row>
    <row r="692" spans="17:18" ht="24.75" customHeight="1">
      <c r="Q692" s="226"/>
      <c r="R692" s="227"/>
    </row>
    <row r="693" spans="17:18" ht="24.75" customHeight="1">
      <c r="Q693" s="226"/>
      <c r="R693" s="227"/>
    </row>
    <row r="694" spans="17:18" ht="24.75" customHeight="1">
      <c r="Q694" s="227"/>
      <c r="R694" s="227"/>
    </row>
    <row r="695" spans="17:18" ht="24.75" customHeight="1">
      <c r="Q695" s="226"/>
      <c r="R695" s="227"/>
    </row>
    <row r="696" spans="17:18" ht="24.75" customHeight="1">
      <c r="Q696" s="226"/>
      <c r="R696" s="227"/>
    </row>
    <row r="697" spans="17:18" ht="24.75" customHeight="1">
      <c r="Q697" s="227"/>
      <c r="R697" s="227"/>
    </row>
    <row r="698" spans="17:18" ht="24.75" customHeight="1">
      <c r="Q698" s="227"/>
      <c r="R698" s="227"/>
    </row>
    <row r="699" spans="17:18" ht="24.75" customHeight="1">
      <c r="Q699" s="226"/>
      <c r="R699" s="227"/>
    </row>
    <row r="700" spans="17:18" ht="24.75" customHeight="1">
      <c r="Q700" s="226"/>
      <c r="R700" s="227"/>
    </row>
    <row r="701" spans="17:18" ht="24.75" customHeight="1">
      <c r="Q701" s="227"/>
      <c r="R701" s="227"/>
    </row>
    <row r="702" spans="17:18" ht="24.75" customHeight="1">
      <c r="Q702" s="226"/>
      <c r="R702" s="227"/>
    </row>
    <row r="703" spans="17:18" ht="24.75" customHeight="1">
      <c r="Q703" s="227"/>
      <c r="R703" s="227"/>
    </row>
    <row r="704" spans="17:18" ht="24.75" customHeight="1">
      <c r="Q704" s="226"/>
      <c r="R704" s="227"/>
    </row>
    <row r="705" spans="17:18" ht="24.75" customHeight="1">
      <c r="Q705" s="227"/>
      <c r="R705" s="227"/>
    </row>
    <row r="706" spans="17:18" ht="24.75" customHeight="1">
      <c r="Q706" s="227"/>
      <c r="R706" s="227"/>
    </row>
    <row r="707" spans="17:18" ht="24.75" customHeight="1">
      <c r="Q707" s="226"/>
      <c r="R707" s="227"/>
    </row>
    <row r="708" spans="17:18" ht="24.75" customHeight="1">
      <c r="Q708" s="226"/>
      <c r="R708" s="227"/>
    </row>
    <row r="709" spans="17:18" ht="24.75" customHeight="1">
      <c r="Q709" s="226"/>
      <c r="R709" s="227"/>
    </row>
    <row r="710" spans="17:18" ht="24.75" customHeight="1">
      <c r="Q710" s="226"/>
      <c r="R710" s="227"/>
    </row>
    <row r="711" spans="17:18" ht="24.75" customHeight="1">
      <c r="Q711" s="226"/>
      <c r="R711" s="227"/>
    </row>
    <row r="712" spans="17:18" ht="24.75" customHeight="1">
      <c r="Q712" s="227"/>
      <c r="R712" s="227"/>
    </row>
    <row r="713" spans="17:18" ht="24.75" customHeight="1">
      <c r="Q713" s="226"/>
      <c r="R713" s="227"/>
    </row>
    <row r="714" spans="17:18" ht="24.75" customHeight="1">
      <c r="Q714" s="227"/>
      <c r="R714" s="227"/>
    </row>
    <row r="715" spans="17:18" ht="24.75" customHeight="1">
      <c r="Q715" s="227"/>
      <c r="R715" s="227"/>
    </row>
    <row r="716" spans="17:18" ht="24.75" customHeight="1">
      <c r="Q716" s="226"/>
      <c r="R716" s="227"/>
    </row>
    <row r="717" spans="17:18" ht="24.75" customHeight="1">
      <c r="Q717" s="226"/>
      <c r="R717" s="227"/>
    </row>
    <row r="718" spans="17:18" ht="24.75" customHeight="1">
      <c r="Q718" s="227"/>
      <c r="R718" s="227"/>
    </row>
    <row r="719" spans="17:18" ht="24.75" customHeight="1">
      <c r="Q719" s="227"/>
      <c r="R719" s="227"/>
    </row>
    <row r="720" spans="17:18" ht="24.75" customHeight="1">
      <c r="Q720" s="226"/>
      <c r="R720" s="227"/>
    </row>
    <row r="721" spans="17:18" ht="24.75" customHeight="1">
      <c r="Q721" s="226"/>
      <c r="R721" s="227"/>
    </row>
    <row r="722" spans="17:18" ht="24.75" customHeight="1">
      <c r="Q722" s="227"/>
      <c r="R722" s="227"/>
    </row>
    <row r="723" spans="17:18" ht="24.75" customHeight="1">
      <c r="Q723" s="227"/>
      <c r="R723" s="227"/>
    </row>
    <row r="724" spans="17:18" ht="24.75" customHeight="1">
      <c r="Q724" s="226"/>
      <c r="R724" s="227"/>
    </row>
    <row r="725" spans="17:18" ht="24.75" customHeight="1">
      <c r="Q725" s="227"/>
      <c r="R725" s="227"/>
    </row>
    <row r="726" spans="17:18" ht="24.75" customHeight="1">
      <c r="Q726" s="227"/>
      <c r="R726" s="227"/>
    </row>
    <row r="727" spans="17:18" ht="24.75" customHeight="1">
      <c r="Q727" s="227"/>
      <c r="R727" s="227"/>
    </row>
    <row r="728" spans="17:18" ht="24.75" customHeight="1">
      <c r="Q728" s="227"/>
      <c r="R728" s="227"/>
    </row>
    <row r="729" spans="17:18" ht="24.75" customHeight="1">
      <c r="Q729" s="226"/>
      <c r="R729" s="227"/>
    </row>
    <row r="730" spans="17:18" ht="24.75" customHeight="1">
      <c r="Q730" s="227"/>
      <c r="R730" s="227"/>
    </row>
    <row r="731" spans="17:18" ht="24.75" customHeight="1">
      <c r="Q731" s="227"/>
      <c r="R731" s="227"/>
    </row>
    <row r="732" spans="17:18" ht="24.75" customHeight="1">
      <c r="Q732" s="226"/>
      <c r="R732" s="227"/>
    </row>
    <row r="733" spans="17:18" ht="24.75" customHeight="1">
      <c r="Q733" s="227"/>
      <c r="R733" s="227"/>
    </row>
    <row r="734" spans="17:18" ht="24.75" customHeight="1">
      <c r="Q734" s="227"/>
      <c r="R734" s="218"/>
    </row>
    <row r="735" spans="17:18" ht="24.75" customHeight="1">
      <c r="Q735" s="226"/>
      <c r="R735" s="227"/>
    </row>
    <row r="736" spans="17:18" ht="24.75" customHeight="1">
      <c r="Q736" s="226"/>
      <c r="R736" s="227"/>
    </row>
    <row r="737" spans="17:18" ht="24.75" customHeight="1">
      <c r="Q737" s="226"/>
      <c r="R737" s="227"/>
    </row>
    <row r="738" spans="17:18" ht="24.75" customHeight="1">
      <c r="Q738" s="227"/>
      <c r="R738" s="227"/>
    </row>
    <row r="739" spans="17:18" ht="24.75" customHeight="1">
      <c r="Q739" s="226"/>
      <c r="R739" s="227"/>
    </row>
    <row r="740" spans="17:18" ht="24.75" customHeight="1">
      <c r="Q740" s="226"/>
      <c r="R740" s="227"/>
    </row>
    <row r="741" spans="17:18" ht="24.75" customHeight="1">
      <c r="Q741" s="226"/>
      <c r="R741" s="227"/>
    </row>
    <row r="742" spans="17:18" ht="24.75" customHeight="1">
      <c r="Q742" s="226"/>
      <c r="R742" s="227"/>
    </row>
    <row r="743" spans="17:18" ht="24.75" customHeight="1">
      <c r="Q743" s="226"/>
      <c r="R743" s="227"/>
    </row>
    <row r="744" spans="17:18" ht="24.75" customHeight="1">
      <c r="Q744" s="226"/>
      <c r="R744" s="227"/>
    </row>
    <row r="745" spans="17:18" ht="24.75" customHeight="1">
      <c r="Q745" s="226"/>
      <c r="R745" s="227"/>
    </row>
    <row r="746" spans="17:18" ht="24.75" customHeight="1">
      <c r="Q746" s="226"/>
      <c r="R746" s="227"/>
    </row>
    <row r="747" spans="17:18" ht="24.75" customHeight="1">
      <c r="Q747" s="226"/>
      <c r="R747" s="227"/>
    </row>
    <row r="748" spans="17:18" ht="24.75" customHeight="1">
      <c r="Q748" s="227"/>
      <c r="R748" s="227"/>
    </row>
    <row r="749" spans="17:18" ht="24.75" customHeight="1">
      <c r="Q749" s="226"/>
      <c r="R749" s="227"/>
    </row>
    <row r="750" spans="17:18" ht="24.75" customHeight="1">
      <c r="Q750" s="227"/>
      <c r="R750" s="227"/>
    </row>
    <row r="751" spans="17:18" ht="24.75" customHeight="1">
      <c r="Q751" s="226"/>
      <c r="R751" s="227"/>
    </row>
    <row r="752" spans="17:18" ht="24.75" customHeight="1">
      <c r="Q752" s="226"/>
      <c r="R752" s="227"/>
    </row>
    <row r="753" spans="17:18" ht="24.75" customHeight="1">
      <c r="Q753" s="227"/>
      <c r="R753" s="227"/>
    </row>
    <row r="754" spans="17:18" ht="24.75" customHeight="1">
      <c r="Q754" s="226"/>
      <c r="R754" s="227"/>
    </row>
    <row r="755" spans="17:18" ht="24.75" customHeight="1">
      <c r="Q755" s="226"/>
      <c r="R755" s="227"/>
    </row>
    <row r="756" spans="17:18" ht="24.75" customHeight="1">
      <c r="Q756" s="226"/>
      <c r="R756" s="227"/>
    </row>
    <row r="757" spans="17:18" ht="24.75" customHeight="1">
      <c r="Q757" s="226"/>
      <c r="R757" s="227"/>
    </row>
    <row r="758" spans="17:18" ht="24.75" customHeight="1">
      <c r="Q758" s="226"/>
      <c r="R758" s="227"/>
    </row>
    <row r="759" spans="17:18" ht="24.75" customHeight="1">
      <c r="Q759" s="226"/>
      <c r="R759" s="227"/>
    </row>
    <row r="760" spans="17:18" ht="24.75" customHeight="1">
      <c r="Q760" s="227"/>
      <c r="R760" s="227"/>
    </row>
    <row r="761" spans="17:18" ht="24.75" customHeight="1">
      <c r="Q761" s="227"/>
      <c r="R761" s="227"/>
    </row>
    <row r="762" spans="17:18" ht="24.75" customHeight="1">
      <c r="Q762" s="226"/>
      <c r="R762" s="227"/>
    </row>
    <row r="763" spans="17:18" ht="24.75" customHeight="1">
      <c r="Q763" s="227"/>
      <c r="R763" s="227"/>
    </row>
    <row r="764" spans="17:18" ht="24.75" customHeight="1">
      <c r="Q764" s="227"/>
      <c r="R764" s="227"/>
    </row>
    <row r="765" spans="17:18" ht="24.75" customHeight="1">
      <c r="Q765" s="227"/>
      <c r="R765" s="227"/>
    </row>
    <row r="766" spans="17:18" ht="24.75" customHeight="1">
      <c r="Q766" s="227"/>
      <c r="R766" s="227"/>
    </row>
    <row r="767" spans="17:18" ht="24.75" customHeight="1">
      <c r="Q767" s="226"/>
      <c r="R767" s="227"/>
    </row>
    <row r="768" spans="17:18" ht="24.75" customHeight="1">
      <c r="Q768" s="226"/>
      <c r="R768" s="227"/>
    </row>
    <row r="769" spans="17:18" ht="24.75" customHeight="1">
      <c r="Q769" s="227"/>
      <c r="R769" s="227"/>
    </row>
    <row r="770" spans="17:18" ht="24.75" customHeight="1">
      <c r="Q770" s="227"/>
      <c r="R770" s="227"/>
    </row>
    <row r="771" spans="17:18" ht="24.75" customHeight="1">
      <c r="Q771" s="227"/>
      <c r="R771" s="227"/>
    </row>
    <row r="772" spans="17:18" ht="24.75" customHeight="1">
      <c r="Q772" s="226"/>
      <c r="R772" s="227"/>
    </row>
    <row r="773" spans="17:18" ht="24.75" customHeight="1">
      <c r="Q773" s="227"/>
      <c r="R773" s="227"/>
    </row>
    <row r="774" spans="17:18" ht="24.75" customHeight="1">
      <c r="Q774" s="227"/>
      <c r="R774" s="227"/>
    </row>
    <row r="775" spans="17:18" ht="24.75" customHeight="1">
      <c r="Q775" s="227"/>
      <c r="R775" s="227"/>
    </row>
    <row r="776" spans="17:18" ht="24.75" customHeight="1">
      <c r="Q776" s="226"/>
      <c r="R776" s="227"/>
    </row>
    <row r="777" spans="17:18" ht="24.75" customHeight="1">
      <c r="Q777" s="226"/>
      <c r="R777" s="227"/>
    </row>
    <row r="778" spans="17:18" ht="24.75" customHeight="1">
      <c r="Q778" s="227"/>
      <c r="R778" s="227"/>
    </row>
    <row r="779" spans="17:18" ht="24.75" customHeight="1">
      <c r="Q779" s="227"/>
      <c r="R779" s="229"/>
    </row>
    <row r="780" spans="17:18" ht="24.75" customHeight="1">
      <c r="Q780" s="227"/>
      <c r="R780" s="227"/>
    </row>
    <row r="781" spans="17:18" ht="24.75" customHeight="1">
      <c r="Q781" s="227"/>
      <c r="R781" s="227"/>
    </row>
    <row r="782" spans="17:18" ht="24.75" customHeight="1">
      <c r="Q782" s="226"/>
      <c r="R782" s="227"/>
    </row>
    <row r="783" spans="17:18" ht="24.75" customHeight="1">
      <c r="Q783" s="227"/>
      <c r="R783" s="227"/>
    </row>
    <row r="784" spans="17:18" ht="24.75" customHeight="1">
      <c r="Q784" s="227"/>
      <c r="R784" s="227"/>
    </row>
    <row r="785" spans="17:18" ht="24.75" customHeight="1">
      <c r="Q785" s="226"/>
      <c r="R785" s="227"/>
    </row>
    <row r="786" spans="17:18" ht="24.75" customHeight="1">
      <c r="Q786" s="226"/>
      <c r="R786" s="227"/>
    </row>
    <row r="787" spans="17:18" ht="24.75" customHeight="1">
      <c r="Q787" s="226"/>
      <c r="R787" s="227"/>
    </row>
    <row r="788" spans="17:18" ht="24.75" customHeight="1">
      <c r="Q788" s="226"/>
      <c r="R788" s="227"/>
    </row>
    <row r="789" spans="17:18" ht="24.75" customHeight="1">
      <c r="Q789" s="226"/>
      <c r="R789" s="227"/>
    </row>
    <row r="790" spans="17:18" ht="24.75" customHeight="1">
      <c r="Q790" s="226"/>
      <c r="R790" s="227"/>
    </row>
    <row r="791" spans="17:18" ht="24.75" customHeight="1">
      <c r="Q791" s="226"/>
      <c r="R791" s="227"/>
    </row>
    <row r="792" spans="17:18" ht="24.75" customHeight="1">
      <c r="Q792" s="226"/>
      <c r="R792" s="227"/>
    </row>
    <row r="793" spans="17:18" ht="24.75" customHeight="1">
      <c r="Q793" s="227"/>
      <c r="R793" s="227"/>
    </row>
    <row r="794" spans="17:18" ht="24.75" customHeight="1">
      <c r="Q794" s="227"/>
      <c r="R794" s="227"/>
    </row>
    <row r="795" spans="17:18" ht="24.75" customHeight="1">
      <c r="Q795" s="227"/>
      <c r="R795" s="227"/>
    </row>
    <row r="796" spans="17:18" ht="24.75" customHeight="1">
      <c r="Q796" s="227"/>
      <c r="R796" s="227"/>
    </row>
    <row r="797" spans="17:18" ht="24.75" customHeight="1">
      <c r="Q797" s="227"/>
      <c r="R797" s="227"/>
    </row>
    <row r="798" spans="17:18" ht="24.75" customHeight="1">
      <c r="Q798" s="227"/>
      <c r="R798" s="227"/>
    </row>
    <row r="799" spans="17:18" ht="24.75" customHeight="1">
      <c r="Q799" s="227"/>
      <c r="R799" s="227"/>
    </row>
    <row r="800" spans="17:18" ht="24.75" customHeight="1">
      <c r="Q800" s="227"/>
      <c r="R800" s="227"/>
    </row>
    <row r="801" spans="17:18" ht="24.75" customHeight="1">
      <c r="Q801" s="227"/>
      <c r="R801" s="227"/>
    </row>
    <row r="802" spans="17:18" ht="24.75" customHeight="1">
      <c r="Q802" s="226"/>
      <c r="R802" s="227"/>
    </row>
    <row r="803" spans="17:18" ht="24.75" customHeight="1">
      <c r="Q803" s="226"/>
      <c r="R803" s="227"/>
    </row>
    <row r="804" spans="17:18" ht="24.75" customHeight="1">
      <c r="Q804" s="227"/>
      <c r="R804" s="227"/>
    </row>
    <row r="805" spans="17:18" ht="24.75" customHeight="1">
      <c r="Q805" s="227"/>
      <c r="R805" s="227"/>
    </row>
    <row r="806" spans="17:18" ht="24.75" customHeight="1">
      <c r="Q806" s="227"/>
      <c r="R806" s="227"/>
    </row>
    <row r="807" spans="17:18" ht="24.75" customHeight="1">
      <c r="Q807" s="226"/>
      <c r="R807" s="227"/>
    </row>
    <row r="808" spans="17:18" ht="24.75" customHeight="1">
      <c r="Q808" s="226"/>
      <c r="R808" s="227"/>
    </row>
    <row r="809" spans="17:18" ht="24.75" customHeight="1">
      <c r="Q809" s="227"/>
      <c r="R809" s="227"/>
    </row>
    <row r="810" spans="17:18" ht="24.75" customHeight="1">
      <c r="Q810" s="227"/>
      <c r="R810" s="227"/>
    </row>
    <row r="811" spans="17:18" ht="24.75" customHeight="1">
      <c r="Q811" s="227"/>
      <c r="R811" s="227"/>
    </row>
    <row r="812" spans="17:18" ht="24.75" customHeight="1">
      <c r="Q812" s="227"/>
      <c r="R812" s="227"/>
    </row>
    <row r="813" spans="17:18" ht="24.75" customHeight="1">
      <c r="Q813" s="226"/>
      <c r="R813" s="227"/>
    </row>
    <row r="814" spans="17:18" ht="24.75" customHeight="1">
      <c r="Q814" s="227"/>
      <c r="R814" s="227"/>
    </row>
    <row r="815" spans="17:18" ht="24.75" customHeight="1">
      <c r="Q815" s="227"/>
      <c r="R815" s="227"/>
    </row>
    <row r="816" spans="17:18" ht="24.75" customHeight="1">
      <c r="Q816" s="227"/>
      <c r="R816" s="227"/>
    </row>
    <row r="817" spans="17:18" ht="24.75" customHeight="1">
      <c r="Q817" s="226"/>
      <c r="R817" s="227"/>
    </row>
    <row r="818" spans="17:18" ht="24.75" customHeight="1">
      <c r="Q818" s="226"/>
      <c r="R818" s="227"/>
    </row>
    <row r="819" spans="17:18" ht="24.75" customHeight="1">
      <c r="Q819" s="227"/>
      <c r="R819" s="227"/>
    </row>
    <row r="820" spans="17:18" ht="24.75" customHeight="1">
      <c r="Q820" s="226"/>
      <c r="R820" s="227"/>
    </row>
    <row r="821" spans="17:18" ht="24.75" customHeight="1">
      <c r="Q821" s="227"/>
      <c r="R821" s="227"/>
    </row>
    <row r="822" spans="17:18" ht="24.75" customHeight="1">
      <c r="Q822" s="226"/>
      <c r="R822" s="227"/>
    </row>
    <row r="823" spans="17:18" ht="24.75" customHeight="1">
      <c r="Q823" s="226"/>
      <c r="R823" s="227"/>
    </row>
    <row r="824" spans="17:18" ht="24.75" customHeight="1">
      <c r="Q824" s="227"/>
      <c r="R824" s="227"/>
    </row>
    <row r="825" spans="17:18" ht="24.75" customHeight="1">
      <c r="Q825" s="227"/>
      <c r="R825" s="227"/>
    </row>
    <row r="826" spans="17:18" ht="24.75" customHeight="1">
      <c r="Q826" s="227"/>
      <c r="R826" s="227"/>
    </row>
    <row r="827" spans="17:18" ht="24.75" customHeight="1">
      <c r="Q827" s="226"/>
      <c r="R827" s="227"/>
    </row>
    <row r="828" spans="17:18" ht="24.75" customHeight="1">
      <c r="Q828" s="227"/>
      <c r="R828" s="227"/>
    </row>
    <row r="829" spans="17:18" ht="24.75" customHeight="1">
      <c r="Q829" s="227"/>
      <c r="R829" s="227"/>
    </row>
    <row r="830" spans="17:18" ht="24.75" customHeight="1">
      <c r="Q830" s="226"/>
      <c r="R830" s="227"/>
    </row>
    <row r="831" spans="17:18" ht="24.75" customHeight="1">
      <c r="Q831" s="227"/>
      <c r="R831" s="227"/>
    </row>
    <row r="832" spans="17:18" ht="24.75" customHeight="1">
      <c r="Q832" s="226"/>
      <c r="R832" s="227"/>
    </row>
    <row r="833" spans="17:18" ht="24.75" customHeight="1">
      <c r="Q833" s="226"/>
      <c r="R833" s="227"/>
    </row>
    <row r="834" spans="17:18" ht="24.75" customHeight="1">
      <c r="Q834" s="227"/>
      <c r="R834" s="227"/>
    </row>
    <row r="835" spans="17:18" ht="24.75" customHeight="1">
      <c r="Q835" s="227"/>
      <c r="R835" s="227"/>
    </row>
    <row r="836" spans="17:18" ht="24.75" customHeight="1">
      <c r="Q836" s="226"/>
      <c r="R836" s="227"/>
    </row>
    <row r="837" spans="17:18" ht="24.75" customHeight="1">
      <c r="Q837" s="227"/>
      <c r="R837" s="227"/>
    </row>
    <row r="838" spans="17:18" ht="24.75" customHeight="1">
      <c r="Q838" s="227"/>
      <c r="R838" s="227"/>
    </row>
    <row r="839" spans="17:18" ht="24.75" customHeight="1">
      <c r="Q839" s="227"/>
      <c r="R839" s="227"/>
    </row>
    <row r="840" spans="17:18" ht="24.75" customHeight="1">
      <c r="Q840" s="227"/>
      <c r="R840" s="227"/>
    </row>
    <row r="841" spans="17:18" ht="24.75" customHeight="1">
      <c r="Q841" s="227"/>
      <c r="R841" s="227"/>
    </row>
    <row r="842" spans="17:18" ht="24.75" customHeight="1">
      <c r="Q842" s="227"/>
      <c r="R842" s="227"/>
    </row>
    <row r="843" spans="17:18" ht="24.75" customHeight="1">
      <c r="Q843" s="227"/>
      <c r="R843" s="227"/>
    </row>
    <row r="844" spans="17:18" ht="24.75" customHeight="1">
      <c r="Q844" s="227"/>
      <c r="R844" s="227"/>
    </row>
    <row r="845" spans="17:18" ht="24.75" customHeight="1">
      <c r="Q845" s="227"/>
      <c r="R845" s="227"/>
    </row>
    <row r="846" spans="17:18" ht="24.75" customHeight="1">
      <c r="Q846" s="227"/>
      <c r="R846" s="227"/>
    </row>
    <row r="847" spans="17:18" ht="24.75" customHeight="1">
      <c r="Q847" s="226"/>
      <c r="R847" s="227"/>
    </row>
    <row r="848" spans="17:18" ht="24.75" customHeight="1">
      <c r="Q848" s="227"/>
      <c r="R848" s="227"/>
    </row>
    <row r="849" spans="17:18" ht="24.75" customHeight="1">
      <c r="Q849" s="227"/>
      <c r="R849" s="227"/>
    </row>
    <row r="850" spans="17:18" ht="24.75" customHeight="1">
      <c r="Q850" s="227"/>
      <c r="R850" s="227"/>
    </row>
    <row r="851" spans="17:18" ht="24.75" customHeight="1">
      <c r="Q851" s="226"/>
      <c r="R851" s="227"/>
    </row>
    <row r="852" spans="17:18" ht="24.75" customHeight="1">
      <c r="Q852" s="226"/>
      <c r="R852" s="227"/>
    </row>
    <row r="853" spans="17:18" ht="24.75" customHeight="1">
      <c r="Q853" s="226"/>
      <c r="R853" s="227"/>
    </row>
    <row r="854" spans="17:18" ht="24.75" customHeight="1">
      <c r="Q854" s="227"/>
      <c r="R854" s="227"/>
    </row>
    <row r="855" spans="17:18" ht="24.75" customHeight="1">
      <c r="Q855" s="226"/>
      <c r="R855" s="227"/>
    </row>
    <row r="856" spans="17:18" ht="24.75" customHeight="1">
      <c r="Q856" s="227"/>
      <c r="R856" s="227"/>
    </row>
    <row r="857" spans="17:18" ht="24.75" customHeight="1">
      <c r="Q857" s="227"/>
      <c r="R857" s="227"/>
    </row>
    <row r="858" spans="17:18" ht="24.75" customHeight="1">
      <c r="Q858" s="227"/>
      <c r="R858" s="227"/>
    </row>
    <row r="859" spans="17:18" ht="24.75" customHeight="1">
      <c r="Q859" s="226"/>
      <c r="R859" s="227"/>
    </row>
    <row r="860" spans="17:18" ht="24.75" customHeight="1">
      <c r="Q860" s="226"/>
      <c r="R860" s="227"/>
    </row>
    <row r="861" spans="17:18" ht="24.75" customHeight="1">
      <c r="Q861" s="227"/>
      <c r="R861" s="227"/>
    </row>
    <row r="862" spans="17:18" ht="24.75" customHeight="1">
      <c r="Q862" s="226"/>
      <c r="R862" s="227"/>
    </row>
    <row r="863" spans="17:18" ht="24.75" customHeight="1">
      <c r="Q863" s="227"/>
      <c r="R863" s="227"/>
    </row>
    <row r="864" spans="17:18" ht="24.75" customHeight="1">
      <c r="Q864" s="227"/>
      <c r="R864" s="227"/>
    </row>
    <row r="865" spans="17:18" ht="24.75" customHeight="1">
      <c r="Q865" s="226"/>
      <c r="R865" s="227"/>
    </row>
    <row r="866" spans="17:18" ht="24.75" customHeight="1">
      <c r="Q866" s="226"/>
      <c r="R866" s="227"/>
    </row>
    <row r="867" spans="17:18" ht="24.75" customHeight="1">
      <c r="Q867" s="227"/>
      <c r="R867" s="227"/>
    </row>
    <row r="868" spans="17:18" ht="24.75" customHeight="1">
      <c r="Q868" s="227"/>
      <c r="R868" s="227"/>
    </row>
    <row r="869" spans="17:18" ht="24.75" customHeight="1">
      <c r="Q869" s="226"/>
      <c r="R869" s="227"/>
    </row>
    <row r="870" spans="17:18" ht="24.75" customHeight="1">
      <c r="Q870" s="227"/>
      <c r="R870" s="227"/>
    </row>
    <row r="871" spans="17:18" ht="24.75" customHeight="1">
      <c r="Q871" s="226"/>
      <c r="R871" s="227"/>
    </row>
    <row r="872" spans="17:18" ht="24.75" customHeight="1">
      <c r="Q872" s="226"/>
      <c r="R872" s="227"/>
    </row>
    <row r="873" spans="17:18" ht="24.75" customHeight="1">
      <c r="Q873" s="226"/>
      <c r="R873" s="227"/>
    </row>
    <row r="874" spans="17:18" ht="24.75" customHeight="1">
      <c r="Q874" s="226"/>
      <c r="R874" s="227"/>
    </row>
    <row r="875" spans="17:18" ht="24.75" customHeight="1">
      <c r="Q875" s="230"/>
      <c r="R875" s="230"/>
    </row>
    <row r="876" spans="17:18" ht="24.75" customHeight="1">
      <c r="Q876" s="226"/>
      <c r="R876" s="227"/>
    </row>
    <row r="877" spans="17:18" ht="24.75" customHeight="1">
      <c r="Q877" s="227"/>
      <c r="R877" s="227"/>
    </row>
    <row r="878" spans="17:18" ht="24.75" customHeight="1">
      <c r="Q878" s="227"/>
      <c r="R878" s="227"/>
    </row>
    <row r="879" spans="17:18" ht="24.75" customHeight="1">
      <c r="Q879" s="226"/>
      <c r="R879" s="227"/>
    </row>
    <row r="880" spans="17:18" ht="24.75" customHeight="1">
      <c r="Q880" s="226"/>
      <c r="R880" s="227"/>
    </row>
    <row r="881" spans="17:18" ht="24.75" customHeight="1">
      <c r="Q881" s="226"/>
      <c r="R881" s="227"/>
    </row>
    <row r="882" spans="17:18" ht="24.75" customHeight="1">
      <c r="Q882" s="226"/>
      <c r="R882" s="227"/>
    </row>
    <row r="883" spans="17:18" ht="24.75" customHeight="1">
      <c r="Q883" s="226"/>
      <c r="R883" s="227"/>
    </row>
    <row r="884" spans="17:18" ht="24.75" customHeight="1">
      <c r="Q884" s="227"/>
      <c r="R884" s="227"/>
    </row>
    <row r="885" spans="17:18" ht="24.75" customHeight="1">
      <c r="Q885" s="226"/>
      <c r="R885" s="227"/>
    </row>
    <row r="886" spans="17:18" ht="24.75" customHeight="1">
      <c r="Q886" s="227"/>
      <c r="R886" s="227"/>
    </row>
    <row r="887" spans="17:18" ht="24.75" customHeight="1">
      <c r="Q887" s="226"/>
      <c r="R887" s="227"/>
    </row>
    <row r="888" spans="17:18" ht="24.75" customHeight="1">
      <c r="Q888" s="226"/>
      <c r="R888" s="227"/>
    </row>
    <row r="889" spans="17:18" ht="24.75" customHeight="1">
      <c r="Q889" s="227"/>
      <c r="R889" s="227"/>
    </row>
    <row r="890" spans="17:18" ht="24.75" customHeight="1">
      <c r="Q890" s="227"/>
      <c r="R890" s="227"/>
    </row>
    <row r="891" spans="17:18" ht="24.75" customHeight="1">
      <c r="Q891" s="226"/>
      <c r="R891" s="227"/>
    </row>
    <row r="892" spans="17:18" ht="24.75" customHeight="1">
      <c r="Q892" s="226"/>
      <c r="R892" s="227"/>
    </row>
    <row r="893" spans="17:18" ht="24.75" customHeight="1">
      <c r="Q893" s="226"/>
      <c r="R893" s="227"/>
    </row>
    <row r="894" spans="17:18" ht="24.75" customHeight="1">
      <c r="Q894" s="227"/>
      <c r="R894" s="227"/>
    </row>
    <row r="895" spans="17:18" ht="24.75" customHeight="1">
      <c r="Q895" s="226"/>
      <c r="R895" s="227"/>
    </row>
    <row r="896" spans="17:18" ht="24.75" customHeight="1">
      <c r="Q896" s="226"/>
      <c r="R896" s="227"/>
    </row>
    <row r="897" spans="17:18" ht="24.75" customHeight="1">
      <c r="Q897" s="226"/>
      <c r="R897" s="227"/>
    </row>
    <row r="898" spans="17:18" ht="24.75" customHeight="1">
      <c r="Q898" s="227"/>
      <c r="R898" s="227"/>
    </row>
    <row r="899" spans="17:18" ht="24.75" customHeight="1">
      <c r="Q899" s="227"/>
      <c r="R899" s="227"/>
    </row>
    <row r="900" spans="17:18" ht="24.75" customHeight="1">
      <c r="Q900" s="227"/>
      <c r="R900" s="227"/>
    </row>
    <row r="901" spans="17:18" ht="24.75" customHeight="1">
      <c r="Q901" s="227"/>
      <c r="R901" s="227"/>
    </row>
    <row r="902" spans="17:18" ht="24.75" customHeight="1">
      <c r="Q902" s="227"/>
      <c r="R902" s="227"/>
    </row>
    <row r="903" spans="17:18" ht="24.75" customHeight="1">
      <c r="Q903" s="227"/>
      <c r="R903" s="227"/>
    </row>
    <row r="904" spans="17:18" ht="24.75" customHeight="1">
      <c r="Q904" s="226"/>
      <c r="R904" s="227"/>
    </row>
    <row r="905" spans="17:18" ht="24.75" customHeight="1">
      <c r="Q905" s="226"/>
      <c r="R905" s="227"/>
    </row>
    <row r="906" spans="17:18" ht="24.75" customHeight="1">
      <c r="Q906" s="226"/>
      <c r="R906" s="227"/>
    </row>
    <row r="907" spans="17:18" ht="24.75" customHeight="1">
      <c r="Q907" s="227"/>
      <c r="R907" s="227"/>
    </row>
    <row r="908" spans="17:18" ht="24.75" customHeight="1">
      <c r="Q908" s="227"/>
      <c r="R908" s="227"/>
    </row>
    <row r="909" spans="17:18" ht="24.75" customHeight="1">
      <c r="Q909" s="226"/>
      <c r="R909" s="227"/>
    </row>
    <row r="910" spans="17:18" ht="24.75" customHeight="1">
      <c r="Q910" s="226"/>
      <c r="R910" s="227"/>
    </row>
    <row r="911" spans="17:18" ht="24.75" customHeight="1">
      <c r="Q911" s="226"/>
      <c r="R911" s="227"/>
    </row>
    <row r="912" spans="17:18" ht="24.75" customHeight="1">
      <c r="Q912" s="227"/>
      <c r="R912" s="227"/>
    </row>
    <row r="913" spans="17:18" ht="24.75" customHeight="1">
      <c r="Q913" s="226"/>
      <c r="R913" s="227"/>
    </row>
    <row r="914" spans="17:18" ht="24.75" customHeight="1">
      <c r="Q914" s="226"/>
      <c r="R914" s="227"/>
    </row>
    <row r="915" spans="17:18" ht="24.75" customHeight="1">
      <c r="Q915" s="226"/>
      <c r="R915" s="227"/>
    </row>
    <row r="916" spans="17:18" ht="24.75" customHeight="1">
      <c r="Q916" s="226"/>
      <c r="R916" s="227"/>
    </row>
    <row r="917" spans="17:18" ht="24.75" customHeight="1">
      <c r="Q917" s="226"/>
      <c r="R917" s="227"/>
    </row>
    <row r="918" spans="17:18" ht="24.75" customHeight="1">
      <c r="Q918" s="226"/>
      <c r="R918" s="227"/>
    </row>
    <row r="919" spans="17:18" ht="24.75" customHeight="1">
      <c r="Q919" s="227"/>
      <c r="R919" s="227"/>
    </row>
    <row r="920" spans="17:18" ht="24.75" customHeight="1">
      <c r="Q920" s="227"/>
      <c r="R920" s="227"/>
    </row>
    <row r="921" spans="17:18" ht="24.75" customHeight="1">
      <c r="Q921" s="226"/>
      <c r="R921" s="227"/>
    </row>
    <row r="922" spans="17:18" ht="24.75" customHeight="1">
      <c r="Q922" s="227"/>
      <c r="R922" s="227"/>
    </row>
    <row r="923" spans="17:18" ht="24.75" customHeight="1">
      <c r="Q923" s="227"/>
      <c r="R923" s="227"/>
    </row>
    <row r="924" spans="17:18" ht="24.75" customHeight="1">
      <c r="Q924" s="226"/>
      <c r="R924" s="227"/>
    </row>
    <row r="925" spans="17:18" ht="24.75" customHeight="1">
      <c r="Q925" s="227"/>
      <c r="R925" s="227"/>
    </row>
    <row r="926" spans="17:18" ht="24.75" customHeight="1">
      <c r="Q926" s="226"/>
      <c r="R926" s="227"/>
    </row>
    <row r="927" spans="17:18" ht="24.75" customHeight="1">
      <c r="Q927" s="227"/>
      <c r="R927" s="227"/>
    </row>
    <row r="928" spans="17:18" ht="24.75" customHeight="1">
      <c r="Q928" s="227"/>
      <c r="R928" s="227"/>
    </row>
    <row r="929" spans="17:18" ht="24.75" customHeight="1">
      <c r="Q929" s="227"/>
      <c r="R929" s="227"/>
    </row>
    <row r="930" spans="17:18" ht="24.75" customHeight="1">
      <c r="Q930" s="226"/>
      <c r="R930" s="227"/>
    </row>
    <row r="931" spans="17:18" ht="24.75" customHeight="1">
      <c r="Q931" s="227"/>
      <c r="R931" s="227"/>
    </row>
    <row r="932" spans="17:18" ht="24.75" customHeight="1">
      <c r="Q932" s="227"/>
      <c r="R932" s="227"/>
    </row>
    <row r="933" spans="17:18" ht="24.75" customHeight="1">
      <c r="Q933" s="227"/>
      <c r="R933" s="227"/>
    </row>
    <row r="934" spans="17:18" ht="24.75" customHeight="1">
      <c r="Q934" s="227"/>
      <c r="R934" s="227"/>
    </row>
    <row r="935" spans="17:18" ht="24.75" customHeight="1">
      <c r="Q935" s="227"/>
      <c r="R935" s="227"/>
    </row>
    <row r="936" spans="17:18" ht="24.75" customHeight="1">
      <c r="Q936" s="227"/>
      <c r="R936" s="227"/>
    </row>
    <row r="937" spans="17:18" ht="24.75" customHeight="1">
      <c r="Q937" s="227"/>
      <c r="R937" s="227"/>
    </row>
    <row r="938" spans="17:18" ht="24.75" customHeight="1">
      <c r="Q938" s="227"/>
      <c r="R938" s="227"/>
    </row>
    <row r="939" spans="17:18" ht="24.75" customHeight="1">
      <c r="Q939" s="226"/>
      <c r="R939" s="227"/>
    </row>
    <row r="940" spans="17:18" ht="24.75" customHeight="1">
      <c r="Q940" s="226"/>
      <c r="R940" s="227"/>
    </row>
    <row r="941" spans="17:18" ht="24.75" customHeight="1">
      <c r="Q941" s="218"/>
      <c r="R941" s="218"/>
    </row>
    <row r="942" spans="17:18" ht="24.75" customHeight="1">
      <c r="Q942" s="218"/>
      <c r="R942" s="218"/>
    </row>
    <row r="943" spans="17:18" ht="24.75" customHeight="1">
      <c r="Q943" s="230"/>
      <c r="R943" s="230"/>
    </row>
    <row r="944" spans="17:18" ht="24.75" customHeight="1">
      <c r="Q944" s="218"/>
      <c r="R944" s="218"/>
    </row>
    <row r="945" spans="17:18" ht="24.75" customHeight="1">
      <c r="Q945" s="218"/>
      <c r="R945" s="218"/>
    </row>
    <row r="946" spans="17:18" ht="24.75" customHeight="1">
      <c r="Q946" s="218"/>
      <c r="R946" s="218"/>
    </row>
    <row r="947" spans="17:18" ht="24.75" customHeight="1">
      <c r="Q947" s="218"/>
      <c r="R947" s="230"/>
    </row>
    <row r="948" spans="17:18" ht="24.75" customHeight="1">
      <c r="Q948" s="218"/>
      <c r="R948" s="218"/>
    </row>
    <row r="949" spans="17:18" ht="24.75" customHeight="1">
      <c r="Q949" s="218"/>
      <c r="R949" s="218"/>
    </row>
    <row r="950" spans="17:18" ht="24.75" customHeight="1">
      <c r="Q950" s="218"/>
      <c r="R950" s="218"/>
    </row>
    <row r="951" spans="17:18" ht="24.75" customHeight="1">
      <c r="Q951" s="218"/>
      <c r="R951" s="230"/>
    </row>
    <row r="952" spans="17:18" ht="24.75" customHeight="1">
      <c r="Q952" s="218"/>
      <c r="R952" s="218"/>
    </row>
    <row r="953" spans="17:18" ht="24.75" customHeight="1">
      <c r="Q953" s="218"/>
      <c r="R953" s="218"/>
    </row>
    <row r="954" spans="17:18" ht="24.75" customHeight="1">
      <c r="Q954" s="218"/>
      <c r="R954" s="218"/>
    </row>
    <row r="955" spans="17:18" ht="24.75" customHeight="1">
      <c r="Q955" s="218"/>
      <c r="R955" s="218"/>
    </row>
    <row r="956" spans="17:18" ht="24.75" customHeight="1">
      <c r="Q956" s="218"/>
      <c r="R956" s="218"/>
    </row>
    <row r="957" spans="17:18" ht="24.75" customHeight="1">
      <c r="Q957" s="218"/>
      <c r="R957" s="218"/>
    </row>
    <row r="958" spans="17:18" ht="24.75" customHeight="1">
      <c r="Q958" s="218"/>
      <c r="R958" s="218"/>
    </row>
    <row r="959" spans="17:18" ht="24.75" customHeight="1">
      <c r="Q959" s="218"/>
      <c r="R959" s="218"/>
    </row>
    <row r="960" spans="17:18" ht="24.75" customHeight="1">
      <c r="Q960" s="218"/>
      <c r="R960" s="218"/>
    </row>
    <row r="961" spans="17:18" ht="24.75" customHeight="1">
      <c r="Q961" s="218"/>
      <c r="R961" s="218"/>
    </row>
    <row r="962" spans="17:18" ht="24.75" customHeight="1">
      <c r="Q962" s="218"/>
      <c r="R962" s="231"/>
    </row>
    <row r="963" spans="17:18" ht="24.75" customHeight="1">
      <c r="Q963" s="218"/>
      <c r="R963" s="230"/>
    </row>
    <row r="964" spans="17:18" ht="24.75" customHeight="1">
      <c r="Q964" s="218"/>
      <c r="R964" s="230"/>
    </row>
    <row r="965" spans="17:18" ht="24.75" customHeight="1">
      <c r="Q965" s="218"/>
      <c r="R965" s="231"/>
    </row>
    <row r="966" spans="17:18" ht="24.75" customHeight="1">
      <c r="Q966" s="218"/>
      <c r="R966" s="231"/>
    </row>
    <row r="967" spans="17:18" ht="24.75" customHeight="1">
      <c r="Q967" s="218"/>
      <c r="R967" s="230"/>
    </row>
    <row r="968" spans="17:18" ht="24.75" customHeight="1">
      <c r="Q968" s="218"/>
      <c r="R968" s="230"/>
    </row>
    <row r="969" spans="17:18" ht="24.75" customHeight="1">
      <c r="Q969" s="218"/>
      <c r="R969" s="218"/>
    </row>
    <row r="970" spans="17:18" ht="24.75" customHeight="1">
      <c r="Q970" s="218"/>
      <c r="R970" s="230"/>
    </row>
    <row r="971" spans="17:18" ht="24.75" customHeight="1">
      <c r="Q971" s="231"/>
      <c r="R971" s="230"/>
    </row>
    <row r="972" spans="17:18" ht="24.75" customHeight="1">
      <c r="Q972" s="218"/>
      <c r="R972" s="218"/>
    </row>
    <row r="973" spans="17:18" ht="24.75" customHeight="1">
      <c r="Q973" s="218"/>
      <c r="R973" s="227"/>
    </row>
    <row r="974" spans="17:18" ht="24.75" customHeight="1">
      <c r="Q974" s="231"/>
      <c r="R974" s="230"/>
    </row>
    <row r="975" spans="17:18" ht="24.75" customHeight="1">
      <c r="Q975" s="231"/>
      <c r="R975" s="227"/>
    </row>
    <row r="976" spans="17:18" ht="24.75" customHeight="1">
      <c r="Q976" s="218"/>
      <c r="R976" s="218"/>
    </row>
    <row r="977" spans="17:18" ht="24.75" customHeight="1">
      <c r="Q977" s="218"/>
      <c r="R977" s="218"/>
    </row>
    <row r="978" spans="17:18" ht="24.75" customHeight="1">
      <c r="Q978" s="218"/>
      <c r="R978" s="218"/>
    </row>
    <row r="979" spans="17:18" ht="24.75" customHeight="1">
      <c r="Q979" s="230"/>
      <c r="R979" s="230"/>
    </row>
    <row r="980" spans="17:18" ht="24.75" customHeight="1">
      <c r="Q980" s="230"/>
      <c r="R980" s="230"/>
    </row>
    <row r="981" spans="17:18" ht="24.75" customHeight="1">
      <c r="Q981" s="230"/>
      <c r="R981" s="230"/>
    </row>
    <row r="982" spans="17:18" ht="24.75" customHeight="1">
      <c r="Q982" s="230"/>
      <c r="R982" s="230"/>
    </row>
    <row r="983" spans="17:18" ht="24.75" customHeight="1">
      <c r="Q983" s="230"/>
      <c r="R983" s="230"/>
    </row>
    <row r="984" spans="17:18" ht="24.75" customHeight="1">
      <c r="Q984" s="230"/>
      <c r="R984" s="230"/>
    </row>
    <row r="985" spans="17:18" ht="24.75" customHeight="1">
      <c r="Q985" s="230"/>
      <c r="R985" s="230"/>
    </row>
    <row r="986" spans="17:18" ht="24.75" customHeight="1">
      <c r="Q986" s="230"/>
      <c r="R986" s="230"/>
    </row>
    <row r="987" spans="17:18" ht="24.75" customHeight="1">
      <c r="Q987" s="230"/>
      <c r="R987" s="230"/>
    </row>
    <row r="988" spans="17:18" ht="24.75" customHeight="1">
      <c r="Q988" s="230"/>
      <c r="R988" s="230"/>
    </row>
    <row r="989" spans="17:18" ht="24.75" customHeight="1">
      <c r="Q989" s="230"/>
      <c r="R989" s="230"/>
    </row>
    <row r="990" spans="17:18" ht="24.75" customHeight="1">
      <c r="Q990" s="230"/>
      <c r="R990" s="230"/>
    </row>
    <row r="991" spans="17:18" ht="24.75" customHeight="1">
      <c r="Q991" s="230"/>
      <c r="R991" s="230"/>
    </row>
    <row r="992" spans="17:18" ht="24.75" customHeight="1">
      <c r="Q992" s="230"/>
      <c r="R992" s="230"/>
    </row>
    <row r="993" spans="17:18" ht="24.75" customHeight="1">
      <c r="Q993" s="230"/>
      <c r="R993" s="230"/>
    </row>
    <row r="994" spans="17:18" ht="24.75" customHeight="1">
      <c r="Q994" s="230"/>
      <c r="R994" s="230"/>
    </row>
    <row r="995" spans="17:18" ht="24.75" customHeight="1">
      <c r="Q995" s="230"/>
      <c r="R995" s="230"/>
    </row>
    <row r="996" spans="17:18" ht="24.75" customHeight="1">
      <c r="Q996" s="230"/>
      <c r="R996" s="230"/>
    </row>
    <row r="997" spans="17:18" ht="24.75" customHeight="1">
      <c r="Q997" s="230"/>
      <c r="R997" s="230"/>
    </row>
    <row r="998" spans="17:18" ht="24.75" customHeight="1">
      <c r="Q998" s="230"/>
      <c r="R998" s="230"/>
    </row>
    <row r="999" spans="17:18" ht="24.75" customHeight="1">
      <c r="Q999" s="230"/>
      <c r="R999" s="230"/>
    </row>
    <row r="1000" spans="17:18" ht="24.75" customHeight="1">
      <c r="Q1000" s="230"/>
      <c r="R1000" s="230"/>
    </row>
    <row r="1001" spans="17:18" ht="24.75" customHeight="1">
      <c r="Q1001" s="230"/>
      <c r="R1001" s="230"/>
    </row>
    <row r="1002" spans="17:18" ht="24.75" customHeight="1">
      <c r="Q1002" s="230"/>
      <c r="R1002" s="230"/>
    </row>
    <row r="1003" spans="17:18" ht="24.75" customHeight="1">
      <c r="Q1003" s="230"/>
      <c r="R1003" s="230"/>
    </row>
    <row r="1004" spans="17:18" ht="24.75" customHeight="1">
      <c r="Q1004" s="230"/>
      <c r="R1004" s="230"/>
    </row>
    <row r="1005" spans="17:18" ht="24.75" customHeight="1">
      <c r="Q1005" s="230"/>
      <c r="R1005" s="230"/>
    </row>
    <row r="1006" spans="17:18" ht="24.75" customHeight="1">
      <c r="Q1006" s="230"/>
      <c r="R1006" s="230"/>
    </row>
    <row r="1007" spans="17:18" ht="24.75" customHeight="1">
      <c r="Q1007" s="230"/>
      <c r="R1007" s="230"/>
    </row>
    <row r="1008" spans="17:18" ht="24.75" customHeight="1">
      <c r="Q1008" s="230"/>
      <c r="R1008" s="230"/>
    </row>
    <row r="1009" spans="17:18" ht="24.75" customHeight="1">
      <c r="Q1009" s="230"/>
      <c r="R1009" s="230"/>
    </row>
    <row r="1010" spans="17:18" ht="24.75" customHeight="1">
      <c r="Q1010" s="230"/>
      <c r="R1010" s="230"/>
    </row>
    <row r="1011" spans="17:18" ht="24.75" customHeight="1">
      <c r="Q1011" s="230"/>
      <c r="R1011" s="230"/>
    </row>
    <row r="1012" spans="17:18" ht="24.75" customHeight="1">
      <c r="Q1012" s="230"/>
      <c r="R1012" s="230"/>
    </row>
    <row r="1013" spans="17:18" ht="24.75" customHeight="1">
      <c r="Q1013" s="230"/>
      <c r="R1013" s="230"/>
    </row>
    <row r="1014" spans="17:18" ht="24.75" customHeight="1">
      <c r="Q1014" s="230"/>
      <c r="R1014" s="230"/>
    </row>
    <row r="1015" spans="17:18" ht="24.75" customHeight="1">
      <c r="Q1015" s="230"/>
      <c r="R1015" s="230"/>
    </row>
    <row r="1016" spans="17:18" ht="24.75" customHeight="1">
      <c r="Q1016" s="230"/>
      <c r="R1016" s="230"/>
    </row>
    <row r="1017" spans="17:18" ht="24.75" customHeight="1">
      <c r="Q1017" s="230"/>
      <c r="R1017" s="230"/>
    </row>
    <row r="1018" spans="17:18" ht="24.75" customHeight="1">
      <c r="Q1018" s="230"/>
      <c r="R1018" s="230"/>
    </row>
    <row r="1019" spans="17:18" ht="24.75" customHeight="1">
      <c r="Q1019" s="230"/>
      <c r="R1019" s="230"/>
    </row>
    <row r="1020" spans="17:18" ht="24.75" customHeight="1">
      <c r="Q1020" s="230"/>
      <c r="R1020" s="230"/>
    </row>
    <row r="1021" spans="17:18" ht="24.75" customHeight="1">
      <c r="Q1021" s="230"/>
      <c r="R1021" s="230"/>
    </row>
    <row r="1022" spans="17:18" ht="24.75" customHeight="1">
      <c r="Q1022" s="230"/>
      <c r="R1022" s="230"/>
    </row>
    <row r="1023" spans="17:18" ht="24.75" customHeight="1">
      <c r="Q1023" s="230"/>
      <c r="R1023" s="230"/>
    </row>
    <row r="1024" spans="17:18" ht="24.75" customHeight="1">
      <c r="Q1024" s="230"/>
      <c r="R1024" s="230"/>
    </row>
    <row r="1025" spans="17:18" ht="24.75" customHeight="1">
      <c r="Q1025" s="230"/>
      <c r="R1025" s="230"/>
    </row>
    <row r="1026" spans="17:18" ht="24.75" customHeight="1">
      <c r="Q1026" s="230"/>
      <c r="R1026" s="230"/>
    </row>
    <row r="1027" spans="17:18" ht="24.75" customHeight="1">
      <c r="Q1027" s="230"/>
      <c r="R1027" s="230"/>
    </row>
    <row r="1028" spans="17:18" ht="24.75" customHeight="1">
      <c r="Q1028" s="230"/>
      <c r="R1028" s="230"/>
    </row>
    <row r="1029" spans="17:18" ht="24.75" customHeight="1">
      <c r="Q1029" s="230"/>
      <c r="R1029" s="230"/>
    </row>
    <row r="1030" spans="17:18" ht="24.75" customHeight="1">
      <c r="Q1030" s="230"/>
      <c r="R1030" s="230"/>
    </row>
    <row r="1031" spans="17:18" ht="24.75" customHeight="1">
      <c r="Q1031" s="230"/>
      <c r="R1031" s="230"/>
    </row>
    <row r="1032" spans="17:18" ht="24.75" customHeight="1">
      <c r="Q1032" s="230"/>
      <c r="R1032" s="230"/>
    </row>
    <row r="1033" spans="17:18" ht="24.75" customHeight="1">
      <c r="Q1033" s="230"/>
      <c r="R1033" s="230"/>
    </row>
    <row r="1034" spans="17:18" ht="24.75" customHeight="1">
      <c r="Q1034" s="230"/>
      <c r="R1034" s="230"/>
    </row>
    <row r="1035" spans="17:18" ht="24.75" customHeight="1">
      <c r="Q1035" s="230"/>
      <c r="R1035" s="230"/>
    </row>
    <row r="1036" spans="17:18" ht="24.75" customHeight="1">
      <c r="Q1036" s="230"/>
      <c r="R1036" s="230"/>
    </row>
    <row r="1037" spans="17:18" ht="24.75" customHeight="1">
      <c r="Q1037" s="230"/>
      <c r="R1037" s="230"/>
    </row>
    <row r="1038" spans="17:18" ht="24.75" customHeight="1">
      <c r="Q1038" s="230"/>
      <c r="R1038" s="230"/>
    </row>
    <row r="1039" spans="17:18" ht="24.75" customHeight="1">
      <c r="Q1039" s="230"/>
      <c r="R1039" s="230"/>
    </row>
    <row r="1040" spans="17:18" ht="24.75" customHeight="1">
      <c r="Q1040" s="230"/>
      <c r="R1040" s="230"/>
    </row>
    <row r="1041" spans="17:18" ht="24.75" customHeight="1">
      <c r="Q1041" s="230"/>
      <c r="R1041" s="230"/>
    </row>
    <row r="1042" spans="17:18" ht="24.75" customHeight="1">
      <c r="Q1042" s="230"/>
      <c r="R1042" s="230"/>
    </row>
    <row r="1043" spans="17:18" ht="24.75" customHeight="1">
      <c r="Q1043" s="230"/>
      <c r="R1043" s="230"/>
    </row>
    <row r="1044" spans="17:18" ht="24.75" customHeight="1">
      <c r="Q1044" s="230"/>
      <c r="R1044" s="230"/>
    </row>
    <row r="1045" spans="17:18" ht="24.75" customHeight="1">
      <c r="Q1045" s="230"/>
      <c r="R1045" s="230"/>
    </row>
    <row r="1046" spans="17:18" ht="24.75" customHeight="1">
      <c r="Q1046" s="230"/>
      <c r="R1046" s="230"/>
    </row>
    <row r="1047" spans="17:18" ht="24.75" customHeight="1">
      <c r="Q1047" s="230"/>
      <c r="R1047" s="230"/>
    </row>
    <row r="1048" spans="17:18" ht="24.75" customHeight="1">
      <c r="Q1048" s="230"/>
      <c r="R1048" s="230"/>
    </row>
    <row r="1049" spans="17:18" ht="24.75" customHeight="1">
      <c r="Q1049" s="230"/>
      <c r="R1049" s="230"/>
    </row>
    <row r="1050" spans="17:18" ht="24.75" customHeight="1">
      <c r="Q1050" s="230"/>
      <c r="R1050" s="230"/>
    </row>
    <row r="1051" spans="17:18" ht="24.75" customHeight="1">
      <c r="Q1051" s="230"/>
      <c r="R1051" s="230"/>
    </row>
    <row r="1052" spans="17:18" ht="24.75" customHeight="1">
      <c r="Q1052" s="230"/>
      <c r="R1052" s="230"/>
    </row>
    <row r="1053" spans="17:18" ht="24.75" customHeight="1">
      <c r="Q1053" s="230"/>
      <c r="R1053" s="230"/>
    </row>
    <row r="1054" spans="17:18" ht="24.75" customHeight="1">
      <c r="Q1054" s="230"/>
      <c r="R1054" s="230"/>
    </row>
    <row r="1055" spans="17:18" ht="24.75" customHeight="1">
      <c r="Q1055" s="230"/>
      <c r="R1055" s="230"/>
    </row>
    <row r="1056" spans="17:18" ht="24.75" customHeight="1">
      <c r="Q1056" s="230"/>
      <c r="R1056" s="230"/>
    </row>
    <row r="1057" spans="17:18" ht="24.75" customHeight="1">
      <c r="Q1057" s="230"/>
      <c r="R1057" s="230"/>
    </row>
    <row r="1058" spans="17:18" ht="24.75" customHeight="1">
      <c r="Q1058" s="230"/>
      <c r="R1058" s="230"/>
    </row>
    <row r="1059" spans="17:18" ht="24.75" customHeight="1">
      <c r="Q1059" s="230"/>
      <c r="R1059" s="230"/>
    </row>
    <row r="1060" spans="17:18" ht="24.75" customHeight="1">
      <c r="Q1060" s="230"/>
      <c r="R1060" s="230"/>
    </row>
    <row r="1061" spans="17:18" ht="24.75" customHeight="1">
      <c r="Q1061" s="230"/>
      <c r="R1061" s="230"/>
    </row>
    <row r="1062" spans="17:18" ht="24.75" customHeight="1">
      <c r="Q1062" s="230"/>
      <c r="R1062" s="230"/>
    </row>
    <row r="1063" spans="17:18" ht="24.75" customHeight="1">
      <c r="Q1063" s="230"/>
      <c r="R1063" s="230"/>
    </row>
    <row r="1064" spans="17:18" ht="24.75" customHeight="1">
      <c r="Q1064" s="230"/>
      <c r="R1064" s="230"/>
    </row>
    <row r="1065" spans="17:18" ht="24.75" customHeight="1">
      <c r="Q1065" s="230"/>
      <c r="R1065" s="230"/>
    </row>
    <row r="1066" spans="17:18" ht="24.75" customHeight="1">
      <c r="Q1066" s="230"/>
      <c r="R1066" s="230"/>
    </row>
    <row r="1067" spans="17:18" ht="24.75" customHeight="1">
      <c r="Q1067" s="230"/>
      <c r="R1067" s="230"/>
    </row>
    <row r="1068" spans="17:18" ht="24.75" customHeight="1">
      <c r="Q1068" s="230"/>
      <c r="R1068" s="230"/>
    </row>
    <row r="1069" spans="17:18" ht="24.75" customHeight="1">
      <c r="Q1069" s="230"/>
      <c r="R1069" s="230"/>
    </row>
    <row r="1070" spans="17:18" ht="24.75" customHeight="1">
      <c r="Q1070" s="230"/>
      <c r="R1070" s="230"/>
    </row>
    <row r="1071" spans="17:18" ht="24.75" customHeight="1">
      <c r="Q1071" s="230"/>
      <c r="R1071" s="230"/>
    </row>
    <row r="1072" spans="17:18" ht="24.75" customHeight="1">
      <c r="Q1072" s="230"/>
      <c r="R1072" s="230"/>
    </row>
    <row r="1073" spans="17:18" ht="24.75" customHeight="1">
      <c r="Q1073" s="230"/>
      <c r="R1073" s="230"/>
    </row>
    <row r="1074" spans="17:18" ht="24.75" customHeight="1">
      <c r="Q1074" s="230"/>
      <c r="R1074" s="230"/>
    </row>
    <row r="1075" spans="17:18" ht="24.75" customHeight="1">
      <c r="Q1075" s="230"/>
      <c r="R1075" s="230"/>
    </row>
    <row r="1076" spans="17:18" ht="24.75" customHeight="1">
      <c r="Q1076" s="230"/>
      <c r="R1076" s="230"/>
    </row>
    <row r="1077" spans="17:18" ht="24.75" customHeight="1">
      <c r="Q1077" s="230"/>
      <c r="R1077" s="230"/>
    </row>
    <row r="1078" spans="17:18" ht="24.75" customHeight="1">
      <c r="Q1078" s="230"/>
      <c r="R1078" s="230"/>
    </row>
    <row r="1079" spans="17:18" ht="24.75" customHeight="1">
      <c r="Q1079" s="230"/>
      <c r="R1079" s="230"/>
    </row>
    <row r="1080" spans="17:18" ht="24.75" customHeight="1">
      <c r="Q1080" s="230"/>
      <c r="R1080" s="230"/>
    </row>
    <row r="1081" spans="17:18" ht="24.75" customHeight="1">
      <c r="Q1081" s="230"/>
      <c r="R1081" s="230"/>
    </row>
    <row r="1082" spans="17:18" ht="24.75" customHeight="1">
      <c r="Q1082" s="230"/>
      <c r="R1082" s="230"/>
    </row>
    <row r="1083" spans="17:18" ht="24.75" customHeight="1">
      <c r="Q1083" s="230"/>
      <c r="R1083" s="230"/>
    </row>
    <row r="1084" spans="17:18" ht="24.75" customHeight="1">
      <c r="Q1084" s="230"/>
      <c r="R1084" s="230"/>
    </row>
    <row r="1085" spans="17:18" ht="24.75" customHeight="1">
      <c r="Q1085" s="230"/>
      <c r="R1085" s="230"/>
    </row>
    <row r="1086" spans="17:18" ht="24.75" customHeight="1">
      <c r="Q1086" s="230"/>
      <c r="R1086" s="230"/>
    </row>
    <row r="1087" spans="17:18" ht="24.75" customHeight="1">
      <c r="Q1087" s="230"/>
      <c r="R1087" s="230"/>
    </row>
    <row r="1088" spans="17:18" ht="24.75" customHeight="1">
      <c r="Q1088" s="230"/>
      <c r="R1088" s="230"/>
    </row>
    <row r="1089" spans="17:18" ht="24.75" customHeight="1">
      <c r="Q1089" s="230"/>
      <c r="R1089" s="230"/>
    </row>
    <row r="1090" spans="17:18" ht="24.75" customHeight="1">
      <c r="Q1090" s="230"/>
      <c r="R1090" s="230"/>
    </row>
    <row r="1091" spans="17:18" ht="24.75" customHeight="1">
      <c r="Q1091" s="230"/>
      <c r="R1091" s="230"/>
    </row>
    <row r="1092" spans="17:18" ht="24.75" customHeight="1">
      <c r="Q1092" s="230"/>
      <c r="R1092" s="230"/>
    </row>
    <row r="1093" spans="17:18" ht="24.75" customHeight="1">
      <c r="Q1093" s="230"/>
      <c r="R1093" s="230"/>
    </row>
    <row r="1094" spans="17:18" ht="24.75" customHeight="1">
      <c r="Q1094" s="230"/>
      <c r="R1094" s="230"/>
    </row>
    <row r="1095" spans="17:18" ht="24.75" customHeight="1">
      <c r="Q1095" s="230"/>
      <c r="R1095" s="230"/>
    </row>
    <row r="1096" spans="17:18" ht="24.75" customHeight="1">
      <c r="Q1096" s="230"/>
      <c r="R1096" s="230"/>
    </row>
    <row r="1097" spans="17:18" ht="24.75" customHeight="1">
      <c r="Q1097" s="230"/>
      <c r="R1097" s="230"/>
    </row>
    <row r="1098" spans="17:18" ht="24.75" customHeight="1">
      <c r="Q1098" s="230"/>
      <c r="R1098" s="230"/>
    </row>
    <row r="1099" spans="17:18" ht="24.75" customHeight="1">
      <c r="Q1099" s="230"/>
      <c r="R1099" s="230"/>
    </row>
    <row r="1100" spans="17:18" ht="24.75" customHeight="1">
      <c r="Q1100" s="230"/>
      <c r="R1100" s="230"/>
    </row>
    <row r="1101" spans="17:18" ht="24.75" customHeight="1">
      <c r="Q1101" s="230"/>
      <c r="R1101" s="230"/>
    </row>
    <row r="1102" spans="17:18" ht="24.75" customHeight="1">
      <c r="Q1102" s="230"/>
      <c r="R1102" s="230"/>
    </row>
    <row r="1103" spans="17:18" ht="24.75" customHeight="1">
      <c r="Q1103" s="230"/>
      <c r="R1103" s="230"/>
    </row>
    <row r="1104" spans="17:18" ht="24.75" customHeight="1">
      <c r="Q1104" s="230"/>
      <c r="R1104" s="230"/>
    </row>
    <row r="1105" spans="17:18" ht="24.75" customHeight="1">
      <c r="Q1105" s="230"/>
      <c r="R1105" s="230"/>
    </row>
    <row r="1106" spans="17:18" ht="24.75" customHeight="1">
      <c r="Q1106" s="230"/>
      <c r="R1106" s="230"/>
    </row>
    <row r="1107" spans="17:18" ht="24.75" customHeight="1">
      <c r="Q1107" s="230"/>
      <c r="R1107" s="230"/>
    </row>
    <row r="1108" spans="17:18" ht="24.75" customHeight="1">
      <c r="Q1108" s="230"/>
      <c r="R1108" s="230"/>
    </row>
    <row r="1109" spans="17:18" ht="24.75" customHeight="1">
      <c r="Q1109" s="230"/>
      <c r="R1109" s="230"/>
    </row>
    <row r="1110" spans="17:18" ht="24.75" customHeight="1">
      <c r="Q1110" s="230"/>
      <c r="R1110" s="230"/>
    </row>
    <row r="1111" spans="17:18" ht="24.75" customHeight="1">
      <c r="Q1111" s="230"/>
      <c r="R1111" s="230"/>
    </row>
    <row r="1112" spans="17:18" ht="24.75" customHeight="1">
      <c r="Q1112" s="230"/>
      <c r="R1112" s="230"/>
    </row>
    <row r="1113" spans="17:18" ht="24.75" customHeight="1">
      <c r="Q1113" s="230"/>
      <c r="R1113" s="230"/>
    </row>
    <row r="1114" spans="17:18" ht="24.75" customHeight="1">
      <c r="Q1114" s="230"/>
      <c r="R1114" s="230"/>
    </row>
    <row r="1115" spans="17:18" ht="24.75" customHeight="1">
      <c r="Q1115" s="230"/>
      <c r="R1115" s="230"/>
    </row>
  </sheetData>
  <conditionalFormatting sqref="D3:D11">
    <cfRule type="duplicateValues" dxfId="41" priority="57"/>
    <cfRule type="duplicateValues" dxfId="40" priority="58"/>
    <cfRule type="duplicateValues" dxfId="39" priority="59"/>
  </conditionalFormatting>
  <conditionalFormatting sqref="D13:D14">
    <cfRule type="duplicateValues" dxfId="38" priority="50"/>
    <cfRule type="duplicateValues" dxfId="37" priority="51"/>
    <cfRule type="duplicateValues" dxfId="36" priority="52"/>
    <cfRule type="duplicateValues" dxfId="35" priority="53"/>
    <cfRule type="duplicateValues" dxfId="34" priority="54"/>
    <cfRule type="duplicateValues" dxfId="33" priority="55"/>
    <cfRule type="duplicateValues" dxfId="32" priority="56"/>
  </conditionalFormatting>
  <conditionalFormatting sqref="F4">
    <cfRule type="duplicateValues" dxfId="31" priority="47"/>
    <cfRule type="duplicateValues" dxfId="30" priority="48"/>
    <cfRule type="duplicateValues" dxfId="29" priority="49"/>
  </conditionalFormatting>
  <conditionalFormatting sqref="F5:F26">
    <cfRule type="duplicateValues" dxfId="28" priority="17"/>
  </conditionalFormatting>
  <conditionalFormatting sqref="F27:F37">
    <cfRule type="duplicateValues" dxfId="27" priority="37"/>
  </conditionalFormatting>
  <conditionalFormatting sqref="G4">
    <cfRule type="duplicateValues" dxfId="26" priority="45"/>
    <cfRule type="duplicateValues" dxfId="25" priority="46"/>
  </conditionalFormatting>
  <conditionalFormatting sqref="G12 G7:G10">
    <cfRule type="duplicateValues" dxfId="24" priority="16"/>
  </conditionalFormatting>
  <conditionalFormatting sqref="I5">
    <cfRule type="duplicateValues" dxfId="23" priority="15"/>
  </conditionalFormatting>
  <conditionalFormatting sqref="I5:I26">
    <cfRule type="duplicateValues" dxfId="22" priority="14"/>
  </conditionalFormatting>
  <conditionalFormatting sqref="I6">
    <cfRule type="duplicateValues" dxfId="21" priority="13"/>
  </conditionalFormatting>
  <conditionalFormatting sqref="I13">
    <cfRule type="duplicateValues" dxfId="20" priority="11"/>
  </conditionalFormatting>
  <conditionalFormatting sqref="I14">
    <cfRule type="duplicateValues" dxfId="19" priority="10"/>
  </conditionalFormatting>
  <conditionalFormatting sqref="I14:I15">
    <cfRule type="duplicateValues" dxfId="18" priority="8"/>
  </conditionalFormatting>
  <conditionalFormatting sqref="I15">
    <cfRule type="duplicateValues" dxfId="17" priority="9"/>
  </conditionalFormatting>
  <conditionalFormatting sqref="I16">
    <cfRule type="duplicateValues" dxfId="16" priority="7"/>
  </conditionalFormatting>
  <conditionalFormatting sqref="I17">
    <cfRule type="duplicateValues" dxfId="15" priority="5"/>
  </conditionalFormatting>
  <conditionalFormatting sqref="I19">
    <cfRule type="duplicateValues" dxfId="14" priority="6"/>
  </conditionalFormatting>
  <conditionalFormatting sqref="I20:I23">
    <cfRule type="duplicateValues" dxfId="13" priority="4"/>
  </conditionalFormatting>
  <conditionalFormatting sqref="I22:I23">
    <cfRule type="duplicateValues" dxfId="12" priority="3"/>
  </conditionalFormatting>
  <conditionalFormatting sqref="I24">
    <cfRule type="duplicateValues" dxfId="11" priority="2"/>
  </conditionalFormatting>
  <conditionalFormatting sqref="I25:I26">
    <cfRule type="duplicateValues" dxfId="10" priority="1"/>
  </conditionalFormatting>
  <conditionalFormatting sqref="I26 I17:I19 I7:I12">
    <cfRule type="duplicateValues" dxfId="9" priority="12"/>
  </conditionalFormatting>
  <conditionalFormatting sqref="I27">
    <cfRule type="duplicateValues" dxfId="8" priority="24"/>
  </conditionalFormatting>
  <conditionalFormatting sqref="I29:I30">
    <cfRule type="duplicateValues" dxfId="7" priority="23"/>
  </conditionalFormatting>
  <conditionalFormatting sqref="I31:I32">
    <cfRule type="duplicateValues" dxfId="6" priority="22"/>
  </conditionalFormatting>
  <conditionalFormatting sqref="I33">
    <cfRule type="duplicateValues" dxfId="5" priority="21"/>
  </conditionalFormatting>
  <conditionalFormatting sqref="I34">
    <cfRule type="duplicateValues" dxfId="4" priority="20"/>
  </conditionalFormatting>
  <conditionalFormatting sqref="I35 I28">
    <cfRule type="duplicateValues" dxfId="3" priority="36"/>
  </conditionalFormatting>
  <conditionalFormatting sqref="I36">
    <cfRule type="duplicateValues" dxfId="2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19" t="s">
        <v>6087</v>
      </c>
      <c r="B1" s="319"/>
      <c r="C1" s="59"/>
      <c r="D1" s="59"/>
      <c r="E1" s="319" t="s">
        <v>6088</v>
      </c>
      <c r="F1" s="319"/>
    </row>
    <row r="2" spans="1:6">
      <c r="A2" s="60" t="s">
        <v>39</v>
      </c>
      <c r="B2" s="60" t="s">
        <v>6089</v>
      </c>
      <c r="E2" s="58" t="s">
        <v>39</v>
      </c>
      <c r="F2" s="58" t="s">
        <v>6089</v>
      </c>
    </row>
    <row r="3" spans="1:6">
      <c r="A3" s="8" t="s">
        <v>6090</v>
      </c>
      <c r="B3" s="11">
        <v>39</v>
      </c>
      <c r="E3" s="8" t="s">
        <v>6090</v>
      </c>
      <c r="F3" s="11">
        <v>54</v>
      </c>
    </row>
    <row r="4" spans="1:6">
      <c r="A4" s="8" t="s">
        <v>6091</v>
      </c>
      <c r="B4" s="11">
        <v>15</v>
      </c>
      <c r="E4" s="8" t="s">
        <v>6092</v>
      </c>
      <c r="F4" s="11">
        <v>13</v>
      </c>
    </row>
    <row r="5" spans="1:6">
      <c r="A5" s="8" t="s">
        <v>6093</v>
      </c>
      <c r="B5" s="11">
        <v>7</v>
      </c>
      <c r="E5" s="8" t="s">
        <v>6093</v>
      </c>
      <c r="F5" s="11">
        <v>15</v>
      </c>
    </row>
    <row r="6" spans="1:6">
      <c r="A6" s="8" t="s">
        <v>1840</v>
      </c>
      <c r="B6" s="11">
        <v>2</v>
      </c>
      <c r="E6" s="8" t="s">
        <v>1840</v>
      </c>
      <c r="F6" s="11">
        <v>9</v>
      </c>
    </row>
    <row r="7" spans="1:6">
      <c r="A7" s="8" t="s">
        <v>1834</v>
      </c>
      <c r="B7" s="11">
        <v>0</v>
      </c>
      <c r="E7" s="8" t="s">
        <v>1834</v>
      </c>
      <c r="F7" s="11">
        <v>9</v>
      </c>
    </row>
    <row r="8" spans="1:6">
      <c r="A8" s="8" t="s">
        <v>1848</v>
      </c>
      <c r="B8" s="11">
        <v>15</v>
      </c>
      <c r="E8" s="8" t="s">
        <v>1848</v>
      </c>
      <c r="F8" s="11">
        <v>21</v>
      </c>
    </row>
    <row r="9" spans="1:6">
      <c r="A9" s="61" t="s">
        <v>6094</v>
      </c>
      <c r="B9" s="62">
        <f>SUM(B3:B8)</f>
        <v>78</v>
      </c>
      <c r="E9" s="61" t="s">
        <v>6094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>
      <c r="B4" s="114" t="s">
        <v>979</v>
      </c>
      <c r="C4" s="114">
        <v>2</v>
      </c>
      <c r="D4" s="114" t="s">
        <v>6095</v>
      </c>
      <c r="E4" s="114" t="s">
        <v>6096</v>
      </c>
      <c r="F4" s="114" t="s">
        <v>6097</v>
      </c>
      <c r="G4" s="114" t="s">
        <v>6098</v>
      </c>
      <c r="H4" s="119">
        <v>66528.259999999995</v>
      </c>
    </row>
    <row r="5" spans="2:8" ht="20.25" customHeight="1">
      <c r="B5" s="114" t="s">
        <v>979</v>
      </c>
      <c r="C5" s="114">
        <v>2</v>
      </c>
      <c r="D5" s="114" t="s">
        <v>6099</v>
      </c>
      <c r="E5" s="114" t="s">
        <v>6100</v>
      </c>
      <c r="F5" s="114" t="s">
        <v>6101</v>
      </c>
      <c r="G5" s="114" t="s">
        <v>6098</v>
      </c>
      <c r="H5" s="119">
        <v>60000</v>
      </c>
    </row>
    <row r="6" spans="2:8" ht="20.25" customHeight="1">
      <c r="B6" s="114" t="s">
        <v>979</v>
      </c>
      <c r="C6" s="114">
        <v>2</v>
      </c>
      <c r="D6" s="114" t="s">
        <v>6102</v>
      </c>
      <c r="E6" s="114" t="s">
        <v>6100</v>
      </c>
      <c r="F6" s="114" t="s">
        <v>6101</v>
      </c>
      <c r="G6" s="114" t="s">
        <v>6098</v>
      </c>
      <c r="H6" s="119">
        <v>60000</v>
      </c>
    </row>
    <row r="7" spans="2:8" ht="20.25" customHeight="1">
      <c r="B7" s="114" t="s">
        <v>979</v>
      </c>
      <c r="C7" s="114">
        <v>2</v>
      </c>
      <c r="D7" s="114" t="s">
        <v>6103</v>
      </c>
      <c r="E7" s="114" t="s">
        <v>6104</v>
      </c>
      <c r="F7" s="114" t="s">
        <v>6105</v>
      </c>
      <c r="G7" s="114" t="s">
        <v>6098</v>
      </c>
      <c r="H7" s="119">
        <v>71112.509999999995</v>
      </c>
    </row>
    <row r="8" spans="2:8" ht="20.25" customHeight="1">
      <c r="B8" s="114" t="s">
        <v>979</v>
      </c>
      <c r="C8" s="114">
        <v>2</v>
      </c>
      <c r="D8" s="114" t="s">
        <v>6106</v>
      </c>
      <c r="E8" s="114" t="s">
        <v>6107</v>
      </c>
      <c r="F8" s="114" t="s">
        <v>6108</v>
      </c>
      <c r="G8" s="114" t="s">
        <v>6098</v>
      </c>
      <c r="H8" s="185">
        <v>100370.59</v>
      </c>
    </row>
    <row r="9" spans="2:8" ht="20.25" customHeight="1">
      <c r="B9" s="114" t="s">
        <v>979</v>
      </c>
      <c r="C9" s="114">
        <v>2</v>
      </c>
      <c r="D9" s="114" t="s">
        <v>6109</v>
      </c>
      <c r="E9" s="114" t="s">
        <v>6110</v>
      </c>
      <c r="F9" s="114" t="s">
        <v>6111</v>
      </c>
      <c r="G9" s="114" t="s">
        <v>6098</v>
      </c>
      <c r="H9" s="119">
        <v>60000</v>
      </c>
    </row>
    <row r="10" spans="2:8" ht="20.25" customHeight="1">
      <c r="B10" s="114" t="s">
        <v>979</v>
      </c>
      <c r="C10" s="114">
        <v>2</v>
      </c>
      <c r="D10" s="116" t="s">
        <v>6112</v>
      </c>
      <c r="E10" s="116" t="s">
        <v>6113</v>
      </c>
      <c r="F10" s="114" t="s">
        <v>6114</v>
      </c>
      <c r="G10" s="114" t="s">
        <v>6098</v>
      </c>
      <c r="H10" s="119">
        <v>60000</v>
      </c>
    </row>
    <row r="11" spans="2:8" ht="20.25" customHeight="1">
      <c r="B11" s="114" t="s">
        <v>979</v>
      </c>
      <c r="C11" s="114">
        <v>2</v>
      </c>
      <c r="D11" s="114" t="s">
        <v>6115</v>
      </c>
      <c r="E11" s="114" t="s">
        <v>6116</v>
      </c>
      <c r="F11" s="114" t="s">
        <v>101</v>
      </c>
      <c r="G11" s="114" t="s">
        <v>6098</v>
      </c>
      <c r="H11" s="119">
        <v>60000</v>
      </c>
    </row>
    <row r="12" spans="2:8" ht="20.25" customHeight="1">
      <c r="B12" s="114" t="s">
        <v>979</v>
      </c>
      <c r="C12" s="114">
        <v>2</v>
      </c>
      <c r="D12" s="114" t="s">
        <v>967</v>
      </c>
      <c r="E12" s="114" t="s">
        <v>6117</v>
      </c>
      <c r="F12" s="114" t="s">
        <v>6118</v>
      </c>
      <c r="G12" s="114" t="s">
        <v>6098</v>
      </c>
      <c r="H12" s="119">
        <v>87351.82</v>
      </c>
    </row>
    <row r="13" spans="2:8" ht="20.25" customHeight="1">
      <c r="B13" s="114" t="s">
        <v>979</v>
      </c>
      <c r="C13" s="114">
        <v>2</v>
      </c>
      <c r="D13" s="114" t="s">
        <v>6119</v>
      </c>
      <c r="E13" s="114" t="s">
        <v>6120</v>
      </c>
      <c r="F13" s="114" t="s">
        <v>6121</v>
      </c>
      <c r="G13" s="114" t="s">
        <v>6098</v>
      </c>
      <c r="H13" s="119">
        <v>56418.89</v>
      </c>
    </row>
    <row r="14" spans="2:8" ht="20.25" customHeight="1">
      <c r="B14" s="114" t="s">
        <v>979</v>
      </c>
      <c r="C14" s="114">
        <v>2</v>
      </c>
      <c r="D14" s="114" t="s">
        <v>6122</v>
      </c>
      <c r="E14" s="114" t="s">
        <v>6123</v>
      </c>
      <c r="F14" s="114" t="s">
        <v>6121</v>
      </c>
      <c r="G14" s="114" t="s">
        <v>6098</v>
      </c>
      <c r="H14" s="119">
        <v>60000</v>
      </c>
    </row>
    <row r="15" spans="2:8" ht="20.25" customHeight="1">
      <c r="B15" s="114" t="s">
        <v>979</v>
      </c>
      <c r="C15" s="114">
        <v>4</v>
      </c>
      <c r="D15" s="114" t="s">
        <v>1305</v>
      </c>
      <c r="E15" s="116" t="s">
        <v>6124</v>
      </c>
      <c r="F15" s="116" t="s">
        <v>6125</v>
      </c>
      <c r="G15" s="114" t="s">
        <v>6098</v>
      </c>
      <c r="H15" s="119">
        <v>60000</v>
      </c>
    </row>
    <row r="16" spans="2:8" ht="20.25" customHeight="1">
      <c r="B16" s="114" t="s">
        <v>979</v>
      </c>
      <c r="C16" s="114">
        <v>4</v>
      </c>
      <c r="D16" s="114" t="s">
        <v>1461</v>
      </c>
      <c r="E16" s="114" t="s">
        <v>6126</v>
      </c>
      <c r="F16" s="114" t="s">
        <v>6127</v>
      </c>
      <c r="G16" s="114" t="s">
        <v>6098</v>
      </c>
      <c r="H16" s="119">
        <v>60000</v>
      </c>
    </row>
    <row r="17" spans="2:8" ht="20.25" customHeight="1">
      <c r="B17" s="114" t="s">
        <v>979</v>
      </c>
      <c r="C17" s="114">
        <v>4</v>
      </c>
      <c r="D17" s="114" t="s">
        <v>1466</v>
      </c>
      <c r="E17" s="114" t="s">
        <v>6128</v>
      </c>
      <c r="F17" s="114" t="s">
        <v>101</v>
      </c>
      <c r="G17" s="114" t="s">
        <v>6098</v>
      </c>
      <c r="H17" s="119">
        <v>60000</v>
      </c>
    </row>
    <row r="18" spans="2:8" ht="20.25" customHeight="1">
      <c r="B18" s="186"/>
      <c r="C18" s="186"/>
      <c r="D18" s="187"/>
      <c r="E18" s="115"/>
      <c r="F18" s="115"/>
      <c r="G18" s="115"/>
      <c r="H18" s="115"/>
    </row>
    <row r="19" spans="2:8" ht="20.25" customHeight="1">
      <c r="B19" s="139"/>
      <c r="C19" s="139"/>
      <c r="D19" s="140"/>
      <c r="E19" s="114"/>
      <c r="F19" s="114"/>
      <c r="G19" s="114"/>
      <c r="H19" s="114"/>
    </row>
    <row r="20" spans="2:8" ht="20.25" customHeight="1">
      <c r="B20" s="118"/>
      <c r="C20" s="118"/>
      <c r="D20" s="118"/>
      <c r="E20" s="118"/>
      <c r="F20" s="118"/>
      <c r="G20" s="118"/>
      <c r="H20" s="118"/>
    </row>
    <row r="21" spans="2:8" ht="20.25" customHeight="1">
      <c r="B21" s="118"/>
      <c r="C21" s="118"/>
      <c r="D21" s="118"/>
      <c r="E21" s="118"/>
      <c r="F21" s="118"/>
      <c r="G21" s="118"/>
      <c r="H21" s="118"/>
    </row>
    <row r="22" spans="2:8" ht="20.25" customHeight="1">
      <c r="B22" s="118"/>
      <c r="C22" s="118"/>
      <c r="D22" s="118"/>
      <c r="E22" s="118"/>
      <c r="F22" s="118"/>
      <c r="G22" s="118"/>
      <c r="H22" s="118"/>
    </row>
    <row r="23" spans="2:8" ht="20.25" customHeight="1">
      <c r="B23" s="114" t="s">
        <v>979</v>
      </c>
      <c r="C23" s="114">
        <v>2</v>
      </c>
      <c r="D23" s="114" t="s">
        <v>6119</v>
      </c>
      <c r="E23" s="114" t="s">
        <v>6120</v>
      </c>
      <c r="F23" s="114" t="s">
        <v>6121</v>
      </c>
      <c r="G23" s="114" t="s">
        <v>28</v>
      </c>
      <c r="H23" s="114"/>
    </row>
    <row r="24" spans="2:8" ht="20.25" customHeight="1">
      <c r="B24" s="114" t="s">
        <v>979</v>
      </c>
      <c r="C24" s="114">
        <v>2</v>
      </c>
      <c r="D24" s="114" t="s">
        <v>6129</v>
      </c>
      <c r="E24" s="114" t="s">
        <v>6130</v>
      </c>
      <c r="F24" s="114" t="s">
        <v>6131</v>
      </c>
      <c r="G24" s="114" t="s">
        <v>28</v>
      </c>
      <c r="H24" s="114"/>
    </row>
    <row r="25" spans="2:8" ht="20.25" customHeight="1">
      <c r="B25" s="114" t="s">
        <v>979</v>
      </c>
      <c r="C25" s="114">
        <v>2</v>
      </c>
      <c r="D25" s="114" t="s">
        <v>6132</v>
      </c>
      <c r="E25" s="114" t="s">
        <v>175</v>
      </c>
      <c r="F25" s="114" t="s">
        <v>175</v>
      </c>
      <c r="G25" s="114" t="s">
        <v>28</v>
      </c>
      <c r="H25" s="114"/>
    </row>
    <row r="26" spans="2:8" ht="20.25" customHeight="1">
      <c r="B26" s="114" t="s">
        <v>979</v>
      </c>
      <c r="C26" s="114">
        <v>2</v>
      </c>
      <c r="D26" s="114" t="s">
        <v>6122</v>
      </c>
      <c r="E26" s="114" t="s">
        <v>6123</v>
      </c>
      <c r="F26" s="114" t="s">
        <v>6121</v>
      </c>
      <c r="G26" s="114" t="s">
        <v>28</v>
      </c>
      <c r="H26" s="114"/>
    </row>
    <row r="27" spans="2:8" ht="20.25" customHeight="1">
      <c r="B27" s="118" t="s">
        <v>979</v>
      </c>
      <c r="C27" s="118">
        <v>2</v>
      </c>
      <c r="D27" s="118" t="s">
        <v>6133</v>
      </c>
      <c r="E27" s="118" t="s">
        <v>6134</v>
      </c>
      <c r="F27" s="118" t="s">
        <v>6135</v>
      </c>
      <c r="G27" s="118" t="s">
        <v>6136</v>
      </c>
      <c r="H27" s="118"/>
    </row>
    <row r="28" spans="2:8" ht="20.25" customHeight="1">
      <c r="B28" s="114" t="s">
        <v>979</v>
      </c>
      <c r="C28" s="114">
        <v>2</v>
      </c>
      <c r="D28" s="114" t="s">
        <v>6137</v>
      </c>
      <c r="E28" s="114" t="s">
        <v>6138</v>
      </c>
      <c r="F28" s="114" t="s">
        <v>6139</v>
      </c>
      <c r="G28" s="114" t="s">
        <v>17</v>
      </c>
      <c r="H28" s="114"/>
    </row>
    <row r="29" spans="2:8" ht="20.25" customHeight="1">
      <c r="B29" s="114" t="s">
        <v>979</v>
      </c>
      <c r="C29" s="114">
        <v>2</v>
      </c>
      <c r="D29" s="114" t="s">
        <v>6140</v>
      </c>
      <c r="E29" s="114" t="s">
        <v>6141</v>
      </c>
      <c r="F29" s="114" t="s">
        <v>6142</v>
      </c>
      <c r="G29" s="114" t="s">
        <v>28</v>
      </c>
      <c r="H29" s="114"/>
    </row>
    <row r="30" spans="2:8" ht="20.25" customHeight="1">
      <c r="B30" s="114" t="s">
        <v>979</v>
      </c>
      <c r="C30" s="114">
        <v>2</v>
      </c>
      <c r="D30" s="114" t="s">
        <v>6143</v>
      </c>
      <c r="E30" s="114" t="s">
        <v>6144</v>
      </c>
      <c r="F30" s="114" t="s">
        <v>6145</v>
      </c>
      <c r="G30" s="116" t="s">
        <v>28</v>
      </c>
      <c r="H30" s="116"/>
    </row>
    <row r="31" spans="2:8" ht="20.25" customHeight="1">
      <c r="B31" s="114" t="s">
        <v>979</v>
      </c>
      <c r="C31" s="114">
        <v>2</v>
      </c>
      <c r="D31" s="114" t="s">
        <v>6146</v>
      </c>
      <c r="E31" s="116" t="s">
        <v>6116</v>
      </c>
      <c r="F31" s="114" t="s">
        <v>24</v>
      </c>
      <c r="G31" s="119" t="s">
        <v>6116</v>
      </c>
      <c r="H31" s="119"/>
    </row>
    <row r="32" spans="2:8" ht="20.25" customHeight="1">
      <c r="B32" s="114" t="s">
        <v>979</v>
      </c>
      <c r="C32" s="114">
        <v>2</v>
      </c>
      <c r="D32" s="114" t="s">
        <v>1249</v>
      </c>
      <c r="E32" s="114" t="s">
        <v>175</v>
      </c>
      <c r="F32" s="114" t="s">
        <v>175</v>
      </c>
      <c r="G32" s="119" t="s">
        <v>6116</v>
      </c>
      <c r="H32" s="119"/>
    </row>
    <row r="33" spans="2:8" ht="20.25" customHeight="1">
      <c r="B33" s="114" t="s">
        <v>979</v>
      </c>
      <c r="C33" s="114">
        <v>2</v>
      </c>
      <c r="D33" s="114" t="s">
        <v>1269</v>
      </c>
      <c r="E33" s="114" t="s">
        <v>175</v>
      </c>
      <c r="F33" s="114" t="s">
        <v>175</v>
      </c>
      <c r="G33" s="119" t="s">
        <v>6116</v>
      </c>
      <c r="H33" s="119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>
      <c r="C7" s="176">
        <v>1</v>
      </c>
      <c r="D7" s="175" t="s">
        <v>6147</v>
      </c>
      <c r="E7" s="173">
        <v>45068</v>
      </c>
      <c r="F7" s="173" t="s">
        <v>33</v>
      </c>
      <c r="G7" s="296" t="s">
        <v>115</v>
      </c>
    </row>
    <row r="8" spans="3:7" ht="20.25" customHeight="1">
      <c r="C8" s="176">
        <v>2</v>
      </c>
      <c r="D8" s="175" t="s">
        <v>1069</v>
      </c>
      <c r="E8" s="173">
        <v>45068</v>
      </c>
      <c r="F8" s="173" t="s">
        <v>33</v>
      </c>
      <c r="G8" s="296" t="s">
        <v>115</v>
      </c>
    </row>
    <row r="9" spans="3:7" ht="20.25" customHeight="1">
      <c r="C9" s="176">
        <v>3</v>
      </c>
      <c r="D9" s="175" t="s">
        <v>952</v>
      </c>
      <c r="E9" s="297">
        <v>45068</v>
      </c>
      <c r="F9" s="297">
        <v>44894</v>
      </c>
      <c r="G9" s="296" t="s">
        <v>31</v>
      </c>
    </row>
    <row r="10" spans="3:7" ht="20.25" customHeight="1">
      <c r="C10" s="176">
        <v>4</v>
      </c>
      <c r="D10" s="175" t="s">
        <v>1105</v>
      </c>
      <c r="E10" s="297">
        <v>45068</v>
      </c>
      <c r="F10" s="173" t="s">
        <v>33</v>
      </c>
      <c r="G10" s="296" t="s">
        <v>115</v>
      </c>
    </row>
    <row r="11" spans="3:7" ht="20.25" customHeight="1">
      <c r="C11" s="176">
        <v>5</v>
      </c>
      <c r="D11" s="175" t="s">
        <v>6148</v>
      </c>
      <c r="E11" s="173">
        <v>45065</v>
      </c>
      <c r="F11" s="173" t="s">
        <v>33</v>
      </c>
      <c r="G11" s="296" t="s">
        <v>115</v>
      </c>
    </row>
    <row r="12" spans="3:7" ht="20.25" customHeight="1">
      <c r="C12" s="176">
        <v>6</v>
      </c>
      <c r="D12" s="175" t="s">
        <v>1356</v>
      </c>
      <c r="E12" s="173">
        <v>45065</v>
      </c>
      <c r="F12" s="173" t="s">
        <v>33</v>
      </c>
      <c r="G12" s="296" t="s">
        <v>115</v>
      </c>
    </row>
    <row r="13" spans="3:7" ht="20.25" customHeight="1">
      <c r="C13" s="176">
        <v>7</v>
      </c>
      <c r="D13" s="175" t="s">
        <v>1071</v>
      </c>
      <c r="E13" s="173">
        <v>45065</v>
      </c>
      <c r="F13" s="173" t="s">
        <v>33</v>
      </c>
      <c r="G13" s="296" t="s">
        <v>115</v>
      </c>
    </row>
    <row r="14" spans="3:7" ht="20.25" customHeight="1">
      <c r="C14" s="176">
        <v>8</v>
      </c>
      <c r="D14" s="175" t="s">
        <v>947</v>
      </c>
      <c r="E14" s="173">
        <v>45065</v>
      </c>
      <c r="F14" s="173">
        <v>44526</v>
      </c>
      <c r="G14" s="172" t="s">
        <v>30</v>
      </c>
    </row>
    <row r="15" spans="3:7" ht="20.25" customHeight="1">
      <c r="C15" s="176">
        <v>9</v>
      </c>
      <c r="D15" s="175" t="s">
        <v>977</v>
      </c>
      <c r="E15" s="173">
        <v>45065</v>
      </c>
      <c r="F15" s="173">
        <v>44642</v>
      </c>
      <c r="G15" s="172" t="s">
        <v>30</v>
      </c>
    </row>
    <row r="16" spans="3:7" ht="20.25" customHeight="1">
      <c r="C16" s="176">
        <v>10</v>
      </c>
      <c r="D16" s="175" t="s">
        <v>999</v>
      </c>
      <c r="E16" s="173">
        <v>45065</v>
      </c>
      <c r="F16" s="297">
        <v>44694</v>
      </c>
      <c r="G16" s="172" t="s">
        <v>31</v>
      </c>
    </row>
    <row r="17" spans="3:7" ht="20.25" customHeight="1">
      <c r="C17" s="176">
        <v>11</v>
      </c>
      <c r="D17" s="175" t="s">
        <v>1095</v>
      </c>
      <c r="E17" s="173">
        <v>45065</v>
      </c>
      <c r="F17" s="173" t="s">
        <v>33</v>
      </c>
      <c r="G17" s="296" t="s">
        <v>115</v>
      </c>
    </row>
    <row r="18" spans="3:7" ht="20.25" customHeight="1">
      <c r="C18" s="176">
        <v>12</v>
      </c>
      <c r="D18" s="175" t="s">
        <v>1524</v>
      </c>
      <c r="E18" s="173">
        <v>45065</v>
      </c>
      <c r="F18" s="297">
        <v>44659</v>
      </c>
      <c r="G18" s="172" t="s">
        <v>31</v>
      </c>
    </row>
    <row r="19" spans="3:7" ht="20.25" customHeight="1">
      <c r="C19" s="176">
        <v>13</v>
      </c>
      <c r="D19" s="175" t="s">
        <v>6149</v>
      </c>
      <c r="E19" s="173">
        <v>45064</v>
      </c>
      <c r="F19" s="173" t="s">
        <v>33</v>
      </c>
      <c r="G19" s="296" t="s">
        <v>115</v>
      </c>
    </row>
    <row r="20" spans="3:7" ht="20.25" customHeight="1">
      <c r="C20" s="176">
        <v>14</v>
      </c>
      <c r="D20" s="175" t="s">
        <v>6150</v>
      </c>
      <c r="E20" s="173">
        <v>45064</v>
      </c>
      <c r="F20" s="173" t="s">
        <v>33</v>
      </c>
      <c r="G20" s="296" t="s">
        <v>115</v>
      </c>
    </row>
    <row r="21" spans="3:7" ht="20.25" customHeight="1">
      <c r="C21" s="176">
        <v>15</v>
      </c>
      <c r="D21" s="175" t="s">
        <v>1315</v>
      </c>
      <c r="E21" s="173">
        <v>45064</v>
      </c>
      <c r="F21" s="173" t="s">
        <v>33</v>
      </c>
      <c r="G21" s="296" t="s">
        <v>115</v>
      </c>
    </row>
    <row r="22" spans="3:7" ht="20.25" customHeight="1">
      <c r="C22" s="176">
        <v>16</v>
      </c>
      <c r="D22" s="175" t="s">
        <v>1317</v>
      </c>
      <c r="E22" s="173">
        <v>45064</v>
      </c>
      <c r="F22" s="173" t="s">
        <v>33</v>
      </c>
      <c r="G22" s="296" t="s">
        <v>115</v>
      </c>
    </row>
    <row r="23" spans="3:7" ht="20.25" customHeight="1">
      <c r="C23" s="176">
        <v>17</v>
      </c>
      <c r="D23" s="175" t="s">
        <v>1344</v>
      </c>
      <c r="E23" s="173">
        <v>45064</v>
      </c>
      <c r="F23" s="173">
        <v>44859</v>
      </c>
      <c r="G23" s="172" t="s">
        <v>30</v>
      </c>
    </row>
    <row r="24" spans="3:7" ht="20.25" customHeight="1">
      <c r="C24" s="176">
        <v>18</v>
      </c>
      <c r="D24" s="175" t="s">
        <v>1063</v>
      </c>
      <c r="E24" s="173">
        <v>45064</v>
      </c>
      <c r="F24" s="173" t="s">
        <v>33</v>
      </c>
      <c r="G24" s="296" t="s">
        <v>115</v>
      </c>
    </row>
    <row r="25" spans="3:7" ht="20.25" customHeight="1">
      <c r="C25" s="176">
        <v>19</v>
      </c>
      <c r="D25" s="175" t="s">
        <v>1067</v>
      </c>
      <c r="E25" s="173">
        <v>45064</v>
      </c>
      <c r="F25" s="173" t="s">
        <v>33</v>
      </c>
      <c r="G25" s="296" t="s">
        <v>115</v>
      </c>
    </row>
    <row r="26" spans="3:7" ht="20.25" customHeight="1">
      <c r="C26" s="176">
        <v>20</v>
      </c>
      <c r="D26" s="175" t="s">
        <v>964</v>
      </c>
      <c r="E26" s="173">
        <v>45064</v>
      </c>
      <c r="F26" s="297">
        <v>44643</v>
      </c>
      <c r="G26" s="172" t="s">
        <v>31</v>
      </c>
    </row>
    <row r="27" spans="3:7" ht="20.25" customHeight="1">
      <c r="C27" s="176">
        <v>21</v>
      </c>
      <c r="D27" s="175" t="s">
        <v>1593</v>
      </c>
      <c r="E27" s="173">
        <v>45064</v>
      </c>
      <c r="F27" s="297">
        <v>44638</v>
      </c>
      <c r="G27" s="172" t="s">
        <v>31</v>
      </c>
    </row>
    <row r="28" spans="3:7" ht="20.25" customHeight="1">
      <c r="C28" s="176">
        <v>22</v>
      </c>
      <c r="D28" s="175" t="s">
        <v>1117</v>
      </c>
      <c r="E28" s="173">
        <v>45064</v>
      </c>
      <c r="F28" s="173" t="s">
        <v>33</v>
      </c>
      <c r="G28" s="296" t="s">
        <v>115</v>
      </c>
    </row>
    <row r="29" spans="3:7" ht="20.25" customHeight="1">
      <c r="C29" s="176">
        <v>23</v>
      </c>
      <c r="D29" s="175" t="s">
        <v>1119</v>
      </c>
      <c r="E29" s="173">
        <v>45064</v>
      </c>
      <c r="F29" s="173" t="s">
        <v>33</v>
      </c>
      <c r="G29" s="296" t="s">
        <v>115</v>
      </c>
    </row>
    <row r="30" spans="3:7" ht="20.25" customHeight="1">
      <c r="C30" s="176">
        <v>24</v>
      </c>
      <c r="D30" s="175" t="s">
        <v>1711</v>
      </c>
      <c r="E30" s="173">
        <v>45064</v>
      </c>
      <c r="F30" s="173" t="s">
        <v>33</v>
      </c>
      <c r="G30" s="296" t="s">
        <v>115</v>
      </c>
    </row>
    <row r="31" spans="3:7" ht="20.25" customHeight="1">
      <c r="C31" s="176">
        <v>25</v>
      </c>
      <c r="D31" s="175" t="s">
        <v>6151</v>
      </c>
      <c r="E31" s="173">
        <v>45063</v>
      </c>
      <c r="F31" s="173" t="s">
        <v>33</v>
      </c>
      <c r="G31" s="296" t="s">
        <v>115</v>
      </c>
    </row>
    <row r="32" spans="3:7" ht="20.25" customHeight="1">
      <c r="C32" s="176">
        <v>26</v>
      </c>
      <c r="D32" s="175" t="s">
        <v>6152</v>
      </c>
      <c r="E32" s="173">
        <v>45063</v>
      </c>
      <c r="F32" s="173" t="s">
        <v>33</v>
      </c>
      <c r="G32" s="296" t="s">
        <v>115</v>
      </c>
    </row>
    <row r="33" spans="3:7" ht="20.25" customHeight="1">
      <c r="C33" s="176">
        <v>27</v>
      </c>
      <c r="D33" s="175" t="s">
        <v>6153</v>
      </c>
      <c r="E33" s="173">
        <v>45063</v>
      </c>
      <c r="F33" s="173" t="s">
        <v>33</v>
      </c>
      <c r="G33" s="296" t="s">
        <v>115</v>
      </c>
    </row>
    <row r="34" spans="3:7" ht="20.25" customHeight="1">
      <c r="C34" s="176">
        <v>28</v>
      </c>
      <c r="D34" s="175" t="s">
        <v>6154</v>
      </c>
      <c r="E34" s="173">
        <v>45063</v>
      </c>
      <c r="F34" s="173" t="s">
        <v>33</v>
      </c>
      <c r="G34" s="296" t="s">
        <v>115</v>
      </c>
    </row>
    <row r="35" spans="3:7" ht="20.25" customHeight="1">
      <c r="C35" s="176">
        <v>29</v>
      </c>
      <c r="D35" s="175" t="s">
        <v>6155</v>
      </c>
      <c r="E35" s="173">
        <v>45063</v>
      </c>
      <c r="F35" s="173" t="s">
        <v>33</v>
      </c>
      <c r="G35" s="296" t="s">
        <v>115</v>
      </c>
    </row>
    <row r="36" spans="3:7" ht="20.25" customHeight="1">
      <c r="C36" s="176">
        <v>30</v>
      </c>
      <c r="D36" s="175" t="s">
        <v>6156</v>
      </c>
      <c r="E36" s="173">
        <v>45063</v>
      </c>
      <c r="F36" s="173" t="s">
        <v>33</v>
      </c>
      <c r="G36" s="296" t="s">
        <v>115</v>
      </c>
    </row>
    <row r="37" spans="3:7" ht="20.25" customHeight="1">
      <c r="C37" s="176">
        <v>31</v>
      </c>
      <c r="D37" s="175" t="s">
        <v>6157</v>
      </c>
      <c r="E37" s="173">
        <v>45063</v>
      </c>
      <c r="F37" s="173" t="s">
        <v>33</v>
      </c>
      <c r="G37" s="296" t="s">
        <v>115</v>
      </c>
    </row>
    <row r="38" spans="3:7" ht="20.25" customHeight="1">
      <c r="C38" s="176">
        <v>32</v>
      </c>
      <c r="D38" s="175" t="s">
        <v>1004</v>
      </c>
      <c r="E38" s="173">
        <v>45063</v>
      </c>
      <c r="F38" s="297">
        <v>44655</v>
      </c>
      <c r="G38" s="172" t="s">
        <v>31</v>
      </c>
    </row>
    <row r="39" spans="3:7" ht="20.25" customHeight="1">
      <c r="C39" s="176">
        <v>33</v>
      </c>
      <c r="D39" s="175" t="s">
        <v>976</v>
      </c>
      <c r="E39" s="173">
        <v>45063</v>
      </c>
      <c r="F39" s="297">
        <v>44659</v>
      </c>
      <c r="G39" s="172" t="s">
        <v>31</v>
      </c>
    </row>
    <row r="40" spans="3:7" ht="20.25" customHeight="1">
      <c r="C40" s="176">
        <v>34</v>
      </c>
      <c r="D40" s="175" t="s">
        <v>1557</v>
      </c>
      <c r="E40" s="173">
        <v>45063</v>
      </c>
      <c r="F40" s="173" t="s">
        <v>33</v>
      </c>
      <c r="G40" s="296" t="s">
        <v>115</v>
      </c>
    </row>
    <row r="41" spans="3:7" ht="20.25" customHeight="1">
      <c r="C41" s="176">
        <v>35</v>
      </c>
      <c r="D41" s="175" t="s">
        <v>1558</v>
      </c>
      <c r="E41" s="173">
        <v>45063</v>
      </c>
      <c r="F41" s="297">
        <v>44642</v>
      </c>
      <c r="G41" s="296" t="s">
        <v>31</v>
      </c>
    </row>
    <row r="42" spans="3:7" ht="20.25" customHeight="1">
      <c r="C42" s="176">
        <v>36</v>
      </c>
      <c r="D42" s="175" t="s">
        <v>1010</v>
      </c>
      <c r="E42" s="173">
        <v>45063</v>
      </c>
      <c r="F42" s="297">
        <v>44638</v>
      </c>
      <c r="G42" s="296" t="s">
        <v>31</v>
      </c>
    </row>
    <row r="43" spans="3:7" ht="20.25" customHeight="1">
      <c r="C43" s="176">
        <v>37</v>
      </c>
      <c r="D43" s="175" t="s">
        <v>1581</v>
      </c>
      <c r="E43" s="173">
        <v>45063</v>
      </c>
      <c r="F43" s="173" t="s">
        <v>33</v>
      </c>
      <c r="G43" s="296" t="s">
        <v>115</v>
      </c>
    </row>
    <row r="44" spans="3:7" ht="20.25" customHeight="1">
      <c r="C44" s="176">
        <v>38</v>
      </c>
      <c r="D44" s="298" t="s">
        <v>1582</v>
      </c>
      <c r="E44" s="173">
        <v>45063</v>
      </c>
      <c r="F44" s="173" t="s">
        <v>33</v>
      </c>
      <c r="G44" s="296" t="s">
        <v>115</v>
      </c>
    </row>
    <row r="45" spans="3:7" ht="20.25" customHeight="1">
      <c r="C45" s="176">
        <v>39</v>
      </c>
      <c r="D45" s="175" t="s">
        <v>1103</v>
      </c>
      <c r="E45" s="173">
        <v>45063</v>
      </c>
      <c r="F45" s="173" t="s">
        <v>33</v>
      </c>
      <c r="G45" s="296" t="s">
        <v>115</v>
      </c>
    </row>
    <row r="46" spans="3:7" ht="20.25" customHeight="1">
      <c r="C46" s="176">
        <v>40</v>
      </c>
      <c r="D46" s="175" t="s">
        <v>1109</v>
      </c>
      <c r="E46" s="173">
        <v>45063</v>
      </c>
      <c r="F46" s="173" t="s">
        <v>33</v>
      </c>
      <c r="G46" s="296" t="s">
        <v>115</v>
      </c>
    </row>
    <row r="47" spans="3:7" ht="20.25" customHeight="1">
      <c r="C47" s="176">
        <v>41</v>
      </c>
      <c r="D47" s="175" t="s">
        <v>6158</v>
      </c>
      <c r="E47" s="174">
        <v>45054</v>
      </c>
      <c r="F47" s="173" t="s">
        <v>33</v>
      </c>
      <c r="G47" s="296" t="s">
        <v>115</v>
      </c>
    </row>
    <row r="48" spans="3:7" ht="20.25" customHeight="1">
      <c r="C48" s="176">
        <v>42</v>
      </c>
      <c r="D48" s="175" t="s">
        <v>1379</v>
      </c>
      <c r="E48" s="173">
        <v>45051</v>
      </c>
      <c r="F48" s="173" t="s">
        <v>33</v>
      </c>
      <c r="G48" s="296" t="s">
        <v>115</v>
      </c>
    </row>
    <row r="49" spans="4:4" ht="20.25" customHeight="1">
      <c r="D49" s="161"/>
    </row>
    <row r="50" spans="4:4" ht="20.25" customHeight="1">
      <c r="D50" s="141"/>
    </row>
    <row r="51" spans="4:4" ht="20.25" customHeight="1">
      <c r="D51" s="141"/>
    </row>
    <row r="52" spans="4:4" ht="20.25" customHeight="1">
      <c r="D52" s="141"/>
    </row>
    <row r="53" spans="4:4" ht="20.25" customHeight="1">
      <c r="D53" s="141"/>
    </row>
    <row r="54" spans="4:4" ht="20.25" customHeight="1">
      <c r="D54" s="154"/>
    </row>
    <row r="55" spans="4:4" ht="20.25" customHeight="1">
      <c r="D55" s="138"/>
    </row>
    <row r="56" spans="4:4" ht="20.25" customHeight="1">
      <c r="D56" s="141"/>
    </row>
    <row r="57" spans="4:4" ht="20.25" customHeight="1">
      <c r="D57" s="159"/>
    </row>
    <row r="58" spans="4:4" ht="20.25" customHeight="1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>
      <c r="D3" s="195" t="s">
        <v>39</v>
      </c>
      <c r="E3" s="196" t="s">
        <v>77</v>
      </c>
      <c r="F3" s="197" t="s">
        <v>6159</v>
      </c>
    </row>
    <row r="4" spans="4:6" ht="20.25" customHeight="1">
      <c r="D4" s="194" t="s">
        <v>979</v>
      </c>
      <c r="E4" s="194" t="s">
        <v>6160</v>
      </c>
      <c r="F4" s="198">
        <v>60000</v>
      </c>
    </row>
    <row r="5" spans="4:6" ht="20.25" customHeight="1">
      <c r="D5" s="191" t="s">
        <v>979</v>
      </c>
      <c r="E5" s="191" t="s">
        <v>6161</v>
      </c>
      <c r="F5" s="199">
        <v>53382.82</v>
      </c>
    </row>
    <row r="6" spans="4:6" ht="20.25" customHeight="1">
      <c r="D6" s="191" t="s">
        <v>979</v>
      </c>
      <c r="E6" s="191" t="s">
        <v>6162</v>
      </c>
      <c r="F6" s="199">
        <v>55091.16</v>
      </c>
    </row>
    <row r="7" spans="4:6" ht="20.25" customHeight="1">
      <c r="D7" s="191" t="s">
        <v>979</v>
      </c>
      <c r="E7" s="191" t="s">
        <v>6163</v>
      </c>
      <c r="F7" s="199">
        <v>71112.509999999995</v>
      </c>
    </row>
    <row r="8" spans="4:6" ht="20.25" customHeight="1">
      <c r="D8" s="191" t="s">
        <v>979</v>
      </c>
      <c r="E8" s="191" t="s">
        <v>6164</v>
      </c>
      <c r="F8" s="199">
        <v>60000</v>
      </c>
    </row>
    <row r="9" spans="4:6" ht="20.25" customHeight="1">
      <c r="D9" s="191" t="s">
        <v>979</v>
      </c>
      <c r="E9" s="191" t="s">
        <v>6165</v>
      </c>
      <c r="F9" s="199">
        <v>60000</v>
      </c>
    </row>
    <row r="10" spans="4:6" ht="20.25" customHeight="1">
      <c r="D10" s="191" t="s">
        <v>979</v>
      </c>
      <c r="E10" s="191" t="s">
        <v>6166</v>
      </c>
      <c r="F10" s="199">
        <v>60000</v>
      </c>
    </row>
    <row r="11" spans="4:6" ht="20.25" customHeight="1">
      <c r="D11" s="191" t="s">
        <v>979</v>
      </c>
      <c r="E11" s="191" t="s">
        <v>6167</v>
      </c>
      <c r="F11" s="199">
        <v>60000</v>
      </c>
    </row>
    <row r="12" spans="4:6" ht="20.25" customHeight="1">
      <c r="D12" s="191" t="s">
        <v>979</v>
      </c>
      <c r="E12" s="191" t="s">
        <v>6168</v>
      </c>
      <c r="F12" s="199">
        <v>48801.81</v>
      </c>
    </row>
    <row r="13" spans="4:6" ht="20.25" customHeight="1">
      <c r="D13" s="191" t="s">
        <v>979</v>
      </c>
      <c r="E13" s="191" t="s">
        <v>6169</v>
      </c>
      <c r="F13" s="199">
        <v>60000</v>
      </c>
    </row>
    <row r="14" spans="4:6" ht="20.25" customHeight="1">
      <c r="D14" s="191" t="s">
        <v>979</v>
      </c>
      <c r="E14" s="192" t="s">
        <v>6170</v>
      </c>
      <c r="F14" s="199">
        <v>48087.05</v>
      </c>
    </row>
    <row r="15" spans="4:6" ht="20.25" customHeight="1">
      <c r="D15" s="191" t="s">
        <v>979</v>
      </c>
      <c r="E15" s="191" t="s">
        <v>6171</v>
      </c>
      <c r="F15" s="199">
        <v>56900.74</v>
      </c>
    </row>
    <row r="16" spans="4:6" ht="20.25" customHeight="1">
      <c r="D16" s="191" t="s">
        <v>979</v>
      </c>
      <c r="E16" s="191" t="s">
        <v>6172</v>
      </c>
      <c r="F16" s="199">
        <v>56351.92</v>
      </c>
    </row>
    <row r="17" spans="4:6" ht="20.25" customHeight="1">
      <c r="D17" s="191" t="s">
        <v>979</v>
      </c>
      <c r="E17" s="193" t="s">
        <v>6173</v>
      </c>
      <c r="F17" s="199">
        <v>60000</v>
      </c>
    </row>
    <row r="18" spans="4:6" ht="20.25" customHeight="1">
      <c r="D18" s="191" t="s">
        <v>979</v>
      </c>
      <c r="E18" s="193" t="s">
        <v>6174</v>
      </c>
      <c r="F18" s="199">
        <v>51994.25</v>
      </c>
    </row>
    <row r="19" spans="4:6" ht="20.25" customHeight="1">
      <c r="D19" s="191" t="s">
        <v>979</v>
      </c>
      <c r="E19" s="193" t="s">
        <v>6175</v>
      </c>
      <c r="F19" s="199">
        <v>111877.18</v>
      </c>
    </row>
    <row r="20" spans="4:6" ht="20.25" customHeight="1">
      <c r="D20" s="191" t="s">
        <v>979</v>
      </c>
      <c r="E20" s="193" t="s">
        <v>6176</v>
      </c>
      <c r="F20" s="199">
        <v>49473.05</v>
      </c>
    </row>
    <row r="21" spans="4:6" ht="20.25" customHeight="1">
      <c r="D21" s="191" t="s">
        <v>979</v>
      </c>
      <c r="E21" s="193" t="s">
        <v>6177</v>
      </c>
      <c r="F21" s="199">
        <v>60000</v>
      </c>
    </row>
    <row r="22" spans="4:6" ht="20.25" customHeight="1">
      <c r="D22" s="191" t="s">
        <v>979</v>
      </c>
      <c r="E22" s="193" t="s">
        <v>6178</v>
      </c>
      <c r="F22" s="199">
        <v>60000</v>
      </c>
    </row>
    <row r="23" spans="4:6" ht="20.25" customHeight="1">
      <c r="D23" s="191" t="s">
        <v>979</v>
      </c>
      <c r="E23" s="193" t="s">
        <v>6179</v>
      </c>
      <c r="F23" s="199">
        <v>35237.620000000003</v>
      </c>
    </row>
    <row r="24" spans="4:6" ht="20.25" customHeight="1">
      <c r="D24" s="191" t="s">
        <v>979</v>
      </c>
      <c r="E24" s="193" t="s">
        <v>6180</v>
      </c>
      <c r="F24" s="199">
        <v>39091.379999999997</v>
      </c>
    </row>
    <row r="25" spans="4:6" ht="20.25" customHeight="1">
      <c r="D25" s="191" t="s">
        <v>979</v>
      </c>
      <c r="E25" s="193" t="s">
        <v>6181</v>
      </c>
      <c r="F25" s="199">
        <v>40219.46</v>
      </c>
    </row>
    <row r="26" spans="4:6" ht="20.25" customHeight="1">
      <c r="D26" s="191" t="s">
        <v>979</v>
      </c>
      <c r="E26" s="193" t="s">
        <v>6182</v>
      </c>
      <c r="F26" s="199">
        <v>34607.300000000003</v>
      </c>
    </row>
    <row r="27" spans="4:6" ht="20.25" customHeight="1">
      <c r="D27" s="191" t="s">
        <v>979</v>
      </c>
      <c r="E27" s="193" t="s">
        <v>6183</v>
      </c>
      <c r="F27" s="199">
        <v>36263.089999999997</v>
      </c>
    </row>
    <row r="28" spans="4:6" ht="20.25" customHeight="1">
      <c r="D28" s="191" t="s">
        <v>979</v>
      </c>
      <c r="E28" s="193" t="s">
        <v>6184</v>
      </c>
      <c r="F28" s="199">
        <v>35849.730000000003</v>
      </c>
    </row>
    <row r="29" spans="4:6" ht="20.25" customHeight="1">
      <c r="D29" s="191" t="s">
        <v>979</v>
      </c>
      <c r="E29" s="193" t="s">
        <v>6185</v>
      </c>
      <c r="F29" s="199">
        <v>33958.269999999997</v>
      </c>
    </row>
    <row r="30" spans="4:6" ht="20.25" customHeight="1">
      <c r="D30" s="191" t="s">
        <v>979</v>
      </c>
      <c r="E30" s="193" t="s">
        <v>6186</v>
      </c>
      <c r="F30" s="199">
        <v>35807.660000000003</v>
      </c>
    </row>
    <row r="31" spans="4:6" ht="20.25" customHeight="1">
      <c r="D31" s="191" t="s">
        <v>979</v>
      </c>
      <c r="E31" s="193" t="s">
        <v>6187</v>
      </c>
      <c r="F31" s="199">
        <v>34233.85</v>
      </c>
    </row>
    <row r="32" spans="4:6" ht="20.25" customHeight="1">
      <c r="D32" s="191" t="s">
        <v>979</v>
      </c>
      <c r="E32" s="193" t="s">
        <v>6188</v>
      </c>
      <c r="F32" s="199">
        <v>43197.84</v>
      </c>
    </row>
    <row r="33" spans="4:6" ht="20.25" customHeight="1">
      <c r="D33" s="191" t="s">
        <v>979</v>
      </c>
      <c r="E33" s="193" t="s">
        <v>6189</v>
      </c>
      <c r="F33" s="199">
        <v>40476.01</v>
      </c>
    </row>
    <row r="34" spans="4:6" ht="20.25" customHeight="1">
      <c r="D34" s="191" t="s">
        <v>979</v>
      </c>
      <c r="E34" s="193" t="s">
        <v>6190</v>
      </c>
      <c r="F34" s="199">
        <v>40038.410000000003</v>
      </c>
    </row>
    <row r="35" spans="4:6" ht="20.25" customHeight="1">
      <c r="D35" s="191" t="s">
        <v>979</v>
      </c>
      <c r="E35" s="193" t="s">
        <v>6191</v>
      </c>
      <c r="F35" s="199">
        <v>38035.89</v>
      </c>
    </row>
    <row r="36" spans="4:6" ht="20.25" customHeight="1">
      <c r="D36" s="191" t="s">
        <v>979</v>
      </c>
      <c r="E36" s="193" t="s">
        <v>6192</v>
      </c>
      <c r="F36" s="199">
        <v>35969.519999999997</v>
      </c>
    </row>
    <row r="37" spans="4:6" ht="20.25" customHeight="1">
      <c r="D37" s="191" t="s">
        <v>979</v>
      </c>
      <c r="E37" s="193" t="s">
        <v>6193</v>
      </c>
      <c r="F37" s="199">
        <v>42410.14</v>
      </c>
    </row>
    <row r="38" spans="4:6" ht="20.25" customHeight="1">
      <c r="D38" s="191" t="s">
        <v>979</v>
      </c>
      <c r="E38" s="193" t="s">
        <v>6194</v>
      </c>
      <c r="F38" s="199">
        <v>40108.129999999997</v>
      </c>
    </row>
    <row r="39" spans="4:6" ht="20.25" customHeight="1">
      <c r="D39" s="191" t="s">
        <v>979</v>
      </c>
      <c r="E39" s="193" t="s">
        <v>6195</v>
      </c>
      <c r="F39" s="199">
        <v>39408.28</v>
      </c>
    </row>
    <row r="40" spans="4:6" ht="20.25" customHeight="1">
      <c r="D40" s="191" t="s">
        <v>979</v>
      </c>
      <c r="E40" s="193" t="s">
        <v>6196</v>
      </c>
      <c r="F40" s="199">
        <v>39754.07</v>
      </c>
    </row>
    <row r="41" spans="4:6" ht="20.25" customHeight="1">
      <c r="D41" s="191" t="s">
        <v>979</v>
      </c>
      <c r="E41" s="193" t="s">
        <v>6197</v>
      </c>
      <c r="F41" s="199">
        <v>45063.11</v>
      </c>
    </row>
    <row r="42" spans="4:6" ht="20.25" customHeight="1">
      <c r="D42" s="191" t="s">
        <v>979</v>
      </c>
      <c r="E42" s="193" t="s">
        <v>6198</v>
      </c>
      <c r="F42" s="199">
        <v>47121.63</v>
      </c>
    </row>
    <row r="43" spans="4:6" ht="20.25" customHeight="1">
      <c r="D43" s="191" t="s">
        <v>979</v>
      </c>
      <c r="E43" s="193" t="s">
        <v>6199</v>
      </c>
      <c r="F43" s="199">
        <v>54604.78</v>
      </c>
    </row>
    <row r="44" spans="4:6" ht="20.25" customHeight="1">
      <c r="D44" s="191" t="s">
        <v>979</v>
      </c>
      <c r="E44" s="193" t="s">
        <v>6200</v>
      </c>
      <c r="F44" s="199">
        <v>46317.919999999998</v>
      </c>
    </row>
    <row r="45" spans="4:6" ht="20.25" customHeight="1">
      <c r="D45" s="191" t="s">
        <v>979</v>
      </c>
      <c r="E45" s="193" t="s">
        <v>6201</v>
      </c>
      <c r="F45" s="199">
        <v>60000</v>
      </c>
    </row>
    <row r="46" spans="4:6" ht="20.25" customHeight="1">
      <c r="D46" s="191" t="s">
        <v>979</v>
      </c>
      <c r="E46" s="193" t="s">
        <v>6202</v>
      </c>
      <c r="F46" s="199">
        <v>54794.55</v>
      </c>
    </row>
    <row r="47" spans="4:6" ht="20.25" customHeight="1">
      <c r="D47" s="191" t="s">
        <v>979</v>
      </c>
      <c r="E47" s="193" t="s">
        <v>6203</v>
      </c>
      <c r="F47" s="199">
        <v>55630.87</v>
      </c>
    </row>
    <row r="48" spans="4:6" ht="20.25" customHeight="1">
      <c r="D48" s="191" t="s">
        <v>979</v>
      </c>
      <c r="E48" s="193" t="s">
        <v>6204</v>
      </c>
      <c r="F48" s="199">
        <v>60000</v>
      </c>
    </row>
    <row r="49" spans="4:6" ht="20.25" customHeight="1">
      <c r="D49" s="191" t="s">
        <v>979</v>
      </c>
      <c r="E49" s="193" t="s">
        <v>6205</v>
      </c>
      <c r="F49" s="199">
        <v>60000</v>
      </c>
    </row>
    <row r="50" spans="4:6" ht="20.25" customHeight="1">
      <c r="D50" s="191" t="s">
        <v>979</v>
      </c>
      <c r="E50" s="191" t="s">
        <v>6206</v>
      </c>
      <c r="F50" s="199">
        <v>41376.720000000001</v>
      </c>
    </row>
    <row r="51" spans="4:6" ht="20.25" customHeight="1">
      <c r="D51" s="191" t="s">
        <v>979</v>
      </c>
      <c r="E51" s="193" t="s">
        <v>6207</v>
      </c>
      <c r="F51" s="199">
        <v>40145.410000000003</v>
      </c>
    </row>
    <row r="52" spans="4:6" ht="20.25" customHeight="1">
      <c r="D52" s="191" t="s">
        <v>979</v>
      </c>
      <c r="E52" s="193" t="s">
        <v>6208</v>
      </c>
      <c r="F52" s="199">
        <v>36640.120000000003</v>
      </c>
    </row>
    <row r="53" spans="4:6" ht="20.25" customHeight="1">
      <c r="D53" s="191" t="s">
        <v>979</v>
      </c>
      <c r="E53" s="191" t="s">
        <v>6209</v>
      </c>
      <c r="F53" s="199">
        <v>60000</v>
      </c>
    </row>
    <row r="54" spans="4:6" ht="20.25" customHeight="1">
      <c r="D54" s="191" t="s">
        <v>979</v>
      </c>
      <c r="E54" s="193" t="s">
        <v>6210</v>
      </c>
      <c r="F54" s="199">
        <v>60000</v>
      </c>
    </row>
    <row r="55" spans="4:6" ht="20.25" customHeight="1">
      <c r="D55" s="191" t="s">
        <v>979</v>
      </c>
      <c r="E55" s="193" t="s">
        <v>6211</v>
      </c>
      <c r="F55" s="199">
        <v>53913.62</v>
      </c>
    </row>
    <row r="56" spans="4:6" ht="20.25" customHeight="1">
      <c r="D56" s="191" t="s">
        <v>979</v>
      </c>
      <c r="E56" s="193" t="s">
        <v>6212</v>
      </c>
      <c r="F56" s="199">
        <v>59293.99</v>
      </c>
    </row>
    <row r="57" spans="4:6" ht="20.25" customHeight="1">
      <c r="D57" s="191" t="s">
        <v>979</v>
      </c>
      <c r="E57" s="193" t="s">
        <v>6213</v>
      </c>
      <c r="F57" s="199">
        <v>60000</v>
      </c>
    </row>
    <row r="58" spans="4:6" ht="20.25" customHeight="1">
      <c r="D58" s="191" t="s">
        <v>979</v>
      </c>
      <c r="E58" s="193" t="s">
        <v>6214</v>
      </c>
      <c r="F58" s="199">
        <v>34028.03</v>
      </c>
    </row>
    <row r="59" spans="4:6" ht="20.25" customHeight="1">
      <c r="D59" s="191" t="s">
        <v>979</v>
      </c>
      <c r="E59" s="193" t="s">
        <v>6215</v>
      </c>
      <c r="F59" s="199">
        <v>46067.25</v>
      </c>
    </row>
    <row r="60" spans="4:6" ht="20.25" customHeight="1">
      <c r="D60" s="191" t="s">
        <v>979</v>
      </c>
      <c r="E60" s="193" t="s">
        <v>6216</v>
      </c>
      <c r="F60" s="199">
        <v>44186.69</v>
      </c>
    </row>
    <row r="61" spans="4:6" ht="20.25" customHeight="1">
      <c r="D61" s="191" t="s">
        <v>979</v>
      </c>
      <c r="E61" s="193" t="s">
        <v>6217</v>
      </c>
      <c r="F61" s="199">
        <v>52337.599999999999</v>
      </c>
    </row>
    <row r="62" spans="4:6" ht="20.25" customHeight="1">
      <c r="D62" s="191" t="s">
        <v>979</v>
      </c>
      <c r="E62" s="193" t="s">
        <v>6218</v>
      </c>
      <c r="F62" s="199">
        <v>60000</v>
      </c>
    </row>
    <row r="63" spans="4:6" ht="20.25" customHeight="1">
      <c r="D63" s="191" t="s">
        <v>979</v>
      </c>
      <c r="E63" s="193" t="s">
        <v>6219</v>
      </c>
      <c r="F63" s="199">
        <v>70901.86</v>
      </c>
    </row>
    <row r="64" spans="4:6" ht="20.25" customHeight="1">
      <c r="D64" s="191" t="s">
        <v>979</v>
      </c>
      <c r="E64" s="193" t="s">
        <v>6220</v>
      </c>
      <c r="F64" s="199">
        <v>48757.24</v>
      </c>
    </row>
    <row r="65" spans="4:6" ht="20.25" customHeight="1">
      <c r="D65" s="191" t="s">
        <v>979</v>
      </c>
      <c r="E65" s="193" t="s">
        <v>6221</v>
      </c>
      <c r="F65" s="199">
        <v>53633.54</v>
      </c>
    </row>
    <row r="66" spans="4:6" ht="20.25" customHeight="1">
      <c r="D66" s="191" t="s">
        <v>979</v>
      </c>
      <c r="E66" s="193" t="s">
        <v>6222</v>
      </c>
      <c r="F66" s="199">
        <v>39458.730000000003</v>
      </c>
    </row>
    <row r="67" spans="4:6" ht="20.25" customHeight="1">
      <c r="D67" s="191" t="s">
        <v>979</v>
      </c>
      <c r="E67" s="193" t="s">
        <v>6223</v>
      </c>
      <c r="F67" s="199">
        <v>53212.03</v>
      </c>
    </row>
    <row r="68" spans="4:6" ht="20.25" customHeight="1">
      <c r="D68" s="191" t="s">
        <v>979</v>
      </c>
      <c r="E68" s="193" t="s">
        <v>6224</v>
      </c>
      <c r="F68" s="199">
        <v>53212.03</v>
      </c>
    </row>
    <row r="69" spans="4:6" ht="20.25" customHeight="1">
      <c r="D69" s="191" t="s">
        <v>979</v>
      </c>
      <c r="E69" s="193" t="s">
        <v>6225</v>
      </c>
      <c r="F69" s="199">
        <v>60000</v>
      </c>
    </row>
    <row r="70" spans="4:6" ht="20.25" customHeight="1">
      <c r="D70" s="191" t="s">
        <v>979</v>
      </c>
      <c r="E70" s="193" t="s">
        <v>6226</v>
      </c>
      <c r="F70" s="199">
        <v>51660.32</v>
      </c>
    </row>
    <row r="71" spans="4:6" ht="20.25" customHeight="1">
      <c r="D71" s="191" t="s">
        <v>979</v>
      </c>
      <c r="E71" s="193" t="s">
        <v>6227</v>
      </c>
      <c r="F71" s="199">
        <v>43296.639999999999</v>
      </c>
    </row>
    <row r="72" spans="4:6" ht="20.25" customHeight="1">
      <c r="D72" s="191" t="s">
        <v>979</v>
      </c>
      <c r="E72" s="193" t="s">
        <v>6228</v>
      </c>
      <c r="F72" s="199">
        <v>52499.63</v>
      </c>
    </row>
    <row r="73" spans="4:6" ht="20.25" customHeight="1">
      <c r="D73" s="191" t="s">
        <v>979</v>
      </c>
      <c r="E73" s="193" t="s">
        <v>6229</v>
      </c>
      <c r="F73" s="199">
        <v>60000</v>
      </c>
    </row>
    <row r="74" spans="4:6" ht="20.25" customHeight="1">
      <c r="D74" s="191" t="s">
        <v>979</v>
      </c>
      <c r="E74" s="193" t="s">
        <v>6230</v>
      </c>
      <c r="F74" s="199">
        <v>85017.9</v>
      </c>
    </row>
    <row r="75" spans="4:6" ht="20.25" customHeight="1">
      <c r="D75" s="191" t="s">
        <v>979</v>
      </c>
      <c r="E75" s="193" t="s">
        <v>6231</v>
      </c>
      <c r="F75" s="199">
        <v>53989.99</v>
      </c>
    </row>
    <row r="76" spans="4:6" ht="20.25" customHeight="1">
      <c r="D76" s="191" t="s">
        <v>979</v>
      </c>
      <c r="E76" s="193" t="s">
        <v>6232</v>
      </c>
      <c r="F76" s="199">
        <v>84379.96</v>
      </c>
    </row>
    <row r="77" spans="4:6" ht="20.25" customHeight="1">
      <c r="D77" s="191" t="s">
        <v>979</v>
      </c>
      <c r="E77" s="193" t="s">
        <v>6233</v>
      </c>
      <c r="F77" s="199">
        <v>51943.76</v>
      </c>
    </row>
    <row r="78" spans="4:6" ht="20.25" customHeight="1">
      <c r="D78" s="191" t="s">
        <v>979</v>
      </c>
      <c r="E78" s="193" t="s">
        <v>6234</v>
      </c>
      <c r="F78" s="199">
        <v>55656.71</v>
      </c>
    </row>
    <row r="79" spans="4:6" ht="20.25" customHeight="1">
      <c r="D79" s="191" t="s">
        <v>979</v>
      </c>
      <c r="E79" s="193" t="s">
        <v>6235</v>
      </c>
      <c r="F79" s="199">
        <v>54347.07</v>
      </c>
    </row>
    <row r="80" spans="4:6" ht="20.25" customHeight="1">
      <c r="D80" s="191" t="s">
        <v>979</v>
      </c>
      <c r="E80" s="193" t="s">
        <v>6236</v>
      </c>
      <c r="F80" s="199">
        <v>51444.99</v>
      </c>
    </row>
    <row r="81" spans="4:6" ht="20.25" customHeight="1">
      <c r="D81" s="191" t="s">
        <v>979</v>
      </c>
      <c r="E81" s="193" t="s">
        <v>6237</v>
      </c>
      <c r="F81" s="199">
        <v>48856.37</v>
      </c>
    </row>
    <row r="82" spans="4:6" ht="20.25" customHeight="1">
      <c r="D82" s="191" t="s">
        <v>979</v>
      </c>
      <c r="E82" s="193" t="s">
        <v>6238</v>
      </c>
      <c r="F82" s="199">
        <v>57999.5</v>
      </c>
    </row>
    <row r="83" spans="4:6" ht="20.25" customHeight="1">
      <c r="D83" s="191" t="s">
        <v>979</v>
      </c>
      <c r="E83" s="193" t="s">
        <v>6239</v>
      </c>
      <c r="F83" s="199">
        <v>53751.44</v>
      </c>
    </row>
    <row r="84" spans="4:6" ht="20.25" customHeight="1">
      <c r="D84" s="191" t="s">
        <v>979</v>
      </c>
      <c r="E84" s="193" t="s">
        <v>6240</v>
      </c>
      <c r="F84" s="199">
        <v>102660.83</v>
      </c>
    </row>
    <row r="85" spans="4:6" ht="20.25" customHeight="1">
      <c r="D85" s="191" t="s">
        <v>979</v>
      </c>
      <c r="E85" s="191" t="s">
        <v>6241</v>
      </c>
      <c r="F85" s="200">
        <v>60000</v>
      </c>
    </row>
    <row r="86" spans="4:6" ht="20.25" customHeight="1">
      <c r="D86" s="191" t="s">
        <v>979</v>
      </c>
      <c r="E86" s="193" t="s">
        <v>6242</v>
      </c>
      <c r="F86" s="199">
        <v>60000</v>
      </c>
    </row>
    <row r="87" spans="4:6" ht="20.25" customHeight="1">
      <c r="D87" s="191" t="s">
        <v>979</v>
      </c>
      <c r="E87" s="191" t="s">
        <v>6243</v>
      </c>
      <c r="F87" s="199">
        <v>51891.83</v>
      </c>
    </row>
    <row r="88" spans="4:6" ht="20.25" customHeight="1">
      <c r="D88" s="191" t="s">
        <v>979</v>
      </c>
      <c r="E88" s="193" t="s">
        <v>6244</v>
      </c>
      <c r="F88" s="201">
        <v>36197.919999999998</v>
      </c>
    </row>
    <row r="89" spans="4:6" ht="20.25" customHeight="1">
      <c r="D89" s="292" t="s">
        <v>979</v>
      </c>
      <c r="E89" s="193" t="s">
        <v>6245</v>
      </c>
      <c r="F89" s="199">
        <v>43155.13</v>
      </c>
    </row>
    <row r="90" spans="4:6" ht="20.25" customHeight="1">
      <c r="D90" s="191" t="s">
        <v>979</v>
      </c>
      <c r="E90" s="193" t="s">
        <v>6246</v>
      </c>
      <c r="F90" s="199">
        <v>58988.86</v>
      </c>
    </row>
    <row r="91" spans="4:6" ht="20.25" customHeight="1">
      <c r="D91" s="191" t="s">
        <v>979</v>
      </c>
      <c r="E91" s="193" t="s">
        <v>6247</v>
      </c>
      <c r="F91" s="199">
        <v>56274.27</v>
      </c>
    </row>
    <row r="92" spans="4:6" ht="20.25" customHeight="1">
      <c r="D92" s="191" t="s">
        <v>979</v>
      </c>
      <c r="E92" s="193" t="s">
        <v>6248</v>
      </c>
      <c r="F92" s="199">
        <v>51308.19</v>
      </c>
    </row>
    <row r="93" spans="4:6" ht="20.25" customHeight="1">
      <c r="D93" s="191" t="s">
        <v>979</v>
      </c>
      <c r="E93" s="193" t="s">
        <v>6249</v>
      </c>
      <c r="F93" s="199">
        <v>44226.95</v>
      </c>
    </row>
    <row r="94" spans="4:6" ht="20.25" customHeight="1">
      <c r="D94" s="191" t="s">
        <v>979</v>
      </c>
      <c r="E94" s="193" t="s">
        <v>6250</v>
      </c>
      <c r="F94" s="199">
        <v>53896.74</v>
      </c>
    </row>
    <row r="95" spans="4:6" ht="20.25" customHeight="1">
      <c r="D95" s="191" t="s">
        <v>979</v>
      </c>
      <c r="E95" s="193" t="s">
        <v>6251</v>
      </c>
      <c r="F95" s="199">
        <v>46409.63</v>
      </c>
    </row>
    <row r="96" spans="4:6" ht="20.25" customHeight="1">
      <c r="D96" s="191" t="s">
        <v>979</v>
      </c>
      <c r="E96" s="193" t="s">
        <v>6252</v>
      </c>
      <c r="F96" s="199">
        <v>57433.2</v>
      </c>
    </row>
    <row r="98" spans="5:6" ht="20.25" customHeight="1">
      <c r="E98" s="203" t="s">
        <v>6253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Andre Luiz Martins dos Santos</cp:lastModifiedBy>
  <cp:revision/>
  <dcterms:created xsi:type="dcterms:W3CDTF">2017-02-23T11:47:08Z</dcterms:created>
  <dcterms:modified xsi:type="dcterms:W3CDTF">2026-07-25T01:21:54Z</dcterms:modified>
  <cp:category/>
  <cp:contentStatus/>
</cp:coreProperties>
</file>