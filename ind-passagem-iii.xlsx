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f2b\AC\Temp\"/>
    </mc:Choice>
  </mc:AlternateContent>
  <xr:revisionPtr revIDLastSave="56718" documentId="8_{DAC6C9CA-70D7-4111-A0A7-BC6755E560D9}" xr6:coauthVersionLast="47" xr6:coauthVersionMax="47" xr10:uidLastSave="{F767FE41-CF4C-4747-98C7-1FCCCC5AFE79}"/>
  <bookViews>
    <workbookView xWindow="-60" yWindow="-60" windowWidth="15480" windowHeight="11640" xr2:uid="{00000000-000D-0000-FFFF-FFFF00000000}"/>
  </bookViews>
  <sheets>
    <sheet name="PRIORIDADES" sheetId="20" r:id="rId1"/>
    <sheet name="Planilha1" sheetId="21" r:id="rId2"/>
    <sheet name="RESUMO ANTONICO" sheetId="22" r:id="rId3"/>
    <sheet name="Planilha2" sheetId="23" r:id="rId4"/>
    <sheet name="Quantitativo Fora da Demanda" sheetId="19" state="hidden" r:id="rId5"/>
    <sheet name="Listas (não utilizar)" sheetId="4" state="hidden" r:id="rId6"/>
    <sheet name="QUANT COND" sheetId="16" state="hidden" r:id="rId7"/>
    <sheet name="OFÍCIOS" sheetId="5" state="hidden" r:id="rId8"/>
  </sheets>
  <externalReferences>
    <externalReference r:id="rId9"/>
  </externalReferences>
  <definedNames>
    <definedName name="_xlnm._FilterDatabase" localSheetId="5" hidden="1">'Listas (não utilizar)'!$A$1:$J$1</definedName>
    <definedName name="_xlnm._FilterDatabase" localSheetId="7" hidden="1">OFÍCIOS!$A$2:$U$3059</definedName>
    <definedName name="_xlnm._FilterDatabase" localSheetId="0" hidden="1">PRIORIDADES!$A$13:$CY$13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5" hidden="1">'Listas (não utilizar)'!$F$2:$F$5</definedName>
    <definedName name="Z_39E29B6F_0D66_48AE_A716_BFBE8B532288_.wvu.FilterData" localSheetId="5" hidden="1">'Listas (não utilizar)'!$F$2:$F$5</definedName>
    <definedName name="Z_3C855A2D_2F8A_450A_853C_257A0FC222AF_.wvu.FilterData" localSheetId="5" hidden="1">'Listas (não utilizar)'!$F$2:$F$5</definedName>
    <definedName name="Z_8296C81D_E0C9_43D9_ADA1_0E4705448C59_.wvu.FilterData" localSheetId="5" hidden="1">'Listas (não utilizar)'!$A$1:$F$17</definedName>
    <definedName name="Z_A598ACE7_C3E8_4400_B80E_E7BA9453B8A3_.wvu.FilterData" localSheetId="5" hidden="1">'Listas (não utilizar)'!$F$2:$F$5</definedName>
    <definedName name="Z_AD69B6D1_19BC_4940_B666_EDC66A6E168F_.wvu.FilterData" localSheetId="5" hidden="1">'Listas (não utilizar)'!$A$1:$F$17</definedName>
    <definedName name="Z_C81C67C3_BEE5_43B5_A898_4FF9A711A2FF_.wvu.FilterData" localSheetId="5" hidden="1">'Listas (não utilizar)'!$F$2:$F$5</definedName>
    <definedName name="Z_D4268A78_2B91_4AE5_BC6A_318CAE2503F1_.wvu.FilterData" localSheetId="5" hidden="1">'Listas (não utilizar)'!$F$2:$F$5</definedName>
    <definedName name="Z_D8EF893F_7CCC_418F_8546_BBB4DB0B16B5_.wvu.FilterData" localSheetId="5" hidden="1">'Listas (não utilizar)'!$A$1:$F$17</definedName>
  </definedNames>
  <calcPr calcId="191028"/>
  <customWorkbookViews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278893 - Modo de exibição pessoal" guid="{D4268A78-2B91-4AE5-BC6A-318CAE2503F1}" mergeInterval="0" personalView="1" maximized="1" windowWidth="1020" windowHeight="596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4" i="20" l="1"/>
  <c r="BC14" i="20"/>
  <c r="BD92" i="20"/>
  <c r="BD93" i="20"/>
  <c r="BD94" i="20"/>
  <c r="BD95" i="20"/>
  <c r="BD96" i="20"/>
  <c r="BD97" i="20"/>
  <c r="BD98" i="20"/>
  <c r="BD99" i="20"/>
  <c r="BD100" i="20"/>
  <c r="BD101" i="20"/>
  <c r="BD102" i="20"/>
  <c r="BD103" i="20"/>
  <c r="BD104" i="20"/>
  <c r="BD105" i="20"/>
  <c r="BD106" i="20"/>
  <c r="BD107" i="20"/>
  <c r="BD108" i="20"/>
  <c r="BD109" i="20"/>
  <c r="BD110" i="20"/>
  <c r="BD111" i="20"/>
  <c r="BD112" i="20"/>
  <c r="BD113" i="20"/>
  <c r="BD114" i="20"/>
  <c r="BD115" i="20"/>
  <c r="BD116" i="20"/>
  <c r="BD117" i="20"/>
  <c r="BD118" i="20"/>
  <c r="BD119" i="20"/>
  <c r="BD120" i="20"/>
  <c r="BD121" i="20"/>
  <c r="BD122" i="20"/>
  <c r="BD123" i="20"/>
  <c r="BD124" i="20"/>
  <c r="BD125" i="20"/>
  <c r="BD126" i="20"/>
  <c r="BD127" i="20"/>
  <c r="BD128" i="20"/>
  <c r="BD129" i="20"/>
  <c r="BD130" i="20"/>
  <c r="BD131" i="20"/>
  <c r="BD132" i="20"/>
  <c r="BD133" i="20"/>
  <c r="BD134" i="20"/>
  <c r="BD135" i="20"/>
  <c r="BD136" i="20"/>
  <c r="BD137" i="20"/>
  <c r="BD138" i="20"/>
  <c r="BD139" i="20"/>
  <c r="BD140" i="20"/>
  <c r="BD141" i="20"/>
  <c r="BD142" i="20"/>
  <c r="BD143" i="20"/>
  <c r="BD144" i="20"/>
  <c r="BD145" i="20"/>
  <c r="BD146" i="20"/>
  <c r="BD147" i="20"/>
  <c r="BD148" i="20"/>
  <c r="BD149" i="20"/>
  <c r="BD150" i="20"/>
  <c r="BD151" i="20"/>
  <c r="BD152" i="20"/>
  <c r="BD153" i="20"/>
  <c r="BD154" i="20"/>
  <c r="BD155" i="20"/>
  <c r="BD156" i="20"/>
  <c r="BD157" i="20"/>
  <c r="BD158" i="20"/>
  <c r="BD159" i="20"/>
  <c r="BD160" i="20"/>
  <c r="BD161" i="20"/>
  <c r="BD162" i="20"/>
  <c r="BD163" i="20"/>
  <c r="BD164" i="20"/>
  <c r="BD165" i="20"/>
  <c r="BD166" i="20"/>
  <c r="BD167" i="20"/>
  <c r="BD168" i="20"/>
  <c r="BD169" i="20"/>
  <c r="BD170" i="20"/>
  <c r="BD171" i="20"/>
  <c r="BD172" i="20"/>
  <c r="BD173" i="20"/>
  <c r="BD174" i="20"/>
  <c r="BD175" i="20"/>
  <c r="BD176" i="20"/>
  <c r="BD177" i="20"/>
  <c r="BD178" i="20"/>
  <c r="BD179" i="20"/>
  <c r="BD180" i="20"/>
  <c r="BD181" i="20"/>
  <c r="BD182" i="20"/>
  <c r="BD183" i="20"/>
  <c r="BD184" i="20"/>
  <c r="BD185" i="20"/>
  <c r="BD186" i="20"/>
  <c r="BD187" i="20"/>
  <c r="BD188" i="20"/>
  <c r="BD189" i="20"/>
  <c r="BD190" i="20"/>
  <c r="BD191" i="20"/>
  <c r="BD192" i="20"/>
  <c r="BD193" i="20"/>
  <c r="BD194" i="20"/>
  <c r="BD195" i="20"/>
  <c r="BD196" i="20"/>
  <c r="BD197" i="20"/>
  <c r="BD198" i="20"/>
  <c r="BD199" i="20"/>
  <c r="BD200" i="20"/>
  <c r="BD201" i="20"/>
  <c r="BD202" i="20"/>
  <c r="BD203" i="20"/>
  <c r="BD204" i="20"/>
  <c r="BD205" i="20"/>
  <c r="BD206" i="20"/>
  <c r="BD207" i="20"/>
  <c r="BD208" i="20"/>
  <c r="BD209" i="20"/>
  <c r="BD210" i="20"/>
  <c r="BD211" i="20"/>
  <c r="BD212" i="20"/>
  <c r="BD213" i="20"/>
  <c r="BD214" i="20"/>
  <c r="BD215" i="20"/>
  <c r="BD216" i="20"/>
  <c r="BD217" i="20"/>
  <c r="BD218" i="20"/>
  <c r="BD219" i="20"/>
  <c r="BD220" i="20"/>
  <c r="BD221" i="20"/>
  <c r="BD222" i="20"/>
  <c r="BD223" i="20"/>
  <c r="BD224" i="20"/>
  <c r="BD225" i="20"/>
  <c r="BD226" i="20"/>
  <c r="BD227" i="20"/>
  <c r="BD228" i="20"/>
  <c r="BD229" i="20"/>
  <c r="BD230" i="20"/>
  <c r="BD231" i="20"/>
  <c r="BD232" i="20"/>
  <c r="BD233" i="20"/>
  <c r="BD234" i="20"/>
  <c r="BD235" i="20"/>
  <c r="BD236" i="20"/>
  <c r="BD237" i="20"/>
  <c r="BD238" i="20"/>
  <c r="BD239" i="20"/>
  <c r="BD240" i="20"/>
  <c r="BD241" i="20"/>
  <c r="BD242" i="20"/>
  <c r="BD243" i="20"/>
  <c r="BD244" i="20"/>
  <c r="BD245" i="20"/>
  <c r="BD246" i="20"/>
  <c r="BD247" i="20"/>
  <c r="BD248" i="20"/>
  <c r="BD249" i="20"/>
  <c r="BD250" i="20"/>
  <c r="BD251" i="20"/>
  <c r="BD252" i="20"/>
  <c r="BD253" i="20"/>
  <c r="BD254" i="20"/>
  <c r="BD255" i="20"/>
  <c r="BD256" i="20"/>
  <c r="BD257" i="20"/>
  <c r="BD258" i="20"/>
  <c r="BD259" i="20"/>
  <c r="BD260" i="20"/>
  <c r="BD261" i="20"/>
  <c r="BD262" i="20"/>
  <c r="BD263" i="20"/>
  <c r="BD264" i="20"/>
  <c r="BD265" i="20"/>
  <c r="BD266" i="20"/>
  <c r="BD267" i="20"/>
  <c r="BD268" i="20"/>
  <c r="BD269" i="20"/>
  <c r="F19" i="22"/>
  <c r="F12" i="22"/>
  <c r="F7" i="22"/>
  <c r="F14" i="22"/>
  <c r="F22" i="22"/>
  <c r="BB14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<sst xmlns="http://schemas.openxmlformats.org/spreadsheetml/2006/main" count="7237" uniqueCount="4602">
  <si>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</si>
  <si>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</si>
  <si>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</si>
  <si>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</si>
  <si>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</si>
  <si>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</si>
  <si>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</si>
  <si>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</si>
  <si>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</si>
  <si>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</si>
  <si>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</si>
  <si>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</si>
  <si>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</si>
  <si>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</si>
  <si>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</si>
  <si>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</si>
  <si>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</si>
  <si>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</si>
  <si>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</si>
  <si>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</si>
  <si>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</si>
  <si>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</si>
  <si>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</si>
  <si>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</si>
  <si>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</si>
  <si>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</si>
  <si>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</si>
  <si>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</si>
  <si>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</si>
  <si>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</si>
  <si>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</si>
  <si>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</si>
  <si>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</si>
  <si>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</si>
  <si>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</si>
  <si>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</si>
  <si>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</si>
  <si>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</si>
  <si>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</si>
  <si>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</si>
  <si>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</si>
  <si>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</si>
  <si>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</si>
  <si>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</si>
  <si>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</si>
  <si>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</si>
  <si>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</si>
  <si>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</si>
  <si>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</si>
  <si>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</si>
  <si>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</si>
  <si>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</si>
  <si>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                                                   AUXÍLIO ALUGUEL ÁREA</t>
  </si>
  <si>
    <t>No PROCESSO SEI                           (AUXÍLIO ALUGUEL)</t>
  </si>
  <si>
    <t>ANÁLISE DTS                                   CADASTRO + CHECAGEM DUPLO</t>
  </si>
  <si>
    <t>INSTRUÇÃO PROCESSO SEI                                                     DTS</t>
  </si>
  <si>
    <t>ANÁLISE CTS                            ASSINATURA GABINETE</t>
  </si>
  <si>
    <t>DATA PUBLICAÇÃO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</si>
  <si>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</si>
  <si>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</si>
  <si>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</si>
  <si>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</si>
  <si>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</si>
  <si>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</si>
  <si>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</si>
  <si>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</si>
  <si>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VALOR INDENIZAÇÃO</t>
  </si>
  <si>
    <t>VALOR COM BONIFICAÇÃO</t>
  </si>
  <si>
    <t>ACEITA VALOR                                                         INDENIZAÇÃO</t>
  </si>
  <si>
    <t>LAUDO VALOR  INDENIZAÇÃO</t>
  </si>
  <si>
    <t>CADASTRO HABITASAMPA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</si>
  <si>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</si>
  <si>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</si>
  <si>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</si>
  <si>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</si>
  <si>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</si>
  <si>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</si>
  <si>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 DIRETOR DTS</t>
  </si>
  <si>
    <t>ELABORAÇÃO DESPACHO CTS</t>
  </si>
  <si>
    <t>ASSINATURA DESPACHO GABINETE</t>
  </si>
  <si>
    <t>PUBLICAÇÃO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</si>
  <si>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</si>
  <si>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</si>
  <si>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</si>
  <si>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</si>
  <si>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</si>
  <si>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</si>
  <si>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</si>
  <si>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</si>
  <si>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BLOQUEIO AA</t>
  </si>
  <si>
    <t>SOLICITAÇÃO               BLOQUEIO AA  DTS</t>
  </si>
  <si>
    <t>DATA SOLICITAÇÃO                BLOQUEIO AA</t>
  </si>
  <si>
    <t>DATA BLOQUEIO AA</t>
  </si>
  <si>
    <t>DESPACHO EXCLUSÃO GABINETE</t>
  </si>
  <si>
    <t>PUBLICAÇÃO DOC</t>
  </si>
  <si>
    <t>ENCAMINHAMENTO SOLICITAÇÃO EXCLUSÃO DEPLAN</t>
  </si>
  <si>
    <t>ENCERRAMENTO PROCESSO DTS</t>
  </si>
  <si>
    <t>PASSAGEM III</t>
  </si>
  <si>
    <t>0</t>
  </si>
  <si>
    <t>001/1856/O</t>
  </si>
  <si>
    <t>MARIA LENI FERREIRA DOS SANTOS MACHADO</t>
  </si>
  <si>
    <t>27.959.665-71</t>
  </si>
  <si>
    <t>264.608.798-50</t>
  </si>
  <si>
    <t>AUXÍLIO ALUGUEL ATÉ INDENIZAÇÃO</t>
  </si>
  <si>
    <t>FINALIZADO</t>
  </si>
  <si>
    <t>SEM PENDÊNCIA</t>
  </si>
  <si>
    <t>6014.2025/0006718-1</t>
  </si>
  <si>
    <t>AGUARDANDO</t>
  </si>
  <si>
    <t>LIBERADO DEMOLIÇÃO</t>
  </si>
  <si>
    <t>AGUARDANDO ELABORAÇÃO</t>
  </si>
  <si>
    <t>024/0030/B</t>
  </si>
  <si>
    <t>029/0024/C</t>
  </si>
  <si>
    <t>024/0041/A</t>
  </si>
  <si>
    <t>029/0023/E</t>
  </si>
  <si>
    <t>024/0041/B</t>
  </si>
  <si>
    <t>029/0071/B</t>
  </si>
  <si>
    <t>024/0051/A</t>
  </si>
  <si>
    <t>024/0057/A</t>
  </si>
  <si>
    <t>024/0052/A</t>
  </si>
  <si>
    <t>031/0033/Q</t>
  </si>
  <si>
    <t>024/0055/B</t>
  </si>
  <si>
    <t>029/0066/A</t>
  </si>
  <si>
    <t>024/0105/B</t>
  </si>
  <si>
    <t>024/0070/E</t>
  </si>
  <si>
    <t>031/0022/E</t>
  </si>
  <si>
    <t>024/0077/B</t>
  </si>
  <si>
    <t>031/0031/B</t>
  </si>
  <si>
    <t>024/0079/C</t>
  </si>
  <si>
    <t>031/0020/C</t>
  </si>
  <si>
    <t>024/0088/B</t>
  </si>
  <si>
    <t>029/0069/D</t>
  </si>
  <si>
    <t>024/0099/A</t>
  </si>
  <si>
    <t>031/0033/K</t>
  </si>
  <si>
    <t>024/0102/D</t>
  </si>
  <si>
    <t>029/0016/B</t>
  </si>
  <si>
    <t>024/0105/A</t>
  </si>
  <si>
    <t>029/0066/E</t>
  </si>
  <si>
    <t>029/0007/A</t>
  </si>
  <si>
    <t>029/0022/B</t>
  </si>
  <si>
    <t>029/0007/B</t>
  </si>
  <si>
    <t>031/0039/C</t>
  </si>
  <si>
    <t>029/0081/A</t>
  </si>
  <si>
    <t>029/0035/B</t>
  </si>
  <si>
    <t>029/0027/A</t>
  </si>
  <si>
    <t>029/0064/A</t>
  </si>
  <si>
    <t>PARAISÓPOLIS/ANTONICO</t>
  </si>
  <si>
    <t>CARLOS EDUARDO DINIZ VILAR</t>
  </si>
  <si>
    <t>029/0069/B</t>
  </si>
  <si>
    <t>RITA DE CÁCIA VILAR</t>
  </si>
  <si>
    <t>029/0036/F</t>
  </si>
  <si>
    <t>031/0028/D</t>
  </si>
  <si>
    <t>MARIA RANIELE DE SOUZA DINIZ</t>
  </si>
  <si>
    <t>029/0039/B</t>
  </si>
  <si>
    <t>029/0067/A</t>
  </si>
  <si>
    <t> MARIA AURIVÂNIA DINIZ DA SILVA</t>
  </si>
  <si>
    <t>029/0045/A</t>
  </si>
  <si>
    <t>ANALIA SENHORINHA DE OLIVEIRA</t>
  </si>
  <si>
    <t>029/0061/A</t>
  </si>
  <si>
    <t>029/0070/C</t>
  </si>
  <si>
    <t>ADRIANO MARTINS LUIZ</t>
  </si>
  <si>
    <t>ROSALINA SILVA OLIVEIRA</t>
  </si>
  <si>
    <t>029/0064/F</t>
  </si>
  <si>
    <t>029/0070/B</t>
  </si>
  <si>
    <t>DAVID DOUGLAS ROCHA ARAUJO</t>
  </si>
  <si>
    <t xml:space="preserve">THALLYS RODRIGUES MARTIM MACIEL DA CONCEIÇÃO </t>
  </si>
  <si>
    <t>029/0066/B</t>
  </si>
  <si>
    <t>031/0035/A</t>
  </si>
  <si>
    <t>029/0067/F</t>
  </si>
  <si>
    <t>031/0067/B</t>
  </si>
  <si>
    <t>029/0069/C</t>
  </si>
  <si>
    <t>033/0016/C</t>
  </si>
  <si>
    <t>029/0071/D</t>
  </si>
  <si>
    <t>031/0058/A</t>
  </si>
  <si>
    <t>029/0071/E</t>
  </si>
  <si>
    <t>029/0080/E</t>
  </si>
  <si>
    <t>031/0067/A</t>
  </si>
  <si>
    <t>031/0028/L</t>
  </si>
  <si>
    <t>029/0083/A</t>
  </si>
  <si>
    <t>DENISE SILVA COSTA</t>
  </si>
  <si>
    <t>029/0085/G</t>
  </si>
  <si>
    <t>ALEANE DOS SANTOS DE PAULA</t>
  </si>
  <si>
    <t>029/0086/B</t>
  </si>
  <si>
    <t>031/0025/A</t>
  </si>
  <si>
    <t>LARISSA MONIQUE LEITE</t>
  </si>
  <si>
    <t>031/0004/C</t>
  </si>
  <si>
    <t>VANDERLEIA FERREIRA DA CRUZ</t>
  </si>
  <si>
    <t>031/0014/A</t>
  </si>
  <si>
    <t>ANA CLÁUDIA RODRIGUES DE SOUSA</t>
  </si>
  <si>
    <t>031/0015/D</t>
  </si>
  <si>
    <t>VITOR TRINDADE ROCHA</t>
  </si>
  <si>
    <t>031/0020/B</t>
  </si>
  <si>
    <t>MIRIAM CAMILO DE ANDRADE</t>
  </si>
  <si>
    <t>ALEX JESUS DE SOUSA</t>
  </si>
  <si>
    <t>031/0022/B</t>
  </si>
  <si>
    <t>033/0029/B</t>
  </si>
  <si>
    <t>CARLOS SANTOS CASTRO</t>
  </si>
  <si>
    <t>ANA CLAUDIA MARCIANO</t>
  </si>
  <si>
    <t>031/0033/E</t>
  </si>
  <si>
    <t>ANDRÉ LUIS DOS SANTOS</t>
  </si>
  <si>
    <t>GLÓRIA DE FÁTIMA SANTOS MATOS</t>
  </si>
  <si>
    <t>DANIELLA DO NASCIMENTO JESUS</t>
  </si>
  <si>
    <t>GIRLENE PEREIRA DO NASCIMENTO</t>
  </si>
  <si>
    <t>033/0030/A</t>
  </si>
  <si>
    <t>AMANDA MARIA ALVES DA SILVA</t>
  </si>
  <si>
    <t>FRANCISCA GABRIELA DE SOUZA</t>
  </si>
  <si>
    <t>EDUARDA DE SOUSA SILVA</t>
  </si>
  <si>
    <t>031/0035/B</t>
  </si>
  <si>
    <t>FRANCISCO MARCIO VIEIRA DO NASCIMENTO</t>
  </si>
  <si>
    <t>DESIRÉE SANTOS DE MOURA</t>
  </si>
  <si>
    <t>SILVIO IGOR DOS SANTOS COSTA</t>
  </si>
  <si>
    <t>FABIOLA SILVA DE MELO</t>
  </si>
  <si>
    <t>LUIS GUSTAVO COUTINHO DOS SANTOS</t>
  </si>
  <si>
    <t>EDCARLOS BATISTA LIMA</t>
  </si>
  <si>
    <t>LUCILENE DOS SANTOS SILVA</t>
  </si>
  <si>
    <t>JOSILENE MARIA NASCIMENTO DA SILVA</t>
  </si>
  <si>
    <t>MARIA IRENE DA SILVA</t>
  </si>
  <si>
    <t>FRANCISCA DAS CHAGAS SOARES</t>
  </si>
  <si>
    <t>MARIA CÉLIA DA SILVA</t>
  </si>
  <si>
    <t>JOSEFA PEREIRA DE ARAÚJO CRUZ</t>
  </si>
  <si>
    <t>FRANCISCO DAS CHAGAS CASTRO</t>
  </si>
  <si>
    <t>MÁRCIO GOMES DA MOTA</t>
  </si>
  <si>
    <t>DANIELLE PATRICIA ALVES</t>
  </si>
  <si>
    <t>ISAILMA SILVA SOUZA</t>
  </si>
  <si>
    <t>RENATO FERNANDES DA SILVA</t>
  </si>
  <si>
    <t>CLÉIA DAMASCENO</t>
  </si>
  <si>
    <t>LUCIANA PEREIRA DE SOUZA</t>
  </si>
  <si>
    <t>FERNANDO ARAUJO DA SILVA</t>
  </si>
  <si>
    <t>MARIA ANTONIA CARVALHO SAMPAIO SANTOS</t>
  </si>
  <si>
    <t>CARLOS DA SILVA BARBOSA</t>
  </si>
  <si>
    <t>DIRCEU DA SILVA BARBOSA</t>
  </si>
  <si>
    <t>JADI DE JESUS SILVA</t>
  </si>
  <si>
    <t>DAMIÃO DOS SANTOS MEDEIROS</t>
  </si>
  <si>
    <t>JOSÉ GERALDO CARLOS DOS SANTOS</t>
  </si>
  <si>
    <t>SILVANEIDE DE LIMA SOUZA</t>
  </si>
  <si>
    <t>GABRIELA DAS DORES NASCIMENTO DE JESUS</t>
  </si>
  <si>
    <t>SAMANTHA DAS DORES OLIVEIRA</t>
  </si>
  <si>
    <t>JAÍLSON ALVES TELES</t>
  </si>
  <si>
    <t>CAMILA BERNARDO DA CRUZ SILVA</t>
  </si>
  <si>
    <t>NATÁLIA DE ALMEIDA DE BARROS</t>
  </si>
  <si>
    <t>ALEXANDRE DOS SANTOS RIBEIRO</t>
  </si>
  <si>
    <t>DANIELA GOMES DE CARVALHO</t>
  </si>
  <si>
    <t>QUEZIANE ALVES DO NASCIMENTO</t>
  </si>
  <si>
    <t>VIVIANE DA SILVA ALMEIDA</t>
  </si>
  <si>
    <t>ANTONIA CAMILA CASSIMIRO BARBOSA</t>
  </si>
  <si>
    <t>DAMARYS BRITO DA SILVA</t>
  </si>
  <si>
    <t>GISELY MAIANA DE OLIVEIRA SANTOS</t>
  </si>
  <si>
    <t>LINA MARIA DA CONCEIÇÃO DE SOUSA</t>
  </si>
  <si>
    <t>VÂNIA DE OLIVEIRA</t>
  </si>
  <si>
    <t>MARISVALDO DE JESUS PEREIRA</t>
  </si>
  <si>
    <t>INGRIDES MORAIS DE ARAUJO FERNANDES</t>
  </si>
  <si>
    <t>JOSÉ VALDI DO NASCIMENTO</t>
  </si>
  <si>
    <t>VIVIANA SOARES DE PASSOS</t>
  </si>
  <si>
    <t>JULIANA SANTOS DA SILVA</t>
  </si>
  <si>
    <t>MARCOS VINICIUS ALMEIDA SANTANA SANTOS</t>
  </si>
  <si>
    <t>MARIA JOSE JULIÃO DOS SANTOS</t>
  </si>
  <si>
    <t>LEONARDO SILVA SANTOS</t>
  </si>
  <si>
    <t>DEBORA JESUS DE ARAUJO</t>
  </si>
  <si>
    <t>CONTROLE INDENIZAÇÃO FASE 2</t>
  </si>
  <si>
    <t>PROCESSOS FINALIZADOS</t>
  </si>
  <si>
    <t>PROCESSOS EM ANDAMENTO</t>
  </si>
  <si>
    <t>TOTAL</t>
  </si>
  <si>
    <t>CONTROLE INDENIZAÇÃO FASE 4</t>
  </si>
  <si>
    <t>TOTAL ANTONICO</t>
  </si>
  <si>
    <t>CONTROLE INDENIZAÇÃO COLOMBO</t>
  </si>
  <si>
    <t>CEU IMPERADOR</t>
  </si>
  <si>
    <t>001/0001/A</t>
  </si>
  <si>
    <t>MARIA JOSÉ DA SILVA DE SOUZA</t>
  </si>
  <si>
    <t>033.344.514-70</t>
  </si>
  <si>
    <t>6014.2023/0002750-0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</si>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</sst>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</numFmts>
  <fonts count="5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</font>
    <font>
      <b/>
      <sz val="11"/>
      <color rgb="FF000000"/>
      <name val="Arial"/>
    </font>
    <font>
      <b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</font>
    <font>
      <b/>
      <sz val="8"/>
      <color rgb="FF000000"/>
      <name val="Arial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sz val="9"/>
      <color indexed="8"/>
      <name val="Arial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6"/>
      <color theme="0"/>
      <name val="Arial"/>
    </font>
    <font>
      <b/>
      <sz val="10"/>
      <name val="Arial"/>
    </font>
    <font>
      <sz val="9"/>
      <color theme="1"/>
      <name val="Calibri"/>
      <family val="2"/>
      <scheme val="minor"/>
    </font>
    <font>
      <sz val="9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0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9" fillId="21" borderId="10" xfId="0" applyFont="1" applyFill="1" applyBorder="1" applyAlignment="1">
      <alignment horizontal="center" vertical="center"/>
    </xf>
    <xf numFmtId="0" fontId="30" fillId="12" borderId="0" xfId="0" applyFont="1" applyFill="1" applyAlignment="1">
      <alignment vertical="center"/>
    </xf>
    <xf numFmtId="0" fontId="31" fillId="12" borderId="0" xfId="0" applyFont="1" applyFill="1" applyAlignment="1">
      <alignment vertical="center"/>
    </xf>
    <xf numFmtId="0" fontId="31" fillId="12" borderId="0" xfId="0" applyFont="1" applyFill="1" applyAlignment="1">
      <alignment horizontal="center" vertical="center"/>
    </xf>
    <xf numFmtId="165" fontId="30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30" fillId="12" borderId="9" xfId="0" applyFont="1" applyFill="1" applyBorder="1" applyAlignment="1">
      <alignment vertical="center"/>
    </xf>
    <xf numFmtId="0" fontId="30" fillId="12" borderId="0" xfId="0" applyFont="1" applyFill="1" applyAlignment="1">
      <alignment horizontal="center" vertical="center"/>
    </xf>
    <xf numFmtId="0" fontId="31" fillId="12" borderId="9" xfId="0" applyFont="1" applyFill="1" applyBorder="1" applyAlignment="1">
      <alignment vertical="center"/>
    </xf>
    <xf numFmtId="0" fontId="0" fillId="12" borderId="0" xfId="0" applyFill="1" applyAlignment="1">
      <alignment horizontal="center"/>
    </xf>
    <xf numFmtId="165" fontId="30" fillId="12" borderId="9" xfId="0" applyNumberFormat="1" applyFont="1" applyFill="1" applyBorder="1" applyAlignment="1">
      <alignment vertical="center"/>
    </xf>
    <xf numFmtId="165" fontId="30" fillId="12" borderId="0" xfId="0" applyNumberFormat="1" applyFont="1" applyFill="1" applyAlignment="1">
      <alignment vertical="center"/>
    </xf>
    <xf numFmtId="165" fontId="30" fillId="20" borderId="0" xfId="0" applyNumberFormat="1" applyFont="1" applyFill="1" applyAlignment="1">
      <alignment vertical="center"/>
    </xf>
    <xf numFmtId="0" fontId="33" fillId="20" borderId="0" xfId="0" applyFont="1" applyFill="1" applyAlignment="1">
      <alignment vertical="center"/>
    </xf>
    <xf numFmtId="0" fontId="0" fillId="20" borderId="0" xfId="0" applyFill="1" applyAlignment="1">
      <alignment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34" fillId="21" borderId="10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9" fillId="0" borderId="16" xfId="0" applyFont="1" applyBorder="1"/>
    <xf numFmtId="0" fontId="32" fillId="0" borderId="9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8" fillId="11" borderId="20" xfId="1" applyFont="1" applyFill="1" applyBorder="1" applyAlignment="1">
      <alignment horizontal="center" vertical="center" wrapText="1"/>
    </xf>
    <xf numFmtId="0" fontId="38" fillId="17" borderId="19" xfId="0" applyFont="1" applyFill="1" applyBorder="1" applyAlignment="1">
      <alignment horizontal="center" vertical="center" wrapText="1"/>
    </xf>
    <xf numFmtId="0" fontId="38" fillId="17" borderId="20" xfId="0" applyFont="1" applyFill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66" fontId="40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11" borderId="11" xfId="1" applyNumberFormat="1" applyFont="1" applyFill="1" applyBorder="1" applyAlignment="1">
      <alignment horizontal="center" vertical="center" wrapText="1"/>
    </xf>
    <xf numFmtId="0" fontId="44" fillId="11" borderId="11" xfId="1" applyFont="1" applyFill="1" applyBorder="1" applyAlignment="1">
      <alignment horizontal="center" vertical="center" wrapText="1"/>
    </xf>
    <xf numFmtId="0" fontId="44" fillId="11" borderId="11" xfId="0" applyFont="1" applyFill="1" applyBorder="1" applyAlignment="1">
      <alignment horizontal="center" vertical="center" wrapText="1"/>
    </xf>
    <xf numFmtId="166" fontId="44" fillId="11" borderId="11" xfId="0" applyNumberFormat="1" applyFont="1" applyFill="1" applyBorder="1" applyAlignment="1">
      <alignment horizontal="center" vertical="center" wrapText="1"/>
    </xf>
    <xf numFmtId="166" fontId="44" fillId="16" borderId="11" xfId="0" applyNumberFormat="1" applyFont="1" applyFill="1" applyBorder="1" applyAlignment="1">
      <alignment horizontal="center" vertical="center" wrapText="1"/>
    </xf>
    <xf numFmtId="0" fontId="44" fillId="16" borderId="11" xfId="0" applyFont="1" applyFill="1" applyBorder="1" applyAlignment="1">
      <alignment horizontal="center" vertical="center" wrapText="1"/>
    </xf>
    <xf numFmtId="0" fontId="44" fillId="17" borderId="11" xfId="0" applyFont="1" applyFill="1" applyBorder="1" applyAlignment="1">
      <alignment horizontal="center" vertical="center" wrapText="1"/>
    </xf>
    <xf numFmtId="0" fontId="44" fillId="17" borderId="11" xfId="1" applyFont="1" applyFill="1" applyBorder="1" applyAlignment="1">
      <alignment horizontal="center" vertical="center" wrapText="1"/>
    </xf>
    <xf numFmtId="0" fontId="44" fillId="17" borderId="14" xfId="0" applyFont="1" applyFill="1" applyBorder="1" applyAlignment="1">
      <alignment horizontal="center" vertical="center" wrapText="1"/>
    </xf>
    <xf numFmtId="0" fontId="44" fillId="18" borderId="12" xfId="0" applyFont="1" applyFill="1" applyBorder="1" applyAlignment="1">
      <alignment horizontal="center" vertical="center"/>
    </xf>
    <xf numFmtId="0" fontId="44" fillId="18" borderId="14" xfId="0" applyFont="1" applyFill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166" fontId="39" fillId="0" borderId="17" xfId="0" applyNumberFormat="1" applyFont="1" applyBorder="1" applyAlignment="1">
      <alignment horizontal="center" vertical="center"/>
    </xf>
    <xf numFmtId="166" fontId="39" fillId="11" borderId="17" xfId="0" applyNumberFormat="1" applyFont="1" applyFill="1" applyBorder="1" applyAlignment="1">
      <alignment horizontal="center" vertical="center"/>
    </xf>
    <xf numFmtId="0" fontId="39" fillId="11" borderId="17" xfId="0" applyFont="1" applyFill="1" applyBorder="1" applyAlignment="1">
      <alignment horizontal="center" vertical="center"/>
    </xf>
    <xf numFmtId="1" fontId="39" fillId="0" borderId="17" xfId="0" applyNumberFormat="1" applyFont="1" applyBorder="1" applyAlignment="1">
      <alignment horizontal="center" vertical="center"/>
    </xf>
    <xf numFmtId="166" fontId="40" fillId="0" borderId="17" xfId="0" applyNumberFormat="1" applyFont="1" applyBorder="1" applyAlignment="1">
      <alignment horizontal="center" vertical="center"/>
    </xf>
    <xf numFmtId="0" fontId="40" fillId="11" borderId="17" xfId="0" applyFont="1" applyFill="1" applyBorder="1" applyAlignment="1">
      <alignment horizontal="center" vertical="center"/>
    </xf>
    <xf numFmtId="0" fontId="43" fillId="23" borderId="17" xfId="0" applyFont="1" applyFill="1" applyBorder="1" applyAlignment="1">
      <alignment horizontal="center" vertical="center"/>
    </xf>
    <xf numFmtId="14" fontId="39" fillId="0" borderId="17" xfId="0" applyNumberFormat="1" applyFont="1" applyBorder="1" applyAlignment="1">
      <alignment horizontal="center" vertical="center"/>
    </xf>
    <xf numFmtId="166" fontId="39" fillId="23" borderId="17" xfId="0" applyNumberFormat="1" applyFont="1" applyFill="1" applyBorder="1" applyAlignment="1">
      <alignment horizontal="center" vertical="center"/>
    </xf>
    <xf numFmtId="0" fontId="39" fillId="23" borderId="17" xfId="0" applyFont="1" applyFill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0" fontId="40" fillId="24" borderId="17" xfId="0" applyFont="1" applyFill="1" applyBorder="1" applyAlignment="1">
      <alignment horizontal="center" vertical="center"/>
    </xf>
    <xf numFmtId="166" fontId="40" fillId="0" borderId="8" xfId="0" applyNumberFormat="1" applyFont="1" applyBorder="1" applyAlignment="1">
      <alignment horizontal="center" vertical="center"/>
    </xf>
    <xf numFmtId="166" fontId="40" fillId="0" borderId="7" xfId="0" applyNumberFormat="1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167" fontId="40" fillId="0" borderId="0" xfId="0" applyNumberFormat="1" applyFont="1" applyAlignment="1">
      <alignment horizontal="center" vertical="center"/>
    </xf>
    <xf numFmtId="0" fontId="44" fillId="25" borderId="14" xfId="0" applyFont="1" applyFill="1" applyBorder="1" applyAlignment="1">
      <alignment horizontal="center" vertical="center"/>
    </xf>
    <xf numFmtId="167" fontId="39" fillId="0" borderId="17" xfId="0" applyNumberFormat="1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 wrapText="1"/>
    </xf>
    <xf numFmtId="0" fontId="46" fillId="0" borderId="9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/>
    </xf>
    <xf numFmtId="0" fontId="40" fillId="22" borderId="17" xfId="0" applyFont="1" applyFill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 wrapText="1"/>
    </xf>
    <xf numFmtId="0" fontId="50" fillId="0" borderId="17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167" fontId="44" fillId="25" borderId="14" xfId="0" applyNumberFormat="1" applyFont="1" applyFill="1" applyBorder="1" applyAlignment="1">
      <alignment horizontal="center" vertical="center" wrapText="1"/>
    </xf>
    <xf numFmtId="167" fontId="44" fillId="25" borderId="14" xfId="0" applyNumberFormat="1" applyFont="1" applyFill="1" applyBorder="1" applyAlignment="1">
      <alignment horizontal="center" vertical="center"/>
    </xf>
    <xf numFmtId="0" fontId="44" fillId="25" borderId="14" xfId="0" applyFont="1" applyFill="1" applyBorder="1" applyAlignment="1">
      <alignment horizontal="center" vertical="center" wrapText="1"/>
    </xf>
    <xf numFmtId="8" fontId="50" fillId="0" borderId="17" xfId="0" applyNumberFormat="1" applyFont="1" applyBorder="1" applyAlignment="1">
      <alignment horizontal="center" vertical="center"/>
    </xf>
    <xf numFmtId="0" fontId="39" fillId="27" borderId="17" xfId="0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166" fontId="48" fillId="0" borderId="9" xfId="0" applyNumberFormat="1" applyFont="1" applyBorder="1" applyAlignment="1">
      <alignment horizontal="center" vertical="center"/>
    </xf>
    <xf numFmtId="49" fontId="39" fillId="23" borderId="17" xfId="0" applyNumberFormat="1" applyFont="1" applyFill="1" applyBorder="1" applyAlignment="1">
      <alignment horizontal="center" vertical="center"/>
    </xf>
    <xf numFmtId="0" fontId="49" fillId="23" borderId="17" xfId="0" applyFont="1" applyFill="1" applyBorder="1" applyAlignment="1">
      <alignment horizontal="center" vertical="center" wrapText="1"/>
    </xf>
    <xf numFmtId="0" fontId="49" fillId="23" borderId="17" xfId="0" applyFont="1" applyFill="1" applyBorder="1" applyAlignment="1">
      <alignment horizontal="center" vertical="center"/>
    </xf>
    <xf numFmtId="0" fontId="53" fillId="0" borderId="0" xfId="0" applyFont="1"/>
    <xf numFmtId="0" fontId="32" fillId="23" borderId="15" xfId="0" applyFont="1" applyFill="1" applyBorder="1" applyAlignment="1">
      <alignment horizontal="center" vertical="center"/>
    </xf>
    <xf numFmtId="0" fontId="54" fillId="0" borderId="15" xfId="0" applyFont="1" applyBorder="1" applyAlignment="1">
      <alignment horizontal="center" vertical="center" wrapText="1"/>
    </xf>
    <xf numFmtId="0" fontId="54" fillId="0" borderId="15" xfId="0" applyFont="1" applyBorder="1" applyAlignment="1">
      <alignment horizontal="center" vertical="center"/>
    </xf>
    <xf numFmtId="0" fontId="32" fillId="23" borderId="9" xfId="0" applyFont="1" applyFill="1" applyBorder="1" applyAlignment="1">
      <alignment horizontal="center" vertical="center"/>
    </xf>
    <xf numFmtId="0" fontId="54" fillId="0" borderId="9" xfId="0" applyFont="1" applyBorder="1" applyAlignment="1">
      <alignment horizontal="center" vertical="center" wrapText="1"/>
    </xf>
    <xf numFmtId="166" fontId="32" fillId="0" borderId="9" xfId="0" applyNumberFormat="1" applyFont="1" applyBorder="1" applyAlignment="1">
      <alignment horizontal="center" vertical="center"/>
    </xf>
    <xf numFmtId="166" fontId="48" fillId="0" borderId="15" xfId="0" applyNumberFormat="1" applyFont="1" applyBorder="1" applyAlignment="1">
      <alignment horizontal="center" vertical="center"/>
    </xf>
    <xf numFmtId="0" fontId="52" fillId="28" borderId="11" xfId="1" applyFont="1" applyFill="1" applyBorder="1" applyAlignment="1">
      <alignment horizontal="center" vertical="center" wrapText="1"/>
    </xf>
    <xf numFmtId="0" fontId="52" fillId="28" borderId="11" xfId="0" applyFont="1" applyFill="1" applyBorder="1" applyAlignment="1">
      <alignment horizontal="center" vertical="center" wrapText="1"/>
    </xf>
    <xf numFmtId="0" fontId="52" fillId="28" borderId="14" xfId="0" applyFont="1" applyFill="1" applyBorder="1" applyAlignment="1">
      <alignment horizontal="center" vertical="center" wrapText="1"/>
    </xf>
    <xf numFmtId="0" fontId="51" fillId="26" borderId="22" xfId="0" applyFont="1" applyFill="1" applyBorder="1" applyAlignment="1">
      <alignment horizontal="center" vertical="center" wrapText="1"/>
    </xf>
    <xf numFmtId="0" fontId="51" fillId="26" borderId="23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51" fillId="15" borderId="12" xfId="47" applyNumberFormat="1" applyFont="1" applyFill="1" applyBorder="1" applyAlignment="1">
      <alignment horizontal="center" vertical="center" wrapText="1"/>
    </xf>
    <xf numFmtId="166" fontId="51" fillId="15" borderId="12" xfId="47" applyNumberFormat="1" applyFont="1" applyFill="1" applyBorder="1" applyAlignment="1">
      <alignment horizontal="center" vertical="center" wrapText="1"/>
    </xf>
    <xf numFmtId="0" fontId="51" fillId="15" borderId="13" xfId="47" applyNumberFormat="1" applyFont="1" applyFill="1" applyBorder="1" applyAlignment="1">
      <alignment horizontal="center" vertical="center" wrapText="1"/>
    </xf>
    <xf numFmtId="0" fontId="51" fillId="14" borderId="11" xfId="47" applyNumberFormat="1" applyFont="1" applyFill="1" applyBorder="1" applyAlignment="1">
      <alignment horizontal="center" vertical="center" wrapText="1"/>
    </xf>
    <xf numFmtId="0" fontId="51" fillId="14" borderId="12" xfId="47" applyNumberFormat="1" applyFont="1" applyFill="1" applyBorder="1" applyAlignment="1">
      <alignment horizontal="center" vertical="center" wrapText="1"/>
    </xf>
    <xf numFmtId="166" fontId="51" fillId="14" borderId="13" xfId="47" applyNumberFormat="1" applyFont="1" applyFill="1" applyBorder="1" applyAlignment="1">
      <alignment horizontal="center" vertical="center" wrapText="1"/>
    </xf>
    <xf numFmtId="0" fontId="51" fillId="13" borderId="12" xfId="47" applyNumberFormat="1" applyFont="1" applyFill="1" applyBorder="1" applyAlignment="1">
      <alignment horizontal="center" vertical="center" wrapText="1"/>
    </xf>
    <xf numFmtId="0" fontId="51" fillId="19" borderId="11" xfId="0" applyFont="1" applyFill="1" applyBorder="1" applyAlignment="1">
      <alignment horizontal="center" vertical="center" wrapText="1"/>
    </xf>
    <xf numFmtId="0" fontId="51" fillId="19" borderId="13" xfId="0" applyFont="1" applyFill="1" applyBorder="1" applyAlignment="1">
      <alignment horizontal="center" vertical="center" wrapText="1"/>
    </xf>
    <xf numFmtId="0" fontId="30" fillId="12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36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FA69"/>
      <color rgb="FFFF999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/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7855"/>
  <sheetViews>
    <sheetView showGridLines="0" tabSelected="1" topLeftCell="A10" zoomScale="85" zoomScaleNormal="85" workbookViewId="0">
      <pane xSplit="6" ySplit="4" topLeftCell="BF14" activePane="bottomRight" state="frozen"/>
      <selection pane="bottomRight" activeCell="BH20" sqref="BH20"/>
      <selection pane="bottomLeft"/>
      <selection pane="topRight"/>
    </sheetView>
  </sheetViews>
  <sheetFormatPr defaultColWidth="9.140625" defaultRowHeight="30" customHeight="1"/>
  <cols>
    <col min="1" max="1" width="10" style="129" bestFit="1" customWidth="1"/>
    <col min="2" max="2" width="31.28515625" style="130" bestFit="1" customWidth="1"/>
    <col min="3" max="3" width="9.85546875" style="130" bestFit="1" customWidth="1"/>
    <col min="4" max="4" width="16.28515625" style="130" bestFit="1" customWidth="1"/>
    <col min="5" max="5" width="18" style="130" bestFit="1" customWidth="1"/>
    <col min="6" max="6" width="15.85546875" style="131" bestFit="1" customWidth="1"/>
    <col min="7" max="7" width="37.85546875" style="130" bestFit="1" customWidth="1"/>
    <col min="8" max="8" width="22.85546875" style="130" bestFit="1" customWidth="1"/>
    <col min="9" max="9" width="38.7109375" style="130" bestFit="1" customWidth="1"/>
    <col min="10" max="10" width="70.28515625" style="131" bestFit="1" customWidth="1"/>
    <col min="11" max="11" width="20.7109375" style="131" bestFit="1" customWidth="1"/>
    <col min="12" max="12" width="18.7109375" style="131" bestFit="1" customWidth="1"/>
    <col min="13" max="13" width="35.42578125" style="130" bestFit="1" customWidth="1"/>
    <col min="14" max="14" width="51.85546875" style="130" bestFit="1" customWidth="1"/>
    <col min="15" max="15" width="32.28515625" style="159" bestFit="1" customWidth="1"/>
    <col min="16" max="16" width="53.5703125" style="132" bestFit="1" customWidth="1"/>
    <col min="17" max="17" width="43.5703125" style="132" bestFit="1" customWidth="1"/>
    <col min="18" max="18" width="49.7109375" style="132" bestFit="1" customWidth="1"/>
    <col min="19" max="19" width="42.42578125" style="132" bestFit="1" customWidth="1"/>
    <col min="20" max="20" width="46.7109375" style="132" bestFit="1" customWidth="1"/>
    <col min="21" max="21" width="42.42578125" style="132" bestFit="1" customWidth="1"/>
    <col min="22" max="22" width="27.5703125" style="132" bestFit="1" customWidth="1"/>
    <col min="23" max="23" width="30.5703125" style="132" bestFit="1" customWidth="1"/>
    <col min="24" max="24" width="39.140625" style="132" bestFit="1" customWidth="1"/>
    <col min="25" max="25" width="18.85546875" style="132" bestFit="1" customWidth="1"/>
    <col min="26" max="26" width="33.5703125" style="160" bestFit="1" customWidth="1"/>
    <col min="27" max="27" width="101.140625" style="130" bestFit="1" customWidth="1"/>
    <col min="28" max="28" width="59.5703125" style="131" bestFit="1" customWidth="1"/>
    <col min="29" max="29" width="17.28515625" style="131" bestFit="1" customWidth="1"/>
    <col min="30" max="30" width="18.85546875" style="131" bestFit="1" customWidth="1"/>
    <col min="31" max="31" width="40.28515625" style="130" bestFit="1" customWidth="1"/>
    <col min="32" max="32" width="31.7109375" style="131" bestFit="1" customWidth="1"/>
    <col min="33" max="33" width="34.7109375" style="131" bestFit="1" customWidth="1"/>
    <col min="34" max="34" width="53.5703125" style="130" bestFit="1" customWidth="1"/>
    <col min="35" max="35" width="38" style="130" bestFit="1" customWidth="1"/>
    <col min="36" max="36" width="34.5703125" style="130" bestFit="1" customWidth="1"/>
    <col min="37" max="37" width="69.28515625" style="130" bestFit="1" customWidth="1"/>
    <col min="38" max="38" width="14.85546875" style="130" bestFit="1" customWidth="1"/>
    <col min="39" max="39" width="57.28515625" style="130" bestFit="1" customWidth="1"/>
    <col min="40" max="40" width="65.140625" style="130" bestFit="1" customWidth="1"/>
    <col min="41" max="41" width="37.7109375" style="131" bestFit="1" customWidth="1"/>
    <col min="42" max="42" width="101.7109375" style="130" bestFit="1" customWidth="1"/>
    <col min="43" max="43" width="30" style="130" bestFit="1" customWidth="1"/>
    <col min="44" max="44" width="75.140625" style="130" bestFit="1" customWidth="1"/>
    <col min="45" max="45" width="47.28515625" style="130" bestFit="1" customWidth="1"/>
    <col min="46" max="46" width="61.7109375" style="130" bestFit="1" customWidth="1"/>
    <col min="47" max="47" width="41.5703125" style="130" bestFit="1" customWidth="1"/>
    <col min="48" max="48" width="43" style="130" bestFit="1" customWidth="1"/>
    <col min="49" max="49" width="31.28515625" style="130" bestFit="1" customWidth="1"/>
    <col min="50" max="50" width="37.42578125" style="130" bestFit="1" customWidth="1"/>
    <col min="51" max="51" width="33.5703125" style="161" bestFit="1" customWidth="1"/>
    <col min="52" max="52" width="34.140625" style="161" bestFit="1" customWidth="1"/>
    <col min="53" max="53" width="61.5703125" style="161" bestFit="1" customWidth="1"/>
    <col min="54" max="54" width="18.140625" style="161" bestFit="1" customWidth="1"/>
    <col min="55" max="55" width="21.42578125" style="130" customWidth="1"/>
    <col min="56" max="56" width="36.5703125" style="130" bestFit="1" customWidth="1"/>
    <col min="57" max="57" width="36.5703125" style="130" customWidth="1"/>
    <col min="58" max="58" width="37" style="162" bestFit="1" customWidth="1"/>
    <col min="59" max="59" width="24.85546875" style="162" bestFit="1" customWidth="1"/>
    <col min="60" max="60" width="50.7109375" style="130" bestFit="1" customWidth="1"/>
    <col min="61" max="61" width="43.140625" style="130" bestFit="1" customWidth="1"/>
    <col min="62" max="62" width="22.7109375" style="130" bestFit="1" customWidth="1"/>
    <col min="63" max="63" width="47.85546875" style="130" bestFit="1" customWidth="1"/>
    <col min="64" max="64" width="40.42578125" style="130" bestFit="1" customWidth="1"/>
    <col min="65" max="103" width="9.140625" style="130" bestFit="1" customWidth="1"/>
    <col min="104" max="16384" width="9.140625" style="130"/>
  </cols>
  <sheetData>
    <row r="1" spans="1:64" ht="30" customHeight="1">
      <c r="O1" s="132"/>
      <c r="Z1" s="132"/>
      <c r="AY1" s="130"/>
      <c r="AZ1" s="130"/>
      <c r="BA1" s="130"/>
      <c r="BB1" s="130"/>
    </row>
    <row r="2" spans="1:64" ht="30" customHeight="1">
      <c r="O2" s="132"/>
      <c r="Z2" s="132"/>
      <c r="AY2" s="130"/>
      <c r="AZ2" s="130"/>
      <c r="BA2" s="130"/>
      <c r="BB2" s="130"/>
    </row>
    <row r="3" spans="1:64" ht="30" customHeight="1">
      <c r="C3" s="130">
        <v>2</v>
      </c>
      <c r="D3" s="130" t="s">
        <v>0</v>
      </c>
      <c r="G3" s="130" t="s">
        <v>1</v>
      </c>
      <c r="H3" s="130" t="s">
        <v>2</v>
      </c>
      <c r="I3" s="130" t="s">
        <v>3</v>
      </c>
      <c r="M3" s="130" t="s">
        <v>4</v>
      </c>
      <c r="N3" s="130" t="s">
        <v>5</v>
      </c>
      <c r="O3" s="132"/>
      <c r="P3" s="132" t="s">
        <v>6</v>
      </c>
      <c r="R3" s="132" t="s">
        <v>6</v>
      </c>
      <c r="X3" s="132" t="s">
        <v>7</v>
      </c>
      <c r="Z3" s="132"/>
      <c r="AE3" s="130" t="s">
        <v>3</v>
      </c>
      <c r="AH3" s="130" t="s">
        <v>6</v>
      </c>
      <c r="AI3" s="130" t="s">
        <v>6</v>
      </c>
      <c r="AJ3" s="130" t="s">
        <v>4</v>
      </c>
      <c r="AL3" s="130" t="s">
        <v>8</v>
      </c>
      <c r="AM3" s="130" t="s">
        <v>9</v>
      </c>
      <c r="AY3" s="130"/>
      <c r="AZ3" s="130"/>
      <c r="BA3" s="130"/>
      <c r="BB3" s="130"/>
    </row>
    <row r="4" spans="1:64" ht="30" customHeight="1">
      <c r="C4" s="130">
        <v>4</v>
      </c>
      <c r="G4" s="130" t="s">
        <v>10</v>
      </c>
      <c r="H4" s="130" t="s">
        <v>11</v>
      </c>
      <c r="I4" s="130" t="s">
        <v>12</v>
      </c>
      <c r="M4" s="130" t="s">
        <v>13</v>
      </c>
      <c r="N4" s="130" t="s">
        <v>14</v>
      </c>
      <c r="O4" s="132"/>
      <c r="P4" s="132" t="s">
        <v>15</v>
      </c>
      <c r="R4" s="132" t="s">
        <v>15</v>
      </c>
      <c r="Z4" s="132"/>
      <c r="AE4" s="130" t="s">
        <v>12</v>
      </c>
      <c r="AH4" s="130" t="s">
        <v>16</v>
      </c>
      <c r="AI4" s="130" t="s">
        <v>15</v>
      </c>
      <c r="AJ4" s="130" t="s">
        <v>13</v>
      </c>
      <c r="AL4" s="130" t="s">
        <v>17</v>
      </c>
      <c r="AM4" s="130" t="s">
        <v>18</v>
      </c>
      <c r="AY4" s="130"/>
      <c r="AZ4" s="130"/>
      <c r="BA4" s="130"/>
      <c r="BB4" s="130"/>
    </row>
    <row r="5" spans="1:64" ht="30" customHeight="1">
      <c r="G5" s="130" t="s">
        <v>19</v>
      </c>
      <c r="H5" s="133" t="s">
        <v>20</v>
      </c>
      <c r="I5" s="130" t="s">
        <v>21</v>
      </c>
      <c r="N5" s="130" t="s">
        <v>22</v>
      </c>
      <c r="O5" s="132"/>
      <c r="Z5" s="132"/>
      <c r="AH5" s="130" t="s">
        <v>23</v>
      </c>
      <c r="AI5" s="130" t="s">
        <v>24</v>
      </c>
      <c r="AM5" s="130" t="s">
        <v>25</v>
      </c>
      <c r="AY5" s="130"/>
      <c r="AZ5" s="130"/>
      <c r="BA5" s="130"/>
      <c r="BB5" s="130"/>
    </row>
    <row r="6" spans="1:64" ht="30" customHeight="1">
      <c r="G6" s="130" t="s">
        <v>26</v>
      </c>
      <c r="N6" s="130" t="s">
        <v>27</v>
      </c>
      <c r="O6" s="132"/>
      <c r="Z6" s="132"/>
      <c r="AH6" s="130" t="s">
        <v>28</v>
      </c>
      <c r="AI6" s="130" t="s">
        <v>17</v>
      </c>
      <c r="AM6" s="130" t="s">
        <v>29</v>
      </c>
      <c r="AY6" s="130"/>
      <c r="AZ6" s="130"/>
      <c r="BA6" s="130"/>
      <c r="BB6" s="130"/>
    </row>
    <row r="7" spans="1:64" ht="30" customHeight="1">
      <c r="G7" s="130" t="s">
        <v>30</v>
      </c>
      <c r="O7" s="132"/>
      <c r="Z7" s="132"/>
      <c r="AY7" s="130"/>
      <c r="AZ7" s="130"/>
      <c r="BA7" s="130"/>
      <c r="BB7" s="130"/>
    </row>
    <row r="8" spans="1:64" ht="30" customHeight="1">
      <c r="G8" s="130" t="s">
        <v>31</v>
      </c>
      <c r="O8" s="132"/>
      <c r="Z8" s="132"/>
      <c r="AY8" s="130"/>
      <c r="AZ8" s="130"/>
      <c r="BA8" s="130"/>
      <c r="BB8" s="130"/>
    </row>
    <row r="9" spans="1:64" ht="30" customHeight="1">
      <c r="G9" s="130" t="s">
        <v>32</v>
      </c>
      <c r="O9" s="132"/>
      <c r="Z9" s="132"/>
      <c r="AY9" s="130"/>
      <c r="AZ9" s="130"/>
      <c r="BA9" s="130"/>
      <c r="BB9" s="130"/>
    </row>
    <row r="10" spans="1:64" ht="30" hidden="1" customHeight="1">
      <c r="O10" s="132"/>
      <c r="Z10" s="132"/>
      <c r="AP10" s="204"/>
      <c r="AQ10" s="204"/>
      <c r="AR10" s="204"/>
      <c r="AS10" s="204"/>
      <c r="AT10" s="204"/>
      <c r="AU10" s="131"/>
      <c r="AV10" s="131"/>
      <c r="AY10" s="130"/>
      <c r="AZ10" s="130"/>
      <c r="BA10" s="130"/>
      <c r="BB10" s="130"/>
    </row>
    <row r="11" spans="1:64" ht="30" hidden="1" customHeight="1">
      <c r="O11" s="132"/>
      <c r="Z11" s="132"/>
      <c r="AP11" s="131"/>
      <c r="AQ11" s="131"/>
      <c r="AR11" s="131"/>
      <c r="AS11" s="131"/>
      <c r="AT11" s="131"/>
      <c r="AU11" s="131"/>
      <c r="AV11" s="131"/>
      <c r="AY11" s="130"/>
      <c r="AZ11" s="130"/>
      <c r="BA11" s="130"/>
      <c r="BB11" s="130"/>
    </row>
    <row r="12" spans="1:64" s="178" customFormat="1" ht="30" customHeight="1">
      <c r="A12" s="208" t="s">
        <v>33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10"/>
      <c r="P12" s="205" t="s">
        <v>34</v>
      </c>
      <c r="Q12" s="205"/>
      <c r="R12" s="205"/>
      <c r="S12" s="205"/>
      <c r="T12" s="205"/>
      <c r="U12" s="206"/>
      <c r="V12" s="205"/>
      <c r="W12" s="205"/>
      <c r="X12" s="205"/>
      <c r="Y12" s="206"/>
      <c r="Z12" s="205"/>
      <c r="AA12" s="207"/>
      <c r="AB12" s="211" t="s">
        <v>35</v>
      </c>
      <c r="AC12" s="211"/>
      <c r="AD12" s="211"/>
      <c r="AE12" s="211"/>
      <c r="AF12" s="211"/>
      <c r="AG12" s="211"/>
      <c r="AH12" s="211"/>
      <c r="AI12" s="211"/>
      <c r="AJ12" s="211"/>
      <c r="AK12" s="211"/>
      <c r="AL12" s="211"/>
      <c r="AM12" s="211"/>
      <c r="AN12" s="211"/>
      <c r="AO12" s="211"/>
      <c r="AP12" s="211"/>
      <c r="AQ12" s="211"/>
      <c r="AR12" s="211"/>
      <c r="AS12" s="211"/>
      <c r="AT12" s="211"/>
      <c r="AU12" s="211"/>
      <c r="AV12" s="211"/>
      <c r="AW12" s="211"/>
      <c r="AX12" s="211"/>
      <c r="AY12" s="211"/>
      <c r="AZ12" s="211"/>
      <c r="BA12" s="212" t="s">
        <v>36</v>
      </c>
      <c r="BB12" s="213"/>
      <c r="BC12" s="202"/>
      <c r="BD12" s="203"/>
      <c r="BE12" s="203"/>
      <c r="BF12" s="203"/>
      <c r="BG12" s="203"/>
      <c r="BH12" s="203"/>
      <c r="BI12" s="203"/>
      <c r="BJ12" s="203"/>
      <c r="BK12" s="203"/>
      <c r="BL12" s="203"/>
    </row>
    <row r="13" spans="1:64" s="131" customFormat="1" ht="48" customHeight="1">
      <c r="A13" s="134" t="s">
        <v>37</v>
      </c>
      <c r="B13" s="135" t="s">
        <v>38</v>
      </c>
      <c r="C13" s="135" t="s">
        <v>39</v>
      </c>
      <c r="D13" s="135" t="s">
        <v>40</v>
      </c>
      <c r="E13" s="135" t="s">
        <v>41</v>
      </c>
      <c r="F13" s="135" t="s">
        <v>42</v>
      </c>
      <c r="G13" s="135" t="s">
        <v>43</v>
      </c>
      <c r="H13" s="135" t="s">
        <v>44</v>
      </c>
      <c r="I13" s="135" t="s">
        <v>45</v>
      </c>
      <c r="J13" s="136" t="s">
        <v>46</v>
      </c>
      <c r="K13" s="136" t="s">
        <v>47</v>
      </c>
      <c r="L13" s="136" t="s">
        <v>48</v>
      </c>
      <c r="M13" s="136" t="s">
        <v>49</v>
      </c>
      <c r="N13" s="136" t="s">
        <v>50</v>
      </c>
      <c r="O13" s="137" t="s">
        <v>51</v>
      </c>
      <c r="P13" s="138" t="s">
        <v>52</v>
      </c>
      <c r="Q13" s="138" t="s">
        <v>53</v>
      </c>
      <c r="R13" s="138" t="s">
        <v>54</v>
      </c>
      <c r="S13" s="138" t="s">
        <v>55</v>
      </c>
      <c r="T13" s="138" t="s">
        <v>56</v>
      </c>
      <c r="U13" s="138" t="s">
        <v>57</v>
      </c>
      <c r="V13" s="138" t="s">
        <v>58</v>
      </c>
      <c r="W13" s="138" t="s">
        <v>59</v>
      </c>
      <c r="X13" s="138" t="s">
        <v>60</v>
      </c>
      <c r="Y13" s="138" t="s">
        <v>61</v>
      </c>
      <c r="Z13" s="138" t="s">
        <v>62</v>
      </c>
      <c r="AA13" s="139" t="s">
        <v>63</v>
      </c>
      <c r="AB13" s="140" t="s">
        <v>64</v>
      </c>
      <c r="AC13" s="140" t="s">
        <v>47</v>
      </c>
      <c r="AD13" s="140" t="s">
        <v>48</v>
      </c>
      <c r="AE13" s="141" t="s">
        <v>65</v>
      </c>
      <c r="AF13" s="140" t="s">
        <v>66</v>
      </c>
      <c r="AG13" s="140" t="s">
        <v>67</v>
      </c>
      <c r="AH13" s="140" t="s">
        <v>68</v>
      </c>
      <c r="AI13" s="141" t="s">
        <v>69</v>
      </c>
      <c r="AJ13" s="140" t="s">
        <v>70</v>
      </c>
      <c r="AK13" s="140" t="s">
        <v>71</v>
      </c>
      <c r="AL13" s="140" t="s">
        <v>72</v>
      </c>
      <c r="AM13" s="140" t="s">
        <v>73</v>
      </c>
      <c r="AN13" s="140" t="s">
        <v>74</v>
      </c>
      <c r="AO13" s="140" t="s">
        <v>75</v>
      </c>
      <c r="AP13" s="140" t="s">
        <v>76</v>
      </c>
      <c r="AQ13" s="140" t="s">
        <v>77</v>
      </c>
      <c r="AR13" s="140" t="s">
        <v>78</v>
      </c>
      <c r="AS13" s="140" t="s">
        <v>79</v>
      </c>
      <c r="AT13" s="140" t="s">
        <v>80</v>
      </c>
      <c r="AU13" s="140" t="s">
        <v>81</v>
      </c>
      <c r="AV13" s="140" t="s">
        <v>82</v>
      </c>
      <c r="AW13" s="140" t="s">
        <v>60</v>
      </c>
      <c r="AX13" s="140" t="s">
        <v>83</v>
      </c>
      <c r="AY13" s="140" t="s">
        <v>84</v>
      </c>
      <c r="AZ13" s="142" t="s">
        <v>85</v>
      </c>
      <c r="BA13" s="143" t="s">
        <v>86</v>
      </c>
      <c r="BB13" s="144" t="s">
        <v>87</v>
      </c>
      <c r="BC13" s="183" t="s">
        <v>88</v>
      </c>
      <c r="BD13" s="183" t="s">
        <v>89</v>
      </c>
      <c r="BE13" s="183" t="s">
        <v>90</v>
      </c>
      <c r="BF13" s="181" t="s">
        <v>91</v>
      </c>
      <c r="BG13" s="182" t="s">
        <v>92</v>
      </c>
      <c r="BH13" s="183" t="s">
        <v>93</v>
      </c>
      <c r="BI13" s="163" t="s">
        <v>79</v>
      </c>
      <c r="BJ13" s="163" t="s">
        <v>94</v>
      </c>
      <c r="BK13" s="183" t="s">
        <v>95</v>
      </c>
      <c r="BL13" s="163" t="s">
        <v>96</v>
      </c>
    </row>
    <row r="14" spans="1:64" s="145" customFormat="1" ht="30" customHeight="1">
      <c r="A14" s="156">
        <v>1</v>
      </c>
      <c r="B14" s="156" t="s">
        <v>97</v>
      </c>
      <c r="C14" s="156">
        <v>0</v>
      </c>
      <c r="D14" s="188" t="s">
        <v>98</v>
      </c>
      <c r="E14" s="156">
        <v>0</v>
      </c>
      <c r="F14" s="153" t="s">
        <v>99</v>
      </c>
      <c r="G14" s="189" t="s">
        <v>1</v>
      </c>
      <c r="H14" s="190" t="s">
        <v>2</v>
      </c>
      <c r="I14" s="175" t="s">
        <v>12</v>
      </c>
      <c r="J14" s="176" t="s">
        <v>100</v>
      </c>
      <c r="K14" s="177" t="s">
        <v>101</v>
      </c>
      <c r="L14" s="177" t="s">
        <v>102</v>
      </c>
      <c r="M14" s="145" t="s">
        <v>4</v>
      </c>
      <c r="N14" s="145" t="s">
        <v>103</v>
      </c>
      <c r="O14" s="147">
        <v>46001</v>
      </c>
      <c r="P14" s="147" t="s">
        <v>24</v>
      </c>
      <c r="Q14" s="147" t="s">
        <v>24</v>
      </c>
      <c r="R14" s="147" t="s">
        <v>24</v>
      </c>
      <c r="S14" s="147" t="s">
        <v>24</v>
      </c>
      <c r="T14" s="147" t="s">
        <v>24</v>
      </c>
      <c r="U14" s="147" t="s">
        <v>24</v>
      </c>
      <c r="V14" s="147" t="s">
        <v>24</v>
      </c>
      <c r="W14" s="147" t="s">
        <v>24</v>
      </c>
      <c r="X14" s="147" t="s">
        <v>24</v>
      </c>
      <c r="Y14" s="147" t="s">
        <v>24</v>
      </c>
      <c r="Z14" s="147" t="s">
        <v>24</v>
      </c>
      <c r="AB14" s="176" t="s">
        <v>100</v>
      </c>
      <c r="AC14" s="177" t="s">
        <v>101</v>
      </c>
      <c r="AD14" s="177" t="s">
        <v>102</v>
      </c>
      <c r="AE14" s="145" t="s">
        <v>12</v>
      </c>
      <c r="AF14" s="184">
        <v>52000.160000000003</v>
      </c>
      <c r="AG14" s="184">
        <v>60000</v>
      </c>
      <c r="AH14" s="145" t="s">
        <v>6</v>
      </c>
      <c r="AI14" s="145" t="s">
        <v>104</v>
      </c>
      <c r="AJ14" s="145" t="s">
        <v>4</v>
      </c>
      <c r="AK14" s="145" t="s">
        <v>104</v>
      </c>
      <c r="AL14" s="145" t="s">
        <v>104</v>
      </c>
      <c r="AM14" s="145" t="s">
        <v>105</v>
      </c>
      <c r="AO14" s="153" t="s">
        <v>106</v>
      </c>
      <c r="AP14" s="145" t="s">
        <v>104</v>
      </c>
      <c r="AQ14" s="145" t="s">
        <v>104</v>
      </c>
      <c r="AR14" s="145" t="s">
        <v>104</v>
      </c>
      <c r="AS14" s="145" t="s">
        <v>104</v>
      </c>
      <c r="AT14" s="147">
        <v>46013</v>
      </c>
      <c r="AU14" s="145" t="s">
        <v>104</v>
      </c>
      <c r="AV14" s="145" t="s">
        <v>104</v>
      </c>
      <c r="AW14" s="147">
        <v>46017</v>
      </c>
      <c r="AX14" s="147">
        <v>46017</v>
      </c>
      <c r="AY14" s="148" t="s">
        <v>107</v>
      </c>
      <c r="AZ14" s="149" t="s">
        <v>108</v>
      </c>
      <c r="BA14" s="145" t="s">
        <v>104</v>
      </c>
      <c r="BB14" s="150">
        <f>IF(AX14-KF14=0,"",AX14-O14)</f>
        <v>16</v>
      </c>
      <c r="BC14" s="145" t="str">
        <f>IF(AND(AH14&lt;&gt;"SIM",AH14="UH"),"AA","INDENIZAÇÃO")</f>
        <v>INDENIZAÇÃO</v>
      </c>
      <c r="BD14" s="145" t="str">
        <f>IF(AND(AX14&lt;&gt;"AGUARDANDO",AX14&lt;&gt;"",N14="AUXÍLIO ALUGUEL ATÉ INDENIZAÇÃO"),"SIM","NÃO")</f>
        <v>SIM</v>
      </c>
      <c r="BE14" s="145" t="s">
        <v>104</v>
      </c>
      <c r="BF14" s="147">
        <v>46112</v>
      </c>
      <c r="BG14" s="147">
        <v>46112</v>
      </c>
      <c r="BH14" s="149" t="s">
        <v>109</v>
      </c>
      <c r="BI14" s="149"/>
      <c r="BJ14" s="148"/>
      <c r="BK14" s="149"/>
      <c r="BL14" s="149"/>
    </row>
    <row r="15" spans="1:64" ht="30" customHeight="1">
      <c r="BD15" s="146"/>
      <c r="BE15" s="129"/>
    </row>
    <row r="16" spans="1:64" ht="30" customHeight="1">
      <c r="BD16" s="146"/>
      <c r="BE16" s="129"/>
    </row>
    <row r="17" spans="56:57" ht="30" customHeight="1">
      <c r="BD17" s="146"/>
      <c r="BE17" s="129"/>
    </row>
    <row r="18" spans="56:57" ht="30" customHeight="1">
      <c r="BD18" s="146"/>
      <c r="BE18" s="129"/>
    </row>
    <row r="19" spans="56:57" ht="30" customHeight="1">
      <c r="BD19" s="146"/>
      <c r="BE19" s="129"/>
    </row>
    <row r="20" spans="56:57" ht="30" customHeight="1">
      <c r="BD20" s="146"/>
      <c r="BE20" s="129"/>
    </row>
    <row r="21" spans="56:57" ht="30" customHeight="1">
      <c r="BD21" s="146"/>
      <c r="BE21" s="129"/>
    </row>
    <row r="22" spans="56:57" ht="30" customHeight="1">
      <c r="BD22" s="146"/>
      <c r="BE22" s="129"/>
    </row>
    <row r="23" spans="56:57" ht="30" customHeight="1">
      <c r="BD23" s="146"/>
      <c r="BE23" s="129"/>
    </row>
    <row r="24" spans="56:57" ht="30" customHeight="1">
      <c r="BD24" s="146"/>
      <c r="BE24" s="129"/>
    </row>
    <row r="25" spans="56:57" ht="30" customHeight="1">
      <c r="BD25" s="146"/>
      <c r="BE25" s="129"/>
    </row>
    <row r="26" spans="56:57" ht="30" customHeight="1">
      <c r="BD26" s="146"/>
      <c r="BE26" s="129"/>
    </row>
    <row r="27" spans="56:57" ht="30" customHeight="1">
      <c r="BD27" s="146"/>
      <c r="BE27" s="129"/>
    </row>
    <row r="28" spans="56:57" ht="30" customHeight="1">
      <c r="BD28" s="146"/>
      <c r="BE28" s="129"/>
    </row>
    <row r="29" spans="56:57" ht="30" customHeight="1">
      <c r="BD29" s="146"/>
      <c r="BE29" s="129"/>
    </row>
    <row r="30" spans="56:57" ht="30" customHeight="1">
      <c r="BD30" s="146"/>
      <c r="BE30" s="129"/>
    </row>
    <row r="31" spans="56:57" ht="30" customHeight="1">
      <c r="BD31" s="146"/>
      <c r="BE31" s="129"/>
    </row>
    <row r="32" spans="56:57" ht="30" customHeight="1">
      <c r="BD32" s="146"/>
      <c r="BE32" s="129"/>
    </row>
    <row r="33" spans="56:57" ht="30" customHeight="1">
      <c r="BD33" s="146"/>
      <c r="BE33" s="129"/>
    </row>
    <row r="34" spans="56:57" ht="30" customHeight="1">
      <c r="BD34" s="146"/>
      <c r="BE34" s="129"/>
    </row>
    <row r="35" spans="56:57" ht="30" customHeight="1">
      <c r="BD35" s="146"/>
      <c r="BE35" s="129"/>
    </row>
    <row r="36" spans="56:57" ht="30" customHeight="1">
      <c r="BD36" s="146"/>
      <c r="BE36" s="129"/>
    </row>
    <row r="37" spans="56:57" ht="30" customHeight="1">
      <c r="BD37" s="146"/>
      <c r="BE37" s="129"/>
    </row>
    <row r="38" spans="56:57" ht="30" customHeight="1">
      <c r="BD38" s="146"/>
      <c r="BE38" s="129"/>
    </row>
    <row r="39" spans="56:57" ht="30" customHeight="1">
      <c r="BD39" s="146"/>
      <c r="BE39" s="129"/>
    </row>
    <row r="40" spans="56:57" ht="30" customHeight="1">
      <c r="BD40" s="146"/>
      <c r="BE40" s="129"/>
    </row>
    <row r="41" spans="56:57" ht="30" customHeight="1">
      <c r="BD41" s="146"/>
      <c r="BE41" s="129"/>
    </row>
    <row r="42" spans="56:57" ht="30" customHeight="1">
      <c r="BD42" s="146"/>
      <c r="BE42" s="129"/>
    </row>
    <row r="43" spans="56:57" ht="30" customHeight="1">
      <c r="BD43" s="146"/>
      <c r="BE43" s="129"/>
    </row>
    <row r="44" spans="56:57" ht="30" customHeight="1">
      <c r="BD44" s="146"/>
      <c r="BE44" s="129"/>
    </row>
    <row r="45" spans="56:57" ht="30" customHeight="1">
      <c r="BD45" s="146"/>
      <c r="BE45" s="129"/>
    </row>
    <row r="46" spans="56:57" ht="30" customHeight="1">
      <c r="BD46" s="146"/>
      <c r="BE46" s="129"/>
    </row>
    <row r="47" spans="56:57" ht="30" customHeight="1">
      <c r="BD47" s="146"/>
      <c r="BE47" s="129"/>
    </row>
    <row r="48" spans="56:57" ht="30" customHeight="1">
      <c r="BD48" s="146"/>
      <c r="BE48" s="129"/>
    </row>
    <row r="49" spans="56:57" ht="30" customHeight="1">
      <c r="BD49" s="146"/>
      <c r="BE49" s="129"/>
    </row>
    <row r="50" spans="56:57" ht="30" customHeight="1">
      <c r="BD50" s="146"/>
      <c r="BE50" s="129"/>
    </row>
    <row r="51" spans="56:57" ht="30" customHeight="1">
      <c r="BD51" s="146"/>
      <c r="BE51" s="129"/>
    </row>
    <row r="52" spans="56:57" ht="30" customHeight="1">
      <c r="BD52" s="146"/>
      <c r="BE52" s="129"/>
    </row>
    <row r="53" spans="56:57" ht="30" customHeight="1">
      <c r="BD53" s="146"/>
      <c r="BE53" s="129"/>
    </row>
    <row r="54" spans="56:57" ht="30" customHeight="1">
      <c r="BD54" s="146"/>
      <c r="BE54" s="129"/>
    </row>
    <row r="55" spans="56:57" ht="30" customHeight="1">
      <c r="BD55" s="146"/>
      <c r="BE55" s="129"/>
    </row>
    <row r="56" spans="56:57" ht="30" customHeight="1">
      <c r="BD56" s="146"/>
      <c r="BE56" s="129"/>
    </row>
    <row r="57" spans="56:57" ht="30" customHeight="1">
      <c r="BD57" s="146"/>
      <c r="BE57" s="129"/>
    </row>
    <row r="58" spans="56:57" ht="30" customHeight="1">
      <c r="BD58" s="146"/>
      <c r="BE58" s="129"/>
    </row>
    <row r="59" spans="56:57" ht="30" customHeight="1">
      <c r="BD59" s="146"/>
      <c r="BE59" s="129"/>
    </row>
    <row r="60" spans="56:57" ht="30" customHeight="1">
      <c r="BD60" s="146"/>
      <c r="BE60" s="129"/>
    </row>
    <row r="61" spans="56:57" ht="30" customHeight="1">
      <c r="BD61" s="146"/>
      <c r="BE61" s="129"/>
    </row>
    <row r="62" spans="56:57" ht="30" customHeight="1">
      <c r="BD62" s="146"/>
      <c r="BE62" s="129"/>
    </row>
    <row r="63" spans="56:57" ht="30" customHeight="1">
      <c r="BD63" s="146"/>
      <c r="BE63" s="129"/>
    </row>
    <row r="64" spans="56:57" ht="30" customHeight="1">
      <c r="BD64" s="146"/>
      <c r="BE64" s="129"/>
    </row>
    <row r="65" spans="56:57" ht="30" customHeight="1">
      <c r="BD65" s="146"/>
      <c r="BE65" s="129"/>
    </row>
    <row r="66" spans="56:57" ht="30" customHeight="1">
      <c r="BD66" s="146"/>
      <c r="BE66" s="129"/>
    </row>
    <row r="67" spans="56:57" ht="30" customHeight="1">
      <c r="BD67" s="146"/>
      <c r="BE67" s="129"/>
    </row>
    <row r="68" spans="56:57" ht="30" customHeight="1">
      <c r="BD68" s="146"/>
      <c r="BE68" s="129"/>
    </row>
    <row r="69" spans="56:57" ht="30" customHeight="1">
      <c r="BD69" s="146"/>
      <c r="BE69" s="129"/>
    </row>
    <row r="70" spans="56:57" ht="30" customHeight="1">
      <c r="BD70" s="146"/>
      <c r="BE70" s="129"/>
    </row>
    <row r="71" spans="56:57" ht="30" customHeight="1">
      <c r="BD71" s="146"/>
      <c r="BE71" s="129"/>
    </row>
    <row r="72" spans="56:57" ht="30" customHeight="1">
      <c r="BD72" s="146"/>
      <c r="BE72" s="129"/>
    </row>
    <row r="73" spans="56:57" ht="30" customHeight="1">
      <c r="BD73" s="146"/>
      <c r="BE73" s="129"/>
    </row>
    <row r="74" spans="56:57" ht="30" customHeight="1">
      <c r="BD74" s="146"/>
      <c r="BE74" s="129"/>
    </row>
    <row r="75" spans="56:57" ht="30" customHeight="1">
      <c r="BD75" s="146"/>
      <c r="BE75" s="129"/>
    </row>
    <row r="76" spans="56:57" ht="30" customHeight="1">
      <c r="BD76" s="146"/>
      <c r="BE76" s="129"/>
    </row>
    <row r="77" spans="56:57" ht="30" customHeight="1">
      <c r="BD77" s="146"/>
      <c r="BE77" s="129"/>
    </row>
    <row r="78" spans="56:57" ht="30" customHeight="1">
      <c r="BD78" s="146"/>
      <c r="BE78" s="129"/>
    </row>
    <row r="79" spans="56:57" ht="30" customHeight="1">
      <c r="BD79" s="146"/>
      <c r="BE79" s="129"/>
    </row>
    <row r="80" spans="56:57" ht="30" customHeight="1">
      <c r="BD80" s="146"/>
      <c r="BE80" s="129"/>
    </row>
    <row r="81" spans="56:57" ht="30" customHeight="1">
      <c r="BD81" s="146"/>
      <c r="BE81" s="129"/>
    </row>
    <row r="82" spans="56:57" ht="30" customHeight="1">
      <c r="BD82" s="146"/>
      <c r="BE82" s="129"/>
    </row>
    <row r="83" spans="56:57" ht="30" customHeight="1">
      <c r="BD83" s="146"/>
      <c r="BE83" s="129"/>
    </row>
    <row r="84" spans="56:57" ht="30" customHeight="1">
      <c r="BD84" s="146"/>
      <c r="BE84" s="129"/>
    </row>
    <row r="85" spans="56:57" ht="30" customHeight="1">
      <c r="BD85" s="146"/>
      <c r="BE85" s="129"/>
    </row>
    <row r="86" spans="56:57" ht="30" customHeight="1">
      <c r="BD86" s="146"/>
      <c r="BE86" s="129"/>
    </row>
    <row r="87" spans="56:57" ht="30" customHeight="1">
      <c r="BD87" s="146"/>
      <c r="BE87" s="129"/>
    </row>
    <row r="88" spans="56:57" ht="30" customHeight="1">
      <c r="BD88" s="146"/>
      <c r="BE88" s="129"/>
    </row>
    <row r="89" spans="56:57" ht="30" customHeight="1">
      <c r="BD89" s="146"/>
      <c r="BE89" s="129"/>
    </row>
    <row r="90" spans="56:57" ht="30" customHeight="1">
      <c r="BD90" s="146"/>
      <c r="BE90" s="129"/>
    </row>
    <row r="91" spans="56:57" ht="30" customHeight="1">
      <c r="BD91" s="146"/>
      <c r="BE91" s="129"/>
    </row>
    <row r="92" spans="56:57" ht="30" customHeight="1">
      <c r="BD92" s="146" t="str">
        <f t="shared" ref="BD54:BD117" si="0">IF(AND(AX92&lt;&gt;"AGUARDANDO",AX92&lt;&gt;"",N92="AUXÍLIO ALUGUEL ATÉ INDENIZAÇÃO"),"SIM","NÃO")</f>
        <v>NÃO</v>
      </c>
      <c r="BE92" s="129"/>
    </row>
    <row r="93" spans="56:57" ht="30" customHeight="1">
      <c r="BD93" s="146" t="str">
        <f t="shared" si="0"/>
        <v>NÃO</v>
      </c>
      <c r="BE93" s="129"/>
    </row>
    <row r="94" spans="56:57" ht="30" customHeight="1">
      <c r="BD94" s="146" t="str">
        <f t="shared" si="0"/>
        <v>NÃO</v>
      </c>
      <c r="BE94" s="129"/>
    </row>
    <row r="95" spans="56:57" ht="30" customHeight="1">
      <c r="BD95" s="146" t="str">
        <f t="shared" si="0"/>
        <v>NÃO</v>
      </c>
      <c r="BE95" s="129"/>
    </row>
    <row r="96" spans="56:57" ht="30" customHeight="1">
      <c r="BD96" s="146" t="str">
        <f t="shared" si="0"/>
        <v>NÃO</v>
      </c>
      <c r="BE96" s="129"/>
    </row>
    <row r="97" spans="56:57" ht="30" customHeight="1">
      <c r="BD97" s="146" t="str">
        <f t="shared" si="0"/>
        <v>NÃO</v>
      </c>
      <c r="BE97" s="129"/>
    </row>
    <row r="98" spans="56:57" ht="30" customHeight="1">
      <c r="BD98" s="146" t="str">
        <f t="shared" si="0"/>
        <v>NÃO</v>
      </c>
      <c r="BE98" s="129"/>
    </row>
    <row r="99" spans="56:57" ht="30" customHeight="1">
      <c r="BD99" s="146" t="str">
        <f t="shared" si="0"/>
        <v>NÃO</v>
      </c>
      <c r="BE99" s="129"/>
    </row>
    <row r="100" spans="56:57" ht="30" customHeight="1">
      <c r="BD100" s="146" t="str">
        <f t="shared" si="0"/>
        <v>NÃO</v>
      </c>
      <c r="BE100" s="129"/>
    </row>
    <row r="101" spans="56:57" ht="30" customHeight="1">
      <c r="BD101" s="146" t="str">
        <f t="shared" si="0"/>
        <v>NÃO</v>
      </c>
      <c r="BE101" s="129"/>
    </row>
    <row r="102" spans="56:57" ht="30" customHeight="1">
      <c r="BD102" s="146" t="str">
        <f t="shared" si="0"/>
        <v>NÃO</v>
      </c>
      <c r="BE102" s="129"/>
    </row>
    <row r="103" spans="56:57" ht="30" customHeight="1">
      <c r="BD103" s="146" t="str">
        <f t="shared" si="0"/>
        <v>NÃO</v>
      </c>
      <c r="BE103" s="129"/>
    </row>
    <row r="104" spans="56:57" ht="30" customHeight="1">
      <c r="BD104" s="146" t="str">
        <f t="shared" si="0"/>
        <v>NÃO</v>
      </c>
      <c r="BE104" s="129"/>
    </row>
    <row r="105" spans="56:57" ht="30" customHeight="1">
      <c r="BD105" s="146" t="str">
        <f t="shared" si="0"/>
        <v>NÃO</v>
      </c>
      <c r="BE105" s="129"/>
    </row>
    <row r="106" spans="56:57" ht="30" customHeight="1">
      <c r="BD106" s="146" t="str">
        <f t="shared" si="0"/>
        <v>NÃO</v>
      </c>
      <c r="BE106" s="129"/>
    </row>
    <row r="107" spans="56:57" ht="30" customHeight="1">
      <c r="BD107" s="146" t="str">
        <f t="shared" si="0"/>
        <v>NÃO</v>
      </c>
      <c r="BE107" s="129"/>
    </row>
    <row r="108" spans="56:57" ht="30" customHeight="1">
      <c r="BD108" s="146" t="str">
        <f t="shared" si="0"/>
        <v>NÃO</v>
      </c>
      <c r="BE108" s="129"/>
    </row>
    <row r="109" spans="56:57" ht="30" customHeight="1">
      <c r="BD109" s="146" t="str">
        <f t="shared" si="0"/>
        <v>NÃO</v>
      </c>
      <c r="BE109" s="129"/>
    </row>
    <row r="110" spans="56:57" ht="30" customHeight="1">
      <c r="BD110" s="146" t="str">
        <f t="shared" si="0"/>
        <v>NÃO</v>
      </c>
      <c r="BE110" s="129"/>
    </row>
    <row r="111" spans="56:57" ht="30" customHeight="1">
      <c r="BD111" s="146" t="str">
        <f t="shared" si="0"/>
        <v>NÃO</v>
      </c>
      <c r="BE111" s="129"/>
    </row>
    <row r="112" spans="56:57" ht="30" customHeight="1">
      <c r="BD112" s="146" t="str">
        <f t="shared" si="0"/>
        <v>NÃO</v>
      </c>
      <c r="BE112" s="129"/>
    </row>
    <row r="113" spans="56:57" ht="30" customHeight="1">
      <c r="BD113" s="146" t="str">
        <f t="shared" si="0"/>
        <v>NÃO</v>
      </c>
      <c r="BE113" s="129"/>
    </row>
    <row r="114" spans="56:57" ht="30" customHeight="1">
      <c r="BD114" s="146" t="str">
        <f t="shared" si="0"/>
        <v>NÃO</v>
      </c>
      <c r="BE114" s="129"/>
    </row>
    <row r="115" spans="56:57" ht="30" customHeight="1">
      <c r="BD115" s="146" t="str">
        <f t="shared" si="0"/>
        <v>NÃO</v>
      </c>
      <c r="BE115" s="129"/>
    </row>
    <row r="116" spans="56:57" ht="30" customHeight="1">
      <c r="BD116" s="146" t="str">
        <f t="shared" si="0"/>
        <v>NÃO</v>
      </c>
      <c r="BE116" s="129"/>
    </row>
    <row r="117" spans="56:57" ht="30" customHeight="1">
      <c r="BD117" s="146" t="str">
        <f t="shared" si="0"/>
        <v>NÃO</v>
      </c>
      <c r="BE117" s="129"/>
    </row>
    <row r="118" spans="56:57" ht="30" customHeight="1">
      <c r="BD118" s="146" t="str">
        <f t="shared" ref="BD118:BD181" si="1">IF(AND(AX118&lt;&gt;"AGUARDANDO",AX118&lt;&gt;"",N118="AUXÍLIO ALUGUEL ATÉ INDENIZAÇÃO"),"SIM","NÃO")</f>
        <v>NÃO</v>
      </c>
      <c r="BE118" s="129"/>
    </row>
    <row r="119" spans="56:57" ht="30" customHeight="1">
      <c r="BD119" s="146" t="str">
        <f t="shared" si="1"/>
        <v>NÃO</v>
      </c>
      <c r="BE119" s="129"/>
    </row>
    <row r="120" spans="56:57" ht="30" customHeight="1">
      <c r="BD120" s="146" t="str">
        <f t="shared" si="1"/>
        <v>NÃO</v>
      </c>
      <c r="BE120" s="129"/>
    </row>
    <row r="121" spans="56:57" ht="30" customHeight="1">
      <c r="BD121" s="146" t="str">
        <f t="shared" si="1"/>
        <v>NÃO</v>
      </c>
      <c r="BE121" s="129"/>
    </row>
    <row r="122" spans="56:57" ht="30" customHeight="1">
      <c r="BD122" s="146" t="str">
        <f t="shared" si="1"/>
        <v>NÃO</v>
      </c>
      <c r="BE122" s="129"/>
    </row>
    <row r="123" spans="56:57" ht="30" customHeight="1">
      <c r="BD123" s="146" t="str">
        <f t="shared" si="1"/>
        <v>NÃO</v>
      </c>
      <c r="BE123" s="129"/>
    </row>
    <row r="124" spans="56:57" ht="30" customHeight="1">
      <c r="BD124" s="146" t="str">
        <f t="shared" si="1"/>
        <v>NÃO</v>
      </c>
      <c r="BE124" s="129"/>
    </row>
    <row r="125" spans="56:57" ht="30" customHeight="1">
      <c r="BD125" s="146" t="str">
        <f t="shared" si="1"/>
        <v>NÃO</v>
      </c>
      <c r="BE125" s="129"/>
    </row>
    <row r="126" spans="56:57" ht="30" customHeight="1">
      <c r="BD126" s="146" t="str">
        <f t="shared" si="1"/>
        <v>NÃO</v>
      </c>
      <c r="BE126" s="129"/>
    </row>
    <row r="127" spans="56:57" ht="30" customHeight="1">
      <c r="BD127" s="146" t="str">
        <f t="shared" si="1"/>
        <v>NÃO</v>
      </c>
      <c r="BE127" s="129"/>
    </row>
    <row r="128" spans="56:57" ht="30" customHeight="1">
      <c r="BD128" s="146" t="str">
        <f t="shared" si="1"/>
        <v>NÃO</v>
      </c>
      <c r="BE128" s="129"/>
    </row>
    <row r="129" spans="56:57" ht="30" customHeight="1">
      <c r="BD129" s="146" t="str">
        <f t="shared" si="1"/>
        <v>NÃO</v>
      </c>
      <c r="BE129" s="129"/>
    </row>
    <row r="130" spans="56:57" ht="30" customHeight="1">
      <c r="BD130" s="146" t="str">
        <f t="shared" si="1"/>
        <v>NÃO</v>
      </c>
      <c r="BE130" s="129"/>
    </row>
    <row r="131" spans="56:57" ht="30" customHeight="1">
      <c r="BD131" s="146" t="str">
        <f t="shared" si="1"/>
        <v>NÃO</v>
      </c>
      <c r="BE131" s="129"/>
    </row>
    <row r="132" spans="56:57" ht="30" customHeight="1">
      <c r="BD132" s="146" t="str">
        <f t="shared" si="1"/>
        <v>NÃO</v>
      </c>
      <c r="BE132" s="129"/>
    </row>
    <row r="133" spans="56:57" ht="30" customHeight="1">
      <c r="BD133" s="146" t="str">
        <f t="shared" si="1"/>
        <v>NÃO</v>
      </c>
      <c r="BE133" s="129"/>
    </row>
    <row r="134" spans="56:57" ht="30" customHeight="1">
      <c r="BD134" s="146" t="str">
        <f t="shared" si="1"/>
        <v>NÃO</v>
      </c>
      <c r="BE134" s="129"/>
    </row>
    <row r="135" spans="56:57" ht="30" customHeight="1">
      <c r="BD135" s="146" t="str">
        <f t="shared" si="1"/>
        <v>NÃO</v>
      </c>
      <c r="BE135" s="129"/>
    </row>
    <row r="136" spans="56:57" ht="30" customHeight="1">
      <c r="BD136" s="146" t="str">
        <f t="shared" si="1"/>
        <v>NÃO</v>
      </c>
      <c r="BE136" s="129"/>
    </row>
    <row r="137" spans="56:57" ht="30" customHeight="1">
      <c r="BD137" s="146" t="str">
        <f t="shared" si="1"/>
        <v>NÃO</v>
      </c>
      <c r="BE137" s="129"/>
    </row>
    <row r="138" spans="56:57" ht="30" customHeight="1">
      <c r="BD138" s="146" t="str">
        <f t="shared" si="1"/>
        <v>NÃO</v>
      </c>
      <c r="BE138" s="129"/>
    </row>
    <row r="139" spans="56:57" ht="30" customHeight="1">
      <c r="BD139" s="146" t="str">
        <f t="shared" si="1"/>
        <v>NÃO</v>
      </c>
      <c r="BE139" s="129"/>
    </row>
    <row r="140" spans="56:57" ht="30" customHeight="1">
      <c r="BD140" s="146" t="str">
        <f t="shared" si="1"/>
        <v>NÃO</v>
      </c>
      <c r="BE140" s="129"/>
    </row>
    <row r="141" spans="56:57" ht="30" customHeight="1">
      <c r="BD141" s="146" t="str">
        <f t="shared" si="1"/>
        <v>NÃO</v>
      </c>
      <c r="BE141" s="129"/>
    </row>
    <row r="142" spans="56:57" ht="30" customHeight="1">
      <c r="BD142" s="146" t="str">
        <f t="shared" si="1"/>
        <v>NÃO</v>
      </c>
      <c r="BE142" s="129"/>
    </row>
    <row r="143" spans="56:57" ht="30" customHeight="1">
      <c r="BD143" s="146" t="str">
        <f t="shared" si="1"/>
        <v>NÃO</v>
      </c>
      <c r="BE143" s="129"/>
    </row>
    <row r="144" spans="56:57" ht="30" customHeight="1">
      <c r="BD144" s="146" t="str">
        <f t="shared" si="1"/>
        <v>NÃO</v>
      </c>
      <c r="BE144" s="129"/>
    </row>
    <row r="145" spans="56:57" ht="30" customHeight="1">
      <c r="BD145" s="146" t="str">
        <f t="shared" si="1"/>
        <v>NÃO</v>
      </c>
      <c r="BE145" s="129"/>
    </row>
    <row r="146" spans="56:57" ht="30" customHeight="1">
      <c r="BD146" s="146" t="str">
        <f t="shared" si="1"/>
        <v>NÃO</v>
      </c>
      <c r="BE146" s="129"/>
    </row>
    <row r="147" spans="56:57" ht="30" customHeight="1">
      <c r="BD147" s="146" t="str">
        <f t="shared" si="1"/>
        <v>NÃO</v>
      </c>
      <c r="BE147" s="129"/>
    </row>
    <row r="148" spans="56:57" ht="30" customHeight="1">
      <c r="BD148" s="146" t="str">
        <f t="shared" si="1"/>
        <v>NÃO</v>
      </c>
      <c r="BE148" s="129"/>
    </row>
    <row r="149" spans="56:57" ht="30" customHeight="1">
      <c r="BD149" s="146" t="str">
        <f t="shared" si="1"/>
        <v>NÃO</v>
      </c>
      <c r="BE149" s="129"/>
    </row>
    <row r="150" spans="56:57" ht="30" customHeight="1">
      <c r="BD150" s="146" t="str">
        <f t="shared" si="1"/>
        <v>NÃO</v>
      </c>
      <c r="BE150" s="129"/>
    </row>
    <row r="151" spans="56:57" ht="30" customHeight="1">
      <c r="BD151" s="146" t="str">
        <f t="shared" si="1"/>
        <v>NÃO</v>
      </c>
      <c r="BE151" s="129"/>
    </row>
    <row r="152" spans="56:57" ht="30" customHeight="1">
      <c r="BD152" s="146" t="str">
        <f t="shared" si="1"/>
        <v>NÃO</v>
      </c>
      <c r="BE152" s="129"/>
    </row>
    <row r="153" spans="56:57" ht="30" customHeight="1">
      <c r="BD153" s="146" t="str">
        <f t="shared" si="1"/>
        <v>NÃO</v>
      </c>
      <c r="BE153" s="129"/>
    </row>
    <row r="154" spans="56:57" ht="30" customHeight="1">
      <c r="BD154" s="146" t="str">
        <f t="shared" si="1"/>
        <v>NÃO</v>
      </c>
      <c r="BE154" s="129"/>
    </row>
    <row r="155" spans="56:57" ht="30" customHeight="1">
      <c r="BD155" s="146" t="str">
        <f t="shared" si="1"/>
        <v>NÃO</v>
      </c>
      <c r="BE155" s="129"/>
    </row>
    <row r="156" spans="56:57" ht="30" customHeight="1">
      <c r="BD156" s="146" t="str">
        <f t="shared" si="1"/>
        <v>NÃO</v>
      </c>
      <c r="BE156" s="129"/>
    </row>
    <row r="157" spans="56:57" ht="30" customHeight="1">
      <c r="BD157" s="146" t="str">
        <f t="shared" si="1"/>
        <v>NÃO</v>
      </c>
      <c r="BE157" s="129"/>
    </row>
    <row r="158" spans="56:57" ht="30" customHeight="1">
      <c r="BD158" s="146" t="str">
        <f t="shared" si="1"/>
        <v>NÃO</v>
      </c>
      <c r="BE158" s="129"/>
    </row>
    <row r="159" spans="56:57" ht="30" customHeight="1">
      <c r="BD159" s="146" t="str">
        <f t="shared" si="1"/>
        <v>NÃO</v>
      </c>
      <c r="BE159" s="129"/>
    </row>
    <row r="160" spans="56:57" ht="30" customHeight="1">
      <c r="BD160" s="146" t="str">
        <f t="shared" si="1"/>
        <v>NÃO</v>
      </c>
      <c r="BE160" s="129"/>
    </row>
    <row r="161" spans="56:57" ht="30" customHeight="1">
      <c r="BD161" s="146" t="str">
        <f t="shared" si="1"/>
        <v>NÃO</v>
      </c>
      <c r="BE161" s="129"/>
    </row>
    <row r="162" spans="56:57" ht="30" customHeight="1">
      <c r="BD162" s="146" t="str">
        <f t="shared" si="1"/>
        <v>NÃO</v>
      </c>
      <c r="BE162" s="129"/>
    </row>
    <row r="163" spans="56:57" ht="30" customHeight="1">
      <c r="BD163" s="146" t="str">
        <f t="shared" si="1"/>
        <v>NÃO</v>
      </c>
      <c r="BE163" s="129"/>
    </row>
    <row r="164" spans="56:57" ht="30" customHeight="1">
      <c r="BD164" s="146" t="str">
        <f t="shared" si="1"/>
        <v>NÃO</v>
      </c>
      <c r="BE164" s="129"/>
    </row>
    <row r="165" spans="56:57" ht="30" customHeight="1">
      <c r="BD165" s="146" t="str">
        <f t="shared" si="1"/>
        <v>NÃO</v>
      </c>
      <c r="BE165" s="129"/>
    </row>
    <row r="166" spans="56:57" ht="30" customHeight="1">
      <c r="BD166" s="146" t="str">
        <f t="shared" si="1"/>
        <v>NÃO</v>
      </c>
      <c r="BE166" s="129"/>
    </row>
    <row r="167" spans="56:57" ht="30" customHeight="1">
      <c r="BD167" s="146" t="str">
        <f t="shared" si="1"/>
        <v>NÃO</v>
      </c>
      <c r="BE167" s="129"/>
    </row>
    <row r="168" spans="56:57" ht="30" customHeight="1">
      <c r="BD168" s="146" t="str">
        <f t="shared" si="1"/>
        <v>NÃO</v>
      </c>
      <c r="BE168" s="129"/>
    </row>
    <row r="169" spans="56:57" ht="30" customHeight="1">
      <c r="BD169" s="146" t="str">
        <f t="shared" si="1"/>
        <v>NÃO</v>
      </c>
      <c r="BE169" s="129"/>
    </row>
    <row r="170" spans="56:57" ht="30" customHeight="1">
      <c r="BD170" s="146" t="str">
        <f t="shared" si="1"/>
        <v>NÃO</v>
      </c>
      <c r="BE170" s="129"/>
    </row>
    <row r="171" spans="56:57" ht="30" customHeight="1">
      <c r="BD171" s="146" t="str">
        <f t="shared" si="1"/>
        <v>NÃO</v>
      </c>
      <c r="BE171" s="129"/>
    </row>
    <row r="172" spans="56:57" ht="30" customHeight="1">
      <c r="BD172" s="146" t="str">
        <f t="shared" si="1"/>
        <v>NÃO</v>
      </c>
      <c r="BE172" s="129"/>
    </row>
    <row r="173" spans="56:57" ht="30" customHeight="1">
      <c r="BD173" s="146" t="str">
        <f t="shared" si="1"/>
        <v>NÃO</v>
      </c>
      <c r="BE173" s="129"/>
    </row>
    <row r="174" spans="56:57" ht="30" customHeight="1">
      <c r="BD174" s="146" t="str">
        <f t="shared" si="1"/>
        <v>NÃO</v>
      </c>
      <c r="BE174" s="129"/>
    </row>
    <row r="175" spans="56:57" ht="30" customHeight="1">
      <c r="BD175" s="146" t="str">
        <f t="shared" si="1"/>
        <v>NÃO</v>
      </c>
      <c r="BE175" s="129"/>
    </row>
    <row r="176" spans="56:57" ht="30" customHeight="1">
      <c r="BD176" s="146" t="str">
        <f t="shared" si="1"/>
        <v>NÃO</v>
      </c>
      <c r="BE176" s="129"/>
    </row>
    <row r="177" spans="56:57" ht="30" customHeight="1">
      <c r="BD177" s="146" t="str">
        <f t="shared" si="1"/>
        <v>NÃO</v>
      </c>
      <c r="BE177" s="129"/>
    </row>
    <row r="178" spans="56:57" ht="30" customHeight="1">
      <c r="BD178" s="146" t="str">
        <f t="shared" si="1"/>
        <v>NÃO</v>
      </c>
      <c r="BE178" s="129"/>
    </row>
    <row r="179" spans="56:57" ht="30" customHeight="1">
      <c r="BD179" s="146" t="str">
        <f t="shared" si="1"/>
        <v>NÃO</v>
      </c>
      <c r="BE179" s="129"/>
    </row>
    <row r="180" spans="56:57" ht="30" customHeight="1">
      <c r="BD180" s="146" t="str">
        <f t="shared" si="1"/>
        <v>NÃO</v>
      </c>
      <c r="BE180" s="129"/>
    </row>
    <row r="181" spans="56:57" ht="30" customHeight="1">
      <c r="BD181" s="146" t="str">
        <f t="shared" si="1"/>
        <v>NÃO</v>
      </c>
      <c r="BE181" s="129"/>
    </row>
    <row r="182" spans="56:57" ht="30" customHeight="1">
      <c r="BD182" s="146" t="str">
        <f t="shared" ref="BD182:BD245" si="2">IF(AND(AX182&lt;&gt;"AGUARDANDO",AX182&lt;&gt;"",N182="AUXÍLIO ALUGUEL ATÉ INDENIZAÇÃO"),"SIM","NÃO")</f>
        <v>NÃO</v>
      </c>
      <c r="BE182" s="129"/>
    </row>
    <row r="183" spans="56:57" ht="30" customHeight="1">
      <c r="BD183" s="146" t="str">
        <f t="shared" si="2"/>
        <v>NÃO</v>
      </c>
      <c r="BE183" s="129"/>
    </row>
    <row r="184" spans="56:57" ht="30" customHeight="1">
      <c r="BD184" s="146" t="str">
        <f t="shared" si="2"/>
        <v>NÃO</v>
      </c>
      <c r="BE184" s="129"/>
    </row>
    <row r="185" spans="56:57" ht="30" customHeight="1">
      <c r="BD185" s="146" t="str">
        <f t="shared" si="2"/>
        <v>NÃO</v>
      </c>
      <c r="BE185" s="129"/>
    </row>
    <row r="186" spans="56:57" ht="30" customHeight="1">
      <c r="BD186" s="146" t="str">
        <f t="shared" si="2"/>
        <v>NÃO</v>
      </c>
      <c r="BE186" s="129"/>
    </row>
    <row r="187" spans="56:57" ht="30" customHeight="1">
      <c r="BD187" s="146" t="str">
        <f t="shared" si="2"/>
        <v>NÃO</v>
      </c>
      <c r="BE187" s="129"/>
    </row>
    <row r="188" spans="56:57" ht="30" customHeight="1">
      <c r="BD188" s="146" t="str">
        <f t="shared" si="2"/>
        <v>NÃO</v>
      </c>
      <c r="BE188" s="129"/>
    </row>
    <row r="189" spans="56:57" ht="30" customHeight="1">
      <c r="BD189" s="146" t="str">
        <f t="shared" si="2"/>
        <v>NÃO</v>
      </c>
      <c r="BE189" s="129"/>
    </row>
    <row r="190" spans="56:57" ht="30" customHeight="1">
      <c r="BD190" s="146" t="str">
        <f t="shared" si="2"/>
        <v>NÃO</v>
      </c>
      <c r="BE190" s="129"/>
    </row>
    <row r="191" spans="56:57" ht="30" customHeight="1">
      <c r="BD191" s="146" t="str">
        <f t="shared" si="2"/>
        <v>NÃO</v>
      </c>
      <c r="BE191" s="129"/>
    </row>
    <row r="192" spans="56:57" ht="30" customHeight="1">
      <c r="BD192" s="146" t="str">
        <f t="shared" si="2"/>
        <v>NÃO</v>
      </c>
      <c r="BE192" s="129"/>
    </row>
    <row r="193" spans="56:57" ht="30" customHeight="1">
      <c r="BD193" s="146" t="str">
        <f t="shared" si="2"/>
        <v>NÃO</v>
      </c>
      <c r="BE193" s="129"/>
    </row>
    <row r="194" spans="56:57" ht="30" customHeight="1">
      <c r="BD194" s="146" t="str">
        <f t="shared" si="2"/>
        <v>NÃO</v>
      </c>
      <c r="BE194" s="129"/>
    </row>
    <row r="195" spans="56:57" ht="30" customHeight="1">
      <c r="BD195" s="146" t="str">
        <f t="shared" si="2"/>
        <v>NÃO</v>
      </c>
      <c r="BE195" s="129"/>
    </row>
    <row r="196" spans="56:57" ht="30" customHeight="1">
      <c r="BD196" s="146" t="str">
        <f t="shared" si="2"/>
        <v>NÃO</v>
      </c>
      <c r="BE196" s="129"/>
    </row>
    <row r="197" spans="56:57" ht="30" customHeight="1">
      <c r="BD197" s="146" t="str">
        <f t="shared" si="2"/>
        <v>NÃO</v>
      </c>
      <c r="BE197" s="129"/>
    </row>
    <row r="198" spans="56:57" ht="30" customHeight="1">
      <c r="BD198" s="146" t="str">
        <f t="shared" si="2"/>
        <v>NÃO</v>
      </c>
      <c r="BE198" s="129"/>
    </row>
    <row r="199" spans="56:57" ht="30" customHeight="1">
      <c r="BD199" s="146" t="str">
        <f t="shared" si="2"/>
        <v>NÃO</v>
      </c>
      <c r="BE199" s="129"/>
    </row>
    <row r="200" spans="56:57" ht="30" customHeight="1">
      <c r="BD200" s="146" t="str">
        <f t="shared" si="2"/>
        <v>NÃO</v>
      </c>
      <c r="BE200" s="129"/>
    </row>
    <row r="201" spans="56:57" ht="30" customHeight="1">
      <c r="BD201" s="146" t="str">
        <f t="shared" si="2"/>
        <v>NÃO</v>
      </c>
      <c r="BE201" s="129"/>
    </row>
    <row r="202" spans="56:57" ht="30" customHeight="1">
      <c r="BD202" s="146" t="str">
        <f t="shared" si="2"/>
        <v>NÃO</v>
      </c>
      <c r="BE202" s="129"/>
    </row>
    <row r="203" spans="56:57" ht="30" customHeight="1">
      <c r="BD203" s="146" t="str">
        <f t="shared" si="2"/>
        <v>NÃO</v>
      </c>
      <c r="BE203" s="129"/>
    </row>
    <row r="204" spans="56:57" ht="30" customHeight="1">
      <c r="BD204" s="146" t="str">
        <f t="shared" si="2"/>
        <v>NÃO</v>
      </c>
      <c r="BE204" s="129"/>
    </row>
    <row r="205" spans="56:57" ht="30" customHeight="1">
      <c r="BD205" s="146" t="str">
        <f t="shared" si="2"/>
        <v>NÃO</v>
      </c>
      <c r="BE205" s="129"/>
    </row>
    <row r="206" spans="56:57" ht="30" customHeight="1">
      <c r="BD206" s="146" t="str">
        <f t="shared" si="2"/>
        <v>NÃO</v>
      </c>
      <c r="BE206" s="129"/>
    </row>
    <row r="207" spans="56:57" ht="30" customHeight="1">
      <c r="BD207" s="146" t="str">
        <f t="shared" si="2"/>
        <v>NÃO</v>
      </c>
      <c r="BE207" s="129"/>
    </row>
    <row r="208" spans="56:57" ht="30" customHeight="1">
      <c r="BD208" s="146" t="str">
        <f t="shared" si="2"/>
        <v>NÃO</v>
      </c>
      <c r="BE208" s="129"/>
    </row>
    <row r="209" spans="56:57" ht="30" customHeight="1">
      <c r="BD209" s="146" t="str">
        <f t="shared" si="2"/>
        <v>NÃO</v>
      </c>
      <c r="BE209" s="129"/>
    </row>
    <row r="210" spans="56:57" ht="30" customHeight="1">
      <c r="BD210" s="146" t="str">
        <f t="shared" si="2"/>
        <v>NÃO</v>
      </c>
      <c r="BE210" s="129"/>
    </row>
    <row r="211" spans="56:57" ht="30" customHeight="1">
      <c r="BD211" s="146" t="str">
        <f t="shared" si="2"/>
        <v>NÃO</v>
      </c>
      <c r="BE211" s="129"/>
    </row>
    <row r="212" spans="56:57" ht="30" customHeight="1">
      <c r="BD212" s="146" t="str">
        <f t="shared" si="2"/>
        <v>NÃO</v>
      </c>
      <c r="BE212" s="129"/>
    </row>
    <row r="213" spans="56:57" ht="30" customHeight="1">
      <c r="BD213" s="146" t="str">
        <f t="shared" si="2"/>
        <v>NÃO</v>
      </c>
      <c r="BE213" s="129"/>
    </row>
    <row r="214" spans="56:57" ht="30" customHeight="1">
      <c r="BD214" s="146" t="str">
        <f t="shared" si="2"/>
        <v>NÃO</v>
      </c>
      <c r="BE214" s="129"/>
    </row>
    <row r="215" spans="56:57" ht="30" customHeight="1">
      <c r="BD215" s="146" t="str">
        <f t="shared" si="2"/>
        <v>NÃO</v>
      </c>
      <c r="BE215" s="129"/>
    </row>
    <row r="216" spans="56:57" ht="30" customHeight="1">
      <c r="BD216" s="146" t="str">
        <f t="shared" si="2"/>
        <v>NÃO</v>
      </c>
      <c r="BE216" s="129"/>
    </row>
    <row r="217" spans="56:57" ht="30" customHeight="1">
      <c r="BD217" s="146" t="str">
        <f t="shared" si="2"/>
        <v>NÃO</v>
      </c>
      <c r="BE217" s="129"/>
    </row>
    <row r="218" spans="56:57" ht="30" customHeight="1">
      <c r="BD218" s="146" t="str">
        <f t="shared" si="2"/>
        <v>NÃO</v>
      </c>
      <c r="BE218" s="129"/>
    </row>
    <row r="219" spans="56:57" ht="30" customHeight="1">
      <c r="BD219" s="146" t="str">
        <f t="shared" si="2"/>
        <v>NÃO</v>
      </c>
      <c r="BE219" s="129"/>
    </row>
    <row r="220" spans="56:57" ht="30" customHeight="1">
      <c r="BD220" s="146" t="str">
        <f t="shared" si="2"/>
        <v>NÃO</v>
      </c>
      <c r="BE220" s="129"/>
    </row>
    <row r="221" spans="56:57" ht="30" customHeight="1">
      <c r="BD221" s="146" t="str">
        <f t="shared" si="2"/>
        <v>NÃO</v>
      </c>
      <c r="BE221" s="129"/>
    </row>
    <row r="222" spans="56:57" ht="30" customHeight="1">
      <c r="BD222" s="146" t="str">
        <f t="shared" si="2"/>
        <v>NÃO</v>
      </c>
      <c r="BE222" s="129"/>
    </row>
    <row r="223" spans="56:57" ht="30" customHeight="1">
      <c r="BD223" s="146" t="str">
        <f t="shared" si="2"/>
        <v>NÃO</v>
      </c>
      <c r="BE223" s="129"/>
    </row>
    <row r="224" spans="56:57" ht="30" customHeight="1">
      <c r="BD224" s="146" t="str">
        <f t="shared" si="2"/>
        <v>NÃO</v>
      </c>
      <c r="BE224" s="129"/>
    </row>
    <row r="225" spans="56:57" ht="30" customHeight="1">
      <c r="BD225" s="146" t="str">
        <f t="shared" si="2"/>
        <v>NÃO</v>
      </c>
      <c r="BE225" s="129"/>
    </row>
    <row r="226" spans="56:57" ht="30" customHeight="1">
      <c r="BD226" s="146" t="str">
        <f t="shared" si="2"/>
        <v>NÃO</v>
      </c>
      <c r="BE226" s="129"/>
    </row>
    <row r="227" spans="56:57" ht="30" customHeight="1">
      <c r="BD227" s="146" t="str">
        <f t="shared" si="2"/>
        <v>NÃO</v>
      </c>
      <c r="BE227" s="129"/>
    </row>
    <row r="228" spans="56:57" ht="30" customHeight="1">
      <c r="BD228" s="146" t="str">
        <f t="shared" si="2"/>
        <v>NÃO</v>
      </c>
      <c r="BE228" s="129"/>
    </row>
    <row r="229" spans="56:57" ht="30" customHeight="1">
      <c r="BD229" s="146" t="str">
        <f t="shared" si="2"/>
        <v>NÃO</v>
      </c>
      <c r="BE229" s="129"/>
    </row>
    <row r="230" spans="56:57" ht="30" customHeight="1">
      <c r="BD230" s="146" t="str">
        <f t="shared" si="2"/>
        <v>NÃO</v>
      </c>
      <c r="BE230" s="129"/>
    </row>
    <row r="231" spans="56:57" ht="30" customHeight="1">
      <c r="BD231" s="146" t="str">
        <f t="shared" si="2"/>
        <v>NÃO</v>
      </c>
      <c r="BE231" s="129"/>
    </row>
    <row r="232" spans="56:57" ht="30" customHeight="1">
      <c r="BD232" s="146" t="str">
        <f t="shared" si="2"/>
        <v>NÃO</v>
      </c>
      <c r="BE232" s="129"/>
    </row>
    <row r="233" spans="56:57" ht="30" customHeight="1">
      <c r="BD233" s="146" t="str">
        <f t="shared" si="2"/>
        <v>NÃO</v>
      </c>
      <c r="BE233" s="129"/>
    </row>
    <row r="234" spans="56:57" ht="30" customHeight="1">
      <c r="BD234" s="146" t="str">
        <f t="shared" si="2"/>
        <v>NÃO</v>
      </c>
      <c r="BE234" s="129"/>
    </row>
    <row r="235" spans="56:57" ht="30" customHeight="1">
      <c r="BD235" s="146" t="str">
        <f t="shared" si="2"/>
        <v>NÃO</v>
      </c>
      <c r="BE235" s="129"/>
    </row>
    <row r="236" spans="56:57" ht="30" customHeight="1">
      <c r="BD236" s="146" t="str">
        <f t="shared" si="2"/>
        <v>NÃO</v>
      </c>
      <c r="BE236" s="129"/>
    </row>
    <row r="237" spans="56:57" ht="30" customHeight="1">
      <c r="BD237" s="146" t="str">
        <f t="shared" si="2"/>
        <v>NÃO</v>
      </c>
      <c r="BE237" s="129"/>
    </row>
    <row r="238" spans="56:57" ht="30" customHeight="1">
      <c r="BD238" s="146" t="str">
        <f t="shared" si="2"/>
        <v>NÃO</v>
      </c>
      <c r="BE238" s="129"/>
    </row>
    <row r="239" spans="56:57" ht="30" customHeight="1">
      <c r="BD239" s="146" t="str">
        <f t="shared" si="2"/>
        <v>NÃO</v>
      </c>
      <c r="BE239" s="129"/>
    </row>
    <row r="240" spans="56:57" ht="30" customHeight="1">
      <c r="BD240" s="146" t="str">
        <f t="shared" si="2"/>
        <v>NÃO</v>
      </c>
      <c r="BE240" s="129"/>
    </row>
    <row r="241" spans="56:57" ht="30" customHeight="1">
      <c r="BD241" s="146" t="str">
        <f t="shared" si="2"/>
        <v>NÃO</v>
      </c>
      <c r="BE241" s="129"/>
    </row>
    <row r="242" spans="56:57" ht="30" customHeight="1">
      <c r="BD242" s="146" t="str">
        <f t="shared" si="2"/>
        <v>NÃO</v>
      </c>
      <c r="BE242" s="129"/>
    </row>
    <row r="243" spans="56:57" ht="30" customHeight="1">
      <c r="BD243" s="146" t="str">
        <f t="shared" si="2"/>
        <v>NÃO</v>
      </c>
      <c r="BE243" s="129"/>
    </row>
    <row r="244" spans="56:57" ht="30" customHeight="1">
      <c r="BD244" s="146" t="str">
        <f t="shared" si="2"/>
        <v>NÃO</v>
      </c>
      <c r="BE244" s="129"/>
    </row>
    <row r="245" spans="56:57" ht="30" customHeight="1">
      <c r="BD245" s="146" t="str">
        <f t="shared" si="2"/>
        <v>NÃO</v>
      </c>
      <c r="BE245" s="129"/>
    </row>
    <row r="246" spans="56:57" ht="30" customHeight="1">
      <c r="BD246" s="146" t="str">
        <f t="shared" ref="BD246:BD269" si="3">IF(AND(AX246&lt;&gt;"AGUARDANDO",AX246&lt;&gt;"",N246="AUXÍLIO ALUGUEL ATÉ INDENIZAÇÃO"),"SIM","NÃO")</f>
        <v>NÃO</v>
      </c>
      <c r="BE246" s="129"/>
    </row>
    <row r="247" spans="56:57" ht="30" customHeight="1">
      <c r="BD247" s="146" t="str">
        <f t="shared" si="3"/>
        <v>NÃO</v>
      </c>
      <c r="BE247" s="129"/>
    </row>
    <row r="248" spans="56:57" ht="30" customHeight="1">
      <c r="BD248" s="146" t="str">
        <f t="shared" si="3"/>
        <v>NÃO</v>
      </c>
      <c r="BE248" s="129"/>
    </row>
    <row r="249" spans="56:57" ht="30" customHeight="1">
      <c r="BD249" s="146" t="str">
        <f t="shared" si="3"/>
        <v>NÃO</v>
      </c>
      <c r="BE249" s="129"/>
    </row>
    <row r="250" spans="56:57" ht="30" customHeight="1">
      <c r="BD250" s="146" t="str">
        <f t="shared" si="3"/>
        <v>NÃO</v>
      </c>
      <c r="BE250" s="129"/>
    </row>
    <row r="251" spans="56:57" ht="30" customHeight="1">
      <c r="BD251" s="146" t="str">
        <f t="shared" si="3"/>
        <v>NÃO</v>
      </c>
      <c r="BE251" s="129"/>
    </row>
    <row r="252" spans="56:57" ht="30" customHeight="1">
      <c r="BD252" s="146" t="str">
        <f t="shared" si="3"/>
        <v>NÃO</v>
      </c>
      <c r="BE252" s="129"/>
    </row>
    <row r="253" spans="56:57" ht="30" customHeight="1">
      <c r="BD253" s="146" t="str">
        <f t="shared" si="3"/>
        <v>NÃO</v>
      </c>
      <c r="BE253" s="129"/>
    </row>
    <row r="254" spans="56:57" ht="30" customHeight="1">
      <c r="BD254" s="146" t="str">
        <f t="shared" si="3"/>
        <v>NÃO</v>
      </c>
      <c r="BE254" s="129"/>
    </row>
    <row r="255" spans="56:57" ht="30" customHeight="1">
      <c r="BD255" s="146" t="str">
        <f t="shared" si="3"/>
        <v>NÃO</v>
      </c>
      <c r="BE255" s="129"/>
    </row>
    <row r="256" spans="56:57" ht="30" customHeight="1">
      <c r="BD256" s="146" t="str">
        <f t="shared" si="3"/>
        <v>NÃO</v>
      </c>
      <c r="BE256" s="129"/>
    </row>
    <row r="257" spans="56:57" ht="30" customHeight="1">
      <c r="BD257" s="146" t="str">
        <f t="shared" si="3"/>
        <v>NÃO</v>
      </c>
      <c r="BE257" s="129"/>
    </row>
    <row r="258" spans="56:57" ht="30" customHeight="1">
      <c r="BD258" s="146" t="str">
        <f t="shared" si="3"/>
        <v>NÃO</v>
      </c>
      <c r="BE258" s="129"/>
    </row>
    <row r="259" spans="56:57" ht="30" customHeight="1">
      <c r="BD259" s="146" t="str">
        <f t="shared" si="3"/>
        <v>NÃO</v>
      </c>
      <c r="BE259" s="129"/>
    </row>
    <row r="260" spans="56:57" ht="30" customHeight="1">
      <c r="BD260" s="146" t="str">
        <f t="shared" si="3"/>
        <v>NÃO</v>
      </c>
      <c r="BE260" s="129"/>
    </row>
    <row r="261" spans="56:57" ht="30" customHeight="1">
      <c r="BD261" s="146" t="str">
        <f t="shared" si="3"/>
        <v>NÃO</v>
      </c>
      <c r="BE261" s="129"/>
    </row>
    <row r="262" spans="56:57" ht="30" customHeight="1">
      <c r="BD262" s="146" t="str">
        <f t="shared" si="3"/>
        <v>NÃO</v>
      </c>
      <c r="BE262" s="129"/>
    </row>
    <row r="263" spans="56:57" ht="30" customHeight="1">
      <c r="BD263" s="146" t="str">
        <f t="shared" si="3"/>
        <v>NÃO</v>
      </c>
      <c r="BE263" s="129"/>
    </row>
    <row r="264" spans="56:57" ht="30" customHeight="1">
      <c r="BD264" s="146" t="str">
        <f t="shared" si="3"/>
        <v>NÃO</v>
      </c>
      <c r="BE264" s="129"/>
    </row>
    <row r="265" spans="56:57" ht="30" customHeight="1">
      <c r="BD265" s="146" t="str">
        <f t="shared" si="3"/>
        <v>NÃO</v>
      </c>
      <c r="BE265" s="129"/>
    </row>
    <row r="266" spans="56:57" ht="30" customHeight="1">
      <c r="BD266" s="146" t="str">
        <f t="shared" si="3"/>
        <v>NÃO</v>
      </c>
      <c r="BE266" s="129"/>
    </row>
    <row r="267" spans="56:57" ht="30" customHeight="1">
      <c r="BD267" s="146" t="str">
        <f t="shared" si="3"/>
        <v>NÃO</v>
      </c>
      <c r="BE267" s="129"/>
    </row>
    <row r="268" spans="56:57" ht="30" customHeight="1">
      <c r="BD268" s="146" t="str">
        <f t="shared" si="3"/>
        <v>NÃO</v>
      </c>
      <c r="BE268" s="129"/>
    </row>
    <row r="269" spans="56:57" ht="30" customHeight="1">
      <c r="BD269" s="146" t="str">
        <f t="shared" si="3"/>
        <v>NÃO</v>
      </c>
      <c r="BE269" s="129"/>
    </row>
    <row r="37855" ht="29.25" customHeight="1"/>
  </sheetData>
  <autoFilter ref="A13:CY13" xr:uid="{00000000-0001-0000-0000-000000000000}"/>
  <sortState xmlns:xlrd2="http://schemas.microsoft.com/office/spreadsheetml/2017/richdata2" ref="A14:BL14">
    <sortCondition ref="J14"/>
  </sortState>
  <dataConsolidate function="product"/>
  <mergeCells count="6">
    <mergeCell ref="BC12:BL12"/>
    <mergeCell ref="AP10:AT10"/>
    <mergeCell ref="P12:AA12"/>
    <mergeCell ref="A12:O12"/>
    <mergeCell ref="AB12:AZ12"/>
    <mergeCell ref="BA12:BB12"/>
  </mergeCells>
  <phoneticPr fontId="7" type="noConversion"/>
  <conditionalFormatting sqref="BC14:BD14">
    <cfRule type="cellIs" dxfId="35" priority="59" operator="equal">
      <formula>"FINALIZADO"</formula>
    </cfRule>
  </conditionalFormatting>
  <conditionalFormatting sqref="BA1:BA1048576">
    <cfRule type="containsText" dxfId="34" priority="58" operator="containsText" text="FINALIZADO">
      <formula>NOT(ISERROR(SEARCH("FINALIZADO",BA1)))</formula>
    </cfRule>
  </conditionalFormatting>
  <conditionalFormatting sqref="BA14">
    <cfRule type="containsText" dxfId="33" priority="55" operator="containsText" text="FINALIZADO">
      <formula>NOT(ISERROR(SEARCH("FINALIZADO",BA14)))</formula>
    </cfRule>
  </conditionalFormatting>
  <conditionalFormatting sqref="BA14">
    <cfRule type="containsText" dxfId="32" priority="54" operator="containsText" text="FINALIZADO">
      <formula>NOT(ISERROR(SEARCH("FINALIZADO",BA14)))</formula>
    </cfRule>
  </conditionalFormatting>
  <conditionalFormatting sqref="AX1:AX13 AX15:AX1048576">
    <cfRule type="cellIs" dxfId="31" priority="47" operator="between">
      <formula>36526</formula>
      <formula>402133</formula>
    </cfRule>
  </conditionalFormatting>
  <conditionalFormatting sqref="BC1:BC1048576">
    <cfRule type="cellIs" dxfId="30" priority="32" operator="equal">
      <formula>"AA"</formula>
    </cfRule>
  </conditionalFormatting>
  <conditionalFormatting sqref="BC1:BC1048576">
    <cfRule type="cellIs" dxfId="29" priority="31" operator="equal">
      <formula>"INDENIZAÇÃO"</formula>
    </cfRule>
  </conditionalFormatting>
  <conditionalFormatting sqref="F1:F1048576">
    <cfRule type="duplicateValues" dxfId="28" priority="1"/>
  </conditionalFormatting>
  <dataValidations count="1">
    <dataValidation allowBlank="1" showInputMessage="1" showErrorMessage="1" sqref="O14:AA14 A14:F14 AK14:AM14 BB14 AI14 AO14:AY14 BE14:BK14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3:H1017"/>
  <sheetViews>
    <sheetView workbookViewId="0">
      <selection activeCell="C10" sqref="C10"/>
    </sheetView>
  </sheetViews>
  <sheetFormatPr defaultColWidth="9.140625" defaultRowHeight="20.25" customHeight="1"/>
  <cols>
    <col min="1" max="1" width="29.28515625" style="121" bestFit="1" customWidth="1"/>
    <col min="2" max="2" width="29.28515625" style="121" customWidth="1"/>
    <col min="3" max="3" width="50" style="121" customWidth="1"/>
    <col min="4" max="4" width="47.28515625" style="121" bestFit="1" customWidth="1"/>
    <col min="5" max="5" width="30.7109375" style="121" bestFit="1" customWidth="1"/>
    <col min="6" max="6" width="12.28515625" style="121" bestFit="1" customWidth="1"/>
    <col min="7" max="7" width="25.85546875" style="121" customWidth="1"/>
    <col min="8" max="8" width="11.85546875" style="121" bestFit="1" customWidth="1"/>
    <col min="9" max="9" width="22.5703125" style="121" customWidth="1"/>
    <col min="10" max="10" width="26" style="121" bestFit="1" customWidth="1"/>
    <col min="11" max="14" width="9.140625" style="121"/>
    <col min="15" max="15" width="3.140625" style="121" bestFit="1" customWidth="1"/>
    <col min="16" max="16" width="118.85546875" style="121" bestFit="1" customWidth="1"/>
    <col min="17" max="16384" width="9.140625" style="121"/>
  </cols>
  <sheetData>
    <row r="3" spans="1:8" ht="20.25" customHeight="1">
      <c r="F3" s="99" t="s">
        <v>110</v>
      </c>
      <c r="H3" s="15" t="s">
        <v>111</v>
      </c>
    </row>
    <row r="4" spans="1:8" ht="20.25" customHeight="1">
      <c r="A4" s="199" t="s">
        <v>38</v>
      </c>
      <c r="B4" s="199" t="s">
        <v>42</v>
      </c>
      <c r="C4" s="200" t="s">
        <v>46</v>
      </c>
      <c r="D4" s="201" t="s">
        <v>60</v>
      </c>
      <c r="F4" s="100" t="s">
        <v>112</v>
      </c>
      <c r="H4" s="15" t="s">
        <v>113</v>
      </c>
    </row>
    <row r="5" spans="1:8" ht="20.25" customHeight="1">
      <c r="A5" s="195" t="s">
        <v>97</v>
      </c>
      <c r="B5" s="195" t="s">
        <v>99</v>
      </c>
      <c r="C5" s="196" t="s">
        <v>100</v>
      </c>
      <c r="D5" s="197">
        <v>46017</v>
      </c>
      <c r="F5" s="100" t="s">
        <v>114</v>
      </c>
      <c r="H5" s="15" t="s">
        <v>115</v>
      </c>
    </row>
    <row r="6" spans="1:8" ht="20.25" customHeight="1">
      <c r="A6" s="124"/>
      <c r="B6" s="124"/>
      <c r="C6" s="186"/>
      <c r="D6" s="198"/>
      <c r="F6" s="99" t="s">
        <v>116</v>
      </c>
      <c r="H6" s="15" t="s">
        <v>117</v>
      </c>
    </row>
    <row r="7" spans="1:8" ht="20.25" customHeight="1">
      <c r="A7" s="123"/>
      <c r="B7" s="123"/>
      <c r="C7" s="123"/>
      <c r="D7" s="187"/>
      <c r="F7" s="99" t="s">
        <v>118</v>
      </c>
      <c r="H7" s="15" t="s">
        <v>119</v>
      </c>
    </row>
    <row r="8" spans="1:8" ht="20.25" customHeight="1">
      <c r="A8" s="123"/>
      <c r="B8" s="123"/>
      <c r="C8" s="123"/>
      <c r="D8" s="187"/>
      <c r="F8" s="99" t="s">
        <v>120</v>
      </c>
      <c r="H8" s="15" t="s">
        <v>121</v>
      </c>
    </row>
    <row r="9" spans="1:8" ht="20.25" customHeight="1">
      <c r="A9" s="123"/>
      <c r="B9" s="123"/>
      <c r="C9" s="123"/>
      <c r="D9" s="187"/>
      <c r="F9" s="99" t="s">
        <v>117</v>
      </c>
      <c r="H9" s="15" t="s">
        <v>122</v>
      </c>
    </row>
    <row r="10" spans="1:8" ht="20.25" customHeight="1">
      <c r="A10" s="123"/>
      <c r="B10" s="123"/>
      <c r="C10" s="123"/>
      <c r="D10" s="187"/>
      <c r="F10" s="99" t="s">
        <v>123</v>
      </c>
      <c r="H10" s="15" t="s">
        <v>124</v>
      </c>
    </row>
    <row r="11" spans="1:8" ht="20.25" customHeight="1">
      <c r="A11" s="123"/>
      <c r="B11" s="123"/>
      <c r="C11" s="123"/>
      <c r="D11" s="187"/>
      <c r="F11" s="102" t="s">
        <v>125</v>
      </c>
      <c r="H11" s="15" t="s">
        <v>126</v>
      </c>
    </row>
    <row r="12" spans="1:8" ht="20.25" customHeight="1">
      <c r="A12" s="123"/>
      <c r="B12" s="123"/>
      <c r="C12" s="128"/>
      <c r="D12" s="187"/>
      <c r="F12" s="99" t="s">
        <v>127</v>
      </c>
      <c r="H12" s="15" t="s">
        <v>128</v>
      </c>
    </row>
    <row r="13" spans="1:8" ht="20.25" customHeight="1">
      <c r="A13" s="123"/>
      <c r="B13" s="123"/>
      <c r="C13" s="123"/>
      <c r="D13" s="187"/>
      <c r="F13" s="99" t="s">
        <v>129</v>
      </c>
      <c r="H13" s="15" t="s">
        <v>130</v>
      </c>
    </row>
    <row r="14" spans="1:8" ht="20.25" customHeight="1">
      <c r="A14" s="123"/>
      <c r="B14" s="123"/>
      <c r="C14" s="128"/>
      <c r="D14" s="187"/>
      <c r="F14" s="99" t="s">
        <v>131</v>
      </c>
      <c r="H14" s="15" t="s">
        <v>132</v>
      </c>
    </row>
    <row r="15" spans="1:8" ht="20.25" customHeight="1">
      <c r="A15" s="123"/>
      <c r="B15" s="123"/>
      <c r="C15" s="123"/>
      <c r="D15" s="187"/>
      <c r="F15" s="99" t="s">
        <v>133</v>
      </c>
      <c r="H15" s="15" t="s">
        <v>134</v>
      </c>
    </row>
    <row r="16" spans="1:8" ht="20.25" customHeight="1">
      <c r="A16" s="123"/>
      <c r="B16" s="123"/>
      <c r="C16" s="123"/>
      <c r="D16" s="187"/>
      <c r="F16" s="102" t="s">
        <v>135</v>
      </c>
      <c r="H16" s="15" t="s">
        <v>136</v>
      </c>
    </row>
    <row r="17" spans="1:8" ht="20.25" customHeight="1">
      <c r="A17" s="123"/>
      <c r="B17" s="123"/>
      <c r="C17" s="123"/>
      <c r="D17" s="187"/>
      <c r="F17" s="102" t="s">
        <v>122</v>
      </c>
      <c r="H17" s="15" t="s">
        <v>131</v>
      </c>
    </row>
    <row r="18" spans="1:8" ht="20.25" customHeight="1">
      <c r="A18" s="123"/>
      <c r="B18" s="123"/>
      <c r="C18" s="123"/>
      <c r="D18" s="187"/>
      <c r="F18" s="99" t="s">
        <v>137</v>
      </c>
      <c r="H18" s="15" t="s">
        <v>138</v>
      </c>
    </row>
    <row r="19" spans="1:8" ht="20.25" customHeight="1">
      <c r="A19" s="123"/>
      <c r="B19" s="123"/>
      <c r="C19" s="128"/>
      <c r="D19" s="187"/>
      <c r="F19" s="99" t="s">
        <v>139</v>
      </c>
      <c r="H19" s="15" t="s">
        <v>140</v>
      </c>
    </row>
    <row r="20" spans="1:8" ht="20.25" customHeight="1">
      <c r="A20" s="123"/>
      <c r="B20" s="123"/>
      <c r="C20" s="123"/>
      <c r="D20" s="187"/>
      <c r="F20" s="99" t="s">
        <v>134</v>
      </c>
      <c r="H20" s="15" t="s">
        <v>141</v>
      </c>
    </row>
    <row r="21" spans="1:8" ht="20.25" customHeight="1">
      <c r="A21" s="123"/>
      <c r="B21" s="123"/>
      <c r="C21" s="123"/>
      <c r="D21" s="187"/>
      <c r="F21" s="99" t="s">
        <v>138</v>
      </c>
      <c r="H21" s="15" t="s">
        <v>118</v>
      </c>
    </row>
    <row r="22" spans="1:8" ht="20.25" customHeight="1">
      <c r="A22" s="123"/>
      <c r="B22" s="123"/>
      <c r="C22" s="123"/>
      <c r="D22" s="187"/>
      <c r="F22" s="99" t="s">
        <v>113</v>
      </c>
      <c r="H22" s="15" t="s">
        <v>142</v>
      </c>
    </row>
    <row r="23" spans="1:8" ht="20.25" customHeight="1">
      <c r="A23" s="123"/>
      <c r="B23" s="123"/>
      <c r="C23" s="123"/>
      <c r="D23" s="187"/>
      <c r="F23" s="99" t="s">
        <v>111</v>
      </c>
      <c r="H23" s="15" t="s">
        <v>143</v>
      </c>
    </row>
    <row r="24" spans="1:8" ht="20.25" customHeight="1">
      <c r="A24" s="123"/>
      <c r="B24" s="123"/>
      <c r="C24" s="123"/>
      <c r="D24" s="187"/>
      <c r="F24" s="99" t="s">
        <v>143</v>
      </c>
      <c r="H24" s="15" t="s">
        <v>144</v>
      </c>
    </row>
    <row r="25" spans="1:8" ht="20.25" customHeight="1">
      <c r="A25" s="123" t="s">
        <v>145</v>
      </c>
      <c r="B25" s="123"/>
      <c r="C25" s="123" t="s">
        <v>146</v>
      </c>
      <c r="D25" s="187">
        <v>45148</v>
      </c>
      <c r="F25" s="99" t="s">
        <v>142</v>
      </c>
      <c r="H25" s="15" t="s">
        <v>147</v>
      </c>
    </row>
    <row r="26" spans="1:8" ht="20.25" customHeight="1">
      <c r="A26" s="123" t="s">
        <v>145</v>
      </c>
      <c r="B26" s="123"/>
      <c r="C26" s="123" t="s">
        <v>148</v>
      </c>
      <c r="D26" s="187">
        <v>45148</v>
      </c>
      <c r="F26" s="99" t="s">
        <v>149</v>
      </c>
      <c r="H26" s="15" t="s">
        <v>150</v>
      </c>
    </row>
    <row r="27" spans="1:8" ht="20.25" customHeight="1">
      <c r="A27" s="123" t="s">
        <v>145</v>
      </c>
      <c r="B27" s="123"/>
      <c r="C27" s="123" t="s">
        <v>151</v>
      </c>
      <c r="D27" s="187">
        <v>45148</v>
      </c>
      <c r="F27" s="99" t="s">
        <v>152</v>
      </c>
      <c r="H27" s="15" t="s">
        <v>153</v>
      </c>
    </row>
    <row r="28" spans="1:8" ht="20.25" customHeight="1">
      <c r="A28" s="123" t="s">
        <v>145</v>
      </c>
      <c r="B28" s="123"/>
      <c r="C28" s="123" t="s">
        <v>154</v>
      </c>
      <c r="D28" s="187">
        <v>45148</v>
      </c>
      <c r="F28" s="99" t="s">
        <v>155</v>
      </c>
      <c r="H28" s="15" t="s">
        <v>137</v>
      </c>
    </row>
    <row r="29" spans="1:8" ht="20.25" customHeight="1">
      <c r="A29" s="123" t="s">
        <v>145</v>
      </c>
      <c r="B29" s="123"/>
      <c r="C29" s="123" t="s">
        <v>156</v>
      </c>
      <c r="D29" s="187">
        <v>45148</v>
      </c>
      <c r="F29" s="99" t="s">
        <v>157</v>
      </c>
      <c r="H29" s="15" t="s">
        <v>158</v>
      </c>
    </row>
    <row r="30" spans="1:8" ht="20.25" customHeight="1">
      <c r="A30" s="123" t="s">
        <v>145</v>
      </c>
      <c r="B30" s="123"/>
      <c r="C30" s="123" t="s">
        <v>159</v>
      </c>
      <c r="D30" s="187">
        <v>45148</v>
      </c>
      <c r="F30" s="99" t="s">
        <v>144</v>
      </c>
      <c r="H30" s="15" t="s">
        <v>139</v>
      </c>
    </row>
    <row r="31" spans="1:8" ht="20.25" customHeight="1">
      <c r="A31" s="123" t="s">
        <v>145</v>
      </c>
      <c r="B31" s="123"/>
      <c r="C31" s="123" t="s">
        <v>160</v>
      </c>
      <c r="D31" s="187">
        <v>45148</v>
      </c>
      <c r="F31" s="99" t="s">
        <v>161</v>
      </c>
      <c r="H31" s="15" t="s">
        <v>162</v>
      </c>
    </row>
    <row r="32" spans="1:8" ht="20.25" customHeight="1">
      <c r="A32" s="123" t="s">
        <v>145</v>
      </c>
      <c r="B32" s="123"/>
      <c r="C32" s="128" t="s">
        <v>163</v>
      </c>
      <c r="D32" s="187">
        <v>45148</v>
      </c>
      <c r="F32" s="99" t="s">
        <v>121</v>
      </c>
      <c r="H32" s="15" t="s">
        <v>155</v>
      </c>
    </row>
    <row r="33" spans="1:8" ht="20.25" customHeight="1">
      <c r="A33" s="123" t="s">
        <v>145</v>
      </c>
      <c r="B33" s="123"/>
      <c r="C33" s="128" t="s">
        <v>164</v>
      </c>
      <c r="D33" s="187">
        <v>45148</v>
      </c>
      <c r="F33" s="99" t="s">
        <v>165</v>
      </c>
      <c r="H33" s="15" t="s">
        <v>133</v>
      </c>
    </row>
    <row r="34" spans="1:8" ht="20.25" customHeight="1">
      <c r="A34" s="124"/>
      <c r="B34" s="124"/>
      <c r="C34" s="186"/>
      <c r="D34" s="179"/>
      <c r="F34" s="99" t="s">
        <v>136</v>
      </c>
      <c r="H34" s="15" t="s">
        <v>112</v>
      </c>
    </row>
    <row r="35" spans="1:8" ht="20.25" customHeight="1">
      <c r="A35" s="123"/>
      <c r="B35" s="123"/>
      <c r="C35" s="128"/>
      <c r="D35" s="147"/>
      <c r="F35" s="99" t="s">
        <v>153</v>
      </c>
      <c r="H35" s="15" t="s">
        <v>166</v>
      </c>
    </row>
    <row r="36" spans="1:8" ht="20.25" customHeight="1">
      <c r="A36" s="123"/>
      <c r="B36" s="123"/>
      <c r="C36" s="123"/>
      <c r="D36" s="147"/>
      <c r="F36" s="99" t="s">
        <v>167</v>
      </c>
      <c r="H36" s="15" t="s">
        <v>168</v>
      </c>
    </row>
    <row r="37" spans="1:8" ht="20.25" customHeight="1">
      <c r="A37" s="123"/>
      <c r="B37" s="123"/>
      <c r="C37" s="123"/>
      <c r="D37" s="147"/>
      <c r="F37" s="99" t="s">
        <v>147</v>
      </c>
      <c r="H37" s="15" t="s">
        <v>125</v>
      </c>
    </row>
    <row r="38" spans="1:8" ht="20.25" customHeight="1">
      <c r="A38" s="123"/>
      <c r="B38" s="123"/>
      <c r="C38" s="128"/>
      <c r="D38" s="145"/>
      <c r="F38" s="99" t="s">
        <v>169</v>
      </c>
      <c r="H38" s="15" t="s">
        <v>170</v>
      </c>
    </row>
    <row r="39" spans="1:8" ht="20.25" customHeight="1">
      <c r="A39" s="123"/>
      <c r="B39" s="123"/>
      <c r="C39" s="128"/>
      <c r="D39" s="147"/>
      <c r="F39" s="99" t="s">
        <v>130</v>
      </c>
      <c r="H39" s="15" t="s">
        <v>169</v>
      </c>
    </row>
    <row r="40" spans="1:8" ht="20.25" customHeight="1">
      <c r="A40" s="123"/>
      <c r="B40" s="123"/>
      <c r="C40" s="128"/>
      <c r="D40" s="147"/>
      <c r="F40" s="99" t="s">
        <v>162</v>
      </c>
      <c r="H40" s="15" t="s">
        <v>157</v>
      </c>
    </row>
    <row r="41" spans="1:8" ht="20.25" customHeight="1">
      <c r="A41" s="123"/>
      <c r="B41" s="123"/>
      <c r="C41" s="123"/>
      <c r="D41" s="147"/>
      <c r="F41" s="99" t="s">
        <v>158</v>
      </c>
      <c r="H41" s="15" t="s">
        <v>165</v>
      </c>
    </row>
    <row r="42" spans="1:8" ht="20.25" customHeight="1">
      <c r="A42" s="173"/>
      <c r="B42" s="173"/>
      <c r="C42" s="173"/>
      <c r="D42" s="147"/>
      <c r="F42" s="99" t="s">
        <v>115</v>
      </c>
      <c r="H42" s="15" t="s">
        <v>171</v>
      </c>
    </row>
    <row r="43" spans="1:8" ht="20.25" customHeight="1">
      <c r="A43" s="123"/>
      <c r="B43" s="123"/>
      <c r="C43" s="128"/>
      <c r="D43" s="147"/>
      <c r="F43" s="99" t="s">
        <v>171</v>
      </c>
      <c r="H43" s="122" t="s">
        <v>172</v>
      </c>
    </row>
    <row r="44" spans="1:8" ht="20.25" customHeight="1">
      <c r="A44" s="171"/>
      <c r="B44" s="171"/>
      <c r="C44" s="172"/>
      <c r="D44" s="145"/>
      <c r="F44" s="99" t="s">
        <v>173</v>
      </c>
      <c r="H44" s="122" t="s">
        <v>149</v>
      </c>
    </row>
    <row r="45" spans="1:8" ht="20.25" customHeight="1">
      <c r="A45" s="165"/>
      <c r="B45" s="165"/>
      <c r="C45" s="166"/>
      <c r="D45" s="147"/>
      <c r="F45" s="99" t="s">
        <v>174</v>
      </c>
      <c r="H45" s="122" t="s">
        <v>175</v>
      </c>
    </row>
    <row r="46" spans="1:8" ht="20.25" customHeight="1">
      <c r="A46" s="165"/>
      <c r="B46" s="165"/>
      <c r="C46" s="166"/>
      <c r="D46" s="147"/>
      <c r="F46" s="99" t="s">
        <v>141</v>
      </c>
      <c r="H46" s="122" t="s">
        <v>176</v>
      </c>
    </row>
    <row r="47" spans="1:8" ht="20.25" customHeight="1">
      <c r="A47" s="165"/>
      <c r="B47" s="165"/>
      <c r="C47" s="166"/>
      <c r="D47" s="147"/>
      <c r="F47" s="99" t="s">
        <v>177</v>
      </c>
      <c r="H47" s="122" t="s">
        <v>135</v>
      </c>
    </row>
    <row r="48" spans="1:8" ht="20.25" customHeight="1">
      <c r="A48" s="165" t="s">
        <v>145</v>
      </c>
      <c r="B48" s="165"/>
      <c r="C48" s="166" t="s">
        <v>178</v>
      </c>
      <c r="D48" s="147">
        <v>44840</v>
      </c>
      <c r="F48" s="99" t="s">
        <v>179</v>
      </c>
      <c r="H48" s="122" t="s">
        <v>161</v>
      </c>
    </row>
    <row r="49" spans="1:8" ht="20.25" customHeight="1">
      <c r="A49" s="165" t="s">
        <v>145</v>
      </c>
      <c r="B49" s="165"/>
      <c r="C49" s="166" t="s">
        <v>180</v>
      </c>
      <c r="D49" s="145"/>
      <c r="F49" s="99" t="s">
        <v>181</v>
      </c>
      <c r="H49" s="122" t="s">
        <v>182</v>
      </c>
    </row>
    <row r="50" spans="1:8" ht="20.25" customHeight="1">
      <c r="A50" s="165" t="s">
        <v>145</v>
      </c>
      <c r="B50" s="165"/>
      <c r="C50" s="166" t="s">
        <v>183</v>
      </c>
      <c r="D50" s="145"/>
      <c r="F50" s="117" t="s">
        <v>184</v>
      </c>
      <c r="H50" s="122" t="s">
        <v>116</v>
      </c>
    </row>
    <row r="51" spans="1:8" ht="20.25" customHeight="1">
      <c r="A51" s="165" t="s">
        <v>145</v>
      </c>
      <c r="B51" s="165"/>
      <c r="C51" s="166" t="s">
        <v>185</v>
      </c>
      <c r="D51" s="145"/>
      <c r="F51" s="117" t="s">
        <v>186</v>
      </c>
      <c r="H51" s="122" t="s">
        <v>110</v>
      </c>
    </row>
    <row r="52" spans="1:8" ht="20.25" customHeight="1">
      <c r="A52" s="165" t="s">
        <v>145</v>
      </c>
      <c r="B52" s="165"/>
      <c r="C52" s="166" t="s">
        <v>187</v>
      </c>
      <c r="D52" s="147">
        <v>44992</v>
      </c>
      <c r="F52" s="117" t="s">
        <v>188</v>
      </c>
      <c r="H52" s="122" t="s">
        <v>177</v>
      </c>
    </row>
    <row r="53" spans="1:8" ht="20.25" customHeight="1">
      <c r="A53" s="165" t="s">
        <v>145</v>
      </c>
      <c r="B53" s="165"/>
      <c r="C53" s="165" t="s">
        <v>189</v>
      </c>
      <c r="D53" s="164">
        <v>45013</v>
      </c>
      <c r="F53" s="117" t="s">
        <v>190</v>
      </c>
      <c r="H53" s="122" t="s">
        <v>184</v>
      </c>
    </row>
    <row r="54" spans="1:8" ht="20.25" customHeight="1">
      <c r="A54" s="165" t="s">
        <v>145</v>
      </c>
      <c r="B54" s="165"/>
      <c r="C54" s="165" t="s">
        <v>191</v>
      </c>
      <c r="D54" s="164">
        <v>45013</v>
      </c>
      <c r="F54" s="120" t="s">
        <v>128</v>
      </c>
      <c r="H54" s="15" t="s">
        <v>186</v>
      </c>
    </row>
    <row r="55" spans="1:8" ht="20.25" customHeight="1">
      <c r="A55" s="165" t="s">
        <v>145</v>
      </c>
      <c r="B55" s="165"/>
      <c r="C55" s="166" t="s">
        <v>192</v>
      </c>
      <c r="D55" s="145" t="s">
        <v>24</v>
      </c>
      <c r="F55" s="117" t="s">
        <v>193</v>
      </c>
      <c r="H55" s="15" t="s">
        <v>194</v>
      </c>
    </row>
    <row r="56" spans="1:8" ht="20.25" customHeight="1">
      <c r="A56" s="165" t="s">
        <v>145</v>
      </c>
      <c r="B56" s="165"/>
      <c r="C56" s="166" t="s">
        <v>195</v>
      </c>
      <c r="D56" s="164">
        <v>45013</v>
      </c>
      <c r="F56" s="117" t="s">
        <v>124</v>
      </c>
      <c r="H56" s="15" t="s">
        <v>173</v>
      </c>
    </row>
    <row r="57" spans="1:8" ht="20.25" customHeight="1">
      <c r="A57" s="165" t="s">
        <v>145</v>
      </c>
      <c r="B57" s="165"/>
      <c r="C57" s="165" t="s">
        <v>196</v>
      </c>
      <c r="D57" s="145" t="s">
        <v>24</v>
      </c>
      <c r="F57" s="120" t="s">
        <v>182</v>
      </c>
      <c r="H57" s="15" t="s">
        <v>197</v>
      </c>
    </row>
    <row r="58" spans="1:8" ht="20.25" customHeight="1">
      <c r="A58" s="165" t="s">
        <v>145</v>
      </c>
      <c r="B58" s="165"/>
      <c r="C58" s="165" t="s">
        <v>198</v>
      </c>
      <c r="D58" s="145" t="s">
        <v>24</v>
      </c>
      <c r="F58" s="117" t="s">
        <v>150</v>
      </c>
      <c r="H58" s="15" t="s">
        <v>123</v>
      </c>
    </row>
    <row r="59" spans="1:8" ht="20.25" customHeight="1">
      <c r="A59" s="165" t="s">
        <v>145</v>
      </c>
      <c r="B59" s="165"/>
      <c r="C59" s="165" t="s">
        <v>199</v>
      </c>
      <c r="D59" s="147">
        <v>44840</v>
      </c>
      <c r="F59" s="117" t="s">
        <v>176</v>
      </c>
      <c r="H59" s="15" t="s">
        <v>127</v>
      </c>
    </row>
    <row r="60" spans="1:8" ht="20.25" customHeight="1">
      <c r="A60" s="165" t="s">
        <v>145</v>
      </c>
      <c r="B60" s="165"/>
      <c r="C60" s="165" t="s">
        <v>200</v>
      </c>
      <c r="D60" s="147">
        <v>44816</v>
      </c>
      <c r="F60" s="120" t="s">
        <v>126</v>
      </c>
      <c r="H60" s="15" t="s">
        <v>188</v>
      </c>
    </row>
    <row r="61" spans="1:8" ht="20.25" customHeight="1">
      <c r="A61" s="165" t="s">
        <v>145</v>
      </c>
      <c r="B61" s="165"/>
      <c r="C61" s="165" t="s">
        <v>201</v>
      </c>
      <c r="D61" s="145"/>
      <c r="F61" s="117" t="s">
        <v>197</v>
      </c>
      <c r="H61" s="15" t="s">
        <v>202</v>
      </c>
    </row>
    <row r="62" spans="1:8" ht="20.25" customHeight="1">
      <c r="A62" s="165" t="s">
        <v>145</v>
      </c>
      <c r="B62" s="165"/>
      <c r="C62" s="165" t="s">
        <v>203</v>
      </c>
      <c r="D62" s="147">
        <v>44840</v>
      </c>
      <c r="F62" s="117" t="s">
        <v>132</v>
      </c>
      <c r="H62" s="15" t="s">
        <v>114</v>
      </c>
    </row>
    <row r="63" spans="1:8" ht="20.25" customHeight="1">
      <c r="A63" s="165" t="s">
        <v>145</v>
      </c>
      <c r="B63" s="165"/>
      <c r="C63" s="166" t="s">
        <v>204</v>
      </c>
      <c r="D63" s="147">
        <v>44862</v>
      </c>
      <c r="F63" s="118" t="s">
        <v>119</v>
      </c>
      <c r="H63" s="15" t="s">
        <v>190</v>
      </c>
    </row>
    <row r="64" spans="1:8" ht="20.25" customHeight="1">
      <c r="A64" s="165" t="s">
        <v>145</v>
      </c>
      <c r="B64" s="165"/>
      <c r="C64" s="165" t="s">
        <v>205</v>
      </c>
      <c r="D64" s="145" t="s">
        <v>24</v>
      </c>
      <c r="F64" s="117" t="s">
        <v>166</v>
      </c>
      <c r="H64" s="15" t="s">
        <v>206</v>
      </c>
    </row>
    <row r="65" spans="1:8" ht="20.25" customHeight="1">
      <c r="A65" s="165" t="s">
        <v>145</v>
      </c>
      <c r="B65" s="165"/>
      <c r="C65" s="165" t="s">
        <v>207</v>
      </c>
      <c r="D65" s="147">
        <v>44840</v>
      </c>
      <c r="F65" s="117" t="s">
        <v>206</v>
      </c>
      <c r="H65" s="15" t="s">
        <v>179</v>
      </c>
    </row>
    <row r="66" spans="1:8" ht="20.25" customHeight="1">
      <c r="A66" s="165" t="s">
        <v>145</v>
      </c>
      <c r="B66" s="165"/>
      <c r="C66" s="165" t="s">
        <v>208</v>
      </c>
      <c r="D66" s="147">
        <v>44889</v>
      </c>
      <c r="F66" s="117" t="s">
        <v>140</v>
      </c>
      <c r="H66" s="15" t="s">
        <v>193</v>
      </c>
    </row>
    <row r="67" spans="1:8" ht="20.25" customHeight="1">
      <c r="A67" s="165" t="s">
        <v>145</v>
      </c>
      <c r="B67" s="165"/>
      <c r="C67" s="165" t="s">
        <v>209</v>
      </c>
      <c r="D67" s="147">
        <v>44922</v>
      </c>
      <c r="F67" s="101" t="s">
        <v>172</v>
      </c>
      <c r="H67" s="15" t="s">
        <v>167</v>
      </c>
    </row>
    <row r="68" spans="1:8" ht="20.25" customHeight="1">
      <c r="A68" s="165" t="s">
        <v>145</v>
      </c>
      <c r="B68" s="165"/>
      <c r="C68" s="165" t="s">
        <v>210</v>
      </c>
      <c r="D68" s="147">
        <v>44961</v>
      </c>
      <c r="F68" s="117" t="s">
        <v>175</v>
      </c>
      <c r="H68" s="15" t="s">
        <v>129</v>
      </c>
    </row>
    <row r="69" spans="1:8" ht="20.25" customHeight="1">
      <c r="A69" s="165" t="s">
        <v>145</v>
      </c>
      <c r="B69" s="165"/>
      <c r="C69" s="165" t="s">
        <v>211</v>
      </c>
      <c r="D69" s="147">
        <v>44840</v>
      </c>
      <c r="F69" s="117" t="s">
        <v>168</v>
      </c>
      <c r="H69" s="15" t="s">
        <v>152</v>
      </c>
    </row>
    <row r="70" spans="1:8" ht="20.25" customHeight="1">
      <c r="A70" s="165" t="s">
        <v>145</v>
      </c>
      <c r="B70" s="165"/>
      <c r="C70" s="165" t="s">
        <v>212</v>
      </c>
      <c r="D70" s="147">
        <v>44869</v>
      </c>
      <c r="F70" s="99" t="s">
        <v>170</v>
      </c>
    </row>
    <row r="71" spans="1:8" ht="20.25" customHeight="1">
      <c r="A71" s="165" t="s">
        <v>145</v>
      </c>
      <c r="B71" s="165"/>
      <c r="C71" s="165" t="s">
        <v>213</v>
      </c>
      <c r="D71" s="147">
        <v>44840</v>
      </c>
      <c r="F71" s="119" t="s">
        <v>194</v>
      </c>
    </row>
    <row r="72" spans="1:8" ht="20.25" customHeight="1">
      <c r="A72" s="165" t="s">
        <v>145</v>
      </c>
      <c r="B72" s="165"/>
      <c r="C72" s="165" t="s">
        <v>214</v>
      </c>
      <c r="D72" s="147">
        <v>44840</v>
      </c>
      <c r="F72" s="119" t="s">
        <v>202</v>
      </c>
    </row>
    <row r="73" spans="1:8" ht="20.25" customHeight="1">
      <c r="A73" s="165" t="s">
        <v>145</v>
      </c>
      <c r="B73" s="165"/>
      <c r="C73" s="165" t="s">
        <v>215</v>
      </c>
      <c r="D73" s="147">
        <v>44869</v>
      </c>
    </row>
    <row r="74" spans="1:8" ht="20.25" customHeight="1">
      <c r="A74" s="165" t="s">
        <v>145</v>
      </c>
      <c r="B74" s="165"/>
      <c r="C74" s="165" t="s">
        <v>216</v>
      </c>
      <c r="D74" s="147">
        <v>44840</v>
      </c>
    </row>
    <row r="75" spans="1:8" ht="20.25" customHeight="1">
      <c r="A75" s="165" t="s">
        <v>145</v>
      </c>
      <c r="B75" s="165"/>
      <c r="C75" s="165" t="s">
        <v>217</v>
      </c>
      <c r="D75" s="147">
        <v>44840</v>
      </c>
    </row>
    <row r="76" spans="1:8" ht="20.25" customHeight="1">
      <c r="A76" s="165" t="s">
        <v>145</v>
      </c>
      <c r="B76" s="165"/>
      <c r="C76" s="165" t="s">
        <v>218</v>
      </c>
      <c r="D76" s="147">
        <v>44840</v>
      </c>
    </row>
    <row r="77" spans="1:8" ht="20.25" customHeight="1">
      <c r="A77" s="165" t="s">
        <v>145</v>
      </c>
      <c r="B77" s="165"/>
      <c r="C77" s="165" t="s">
        <v>219</v>
      </c>
      <c r="D77" s="147">
        <v>44840</v>
      </c>
    </row>
    <row r="78" spans="1:8" ht="20.25" customHeight="1">
      <c r="A78" s="165" t="s">
        <v>145</v>
      </c>
      <c r="B78" s="165"/>
      <c r="C78" s="165" t="s">
        <v>220</v>
      </c>
      <c r="D78" s="145" t="s">
        <v>24</v>
      </c>
    </row>
    <row r="79" spans="1:8" ht="20.25" customHeight="1">
      <c r="A79" s="165" t="s">
        <v>145</v>
      </c>
      <c r="B79" s="165"/>
      <c r="C79" s="165" t="s">
        <v>221</v>
      </c>
      <c r="D79" s="147">
        <v>44853</v>
      </c>
    </row>
    <row r="80" spans="1:8" ht="20.25" customHeight="1">
      <c r="A80" s="165" t="s">
        <v>145</v>
      </c>
      <c r="B80" s="165"/>
      <c r="C80" s="165" t="s">
        <v>222</v>
      </c>
      <c r="D80" s="151">
        <v>45148</v>
      </c>
    </row>
    <row r="81" spans="1:4" ht="20.25" customHeight="1">
      <c r="A81" s="165" t="s">
        <v>145</v>
      </c>
      <c r="B81" s="165"/>
      <c r="C81" s="166" t="s">
        <v>223</v>
      </c>
      <c r="D81" s="145"/>
    </row>
    <row r="82" spans="1:4" ht="20.25" customHeight="1">
      <c r="A82" s="165" t="s">
        <v>145</v>
      </c>
      <c r="B82" s="165"/>
      <c r="C82" s="165" t="s">
        <v>224</v>
      </c>
      <c r="D82" s="164">
        <v>45013</v>
      </c>
    </row>
    <row r="83" spans="1:4" ht="20.25" customHeight="1">
      <c r="A83" s="165" t="s">
        <v>145</v>
      </c>
      <c r="B83" s="165"/>
      <c r="C83" s="165" t="s">
        <v>225</v>
      </c>
      <c r="D83" s="147">
        <v>44961</v>
      </c>
    </row>
    <row r="84" spans="1:4" ht="20.25" customHeight="1">
      <c r="A84" s="165" t="s">
        <v>145</v>
      </c>
      <c r="B84" s="165"/>
      <c r="C84" s="165" t="s">
        <v>226</v>
      </c>
      <c r="D84" s="147">
        <v>44923</v>
      </c>
    </row>
    <row r="85" spans="1:4" ht="20.25" customHeight="1">
      <c r="A85" s="165" t="s">
        <v>145</v>
      </c>
      <c r="B85" s="165"/>
      <c r="C85" s="165" t="s">
        <v>227</v>
      </c>
      <c r="D85" s="164">
        <v>45013</v>
      </c>
    </row>
    <row r="86" spans="1:4" ht="20.25" customHeight="1">
      <c r="A86" s="165" t="s">
        <v>145</v>
      </c>
      <c r="B86" s="165"/>
      <c r="C86" s="165" t="s">
        <v>228</v>
      </c>
      <c r="D86" s="151">
        <v>45148</v>
      </c>
    </row>
    <row r="87" spans="1:4" ht="20.25" customHeight="1">
      <c r="A87" s="165" t="s">
        <v>145</v>
      </c>
      <c r="B87" s="165"/>
      <c r="C87" s="165" t="s">
        <v>229</v>
      </c>
      <c r="D87" s="149"/>
    </row>
    <row r="88" spans="1:4" ht="20.25" customHeight="1">
      <c r="A88" s="165" t="s">
        <v>145</v>
      </c>
      <c r="B88" s="165"/>
      <c r="C88" s="165" t="s">
        <v>230</v>
      </c>
      <c r="D88" s="145"/>
    </row>
    <row r="89" spans="1:4" ht="20.25" customHeight="1">
      <c r="A89" s="165" t="s">
        <v>145</v>
      </c>
      <c r="B89" s="165"/>
      <c r="C89" s="165" t="s">
        <v>231</v>
      </c>
      <c r="D89" s="149"/>
    </row>
    <row r="90" spans="1:4" ht="20.25" customHeight="1">
      <c r="A90" s="165" t="s">
        <v>145</v>
      </c>
      <c r="B90" s="165"/>
      <c r="C90" s="165" t="s">
        <v>232</v>
      </c>
      <c r="D90" s="149"/>
    </row>
    <row r="91" spans="1:4" ht="20.25" customHeight="1">
      <c r="A91" s="165" t="s">
        <v>145</v>
      </c>
      <c r="B91" s="165"/>
      <c r="C91" s="165" t="s">
        <v>233</v>
      </c>
      <c r="D91" s="145"/>
    </row>
    <row r="92" spans="1:4" ht="20.25" customHeight="1">
      <c r="A92" s="165" t="s">
        <v>145</v>
      </c>
      <c r="B92" s="165"/>
      <c r="C92" s="165" t="s">
        <v>234</v>
      </c>
      <c r="D92" s="145"/>
    </row>
    <row r="93" spans="1:4" ht="20.25" customHeight="1">
      <c r="A93" s="165" t="s">
        <v>145</v>
      </c>
      <c r="B93" s="165"/>
      <c r="C93" s="165" t="s">
        <v>235</v>
      </c>
      <c r="D93" s="152"/>
    </row>
    <row r="94" spans="1:4" ht="20.25" customHeight="1">
      <c r="A94" s="165" t="s">
        <v>145</v>
      </c>
      <c r="B94" s="165"/>
      <c r="C94" s="165" t="s">
        <v>236</v>
      </c>
      <c r="D94" s="147">
        <v>45056</v>
      </c>
    </row>
    <row r="95" spans="1:4" ht="20.25" customHeight="1">
      <c r="A95" s="165" t="s">
        <v>145</v>
      </c>
      <c r="B95" s="165"/>
      <c r="C95" s="165" t="s">
        <v>237</v>
      </c>
      <c r="D95" s="164">
        <v>45013</v>
      </c>
    </row>
    <row r="96" spans="1:4" ht="20.25" customHeight="1">
      <c r="A96" s="165" t="s">
        <v>145</v>
      </c>
      <c r="B96" s="165"/>
      <c r="C96" s="165" t="s">
        <v>238</v>
      </c>
      <c r="D96" s="147">
        <v>45097</v>
      </c>
    </row>
    <row r="97" spans="1:4" ht="20.25" customHeight="1">
      <c r="A97" s="165" t="s">
        <v>145</v>
      </c>
      <c r="B97" s="165"/>
      <c r="C97" s="165" t="s">
        <v>239</v>
      </c>
      <c r="D97" s="147">
        <v>44816</v>
      </c>
    </row>
    <row r="98" spans="1:4" ht="20.25" customHeight="1">
      <c r="A98" s="165" t="s">
        <v>145</v>
      </c>
      <c r="B98" s="165"/>
      <c r="C98" s="165" t="s">
        <v>240</v>
      </c>
      <c r="D98" s="145"/>
    </row>
    <row r="99" spans="1:4" ht="20.25" customHeight="1">
      <c r="A99" s="165" t="s">
        <v>145</v>
      </c>
      <c r="B99" s="165"/>
      <c r="C99" s="165" t="s">
        <v>241</v>
      </c>
      <c r="D99" s="145" t="s">
        <v>24</v>
      </c>
    </row>
    <row r="100" spans="1:4" ht="20.25" customHeight="1">
      <c r="A100" s="165" t="s">
        <v>145</v>
      </c>
      <c r="B100" s="165"/>
      <c r="C100" s="165" t="s">
        <v>242</v>
      </c>
      <c r="D100" s="145"/>
    </row>
    <row r="101" spans="1:4" ht="20.25" customHeight="1">
      <c r="A101" s="165" t="s">
        <v>145</v>
      </c>
      <c r="B101" s="165"/>
      <c r="C101" s="165" t="s">
        <v>243</v>
      </c>
      <c r="D101" s="145"/>
    </row>
    <row r="102" spans="1:4" ht="20.25" customHeight="1">
      <c r="A102" s="165" t="s">
        <v>145</v>
      </c>
      <c r="B102" s="165"/>
      <c r="C102" s="165" t="s">
        <v>244</v>
      </c>
      <c r="D102" s="147">
        <v>44877</v>
      </c>
    </row>
    <row r="103" spans="1:4" ht="20.25" customHeight="1">
      <c r="A103" s="165" t="s">
        <v>145</v>
      </c>
      <c r="B103" s="165"/>
      <c r="C103" s="165" t="s">
        <v>245</v>
      </c>
      <c r="D103" s="147">
        <v>44876</v>
      </c>
    </row>
    <row r="104" spans="1:4" ht="20.25" customHeight="1">
      <c r="A104" s="165" t="s">
        <v>145</v>
      </c>
      <c r="B104" s="165"/>
      <c r="C104" s="165" t="s">
        <v>246</v>
      </c>
      <c r="D104" s="147">
        <v>44910</v>
      </c>
    </row>
    <row r="105" spans="1:4" ht="20.25" customHeight="1">
      <c r="A105" s="165" t="s">
        <v>145</v>
      </c>
      <c r="B105" s="165"/>
      <c r="C105" s="165" t="s">
        <v>247</v>
      </c>
      <c r="D105" s="151">
        <v>45148</v>
      </c>
    </row>
    <row r="106" spans="1:4" ht="20.25" customHeight="1">
      <c r="A106" s="165" t="s">
        <v>145</v>
      </c>
      <c r="B106" s="165"/>
      <c r="C106" s="165" t="s">
        <v>248</v>
      </c>
      <c r="D106" s="151">
        <v>45065</v>
      </c>
    </row>
    <row r="107" spans="1:4" ht="20.25" customHeight="1">
      <c r="A107" s="165" t="s">
        <v>145</v>
      </c>
      <c r="B107" s="165"/>
      <c r="C107" s="165" t="s">
        <v>249</v>
      </c>
      <c r="D107" s="151">
        <v>45049</v>
      </c>
    </row>
    <row r="108" spans="1:4" ht="20.25" customHeight="1">
      <c r="A108" s="165" t="s">
        <v>145</v>
      </c>
      <c r="B108" s="165"/>
      <c r="C108" s="165" t="s">
        <v>250</v>
      </c>
      <c r="D108" s="151">
        <v>45065</v>
      </c>
    </row>
    <row r="109" spans="1:4" ht="20.25" customHeight="1">
      <c r="A109" s="165" t="s">
        <v>145</v>
      </c>
      <c r="B109" s="165"/>
      <c r="C109" s="165" t="s">
        <v>251</v>
      </c>
      <c r="D109" s="147">
        <v>44922</v>
      </c>
    </row>
    <row r="110" spans="1:4" ht="20.25" customHeight="1">
      <c r="A110" s="165" t="s">
        <v>145</v>
      </c>
      <c r="B110" s="165"/>
      <c r="C110" s="165" t="s">
        <v>252</v>
      </c>
      <c r="D110" s="147">
        <v>44961</v>
      </c>
    </row>
    <row r="111" spans="1:4" ht="20.25" customHeight="1">
      <c r="A111" s="165" t="s">
        <v>145</v>
      </c>
      <c r="B111" s="165"/>
      <c r="C111" s="165" t="s">
        <v>253</v>
      </c>
      <c r="D111" s="145" t="s">
        <v>24</v>
      </c>
    </row>
    <row r="112" spans="1:4" ht="20.25" customHeight="1">
      <c r="A112" s="165" t="s">
        <v>145</v>
      </c>
      <c r="B112" s="165"/>
      <c r="C112" s="165" t="s">
        <v>254</v>
      </c>
      <c r="D112" s="151">
        <v>45049</v>
      </c>
    </row>
    <row r="113" spans="1:4" ht="20.25" customHeight="1">
      <c r="A113" s="165" t="s">
        <v>145</v>
      </c>
      <c r="B113" s="165"/>
      <c r="C113" s="167" t="s">
        <v>255</v>
      </c>
      <c r="D113" s="145" t="s">
        <v>24</v>
      </c>
    </row>
    <row r="114" spans="1:4" ht="20.25" customHeight="1">
      <c r="A114" s="165" t="s">
        <v>145</v>
      </c>
      <c r="B114" s="165"/>
      <c r="C114" s="168" t="s">
        <v>256</v>
      </c>
      <c r="D114" s="145" t="s">
        <v>24</v>
      </c>
    </row>
    <row r="115" spans="1:4" ht="20.25" customHeight="1">
      <c r="C115" s="169"/>
      <c r="D115" s="145" t="s">
        <v>24</v>
      </c>
    </row>
    <row r="116" spans="1:4" ht="20.25" customHeight="1">
      <c r="C116" s="170"/>
      <c r="D116" s="147">
        <v>44910</v>
      </c>
    </row>
    <row r="117" spans="1:4" ht="20.25" customHeight="1">
      <c r="C117" s="170"/>
      <c r="D117" s="147">
        <v>44840</v>
      </c>
    </row>
    <row r="118" spans="1:4" ht="20.25" customHeight="1">
      <c r="C118" s="170"/>
      <c r="D118" s="145" t="s">
        <v>24</v>
      </c>
    </row>
    <row r="119" spans="1:4" ht="20.25" customHeight="1">
      <c r="C119" s="170"/>
      <c r="D119" s="145" t="s">
        <v>24</v>
      </c>
    </row>
    <row r="120" spans="1:4" ht="20.25" customHeight="1">
      <c r="C120" s="170"/>
      <c r="D120" s="147">
        <v>44877</v>
      </c>
    </row>
    <row r="121" spans="1:4" ht="20.25" customHeight="1">
      <c r="C121" s="170"/>
      <c r="D121" s="145" t="s">
        <v>24</v>
      </c>
    </row>
    <row r="122" spans="1:4" ht="20.25" customHeight="1">
      <c r="D122" s="145" t="s">
        <v>24</v>
      </c>
    </row>
    <row r="123" spans="1:4" ht="20.25" customHeight="1">
      <c r="D123" s="147">
        <v>44840</v>
      </c>
    </row>
    <row r="124" spans="1:4" ht="20.25" customHeight="1">
      <c r="D124" s="145" t="s">
        <v>24</v>
      </c>
    </row>
    <row r="125" spans="1:4" ht="20.25" customHeight="1">
      <c r="D125" s="145" t="s">
        <v>24</v>
      </c>
    </row>
    <row r="126" spans="1:4" ht="20.25" customHeight="1">
      <c r="D126" s="145" t="s">
        <v>24</v>
      </c>
    </row>
    <row r="127" spans="1:4" ht="20.25" customHeight="1">
      <c r="D127" s="145" t="s">
        <v>24</v>
      </c>
    </row>
    <row r="128" spans="1:4" ht="20.25" customHeight="1">
      <c r="D128" s="145" t="s">
        <v>24</v>
      </c>
    </row>
    <row r="129" spans="4:4" ht="20.25" customHeight="1">
      <c r="D129" s="145" t="s">
        <v>24</v>
      </c>
    </row>
    <row r="130" spans="4:4" ht="20.25" customHeight="1">
      <c r="D130" s="145" t="s">
        <v>24</v>
      </c>
    </row>
    <row r="131" spans="4:4" ht="20.25" customHeight="1">
      <c r="D131" s="145" t="s">
        <v>24</v>
      </c>
    </row>
    <row r="132" spans="4:4" ht="20.25" customHeight="1">
      <c r="D132" s="145" t="s">
        <v>24</v>
      </c>
    </row>
    <row r="133" spans="4:4" ht="20.25" customHeight="1">
      <c r="D133" s="145"/>
    </row>
    <row r="134" spans="4:4" ht="20.25" customHeight="1">
      <c r="D134" s="145"/>
    </row>
    <row r="135" spans="4:4" ht="20.25" customHeight="1">
      <c r="D135" s="164">
        <v>45013</v>
      </c>
    </row>
    <row r="136" spans="4:4" ht="20.25" customHeight="1">
      <c r="D136" s="164">
        <v>45013</v>
      </c>
    </row>
    <row r="137" spans="4:4" ht="20.25" customHeight="1">
      <c r="D137" s="145" t="s">
        <v>24</v>
      </c>
    </row>
    <row r="138" spans="4:4" ht="20.25" customHeight="1">
      <c r="D138" s="145" t="s">
        <v>24</v>
      </c>
    </row>
    <row r="139" spans="4:4" ht="20.25" customHeight="1">
      <c r="D139" s="147">
        <v>44853</v>
      </c>
    </row>
    <row r="140" spans="4:4" ht="20.25" customHeight="1">
      <c r="D140" s="147">
        <v>44840</v>
      </c>
    </row>
    <row r="141" spans="4:4" ht="20.25" customHeight="1">
      <c r="D141" s="147">
        <v>44840</v>
      </c>
    </row>
    <row r="142" spans="4:4" ht="20.25" customHeight="1">
      <c r="D142" s="148"/>
    </row>
    <row r="143" spans="4:4" ht="20.25" customHeight="1">
      <c r="D143" s="147">
        <v>44910</v>
      </c>
    </row>
    <row r="144" spans="4:4" ht="20.25" customHeight="1">
      <c r="D144" s="147">
        <v>44961</v>
      </c>
    </row>
    <row r="145" spans="4:4" ht="20.25" customHeight="1">
      <c r="D145" s="145" t="s">
        <v>24</v>
      </c>
    </row>
    <row r="146" spans="4:4" ht="20.25" customHeight="1">
      <c r="D146" s="145" t="s">
        <v>24</v>
      </c>
    </row>
    <row r="147" spans="4:4" ht="20.25" customHeight="1">
      <c r="D147" s="147">
        <v>44862</v>
      </c>
    </row>
    <row r="148" spans="4:4" ht="20.25" customHeight="1">
      <c r="D148" s="147">
        <v>44877</v>
      </c>
    </row>
    <row r="149" spans="4:4" ht="20.25" customHeight="1">
      <c r="D149" s="147">
        <v>44840</v>
      </c>
    </row>
    <row r="150" spans="4:4" ht="20.25" customHeight="1">
      <c r="D150" s="145" t="s">
        <v>24</v>
      </c>
    </row>
    <row r="151" spans="4:4" ht="20.25" customHeight="1">
      <c r="D151" s="147">
        <v>44840</v>
      </c>
    </row>
    <row r="152" spans="4:4" ht="20.25" customHeight="1">
      <c r="D152" s="145" t="s">
        <v>24</v>
      </c>
    </row>
    <row r="153" spans="4:4" ht="20.25" customHeight="1">
      <c r="D153" s="145" t="s">
        <v>24</v>
      </c>
    </row>
    <row r="154" spans="4:4" ht="20.25" customHeight="1">
      <c r="D154" s="147">
        <v>44840</v>
      </c>
    </row>
    <row r="155" spans="4:4" ht="20.25" customHeight="1">
      <c r="D155" s="147">
        <v>44877</v>
      </c>
    </row>
    <row r="156" spans="4:4" ht="20.25" customHeight="1">
      <c r="D156" s="147">
        <v>44890</v>
      </c>
    </row>
    <row r="157" spans="4:4" ht="20.25" customHeight="1">
      <c r="D157" s="147">
        <v>45013</v>
      </c>
    </row>
    <row r="158" spans="4:4" ht="20.25" customHeight="1">
      <c r="D158" s="147">
        <v>45013</v>
      </c>
    </row>
    <row r="159" spans="4:4" ht="20.25" customHeight="1">
      <c r="D159" s="147"/>
    </row>
    <row r="160" spans="4:4" ht="20.25" customHeight="1">
      <c r="D160" s="147"/>
    </row>
    <row r="161" spans="4:4" ht="20.25" customHeight="1">
      <c r="D161" s="157"/>
    </row>
    <row r="162" spans="4:4" ht="20.25" customHeight="1">
      <c r="D162" s="157"/>
    </row>
    <row r="163" spans="4:4" ht="20.25" customHeight="1">
      <c r="D163" s="157"/>
    </row>
    <row r="164" spans="4:4" ht="20.25" customHeight="1">
      <c r="D164" s="157"/>
    </row>
    <row r="165" spans="4:4" ht="20.25" customHeight="1">
      <c r="D165" s="157"/>
    </row>
    <row r="166" spans="4:4" ht="20.25" customHeight="1">
      <c r="D166" s="157"/>
    </row>
    <row r="167" spans="4:4" ht="20.25" customHeight="1">
      <c r="D167" s="151">
        <v>45105</v>
      </c>
    </row>
    <row r="168" spans="4:4" ht="20.25" customHeight="1">
      <c r="D168" s="152"/>
    </row>
    <row r="169" spans="4:4" ht="20.25" customHeight="1">
      <c r="D169" s="157"/>
    </row>
    <row r="170" spans="4:4" ht="20.25" customHeight="1">
      <c r="D170" s="157"/>
    </row>
    <row r="171" spans="4:4" ht="20.25" customHeight="1">
      <c r="D171" s="157"/>
    </row>
    <row r="172" spans="4:4" ht="20.25" customHeight="1">
      <c r="D172" s="151">
        <v>45105</v>
      </c>
    </row>
    <row r="173" spans="4:4" ht="20.25" customHeight="1">
      <c r="D173" s="157"/>
    </row>
    <row r="174" spans="4:4" ht="20.25" customHeight="1">
      <c r="D174" s="157"/>
    </row>
    <row r="175" spans="4:4" ht="20.25" customHeight="1">
      <c r="D175" s="151">
        <v>45049</v>
      </c>
    </row>
    <row r="176" spans="4:4" ht="20.25" customHeight="1">
      <c r="D176" s="157"/>
    </row>
    <row r="177" spans="4:4" ht="20.25" customHeight="1">
      <c r="D177" s="157"/>
    </row>
    <row r="178" spans="4:4" ht="20.25" customHeight="1">
      <c r="D178" s="157"/>
    </row>
    <row r="179" spans="4:4" ht="20.25" customHeight="1">
      <c r="D179" s="157"/>
    </row>
    <row r="180" spans="4:4" ht="20.25" customHeight="1">
      <c r="D180" s="157"/>
    </row>
    <row r="181" spans="4:4" ht="20.25" customHeight="1">
      <c r="D181" s="147">
        <v>45056</v>
      </c>
    </row>
    <row r="182" spans="4:4" ht="20.25" customHeight="1">
      <c r="D182" s="147">
        <v>45056</v>
      </c>
    </row>
    <row r="183" spans="4:4" ht="20.25" customHeight="1">
      <c r="D183" s="147">
        <v>45056</v>
      </c>
    </row>
    <row r="184" spans="4:4" ht="20.25" customHeight="1">
      <c r="D184" s="157"/>
    </row>
    <row r="185" spans="4:4" ht="20.25" customHeight="1">
      <c r="D185" s="157"/>
    </row>
    <row r="186" spans="4:4" ht="20.25" customHeight="1">
      <c r="D186" s="157"/>
    </row>
    <row r="187" spans="4:4" ht="20.25" customHeight="1">
      <c r="D187" s="157"/>
    </row>
    <row r="188" spans="4:4" ht="20.25" customHeight="1">
      <c r="D188" s="157"/>
    </row>
    <row r="189" spans="4:4" ht="20.25" customHeight="1">
      <c r="D189" s="157"/>
    </row>
    <row r="190" spans="4:4" ht="20.25" customHeight="1">
      <c r="D190" s="157"/>
    </row>
    <row r="191" spans="4:4" ht="20.25" customHeight="1">
      <c r="D191" s="157"/>
    </row>
    <row r="192" spans="4:4" ht="20.25" customHeight="1">
      <c r="D192" s="157"/>
    </row>
    <row r="193" spans="4:4" ht="20.25" customHeight="1">
      <c r="D193" s="152"/>
    </row>
    <row r="194" spans="4:4" ht="20.25" customHeight="1">
      <c r="D194" s="147">
        <v>45056</v>
      </c>
    </row>
    <row r="195" spans="4:4" ht="20.25" customHeight="1">
      <c r="D195" s="151">
        <v>45148</v>
      </c>
    </row>
    <row r="196" spans="4:4" ht="20.25" customHeight="1">
      <c r="D196" s="149"/>
    </row>
    <row r="197" spans="4:4" ht="20.25" customHeight="1">
      <c r="D197" s="149"/>
    </row>
    <row r="198" spans="4:4" ht="20.25" customHeight="1">
      <c r="D198" s="149"/>
    </row>
    <row r="199" spans="4:4" ht="20.25" customHeight="1">
      <c r="D199" s="149"/>
    </row>
    <row r="200" spans="4:4" ht="20.25" customHeight="1">
      <c r="D200" s="149"/>
    </row>
    <row r="201" spans="4:4" ht="20.25" customHeight="1">
      <c r="D201" s="149"/>
    </row>
    <row r="202" spans="4:4" ht="20.25" customHeight="1">
      <c r="D202" s="149"/>
    </row>
    <row r="203" spans="4:4" ht="20.25" customHeight="1">
      <c r="D203" s="149"/>
    </row>
    <row r="204" spans="4:4" ht="20.25" customHeight="1">
      <c r="D204" s="149"/>
    </row>
    <row r="205" spans="4:4" ht="20.25" customHeight="1">
      <c r="D205" s="149"/>
    </row>
    <row r="206" spans="4:4" ht="20.25" customHeight="1">
      <c r="D206" s="149"/>
    </row>
    <row r="207" spans="4:4" ht="20.25" customHeight="1">
      <c r="D207" s="149"/>
    </row>
    <row r="208" spans="4:4" ht="20.25" customHeight="1">
      <c r="D208" s="149"/>
    </row>
    <row r="209" spans="4:4" ht="20.25" customHeight="1">
      <c r="D209" s="149"/>
    </row>
    <row r="210" spans="4:4" ht="20.25" customHeight="1">
      <c r="D210" s="149"/>
    </row>
    <row r="211" spans="4:4" ht="20.25" customHeight="1">
      <c r="D211" s="149"/>
    </row>
    <row r="212" spans="4:4" ht="20.25" customHeight="1">
      <c r="D212" s="149"/>
    </row>
    <row r="213" spans="4:4" ht="20.25" customHeight="1">
      <c r="D213" s="149"/>
    </row>
    <row r="214" spans="4:4" ht="20.25" customHeight="1">
      <c r="D214" s="149"/>
    </row>
    <row r="215" spans="4:4" ht="20.25" customHeight="1">
      <c r="D215" s="151">
        <v>45105</v>
      </c>
    </row>
    <row r="216" spans="4:4" ht="20.25" customHeight="1">
      <c r="D216" s="147">
        <v>44992</v>
      </c>
    </row>
    <row r="217" spans="4:4" ht="20.25" customHeight="1">
      <c r="D217" s="147">
        <v>45056</v>
      </c>
    </row>
    <row r="218" spans="4:4" ht="20.25" customHeight="1">
      <c r="D218" s="147">
        <v>44992</v>
      </c>
    </row>
    <row r="219" spans="4:4" ht="20.25" customHeight="1">
      <c r="D219" s="147">
        <v>45056</v>
      </c>
    </row>
    <row r="220" spans="4:4" ht="20.25" customHeight="1">
      <c r="D220" s="155">
        <v>45111</v>
      </c>
    </row>
    <row r="221" spans="4:4" ht="20.25" customHeight="1">
      <c r="D221" s="147">
        <v>45056</v>
      </c>
    </row>
    <row r="222" spans="4:4" ht="20.25" customHeight="1">
      <c r="D222" s="149"/>
    </row>
    <row r="223" spans="4:4" ht="20.25" customHeight="1">
      <c r="D223" s="149"/>
    </row>
    <row r="224" spans="4:4" ht="20.25" customHeight="1">
      <c r="D224" s="147">
        <v>45056</v>
      </c>
    </row>
    <row r="225" spans="4:4" ht="20.25" customHeight="1">
      <c r="D225" s="147">
        <v>45056</v>
      </c>
    </row>
    <row r="226" spans="4:4" ht="20.25" customHeight="1">
      <c r="D226" s="147">
        <v>45056</v>
      </c>
    </row>
    <row r="227" spans="4:4" ht="20.25" customHeight="1">
      <c r="D227" s="147">
        <v>45097</v>
      </c>
    </row>
    <row r="228" spans="4:4" ht="20.25" customHeight="1">
      <c r="D228" s="155">
        <v>45111</v>
      </c>
    </row>
    <row r="229" spans="4:4" ht="20.25" customHeight="1">
      <c r="D229" s="155">
        <v>45111</v>
      </c>
    </row>
    <row r="230" spans="4:4" ht="20.25" customHeight="1">
      <c r="D230" s="155">
        <v>45111</v>
      </c>
    </row>
    <row r="231" spans="4:4" ht="20.25" customHeight="1">
      <c r="D231" s="147">
        <v>45097</v>
      </c>
    </row>
    <row r="232" spans="4:4" ht="20.25" customHeight="1">
      <c r="D232" s="155">
        <v>45111</v>
      </c>
    </row>
    <row r="233" spans="4:4" ht="20.25" customHeight="1">
      <c r="D233" s="155">
        <v>45111</v>
      </c>
    </row>
    <row r="234" spans="4:4" ht="20.25" customHeight="1">
      <c r="D234" s="147">
        <v>45097</v>
      </c>
    </row>
    <row r="235" spans="4:4" ht="20.25" customHeight="1">
      <c r="D235" s="147">
        <v>45097</v>
      </c>
    </row>
    <row r="236" spans="4:4" ht="20.25" customHeight="1">
      <c r="D236" s="147">
        <v>45097</v>
      </c>
    </row>
    <row r="237" spans="4:4" ht="20.25" customHeight="1">
      <c r="D237" s="152"/>
    </row>
    <row r="238" spans="4:4" ht="20.25" customHeight="1">
      <c r="D238" s="155">
        <v>45111</v>
      </c>
    </row>
    <row r="239" spans="4:4" ht="20.25" customHeight="1">
      <c r="D239" s="147">
        <v>45097</v>
      </c>
    </row>
    <row r="240" spans="4:4" ht="20.25" customHeight="1">
      <c r="D240" s="151">
        <v>45148</v>
      </c>
    </row>
    <row r="241" spans="4:4" ht="20.25" customHeight="1">
      <c r="D241" s="155">
        <v>45111</v>
      </c>
    </row>
    <row r="242" spans="4:4" ht="20.25" customHeight="1">
      <c r="D242" s="157"/>
    </row>
    <row r="243" spans="4:4" ht="20.25" customHeight="1">
      <c r="D243" s="147">
        <v>44992</v>
      </c>
    </row>
    <row r="244" spans="4:4" ht="20.25" customHeight="1">
      <c r="D244" s="147">
        <v>45097</v>
      </c>
    </row>
    <row r="245" spans="4:4" ht="20.25" customHeight="1">
      <c r="D245" s="147">
        <v>45097</v>
      </c>
    </row>
    <row r="246" spans="4:4" ht="20.25" customHeight="1">
      <c r="D246" s="147">
        <v>45097</v>
      </c>
    </row>
    <row r="247" spans="4:4" ht="20.25" customHeight="1">
      <c r="D247" s="157"/>
    </row>
    <row r="248" spans="4:4" ht="20.25" customHeight="1">
      <c r="D248" s="157"/>
    </row>
    <row r="249" spans="4:4" ht="20.25" customHeight="1">
      <c r="D249" s="147">
        <v>45097</v>
      </c>
    </row>
    <row r="250" spans="4:4" ht="20.25" customHeight="1">
      <c r="D250" s="147">
        <v>45097</v>
      </c>
    </row>
    <row r="251" spans="4:4" ht="20.25" customHeight="1">
      <c r="D251" s="155">
        <v>45111</v>
      </c>
    </row>
    <row r="252" spans="4:4" ht="20.25" customHeight="1">
      <c r="D252" s="147">
        <v>44961</v>
      </c>
    </row>
    <row r="253" spans="4:4" ht="20.25" customHeight="1">
      <c r="D253" s="147">
        <v>45097</v>
      </c>
    </row>
    <row r="254" spans="4:4" ht="20.25" customHeight="1">
      <c r="D254" s="151">
        <v>45148</v>
      </c>
    </row>
    <row r="255" spans="4:4" ht="20.25" customHeight="1">
      <c r="D255" s="155">
        <v>45111</v>
      </c>
    </row>
    <row r="256" spans="4:4" ht="20.25" customHeight="1">
      <c r="D256" s="157"/>
    </row>
    <row r="257" spans="4:4" ht="20.25" customHeight="1">
      <c r="D257" s="157"/>
    </row>
    <row r="258" spans="4:4" ht="20.25" customHeight="1">
      <c r="D258" s="157"/>
    </row>
    <row r="259" spans="4:4" ht="20.25" customHeight="1">
      <c r="D259" s="147">
        <v>45097</v>
      </c>
    </row>
    <row r="260" spans="4:4" ht="20.25" customHeight="1">
      <c r="D260" s="151">
        <v>45148</v>
      </c>
    </row>
    <row r="261" spans="4:4" ht="20.25" customHeight="1">
      <c r="D261" s="155">
        <v>45111</v>
      </c>
    </row>
    <row r="262" spans="4:4" ht="20.25" customHeight="1">
      <c r="D262" s="151">
        <v>45148</v>
      </c>
    </row>
    <row r="263" spans="4:4" ht="20.25" customHeight="1">
      <c r="D263" s="151">
        <v>45148</v>
      </c>
    </row>
    <row r="264" spans="4:4" ht="20.25" customHeight="1">
      <c r="D264" s="147">
        <v>45097</v>
      </c>
    </row>
    <row r="265" spans="4:4" ht="20.25" customHeight="1">
      <c r="D265" s="157"/>
    </row>
    <row r="266" spans="4:4" ht="20.25" customHeight="1">
      <c r="D266" s="155">
        <v>45111</v>
      </c>
    </row>
    <row r="267" spans="4:4" ht="20.25" customHeight="1">
      <c r="D267" s="155">
        <v>45111</v>
      </c>
    </row>
    <row r="268" spans="4:4" ht="20.25" customHeight="1">
      <c r="D268" s="147">
        <v>45097</v>
      </c>
    </row>
    <row r="269" spans="4:4" ht="20.25" customHeight="1">
      <c r="D269" s="155">
        <v>45111</v>
      </c>
    </row>
    <row r="270" spans="4:4" ht="20.25" customHeight="1">
      <c r="D270" s="155">
        <v>45111</v>
      </c>
    </row>
    <row r="271" spans="4:4" ht="20.25" customHeight="1">
      <c r="D271" s="147">
        <v>45097</v>
      </c>
    </row>
    <row r="272" spans="4:4" ht="20.25" customHeight="1">
      <c r="D272" s="147">
        <v>44992</v>
      </c>
    </row>
    <row r="273" spans="4:4" ht="20.25" customHeight="1">
      <c r="D273" s="174"/>
    </row>
    <row r="274" spans="4:4" ht="20.25" customHeight="1">
      <c r="D274" s="157"/>
    </row>
    <row r="275" spans="4:4" ht="20.25" customHeight="1">
      <c r="D275" s="155">
        <v>45111</v>
      </c>
    </row>
    <row r="276" spans="4:4" ht="20.25" customHeight="1">
      <c r="D276" s="157"/>
    </row>
    <row r="277" spans="4:4" ht="20.25" customHeight="1">
      <c r="D277" s="152"/>
    </row>
    <row r="278" spans="4:4" ht="20.25" customHeight="1">
      <c r="D278" s="157"/>
    </row>
    <row r="279" spans="4:4" ht="20.25" customHeight="1">
      <c r="D279" s="157"/>
    </row>
    <row r="280" spans="4:4" ht="20.25" customHeight="1">
      <c r="D280" s="151">
        <v>45105</v>
      </c>
    </row>
    <row r="281" spans="4:4" ht="20.25" customHeight="1">
      <c r="D281" s="147">
        <v>44992</v>
      </c>
    </row>
    <row r="282" spans="4:4" ht="20.25" customHeight="1">
      <c r="D282" s="151">
        <v>45148</v>
      </c>
    </row>
    <row r="283" spans="4:4" ht="20.25" customHeight="1">
      <c r="D283" s="145"/>
    </row>
    <row r="284" spans="4:4" ht="20.25" customHeight="1">
      <c r="D284" s="174"/>
    </row>
    <row r="285" spans="4:4" ht="20.25" customHeight="1">
      <c r="D285" s="174"/>
    </row>
    <row r="286" spans="4:4" ht="20.25" customHeight="1">
      <c r="D286" s="147">
        <v>45097</v>
      </c>
    </row>
    <row r="287" spans="4:4" ht="20.25" customHeight="1">
      <c r="D287" s="151">
        <v>45105</v>
      </c>
    </row>
    <row r="288" spans="4:4" ht="20.25" customHeight="1">
      <c r="D288" s="147">
        <v>45097</v>
      </c>
    </row>
    <row r="289" spans="4:4" ht="20.25" customHeight="1">
      <c r="D289" s="147">
        <v>44992</v>
      </c>
    </row>
    <row r="290" spans="4:4" ht="20.25" customHeight="1">
      <c r="D290" s="157"/>
    </row>
    <row r="291" spans="4:4" ht="20.25" customHeight="1">
      <c r="D291" s="157"/>
    </row>
    <row r="292" spans="4:4" ht="20.25" customHeight="1">
      <c r="D292" s="157"/>
    </row>
    <row r="293" spans="4:4" ht="20.25" customHeight="1">
      <c r="D293" s="151">
        <v>45105</v>
      </c>
    </row>
    <row r="294" spans="4:4" ht="20.25" customHeight="1">
      <c r="D294" s="151">
        <v>45105</v>
      </c>
    </row>
    <row r="295" spans="4:4" ht="20.25" customHeight="1">
      <c r="D295" s="151">
        <v>45148</v>
      </c>
    </row>
    <row r="296" spans="4:4" ht="20.25" customHeight="1">
      <c r="D296" s="151">
        <v>45148</v>
      </c>
    </row>
    <row r="297" spans="4:4" ht="20.25" customHeight="1">
      <c r="D297" s="151">
        <v>45148</v>
      </c>
    </row>
    <row r="298" spans="4:4" ht="20.25" customHeight="1">
      <c r="D298" s="174"/>
    </row>
    <row r="299" spans="4:4" ht="20.25" customHeight="1">
      <c r="D299" s="157"/>
    </row>
    <row r="300" spans="4:4" ht="20.25" customHeight="1">
      <c r="D300" s="157"/>
    </row>
    <row r="301" spans="4:4" ht="20.25" customHeight="1">
      <c r="D301" s="157"/>
    </row>
    <row r="302" spans="4:4" ht="20.25" customHeight="1">
      <c r="D302" s="157"/>
    </row>
    <row r="303" spans="4:4" ht="20.25" customHeight="1">
      <c r="D303" s="157"/>
    </row>
    <row r="304" spans="4:4" ht="20.25" customHeight="1">
      <c r="D304" s="157"/>
    </row>
    <row r="305" spans="4:4" ht="20.25" customHeight="1">
      <c r="D305" s="157"/>
    </row>
    <row r="306" spans="4:4" ht="20.25" customHeight="1">
      <c r="D306" s="145" t="s">
        <v>24</v>
      </c>
    </row>
    <row r="307" spans="4:4" ht="20.25" customHeight="1">
      <c r="D307" s="157"/>
    </row>
    <row r="308" spans="4:4" ht="20.25" customHeight="1">
      <c r="D308" s="155">
        <v>45111</v>
      </c>
    </row>
    <row r="309" spans="4:4" ht="20.25" customHeight="1">
      <c r="D309" s="155">
        <v>45111</v>
      </c>
    </row>
    <row r="310" spans="4:4" ht="20.25" customHeight="1">
      <c r="D310" s="155">
        <v>45111</v>
      </c>
    </row>
    <row r="311" spans="4:4" ht="20.25" customHeight="1">
      <c r="D311" s="157"/>
    </row>
    <row r="312" spans="4:4" ht="20.25" customHeight="1">
      <c r="D312" s="147">
        <v>45097</v>
      </c>
    </row>
    <row r="313" spans="4:4" ht="20.25" customHeight="1">
      <c r="D313" s="157"/>
    </row>
    <row r="314" spans="4:4" ht="20.25" customHeight="1">
      <c r="D314" s="157"/>
    </row>
    <row r="315" spans="4:4" ht="20.25" customHeight="1">
      <c r="D315" s="157"/>
    </row>
    <row r="316" spans="4:4" ht="20.25" customHeight="1">
      <c r="D316" s="155">
        <v>45111</v>
      </c>
    </row>
    <row r="317" spans="4:4" ht="20.25" customHeight="1">
      <c r="D317" s="155">
        <v>45111</v>
      </c>
    </row>
    <row r="318" spans="4:4" ht="20.25" customHeight="1">
      <c r="D318" s="152"/>
    </row>
    <row r="319" spans="4:4" ht="20.25" customHeight="1">
      <c r="D319" s="151" t="s">
        <v>24</v>
      </c>
    </row>
    <row r="320" spans="4:4" ht="20.25" customHeight="1">
      <c r="D320" s="157"/>
    </row>
    <row r="321" spans="4:4" ht="20.25" customHeight="1">
      <c r="D321" s="155">
        <v>45111</v>
      </c>
    </row>
    <row r="322" spans="4:4" ht="20.25" customHeight="1">
      <c r="D322" s="157"/>
    </row>
    <row r="323" spans="4:4" ht="20.25" customHeight="1">
      <c r="D323" s="155">
        <v>45111</v>
      </c>
    </row>
    <row r="324" spans="4:4" ht="20.25" customHeight="1">
      <c r="D324" s="157"/>
    </row>
    <row r="325" spans="4:4" ht="20.25" customHeight="1">
      <c r="D325" s="157"/>
    </row>
    <row r="326" spans="4:4" ht="20.25" customHeight="1">
      <c r="D326" s="151" t="s">
        <v>24</v>
      </c>
    </row>
    <row r="327" spans="4:4" ht="20.25" customHeight="1">
      <c r="D327" s="151" t="s">
        <v>24</v>
      </c>
    </row>
    <row r="328" spans="4:4" ht="20.25" customHeight="1">
      <c r="D328" s="151">
        <v>45105</v>
      </c>
    </row>
    <row r="329" spans="4:4" ht="20.25" customHeight="1">
      <c r="D329" s="157"/>
    </row>
    <row r="330" spans="4:4" ht="20.25" customHeight="1">
      <c r="D330" s="157"/>
    </row>
    <row r="331" spans="4:4" ht="20.25" customHeight="1">
      <c r="D331" s="152"/>
    </row>
    <row r="332" spans="4:4" ht="20.25" customHeight="1">
      <c r="D332" s="157"/>
    </row>
    <row r="333" spans="4:4" ht="20.25" customHeight="1">
      <c r="D333" s="147">
        <v>44961</v>
      </c>
    </row>
    <row r="334" spans="4:4" ht="20.25" customHeight="1">
      <c r="D334" s="157"/>
    </row>
    <row r="335" spans="4:4" ht="20.25" customHeight="1">
      <c r="D335" s="157"/>
    </row>
    <row r="336" spans="4:4" ht="20.25" customHeight="1">
      <c r="D336" s="157"/>
    </row>
    <row r="337" spans="4:4" ht="20.25" customHeight="1">
      <c r="D337" s="151">
        <v>45148</v>
      </c>
    </row>
    <row r="338" spans="4:4" ht="20.25" customHeight="1">
      <c r="D338" s="157"/>
    </row>
    <row r="339" spans="4:4" ht="20.25" customHeight="1">
      <c r="D339" s="147">
        <v>45097</v>
      </c>
    </row>
    <row r="340" spans="4:4" ht="20.25" customHeight="1">
      <c r="D340" s="151">
        <v>45105</v>
      </c>
    </row>
    <row r="341" spans="4:4" ht="20.25" customHeight="1">
      <c r="D341" s="157"/>
    </row>
    <row r="342" spans="4:4" ht="20.25" customHeight="1">
      <c r="D342" s="157"/>
    </row>
    <row r="343" spans="4:4" ht="20.25" customHeight="1">
      <c r="D343" s="157"/>
    </row>
    <row r="344" spans="4:4" ht="20.25" customHeight="1">
      <c r="D344" s="147">
        <v>45097</v>
      </c>
    </row>
    <row r="345" spans="4:4" ht="20.25" customHeight="1">
      <c r="D345" s="157"/>
    </row>
    <row r="346" spans="4:4" ht="20.25" customHeight="1">
      <c r="D346" s="157"/>
    </row>
    <row r="347" spans="4:4" ht="20.25" customHeight="1">
      <c r="D347" s="157"/>
    </row>
    <row r="348" spans="4:4" ht="20.25" customHeight="1">
      <c r="D348" s="157"/>
    </row>
    <row r="349" spans="4:4" ht="20.25" customHeight="1">
      <c r="D349" s="157"/>
    </row>
    <row r="350" spans="4:4" ht="20.25" customHeight="1">
      <c r="D350" s="157"/>
    </row>
    <row r="351" spans="4:4" ht="20.25" customHeight="1">
      <c r="D351" s="157"/>
    </row>
    <row r="352" spans="4:4" ht="20.25" customHeight="1">
      <c r="D352" s="157"/>
    </row>
    <row r="353" spans="4:4" ht="20.25" customHeight="1">
      <c r="D353" s="157"/>
    </row>
    <row r="354" spans="4:4" ht="20.25" customHeight="1">
      <c r="D354" s="157"/>
    </row>
    <row r="355" spans="4:4" ht="20.25" customHeight="1">
      <c r="D355" s="155">
        <v>45111</v>
      </c>
    </row>
    <row r="356" spans="4:4" ht="20.25" customHeight="1">
      <c r="D356" s="157"/>
    </row>
    <row r="357" spans="4:4" ht="20.25" customHeight="1">
      <c r="D357" s="145" t="s">
        <v>24</v>
      </c>
    </row>
    <row r="358" spans="4:4" ht="20.25" customHeight="1">
      <c r="D358" s="157"/>
    </row>
    <row r="359" spans="4:4" ht="20.25" customHeight="1">
      <c r="D359" s="157"/>
    </row>
    <row r="360" spans="4:4" ht="20.25" customHeight="1">
      <c r="D360" s="157"/>
    </row>
    <row r="361" spans="4:4" ht="20.25" customHeight="1">
      <c r="D361" s="157"/>
    </row>
    <row r="362" spans="4:4" ht="20.25" customHeight="1">
      <c r="D362" s="157"/>
    </row>
    <row r="363" spans="4:4" ht="20.25" customHeight="1">
      <c r="D363" s="157"/>
    </row>
    <row r="364" spans="4:4" ht="20.25" customHeight="1">
      <c r="D364" s="157"/>
    </row>
    <row r="365" spans="4:4" ht="20.25" customHeight="1">
      <c r="D365" s="157"/>
    </row>
    <row r="366" spans="4:4" ht="20.25" customHeight="1">
      <c r="D366" s="157"/>
    </row>
    <row r="367" spans="4:4" ht="20.25" customHeight="1">
      <c r="D367" s="157"/>
    </row>
    <row r="368" spans="4:4" ht="20.25" customHeight="1">
      <c r="D368" s="157"/>
    </row>
    <row r="369" spans="4:4" ht="20.25" customHeight="1">
      <c r="D369" s="157"/>
    </row>
    <row r="370" spans="4:4" ht="20.25" customHeight="1">
      <c r="D370" s="157"/>
    </row>
    <row r="371" spans="4:4" ht="20.25" customHeight="1">
      <c r="D371" s="157"/>
    </row>
    <row r="372" spans="4:4" ht="20.25" customHeight="1">
      <c r="D372" s="157"/>
    </row>
    <row r="373" spans="4:4" ht="20.25" customHeight="1">
      <c r="D373" s="157"/>
    </row>
    <row r="374" spans="4:4" ht="20.25" customHeight="1">
      <c r="D374" s="157"/>
    </row>
    <row r="375" spans="4:4" ht="20.25" customHeight="1">
      <c r="D375" s="157"/>
    </row>
    <row r="376" spans="4:4" ht="20.25" customHeight="1">
      <c r="D376" s="157"/>
    </row>
    <row r="377" spans="4:4" ht="20.25" customHeight="1">
      <c r="D377" s="157"/>
    </row>
    <row r="378" spans="4:4" ht="20.25" customHeight="1">
      <c r="D378" s="157"/>
    </row>
    <row r="379" spans="4:4" ht="20.25" customHeight="1">
      <c r="D379" s="157"/>
    </row>
    <row r="380" spans="4:4" ht="20.25" customHeight="1">
      <c r="D380" s="157"/>
    </row>
    <row r="381" spans="4:4" ht="20.25" customHeight="1">
      <c r="D381" s="157"/>
    </row>
    <row r="382" spans="4:4" ht="20.25" customHeight="1">
      <c r="D382" s="157"/>
    </row>
    <row r="383" spans="4:4" ht="20.25" customHeight="1">
      <c r="D383" s="157"/>
    </row>
    <row r="384" spans="4:4" ht="20.25" customHeight="1">
      <c r="D384" s="157"/>
    </row>
    <row r="385" spans="4:4" ht="20.25" customHeight="1">
      <c r="D385" s="151">
        <v>45148</v>
      </c>
    </row>
    <row r="386" spans="4:4" ht="20.25" customHeight="1">
      <c r="D386" s="158"/>
    </row>
    <row r="387" spans="4:4" ht="20.25" customHeight="1">
      <c r="D387" s="149"/>
    </row>
    <row r="388" spans="4:4" ht="20.25" customHeight="1">
      <c r="D388" s="174"/>
    </row>
    <row r="389" spans="4:4" ht="20.25" customHeight="1">
      <c r="D389" s="147">
        <v>44961</v>
      </c>
    </row>
    <row r="390" spans="4:4" ht="20.25" customHeight="1">
      <c r="D390" s="147">
        <v>44992</v>
      </c>
    </row>
    <row r="391" spans="4:4" ht="20.25" customHeight="1">
      <c r="D391" s="151">
        <v>45105</v>
      </c>
    </row>
    <row r="392" spans="4:4" ht="20.25" customHeight="1">
      <c r="D392" s="147">
        <v>44961</v>
      </c>
    </row>
    <row r="393" spans="4:4" ht="20.25" customHeight="1">
      <c r="D393" s="147">
        <v>44961</v>
      </c>
    </row>
    <row r="394" spans="4:4" ht="20.25" customHeight="1">
      <c r="D394" s="157"/>
    </row>
    <row r="395" spans="4:4" ht="20.25" customHeight="1">
      <c r="D395" s="147">
        <v>44992</v>
      </c>
    </row>
    <row r="396" spans="4:4" ht="20.25" customHeight="1">
      <c r="D396" s="147">
        <v>44961</v>
      </c>
    </row>
    <row r="397" spans="4:4" ht="20.25" customHeight="1">
      <c r="D397" s="147">
        <v>44961</v>
      </c>
    </row>
    <row r="398" spans="4:4" ht="20.25" customHeight="1">
      <c r="D398" s="147">
        <v>44961</v>
      </c>
    </row>
    <row r="399" spans="4:4" ht="20.25" customHeight="1">
      <c r="D399" s="147">
        <v>44961</v>
      </c>
    </row>
    <row r="400" spans="4:4" ht="20.25" customHeight="1">
      <c r="D400" s="157"/>
    </row>
    <row r="401" spans="4:4" ht="20.25" customHeight="1">
      <c r="D401" s="147">
        <v>44961</v>
      </c>
    </row>
    <row r="402" spans="4:4" ht="20.25" customHeight="1">
      <c r="D402" s="157"/>
    </row>
    <row r="403" spans="4:4" ht="20.25" customHeight="1">
      <c r="D403" s="157"/>
    </row>
    <row r="404" spans="4:4" ht="20.25" customHeight="1">
      <c r="D404" s="151">
        <v>45106</v>
      </c>
    </row>
    <row r="405" spans="4:4" ht="20.25" customHeight="1">
      <c r="D405" s="157"/>
    </row>
    <row r="406" spans="4:4" ht="20.25" customHeight="1">
      <c r="D406" s="151">
        <v>45105</v>
      </c>
    </row>
    <row r="407" spans="4:4" ht="20.25" customHeight="1">
      <c r="D407" s="151">
        <v>45148</v>
      </c>
    </row>
    <row r="408" spans="4:4" ht="20.25" customHeight="1">
      <c r="D408" s="157"/>
    </row>
    <row r="409" spans="4:4" ht="20.25" customHeight="1">
      <c r="D409" s="157"/>
    </row>
    <row r="410" spans="4:4" ht="20.25" customHeight="1">
      <c r="D410" s="151">
        <v>45105</v>
      </c>
    </row>
    <row r="411" spans="4:4" ht="20.25" customHeight="1">
      <c r="D411" s="145" t="s">
        <v>24</v>
      </c>
    </row>
    <row r="412" spans="4:4" ht="20.25" customHeight="1">
      <c r="D412" s="151">
        <v>45148</v>
      </c>
    </row>
    <row r="413" spans="4:4" ht="20.25" customHeight="1">
      <c r="D413" s="157"/>
    </row>
    <row r="414" spans="4:4" ht="20.25" customHeight="1">
      <c r="D414" s="174"/>
    </row>
    <row r="415" spans="4:4" ht="20.25" customHeight="1">
      <c r="D415" s="151">
        <v>45148</v>
      </c>
    </row>
    <row r="416" spans="4:4" ht="20.25" customHeight="1">
      <c r="D416" s="151">
        <v>45148</v>
      </c>
    </row>
    <row r="417" spans="4:4" ht="20.25" customHeight="1">
      <c r="D417" s="151">
        <v>45148</v>
      </c>
    </row>
    <row r="418" spans="4:4" ht="20.25" customHeight="1">
      <c r="D418" s="152"/>
    </row>
    <row r="419" spans="4:4" ht="20.25" customHeight="1">
      <c r="D419" s="151">
        <v>45148</v>
      </c>
    </row>
    <row r="420" spans="4:4" ht="20.25" customHeight="1">
      <c r="D420" s="151">
        <v>45148</v>
      </c>
    </row>
    <row r="421" spans="4:4" ht="20.25" customHeight="1">
      <c r="D421" s="151">
        <v>45148</v>
      </c>
    </row>
    <row r="422" spans="4:4" ht="20.25" customHeight="1">
      <c r="D422" s="151">
        <v>45105</v>
      </c>
    </row>
    <row r="423" spans="4:4" ht="20.25" customHeight="1">
      <c r="D423" s="147">
        <v>44961</v>
      </c>
    </row>
    <row r="424" spans="4:4" ht="20.25" customHeight="1">
      <c r="D424" s="147">
        <v>44961</v>
      </c>
    </row>
    <row r="425" spans="4:4" ht="20.25" customHeight="1">
      <c r="D425" s="147">
        <v>44992</v>
      </c>
    </row>
    <row r="426" spans="4:4" ht="20.25" customHeight="1">
      <c r="D426" s="147">
        <v>44992</v>
      </c>
    </row>
    <row r="427" spans="4:4" ht="20.25" customHeight="1">
      <c r="D427" s="157"/>
    </row>
    <row r="428" spans="4:4" ht="20.25" customHeight="1">
      <c r="D428" s="157"/>
    </row>
    <row r="429" spans="4:4" ht="20.25" customHeight="1">
      <c r="D429" s="157"/>
    </row>
    <row r="430" spans="4:4" ht="20.25" customHeight="1">
      <c r="D430" s="151">
        <v>45105</v>
      </c>
    </row>
    <row r="431" spans="4:4" ht="20.25" customHeight="1">
      <c r="D431" s="147">
        <v>44961</v>
      </c>
    </row>
    <row r="432" spans="4:4" ht="20.25" customHeight="1">
      <c r="D432" s="147">
        <v>44961</v>
      </c>
    </row>
    <row r="433" spans="4:4" ht="20.25" customHeight="1">
      <c r="D433" s="151">
        <v>45105</v>
      </c>
    </row>
    <row r="434" spans="4:4" ht="20.25" customHeight="1">
      <c r="D434" s="147">
        <v>44961</v>
      </c>
    </row>
    <row r="435" spans="4:4" ht="20.25" customHeight="1">
      <c r="D435" s="151">
        <v>45105</v>
      </c>
    </row>
    <row r="436" spans="4:4" ht="20.25" customHeight="1">
      <c r="D436" s="147">
        <v>44961</v>
      </c>
    </row>
    <row r="437" spans="4:4" ht="20.25" customHeight="1">
      <c r="D437" s="157"/>
    </row>
    <row r="438" spans="4:4" ht="20.25" customHeight="1">
      <c r="D438" s="157"/>
    </row>
    <row r="439" spans="4:4" ht="20.25" customHeight="1">
      <c r="D439" s="147">
        <v>44992</v>
      </c>
    </row>
    <row r="440" spans="4:4" ht="20.25" customHeight="1">
      <c r="D440" s="157"/>
    </row>
    <row r="441" spans="4:4" ht="20.25" customHeight="1">
      <c r="D441" s="157"/>
    </row>
    <row r="442" spans="4:4" ht="20.25" customHeight="1">
      <c r="D442" s="151">
        <v>45148</v>
      </c>
    </row>
    <row r="443" spans="4:4" ht="20.25" customHeight="1">
      <c r="D443" s="147">
        <v>44889</v>
      </c>
    </row>
    <row r="444" spans="4:4" ht="20.25" customHeight="1">
      <c r="D444" s="147">
        <v>44889</v>
      </c>
    </row>
    <row r="445" spans="4:4" ht="20.25" customHeight="1">
      <c r="D445" s="147">
        <v>44992</v>
      </c>
    </row>
    <row r="446" spans="4:4" ht="20.25" customHeight="1">
      <c r="D446" s="155">
        <v>45111</v>
      </c>
    </row>
    <row r="447" spans="4:4" ht="20.25" customHeight="1">
      <c r="D447" s="145" t="s">
        <v>24</v>
      </c>
    </row>
    <row r="448" spans="4:4" ht="20.25" customHeight="1">
      <c r="D448" s="145" t="s">
        <v>24</v>
      </c>
    </row>
    <row r="449" spans="4:4" ht="20.25" customHeight="1">
      <c r="D449" s="145" t="s">
        <v>24</v>
      </c>
    </row>
    <row r="450" spans="4:4" ht="20.25" customHeight="1">
      <c r="D450" s="157"/>
    </row>
    <row r="451" spans="4:4" ht="20.25" customHeight="1">
      <c r="D451" s="157"/>
    </row>
    <row r="452" spans="4:4" ht="20.25" customHeight="1">
      <c r="D452" s="157"/>
    </row>
    <row r="453" spans="4:4" ht="20.25" customHeight="1">
      <c r="D453" s="157"/>
    </row>
    <row r="454" spans="4:4" ht="20.25" customHeight="1">
      <c r="D454" s="147">
        <v>44816</v>
      </c>
    </row>
    <row r="455" spans="4:4" ht="20.25" customHeight="1">
      <c r="D455" s="147">
        <v>44910</v>
      </c>
    </row>
    <row r="456" spans="4:4" ht="20.25" customHeight="1">
      <c r="D456" s="147">
        <v>44816</v>
      </c>
    </row>
    <row r="457" spans="4:4" ht="20.25" customHeight="1">
      <c r="D457" s="145" t="s">
        <v>24</v>
      </c>
    </row>
    <row r="458" spans="4:4" ht="20.25" customHeight="1">
      <c r="D458" s="147">
        <v>44923</v>
      </c>
    </row>
    <row r="459" spans="4:4" ht="20.25" customHeight="1">
      <c r="D459" s="145"/>
    </row>
    <row r="460" spans="4:4" ht="20.25" customHeight="1">
      <c r="D460" s="147">
        <v>45013</v>
      </c>
    </row>
    <row r="461" spans="4:4" ht="20.25" customHeight="1">
      <c r="D461" s="147">
        <v>44923</v>
      </c>
    </row>
    <row r="462" spans="4:4" ht="20.25" customHeight="1">
      <c r="D462" s="147">
        <v>44923</v>
      </c>
    </row>
    <row r="463" spans="4:4" ht="20.25" customHeight="1">
      <c r="D463" s="147">
        <v>44816</v>
      </c>
    </row>
    <row r="464" spans="4:4" ht="20.25" customHeight="1">
      <c r="D464" s="145" t="s">
        <v>24</v>
      </c>
    </row>
    <row r="465" spans="4:4" ht="20.25" customHeight="1">
      <c r="D465" s="145" t="s">
        <v>24</v>
      </c>
    </row>
    <row r="466" spans="4:4" ht="20.25" customHeight="1">
      <c r="D466" s="147">
        <v>44816</v>
      </c>
    </row>
    <row r="467" spans="4:4" ht="20.25" customHeight="1">
      <c r="D467" s="147">
        <v>44816</v>
      </c>
    </row>
    <row r="468" spans="4:4" ht="20.25" customHeight="1">
      <c r="D468" s="147">
        <v>44816</v>
      </c>
    </row>
    <row r="469" spans="4:4" ht="20.25" customHeight="1">
      <c r="D469" s="145" t="s">
        <v>24</v>
      </c>
    </row>
    <row r="470" spans="4:4" ht="20.25" customHeight="1">
      <c r="D470" s="164">
        <v>45034</v>
      </c>
    </row>
    <row r="471" spans="4:4" ht="20.25" customHeight="1">
      <c r="D471" s="147">
        <v>44992</v>
      </c>
    </row>
    <row r="472" spans="4:4" ht="20.25" customHeight="1">
      <c r="D472" s="147">
        <v>44992</v>
      </c>
    </row>
    <row r="473" spans="4:4" ht="20.25" customHeight="1">
      <c r="D473" s="164">
        <v>45034</v>
      </c>
    </row>
    <row r="474" spans="4:4" ht="20.25" customHeight="1">
      <c r="D474" s="145" t="s">
        <v>24</v>
      </c>
    </row>
    <row r="475" spans="4:4" ht="20.25" customHeight="1">
      <c r="D475" s="145" t="s">
        <v>24</v>
      </c>
    </row>
    <row r="476" spans="4:4" ht="20.25" customHeight="1">
      <c r="D476" s="145" t="s">
        <v>24</v>
      </c>
    </row>
    <row r="477" spans="4:4" ht="20.25" customHeight="1">
      <c r="D477" s="147">
        <v>44862</v>
      </c>
    </row>
    <row r="478" spans="4:4" ht="20.25" customHeight="1">
      <c r="D478" s="145" t="s">
        <v>24</v>
      </c>
    </row>
    <row r="479" spans="4:4" ht="20.25" customHeight="1">
      <c r="D479" s="147">
        <v>44862</v>
      </c>
    </row>
    <row r="480" spans="4:4" ht="20.25" customHeight="1">
      <c r="D480" s="164">
        <v>45040</v>
      </c>
    </row>
    <row r="481" spans="4:4" ht="20.25" customHeight="1">
      <c r="D481" s="145" t="s">
        <v>24</v>
      </c>
    </row>
    <row r="482" spans="4:4" ht="20.25" customHeight="1">
      <c r="D482" s="145" t="s">
        <v>24</v>
      </c>
    </row>
    <row r="483" spans="4:4" ht="20.25" customHeight="1">
      <c r="D483" s="145" t="s">
        <v>24</v>
      </c>
    </row>
    <row r="484" spans="4:4" ht="20.25" customHeight="1">
      <c r="D484" s="145" t="s">
        <v>24</v>
      </c>
    </row>
    <row r="485" spans="4:4" ht="20.25" customHeight="1">
      <c r="D485" s="147">
        <v>44910</v>
      </c>
    </row>
    <row r="486" spans="4:4" ht="20.25" customHeight="1">
      <c r="D486" s="164">
        <v>45034</v>
      </c>
    </row>
    <row r="487" spans="4:4" ht="20.25" customHeight="1">
      <c r="D487" s="147">
        <v>44923</v>
      </c>
    </row>
    <row r="488" spans="4:4" ht="20.25" customHeight="1">
      <c r="D488" s="147">
        <v>44816</v>
      </c>
    </row>
    <row r="489" spans="4:4" ht="20.25" customHeight="1">
      <c r="D489" s="147">
        <v>44925</v>
      </c>
    </row>
    <row r="490" spans="4:4" ht="20.25" customHeight="1">
      <c r="D490" s="147">
        <v>44816</v>
      </c>
    </row>
    <row r="491" spans="4:4" ht="20.25" customHeight="1">
      <c r="D491" s="147">
        <v>44816</v>
      </c>
    </row>
    <row r="492" spans="4:4" ht="20.25" customHeight="1">
      <c r="D492" s="147">
        <v>44816</v>
      </c>
    </row>
    <row r="493" spans="4:4" ht="20.25" customHeight="1">
      <c r="D493" s="151">
        <v>45065</v>
      </c>
    </row>
    <row r="494" spans="4:4" ht="20.25" customHeight="1">
      <c r="D494" s="151">
        <v>45148</v>
      </c>
    </row>
    <row r="495" spans="4:4" ht="20.25" customHeight="1">
      <c r="D495" s="147">
        <v>44922</v>
      </c>
    </row>
    <row r="496" spans="4:4" ht="20.25" customHeight="1">
      <c r="D496" s="147">
        <v>44910</v>
      </c>
    </row>
    <row r="497" spans="4:4" ht="20.25" customHeight="1">
      <c r="D497" s="147">
        <v>44816</v>
      </c>
    </row>
    <row r="498" spans="4:4" ht="20.25" customHeight="1">
      <c r="D498" s="147">
        <v>44816</v>
      </c>
    </row>
    <row r="499" spans="4:4" ht="20.25" customHeight="1">
      <c r="D499" s="147">
        <v>44816</v>
      </c>
    </row>
    <row r="500" spans="4:4" ht="20.25" customHeight="1">
      <c r="D500" s="147">
        <v>44816</v>
      </c>
    </row>
    <row r="501" spans="4:4" ht="20.25" customHeight="1">
      <c r="D501" s="147">
        <v>44923</v>
      </c>
    </row>
    <row r="502" spans="4:4" ht="20.25" customHeight="1">
      <c r="D502" s="157"/>
    </row>
    <row r="503" spans="4:4" ht="20.25" customHeight="1">
      <c r="D503" s="185" t="s">
        <v>24</v>
      </c>
    </row>
    <row r="504" spans="4:4" ht="20.25" customHeight="1">
      <c r="D504" s="185" t="s">
        <v>24</v>
      </c>
    </row>
    <row r="505" spans="4:4" ht="20.25" customHeight="1">
      <c r="D505" s="164">
        <v>45013</v>
      </c>
    </row>
    <row r="506" spans="4:4" ht="20.25" customHeight="1">
      <c r="D506" s="147">
        <v>44889</v>
      </c>
    </row>
    <row r="507" spans="4:4" ht="20.25" customHeight="1">
      <c r="D507" s="148"/>
    </row>
    <row r="508" spans="4:4" ht="20.25" customHeight="1">
      <c r="D508" s="147">
        <v>44877</v>
      </c>
    </row>
    <row r="509" spans="4:4" ht="20.25" customHeight="1">
      <c r="D509" s="145" t="s">
        <v>24</v>
      </c>
    </row>
    <row r="510" spans="4:4" ht="20.25" customHeight="1">
      <c r="D510" s="145" t="s">
        <v>24</v>
      </c>
    </row>
    <row r="511" spans="4:4" ht="20.25" customHeight="1">
      <c r="D511" s="145" t="s">
        <v>24</v>
      </c>
    </row>
    <row r="512" spans="4:4" ht="20.25" customHeight="1">
      <c r="D512" s="145" t="s">
        <v>24</v>
      </c>
    </row>
    <row r="513" spans="4:4" ht="20.25" customHeight="1">
      <c r="D513" s="147">
        <v>44889</v>
      </c>
    </row>
    <row r="514" spans="4:4" ht="20.25" customHeight="1">
      <c r="D514" s="147">
        <v>44862</v>
      </c>
    </row>
    <row r="515" spans="4:4" ht="20.25" customHeight="1">
      <c r="D515" s="147">
        <v>44869</v>
      </c>
    </row>
    <row r="516" spans="4:4" ht="20.25" customHeight="1">
      <c r="D516" s="145" t="s">
        <v>24</v>
      </c>
    </row>
    <row r="517" spans="4:4" ht="20.25" customHeight="1">
      <c r="D517" s="145" t="s">
        <v>24</v>
      </c>
    </row>
    <row r="518" spans="4:4" ht="20.25" customHeight="1">
      <c r="D518" s="145" t="s">
        <v>24</v>
      </c>
    </row>
    <row r="519" spans="4:4" ht="20.25" customHeight="1">
      <c r="D519" s="164">
        <v>45014</v>
      </c>
    </row>
    <row r="520" spans="4:4" ht="20.25" customHeight="1">
      <c r="D520" s="151">
        <v>45065</v>
      </c>
    </row>
    <row r="521" spans="4:4" ht="20.25" customHeight="1">
      <c r="D521" s="147">
        <v>45056</v>
      </c>
    </row>
    <row r="522" spans="4:4" ht="20.25" customHeight="1">
      <c r="D522" s="151">
        <v>45049</v>
      </c>
    </row>
    <row r="523" spans="4:4" ht="20.25" customHeight="1">
      <c r="D523" s="147">
        <v>45056</v>
      </c>
    </row>
    <row r="524" spans="4:4" ht="20.25" customHeight="1">
      <c r="D524" s="145" t="s">
        <v>24</v>
      </c>
    </row>
    <row r="525" spans="4:4" ht="20.25" customHeight="1">
      <c r="D525" s="147">
        <v>44862</v>
      </c>
    </row>
    <row r="526" spans="4:4" ht="20.25" customHeight="1">
      <c r="D526" s="147">
        <v>44910</v>
      </c>
    </row>
    <row r="527" spans="4:4" ht="20.25" customHeight="1">
      <c r="D527" s="145" t="s">
        <v>24</v>
      </c>
    </row>
    <row r="528" spans="4:4" ht="20.25" customHeight="1">
      <c r="D528" s="145" t="s">
        <v>24</v>
      </c>
    </row>
    <row r="529" spans="4:4" ht="20.25" customHeight="1">
      <c r="D529" s="147">
        <v>44890</v>
      </c>
    </row>
    <row r="530" spans="4:4" ht="20.25" customHeight="1">
      <c r="D530" s="147">
        <v>44869</v>
      </c>
    </row>
    <row r="531" spans="4:4" ht="20.25" customHeight="1">
      <c r="D531" s="147">
        <v>44867</v>
      </c>
    </row>
    <row r="532" spans="4:4" ht="20.25" customHeight="1">
      <c r="D532" s="145" t="s">
        <v>24</v>
      </c>
    </row>
    <row r="533" spans="4:4" ht="20.25" customHeight="1">
      <c r="D533" s="145" t="s">
        <v>24</v>
      </c>
    </row>
    <row r="534" spans="4:4" ht="20.25" customHeight="1">
      <c r="D534" s="145" t="s">
        <v>24</v>
      </c>
    </row>
    <row r="535" spans="4:4" ht="20.25" customHeight="1">
      <c r="D535" s="151">
        <v>45049</v>
      </c>
    </row>
    <row r="536" spans="4:4" ht="20.25" customHeight="1">
      <c r="D536" s="147">
        <v>44923</v>
      </c>
    </row>
    <row r="537" spans="4:4" ht="20.25" customHeight="1">
      <c r="D537" s="145" t="s">
        <v>24</v>
      </c>
    </row>
    <row r="538" spans="4:4" ht="20.25" customHeight="1">
      <c r="D538" s="147">
        <v>44877</v>
      </c>
    </row>
    <row r="539" spans="4:4" ht="20.25" customHeight="1">
      <c r="D539" s="147">
        <v>44862</v>
      </c>
    </row>
    <row r="540" spans="4:4" ht="20.25" customHeight="1">
      <c r="D540" s="147">
        <v>44862</v>
      </c>
    </row>
    <row r="541" spans="4:4" ht="20.25" customHeight="1">
      <c r="D541" s="145" t="s">
        <v>24</v>
      </c>
    </row>
    <row r="542" spans="4:4" ht="20.25" customHeight="1">
      <c r="D542" s="147">
        <v>44889</v>
      </c>
    </row>
    <row r="543" spans="4:4" ht="20.25" customHeight="1">
      <c r="D543" s="145" t="s">
        <v>24</v>
      </c>
    </row>
    <row r="544" spans="4:4" ht="20.25" customHeight="1">
      <c r="D544" s="145" t="s">
        <v>24</v>
      </c>
    </row>
    <row r="545" spans="4:4" ht="20.25" customHeight="1">
      <c r="D545" s="145" t="s">
        <v>24</v>
      </c>
    </row>
    <row r="546" spans="4:4" ht="20.25" customHeight="1">
      <c r="D546" s="147">
        <v>44862</v>
      </c>
    </row>
    <row r="547" spans="4:4" ht="20.25" customHeight="1">
      <c r="D547" s="147">
        <v>44862</v>
      </c>
    </row>
    <row r="548" spans="4:4" ht="20.25" customHeight="1">
      <c r="D548" s="147">
        <v>44889</v>
      </c>
    </row>
    <row r="549" spans="4:4" ht="20.25" customHeight="1">
      <c r="D549" s="147">
        <v>44869</v>
      </c>
    </row>
    <row r="550" spans="4:4" ht="20.25" customHeight="1">
      <c r="D550" s="154">
        <v>45013</v>
      </c>
    </row>
    <row r="551" spans="4:4" ht="20.25" customHeight="1">
      <c r="D551" s="154">
        <v>45013</v>
      </c>
    </row>
    <row r="552" spans="4:4" ht="20.25" customHeight="1">
      <c r="D552" s="147">
        <v>44816</v>
      </c>
    </row>
    <row r="553" spans="4:4" ht="20.25" customHeight="1">
      <c r="D553" s="145" t="s">
        <v>24</v>
      </c>
    </row>
    <row r="554" spans="4:4" ht="20.25" customHeight="1">
      <c r="D554" s="145" t="s">
        <v>24</v>
      </c>
    </row>
    <row r="555" spans="4:4" ht="20.25" customHeight="1">
      <c r="D555" s="145" t="s">
        <v>24</v>
      </c>
    </row>
    <row r="556" spans="4:4" ht="20.25" customHeight="1">
      <c r="D556" s="145" t="s">
        <v>24</v>
      </c>
    </row>
    <row r="557" spans="4:4" ht="20.25" customHeight="1">
      <c r="D557" s="145" t="s">
        <v>24</v>
      </c>
    </row>
    <row r="558" spans="4:4" ht="20.25" customHeight="1">
      <c r="D558" s="145" t="s">
        <v>24</v>
      </c>
    </row>
    <row r="559" spans="4:4" ht="20.25" customHeight="1">
      <c r="D559" s="145" t="s">
        <v>24</v>
      </c>
    </row>
    <row r="560" spans="4:4" ht="20.25" customHeight="1">
      <c r="D560" s="145" t="s">
        <v>24</v>
      </c>
    </row>
    <row r="561" spans="4:4" ht="20.25" customHeight="1">
      <c r="D561" s="147">
        <v>44869</v>
      </c>
    </row>
    <row r="562" spans="4:4" ht="20.25" customHeight="1">
      <c r="D562" s="147">
        <v>44862</v>
      </c>
    </row>
    <row r="563" spans="4:4" ht="20.25" customHeight="1">
      <c r="D563" s="147">
        <v>44869</v>
      </c>
    </row>
    <row r="564" spans="4:4" ht="20.25" customHeight="1">
      <c r="D564" s="145" t="s">
        <v>24</v>
      </c>
    </row>
    <row r="565" spans="4:4" ht="20.25" customHeight="1">
      <c r="D565" s="145" t="s">
        <v>24</v>
      </c>
    </row>
    <row r="566" spans="4:4" ht="20.25" customHeight="1">
      <c r="D566" s="145" t="s">
        <v>24</v>
      </c>
    </row>
    <row r="567" spans="4:4" ht="20.25" customHeight="1">
      <c r="D567" s="147">
        <v>44889</v>
      </c>
    </row>
    <row r="568" spans="4:4" ht="20.25" customHeight="1">
      <c r="D568" s="147">
        <v>44910</v>
      </c>
    </row>
    <row r="569" spans="4:4" ht="20.25" customHeight="1">
      <c r="D569" s="147">
        <v>44869</v>
      </c>
    </row>
    <row r="570" spans="4:4" ht="20.25" customHeight="1">
      <c r="D570" s="147">
        <v>44889</v>
      </c>
    </row>
    <row r="571" spans="4:4" ht="20.25" customHeight="1">
      <c r="D571" s="147">
        <v>44910</v>
      </c>
    </row>
    <row r="572" spans="4:4" ht="20.25" customHeight="1">
      <c r="D572" s="147">
        <v>44889</v>
      </c>
    </row>
    <row r="573" spans="4:4" ht="20.25" customHeight="1">
      <c r="D573" s="147">
        <v>44910</v>
      </c>
    </row>
    <row r="574" spans="4:4" ht="20.25" customHeight="1">
      <c r="D574" s="147">
        <v>44877</v>
      </c>
    </row>
    <row r="575" spans="4:4" ht="20.25" customHeight="1">
      <c r="D575" s="147">
        <v>44862</v>
      </c>
    </row>
    <row r="576" spans="4:4" ht="20.25" customHeight="1">
      <c r="D576" s="145" t="s">
        <v>24</v>
      </c>
    </row>
    <row r="577" spans="4:4" ht="20.25" customHeight="1">
      <c r="D577" s="145" t="s">
        <v>24</v>
      </c>
    </row>
    <row r="578" spans="4:4" ht="20.25" customHeight="1">
      <c r="D578" s="145" t="s">
        <v>24</v>
      </c>
    </row>
    <row r="579" spans="4:4" ht="20.25" customHeight="1">
      <c r="D579" s="145" t="s">
        <v>24</v>
      </c>
    </row>
    <row r="580" spans="4:4" ht="20.25" customHeight="1">
      <c r="D580" s="147">
        <v>44816</v>
      </c>
    </row>
    <row r="581" spans="4:4" ht="20.25" customHeight="1">
      <c r="D581" s="147">
        <v>44961</v>
      </c>
    </row>
    <row r="582" spans="4:4" ht="20.25" customHeight="1">
      <c r="D582" s="145" t="s">
        <v>24</v>
      </c>
    </row>
    <row r="583" spans="4:4" ht="20.25" customHeight="1">
      <c r="D583" s="147">
        <v>44889</v>
      </c>
    </row>
    <row r="584" spans="4:4" ht="20.25" customHeight="1">
      <c r="D584" s="147">
        <v>44816</v>
      </c>
    </row>
    <row r="585" spans="4:4" ht="20.25" customHeight="1">
      <c r="D585" s="147">
        <v>44961</v>
      </c>
    </row>
    <row r="586" spans="4:4" ht="20.25" customHeight="1">
      <c r="D586" s="147">
        <v>44910</v>
      </c>
    </row>
    <row r="587" spans="4:4" ht="20.25" customHeight="1">
      <c r="D587" s="147">
        <v>44889</v>
      </c>
    </row>
    <row r="588" spans="4:4" ht="20.25" customHeight="1">
      <c r="D588" s="147">
        <v>44816</v>
      </c>
    </row>
    <row r="589" spans="4:4" ht="20.25" customHeight="1">
      <c r="D589" s="147">
        <v>44889</v>
      </c>
    </row>
    <row r="590" spans="4:4" ht="20.25" customHeight="1">
      <c r="D590" s="147">
        <v>44816</v>
      </c>
    </row>
    <row r="591" spans="4:4" ht="20.25" customHeight="1">
      <c r="D591" s="145" t="s">
        <v>24</v>
      </c>
    </row>
    <row r="592" spans="4:4" ht="20.25" customHeight="1">
      <c r="D592" s="145" t="s">
        <v>24</v>
      </c>
    </row>
    <row r="593" spans="4:4" ht="20.25" customHeight="1">
      <c r="D593" s="145" t="s">
        <v>24</v>
      </c>
    </row>
    <row r="594" spans="4:4" ht="20.25" customHeight="1">
      <c r="D594" s="147">
        <v>44889</v>
      </c>
    </row>
    <row r="595" spans="4:4" ht="20.25" customHeight="1">
      <c r="D595" s="145" t="s">
        <v>24</v>
      </c>
    </row>
    <row r="596" spans="4:4" ht="20.25" customHeight="1">
      <c r="D596" s="145" t="s">
        <v>24</v>
      </c>
    </row>
    <row r="597" spans="4:4" ht="20.25" customHeight="1">
      <c r="D597" s="147">
        <v>44889</v>
      </c>
    </row>
    <row r="598" spans="4:4" ht="20.25" customHeight="1">
      <c r="D598" s="147">
        <v>44889</v>
      </c>
    </row>
    <row r="599" spans="4:4" ht="20.25" customHeight="1">
      <c r="D599" s="147"/>
    </row>
    <row r="600" spans="4:4" ht="20.25" customHeight="1">
      <c r="D600" s="147">
        <v>45097</v>
      </c>
    </row>
    <row r="601" spans="4:4" ht="20.25" customHeight="1">
      <c r="D601" s="147">
        <v>44910</v>
      </c>
    </row>
    <row r="602" spans="4:4" ht="20.25" customHeight="1">
      <c r="D602" s="147">
        <v>44923</v>
      </c>
    </row>
    <row r="603" spans="4:4" ht="20.25" customHeight="1">
      <c r="D603" s="147">
        <v>44923</v>
      </c>
    </row>
    <row r="604" spans="4:4" ht="20.25" customHeight="1">
      <c r="D604" s="147">
        <v>44910</v>
      </c>
    </row>
    <row r="605" spans="4:4" ht="20.25" customHeight="1">
      <c r="D605" s="147">
        <v>44910</v>
      </c>
    </row>
    <row r="606" spans="4:4" ht="20.25" customHeight="1">
      <c r="D606" s="145" t="s">
        <v>24</v>
      </c>
    </row>
    <row r="607" spans="4:4" ht="20.25" customHeight="1">
      <c r="D607" s="147">
        <v>44923</v>
      </c>
    </row>
    <row r="608" spans="4:4" ht="20.25" customHeight="1">
      <c r="D608" s="147">
        <v>44910</v>
      </c>
    </row>
    <row r="609" spans="4:4" ht="20.25" customHeight="1">
      <c r="D609" s="147">
        <v>44923</v>
      </c>
    </row>
    <row r="610" spans="4:4" ht="20.25" customHeight="1">
      <c r="D610" s="147">
        <v>44910</v>
      </c>
    </row>
    <row r="611" spans="4:4" ht="20.25" customHeight="1">
      <c r="D611" s="147">
        <v>44910</v>
      </c>
    </row>
    <row r="612" spans="4:4" ht="20.25" customHeight="1">
      <c r="D612" s="147">
        <v>44869</v>
      </c>
    </row>
    <row r="613" spans="4:4" ht="20.25" customHeight="1">
      <c r="D613" s="147">
        <v>44869</v>
      </c>
    </row>
    <row r="614" spans="4:4" ht="20.25" customHeight="1">
      <c r="D614" s="147">
        <v>44876</v>
      </c>
    </row>
    <row r="615" spans="4:4" ht="20.25" customHeight="1">
      <c r="D615" s="145" t="s">
        <v>24</v>
      </c>
    </row>
    <row r="616" spans="4:4" ht="20.25" customHeight="1">
      <c r="D616" s="147">
        <v>44869</v>
      </c>
    </row>
    <row r="617" spans="4:4" ht="20.25" customHeight="1">
      <c r="D617" s="145" t="s">
        <v>24</v>
      </c>
    </row>
    <row r="618" spans="4:4" ht="20.25" customHeight="1">
      <c r="D618" s="145" t="s">
        <v>24</v>
      </c>
    </row>
    <row r="619" spans="4:4" ht="20.25" customHeight="1">
      <c r="D619" s="145" t="s">
        <v>24</v>
      </c>
    </row>
    <row r="620" spans="4:4" ht="20.25" customHeight="1">
      <c r="D620" s="145" t="s">
        <v>24</v>
      </c>
    </row>
    <row r="621" spans="4:4" ht="20.25" customHeight="1">
      <c r="D621" s="145" t="s">
        <v>24</v>
      </c>
    </row>
    <row r="622" spans="4:4" ht="20.25" customHeight="1">
      <c r="D622" s="145" t="s">
        <v>24</v>
      </c>
    </row>
    <row r="623" spans="4:4" ht="20.25" customHeight="1">
      <c r="D623" s="145" t="s">
        <v>24</v>
      </c>
    </row>
    <row r="624" spans="4:4" ht="20.25" customHeight="1">
      <c r="D624" s="145" t="s">
        <v>24</v>
      </c>
    </row>
    <row r="625" spans="4:4" ht="20.25" customHeight="1">
      <c r="D625" s="145" t="s">
        <v>24</v>
      </c>
    </row>
    <row r="626" spans="4:4" ht="20.25" customHeight="1">
      <c r="D626" s="145" t="s">
        <v>24</v>
      </c>
    </row>
    <row r="627" spans="4:4" ht="20.25" customHeight="1">
      <c r="D627" s="145" t="s">
        <v>24</v>
      </c>
    </row>
    <row r="628" spans="4:4" ht="20.25" customHeight="1">
      <c r="D628" s="145" t="s">
        <v>24</v>
      </c>
    </row>
    <row r="629" spans="4:4" ht="20.25" customHeight="1">
      <c r="D629" s="145" t="s">
        <v>24</v>
      </c>
    </row>
    <row r="630" spans="4:4" ht="20.25" customHeight="1">
      <c r="D630" s="147">
        <v>44910</v>
      </c>
    </row>
    <row r="631" spans="4:4" ht="20.25" customHeight="1">
      <c r="D631" s="145" t="s">
        <v>24</v>
      </c>
    </row>
    <row r="632" spans="4:4" ht="20.25" customHeight="1">
      <c r="D632" s="147">
        <v>44910</v>
      </c>
    </row>
    <row r="633" spans="4:4" ht="20.25" customHeight="1">
      <c r="D633" s="145" t="s">
        <v>24</v>
      </c>
    </row>
    <row r="634" spans="4:4" ht="20.25" customHeight="1">
      <c r="D634" s="147">
        <v>44910</v>
      </c>
    </row>
    <row r="635" spans="4:4" ht="20.25" customHeight="1">
      <c r="D635" s="145" t="s">
        <v>24</v>
      </c>
    </row>
    <row r="636" spans="4:4" ht="20.25" customHeight="1">
      <c r="D636" s="145" t="s">
        <v>24</v>
      </c>
    </row>
    <row r="637" spans="4:4" ht="20.25" customHeight="1">
      <c r="D637" s="145" t="s">
        <v>24</v>
      </c>
    </row>
    <row r="638" spans="4:4" ht="20.25" customHeight="1">
      <c r="D638" s="145" t="s">
        <v>24</v>
      </c>
    </row>
    <row r="639" spans="4:4" ht="20.25" customHeight="1">
      <c r="D639" s="151">
        <v>45065</v>
      </c>
    </row>
    <row r="640" spans="4:4" ht="20.25" customHeight="1">
      <c r="D640" s="151">
        <v>45148</v>
      </c>
    </row>
    <row r="641" spans="4:4" ht="20.25" customHeight="1">
      <c r="D641" s="147">
        <v>44910</v>
      </c>
    </row>
    <row r="642" spans="4:4" ht="20.25" customHeight="1">
      <c r="D642" s="164">
        <v>45040</v>
      </c>
    </row>
    <row r="643" spans="4:4" ht="20.25" customHeight="1">
      <c r="D643" s="145" t="s">
        <v>24</v>
      </c>
    </row>
    <row r="644" spans="4:4" ht="20.25" customHeight="1">
      <c r="D644" s="151">
        <v>45065</v>
      </c>
    </row>
    <row r="645" spans="4:4" ht="20.25" customHeight="1">
      <c r="D645" s="145" t="s">
        <v>24</v>
      </c>
    </row>
    <row r="646" spans="4:4" ht="20.25" customHeight="1">
      <c r="D646" s="164">
        <v>45040</v>
      </c>
    </row>
    <row r="647" spans="4:4" ht="20.25" customHeight="1">
      <c r="D647" s="147">
        <v>44923</v>
      </c>
    </row>
    <row r="648" spans="4:4" ht="20.25" customHeight="1">
      <c r="D648" s="151">
        <v>45065</v>
      </c>
    </row>
    <row r="649" spans="4:4" ht="20.25" customHeight="1">
      <c r="D649" s="145" t="s">
        <v>24</v>
      </c>
    </row>
    <row r="650" spans="4:4" ht="20.25" customHeight="1">
      <c r="D650" s="145" t="s">
        <v>24</v>
      </c>
    </row>
    <row r="651" spans="4:4" ht="20.25" customHeight="1">
      <c r="D651" s="147">
        <v>44910</v>
      </c>
    </row>
    <row r="652" spans="4:4" ht="20.25" customHeight="1">
      <c r="D652" s="147">
        <v>44923</v>
      </c>
    </row>
    <row r="653" spans="4:4" ht="20.25" customHeight="1">
      <c r="D653" s="147">
        <v>44910</v>
      </c>
    </row>
    <row r="654" spans="4:4" ht="20.25" customHeight="1">
      <c r="D654" s="147">
        <v>44869</v>
      </c>
    </row>
    <row r="655" spans="4:4" ht="20.25" customHeight="1">
      <c r="D655" s="147">
        <v>44910</v>
      </c>
    </row>
    <row r="656" spans="4:4" ht="20.25" customHeight="1">
      <c r="D656" s="145"/>
    </row>
    <row r="657" spans="4:4" ht="20.25" customHeight="1">
      <c r="D657" s="147">
        <v>44910</v>
      </c>
    </row>
    <row r="658" spans="4:4" ht="20.25" customHeight="1">
      <c r="D658" s="145" t="s">
        <v>24</v>
      </c>
    </row>
    <row r="659" spans="4:4" ht="20.25" customHeight="1">
      <c r="D659" s="147">
        <v>44923</v>
      </c>
    </row>
    <row r="660" spans="4:4" ht="20.25" customHeight="1">
      <c r="D660" s="147">
        <v>44910</v>
      </c>
    </row>
    <row r="661" spans="4:4" ht="20.25" customHeight="1">
      <c r="D661" s="147">
        <v>44910</v>
      </c>
    </row>
    <row r="662" spans="4:4" ht="20.25" customHeight="1">
      <c r="D662" s="145"/>
    </row>
    <row r="663" spans="4:4" ht="20.25" customHeight="1">
      <c r="D663" s="157"/>
    </row>
    <row r="664" spans="4:4" ht="20.25" customHeight="1">
      <c r="D664" s="157"/>
    </row>
    <row r="665" spans="4:4" ht="20.25" customHeight="1">
      <c r="D665" s="157"/>
    </row>
    <row r="666" spans="4:4" ht="20.25" customHeight="1">
      <c r="D666" s="157"/>
    </row>
    <row r="667" spans="4:4" ht="20.25" customHeight="1">
      <c r="D667" s="157"/>
    </row>
    <row r="668" spans="4:4" ht="20.25" customHeight="1">
      <c r="D668" s="157"/>
    </row>
    <row r="669" spans="4:4" ht="20.25" customHeight="1">
      <c r="D669" s="157"/>
    </row>
    <row r="670" spans="4:4" ht="20.25" customHeight="1">
      <c r="D670" s="157"/>
    </row>
    <row r="671" spans="4:4" ht="20.25" customHeight="1">
      <c r="D671" s="157"/>
    </row>
    <row r="672" spans="4:4" ht="20.25" customHeight="1">
      <c r="D672" s="157"/>
    </row>
    <row r="673" spans="4:4" ht="20.25" customHeight="1">
      <c r="D673" s="157"/>
    </row>
    <row r="674" spans="4:4" ht="20.25" customHeight="1">
      <c r="D674" s="157"/>
    </row>
    <row r="675" spans="4:4" ht="20.25" customHeight="1">
      <c r="D675" s="157"/>
    </row>
    <row r="676" spans="4:4" ht="20.25" customHeight="1">
      <c r="D676" s="157"/>
    </row>
    <row r="677" spans="4:4" ht="20.25" customHeight="1">
      <c r="D677" s="157"/>
    </row>
    <row r="678" spans="4:4" ht="20.25" customHeight="1">
      <c r="D678" s="157"/>
    </row>
    <row r="679" spans="4:4" ht="20.25" customHeight="1">
      <c r="D679" s="157"/>
    </row>
    <row r="680" spans="4:4" ht="20.25" customHeight="1">
      <c r="D680" s="157"/>
    </row>
    <row r="681" spans="4:4" ht="20.25" customHeight="1">
      <c r="D681" s="157"/>
    </row>
    <row r="682" spans="4:4" ht="20.25" customHeight="1">
      <c r="D682" s="157"/>
    </row>
    <row r="683" spans="4:4" ht="20.25" customHeight="1">
      <c r="D683" s="157"/>
    </row>
    <row r="684" spans="4:4" ht="20.25" customHeight="1">
      <c r="D684" s="157"/>
    </row>
    <row r="685" spans="4:4" ht="20.25" customHeight="1">
      <c r="D685" s="145" t="s">
        <v>24</v>
      </c>
    </row>
    <row r="686" spans="4:4" ht="20.25" customHeight="1">
      <c r="D686" s="145" t="s">
        <v>24</v>
      </c>
    </row>
    <row r="687" spans="4:4" ht="20.25" customHeight="1">
      <c r="D687" s="145" t="s">
        <v>24</v>
      </c>
    </row>
    <row r="688" spans="4:4" ht="20.25" customHeight="1">
      <c r="D688" s="157" t="s">
        <v>24</v>
      </c>
    </row>
    <row r="689" spans="4:4" ht="20.25" customHeight="1">
      <c r="D689" s="157"/>
    </row>
    <row r="690" spans="4:4" ht="20.25" customHeight="1">
      <c r="D690" s="157"/>
    </row>
    <row r="691" spans="4:4" ht="20.25" customHeight="1">
      <c r="D691" s="157"/>
    </row>
    <row r="692" spans="4:4" ht="20.25" customHeight="1">
      <c r="D692" s="157"/>
    </row>
    <row r="693" spans="4:4" ht="20.25" customHeight="1">
      <c r="D693" s="157"/>
    </row>
    <row r="694" spans="4:4" ht="20.25" customHeight="1">
      <c r="D694" s="157"/>
    </row>
    <row r="695" spans="4:4" ht="20.25" customHeight="1">
      <c r="D695" s="157"/>
    </row>
    <row r="696" spans="4:4" ht="20.25" customHeight="1">
      <c r="D696" s="157"/>
    </row>
    <row r="697" spans="4:4" ht="20.25" customHeight="1">
      <c r="D697" s="157"/>
    </row>
    <row r="698" spans="4:4" ht="20.25" customHeight="1">
      <c r="D698" s="157"/>
    </row>
    <row r="699" spans="4:4" ht="20.25" customHeight="1">
      <c r="D699" s="157"/>
    </row>
    <row r="700" spans="4:4" ht="20.25" customHeight="1">
      <c r="D700" s="157"/>
    </row>
    <row r="701" spans="4:4" ht="20.25" customHeight="1">
      <c r="D701" s="157"/>
    </row>
    <row r="702" spans="4:4" ht="20.25" customHeight="1">
      <c r="D702" s="157"/>
    </row>
    <row r="703" spans="4:4" ht="20.25" customHeight="1">
      <c r="D703" s="157"/>
    </row>
    <row r="704" spans="4:4" ht="20.25" customHeight="1">
      <c r="D704" s="164">
        <v>45040</v>
      </c>
    </row>
    <row r="705" spans="4:4" ht="20.25" customHeight="1">
      <c r="D705" s="157"/>
    </row>
    <row r="706" spans="4:4" ht="20.25" customHeight="1">
      <c r="D706" s="157"/>
    </row>
    <row r="707" spans="4:4" ht="20.25" customHeight="1">
      <c r="D707" s="145"/>
    </row>
    <row r="708" spans="4:4" ht="20.25" customHeight="1">
      <c r="D708" s="157"/>
    </row>
    <row r="709" spans="4:4" ht="20.25" customHeight="1">
      <c r="D709" s="157"/>
    </row>
    <row r="710" spans="4:4" ht="20.25" customHeight="1">
      <c r="D710" s="147">
        <v>44922</v>
      </c>
    </row>
    <row r="711" spans="4:4" ht="20.25" customHeight="1">
      <c r="D711" s="157"/>
    </row>
    <row r="712" spans="4:4" ht="20.25" customHeight="1">
      <c r="D712" s="157"/>
    </row>
    <row r="713" spans="4:4" ht="20.25" customHeight="1">
      <c r="D713" s="157"/>
    </row>
    <row r="714" spans="4:4" ht="20.25" customHeight="1">
      <c r="D714" s="157"/>
    </row>
    <row r="715" spans="4:4" ht="20.25" customHeight="1">
      <c r="D715" s="157" t="s">
        <v>24</v>
      </c>
    </row>
    <row r="716" spans="4:4" ht="20.25" customHeight="1">
      <c r="D716" s="157" t="s">
        <v>24</v>
      </c>
    </row>
    <row r="717" spans="4:4" ht="20.25" customHeight="1">
      <c r="D717" s="157"/>
    </row>
    <row r="718" spans="4:4" ht="20.25" customHeight="1">
      <c r="D718" s="157" t="s">
        <v>24</v>
      </c>
    </row>
    <row r="719" spans="4:4" ht="20.25" customHeight="1">
      <c r="D719" s="157"/>
    </row>
    <row r="720" spans="4:4" ht="20.25" customHeight="1">
      <c r="D720" s="157"/>
    </row>
    <row r="721" spans="4:4" ht="20.25" customHeight="1">
      <c r="D721" s="157"/>
    </row>
    <row r="722" spans="4:4" ht="20.25" customHeight="1">
      <c r="D722" s="145" t="s">
        <v>24</v>
      </c>
    </row>
    <row r="723" spans="4:4" ht="20.25" customHeight="1">
      <c r="D723" s="164">
        <v>45040</v>
      </c>
    </row>
    <row r="724" spans="4:4" ht="20.25" customHeight="1">
      <c r="D724" s="157"/>
    </row>
    <row r="725" spans="4:4" ht="20.25" customHeight="1">
      <c r="D725" s="145" t="s">
        <v>24</v>
      </c>
    </row>
    <row r="726" spans="4:4" ht="20.25" customHeight="1">
      <c r="D726" s="151">
        <v>45148</v>
      </c>
    </row>
    <row r="727" spans="4:4" ht="20.25" customHeight="1">
      <c r="D727" s="157"/>
    </row>
    <row r="728" spans="4:4" ht="20.25" customHeight="1">
      <c r="D728" s="151">
        <v>45049</v>
      </c>
    </row>
    <row r="729" spans="4:4" ht="20.25" customHeight="1">
      <c r="D729" s="145" t="s">
        <v>24</v>
      </c>
    </row>
    <row r="730" spans="4:4" ht="20.25" customHeight="1">
      <c r="D730" s="157" t="s">
        <v>24</v>
      </c>
    </row>
    <row r="731" spans="4:4" ht="20.25" customHeight="1">
      <c r="D731" s="157"/>
    </row>
    <row r="732" spans="4:4" ht="20.25" customHeight="1">
      <c r="D732" s="157"/>
    </row>
    <row r="733" spans="4:4" ht="20.25" customHeight="1">
      <c r="D733" s="151">
        <v>45049</v>
      </c>
    </row>
    <row r="734" spans="4:4" ht="20.25" customHeight="1">
      <c r="D734" s="147">
        <v>45058</v>
      </c>
    </row>
    <row r="735" spans="4:4" ht="20.25" customHeight="1">
      <c r="D735" s="157"/>
    </row>
    <row r="736" spans="4:4" ht="20.25" customHeight="1">
      <c r="D736" s="164">
        <v>45040</v>
      </c>
    </row>
    <row r="737" spans="4:4" ht="20.25" customHeight="1">
      <c r="D737" s="157"/>
    </row>
    <row r="738" spans="4:4" ht="20.25" customHeight="1">
      <c r="D738" s="145" t="s">
        <v>24</v>
      </c>
    </row>
    <row r="739" spans="4:4" ht="20.25" customHeight="1">
      <c r="D739" s="157"/>
    </row>
    <row r="740" spans="4:4" ht="20.25" customHeight="1">
      <c r="D740" s="157"/>
    </row>
    <row r="741" spans="4:4" ht="20.25" customHeight="1">
      <c r="D741" s="157"/>
    </row>
    <row r="742" spans="4:4" ht="20.25" customHeight="1">
      <c r="D742" s="145" t="s">
        <v>24</v>
      </c>
    </row>
    <row r="743" spans="4:4" ht="20.25" customHeight="1">
      <c r="D743" s="157"/>
    </row>
    <row r="744" spans="4:4" ht="20.25" customHeight="1">
      <c r="D744" s="157"/>
    </row>
    <row r="745" spans="4:4" ht="20.25" customHeight="1">
      <c r="D745" s="157"/>
    </row>
    <row r="746" spans="4:4" ht="20.25" customHeight="1">
      <c r="D746" s="145" t="s">
        <v>24</v>
      </c>
    </row>
    <row r="747" spans="4:4" ht="20.25" customHeight="1">
      <c r="D747" s="145" t="s">
        <v>24</v>
      </c>
    </row>
    <row r="748" spans="4:4" ht="20.25" customHeight="1">
      <c r="D748" s="157"/>
    </row>
    <row r="749" spans="4:4" ht="20.25" customHeight="1">
      <c r="D749" s="145" t="s">
        <v>24</v>
      </c>
    </row>
    <row r="750" spans="4:4" ht="20.25" customHeight="1">
      <c r="D750" s="157"/>
    </row>
    <row r="751" spans="4:4" ht="20.25" customHeight="1">
      <c r="D751" s="157"/>
    </row>
    <row r="752" spans="4:4" ht="20.25" customHeight="1">
      <c r="D752" s="145" t="s">
        <v>24</v>
      </c>
    </row>
    <row r="753" spans="4:4" ht="20.25" customHeight="1">
      <c r="D753" s="164">
        <v>45040</v>
      </c>
    </row>
    <row r="754" spans="4:4" ht="20.25" customHeight="1">
      <c r="D754" s="157"/>
    </row>
    <row r="755" spans="4:4" ht="20.25" customHeight="1">
      <c r="D755" s="145" t="s">
        <v>24</v>
      </c>
    </row>
    <row r="756" spans="4:4" ht="20.25" customHeight="1">
      <c r="D756" s="147">
        <v>44923</v>
      </c>
    </row>
    <row r="757" spans="4:4" ht="20.25" customHeight="1">
      <c r="D757" s="157"/>
    </row>
    <row r="758" spans="4:4" ht="20.25" customHeight="1">
      <c r="D758" s="147">
        <v>44877</v>
      </c>
    </row>
    <row r="759" spans="4:4" ht="20.25" customHeight="1">
      <c r="D759" s="157"/>
    </row>
    <row r="760" spans="4:4" ht="20.25" customHeight="1">
      <c r="D760" s="157"/>
    </row>
    <row r="761" spans="4:4" ht="20.25" customHeight="1">
      <c r="D761" s="164">
        <v>45040</v>
      </c>
    </row>
    <row r="762" spans="4:4" ht="20.25" customHeight="1">
      <c r="D762" s="145" t="s">
        <v>24</v>
      </c>
    </row>
    <row r="763" spans="4:4" ht="20.25" customHeight="1">
      <c r="D763" s="157"/>
    </row>
    <row r="764" spans="4:4" ht="20.25" customHeight="1">
      <c r="D764" s="157"/>
    </row>
    <row r="765" spans="4:4" ht="20.25" customHeight="1">
      <c r="D765" s="157"/>
    </row>
    <row r="766" spans="4:4" ht="20.25" customHeight="1">
      <c r="D766" s="157"/>
    </row>
    <row r="767" spans="4:4" ht="20.25" customHeight="1">
      <c r="D767" s="157"/>
    </row>
    <row r="768" spans="4:4" ht="20.25" customHeight="1">
      <c r="D768" s="157"/>
    </row>
    <row r="769" spans="4:4" ht="20.25" customHeight="1">
      <c r="D769" s="157"/>
    </row>
    <row r="770" spans="4:4" ht="20.25" customHeight="1">
      <c r="D770" s="157"/>
    </row>
    <row r="771" spans="4:4" ht="20.25" customHeight="1">
      <c r="D771" s="157"/>
    </row>
    <row r="772" spans="4:4" ht="20.25" customHeight="1">
      <c r="D772" s="157"/>
    </row>
    <row r="773" spans="4:4" ht="20.25" customHeight="1">
      <c r="D773" s="151">
        <v>45049</v>
      </c>
    </row>
    <row r="774" spans="4:4" ht="20.25" customHeight="1">
      <c r="D774" s="164">
        <v>45040</v>
      </c>
    </row>
    <row r="775" spans="4:4" ht="20.25" customHeight="1">
      <c r="D775" s="157"/>
    </row>
    <row r="776" spans="4:4" ht="20.25" customHeight="1">
      <c r="D776" s="157"/>
    </row>
    <row r="777" spans="4:4" ht="20.25" customHeight="1">
      <c r="D777" s="145" t="s">
        <v>24</v>
      </c>
    </row>
    <row r="778" spans="4:4" ht="20.25" customHeight="1">
      <c r="D778" s="157"/>
    </row>
    <row r="779" spans="4:4" ht="20.25" customHeight="1">
      <c r="D779" s="157"/>
    </row>
    <row r="780" spans="4:4" ht="20.25" customHeight="1">
      <c r="D780" s="157"/>
    </row>
    <row r="781" spans="4:4" ht="20.25" customHeight="1">
      <c r="D781" s="157"/>
    </row>
    <row r="782" spans="4:4" ht="20.25" customHeight="1">
      <c r="D782" s="157"/>
    </row>
    <row r="783" spans="4:4" ht="20.25" customHeight="1">
      <c r="D783" s="157"/>
    </row>
    <row r="784" spans="4:4" ht="20.25" customHeight="1">
      <c r="D784" s="145" t="s">
        <v>24</v>
      </c>
    </row>
    <row r="785" spans="4:4" ht="20.25" customHeight="1">
      <c r="D785" s="151">
        <v>45105</v>
      </c>
    </row>
    <row r="786" spans="4:4" ht="20.25" customHeight="1">
      <c r="D786" s="164">
        <v>45040</v>
      </c>
    </row>
    <row r="787" spans="4:4" ht="20.25" customHeight="1">
      <c r="D787" s="157"/>
    </row>
    <row r="788" spans="4:4" ht="20.25" customHeight="1">
      <c r="D788" s="145" t="s">
        <v>24</v>
      </c>
    </row>
    <row r="789" spans="4:4" ht="20.25" customHeight="1">
      <c r="D789" s="145" t="s">
        <v>24</v>
      </c>
    </row>
    <row r="790" spans="4:4" ht="20.25" customHeight="1">
      <c r="D790" s="157"/>
    </row>
    <row r="791" spans="4:4" ht="20.25" customHeight="1">
      <c r="D791" s="157"/>
    </row>
    <row r="792" spans="4:4" ht="20.25" customHeight="1">
      <c r="D792" s="157"/>
    </row>
    <row r="793" spans="4:4" ht="20.25" customHeight="1">
      <c r="D793" s="145" t="s">
        <v>24</v>
      </c>
    </row>
    <row r="794" spans="4:4" ht="20.25" customHeight="1">
      <c r="D794" s="157"/>
    </row>
    <row r="795" spans="4:4" ht="20.25" customHeight="1">
      <c r="D795" s="147">
        <v>44910</v>
      </c>
    </row>
    <row r="796" spans="4:4" ht="20.25" customHeight="1">
      <c r="D796" s="157"/>
    </row>
    <row r="797" spans="4:4" ht="20.25" customHeight="1">
      <c r="D797" s="145" t="s">
        <v>24</v>
      </c>
    </row>
    <row r="798" spans="4:4" ht="20.25" customHeight="1">
      <c r="D798" s="157"/>
    </row>
    <row r="799" spans="4:4" ht="20.25" customHeight="1">
      <c r="D799" s="157"/>
    </row>
    <row r="800" spans="4:4" ht="20.25" customHeight="1">
      <c r="D800" s="157"/>
    </row>
    <row r="801" spans="4:4" ht="20.25" customHeight="1">
      <c r="D801" s="157"/>
    </row>
    <row r="802" spans="4:4" ht="20.25" customHeight="1">
      <c r="D802" s="164">
        <v>45040</v>
      </c>
    </row>
    <row r="803" spans="4:4" ht="20.25" customHeight="1">
      <c r="D803" s="164">
        <v>45040</v>
      </c>
    </row>
    <row r="804" spans="4:4" ht="20.25" customHeight="1">
      <c r="D804" s="157"/>
    </row>
    <row r="805" spans="4:4" ht="20.25" customHeight="1">
      <c r="D805" s="157"/>
    </row>
    <row r="806" spans="4:4" ht="20.25" customHeight="1">
      <c r="D806" s="164">
        <v>45040</v>
      </c>
    </row>
    <row r="807" spans="4:4" ht="20.25" customHeight="1">
      <c r="D807" s="147">
        <v>44890</v>
      </c>
    </row>
    <row r="808" spans="4:4" ht="20.25" customHeight="1">
      <c r="D808" s="157"/>
    </row>
    <row r="809" spans="4:4" ht="20.25" customHeight="1">
      <c r="D809" s="164">
        <v>45040</v>
      </c>
    </row>
    <row r="810" spans="4:4" ht="20.25" customHeight="1">
      <c r="D810" s="152"/>
    </row>
    <row r="811" spans="4:4" ht="20.25" customHeight="1">
      <c r="D811" s="157"/>
    </row>
    <row r="812" spans="4:4" ht="20.25" customHeight="1">
      <c r="D812" s="164">
        <v>45040</v>
      </c>
    </row>
    <row r="813" spans="4:4" ht="20.25" customHeight="1">
      <c r="D813" s="157"/>
    </row>
    <row r="814" spans="4:4" ht="20.25" customHeight="1">
      <c r="D814" s="157"/>
    </row>
    <row r="815" spans="4:4" ht="20.25" customHeight="1">
      <c r="D815" s="164">
        <v>45040</v>
      </c>
    </row>
    <row r="816" spans="4:4" ht="20.25" customHeight="1">
      <c r="D816" s="147">
        <v>44922</v>
      </c>
    </row>
    <row r="817" spans="4:4" ht="20.25" customHeight="1">
      <c r="D817" s="157"/>
    </row>
    <row r="818" spans="4:4" ht="20.25" customHeight="1">
      <c r="D818" s="157"/>
    </row>
    <row r="819" spans="4:4" ht="20.25" customHeight="1">
      <c r="D819" s="145" t="s">
        <v>24</v>
      </c>
    </row>
    <row r="820" spans="4:4" ht="20.25" customHeight="1">
      <c r="D820" s="147">
        <v>45056</v>
      </c>
    </row>
    <row r="821" spans="4:4" ht="20.25" customHeight="1">
      <c r="D821" s="157"/>
    </row>
    <row r="822" spans="4:4" ht="20.25" customHeight="1">
      <c r="D822" s="145" t="s">
        <v>24</v>
      </c>
    </row>
    <row r="823" spans="4:4" ht="20.25" customHeight="1">
      <c r="D823" s="157" t="s">
        <v>24</v>
      </c>
    </row>
    <row r="824" spans="4:4" ht="20.25" customHeight="1">
      <c r="D824" s="145" t="s">
        <v>24</v>
      </c>
    </row>
    <row r="825" spans="4:4" ht="20.25" customHeight="1">
      <c r="D825" s="157"/>
    </row>
    <row r="826" spans="4:4" ht="20.25" customHeight="1">
      <c r="D826" s="157"/>
    </row>
    <row r="827" spans="4:4" ht="20.25" customHeight="1">
      <c r="D827" s="157"/>
    </row>
    <row r="828" spans="4:4" ht="20.25" customHeight="1">
      <c r="D828" s="157"/>
    </row>
    <row r="829" spans="4:4" ht="20.25" customHeight="1">
      <c r="D829" s="157"/>
    </row>
    <row r="830" spans="4:4" ht="20.25" customHeight="1">
      <c r="D830" s="157"/>
    </row>
    <row r="831" spans="4:4" ht="20.25" customHeight="1">
      <c r="D831" s="157"/>
    </row>
    <row r="832" spans="4:4" ht="20.25" customHeight="1">
      <c r="D832" s="157"/>
    </row>
    <row r="833" spans="4:4" ht="20.25" customHeight="1">
      <c r="D833" s="157"/>
    </row>
    <row r="834" spans="4:4" ht="20.25" customHeight="1">
      <c r="D834" s="157"/>
    </row>
    <row r="835" spans="4:4" ht="20.25" customHeight="1">
      <c r="D835" s="145" t="s">
        <v>24</v>
      </c>
    </row>
    <row r="836" spans="4:4" ht="20.25" customHeight="1">
      <c r="D836" s="145" t="s">
        <v>24</v>
      </c>
    </row>
    <row r="837" spans="4:4" ht="20.25" customHeight="1">
      <c r="D837" s="145" t="s">
        <v>24</v>
      </c>
    </row>
    <row r="838" spans="4:4" ht="20.25" customHeight="1">
      <c r="D838" s="158"/>
    </row>
    <row r="839" spans="4:4" ht="20.25" customHeight="1">
      <c r="D839" s="157"/>
    </row>
    <row r="840" spans="4:4" ht="20.25" customHeight="1">
      <c r="D840" s="157"/>
    </row>
    <row r="841" spans="4:4" ht="20.25" customHeight="1">
      <c r="D841" s="157"/>
    </row>
    <row r="842" spans="4:4" ht="20.25" customHeight="1">
      <c r="D842" s="157"/>
    </row>
    <row r="843" spans="4:4" ht="20.25" customHeight="1">
      <c r="D843" s="157"/>
    </row>
    <row r="844" spans="4:4" ht="20.25" customHeight="1">
      <c r="D844" s="157"/>
    </row>
    <row r="845" spans="4:4" ht="20.25" customHeight="1">
      <c r="D845" s="157"/>
    </row>
    <row r="846" spans="4:4" ht="20.25" customHeight="1">
      <c r="D846" s="157"/>
    </row>
    <row r="847" spans="4:4" ht="20.25" customHeight="1">
      <c r="D847" s="157"/>
    </row>
    <row r="848" spans="4:4" ht="20.25" customHeight="1">
      <c r="D848" s="157"/>
    </row>
    <row r="849" spans="4:4" ht="20.25" customHeight="1">
      <c r="D849" s="157"/>
    </row>
    <row r="850" spans="4:4" ht="20.25" customHeight="1">
      <c r="D850" s="157"/>
    </row>
    <row r="851" spans="4:4" ht="20.25" customHeight="1">
      <c r="D851" s="157"/>
    </row>
    <row r="852" spans="4:4" ht="20.25" customHeight="1">
      <c r="D852" s="157"/>
    </row>
    <row r="853" spans="4:4" ht="20.25" customHeight="1">
      <c r="D853" s="157"/>
    </row>
    <row r="854" spans="4:4" ht="20.25" customHeight="1">
      <c r="D854" s="157"/>
    </row>
    <row r="855" spans="4:4" ht="20.25" customHeight="1">
      <c r="D855" s="157"/>
    </row>
    <row r="856" spans="4:4" ht="20.25" customHeight="1">
      <c r="D856" s="157"/>
    </row>
    <row r="857" spans="4:4" ht="20.25" customHeight="1">
      <c r="D857" s="157"/>
    </row>
    <row r="858" spans="4:4" ht="20.25" customHeight="1">
      <c r="D858" s="157"/>
    </row>
    <row r="859" spans="4:4" ht="20.25" customHeight="1">
      <c r="D859" s="157"/>
    </row>
    <row r="860" spans="4:4" ht="20.25" customHeight="1">
      <c r="D860" s="157"/>
    </row>
    <row r="861" spans="4:4" ht="20.25" customHeight="1">
      <c r="D861" s="157"/>
    </row>
    <row r="862" spans="4:4" ht="20.25" customHeight="1">
      <c r="D862" s="157"/>
    </row>
    <row r="863" spans="4:4" ht="20.25" customHeight="1">
      <c r="D863" s="157"/>
    </row>
    <row r="864" spans="4:4" ht="20.25" customHeight="1">
      <c r="D864" s="157"/>
    </row>
    <row r="865" spans="4:4" ht="20.25" customHeight="1">
      <c r="D865" s="157"/>
    </row>
    <row r="866" spans="4:4" ht="20.25" customHeight="1">
      <c r="D866" s="157"/>
    </row>
    <row r="867" spans="4:4" ht="20.25" customHeight="1">
      <c r="D867" s="157"/>
    </row>
    <row r="868" spans="4:4" ht="20.25" customHeight="1">
      <c r="D868" s="157"/>
    </row>
    <row r="869" spans="4:4" ht="20.25" customHeight="1">
      <c r="D869" s="157"/>
    </row>
    <row r="870" spans="4:4" ht="20.25" customHeight="1">
      <c r="D870" s="157"/>
    </row>
    <row r="871" spans="4:4" ht="20.25" customHeight="1">
      <c r="D871" s="157"/>
    </row>
    <row r="872" spans="4:4" ht="20.25" customHeight="1">
      <c r="D872" s="145" t="s">
        <v>24</v>
      </c>
    </row>
    <row r="873" spans="4:4" ht="20.25" customHeight="1">
      <c r="D873" s="157"/>
    </row>
    <row r="874" spans="4:4" ht="20.25" customHeight="1">
      <c r="D874" s="157"/>
    </row>
    <row r="875" spans="4:4" ht="20.25" customHeight="1">
      <c r="D875" s="157"/>
    </row>
    <row r="876" spans="4:4" ht="20.25" customHeight="1">
      <c r="D876" s="157"/>
    </row>
    <row r="877" spans="4:4" ht="20.25" customHeight="1">
      <c r="D877" s="151">
        <v>45065</v>
      </c>
    </row>
    <row r="878" spans="4:4" ht="20.25" customHeight="1">
      <c r="D878" s="145" t="s">
        <v>24</v>
      </c>
    </row>
    <row r="879" spans="4:4" ht="20.25" customHeight="1">
      <c r="D879" s="151">
        <v>45148</v>
      </c>
    </row>
    <row r="880" spans="4:4" ht="20.25" customHeight="1">
      <c r="D880" s="145" t="s">
        <v>24</v>
      </c>
    </row>
    <row r="881" spans="4:4" ht="20.25" customHeight="1">
      <c r="D881" s="145" t="s">
        <v>24</v>
      </c>
    </row>
    <row r="882" spans="4:4" ht="20.25" customHeight="1">
      <c r="D882" s="157"/>
    </row>
    <row r="883" spans="4:4" ht="20.25" customHeight="1">
      <c r="D883" s="157"/>
    </row>
    <row r="884" spans="4:4" ht="20.25" customHeight="1">
      <c r="D884" s="157"/>
    </row>
    <row r="885" spans="4:4" ht="20.25" customHeight="1">
      <c r="D885" s="147">
        <v>44910</v>
      </c>
    </row>
    <row r="886" spans="4:4" ht="20.25" customHeight="1">
      <c r="D886" s="151">
        <v>45065</v>
      </c>
    </row>
    <row r="887" spans="4:4" ht="20.25" customHeight="1">
      <c r="D887" s="145" t="s">
        <v>24</v>
      </c>
    </row>
    <row r="888" spans="4:4" ht="20.25" customHeight="1">
      <c r="D888" s="145" t="s">
        <v>24</v>
      </c>
    </row>
    <row r="889" spans="4:4" ht="20.25" customHeight="1">
      <c r="D889" s="151">
        <v>45049</v>
      </c>
    </row>
    <row r="890" spans="4:4" ht="20.25" customHeight="1">
      <c r="D890" s="157"/>
    </row>
    <row r="891" spans="4:4" ht="20.25" customHeight="1">
      <c r="D891" s="145" t="s">
        <v>24</v>
      </c>
    </row>
    <row r="892" spans="4:4" ht="20.25" customHeight="1">
      <c r="D892" s="164">
        <v>45040</v>
      </c>
    </row>
    <row r="893" spans="4:4" ht="20.25" customHeight="1">
      <c r="D893" s="157"/>
    </row>
    <row r="894" spans="4:4" ht="20.25" customHeight="1">
      <c r="D894" s="157"/>
    </row>
    <row r="895" spans="4:4" ht="20.25" customHeight="1">
      <c r="D895" s="157"/>
    </row>
    <row r="896" spans="4:4" ht="20.25" customHeight="1">
      <c r="D896" s="157"/>
    </row>
    <row r="897" spans="4:4" ht="20.25" customHeight="1">
      <c r="D897" s="157"/>
    </row>
    <row r="898" spans="4:4" ht="20.25" customHeight="1">
      <c r="D898" s="157"/>
    </row>
    <row r="899" spans="4:4" ht="20.25" customHeight="1">
      <c r="D899" s="157"/>
    </row>
    <row r="900" spans="4:4" ht="20.25" customHeight="1">
      <c r="D900" s="157"/>
    </row>
    <row r="901" spans="4:4" ht="20.25" customHeight="1">
      <c r="D901" s="157"/>
    </row>
    <row r="902" spans="4:4" ht="20.25" customHeight="1">
      <c r="D902" s="157"/>
    </row>
    <row r="903" spans="4:4" ht="20.25" customHeight="1">
      <c r="D903" s="157"/>
    </row>
    <row r="904" spans="4:4" ht="20.25" customHeight="1">
      <c r="D904" s="157"/>
    </row>
    <row r="905" spans="4:4" ht="20.25" customHeight="1">
      <c r="D905" s="145" t="s">
        <v>24</v>
      </c>
    </row>
    <row r="906" spans="4:4" ht="20.25" customHeight="1">
      <c r="D906" s="157"/>
    </row>
    <row r="907" spans="4:4" ht="20.25" customHeight="1">
      <c r="D907" s="157"/>
    </row>
    <row r="908" spans="4:4" ht="20.25" customHeight="1">
      <c r="D908" s="157"/>
    </row>
    <row r="909" spans="4:4" ht="20.25" customHeight="1">
      <c r="D909" s="157"/>
    </row>
    <row r="910" spans="4:4" ht="20.25" customHeight="1">
      <c r="D910" s="157"/>
    </row>
    <row r="911" spans="4:4" ht="20.25" customHeight="1">
      <c r="D911" s="157"/>
    </row>
    <row r="912" spans="4:4" ht="20.25" customHeight="1">
      <c r="D912" s="157"/>
    </row>
    <row r="913" spans="4:4" ht="20.25" customHeight="1">
      <c r="D913" s="157"/>
    </row>
    <row r="914" spans="4:4" ht="20.25" customHeight="1">
      <c r="D914" s="157"/>
    </row>
    <row r="915" spans="4:4" ht="20.25" customHeight="1">
      <c r="D915" s="157"/>
    </row>
    <row r="916" spans="4:4" ht="20.25" customHeight="1">
      <c r="D916" s="157"/>
    </row>
    <row r="917" spans="4:4" ht="20.25" customHeight="1">
      <c r="D917" s="157"/>
    </row>
    <row r="918" spans="4:4" ht="20.25" customHeight="1">
      <c r="D918" s="157"/>
    </row>
    <row r="919" spans="4:4" ht="20.25" customHeight="1">
      <c r="D919" s="157"/>
    </row>
    <row r="920" spans="4:4" ht="20.25" customHeight="1">
      <c r="D920" s="157"/>
    </row>
    <row r="921" spans="4:4" ht="20.25" customHeight="1">
      <c r="D921" s="157"/>
    </row>
    <row r="922" spans="4:4" ht="20.25" customHeight="1">
      <c r="D922" s="157"/>
    </row>
    <row r="923" spans="4:4" ht="20.25" customHeight="1">
      <c r="D923" s="157"/>
    </row>
    <row r="924" spans="4:4" ht="20.25" customHeight="1">
      <c r="D924" s="157"/>
    </row>
    <row r="925" spans="4:4" ht="20.25" customHeight="1">
      <c r="D925" s="157"/>
    </row>
    <row r="926" spans="4:4" ht="20.25" customHeight="1">
      <c r="D926" s="157"/>
    </row>
    <row r="927" spans="4:4" ht="20.25" customHeight="1">
      <c r="D927" s="157"/>
    </row>
    <row r="928" spans="4:4" ht="20.25" customHeight="1">
      <c r="D928" s="157"/>
    </row>
    <row r="929" spans="4:4" ht="20.25" customHeight="1">
      <c r="D929" s="157"/>
    </row>
    <row r="930" spans="4:4" ht="20.25" customHeight="1">
      <c r="D930" s="157"/>
    </row>
    <row r="931" spans="4:4" ht="20.25" customHeight="1">
      <c r="D931" s="157"/>
    </row>
    <row r="932" spans="4:4" ht="20.25" customHeight="1">
      <c r="D932" s="157"/>
    </row>
    <row r="933" spans="4:4" ht="20.25" customHeight="1">
      <c r="D933" s="157"/>
    </row>
    <row r="934" spans="4:4" ht="20.25" customHeight="1">
      <c r="D934" s="157"/>
    </row>
    <row r="935" spans="4:4" ht="20.25" customHeight="1">
      <c r="D935" s="157"/>
    </row>
    <row r="936" spans="4:4" ht="20.25" customHeight="1">
      <c r="D936" s="157"/>
    </row>
    <row r="937" spans="4:4" ht="20.25" customHeight="1">
      <c r="D937" s="157"/>
    </row>
    <row r="938" spans="4:4" ht="20.25" customHeight="1">
      <c r="D938" s="157"/>
    </row>
    <row r="939" spans="4:4" ht="20.25" customHeight="1">
      <c r="D939" s="157"/>
    </row>
    <row r="940" spans="4:4" ht="20.25" customHeight="1">
      <c r="D940" s="157"/>
    </row>
    <row r="941" spans="4:4" ht="20.25" customHeight="1">
      <c r="D941" s="157"/>
    </row>
    <row r="942" spans="4:4" ht="20.25" customHeight="1">
      <c r="D942" s="145" t="s">
        <v>24</v>
      </c>
    </row>
    <row r="943" spans="4:4" ht="20.25" customHeight="1">
      <c r="D943" s="145" t="s">
        <v>24</v>
      </c>
    </row>
    <row r="944" spans="4:4" ht="20.25" customHeight="1">
      <c r="D944" s="157"/>
    </row>
    <row r="945" spans="4:4" ht="20.25" customHeight="1">
      <c r="D945" s="157"/>
    </row>
    <row r="946" spans="4:4" ht="20.25" customHeight="1">
      <c r="D946" s="157"/>
    </row>
    <row r="947" spans="4:4" ht="20.25" customHeight="1">
      <c r="D947" s="157"/>
    </row>
    <row r="948" spans="4:4" ht="20.25" customHeight="1">
      <c r="D948" s="157"/>
    </row>
    <row r="949" spans="4:4" ht="20.25" customHeight="1">
      <c r="D949" s="157"/>
    </row>
    <row r="950" spans="4:4" ht="20.25" customHeight="1">
      <c r="D950" s="157"/>
    </row>
    <row r="951" spans="4:4" ht="20.25" customHeight="1">
      <c r="D951" s="157"/>
    </row>
    <row r="952" spans="4:4" ht="20.25" customHeight="1">
      <c r="D952" s="157"/>
    </row>
    <row r="953" spans="4:4" ht="20.25" customHeight="1">
      <c r="D953" s="157"/>
    </row>
    <row r="954" spans="4:4" ht="20.25" customHeight="1">
      <c r="D954" s="145" t="s">
        <v>24</v>
      </c>
    </row>
    <row r="955" spans="4:4" ht="20.25" customHeight="1">
      <c r="D955" s="145" t="s">
        <v>24</v>
      </c>
    </row>
    <row r="956" spans="4:4" ht="20.25" customHeight="1">
      <c r="D956" s="157"/>
    </row>
    <row r="957" spans="4:4" ht="20.25" customHeight="1">
      <c r="D957" s="157"/>
    </row>
    <row r="958" spans="4:4" ht="20.25" customHeight="1">
      <c r="D958" s="157"/>
    </row>
    <row r="959" spans="4:4" ht="20.25" customHeight="1">
      <c r="D959" s="157"/>
    </row>
    <row r="960" spans="4:4" ht="20.25" customHeight="1">
      <c r="D960" s="151">
        <v>45049</v>
      </c>
    </row>
    <row r="961" spans="4:4" ht="20.25" customHeight="1">
      <c r="D961" s="157"/>
    </row>
    <row r="962" spans="4:4" ht="20.25" customHeight="1">
      <c r="D962" s="157"/>
    </row>
    <row r="963" spans="4:4" ht="20.25" customHeight="1">
      <c r="D963" s="157"/>
    </row>
    <row r="964" spans="4:4" ht="20.25" customHeight="1">
      <c r="D964" s="157"/>
    </row>
    <row r="965" spans="4:4" ht="20.25" customHeight="1">
      <c r="D965" s="157"/>
    </row>
    <row r="966" spans="4:4" ht="20.25" customHeight="1">
      <c r="D966" s="157"/>
    </row>
    <row r="967" spans="4:4" ht="20.25" customHeight="1">
      <c r="D967" s="157"/>
    </row>
    <row r="968" spans="4:4" ht="20.25" customHeight="1">
      <c r="D968" s="157"/>
    </row>
    <row r="969" spans="4:4" ht="20.25" customHeight="1">
      <c r="D969" s="157"/>
    </row>
    <row r="970" spans="4:4" ht="20.25" customHeight="1">
      <c r="D970" s="157"/>
    </row>
    <row r="971" spans="4:4" ht="20.25" customHeight="1">
      <c r="D971" s="157"/>
    </row>
    <row r="972" spans="4:4" ht="20.25" customHeight="1">
      <c r="D972" s="157"/>
    </row>
    <row r="973" spans="4:4" ht="20.25" customHeight="1">
      <c r="D973" s="157"/>
    </row>
    <row r="974" spans="4:4" ht="20.25" customHeight="1">
      <c r="D974" s="157"/>
    </row>
    <row r="975" spans="4:4" ht="20.25" customHeight="1">
      <c r="D975" s="157"/>
    </row>
    <row r="976" spans="4:4" ht="20.25" customHeight="1">
      <c r="D976" s="157"/>
    </row>
    <row r="977" spans="4:4" ht="20.25" customHeight="1">
      <c r="D977" s="157"/>
    </row>
    <row r="978" spans="4:4" ht="20.25" customHeight="1">
      <c r="D978" s="147">
        <v>44961</v>
      </c>
    </row>
    <row r="979" spans="4:4" ht="20.25" customHeight="1">
      <c r="D979" s="157"/>
    </row>
    <row r="980" spans="4:4" ht="20.25" customHeight="1">
      <c r="D980" s="157"/>
    </row>
    <row r="981" spans="4:4" ht="20.25" customHeight="1">
      <c r="D981" s="157"/>
    </row>
    <row r="982" spans="4:4" ht="20.25" customHeight="1">
      <c r="D982" s="157"/>
    </row>
    <row r="983" spans="4:4" ht="20.25" customHeight="1">
      <c r="D983" s="157"/>
    </row>
    <row r="984" spans="4:4" ht="20.25" customHeight="1">
      <c r="D984" s="157"/>
    </row>
    <row r="985" spans="4:4" ht="20.25" customHeight="1">
      <c r="D985" s="157"/>
    </row>
    <row r="986" spans="4:4" ht="20.25" customHeight="1">
      <c r="D986" s="157"/>
    </row>
    <row r="987" spans="4:4" ht="20.25" customHeight="1">
      <c r="D987" s="157"/>
    </row>
    <row r="988" spans="4:4" ht="20.25" customHeight="1">
      <c r="D988" s="157"/>
    </row>
    <row r="989" spans="4:4" ht="20.25" customHeight="1">
      <c r="D989" s="157"/>
    </row>
    <row r="990" spans="4:4" ht="20.25" customHeight="1">
      <c r="D990" s="157"/>
    </row>
    <row r="991" spans="4:4" ht="20.25" customHeight="1">
      <c r="D991" s="157"/>
    </row>
    <row r="992" spans="4:4" ht="20.25" customHeight="1">
      <c r="D992" s="157"/>
    </row>
    <row r="993" spans="4:4" ht="20.25" customHeight="1">
      <c r="D993" s="157"/>
    </row>
    <row r="994" spans="4:4" ht="20.25" customHeight="1">
      <c r="D994" s="157"/>
    </row>
    <row r="995" spans="4:4" ht="20.25" customHeight="1">
      <c r="D995" s="157"/>
    </row>
    <row r="996" spans="4:4" ht="20.25" customHeight="1">
      <c r="D996" s="157"/>
    </row>
    <row r="997" spans="4:4" ht="20.25" customHeight="1">
      <c r="D997" s="157"/>
    </row>
    <row r="998" spans="4:4" ht="20.25" customHeight="1">
      <c r="D998" s="157"/>
    </row>
    <row r="999" spans="4:4" ht="20.25" customHeight="1">
      <c r="D999" s="157"/>
    </row>
    <row r="1000" spans="4:4" ht="20.25" customHeight="1">
      <c r="D1000" s="157"/>
    </row>
    <row r="1001" spans="4:4" ht="20.25" customHeight="1">
      <c r="D1001" s="157"/>
    </row>
    <row r="1002" spans="4:4" ht="20.25" customHeight="1">
      <c r="D1002" s="157"/>
    </row>
    <row r="1003" spans="4:4" ht="20.25" customHeight="1">
      <c r="D1003" s="157"/>
    </row>
    <row r="1004" spans="4:4" ht="20.25" customHeight="1">
      <c r="D1004" s="157"/>
    </row>
    <row r="1005" spans="4:4" ht="20.25" customHeight="1">
      <c r="D1005" s="157"/>
    </row>
    <row r="1006" spans="4:4" ht="20.25" customHeight="1">
      <c r="D1006" s="147">
        <v>44961</v>
      </c>
    </row>
    <row r="1007" spans="4:4" ht="20.25" customHeight="1">
      <c r="D1007" s="151">
        <v>45105</v>
      </c>
    </row>
    <row r="1008" spans="4:4" ht="20.25" customHeight="1">
      <c r="D1008" s="151">
        <v>45105</v>
      </c>
    </row>
    <row r="1009" spans="4:4" ht="20.25" customHeight="1">
      <c r="D1009" s="157"/>
    </row>
    <row r="1010" spans="4:4" ht="20.25" customHeight="1">
      <c r="D1010" s="145" t="s">
        <v>24</v>
      </c>
    </row>
    <row r="1011" spans="4:4" ht="20.25" customHeight="1">
      <c r="D1011" s="147">
        <v>44961</v>
      </c>
    </row>
    <row r="1012" spans="4:4" ht="20.25" customHeight="1">
      <c r="D1012" s="157"/>
    </row>
    <row r="1013" spans="4:4" ht="20.25" customHeight="1">
      <c r="D1013" s="145" t="s">
        <v>24</v>
      </c>
    </row>
    <row r="1014" spans="4:4" ht="20.25" customHeight="1">
      <c r="D1014" s="157"/>
    </row>
    <row r="1015" spans="4:4" ht="20.25" customHeight="1">
      <c r="D1015" s="180"/>
    </row>
    <row r="1016" spans="4:4" ht="20.25" customHeight="1">
      <c r="D1016" s="157"/>
    </row>
    <row r="1017" spans="4:4" ht="20.25" customHeight="1">
      <c r="D1017" s="157"/>
    </row>
  </sheetData>
  <conditionalFormatting sqref="F3:F5 F7:F12">
    <cfRule type="duplicateValues" dxfId="27" priority="29"/>
  </conditionalFormatting>
  <conditionalFormatting sqref="F3:F5 F7:F17">
    <cfRule type="duplicateValues" dxfId="26" priority="27"/>
    <cfRule type="duplicateValues" dxfId="25" priority="35"/>
    <cfRule type="duplicateValues" dxfId="24" priority="36"/>
  </conditionalFormatting>
  <conditionalFormatting sqref="F3:F17">
    <cfRule type="duplicateValues" dxfId="23" priority="38"/>
  </conditionalFormatting>
  <conditionalFormatting sqref="F3:F72 H3:H69">
    <cfRule type="duplicateValues" dxfId="22" priority="18"/>
  </conditionalFormatting>
  <conditionalFormatting sqref="F6">
    <cfRule type="duplicateValues" dxfId="21" priority="19"/>
    <cfRule type="duplicateValues" dxfId="20" priority="20"/>
    <cfRule type="duplicateValues" dxfId="19" priority="21"/>
    <cfRule type="duplicateValues" dxfId="18" priority="22"/>
    <cfRule type="duplicateValues" dxfId="17" priority="23"/>
    <cfRule type="duplicateValues" dxfId="16" priority="24"/>
    <cfRule type="duplicateValues" dxfId="15" priority="25"/>
    <cfRule type="duplicateValues" dxfId="14" priority="26"/>
  </conditionalFormatting>
  <conditionalFormatting sqref="F7:F12">
    <cfRule type="duplicateValues" dxfId="13" priority="30"/>
  </conditionalFormatting>
  <conditionalFormatting sqref="F7:F17">
    <cfRule type="duplicateValues" dxfId="12" priority="28"/>
    <cfRule type="duplicateValues" dxfId="11" priority="31"/>
    <cfRule type="duplicateValues" dxfId="10" priority="32"/>
    <cfRule type="duplicateValues" dxfId="9" priority="33"/>
    <cfRule type="duplicateValues" dxfId="8" priority="34"/>
    <cfRule type="duplicateValues" dxfId="7" priority="37"/>
  </conditionalFormatting>
  <conditionalFormatting sqref="B5">
    <cfRule type="duplicateValues" dxfId="6" priority="1"/>
  </conditionalFormatting>
  <dataValidations count="1">
    <dataValidation allowBlank="1" showInputMessage="1" showErrorMessage="1" sqref="F14:F17 F4:F5 D34:D54 D276 D638:D639 D351:D353 D304:D307 D315 D669 D617 D517 D455:D457 D540 D666 D131:D166 D514 D512 D573:D577 D619 D621 D628 D673 D653 D568 D593:D597 D322 D1012 D775 D584:D591 D754 D116:D126 D317:D319 D333:D336 D470:D474 D581:D582 D389:D390 D395:D399 D437 D289:D290 D737 D450:D452 D401 D128:D129 D476:D481 D634 D530 D570:D571 D500 D555:D561 D347 D279 D56:D79 D424:D427 D484:D490 D440 D979 D671 D735 D113:D114 D261 D443:D446 D762 D264:D273 D392:D393 D331 D176:D177 D87:D92 D804 D705 D81:D85 D813 D551:D552 D524 D506 D520 D787 D724 D810 D522 D821 D109:D111 D601 D293 D299:D302 D180:D194 D173:D174 D893 D324 D241:D253 D641:D644 D646:D648 D196:D215 D432:D433 D435 D356 D313 D345 D340 D255:D259 D168:D171 D287 D309:D311 D94:D104 D217:D239 A5:B114 D5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FF22-E948-450B-B09D-528F4AF45BEC}">
  <dimension ref="B4:F34"/>
  <sheetViews>
    <sheetView workbookViewId="0">
      <selection activeCell="F11" sqref="F11"/>
    </sheetView>
  </sheetViews>
  <sheetFormatPr defaultColWidth="9.140625" defaultRowHeight="20.25" customHeight="1"/>
  <cols>
    <col min="1" max="1" width="9.140625" style="107"/>
    <col min="2" max="2" width="33.5703125" style="107" bestFit="1" customWidth="1"/>
    <col min="3" max="3" width="9.140625" style="107"/>
    <col min="4" max="4" width="8.28515625" style="107" customWidth="1"/>
    <col min="5" max="5" width="9.140625" style="107"/>
    <col min="6" max="6" width="17.140625" style="107" bestFit="1" customWidth="1"/>
    <col min="7" max="16384" width="9.140625" style="107"/>
  </cols>
  <sheetData>
    <row r="4" spans="2:6" ht="20.25" customHeight="1">
      <c r="B4" s="214" t="s">
        <v>257</v>
      </c>
      <c r="C4" s="214"/>
      <c r="D4" s="214"/>
      <c r="E4" s="214"/>
      <c r="F4" s="214"/>
    </row>
    <row r="5" spans="2:6" ht="20.25" customHeight="1">
      <c r="B5" s="108" t="s">
        <v>258</v>
      </c>
      <c r="C5" s="108"/>
      <c r="D5" s="108"/>
      <c r="E5" s="108"/>
      <c r="F5" s="112">
        <v>1244478.55</v>
      </c>
    </row>
    <row r="6" spans="2:6" ht="20.25" customHeight="1">
      <c r="B6" s="108" t="s">
        <v>259</v>
      </c>
      <c r="C6" s="108"/>
      <c r="D6" s="108"/>
      <c r="E6" s="108"/>
      <c r="F6" s="112">
        <v>1416872.39</v>
      </c>
    </row>
    <row r="7" spans="2:6" ht="20.25" customHeight="1">
      <c r="B7" s="108" t="s">
        <v>260</v>
      </c>
      <c r="C7" s="108"/>
      <c r="D7" s="108"/>
      <c r="E7" s="108"/>
      <c r="F7" s="112">
        <f>SUM(F5:F6)</f>
        <v>2661350.94</v>
      </c>
    </row>
    <row r="8" spans="2:6" ht="20.25" customHeight="1">
      <c r="B8" s="103"/>
      <c r="C8" s="104"/>
      <c r="D8" s="104"/>
      <c r="E8" s="104"/>
      <c r="F8" s="104"/>
    </row>
    <row r="9" spans="2:6" ht="20.25" customHeight="1">
      <c r="B9" s="214" t="s">
        <v>261</v>
      </c>
      <c r="C9" s="214"/>
      <c r="D9" s="214"/>
      <c r="E9" s="214"/>
      <c r="F9" s="214"/>
    </row>
    <row r="10" spans="2:6" ht="20.25" customHeight="1">
      <c r="B10" s="108" t="s">
        <v>258</v>
      </c>
      <c r="C10" s="110"/>
      <c r="D10" s="110"/>
      <c r="E10" s="110"/>
      <c r="F10" s="112">
        <v>0</v>
      </c>
    </row>
    <row r="11" spans="2:6" ht="20.25" customHeight="1">
      <c r="B11" s="108" t="s">
        <v>259</v>
      </c>
      <c r="C11" s="110"/>
      <c r="D11" s="110"/>
      <c r="E11" s="110"/>
      <c r="F11" s="112">
        <v>3434696.45</v>
      </c>
    </row>
    <row r="12" spans="2:6" ht="20.25" customHeight="1">
      <c r="B12" s="108" t="s">
        <v>260</v>
      </c>
      <c r="C12" s="110"/>
      <c r="D12" s="110"/>
      <c r="E12" s="110"/>
      <c r="F12" s="112">
        <f>SUM(F10:F11)</f>
        <v>3434696.45</v>
      </c>
    </row>
    <row r="13" spans="2:6" ht="20.25" customHeight="1">
      <c r="B13" s="103"/>
      <c r="C13" s="104"/>
      <c r="D13" s="104"/>
      <c r="E13" s="104"/>
      <c r="F13" s="113"/>
    </row>
    <row r="14" spans="2:6" ht="20.25" customHeight="1">
      <c r="B14" s="103" t="s">
        <v>262</v>
      </c>
      <c r="C14" s="104"/>
      <c r="D14" s="104"/>
      <c r="E14" s="104"/>
      <c r="F14" s="113">
        <f>SUM(F7,F12)</f>
        <v>6096047.3900000006</v>
      </c>
    </row>
    <row r="15" spans="2:6" ht="20.25" customHeight="1">
      <c r="B15" s="103"/>
      <c r="C15" s="104"/>
      <c r="D15" s="104"/>
      <c r="E15" s="104"/>
      <c r="F15" s="113"/>
    </row>
    <row r="16" spans="2:6" ht="20.25" customHeight="1">
      <c r="B16" s="214" t="s">
        <v>263</v>
      </c>
      <c r="C16" s="214"/>
      <c r="D16" s="214"/>
      <c r="E16" s="214"/>
      <c r="F16" s="214"/>
    </row>
    <row r="17" spans="2:6" ht="20.25" customHeight="1">
      <c r="B17" s="108" t="s">
        <v>258</v>
      </c>
      <c r="C17" s="110"/>
      <c r="D17" s="110"/>
      <c r="E17" s="110"/>
      <c r="F17" s="112">
        <v>4695554.21</v>
      </c>
    </row>
    <row r="18" spans="2:6" ht="20.25" customHeight="1">
      <c r="B18" s="108" t="s">
        <v>259</v>
      </c>
      <c r="C18" s="110"/>
      <c r="D18" s="110"/>
      <c r="E18" s="110"/>
      <c r="F18" s="112">
        <v>1324562.98</v>
      </c>
    </row>
    <row r="19" spans="2:6" ht="20.25" customHeight="1">
      <c r="B19" s="108" t="s">
        <v>260</v>
      </c>
      <c r="C19" s="110"/>
      <c r="D19" s="110"/>
      <c r="E19" s="110"/>
      <c r="F19" s="112">
        <f>SUM(F17:F18)</f>
        <v>6020117.1899999995</v>
      </c>
    </row>
    <row r="20" spans="2:6" ht="20.25" customHeight="1">
      <c r="B20" s="103"/>
      <c r="C20" s="104"/>
      <c r="D20" s="104"/>
      <c r="E20" s="104"/>
      <c r="F20" s="113"/>
    </row>
    <row r="21" spans="2:6" ht="20.25" customHeight="1">
      <c r="B21" s="103"/>
      <c r="C21" s="104"/>
      <c r="D21" s="104"/>
      <c r="E21" s="104"/>
      <c r="F21" s="113"/>
    </row>
    <row r="22" spans="2:6" ht="20.25" customHeight="1">
      <c r="B22" s="115" t="s">
        <v>260</v>
      </c>
      <c r="C22" s="116"/>
      <c r="D22" s="116"/>
      <c r="E22" s="116"/>
      <c r="F22" s="114">
        <f>SUM(F14,F19)</f>
        <v>12116164.58</v>
      </c>
    </row>
    <row r="23" spans="2:6" ht="20.25" customHeight="1">
      <c r="D23" s="105"/>
      <c r="F23" s="111"/>
    </row>
    <row r="24" spans="2:6" ht="20.25" customHeight="1">
      <c r="F24" s="111"/>
    </row>
    <row r="25" spans="2:6" ht="20.25" customHeight="1">
      <c r="C25" s="104"/>
      <c r="D25" s="105"/>
      <c r="E25" s="104"/>
      <c r="F25" s="105"/>
    </row>
    <row r="26" spans="2:6" ht="20.25" customHeight="1">
      <c r="B26" s="104"/>
      <c r="C26" s="104"/>
      <c r="D26" s="105"/>
      <c r="E26" s="104"/>
      <c r="F26" s="105"/>
    </row>
    <row r="27" spans="2:6" ht="20.25" customHeight="1">
      <c r="B27" s="103"/>
      <c r="C27" s="104"/>
      <c r="D27" s="105"/>
      <c r="E27" s="104"/>
      <c r="F27" s="105"/>
    </row>
    <row r="28" spans="2:6" ht="20.25" customHeight="1">
      <c r="B28" s="103"/>
      <c r="C28" s="104"/>
      <c r="D28" s="105"/>
      <c r="E28" s="104"/>
      <c r="F28" s="105"/>
    </row>
    <row r="29" spans="2:6" ht="20.25" customHeight="1">
      <c r="B29" s="103"/>
      <c r="C29" s="104"/>
      <c r="D29" s="105"/>
      <c r="E29" s="104"/>
      <c r="F29" s="105"/>
    </row>
    <row r="30" spans="2:6" ht="20.25" customHeight="1">
      <c r="B30" s="103"/>
      <c r="C30" s="104"/>
      <c r="D30" s="105"/>
      <c r="E30" s="104"/>
      <c r="F30" s="105"/>
    </row>
    <row r="31" spans="2:6" ht="20.25" customHeight="1">
      <c r="B31" s="103"/>
      <c r="C31" s="104"/>
      <c r="D31" s="105"/>
      <c r="E31" s="104"/>
      <c r="F31" s="106"/>
    </row>
    <row r="32" spans="2:6" ht="20.25" customHeight="1">
      <c r="B32" s="103"/>
      <c r="C32" s="103"/>
      <c r="D32" s="109"/>
      <c r="E32" s="103"/>
      <c r="F32" s="106"/>
    </row>
    <row r="33" spans="6:6" ht="20.25" customHeight="1">
      <c r="F33" s="111"/>
    </row>
    <row r="34" spans="6:6" ht="20.25" customHeight="1">
      <c r="F34" s="106"/>
    </row>
  </sheetData>
  <mergeCells count="3">
    <mergeCell ref="B4:F4"/>
    <mergeCell ref="B9:F9"/>
    <mergeCell ref="B16:F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0B7E-2C5C-4006-8CA9-3E5CAD9B3D4E}">
  <dimension ref="D5:H6"/>
  <sheetViews>
    <sheetView workbookViewId="0">
      <selection activeCell="D5" sqref="D5:H6"/>
    </sheetView>
  </sheetViews>
  <sheetFormatPr defaultRowHeight="24.75" customHeight="1"/>
  <cols>
    <col min="1" max="3" width="9.140625" style="191"/>
    <col min="4" max="4" width="15.28515625" style="191" bestFit="1" customWidth="1"/>
    <col min="5" max="5" width="9.7109375" style="191" bestFit="1" customWidth="1"/>
    <col min="6" max="6" width="41.42578125" style="191" customWidth="1"/>
    <col min="7" max="7" width="12.85546875" style="191" bestFit="1" customWidth="1"/>
    <col min="8" max="8" width="27.28515625" style="191" customWidth="1"/>
    <col min="9" max="16384" width="9.140625" style="191"/>
  </cols>
  <sheetData>
    <row r="5" spans="4:8" ht="24.75" customHeight="1">
      <c r="D5" s="125" t="s">
        <v>38</v>
      </c>
      <c r="E5" s="125" t="s">
        <v>42</v>
      </c>
      <c r="F5" s="127" t="s">
        <v>64</v>
      </c>
      <c r="G5" s="127" t="s">
        <v>48</v>
      </c>
      <c r="H5" s="126" t="s">
        <v>75</v>
      </c>
    </row>
    <row r="6" spans="4:8" ht="24.75" customHeight="1">
      <c r="D6" s="192" t="s">
        <v>264</v>
      </c>
      <c r="E6" s="192" t="s">
        <v>265</v>
      </c>
      <c r="F6" s="193" t="s">
        <v>266</v>
      </c>
      <c r="G6" s="194" t="s">
        <v>267</v>
      </c>
      <c r="H6" s="192" t="s">
        <v>268</v>
      </c>
    </row>
  </sheetData>
  <conditionalFormatting sqref="E5:E6">
    <cfRule type="duplicateValues" dxfId="5" priority="1"/>
  </conditionalFormatting>
  <dataValidations count="1">
    <dataValidation allowBlank="1" showInputMessage="1" showErrorMessage="1" sqref="D6:E6 H6" xr:uid="{6645033E-F056-4EEA-8189-F3147AC2A124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>
      <c r="A1" s="215" t="s">
        <v>269</v>
      </c>
      <c r="B1" s="215"/>
      <c r="C1" s="59"/>
      <c r="D1" s="59"/>
      <c r="E1" s="215" t="s">
        <v>270</v>
      </c>
      <c r="F1" s="215"/>
    </row>
    <row r="2" spans="1:6">
      <c r="A2" s="60" t="s">
        <v>38</v>
      </c>
      <c r="B2" s="60" t="s">
        <v>271</v>
      </c>
      <c r="E2" s="58" t="s">
        <v>38</v>
      </c>
      <c r="F2" s="58" t="s">
        <v>271</v>
      </c>
    </row>
    <row r="3" spans="1:6">
      <c r="A3" s="8" t="s">
        <v>272</v>
      </c>
      <c r="B3" s="11">
        <v>39</v>
      </c>
      <c r="E3" s="8" t="s">
        <v>272</v>
      </c>
      <c r="F3" s="11">
        <v>54</v>
      </c>
    </row>
    <row r="4" spans="1:6">
      <c r="A4" s="8" t="s">
        <v>273</v>
      </c>
      <c r="B4" s="11">
        <v>15</v>
      </c>
      <c r="E4" s="8" t="s">
        <v>274</v>
      </c>
      <c r="F4" s="11">
        <v>13</v>
      </c>
    </row>
    <row r="5" spans="1:6">
      <c r="A5" s="8" t="s">
        <v>275</v>
      </c>
      <c r="B5" s="11">
        <v>7</v>
      </c>
      <c r="E5" s="8" t="s">
        <v>275</v>
      </c>
      <c r="F5" s="11">
        <v>15</v>
      </c>
    </row>
    <row r="6" spans="1:6">
      <c r="A6" s="8" t="s">
        <v>276</v>
      </c>
      <c r="B6" s="11">
        <v>2</v>
      </c>
      <c r="E6" s="8" t="s">
        <v>276</v>
      </c>
      <c r="F6" s="11">
        <v>9</v>
      </c>
    </row>
    <row r="7" spans="1:6">
      <c r="A7" s="8" t="s">
        <v>277</v>
      </c>
      <c r="B7" s="11">
        <v>0</v>
      </c>
      <c r="E7" s="8" t="s">
        <v>277</v>
      </c>
      <c r="F7" s="11">
        <v>9</v>
      </c>
    </row>
    <row r="8" spans="1:6">
      <c r="A8" s="8" t="s">
        <v>278</v>
      </c>
      <c r="B8" s="11">
        <v>15</v>
      </c>
      <c r="E8" s="8" t="s">
        <v>278</v>
      </c>
      <c r="F8" s="11">
        <v>21</v>
      </c>
    </row>
    <row r="9" spans="1:6">
      <c r="A9" s="61" t="s">
        <v>260</v>
      </c>
      <c r="B9" s="62">
        <f>SUM(B3:B8)</f>
        <v>78</v>
      </c>
      <c r="E9" s="61" t="s">
        <v>260</v>
      </c>
      <c r="F9" s="62">
        <f>SUM(F3:F8)</f>
        <v>121</v>
      </c>
    </row>
    <row r="12" spans="1:6" ht="52.5" customHeight="1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>
      <c r="A1" s="4" t="s">
        <v>279</v>
      </c>
      <c r="B1" s="5" t="s">
        <v>280</v>
      </c>
      <c r="C1" s="5" t="s">
        <v>281</v>
      </c>
      <c r="D1" s="5" t="s">
        <v>282</v>
      </c>
      <c r="E1" s="5" t="s">
        <v>283</v>
      </c>
      <c r="F1" s="5" t="s">
        <v>284</v>
      </c>
      <c r="G1" s="5" t="s">
        <v>285</v>
      </c>
      <c r="H1" s="5" t="s">
        <v>286</v>
      </c>
      <c r="I1" s="5" t="s">
        <v>287</v>
      </c>
      <c r="J1" s="5" t="s">
        <v>288</v>
      </c>
    </row>
    <row r="2" spans="1:10">
      <c r="A2" s="1" t="s">
        <v>289</v>
      </c>
      <c r="B2" s="3" t="s">
        <v>290</v>
      </c>
      <c r="C2" s="3">
        <v>1</v>
      </c>
      <c r="D2" s="3">
        <v>101</v>
      </c>
      <c r="E2" s="24" t="s">
        <v>291</v>
      </c>
      <c r="F2" s="3" t="s">
        <v>292</v>
      </c>
      <c r="G2" s="3" t="s">
        <v>15</v>
      </c>
      <c r="H2" s="3" t="s">
        <v>15</v>
      </c>
      <c r="I2" s="3" t="s">
        <v>293</v>
      </c>
      <c r="J2" s="3" t="s">
        <v>294</v>
      </c>
    </row>
    <row r="3" spans="1:10">
      <c r="A3" s="1" t="s">
        <v>295</v>
      </c>
      <c r="B3" s="3" t="s">
        <v>296</v>
      </c>
      <c r="C3" s="3">
        <v>2</v>
      </c>
      <c r="D3" s="3">
        <v>102</v>
      </c>
      <c r="E3" s="3" t="s">
        <v>297</v>
      </c>
      <c r="F3" s="6" t="s">
        <v>298</v>
      </c>
      <c r="G3" s="3" t="s">
        <v>299</v>
      </c>
      <c r="H3" s="3" t="s">
        <v>300</v>
      </c>
      <c r="I3" s="3" t="s">
        <v>301</v>
      </c>
      <c r="J3" s="3" t="s">
        <v>302</v>
      </c>
    </row>
    <row r="4" spans="1:10">
      <c r="A4" s="1" t="s">
        <v>303</v>
      </c>
      <c r="B4" s="3" t="s">
        <v>304</v>
      </c>
      <c r="C4" s="3">
        <v>3</v>
      </c>
      <c r="D4" s="3">
        <v>103</v>
      </c>
      <c r="E4" s="3" t="s">
        <v>305</v>
      </c>
      <c r="F4" s="3" t="s">
        <v>306</v>
      </c>
      <c r="G4" s="3" t="s">
        <v>307</v>
      </c>
      <c r="H4" s="3" t="s">
        <v>308</v>
      </c>
      <c r="I4" s="3" t="s">
        <v>309</v>
      </c>
      <c r="J4" s="3" t="s">
        <v>308</v>
      </c>
    </row>
    <row r="5" spans="1:10">
      <c r="A5" s="1" t="s">
        <v>310</v>
      </c>
      <c r="B5" s="3" t="s">
        <v>311</v>
      </c>
      <c r="C5" s="3">
        <v>4</v>
      </c>
      <c r="D5" s="3">
        <v>104</v>
      </c>
      <c r="E5" s="3" t="s">
        <v>302</v>
      </c>
      <c r="F5" s="3" t="s">
        <v>312</v>
      </c>
      <c r="G5" s="3" t="s">
        <v>313</v>
      </c>
      <c r="H5" s="3" t="s">
        <v>314</v>
      </c>
      <c r="I5" s="3" t="s">
        <v>308</v>
      </c>
    </row>
    <row r="6" spans="1:10">
      <c r="A6" s="1" t="s">
        <v>315</v>
      </c>
      <c r="B6" s="3" t="s">
        <v>316</v>
      </c>
      <c r="C6" s="3">
        <v>5</v>
      </c>
      <c r="D6" s="3">
        <v>201</v>
      </c>
      <c r="E6" s="3" t="s">
        <v>317</v>
      </c>
      <c r="G6" s="3" t="s">
        <v>318</v>
      </c>
      <c r="H6" s="3" t="s">
        <v>319</v>
      </c>
      <c r="I6" s="3" t="s">
        <v>320</v>
      </c>
    </row>
    <row r="7" spans="1:10">
      <c r="A7" s="1" t="s">
        <v>321</v>
      </c>
      <c r="B7" s="3" t="s">
        <v>322</v>
      </c>
      <c r="C7" s="3">
        <v>6</v>
      </c>
      <c r="D7" s="3">
        <v>202</v>
      </c>
      <c r="E7" s="3" t="s">
        <v>323</v>
      </c>
      <c r="G7" s="3" t="s">
        <v>324</v>
      </c>
      <c r="I7" s="3" t="s">
        <v>325</v>
      </c>
    </row>
    <row r="8" spans="1:10">
      <c r="A8" s="1" t="s">
        <v>326</v>
      </c>
      <c r="B8" s="3" t="s">
        <v>327</v>
      </c>
      <c r="C8" s="3">
        <v>7</v>
      </c>
      <c r="D8" s="3">
        <v>203</v>
      </c>
      <c r="E8" s="3" t="s">
        <v>328</v>
      </c>
      <c r="G8" s="3"/>
      <c r="I8" s="3" t="s">
        <v>329</v>
      </c>
    </row>
    <row r="9" spans="1:10">
      <c r="A9" s="1" t="s">
        <v>330</v>
      </c>
      <c r="B9" s="3" t="s">
        <v>331</v>
      </c>
      <c r="C9" s="3">
        <v>8</v>
      </c>
      <c r="D9" s="3">
        <v>204</v>
      </c>
      <c r="E9" s="3" t="s">
        <v>332</v>
      </c>
    </row>
    <row r="10" spans="1:10">
      <c r="A10" s="1" t="s">
        <v>333</v>
      </c>
      <c r="B10" s="3" t="s">
        <v>334</v>
      </c>
      <c r="C10" s="3">
        <v>9</v>
      </c>
      <c r="D10" s="3">
        <v>301</v>
      </c>
      <c r="E10" s="3" t="s">
        <v>335</v>
      </c>
    </row>
    <row r="11" spans="1:10">
      <c r="A11" s="1" t="s">
        <v>336</v>
      </c>
      <c r="B11" s="3" t="s">
        <v>337</v>
      </c>
      <c r="C11" s="3">
        <v>10</v>
      </c>
      <c r="D11" s="3">
        <v>302</v>
      </c>
      <c r="E11" s="3" t="s">
        <v>338</v>
      </c>
    </row>
    <row r="12" spans="1:10">
      <c r="A12" s="1" t="s">
        <v>339</v>
      </c>
      <c r="B12" s="3" t="s">
        <v>340</v>
      </c>
      <c r="C12" s="3">
        <v>11</v>
      </c>
      <c r="D12" s="3">
        <v>303</v>
      </c>
      <c r="E12" s="24" t="s">
        <v>341</v>
      </c>
    </row>
    <row r="13" spans="1:10">
      <c r="A13" s="1" t="s">
        <v>342</v>
      </c>
      <c r="B13" s="3" t="s">
        <v>343</v>
      </c>
      <c r="C13" s="3">
        <v>12</v>
      </c>
      <c r="D13" s="3">
        <v>304</v>
      </c>
      <c r="E13" t="s">
        <v>344</v>
      </c>
    </row>
    <row r="14" spans="1:10">
      <c r="A14" s="1" t="s">
        <v>345</v>
      </c>
      <c r="B14" s="3" t="s">
        <v>346</v>
      </c>
      <c r="C14" s="3">
        <v>13</v>
      </c>
      <c r="D14" s="3">
        <v>401</v>
      </c>
      <c r="E14" s="3" t="s">
        <v>347</v>
      </c>
    </row>
    <row r="15" spans="1:10">
      <c r="A15" s="1" t="s">
        <v>348</v>
      </c>
      <c r="B15" s="3" t="s">
        <v>349</v>
      </c>
      <c r="C15" s="3">
        <v>14</v>
      </c>
      <c r="D15" s="3">
        <v>402</v>
      </c>
      <c r="E15" s="3" t="s">
        <v>306</v>
      </c>
    </row>
    <row r="16" spans="1:10">
      <c r="A16" s="1" t="s">
        <v>350</v>
      </c>
      <c r="C16" s="3">
        <v>15</v>
      </c>
      <c r="D16" s="3">
        <v>403</v>
      </c>
      <c r="E16" s="3" t="s">
        <v>351</v>
      </c>
    </row>
    <row r="17" spans="1:7">
      <c r="A17" s="1" t="s">
        <v>277</v>
      </c>
      <c r="C17" s="3"/>
      <c r="D17" s="3">
        <v>404</v>
      </c>
      <c r="E17" s="3" t="s">
        <v>352</v>
      </c>
    </row>
    <row r="18" spans="1:7">
      <c r="A18" s="1" t="s">
        <v>353</v>
      </c>
      <c r="C18" s="3"/>
      <c r="D18" s="3">
        <v>501</v>
      </c>
      <c r="E18" s="3" t="s">
        <v>354</v>
      </c>
    </row>
    <row r="19" spans="1:7">
      <c r="A19" s="1" t="s">
        <v>355</v>
      </c>
      <c r="D19" s="3">
        <v>502</v>
      </c>
      <c r="E19" s="3" t="s">
        <v>356</v>
      </c>
    </row>
    <row r="20" spans="1:7">
      <c r="A20" s="1" t="s">
        <v>276</v>
      </c>
      <c r="D20" s="3">
        <v>503</v>
      </c>
      <c r="E20" s="3" t="s">
        <v>357</v>
      </c>
    </row>
    <row r="21" spans="1:7">
      <c r="A21" s="1" t="s">
        <v>358</v>
      </c>
      <c r="D21" s="3">
        <v>504</v>
      </c>
      <c r="E21" s="3" t="s">
        <v>294</v>
      </c>
    </row>
    <row r="22" spans="1:7">
      <c r="A22" s="1" t="s">
        <v>359</v>
      </c>
      <c r="E22" s="3" t="s">
        <v>360</v>
      </c>
      <c r="G22" s="3"/>
    </row>
    <row r="23" spans="1:7">
      <c r="A23" s="1" t="s">
        <v>361</v>
      </c>
      <c r="E23" s="3" t="s">
        <v>362</v>
      </c>
    </row>
    <row r="24" spans="1:7">
      <c r="A24" s="1" t="s">
        <v>363</v>
      </c>
    </row>
    <row r="25" spans="1:7">
      <c r="A25" s="1" t="s">
        <v>278</v>
      </c>
      <c r="G25" s="5"/>
    </row>
    <row r="26" spans="1:7">
      <c r="A26" s="1" t="s">
        <v>364</v>
      </c>
      <c r="G26" s="3"/>
    </row>
    <row r="27" spans="1:7">
      <c r="A27" s="1" t="s">
        <v>365</v>
      </c>
      <c r="G27" s="3"/>
    </row>
    <row r="28" spans="1:7">
      <c r="A28" s="1" t="s">
        <v>366</v>
      </c>
      <c r="G28" s="3"/>
    </row>
    <row r="29" spans="1:7">
      <c r="A29" s="1" t="s">
        <v>367</v>
      </c>
      <c r="G29" s="3"/>
    </row>
    <row r="30" spans="1:7">
      <c r="A30" s="1" t="s">
        <v>368</v>
      </c>
      <c r="G30" s="3"/>
    </row>
    <row r="31" spans="1:7">
      <c r="A31" s="1" t="s">
        <v>369</v>
      </c>
    </row>
    <row r="32" spans="1:7">
      <c r="A32" s="1" t="s">
        <v>370</v>
      </c>
    </row>
    <row r="33" spans="1:1">
      <c r="A33" s="1" t="s">
        <v>371</v>
      </c>
    </row>
    <row r="34" spans="1:1">
      <c r="A34" s="1" t="s">
        <v>372</v>
      </c>
    </row>
    <row r="35" spans="1:1">
      <c r="A35" s="1" t="s">
        <v>373</v>
      </c>
    </row>
  </sheetData>
  <dataConsolidate/>
  <customSheetViews>
    <customSheetView guid="{A598ACE7-C3E8-4400-B80E-E7BA9453B8A3}" state="hidden" topLeftCell="B1">
      <selection activeCell="E19" sqref="E19"/>
      <pageMargins left="0" right="0" top="0" bottom="0" header="0" footer="0"/>
    </customSheetView>
    <customSheetView guid="{10B6FE26-0414-426A-88E7-E0DF5B76269A}">
      <selection activeCell="A14" sqref="A14"/>
      <pageMargins left="0" right="0" top="0" bottom="0" header="0" footer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/>
  <cols>
    <col min="1" max="1" width="36.42578125" customWidth="1"/>
    <col min="2" max="2" width="17" customWidth="1"/>
  </cols>
  <sheetData>
    <row r="1" spans="1:3" ht="24.95" customHeight="1">
      <c r="A1" s="56" t="s">
        <v>374</v>
      </c>
      <c r="B1" s="56" t="s">
        <v>375</v>
      </c>
    </row>
    <row r="2" spans="1:3" ht="24.95" customHeight="1">
      <c r="A2" s="57" t="s">
        <v>290</v>
      </c>
      <c r="B2" s="57" t="e">
        <f>COUNTIF(#REF!,'QUANT COND'!A2)</f>
        <v>#REF!</v>
      </c>
    </row>
    <row r="3" spans="1:3" ht="24.95" customHeight="1">
      <c r="A3" s="57" t="s">
        <v>296</v>
      </c>
      <c r="B3" s="57" t="e">
        <f>COUNTIF(#REF!,'QUANT COND'!A3)</f>
        <v>#REF!</v>
      </c>
    </row>
    <row r="4" spans="1:3" ht="24.95" customHeight="1">
      <c r="A4" s="57" t="s">
        <v>304</v>
      </c>
      <c r="B4" s="57" t="e">
        <f>COUNTIF(#REF!,'QUANT COND'!A4)</f>
        <v>#REF!</v>
      </c>
      <c r="C4" s="55"/>
    </row>
    <row r="5" spans="1:3" ht="24.95" customHeight="1">
      <c r="A5" s="57" t="s">
        <v>311</v>
      </c>
      <c r="B5" s="57" t="e">
        <f>COUNTIF(#REF!,'QUANT COND'!A5)</f>
        <v>#REF!</v>
      </c>
    </row>
    <row r="6" spans="1:3" ht="24.95" customHeight="1">
      <c r="A6" s="57" t="s">
        <v>316</v>
      </c>
      <c r="B6" s="57" t="e">
        <f>COUNTIF(#REF!,'QUANT COND'!A6)</f>
        <v>#REF!</v>
      </c>
    </row>
    <row r="7" spans="1:3" ht="24.95" customHeight="1">
      <c r="A7" s="57" t="s">
        <v>322</v>
      </c>
      <c r="B7" s="57" t="e">
        <f>COUNTIF(#REF!,'QUANT COND'!A7)</f>
        <v>#REF!</v>
      </c>
    </row>
    <row r="8" spans="1:3" ht="24.95" customHeight="1">
      <c r="A8" s="57" t="s">
        <v>327</v>
      </c>
      <c r="B8" s="57" t="e">
        <f>COUNTIF(#REF!,'QUANT COND'!A8)</f>
        <v>#REF!</v>
      </c>
    </row>
    <row r="9" spans="1:3" ht="24.95" customHeight="1">
      <c r="A9" s="57" t="s">
        <v>331</v>
      </c>
      <c r="B9" s="57" t="e">
        <f>COUNTIF(#REF!,'QUANT COND'!A9)</f>
        <v>#REF!</v>
      </c>
    </row>
    <row r="10" spans="1:3" ht="24.95" customHeight="1">
      <c r="A10" s="57" t="s">
        <v>334</v>
      </c>
      <c r="B10" s="57" t="e">
        <f>COUNTIF(#REF!,'QUANT COND'!A10)</f>
        <v>#REF!</v>
      </c>
    </row>
    <row r="11" spans="1:3" ht="24.95" customHeight="1">
      <c r="A11" s="57" t="s">
        <v>337</v>
      </c>
      <c r="B11" s="57" t="e">
        <f>COUNTIF(#REF!,'QUANT COND'!A11)</f>
        <v>#REF!</v>
      </c>
    </row>
    <row r="12" spans="1:3" ht="24.95" customHeight="1">
      <c r="A12" s="57" t="s">
        <v>340</v>
      </c>
      <c r="B12" s="57" t="e">
        <f>COUNTIF(#REF!,'QUANT COND'!A12)</f>
        <v>#REF!</v>
      </c>
    </row>
    <row r="13" spans="1:3" ht="24.95" customHeight="1">
      <c r="A13" s="57" t="s">
        <v>343</v>
      </c>
      <c r="B13" s="57" t="e">
        <f>COUNTIF(#REF!,'QUANT COND'!A13)</f>
        <v>#REF!</v>
      </c>
    </row>
    <row r="14" spans="1:3" ht="24.95" customHeight="1">
      <c r="A14" s="57" t="s">
        <v>346</v>
      </c>
      <c r="B14" s="57" t="e">
        <f>COUNTIF(#REF!,'QUANT COND'!A14)</f>
        <v>#REF!</v>
      </c>
    </row>
    <row r="15" spans="1:3" ht="24.95" customHeight="1">
      <c r="A15" s="57" t="s">
        <v>349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>
      <c r="A1" s="217" t="s">
        <v>376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9"/>
    </row>
    <row r="2" spans="1:27" ht="50.25" customHeight="1">
      <c r="A2" s="7" t="s">
        <v>46</v>
      </c>
      <c r="B2" s="7" t="s">
        <v>48</v>
      </c>
      <c r="C2" s="7" t="s">
        <v>377</v>
      </c>
      <c r="D2" s="12" t="s">
        <v>48</v>
      </c>
      <c r="E2" s="63" t="s">
        <v>378</v>
      </c>
      <c r="F2" s="63" t="s">
        <v>379</v>
      </c>
      <c r="G2" s="64" t="s">
        <v>380</v>
      </c>
      <c r="H2" s="64" t="s">
        <v>381</v>
      </c>
      <c r="I2" s="41" t="s">
        <v>382</v>
      </c>
      <c r="J2" s="42" t="s">
        <v>379</v>
      </c>
      <c r="K2" s="41" t="s">
        <v>381</v>
      </c>
      <c r="L2" s="53" t="s">
        <v>383</v>
      </c>
      <c r="M2" s="53" t="s">
        <v>384</v>
      </c>
      <c r="O2" s="65" t="s">
        <v>385</v>
      </c>
      <c r="P2" s="66" t="s">
        <v>375</v>
      </c>
      <c r="Q2" s="66" t="s">
        <v>386</v>
      </c>
      <c r="R2" s="66" t="s">
        <v>387</v>
      </c>
      <c r="S2" s="66" t="s">
        <v>388</v>
      </c>
      <c r="T2" s="43" t="s">
        <v>389</v>
      </c>
      <c r="Y2" s="45" t="s">
        <v>390</v>
      </c>
      <c r="Z2" s="45" t="s">
        <v>391</v>
      </c>
      <c r="AA2" s="44" t="s">
        <v>392</v>
      </c>
    </row>
    <row r="3" spans="1:27">
      <c r="A3" s="13" t="s">
        <v>393</v>
      </c>
      <c r="B3" s="67">
        <v>27140979871</v>
      </c>
      <c r="C3" s="68"/>
      <c r="D3" s="69"/>
      <c r="E3" s="9">
        <v>1128</v>
      </c>
      <c r="F3" s="25">
        <v>42972</v>
      </c>
      <c r="G3" s="70" t="s">
        <v>292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394</v>
      </c>
      <c r="Y3" s="24">
        <v>1850</v>
      </c>
      <c r="Z3" s="24">
        <v>1827</v>
      </c>
      <c r="AA3" s="24">
        <f>SUM(AA4:AA7)</f>
        <v>1615</v>
      </c>
    </row>
    <row r="4" spans="1:27">
      <c r="A4" s="13" t="s">
        <v>395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396</v>
      </c>
      <c r="Y4" s="24">
        <v>1517</v>
      </c>
      <c r="Z4" s="24">
        <v>1427</v>
      </c>
      <c r="AA4" s="24">
        <v>1559</v>
      </c>
    </row>
    <row r="5" spans="1:27">
      <c r="A5" s="71" t="s">
        <v>397</v>
      </c>
      <c r="B5" s="67">
        <v>75489104872</v>
      </c>
      <c r="C5" s="72"/>
      <c r="D5" s="69"/>
      <c r="E5" s="9">
        <v>1752</v>
      </c>
      <c r="F5" s="25">
        <v>43051</v>
      </c>
      <c r="G5" s="70" t="s">
        <v>292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398</v>
      </c>
      <c r="Y5" s="24">
        <v>73</v>
      </c>
      <c r="Z5" s="24">
        <v>79</v>
      </c>
      <c r="AA5" s="24">
        <v>28</v>
      </c>
    </row>
    <row r="6" spans="1:27">
      <c r="A6" s="71" t="s">
        <v>399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400</v>
      </c>
      <c r="Y6" s="24">
        <v>36</v>
      </c>
      <c r="Z6" s="24">
        <v>32</v>
      </c>
      <c r="AA6" s="24">
        <v>11</v>
      </c>
    </row>
    <row r="7" spans="1:27">
      <c r="A7" s="29" t="s">
        <v>401</v>
      </c>
      <c r="B7" s="67"/>
      <c r="C7" s="18" t="s">
        <v>402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403</v>
      </c>
      <c r="Y7" s="24">
        <v>224</v>
      </c>
      <c r="Z7" s="24">
        <v>275</v>
      </c>
      <c r="AA7" s="24">
        <v>17</v>
      </c>
    </row>
    <row r="8" spans="1:27">
      <c r="A8" s="71" t="s">
        <v>404</v>
      </c>
      <c r="B8" s="67">
        <v>97443271620</v>
      </c>
      <c r="C8" s="72"/>
      <c r="D8" s="69"/>
      <c r="E8" s="9">
        <v>1106</v>
      </c>
      <c r="F8" s="25">
        <v>42965</v>
      </c>
      <c r="G8" s="70" t="s">
        <v>292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>
      <c r="A9" s="71" t="s">
        <v>405</v>
      </c>
      <c r="B9" s="67">
        <v>98058690597</v>
      </c>
      <c r="C9" s="72"/>
      <c r="D9" s="69"/>
      <c r="E9" s="9">
        <v>423</v>
      </c>
      <c r="F9" s="25">
        <v>43182</v>
      </c>
      <c r="G9" s="70" t="s">
        <v>292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>
      <c r="A10" s="71" t="s">
        <v>406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>
      <c r="A11" s="71" t="s">
        <v>407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>
      <c r="A12" s="71" t="s">
        <v>408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292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>
      <c r="A13" s="71" t="s">
        <v>409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>
      <c r="A14" s="71" t="s">
        <v>410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292</v>
      </c>
      <c r="H14" s="25">
        <v>42921</v>
      </c>
      <c r="I14" s="8"/>
      <c r="J14" s="8"/>
      <c r="K14" s="8"/>
      <c r="L14" s="9" t="s">
        <v>411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>
      <c r="A15" s="18" t="s">
        <v>412</v>
      </c>
      <c r="B15" s="67">
        <v>38772276860</v>
      </c>
      <c r="C15" s="18" t="s">
        <v>413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>
      <c r="A16" s="71" t="s">
        <v>414</v>
      </c>
      <c r="B16" s="67">
        <v>21538837846</v>
      </c>
      <c r="C16" s="72" t="s">
        <v>415</v>
      </c>
      <c r="D16" s="69">
        <v>94203180520</v>
      </c>
      <c r="E16" s="9">
        <v>810</v>
      </c>
      <c r="F16" s="25">
        <v>42915</v>
      </c>
      <c r="G16" s="70" t="s">
        <v>292</v>
      </c>
      <c r="H16" s="25">
        <v>42921</v>
      </c>
      <c r="I16" s="8"/>
      <c r="J16" s="8"/>
      <c r="K16" s="8"/>
      <c r="L16" s="9" t="s">
        <v>411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>
      <c r="A17" s="71" t="s">
        <v>416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>
      <c r="A18" s="71" t="s">
        <v>417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292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>
      <c r="A19" s="71" t="s">
        <v>418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298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>
      <c r="A20" s="29" t="s">
        <v>419</v>
      </c>
      <c r="B20" s="67">
        <v>18419589802</v>
      </c>
      <c r="C20" s="18" t="s">
        <v>402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>
      <c r="A21" s="15" t="s">
        <v>420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>
      <c r="A22" s="71" t="s">
        <v>421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292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>
      <c r="A23" s="71" t="s">
        <v>422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292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>
      <c r="A24" s="71" t="s">
        <v>423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292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>
      <c r="A25" s="15" t="s">
        <v>424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>
      <c r="A26" s="29" t="s">
        <v>425</v>
      </c>
      <c r="B26" s="67"/>
      <c r="C26" s="18" t="s">
        <v>402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>
      <c r="A27" s="71" t="s">
        <v>426</v>
      </c>
      <c r="B27" s="67">
        <v>25894152810</v>
      </c>
      <c r="C27" s="72" t="s">
        <v>427</v>
      </c>
      <c r="D27" s="69">
        <v>8263008808</v>
      </c>
      <c r="E27" s="9">
        <v>292</v>
      </c>
      <c r="F27" s="25">
        <v>43168</v>
      </c>
      <c r="G27" s="70" t="s">
        <v>292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>
      <c r="A28" s="15" t="s">
        <v>428</v>
      </c>
      <c r="B28" s="67">
        <v>43026389587</v>
      </c>
      <c r="C28" s="72" t="s">
        <v>429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>
      <c r="A29" s="71" t="s">
        <v>430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298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>
      <c r="A30" s="71" t="s">
        <v>431</v>
      </c>
      <c r="B30" s="67">
        <v>36531080809</v>
      </c>
      <c r="C30" s="72" t="s">
        <v>432</v>
      </c>
      <c r="D30" s="69">
        <v>22485483892</v>
      </c>
      <c r="E30" s="9">
        <v>1489</v>
      </c>
      <c r="F30" s="25">
        <v>43038</v>
      </c>
      <c r="G30" s="70" t="s">
        <v>292</v>
      </c>
      <c r="H30" s="9"/>
      <c r="I30" s="8"/>
      <c r="J30" s="8"/>
      <c r="K30" s="8"/>
      <c r="L30" s="9" t="s">
        <v>433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>
      <c r="A31" s="71" t="s">
        <v>434</v>
      </c>
      <c r="B31" s="67">
        <v>28147186819</v>
      </c>
      <c r="C31" s="72" t="s">
        <v>435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>
      <c r="A32" s="73" t="s">
        <v>436</v>
      </c>
      <c r="B32" s="67">
        <v>37559228860</v>
      </c>
      <c r="C32" s="72" t="s">
        <v>437</v>
      </c>
      <c r="D32" s="69">
        <v>28072024892</v>
      </c>
      <c r="E32" s="9">
        <v>1555</v>
      </c>
      <c r="F32" s="25">
        <v>43049</v>
      </c>
      <c r="G32" s="9" t="s">
        <v>292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>
      <c r="A33" s="71" t="s">
        <v>438</v>
      </c>
      <c r="B33" s="67">
        <v>23635229822</v>
      </c>
      <c r="C33" s="72" t="s">
        <v>439</v>
      </c>
      <c r="D33" s="69">
        <v>21668057875</v>
      </c>
      <c r="E33" s="9">
        <v>262</v>
      </c>
      <c r="F33" s="25">
        <v>43160</v>
      </c>
      <c r="G33" s="70" t="s">
        <v>292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>
      <c r="A34" s="29" t="s">
        <v>440</v>
      </c>
      <c r="B34" s="67"/>
      <c r="C34" s="29" t="s">
        <v>402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>
      <c r="A35" s="15" t="s">
        <v>441</v>
      </c>
      <c r="B35" s="67">
        <v>40902634844</v>
      </c>
      <c r="C35" s="72" t="s">
        <v>442</v>
      </c>
      <c r="D35" s="69">
        <v>23795007895</v>
      </c>
      <c r="E35" s="9">
        <v>117</v>
      </c>
      <c r="F35" s="25">
        <v>43117</v>
      </c>
      <c r="G35" s="70" t="s">
        <v>292</v>
      </c>
      <c r="H35" s="25">
        <v>43151</v>
      </c>
      <c r="I35" s="8"/>
      <c r="J35" s="8"/>
      <c r="K35" s="8"/>
      <c r="L35" s="9" t="s">
        <v>443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>
      <c r="A36" s="71" t="s">
        <v>444</v>
      </c>
      <c r="B36" s="67">
        <v>39615629898</v>
      </c>
      <c r="C36" s="72" t="s">
        <v>445</v>
      </c>
      <c r="D36" s="69">
        <v>43328275894</v>
      </c>
      <c r="E36" s="9">
        <v>423</v>
      </c>
      <c r="F36" s="25">
        <v>43182</v>
      </c>
      <c r="G36" s="70" t="s">
        <v>292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>
      <c r="A37" s="71" t="s">
        <v>446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>
      <c r="A38" s="29" t="s">
        <v>447</v>
      </c>
      <c r="B38" s="67"/>
      <c r="C38" s="29" t="s">
        <v>448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>
      <c r="A39" s="71" t="s">
        <v>449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292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>
      <c r="A40" s="71" t="s">
        <v>450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292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>
      <c r="A41" s="71" t="s">
        <v>451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292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>
      <c r="A42" s="71" t="s">
        <v>452</v>
      </c>
      <c r="B42" s="67">
        <v>10201704412</v>
      </c>
      <c r="C42" s="72" t="s">
        <v>453</v>
      </c>
      <c r="D42" s="69">
        <v>33674895811</v>
      </c>
      <c r="E42" s="9">
        <v>262</v>
      </c>
      <c r="F42" s="25">
        <v>43160</v>
      </c>
      <c r="G42" s="70" t="s">
        <v>292</v>
      </c>
      <c r="H42" s="25">
        <v>43164</v>
      </c>
      <c r="I42" s="8"/>
      <c r="J42" s="8"/>
      <c r="K42" s="8"/>
      <c r="L42" s="9">
        <v>255</v>
      </c>
      <c r="M42" s="8"/>
      <c r="O42" s="66" t="s">
        <v>454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>
      <c r="A43" s="71" t="s">
        <v>455</v>
      </c>
      <c r="B43" s="67">
        <v>35271487873</v>
      </c>
      <c r="C43" s="68" t="s">
        <v>456</v>
      </c>
      <c r="D43" s="69">
        <v>557351502</v>
      </c>
      <c r="E43" s="9">
        <v>1128</v>
      </c>
      <c r="F43" s="25">
        <v>42972</v>
      </c>
      <c r="G43" s="70" t="s">
        <v>292</v>
      </c>
      <c r="H43" s="25">
        <v>42979</v>
      </c>
      <c r="I43" s="8"/>
      <c r="J43" s="8"/>
      <c r="K43" s="8"/>
      <c r="L43" s="8"/>
      <c r="M43" s="8"/>
    </row>
    <row r="44" spans="1:21">
      <c r="A44" s="13" t="s">
        <v>457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292</v>
      </c>
      <c r="H44" s="25">
        <v>42979</v>
      </c>
      <c r="I44" s="8"/>
      <c r="J44" s="8"/>
      <c r="K44" s="8"/>
      <c r="L44" s="8"/>
      <c r="M44" s="8"/>
    </row>
    <row r="45" spans="1:21">
      <c r="A45" s="14" t="s">
        <v>458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>
      <c r="A46" s="15" t="s">
        <v>459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292</v>
      </c>
      <c r="H46" s="25">
        <v>43182</v>
      </c>
      <c r="I46" s="8"/>
      <c r="J46" s="8"/>
      <c r="K46" s="8"/>
      <c r="L46" s="9">
        <v>318</v>
      </c>
      <c r="M46" s="8"/>
    </row>
    <row r="47" spans="1:21">
      <c r="A47" s="15" t="s">
        <v>460</v>
      </c>
      <c r="B47" s="67">
        <v>31801479895</v>
      </c>
      <c r="C47" s="72" t="s">
        <v>461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>
      <c r="A48" s="14" t="s">
        <v>462</v>
      </c>
      <c r="B48" s="67">
        <v>28638653824</v>
      </c>
      <c r="C48" s="72" t="s">
        <v>463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>
      <c r="A49" s="71" t="s">
        <v>464</v>
      </c>
      <c r="B49" s="67">
        <v>17766101807</v>
      </c>
      <c r="C49" s="72" t="s">
        <v>465</v>
      </c>
      <c r="D49" s="69">
        <v>31993041842</v>
      </c>
      <c r="E49" s="9">
        <v>1824</v>
      </c>
      <c r="F49" s="25">
        <v>43091</v>
      </c>
      <c r="G49" s="70" t="s">
        <v>292</v>
      </c>
      <c r="H49" s="25">
        <v>43097</v>
      </c>
      <c r="I49" s="8"/>
      <c r="J49" s="8"/>
      <c r="K49" s="8"/>
      <c r="L49" s="9">
        <v>1828</v>
      </c>
      <c r="M49" s="8"/>
    </row>
    <row r="50" spans="1:21">
      <c r="A50" s="72" t="s">
        <v>466</v>
      </c>
      <c r="B50" s="67">
        <v>17902799840</v>
      </c>
      <c r="C50" s="72" t="s">
        <v>467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>
      <c r="A51" s="73" t="s">
        <v>468</v>
      </c>
      <c r="B51" s="67">
        <v>49122403892</v>
      </c>
      <c r="C51" s="75" t="s">
        <v>469</v>
      </c>
      <c r="D51" s="69">
        <v>1478139560</v>
      </c>
      <c r="E51" s="9">
        <v>608</v>
      </c>
      <c r="F51" s="25">
        <v>43012</v>
      </c>
      <c r="G51" s="70" t="s">
        <v>292</v>
      </c>
      <c r="H51" s="25">
        <v>43024</v>
      </c>
      <c r="I51" s="8"/>
      <c r="J51" s="8"/>
      <c r="K51" s="8"/>
      <c r="L51" s="8"/>
      <c r="M51" s="8"/>
      <c r="O51" s="216" t="s">
        <v>470</v>
      </c>
      <c r="P51" s="216"/>
      <c r="Q51" s="216"/>
      <c r="R51" s="216"/>
      <c r="S51" s="216"/>
      <c r="T51" s="216"/>
      <c r="U51" s="216"/>
    </row>
    <row r="52" spans="1:21">
      <c r="A52" s="13" t="s">
        <v>471</v>
      </c>
      <c r="B52" s="67">
        <v>37534302854</v>
      </c>
      <c r="C52" s="71" t="s">
        <v>472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>
      <c r="A53" s="13" t="s">
        <v>473</v>
      </c>
      <c r="B53" s="67">
        <v>14699996841</v>
      </c>
      <c r="C53" s="68" t="s">
        <v>474</v>
      </c>
      <c r="D53" s="69">
        <v>15089706883</v>
      </c>
      <c r="E53" s="9">
        <v>1128</v>
      </c>
      <c r="F53" s="25">
        <v>42972</v>
      </c>
      <c r="G53" s="70" t="s">
        <v>292</v>
      </c>
      <c r="H53" s="25">
        <v>42979</v>
      </c>
      <c r="I53" s="8"/>
      <c r="J53" s="8"/>
      <c r="K53" s="8"/>
      <c r="L53" s="8"/>
      <c r="M53" s="8"/>
    </row>
    <row r="54" spans="1:21">
      <c r="A54" s="71" t="s">
        <v>475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>
      <c r="A55" s="14" t="s">
        <v>476</v>
      </c>
      <c r="B55" s="67">
        <v>40396239838</v>
      </c>
      <c r="C55" s="72" t="s">
        <v>477</v>
      </c>
      <c r="D55" s="69">
        <v>39420747883</v>
      </c>
      <c r="E55" s="9">
        <v>262</v>
      </c>
      <c r="F55" s="25">
        <v>43160</v>
      </c>
      <c r="G55" s="70" t="s">
        <v>292</v>
      </c>
      <c r="H55" s="25">
        <v>43164</v>
      </c>
      <c r="I55" s="8"/>
      <c r="J55" s="8"/>
      <c r="K55" s="8"/>
      <c r="L55" s="9">
        <v>255</v>
      </c>
      <c r="M55" s="8"/>
    </row>
    <row r="56" spans="1:21">
      <c r="A56" s="15" t="s">
        <v>478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292</v>
      </c>
      <c r="H56" s="25">
        <v>43182</v>
      </c>
      <c r="I56" s="8"/>
      <c r="J56" s="8"/>
      <c r="K56" s="8"/>
      <c r="L56" s="9">
        <v>318</v>
      </c>
      <c r="M56" s="8"/>
    </row>
    <row r="57" spans="1:21">
      <c r="A57" s="29" t="s">
        <v>479</v>
      </c>
      <c r="B57" s="67">
        <v>38781151802</v>
      </c>
      <c r="C57" s="18" t="s">
        <v>402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>
      <c r="A58" s="15" t="s">
        <v>480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>
      <c r="A59" s="73" t="s">
        <v>481</v>
      </c>
      <c r="B59" s="67">
        <v>2428277219</v>
      </c>
      <c r="C59" s="72" t="s">
        <v>482</v>
      </c>
      <c r="D59" s="69">
        <v>909805229</v>
      </c>
      <c r="E59" s="9">
        <v>810</v>
      </c>
      <c r="F59" s="25">
        <v>42915</v>
      </c>
      <c r="G59" s="70" t="s">
        <v>292</v>
      </c>
      <c r="H59" s="25">
        <v>42921</v>
      </c>
      <c r="I59" s="8"/>
      <c r="J59" s="8"/>
      <c r="K59" s="8"/>
      <c r="L59" s="9" t="s">
        <v>411</v>
      </c>
      <c r="M59" s="8"/>
    </row>
    <row r="60" spans="1:21">
      <c r="A60" s="71" t="s">
        <v>483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>
      <c r="A61" s="71" t="s">
        <v>484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292</v>
      </c>
      <c r="H61" s="25">
        <v>43164</v>
      </c>
      <c r="I61" s="8"/>
      <c r="J61" s="8"/>
      <c r="K61" s="8"/>
      <c r="L61" s="9">
        <v>255</v>
      </c>
      <c r="M61" s="8"/>
    </row>
    <row r="62" spans="1:21">
      <c r="A62" s="71" t="s">
        <v>485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>
      <c r="A63" s="72" t="s">
        <v>486</v>
      </c>
      <c r="B63" s="67">
        <v>3722493889</v>
      </c>
      <c r="C63" s="72" t="s">
        <v>487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>
      <c r="A64" s="71" t="s">
        <v>488</v>
      </c>
      <c r="B64" s="67">
        <v>14519340845</v>
      </c>
      <c r="C64" s="72" t="s">
        <v>489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>
      <c r="A65" s="13" t="s">
        <v>490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>
      <c r="A66" s="72" t="s">
        <v>491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>
      <c r="A67" s="15" t="s">
        <v>492</v>
      </c>
      <c r="B67" s="67">
        <v>36392955879</v>
      </c>
      <c r="C67" s="72" t="s">
        <v>493</v>
      </c>
      <c r="D67" s="69">
        <v>5242864346</v>
      </c>
      <c r="E67" s="9">
        <v>117</v>
      </c>
      <c r="F67" s="25">
        <v>43117</v>
      </c>
      <c r="G67" s="70" t="s">
        <v>292</v>
      </c>
      <c r="H67" s="25">
        <v>43151</v>
      </c>
      <c r="I67" s="8"/>
      <c r="J67" s="8"/>
      <c r="K67" s="8"/>
      <c r="L67" s="9" t="s">
        <v>443</v>
      </c>
      <c r="M67" s="8"/>
    </row>
    <row r="68" spans="1:13">
      <c r="A68" s="71" t="s">
        <v>494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292</v>
      </c>
      <c r="H68" s="25">
        <v>43000</v>
      </c>
      <c r="I68" s="8"/>
      <c r="J68" s="8"/>
      <c r="K68" s="8"/>
      <c r="L68" s="8"/>
      <c r="M68" s="8"/>
    </row>
    <row r="69" spans="1:13">
      <c r="A69" s="15" t="s">
        <v>495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>
      <c r="A70" s="18" t="s">
        <v>496</v>
      </c>
      <c r="B70" s="67">
        <v>9882942490</v>
      </c>
      <c r="C70" s="18" t="s">
        <v>497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>
      <c r="A71" s="15" t="s">
        <v>498</v>
      </c>
      <c r="B71" s="67">
        <v>14777572870</v>
      </c>
      <c r="C71" s="72" t="s">
        <v>499</v>
      </c>
      <c r="D71" s="69">
        <v>12874739898</v>
      </c>
      <c r="E71" s="9">
        <v>1824</v>
      </c>
      <c r="F71" s="25">
        <v>43091</v>
      </c>
      <c r="G71" s="70" t="s">
        <v>292</v>
      </c>
      <c r="H71" s="25">
        <v>43097</v>
      </c>
      <c r="I71" s="8"/>
      <c r="J71" s="8"/>
      <c r="K71" s="8"/>
      <c r="L71" s="9">
        <v>1828</v>
      </c>
      <c r="M71" s="8"/>
    </row>
    <row r="72" spans="1:13">
      <c r="A72" s="71" t="s">
        <v>500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>
      <c r="A73" s="13" t="s">
        <v>501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292</v>
      </c>
      <c r="H73" s="25">
        <v>43097</v>
      </c>
      <c r="I73" s="8"/>
      <c r="J73" s="8"/>
      <c r="K73" s="8"/>
      <c r="L73" s="9">
        <v>1828</v>
      </c>
      <c r="M73" s="8"/>
    </row>
    <row r="74" spans="1:13">
      <c r="A74" s="15" t="s">
        <v>502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292</v>
      </c>
      <c r="H74" s="25">
        <v>43151</v>
      </c>
      <c r="I74" s="8"/>
      <c r="J74" s="8"/>
      <c r="K74" s="8"/>
      <c r="L74" s="8"/>
      <c r="M74" s="8"/>
    </row>
    <row r="75" spans="1:13">
      <c r="A75" s="18" t="s">
        <v>503</v>
      </c>
      <c r="B75" s="67">
        <v>26940268855</v>
      </c>
      <c r="C75" s="18" t="s">
        <v>504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>
      <c r="A76" s="13" t="s">
        <v>505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292</v>
      </c>
      <c r="H76" s="9"/>
      <c r="I76" s="8"/>
      <c r="J76" s="8"/>
      <c r="K76" s="8"/>
      <c r="L76" s="9" t="s">
        <v>433</v>
      </c>
      <c r="M76" s="8"/>
    </row>
    <row r="77" spans="1:13">
      <c r="A77" s="15" t="s">
        <v>506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292</v>
      </c>
      <c r="H77" s="25">
        <v>43151</v>
      </c>
      <c r="I77" s="8"/>
      <c r="J77" s="8"/>
      <c r="K77" s="8"/>
      <c r="L77" s="8"/>
      <c r="M77" s="8"/>
    </row>
    <row r="78" spans="1:13">
      <c r="A78" s="71" t="s">
        <v>507</v>
      </c>
      <c r="B78" s="67">
        <v>42352732808</v>
      </c>
      <c r="C78" s="72" t="s">
        <v>508</v>
      </c>
      <c r="D78" s="69">
        <v>281893373</v>
      </c>
      <c r="E78" s="9">
        <v>1214</v>
      </c>
      <c r="F78" s="25">
        <v>42989</v>
      </c>
      <c r="G78" s="70" t="s">
        <v>292</v>
      </c>
      <c r="H78" s="25">
        <v>43000</v>
      </c>
      <c r="I78" s="8"/>
      <c r="J78" s="8"/>
      <c r="K78" s="8"/>
      <c r="L78" s="8"/>
      <c r="M78" s="8"/>
    </row>
    <row r="79" spans="1:13">
      <c r="A79" s="18" t="s">
        <v>509</v>
      </c>
      <c r="B79" s="67">
        <v>13480043801</v>
      </c>
      <c r="C79" s="18" t="s">
        <v>510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>
      <c r="A80" s="71" t="s">
        <v>511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292</v>
      </c>
      <c r="H80" s="25">
        <v>43182</v>
      </c>
      <c r="I80" s="8"/>
      <c r="J80" s="8"/>
      <c r="K80" s="8"/>
      <c r="L80" s="9">
        <v>318</v>
      </c>
      <c r="M80" s="8"/>
    </row>
    <row r="81" spans="1:13">
      <c r="A81" s="71" t="s">
        <v>512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292</v>
      </c>
      <c r="H81" s="25">
        <v>42998</v>
      </c>
      <c r="I81" s="8"/>
      <c r="J81" s="8"/>
      <c r="K81" s="8"/>
      <c r="L81" s="8"/>
      <c r="M81" s="8"/>
    </row>
    <row r="82" spans="1:13">
      <c r="A82" s="15" t="s">
        <v>513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292</v>
      </c>
      <c r="H82" s="9"/>
      <c r="I82" s="8"/>
      <c r="J82" s="8"/>
      <c r="K82" s="8"/>
      <c r="L82" s="9">
        <v>232</v>
      </c>
      <c r="M82" s="8"/>
    </row>
    <row r="83" spans="1:13">
      <c r="A83" s="18" t="s">
        <v>514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>
      <c r="A84" s="19" t="s">
        <v>515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>
      <c r="A85" s="71" t="s">
        <v>516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>
      <c r="A86" s="13" t="s">
        <v>517</v>
      </c>
      <c r="B86" s="67">
        <v>43053250802</v>
      </c>
      <c r="C86" s="68" t="s">
        <v>518</v>
      </c>
      <c r="D86" s="69">
        <v>35893147880</v>
      </c>
      <c r="E86" s="9">
        <v>1128</v>
      </c>
      <c r="F86" s="25">
        <v>42972</v>
      </c>
      <c r="G86" s="70" t="s">
        <v>292</v>
      </c>
      <c r="H86" s="9"/>
      <c r="I86" s="8"/>
      <c r="J86" s="8"/>
      <c r="K86" s="8"/>
      <c r="L86" s="8"/>
      <c r="M86" s="8"/>
    </row>
    <row r="87" spans="1:13">
      <c r="A87" s="71" t="s">
        <v>519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292</v>
      </c>
      <c r="H87" s="9"/>
      <c r="I87" s="8"/>
      <c r="J87" s="8"/>
      <c r="K87" s="8"/>
      <c r="L87" s="9">
        <v>318</v>
      </c>
      <c r="M87" s="8"/>
    </row>
    <row r="88" spans="1:13">
      <c r="A88" s="73" t="s">
        <v>520</v>
      </c>
      <c r="B88" s="67">
        <v>33617584837</v>
      </c>
      <c r="C88" s="72" t="s">
        <v>521</v>
      </c>
      <c r="D88" s="69">
        <v>26520094862</v>
      </c>
      <c r="E88" s="9">
        <v>608</v>
      </c>
      <c r="F88" s="25">
        <v>43012</v>
      </c>
      <c r="G88" s="70" t="s">
        <v>292</v>
      </c>
      <c r="H88" s="9"/>
      <c r="I88" s="8"/>
      <c r="J88" s="8"/>
      <c r="K88" s="8"/>
      <c r="L88" s="8"/>
      <c r="M88" s="8"/>
    </row>
    <row r="89" spans="1:13">
      <c r="A89" s="14" t="s">
        <v>522</v>
      </c>
      <c r="B89" s="67">
        <v>38168161858</v>
      </c>
      <c r="C89" s="72" t="s">
        <v>523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>
      <c r="A90" s="71" t="s">
        <v>524</v>
      </c>
      <c r="B90" s="67">
        <v>38728353862</v>
      </c>
      <c r="C90" s="72" t="s">
        <v>525</v>
      </c>
      <c r="D90" s="69">
        <v>37650358828</v>
      </c>
      <c r="E90" s="9">
        <v>1417</v>
      </c>
      <c r="F90" s="25">
        <v>43017</v>
      </c>
      <c r="G90" s="70" t="s">
        <v>292</v>
      </c>
      <c r="H90" s="9"/>
      <c r="I90" s="8"/>
      <c r="J90" s="8"/>
      <c r="K90" s="8"/>
      <c r="L90" s="9" t="s">
        <v>526</v>
      </c>
      <c r="M90" s="8"/>
    </row>
    <row r="91" spans="1:13">
      <c r="A91" s="15" t="s">
        <v>527</v>
      </c>
      <c r="B91" s="67">
        <v>29479419858</v>
      </c>
      <c r="C91" s="72" t="s">
        <v>528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>
      <c r="A92" s="71" t="s">
        <v>529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>
      <c r="A93" s="71" t="s">
        <v>530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292</v>
      </c>
      <c r="H93" s="9"/>
      <c r="I93" s="8"/>
      <c r="J93" s="8"/>
      <c r="K93" s="8"/>
      <c r="L93" s="8"/>
      <c r="M93" s="8"/>
    </row>
    <row r="94" spans="1:13">
      <c r="A94" s="15" t="s">
        <v>531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292</v>
      </c>
      <c r="H94" s="9"/>
      <c r="I94" s="8"/>
      <c r="J94" s="8"/>
      <c r="K94" s="8"/>
      <c r="L94" s="9">
        <v>232</v>
      </c>
      <c r="M94" s="8"/>
    </row>
    <row r="95" spans="1:13">
      <c r="A95" s="72" t="s">
        <v>532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>
      <c r="A96" s="71" t="s">
        <v>533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292</v>
      </c>
      <c r="H96" s="9"/>
      <c r="I96" s="8"/>
      <c r="J96" s="8"/>
      <c r="K96" s="8"/>
      <c r="L96" s="9" t="s">
        <v>433</v>
      </c>
      <c r="M96" s="8"/>
    </row>
    <row r="97" spans="1:13">
      <c r="A97" s="71" t="s">
        <v>534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292</v>
      </c>
      <c r="H97" s="9"/>
      <c r="I97" s="8"/>
      <c r="J97" s="8"/>
      <c r="K97" s="8"/>
      <c r="L97" s="8"/>
      <c r="M97" s="8"/>
    </row>
    <row r="98" spans="1:13">
      <c r="A98" s="29" t="s">
        <v>535</v>
      </c>
      <c r="B98" s="67">
        <v>3317260505</v>
      </c>
      <c r="C98" s="29" t="s">
        <v>536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>
      <c r="A99" s="71" t="s">
        <v>537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292</v>
      </c>
      <c r="H99" s="9"/>
      <c r="I99" s="8"/>
      <c r="J99" s="8"/>
      <c r="K99" s="8"/>
      <c r="L99" s="8"/>
      <c r="M99" s="8"/>
    </row>
    <row r="100" spans="1:13">
      <c r="A100" s="15" t="s">
        <v>538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292</v>
      </c>
      <c r="H100" s="25">
        <v>43164</v>
      </c>
      <c r="I100" s="8"/>
      <c r="J100" s="8"/>
      <c r="K100" s="8"/>
      <c r="L100" s="9">
        <v>255</v>
      </c>
      <c r="M100" s="8"/>
    </row>
    <row r="101" spans="1:13">
      <c r="A101" s="15" t="s">
        <v>539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292</v>
      </c>
      <c r="H101" s="9"/>
      <c r="I101" s="8"/>
      <c r="J101" s="8"/>
      <c r="K101" s="8"/>
      <c r="L101" s="9">
        <v>232</v>
      </c>
      <c r="M101" s="8"/>
    </row>
    <row r="102" spans="1:13">
      <c r="A102" s="71" t="s">
        <v>540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292</v>
      </c>
      <c r="H102" s="25">
        <v>43164</v>
      </c>
      <c r="I102" s="8"/>
      <c r="J102" s="8"/>
      <c r="K102" s="8"/>
      <c r="L102" s="9">
        <v>255</v>
      </c>
      <c r="M102" s="8"/>
    </row>
    <row r="103" spans="1:13">
      <c r="A103" s="29" t="s">
        <v>541</v>
      </c>
      <c r="B103" s="67"/>
      <c r="C103" s="18" t="s">
        <v>402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>
      <c r="A104" s="71" t="s">
        <v>542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292</v>
      </c>
      <c r="H104" s="9"/>
      <c r="I104" s="8"/>
      <c r="J104" s="8"/>
      <c r="K104" s="8"/>
      <c r="L104" s="8"/>
      <c r="M104" s="8"/>
    </row>
    <row r="105" spans="1:13">
      <c r="A105" s="71" t="s">
        <v>543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292</v>
      </c>
      <c r="H105" s="25">
        <v>43151</v>
      </c>
      <c r="I105" s="8"/>
      <c r="J105" s="8"/>
      <c r="K105" s="8"/>
      <c r="L105" s="8"/>
      <c r="M105" s="8"/>
    </row>
    <row r="106" spans="1:13">
      <c r="A106" s="14" t="s">
        <v>544</v>
      </c>
      <c r="B106" s="67">
        <v>40823037827</v>
      </c>
      <c r="C106" s="72" t="s">
        <v>545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>
      <c r="A107" s="18" t="s">
        <v>546</v>
      </c>
      <c r="B107" s="67">
        <v>54215625491</v>
      </c>
      <c r="C107" s="18" t="s">
        <v>547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>
      <c r="A108" s="29" t="s">
        <v>548</v>
      </c>
      <c r="B108" s="67">
        <v>8424740807</v>
      </c>
      <c r="C108" s="18" t="s">
        <v>402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>
      <c r="A109" s="71" t="s">
        <v>549</v>
      </c>
      <c r="B109" s="67">
        <v>78495857472</v>
      </c>
      <c r="C109" s="72" t="s">
        <v>550</v>
      </c>
      <c r="D109" s="69">
        <v>148572863</v>
      </c>
      <c r="E109" s="9">
        <v>1752</v>
      </c>
      <c r="F109" s="25">
        <v>43051</v>
      </c>
      <c r="G109" s="70" t="s">
        <v>292</v>
      </c>
      <c r="H109" s="9"/>
      <c r="I109" s="8"/>
      <c r="J109" s="8"/>
      <c r="K109" s="8"/>
      <c r="L109" s="9">
        <v>1759</v>
      </c>
      <c r="M109" s="8"/>
    </row>
    <row r="110" spans="1:13">
      <c r="A110" s="71" t="s">
        <v>551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>
      <c r="A111" s="71" t="s">
        <v>552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292</v>
      </c>
      <c r="H111" s="9"/>
      <c r="I111" s="8"/>
      <c r="J111" s="8"/>
      <c r="K111" s="8"/>
      <c r="L111" s="8"/>
      <c r="M111" s="8"/>
    </row>
    <row r="112" spans="1:13">
      <c r="A112" s="71" t="s">
        <v>553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>
      <c r="A113" s="14" t="s">
        <v>554</v>
      </c>
      <c r="B113" s="67">
        <v>44444325860</v>
      </c>
      <c r="C113" s="72" t="s">
        <v>555</v>
      </c>
      <c r="D113" s="69">
        <v>36636133805</v>
      </c>
      <c r="E113" s="9">
        <v>292</v>
      </c>
      <c r="F113" s="25">
        <v>43168</v>
      </c>
      <c r="G113" s="70" t="s">
        <v>292</v>
      </c>
      <c r="H113" s="9"/>
      <c r="I113" s="8"/>
      <c r="J113" s="8"/>
      <c r="K113" s="8"/>
      <c r="L113" s="9">
        <v>318</v>
      </c>
      <c r="M113" s="8"/>
    </row>
    <row r="114" spans="1:13">
      <c r="A114" s="71" t="s">
        <v>556</v>
      </c>
      <c r="B114" s="67">
        <v>39701017862</v>
      </c>
      <c r="C114" s="72" t="s">
        <v>557</v>
      </c>
      <c r="D114" s="69">
        <v>38933316892</v>
      </c>
      <c r="E114" s="9">
        <v>1350</v>
      </c>
      <c r="F114" s="25">
        <v>43006</v>
      </c>
      <c r="G114" s="70" t="s">
        <v>292</v>
      </c>
      <c r="H114" s="9"/>
      <c r="I114" s="8"/>
      <c r="J114" s="8"/>
      <c r="K114" s="8"/>
      <c r="L114" s="8"/>
      <c r="M114" s="8"/>
    </row>
    <row r="115" spans="1:13">
      <c r="A115" s="71" t="s">
        <v>558</v>
      </c>
      <c r="B115" s="67">
        <v>40003107809</v>
      </c>
      <c r="C115" s="72" t="s">
        <v>559</v>
      </c>
      <c r="D115" s="69">
        <v>37929345823</v>
      </c>
      <c r="E115" s="9">
        <v>262</v>
      </c>
      <c r="F115" s="25">
        <v>43160</v>
      </c>
      <c r="G115" s="70" t="s">
        <v>292</v>
      </c>
      <c r="H115" s="25">
        <v>43164</v>
      </c>
      <c r="I115" s="8"/>
      <c r="J115" s="8"/>
      <c r="K115" s="8"/>
      <c r="L115" s="9">
        <v>255</v>
      </c>
      <c r="M115" s="8"/>
    </row>
    <row r="116" spans="1:13">
      <c r="A116" s="29" t="s">
        <v>560</v>
      </c>
      <c r="B116" s="67">
        <v>38786146831</v>
      </c>
      <c r="C116" s="29" t="s">
        <v>561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>
      <c r="A117" s="71" t="s">
        <v>562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306</v>
      </c>
      <c r="H117" s="9"/>
      <c r="I117" s="8"/>
      <c r="J117" s="8"/>
      <c r="K117" s="8"/>
      <c r="L117" s="9">
        <v>1828</v>
      </c>
      <c r="M117" s="8"/>
    </row>
    <row r="118" spans="1:13">
      <c r="A118" s="71" t="s">
        <v>563</v>
      </c>
      <c r="B118" s="67">
        <v>3486705598</v>
      </c>
      <c r="C118" s="72" t="s">
        <v>564</v>
      </c>
      <c r="D118" s="69">
        <v>3581817551</v>
      </c>
      <c r="E118" s="9">
        <v>1752</v>
      </c>
      <c r="F118" s="25">
        <v>43051</v>
      </c>
      <c r="G118" s="70" t="s">
        <v>292</v>
      </c>
      <c r="H118" s="9"/>
      <c r="I118" s="8"/>
      <c r="J118" s="8"/>
      <c r="K118" s="8"/>
      <c r="L118" s="9">
        <v>1759</v>
      </c>
      <c r="M118" s="8"/>
    </row>
    <row r="119" spans="1:13">
      <c r="A119" s="72" t="s">
        <v>565</v>
      </c>
      <c r="B119" s="67">
        <v>37051125893</v>
      </c>
      <c r="C119" s="72" t="s">
        <v>566</v>
      </c>
      <c r="D119" s="69">
        <v>4303791458</v>
      </c>
      <c r="E119" s="9">
        <v>292</v>
      </c>
      <c r="F119" s="25">
        <v>43168</v>
      </c>
      <c r="G119" s="9" t="s">
        <v>292</v>
      </c>
      <c r="H119" s="9"/>
      <c r="I119" s="8"/>
      <c r="J119" s="8"/>
      <c r="K119" s="8"/>
      <c r="L119" s="9">
        <v>318</v>
      </c>
      <c r="M119" s="8"/>
    </row>
    <row r="120" spans="1:13">
      <c r="A120" s="71" t="s">
        <v>567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>
      <c r="A121" s="72" t="s">
        <v>568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>
      <c r="A122" s="71" t="s">
        <v>569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292</v>
      </c>
      <c r="H122" s="25">
        <v>43164</v>
      </c>
      <c r="I122" s="8"/>
      <c r="J122" s="8"/>
      <c r="K122" s="8"/>
      <c r="L122" s="9">
        <v>255</v>
      </c>
      <c r="M122" s="8"/>
    </row>
    <row r="123" spans="1:13">
      <c r="A123" s="71" t="s">
        <v>570</v>
      </c>
      <c r="B123" s="67">
        <v>33879586845</v>
      </c>
      <c r="C123" s="77" t="s">
        <v>571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572</v>
      </c>
      <c r="M123" s="8"/>
    </row>
    <row r="124" spans="1:13">
      <c r="A124" s="72" t="s">
        <v>573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>
      <c r="A125" s="14" t="s">
        <v>574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>
      <c r="A126" s="71" t="s">
        <v>575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292</v>
      </c>
      <c r="H126" s="9"/>
      <c r="I126" s="8"/>
      <c r="J126" s="8"/>
      <c r="K126" s="8"/>
      <c r="L126" s="8"/>
      <c r="M126" s="8"/>
    </row>
    <row r="127" spans="1:13">
      <c r="A127" s="72" t="s">
        <v>576</v>
      </c>
      <c r="B127" s="67">
        <v>15401963807</v>
      </c>
      <c r="C127" s="72" t="s">
        <v>577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>
      <c r="A128" s="71" t="s">
        <v>578</v>
      </c>
      <c r="B128" s="67">
        <v>2022016351</v>
      </c>
      <c r="C128" s="72" t="s">
        <v>579</v>
      </c>
      <c r="D128" s="69">
        <v>84914270315</v>
      </c>
      <c r="E128" s="9">
        <v>1106</v>
      </c>
      <c r="F128" s="25">
        <v>42965</v>
      </c>
      <c r="G128" s="70" t="s">
        <v>292</v>
      </c>
      <c r="H128" s="9"/>
      <c r="I128" s="8"/>
      <c r="J128" s="8"/>
      <c r="K128" s="8"/>
      <c r="L128" s="8"/>
      <c r="M128" s="8"/>
    </row>
    <row r="129" spans="1:13">
      <c r="A129" s="71" t="s">
        <v>580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>
      <c r="A130" s="71" t="s">
        <v>581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>
      <c r="A131" s="15" t="s">
        <v>582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292</v>
      </c>
      <c r="H131" s="25">
        <v>43151</v>
      </c>
      <c r="I131" s="8"/>
      <c r="J131" s="8"/>
      <c r="K131" s="8"/>
      <c r="L131" s="8"/>
      <c r="M131" s="8"/>
    </row>
    <row r="132" spans="1:13">
      <c r="A132" s="15" t="s">
        <v>583</v>
      </c>
      <c r="B132" s="67">
        <v>1860886558</v>
      </c>
      <c r="C132" s="72" t="s">
        <v>584</v>
      </c>
      <c r="D132" s="69">
        <v>35132798845</v>
      </c>
      <c r="E132" s="9">
        <v>229</v>
      </c>
      <c r="F132" s="25">
        <v>43151</v>
      </c>
      <c r="G132" s="70" t="s">
        <v>292</v>
      </c>
      <c r="H132" s="9"/>
      <c r="I132" s="8"/>
      <c r="J132" s="8"/>
      <c r="K132" s="8"/>
      <c r="L132" s="9">
        <v>232</v>
      </c>
      <c r="M132" s="8"/>
    </row>
    <row r="133" spans="1:13">
      <c r="A133" s="72" t="s">
        <v>585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292</v>
      </c>
      <c r="H133" s="9"/>
      <c r="I133" s="8"/>
      <c r="J133" s="8"/>
      <c r="K133" s="8"/>
      <c r="L133" s="9">
        <v>318</v>
      </c>
      <c r="M133" s="8"/>
    </row>
    <row r="134" spans="1:13">
      <c r="A134" s="71" t="s">
        <v>586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>
      <c r="A135" s="71" t="s">
        <v>587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>
      <c r="A136" s="71" t="s">
        <v>588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292</v>
      </c>
      <c r="H136" s="9"/>
      <c r="I136" s="8"/>
      <c r="J136" s="8"/>
      <c r="K136" s="8"/>
      <c r="L136" s="9">
        <v>1759</v>
      </c>
      <c r="M136" s="8"/>
    </row>
    <row r="137" spans="1:13">
      <c r="A137" s="71" t="s">
        <v>589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292</v>
      </c>
      <c r="H137" s="9"/>
      <c r="I137" s="8"/>
      <c r="J137" s="8"/>
      <c r="K137" s="8"/>
      <c r="L137" s="9">
        <v>318</v>
      </c>
      <c r="M137" s="8"/>
    </row>
    <row r="138" spans="1:13">
      <c r="A138" s="71" t="s">
        <v>590</v>
      </c>
      <c r="B138" s="67">
        <v>42262731845</v>
      </c>
      <c r="C138" s="72" t="s">
        <v>591</v>
      </c>
      <c r="D138" s="69">
        <v>34728432840</v>
      </c>
      <c r="E138" s="9">
        <v>1824</v>
      </c>
      <c r="F138" s="25">
        <v>43091</v>
      </c>
      <c r="G138" s="70" t="s">
        <v>292</v>
      </c>
      <c r="H138" s="9"/>
      <c r="I138" s="8"/>
      <c r="J138" s="8"/>
      <c r="K138" s="8"/>
      <c r="L138" s="9">
        <v>1828</v>
      </c>
      <c r="M138" s="8"/>
    </row>
    <row r="139" spans="1:13">
      <c r="A139" s="71" t="s">
        <v>592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292</v>
      </c>
      <c r="H139" s="25">
        <v>43164</v>
      </c>
      <c r="I139" s="8"/>
      <c r="J139" s="8"/>
      <c r="K139" s="8"/>
      <c r="L139" s="9">
        <v>255</v>
      </c>
      <c r="M139" s="8"/>
    </row>
    <row r="140" spans="1:13">
      <c r="A140" s="71" t="s">
        <v>593</v>
      </c>
      <c r="B140" s="67">
        <v>41446773892</v>
      </c>
      <c r="C140" s="72" t="s">
        <v>594</v>
      </c>
      <c r="D140" s="69">
        <v>38180353850</v>
      </c>
      <c r="E140" s="9">
        <v>292</v>
      </c>
      <c r="F140" s="25">
        <v>43168</v>
      </c>
      <c r="G140" s="9" t="s">
        <v>292</v>
      </c>
      <c r="H140" s="9"/>
      <c r="I140" s="8"/>
      <c r="J140" s="8"/>
      <c r="K140" s="8"/>
      <c r="L140" s="9">
        <v>318</v>
      </c>
      <c r="M140" s="8"/>
    </row>
    <row r="141" spans="1:13">
      <c r="A141" s="15" t="s">
        <v>595</v>
      </c>
      <c r="B141" s="67">
        <v>1436459354</v>
      </c>
      <c r="C141" s="72" t="s">
        <v>596</v>
      </c>
      <c r="D141" s="69">
        <v>4149263310</v>
      </c>
      <c r="E141" s="9">
        <v>229</v>
      </c>
      <c r="F141" s="25">
        <v>43151</v>
      </c>
      <c r="G141" s="70" t="s">
        <v>292</v>
      </c>
      <c r="H141" s="9"/>
      <c r="I141" s="8"/>
      <c r="J141" s="8"/>
      <c r="K141" s="8"/>
      <c r="L141" s="9">
        <v>232</v>
      </c>
      <c r="M141" s="8"/>
    </row>
    <row r="142" spans="1:13">
      <c r="A142" s="29" t="s">
        <v>597</v>
      </c>
      <c r="B142" s="67">
        <v>39953063818</v>
      </c>
      <c r="C142" s="29" t="s">
        <v>598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>
      <c r="A143" s="79" t="s">
        <v>599</v>
      </c>
      <c r="B143" s="80">
        <v>15371893873</v>
      </c>
      <c r="C143" s="81" t="s">
        <v>600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>
      <c r="A144" s="71" t="s">
        <v>601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292</v>
      </c>
      <c r="H144" s="9"/>
      <c r="I144" s="8"/>
      <c r="J144" s="8"/>
      <c r="K144" s="8"/>
      <c r="L144" s="9" t="s">
        <v>411</v>
      </c>
      <c r="M144" s="8"/>
    </row>
    <row r="145" spans="1:13">
      <c r="A145" s="73" t="s">
        <v>602</v>
      </c>
      <c r="B145" s="67">
        <v>50773453334</v>
      </c>
      <c r="C145" s="72" t="s">
        <v>603</v>
      </c>
      <c r="D145" s="69">
        <v>51551365391</v>
      </c>
      <c r="E145" s="9">
        <v>1106</v>
      </c>
      <c r="F145" s="25">
        <v>42965</v>
      </c>
      <c r="G145" s="70" t="s">
        <v>298</v>
      </c>
      <c r="H145" s="9"/>
      <c r="I145" s="8"/>
      <c r="J145" s="8"/>
      <c r="K145" s="8"/>
      <c r="L145" s="8"/>
      <c r="M145" s="8"/>
    </row>
    <row r="146" spans="1:13">
      <c r="A146" s="71" t="s">
        <v>604</v>
      </c>
      <c r="B146" s="67">
        <v>37805884803</v>
      </c>
      <c r="C146" s="72" t="s">
        <v>605</v>
      </c>
      <c r="D146" s="69">
        <v>35792474842</v>
      </c>
      <c r="E146" s="9">
        <v>262</v>
      </c>
      <c r="F146" s="25">
        <v>43160</v>
      </c>
      <c r="G146" s="9" t="s">
        <v>292</v>
      </c>
      <c r="H146" s="25">
        <v>43164</v>
      </c>
      <c r="I146" s="8"/>
      <c r="J146" s="8"/>
      <c r="K146" s="8"/>
      <c r="L146" s="9">
        <v>255</v>
      </c>
      <c r="M146" s="8"/>
    </row>
    <row r="147" spans="1:13">
      <c r="A147" s="73" t="s">
        <v>606</v>
      </c>
      <c r="B147" s="67">
        <v>38072219804</v>
      </c>
      <c r="C147" s="72" t="s">
        <v>607</v>
      </c>
      <c r="D147" s="69">
        <v>37125330800</v>
      </c>
      <c r="E147" s="9">
        <v>292</v>
      </c>
      <c r="F147" s="25">
        <v>43168</v>
      </c>
      <c r="G147" s="70" t="s">
        <v>292</v>
      </c>
      <c r="H147" s="9"/>
      <c r="I147" s="8"/>
      <c r="J147" s="8"/>
      <c r="K147" s="8"/>
      <c r="L147" s="9">
        <v>318</v>
      </c>
      <c r="M147" s="8"/>
    </row>
    <row r="148" spans="1:13">
      <c r="A148" s="71" t="s">
        <v>608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292</v>
      </c>
      <c r="H148" s="9"/>
      <c r="I148" s="8"/>
      <c r="J148" s="8"/>
      <c r="K148" s="8"/>
      <c r="L148" s="9">
        <v>318</v>
      </c>
      <c r="M148" s="8"/>
    </row>
    <row r="149" spans="1:13">
      <c r="A149" s="71" t="s">
        <v>609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>
      <c r="A150" s="71" t="s">
        <v>610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292</v>
      </c>
      <c r="H150" s="9"/>
      <c r="I150" s="8"/>
      <c r="J150" s="8"/>
      <c r="K150" s="8"/>
      <c r="L150" s="8"/>
      <c r="M150" s="8"/>
    </row>
    <row r="151" spans="1:13">
      <c r="A151" s="72" t="s">
        <v>611</v>
      </c>
      <c r="B151" s="67">
        <v>31476352879</v>
      </c>
      <c r="C151" s="72" t="s">
        <v>612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>
      <c r="A152" s="13" t="s">
        <v>613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292</v>
      </c>
      <c r="H152" s="9"/>
      <c r="I152" s="8"/>
      <c r="J152" s="8"/>
      <c r="K152" s="8"/>
      <c r="L152" s="8"/>
      <c r="M152" s="8"/>
    </row>
    <row r="153" spans="1:13">
      <c r="A153" s="71" t="s">
        <v>614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292</v>
      </c>
      <c r="H153" s="9"/>
      <c r="I153" s="8"/>
      <c r="J153" s="8"/>
      <c r="K153" s="8"/>
      <c r="L153" s="8"/>
      <c r="M153" s="8"/>
    </row>
    <row r="154" spans="1:13">
      <c r="A154" s="71" t="s">
        <v>615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>
      <c r="A155" s="18" t="s">
        <v>616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>
      <c r="A156" s="71" t="s">
        <v>617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>
      <c r="A157" s="71" t="s">
        <v>618</v>
      </c>
      <c r="B157" s="67">
        <v>86665944468</v>
      </c>
      <c r="C157" s="72" t="s">
        <v>619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>
      <c r="A158" s="15" t="s">
        <v>620</v>
      </c>
      <c r="B158" s="67">
        <v>39747831805</v>
      </c>
      <c r="C158" s="72" t="s">
        <v>621</v>
      </c>
      <c r="D158" s="69">
        <v>1202056458</v>
      </c>
      <c r="E158" s="9">
        <v>292</v>
      </c>
      <c r="F158" s="25">
        <v>43168</v>
      </c>
      <c r="G158" s="70" t="s">
        <v>292</v>
      </c>
      <c r="H158" s="9"/>
      <c r="I158" s="8"/>
      <c r="J158" s="8"/>
      <c r="K158" s="8"/>
      <c r="L158" s="9">
        <v>318</v>
      </c>
      <c r="M158" s="8"/>
    </row>
    <row r="159" spans="1:13">
      <c r="A159" s="13" t="s">
        <v>622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292</v>
      </c>
      <c r="H159" s="9"/>
      <c r="I159" s="8"/>
      <c r="J159" s="8"/>
      <c r="K159" s="8"/>
      <c r="L159" s="8"/>
      <c r="M159" s="8"/>
    </row>
    <row r="160" spans="1:13">
      <c r="A160" s="29" t="s">
        <v>623</v>
      </c>
      <c r="B160" s="67"/>
      <c r="C160" s="29" t="s">
        <v>624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>
      <c r="A161" s="71" t="s">
        <v>625</v>
      </c>
      <c r="B161" s="67">
        <v>38107907884</v>
      </c>
      <c r="C161" s="72" t="s">
        <v>626</v>
      </c>
      <c r="D161" s="69">
        <v>8669747685</v>
      </c>
      <c r="E161" s="9">
        <v>117</v>
      </c>
      <c r="F161" s="25">
        <v>43117</v>
      </c>
      <c r="G161" s="70" t="s">
        <v>292</v>
      </c>
      <c r="H161" s="9"/>
      <c r="I161" s="8"/>
      <c r="J161" s="8"/>
      <c r="K161" s="8"/>
      <c r="L161" s="9" t="s">
        <v>443</v>
      </c>
      <c r="M161" s="8"/>
    </row>
    <row r="162" spans="1:13">
      <c r="A162" s="29" t="s">
        <v>627</v>
      </c>
      <c r="B162" s="67">
        <v>24759436880</v>
      </c>
      <c r="C162" s="29" t="s">
        <v>628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>
      <c r="A163" s="15" t="s">
        <v>629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292</v>
      </c>
      <c r="H163" s="9"/>
      <c r="I163" s="8"/>
      <c r="J163" s="8"/>
      <c r="K163" s="8"/>
      <c r="L163" s="9">
        <v>1828</v>
      </c>
      <c r="M163" s="8"/>
    </row>
    <row r="164" spans="1:13">
      <c r="A164" s="29" t="s">
        <v>630</v>
      </c>
      <c r="B164" s="67">
        <v>22537971892</v>
      </c>
      <c r="C164" s="29" t="s">
        <v>631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>
      <c r="A165" s="71" t="s">
        <v>632</v>
      </c>
      <c r="B165" s="67">
        <v>31362502812</v>
      </c>
      <c r="C165" s="72" t="s">
        <v>633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>
      <c r="A166" s="18" t="s">
        <v>634</v>
      </c>
      <c r="B166" s="67">
        <v>4625640539</v>
      </c>
      <c r="C166" s="18" t="s">
        <v>635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>
      <c r="A167" s="71" t="s">
        <v>636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292</v>
      </c>
      <c r="H167" s="25">
        <v>43164</v>
      </c>
      <c r="I167" s="8"/>
      <c r="J167" s="8"/>
      <c r="K167" s="8"/>
      <c r="L167" s="9">
        <v>255</v>
      </c>
      <c r="M167" s="8"/>
    </row>
    <row r="168" spans="1:13">
      <c r="A168" s="71" t="s">
        <v>637</v>
      </c>
      <c r="B168" s="67">
        <v>22234108802</v>
      </c>
      <c r="C168" s="72" t="s">
        <v>638</v>
      </c>
      <c r="D168" s="69"/>
      <c r="E168" s="9"/>
      <c r="F168" s="25"/>
      <c r="G168" s="70" t="s">
        <v>292</v>
      </c>
      <c r="H168" s="9"/>
      <c r="I168" s="8"/>
      <c r="J168" s="8"/>
      <c r="K168" s="8"/>
      <c r="L168" s="8"/>
      <c r="M168" s="8"/>
    </row>
    <row r="169" spans="1:13">
      <c r="A169" s="30" t="s">
        <v>639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>
      <c r="A170" s="71" t="s">
        <v>640</v>
      </c>
      <c r="B170" s="67">
        <v>182316599</v>
      </c>
      <c r="C170" s="72" t="s">
        <v>641</v>
      </c>
      <c r="D170" s="69">
        <v>73673560549</v>
      </c>
      <c r="E170" s="9">
        <v>292</v>
      </c>
      <c r="F170" s="25">
        <v>43168</v>
      </c>
      <c r="G170" s="9" t="s">
        <v>292</v>
      </c>
      <c r="H170" s="9"/>
      <c r="I170" s="8"/>
      <c r="J170" s="8"/>
      <c r="K170" s="8"/>
      <c r="L170" s="9">
        <v>318</v>
      </c>
      <c r="M170" s="8"/>
    </row>
    <row r="171" spans="1:13">
      <c r="A171" s="71" t="s">
        <v>642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292</v>
      </c>
      <c r="H171" s="9"/>
      <c r="I171" s="8">
        <v>117</v>
      </c>
      <c r="J171" s="26">
        <v>43117</v>
      </c>
      <c r="K171" s="26">
        <v>43151</v>
      </c>
      <c r="L171" s="9" t="s">
        <v>526</v>
      </c>
      <c r="M171" s="26"/>
    </row>
    <row r="172" spans="1:13">
      <c r="A172" s="71" t="s">
        <v>643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292</v>
      </c>
      <c r="H172" s="9"/>
      <c r="I172" s="8"/>
      <c r="J172" s="8"/>
      <c r="K172" s="8"/>
      <c r="L172" s="8"/>
      <c r="M172" s="8"/>
    </row>
    <row r="173" spans="1:13">
      <c r="A173" s="71" t="s">
        <v>644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292</v>
      </c>
      <c r="H173" s="9"/>
      <c r="I173" s="8"/>
      <c r="J173" s="8"/>
      <c r="K173" s="8"/>
      <c r="L173" s="9">
        <v>1828</v>
      </c>
      <c r="M173" s="8"/>
    </row>
    <row r="174" spans="1:13">
      <c r="A174" s="15" t="s">
        <v>645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>
      <c r="A175" s="71" t="s">
        <v>646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292</v>
      </c>
      <c r="H175" s="9"/>
      <c r="I175" s="8"/>
      <c r="J175" s="8"/>
      <c r="K175" s="8"/>
      <c r="L175" s="8"/>
      <c r="M175" s="8"/>
    </row>
    <row r="176" spans="1:13">
      <c r="A176" s="71" t="s">
        <v>647</v>
      </c>
      <c r="B176" s="67">
        <v>36777190899</v>
      </c>
      <c r="C176" s="72" t="s">
        <v>648</v>
      </c>
      <c r="D176" s="69">
        <v>37104057854</v>
      </c>
      <c r="E176" s="9">
        <v>810</v>
      </c>
      <c r="F176" s="25">
        <v>42915</v>
      </c>
      <c r="G176" s="70" t="s">
        <v>292</v>
      </c>
      <c r="H176" s="9"/>
      <c r="I176" s="8"/>
      <c r="J176" s="8"/>
      <c r="K176" s="8"/>
      <c r="L176" s="9" t="s">
        <v>411</v>
      </c>
      <c r="M176" s="8"/>
    </row>
    <row r="177" spans="1:13">
      <c r="A177" s="15" t="s">
        <v>649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292</v>
      </c>
      <c r="H177" s="9"/>
      <c r="I177" s="8"/>
      <c r="J177" s="8"/>
      <c r="K177" s="8"/>
      <c r="L177" s="9">
        <v>232</v>
      </c>
      <c r="M177" s="8"/>
    </row>
    <row r="178" spans="1:13">
      <c r="A178" s="72" t="s">
        <v>650</v>
      </c>
      <c r="B178" s="67">
        <v>32428102877</v>
      </c>
      <c r="C178" s="72" t="s">
        <v>651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>
      <c r="A179" s="71" t="s">
        <v>652</v>
      </c>
      <c r="B179" s="67">
        <v>28640229821</v>
      </c>
      <c r="C179" s="72" t="s">
        <v>653</v>
      </c>
      <c r="D179" s="69">
        <v>7752420808</v>
      </c>
      <c r="E179" s="9">
        <v>1106</v>
      </c>
      <c r="F179" s="25">
        <v>42965</v>
      </c>
      <c r="G179" s="70" t="s">
        <v>292</v>
      </c>
      <c r="H179" s="9"/>
      <c r="I179" s="8"/>
      <c r="J179" s="8"/>
      <c r="K179" s="8"/>
      <c r="L179" s="8"/>
      <c r="M179" s="8"/>
    </row>
    <row r="180" spans="1:13">
      <c r="A180" s="77" t="s">
        <v>654</v>
      </c>
      <c r="B180" s="67">
        <v>38122976808</v>
      </c>
      <c r="C180" s="29" t="s">
        <v>655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>
      <c r="A181" s="71" t="s">
        <v>656</v>
      </c>
      <c r="B181" s="67">
        <v>41494645882</v>
      </c>
      <c r="C181" s="72" t="s">
        <v>657</v>
      </c>
      <c r="D181" s="69">
        <v>23413130862</v>
      </c>
      <c r="E181" s="9">
        <v>1824</v>
      </c>
      <c r="F181" s="25">
        <v>43091</v>
      </c>
      <c r="G181" s="70" t="s">
        <v>292</v>
      </c>
      <c r="H181" s="9"/>
      <c r="I181" s="8"/>
      <c r="J181" s="8"/>
      <c r="K181" s="8"/>
      <c r="L181" s="9">
        <v>1828</v>
      </c>
      <c r="M181" s="8"/>
    </row>
    <row r="182" spans="1:13">
      <c r="A182" s="71" t="s">
        <v>658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292</v>
      </c>
      <c r="H182" s="9"/>
      <c r="I182" s="8"/>
      <c r="J182" s="8"/>
      <c r="K182" s="8"/>
      <c r="L182" s="8"/>
      <c r="M182" s="8"/>
    </row>
    <row r="183" spans="1:13">
      <c r="A183" s="71" t="s">
        <v>659</v>
      </c>
      <c r="B183" s="67">
        <v>32882437846</v>
      </c>
      <c r="C183" s="77" t="s">
        <v>660</v>
      </c>
      <c r="D183" s="69" t="s">
        <v>661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>
      <c r="A184" s="71" t="s">
        <v>662</v>
      </c>
      <c r="B184" s="67">
        <v>40733908802</v>
      </c>
      <c r="C184" s="72" t="s">
        <v>663</v>
      </c>
      <c r="D184" s="69"/>
      <c r="E184" s="9">
        <v>1128</v>
      </c>
      <c r="F184" s="25">
        <v>42972</v>
      </c>
      <c r="G184" s="70" t="s">
        <v>292</v>
      </c>
      <c r="H184" s="9"/>
      <c r="I184" s="8"/>
      <c r="J184" s="8"/>
      <c r="K184" s="8"/>
      <c r="L184" s="8"/>
      <c r="M184" s="8"/>
    </row>
    <row r="185" spans="1:13">
      <c r="A185" s="71" t="s">
        <v>664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>
      <c r="A186" s="14" t="s">
        <v>665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292</v>
      </c>
      <c r="H186" s="25">
        <v>43164</v>
      </c>
      <c r="I186" s="8"/>
      <c r="J186" s="8"/>
      <c r="K186" s="8"/>
      <c r="L186" s="9">
        <v>255</v>
      </c>
      <c r="M186" s="8"/>
    </row>
    <row r="187" spans="1:13">
      <c r="A187" s="71" t="s">
        <v>666</v>
      </c>
      <c r="B187" s="67">
        <v>32321499877</v>
      </c>
      <c r="C187" s="72" t="s">
        <v>667</v>
      </c>
      <c r="D187" s="69">
        <v>4788348373</v>
      </c>
      <c r="E187" s="9">
        <v>292</v>
      </c>
      <c r="F187" s="25">
        <v>43168</v>
      </c>
      <c r="G187" s="70" t="s">
        <v>292</v>
      </c>
      <c r="H187" s="9"/>
      <c r="I187" s="8"/>
      <c r="J187" s="8"/>
      <c r="K187" s="8"/>
      <c r="L187" s="9">
        <v>318</v>
      </c>
      <c r="M187" s="8"/>
    </row>
    <row r="188" spans="1:13">
      <c r="A188" s="15" t="s">
        <v>668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292</v>
      </c>
      <c r="H188" s="25">
        <v>43151</v>
      </c>
      <c r="I188" s="8"/>
      <c r="J188" s="8"/>
      <c r="K188" s="8"/>
      <c r="L188" s="8"/>
      <c r="M188" s="8"/>
    </row>
    <row r="189" spans="1:13">
      <c r="A189" s="71" t="s">
        <v>669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292</v>
      </c>
      <c r="H189" s="9"/>
      <c r="I189" s="8"/>
      <c r="J189" s="8"/>
      <c r="K189" s="8"/>
      <c r="L189" s="8"/>
      <c r="M189" s="8"/>
    </row>
    <row r="190" spans="1:13">
      <c r="A190" s="71" t="s">
        <v>670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306</v>
      </c>
      <c r="H190" s="9"/>
      <c r="I190" s="8"/>
      <c r="J190" s="8"/>
      <c r="K190" s="8"/>
      <c r="L190" s="9" t="s">
        <v>671</v>
      </c>
      <c r="M190" s="8"/>
    </row>
    <row r="191" spans="1:13">
      <c r="A191" s="13" t="s">
        <v>672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292</v>
      </c>
      <c r="H191" s="9"/>
      <c r="I191" s="8"/>
      <c r="J191" s="8"/>
      <c r="K191" s="8"/>
      <c r="L191" s="8"/>
      <c r="M191" s="8"/>
    </row>
    <row r="192" spans="1:13">
      <c r="A192" s="14" t="s">
        <v>673</v>
      </c>
      <c r="B192" s="67">
        <v>16700300835</v>
      </c>
      <c r="C192" s="72" t="s">
        <v>674</v>
      </c>
      <c r="D192" s="69">
        <v>28699951809</v>
      </c>
      <c r="E192" s="9">
        <v>262</v>
      </c>
      <c r="F192" s="25">
        <v>43160</v>
      </c>
      <c r="G192" s="70" t="s">
        <v>292</v>
      </c>
      <c r="H192" s="25">
        <v>43164</v>
      </c>
      <c r="I192" s="8"/>
      <c r="J192" s="8"/>
      <c r="K192" s="8"/>
      <c r="L192" s="9">
        <v>255</v>
      </c>
      <c r="M192" s="8"/>
    </row>
    <row r="193" spans="1:13">
      <c r="A193" s="71" t="s">
        <v>675</v>
      </c>
      <c r="B193" s="67">
        <v>33595120817</v>
      </c>
      <c r="C193" s="68" t="s">
        <v>676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>
      <c r="A194" s="13" t="s">
        <v>677</v>
      </c>
      <c r="B194" s="67">
        <v>40386203873</v>
      </c>
      <c r="C194" s="68" t="s">
        <v>678</v>
      </c>
      <c r="D194" s="69">
        <v>27988479822</v>
      </c>
      <c r="E194" s="9">
        <v>1128</v>
      </c>
      <c r="F194" s="25">
        <v>42972</v>
      </c>
      <c r="G194" s="70" t="s">
        <v>292</v>
      </c>
      <c r="H194" s="9"/>
      <c r="I194" s="8"/>
      <c r="J194" s="8"/>
      <c r="K194" s="8"/>
      <c r="L194" s="8"/>
      <c r="M194" s="8"/>
    </row>
    <row r="195" spans="1:13">
      <c r="A195" s="71" t="s">
        <v>679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>
      <c r="A196" s="15" t="s">
        <v>680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>
      <c r="A197" s="15" t="s">
        <v>681</v>
      </c>
      <c r="B197" s="67">
        <v>23473254851</v>
      </c>
      <c r="C197" s="72" t="s">
        <v>682</v>
      </c>
      <c r="D197" s="69">
        <v>32944503898</v>
      </c>
      <c r="E197" s="9">
        <v>85</v>
      </c>
      <c r="F197" s="25">
        <v>43109</v>
      </c>
      <c r="G197" s="70" t="s">
        <v>292</v>
      </c>
      <c r="H197" s="25">
        <v>43151</v>
      </c>
      <c r="I197" s="8"/>
      <c r="J197" s="8"/>
      <c r="K197" s="8"/>
      <c r="L197" s="8"/>
      <c r="M197" s="8"/>
    </row>
    <row r="198" spans="1:13">
      <c r="A198" s="13" t="s">
        <v>683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292</v>
      </c>
      <c r="H198" s="9"/>
      <c r="I198" s="8"/>
      <c r="J198" s="8"/>
      <c r="K198" s="8"/>
      <c r="L198" s="8"/>
      <c r="M198" s="8"/>
    </row>
    <row r="199" spans="1:13">
      <c r="A199" s="15" t="s">
        <v>684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292</v>
      </c>
      <c r="H199" s="9"/>
      <c r="I199" s="8"/>
      <c r="J199" s="8"/>
      <c r="K199" s="8"/>
      <c r="L199" s="9">
        <v>232</v>
      </c>
      <c r="M199" s="8"/>
    </row>
    <row r="200" spans="1:13">
      <c r="A200" s="72" t="s">
        <v>685</v>
      </c>
      <c r="B200" s="67">
        <v>2218915871</v>
      </c>
      <c r="C200" s="72" t="s">
        <v>686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>
      <c r="A201" s="71" t="s">
        <v>687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>
      <c r="A202" s="13" t="s">
        <v>688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>
      <c r="A203" s="72" t="s">
        <v>689</v>
      </c>
      <c r="B203" s="67">
        <v>31793836825</v>
      </c>
      <c r="C203" s="72" t="s">
        <v>690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>
      <c r="A204" s="29" t="s">
        <v>691</v>
      </c>
      <c r="B204" s="67">
        <v>41307266843</v>
      </c>
      <c r="C204" s="18" t="s">
        <v>692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>
      <c r="A205" s="71" t="s">
        <v>693</v>
      </c>
      <c r="B205" s="67">
        <v>96683295549</v>
      </c>
      <c r="C205" s="72"/>
      <c r="D205" s="69"/>
      <c r="E205" s="9"/>
      <c r="F205" s="25"/>
      <c r="G205" s="70" t="s">
        <v>292</v>
      </c>
      <c r="H205" s="9"/>
      <c r="I205" s="8"/>
      <c r="J205" s="8"/>
      <c r="K205" s="8"/>
      <c r="L205" s="8"/>
      <c r="M205" s="8"/>
    </row>
    <row r="206" spans="1:13">
      <c r="A206" s="15" t="s">
        <v>694</v>
      </c>
      <c r="B206" s="67">
        <v>18965913888</v>
      </c>
      <c r="C206" s="72" t="s">
        <v>695</v>
      </c>
      <c r="D206" s="69">
        <v>30385646801</v>
      </c>
      <c r="E206" s="9">
        <v>117</v>
      </c>
      <c r="F206" s="25">
        <v>43117</v>
      </c>
      <c r="G206" s="70" t="s">
        <v>292</v>
      </c>
      <c r="H206" s="9"/>
      <c r="I206" s="8"/>
      <c r="J206" s="8"/>
      <c r="K206" s="8"/>
      <c r="L206" s="9" t="s">
        <v>443</v>
      </c>
      <c r="M206" s="8"/>
    </row>
    <row r="207" spans="1:13">
      <c r="A207" s="29" t="s">
        <v>696</v>
      </c>
      <c r="B207" s="67">
        <v>52371501875</v>
      </c>
      <c r="C207" s="18" t="s">
        <v>402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>
      <c r="A208" s="29" t="s">
        <v>697</v>
      </c>
      <c r="B208" s="67"/>
      <c r="C208" s="18" t="s">
        <v>402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>
      <c r="A209" s="15" t="s">
        <v>698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>
      <c r="A210" s="71" t="s">
        <v>699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>
      <c r="A211" s="13" t="s">
        <v>700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298</v>
      </c>
      <c r="H211" s="9"/>
      <c r="I211" s="8"/>
      <c r="J211" s="8"/>
      <c r="K211" s="8"/>
      <c r="L211" s="8"/>
      <c r="M211" s="8"/>
    </row>
    <row r="212" spans="1:13">
      <c r="A212" s="14" t="s">
        <v>701</v>
      </c>
      <c r="B212" s="67">
        <v>25897391840</v>
      </c>
      <c r="C212" s="72" t="s">
        <v>702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>
      <c r="A213" s="72" t="s">
        <v>703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>
      <c r="A214" s="71" t="s">
        <v>704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>
      <c r="A215" s="71" t="s">
        <v>705</v>
      </c>
      <c r="B215" s="67">
        <v>32841222810</v>
      </c>
      <c r="C215" s="72" t="s">
        <v>706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>
      <c r="A216" s="71" t="s">
        <v>707</v>
      </c>
      <c r="B216" s="67">
        <v>32242692860</v>
      </c>
      <c r="C216" s="72" t="s">
        <v>708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>
      <c r="A217" s="71" t="s">
        <v>709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>
      <c r="A218" s="71" t="s">
        <v>710</v>
      </c>
      <c r="B218" s="67">
        <v>35157366892</v>
      </c>
      <c r="C218" s="72" t="s">
        <v>711</v>
      </c>
      <c r="D218" s="69">
        <v>7540659440</v>
      </c>
      <c r="E218" s="9">
        <v>262</v>
      </c>
      <c r="F218" s="25">
        <v>43160</v>
      </c>
      <c r="G218" s="70" t="s">
        <v>292</v>
      </c>
      <c r="H218" s="25">
        <v>43164</v>
      </c>
      <c r="I218" s="8"/>
      <c r="J218" s="8"/>
      <c r="K218" s="8"/>
      <c r="L218" s="9">
        <v>255</v>
      </c>
      <c r="M218" s="8"/>
    </row>
    <row r="219" spans="1:13">
      <c r="A219" s="13" t="s">
        <v>712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292</v>
      </c>
      <c r="H219" s="70"/>
      <c r="I219" s="8"/>
      <c r="J219" s="8"/>
      <c r="K219" s="8"/>
      <c r="L219" s="8"/>
      <c r="M219" s="8"/>
    </row>
    <row r="220" spans="1:13">
      <c r="A220" s="15" t="s">
        <v>713</v>
      </c>
      <c r="B220" s="67">
        <v>86052484594</v>
      </c>
      <c r="C220" s="72" t="s">
        <v>714</v>
      </c>
      <c r="D220" s="69">
        <v>5551698556</v>
      </c>
      <c r="E220" s="9">
        <v>117</v>
      </c>
      <c r="F220" s="25">
        <v>43117</v>
      </c>
      <c r="G220" s="70" t="s">
        <v>292</v>
      </c>
      <c r="H220" s="70"/>
      <c r="I220" s="8"/>
      <c r="J220" s="8"/>
      <c r="K220" s="8"/>
      <c r="L220" s="9" t="s">
        <v>443</v>
      </c>
      <c r="M220" s="8"/>
    </row>
    <row r="221" spans="1:13">
      <c r="A221" s="15" t="s">
        <v>715</v>
      </c>
      <c r="B221" s="67">
        <v>32193061874</v>
      </c>
      <c r="C221" s="72" t="s">
        <v>716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>
      <c r="A222" s="29" t="s">
        <v>717</v>
      </c>
      <c r="B222" s="67">
        <v>32729382810</v>
      </c>
      <c r="C222" s="29" t="s">
        <v>718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>
      <c r="A223" s="71" t="s">
        <v>719</v>
      </c>
      <c r="B223" s="67">
        <v>32554462879</v>
      </c>
      <c r="C223" s="72" t="s">
        <v>720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>
      <c r="A224" s="71" t="s">
        <v>721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>
      <c r="A225" s="71" t="s">
        <v>722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>
      <c r="A226" s="71" t="s">
        <v>723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>
      <c r="A227" s="71" t="s">
        <v>724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292</v>
      </c>
      <c r="H227" s="70"/>
      <c r="I227" s="8"/>
      <c r="J227" s="8"/>
      <c r="K227" s="8"/>
      <c r="L227" s="9" t="s">
        <v>411</v>
      </c>
      <c r="M227" s="8"/>
    </row>
    <row r="228" spans="1:13">
      <c r="A228" s="72" t="s">
        <v>725</v>
      </c>
      <c r="B228" s="67">
        <v>39961258878</v>
      </c>
      <c r="C228" s="72" t="s">
        <v>726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>
      <c r="A229" s="31" t="s">
        <v>727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>
      <c r="A230" s="71" t="s">
        <v>728</v>
      </c>
      <c r="B230" s="67">
        <v>35719819878</v>
      </c>
      <c r="C230" s="72" t="s">
        <v>729</v>
      </c>
      <c r="D230" s="69">
        <v>11407737473</v>
      </c>
      <c r="E230" s="9">
        <v>1214</v>
      </c>
      <c r="F230" s="25">
        <v>42989</v>
      </c>
      <c r="G230" s="70" t="s">
        <v>292</v>
      </c>
      <c r="H230" s="70"/>
      <c r="I230" s="8"/>
      <c r="J230" s="8"/>
      <c r="K230" s="8"/>
      <c r="L230" s="8"/>
      <c r="M230" s="8"/>
    </row>
    <row r="231" spans="1:13">
      <c r="A231" s="13" t="s">
        <v>730</v>
      </c>
      <c r="B231" s="67">
        <v>45813645829</v>
      </c>
      <c r="C231" s="68" t="s">
        <v>731</v>
      </c>
      <c r="D231" s="69">
        <v>40890894841</v>
      </c>
      <c r="E231" s="9">
        <v>1752</v>
      </c>
      <c r="F231" s="25">
        <v>43051</v>
      </c>
      <c r="G231" s="70" t="s">
        <v>292</v>
      </c>
      <c r="H231" s="70"/>
      <c r="I231" s="8"/>
      <c r="J231" s="8"/>
      <c r="K231" s="8"/>
      <c r="L231" s="9">
        <v>1759</v>
      </c>
      <c r="M231" s="8"/>
    </row>
    <row r="232" spans="1:13">
      <c r="A232" s="15" t="s">
        <v>732</v>
      </c>
      <c r="B232" s="67">
        <v>43811085824</v>
      </c>
      <c r="C232" s="15" t="s">
        <v>733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>
      <c r="A233" s="71" t="s">
        <v>734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572</v>
      </c>
      <c r="M233" s="8"/>
    </row>
    <row r="234" spans="1:13">
      <c r="A234" s="29" t="s">
        <v>735</v>
      </c>
      <c r="B234" s="67"/>
      <c r="C234" s="18" t="s">
        <v>402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>
      <c r="A235" s="14" t="s">
        <v>736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>
      <c r="A236" s="71" t="s">
        <v>737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292</v>
      </c>
      <c r="H236" s="70"/>
      <c r="I236" s="8"/>
      <c r="J236" s="8"/>
      <c r="K236" s="8"/>
      <c r="L236" s="9">
        <v>318</v>
      </c>
      <c r="M236" s="8"/>
    </row>
    <row r="237" spans="1:13">
      <c r="A237" s="71" t="s">
        <v>738</v>
      </c>
      <c r="B237" s="67">
        <v>86221152593</v>
      </c>
      <c r="C237" s="72" t="s">
        <v>739</v>
      </c>
      <c r="D237" s="69">
        <v>3688414560</v>
      </c>
      <c r="E237" s="9">
        <v>1214</v>
      </c>
      <c r="F237" s="25">
        <v>42989</v>
      </c>
      <c r="G237" s="70" t="s">
        <v>292</v>
      </c>
      <c r="H237" s="70"/>
      <c r="I237" s="8"/>
      <c r="J237" s="8"/>
      <c r="K237" s="8"/>
      <c r="L237" s="8"/>
      <c r="M237" s="8"/>
    </row>
    <row r="238" spans="1:13">
      <c r="A238" s="15" t="s">
        <v>740</v>
      </c>
      <c r="B238" s="67">
        <v>5918222456</v>
      </c>
      <c r="C238" s="72" t="s">
        <v>741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>
      <c r="A239" s="71" t="s">
        <v>742</v>
      </c>
      <c r="B239" s="67">
        <v>37239200809</v>
      </c>
      <c r="C239" s="72" t="s">
        <v>743</v>
      </c>
      <c r="D239" s="69">
        <v>36014828869</v>
      </c>
      <c r="E239" s="9">
        <v>1350</v>
      </c>
      <c r="F239" s="25">
        <v>43006</v>
      </c>
      <c r="G239" s="70" t="s">
        <v>292</v>
      </c>
      <c r="H239" s="70"/>
      <c r="I239" s="8"/>
      <c r="J239" s="8"/>
      <c r="K239" s="8"/>
      <c r="L239" s="8"/>
      <c r="M239" s="8"/>
    </row>
    <row r="240" spans="1:13">
      <c r="A240" s="71" t="s">
        <v>744</v>
      </c>
      <c r="B240" s="67">
        <v>6620279813</v>
      </c>
      <c r="C240" s="72" t="s">
        <v>745</v>
      </c>
      <c r="D240" s="69">
        <v>18461089855</v>
      </c>
      <c r="E240" s="9">
        <v>1824</v>
      </c>
      <c r="F240" s="25">
        <v>43091</v>
      </c>
      <c r="G240" s="70" t="s">
        <v>292</v>
      </c>
      <c r="H240" s="70"/>
      <c r="I240" s="8"/>
      <c r="J240" s="8"/>
      <c r="K240" s="8"/>
      <c r="L240" s="9">
        <v>1828</v>
      </c>
      <c r="M240" s="8"/>
    </row>
    <row r="241" spans="1:13">
      <c r="A241" s="84" t="s">
        <v>746</v>
      </c>
      <c r="B241" s="67">
        <v>11805424874</v>
      </c>
      <c r="C241" s="77" t="s">
        <v>747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>
      <c r="A242" s="14" t="s">
        <v>748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292</v>
      </c>
      <c r="H242" s="25">
        <v>43164</v>
      </c>
      <c r="I242" s="8"/>
      <c r="J242" s="8"/>
      <c r="K242" s="8"/>
      <c r="L242" s="9">
        <v>255</v>
      </c>
      <c r="M242" s="8"/>
    </row>
    <row r="243" spans="1:13">
      <c r="A243" s="15" t="s">
        <v>749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292</v>
      </c>
      <c r="H243" s="25">
        <v>43151</v>
      </c>
      <c r="I243" s="8"/>
      <c r="J243" s="8"/>
      <c r="K243" s="8"/>
      <c r="L243" s="8"/>
      <c r="M243" s="8"/>
    </row>
    <row r="244" spans="1:13">
      <c r="A244" s="18" t="s">
        <v>750</v>
      </c>
      <c r="B244" s="67">
        <v>34001342871</v>
      </c>
      <c r="C244" s="18" t="s">
        <v>751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>
      <c r="A245" s="71" t="s">
        <v>752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292</v>
      </c>
      <c r="H245" s="25">
        <v>43164</v>
      </c>
      <c r="I245" s="8"/>
      <c r="J245" s="8"/>
      <c r="K245" s="8"/>
      <c r="L245" s="9">
        <v>255</v>
      </c>
      <c r="M245" s="8"/>
    </row>
    <row r="246" spans="1:13">
      <c r="A246" s="71" t="s">
        <v>753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>
      <c r="A247" s="14" t="s">
        <v>754</v>
      </c>
      <c r="B247" s="67">
        <v>1308082533</v>
      </c>
      <c r="C247" s="72" t="s">
        <v>755</v>
      </c>
      <c r="D247" s="69">
        <v>73690139520</v>
      </c>
      <c r="E247" s="9">
        <v>262</v>
      </c>
      <c r="F247" s="25">
        <v>43160</v>
      </c>
      <c r="G247" s="70" t="s">
        <v>292</v>
      </c>
      <c r="H247" s="25">
        <v>43164</v>
      </c>
      <c r="I247" s="8"/>
      <c r="J247" s="8"/>
      <c r="K247" s="8"/>
      <c r="L247" s="9">
        <v>255</v>
      </c>
      <c r="M247" s="8"/>
    </row>
    <row r="248" spans="1:13">
      <c r="A248" s="15" t="s">
        <v>756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292</v>
      </c>
      <c r="H248" s="70"/>
      <c r="I248" s="8"/>
      <c r="J248" s="8"/>
      <c r="K248" s="8"/>
      <c r="L248" s="9" t="s">
        <v>443</v>
      </c>
      <c r="M248" s="8"/>
    </row>
    <row r="249" spans="1:13">
      <c r="A249" s="71" t="s">
        <v>757</v>
      </c>
      <c r="B249" s="67">
        <v>4068496846</v>
      </c>
      <c r="C249" s="72" t="s">
        <v>758</v>
      </c>
      <c r="D249" s="69">
        <v>26922524896</v>
      </c>
      <c r="E249" s="9">
        <v>1752</v>
      </c>
      <c r="F249" s="25">
        <v>43051</v>
      </c>
      <c r="G249" s="70" t="s">
        <v>292</v>
      </c>
      <c r="H249" s="70"/>
      <c r="I249" s="8"/>
      <c r="J249" s="8"/>
      <c r="K249" s="8"/>
      <c r="L249" s="9">
        <v>1759</v>
      </c>
      <c r="M249" s="8"/>
    </row>
    <row r="250" spans="1:13">
      <c r="A250" s="15" t="s">
        <v>759</v>
      </c>
      <c r="B250" s="67">
        <v>92175163849</v>
      </c>
      <c r="C250" s="72" t="s">
        <v>760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>
      <c r="A251" s="18" t="s">
        <v>761</v>
      </c>
      <c r="B251" s="67">
        <v>76906388304</v>
      </c>
      <c r="C251" s="18" t="s">
        <v>762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>
      <c r="A252" s="15" t="s">
        <v>763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292</v>
      </c>
      <c r="H252" s="70"/>
      <c r="I252" s="8"/>
      <c r="J252" s="8"/>
      <c r="K252" s="8"/>
      <c r="L252" s="9" t="s">
        <v>443</v>
      </c>
      <c r="M252" s="8"/>
    </row>
    <row r="253" spans="1:13">
      <c r="A253" s="71" t="s">
        <v>764</v>
      </c>
      <c r="B253" s="67">
        <v>2925106323</v>
      </c>
      <c r="C253" s="72" t="s">
        <v>765</v>
      </c>
      <c r="D253" s="69">
        <v>16131378851</v>
      </c>
      <c r="E253" s="9">
        <v>1214</v>
      </c>
      <c r="F253" s="25">
        <v>42989</v>
      </c>
      <c r="G253" s="70" t="s">
        <v>292</v>
      </c>
      <c r="H253" s="70"/>
      <c r="I253" s="8"/>
      <c r="J253" s="8"/>
      <c r="K253" s="8"/>
      <c r="L253" s="8"/>
      <c r="M253" s="8"/>
    </row>
    <row r="254" spans="1:13">
      <c r="A254" s="13" t="s">
        <v>766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292</v>
      </c>
      <c r="H254" s="70"/>
      <c r="I254" s="8"/>
      <c r="J254" s="8"/>
      <c r="K254" s="8"/>
      <c r="L254" s="8"/>
      <c r="M254" s="8"/>
    </row>
    <row r="255" spans="1:13">
      <c r="A255" s="13" t="s">
        <v>767</v>
      </c>
      <c r="B255" s="67">
        <v>30871120895</v>
      </c>
      <c r="C255" s="68" t="s">
        <v>768</v>
      </c>
      <c r="D255" s="69">
        <v>7635106457</v>
      </c>
      <c r="E255" s="9">
        <v>1241</v>
      </c>
      <c r="F255" s="25">
        <v>42992</v>
      </c>
      <c r="G255" s="70" t="s">
        <v>292</v>
      </c>
      <c r="H255" s="70"/>
      <c r="I255" s="8"/>
      <c r="J255" s="8"/>
      <c r="K255" s="8"/>
      <c r="L255" s="8"/>
      <c r="M255" s="8"/>
    </row>
    <row r="256" spans="1:13">
      <c r="A256" s="71" t="s">
        <v>769</v>
      </c>
      <c r="B256" s="67">
        <v>32016102837</v>
      </c>
      <c r="C256" s="72" t="s">
        <v>770</v>
      </c>
      <c r="D256" s="69">
        <v>25077406553</v>
      </c>
      <c r="E256" s="9">
        <v>292</v>
      </c>
      <c r="F256" s="25">
        <v>43168</v>
      </c>
      <c r="G256" s="70" t="s">
        <v>292</v>
      </c>
      <c r="H256" s="70"/>
      <c r="I256" s="8"/>
      <c r="J256" s="8"/>
      <c r="K256" s="8"/>
      <c r="L256" s="9">
        <v>318</v>
      </c>
      <c r="M256" s="8"/>
    </row>
    <row r="257" spans="1:13">
      <c r="A257" s="72" t="s">
        <v>771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>
      <c r="A258" s="72" t="s">
        <v>772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>
      <c r="A259" s="71" t="s">
        <v>773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>
      <c r="A260" s="71" t="s">
        <v>774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292</v>
      </c>
      <c r="H260" s="70"/>
      <c r="I260" s="8"/>
      <c r="J260" s="8"/>
      <c r="K260" s="8"/>
      <c r="L260" s="9" t="s">
        <v>775</v>
      </c>
      <c r="M260" s="8"/>
    </row>
    <row r="261" spans="1:13">
      <c r="A261" s="15" t="s">
        <v>776</v>
      </c>
      <c r="B261" s="67">
        <v>18856620847</v>
      </c>
      <c r="C261" s="72" t="s">
        <v>777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>
      <c r="A262" s="13" t="s">
        <v>778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>
      <c r="A263" s="71" t="s">
        <v>779</v>
      </c>
      <c r="B263" s="67">
        <v>2766966382</v>
      </c>
      <c r="C263" s="72" t="s">
        <v>780</v>
      </c>
      <c r="D263" s="69">
        <v>2385838303</v>
      </c>
      <c r="E263" s="9">
        <v>262</v>
      </c>
      <c r="F263" s="25">
        <v>43160</v>
      </c>
      <c r="G263" s="70" t="s">
        <v>292</v>
      </c>
      <c r="H263" s="25">
        <v>43164</v>
      </c>
      <c r="I263" s="8"/>
      <c r="J263" s="8"/>
      <c r="K263" s="8"/>
      <c r="L263" s="9">
        <v>255</v>
      </c>
      <c r="M263" s="8"/>
    </row>
    <row r="264" spans="1:13">
      <c r="A264" s="71" t="s">
        <v>781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>
      <c r="A265" s="15" t="s">
        <v>782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292</v>
      </c>
      <c r="H265" s="70"/>
      <c r="I265" s="8"/>
      <c r="J265" s="8"/>
      <c r="K265" s="8"/>
      <c r="L265" s="9">
        <v>232</v>
      </c>
      <c r="M265" s="8"/>
    </row>
    <row r="266" spans="1:13">
      <c r="A266" s="71" t="s">
        <v>783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292</v>
      </c>
      <c r="H266" s="70"/>
      <c r="I266" s="8"/>
      <c r="J266" s="8"/>
      <c r="K266" s="8"/>
      <c r="L266" s="8"/>
      <c r="M266" s="8"/>
    </row>
    <row r="267" spans="1:13">
      <c r="A267" s="71" t="s">
        <v>784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292</v>
      </c>
      <c r="H267" s="70"/>
      <c r="I267" s="8"/>
      <c r="J267" s="8"/>
      <c r="K267" s="8"/>
      <c r="L267" s="9">
        <v>318</v>
      </c>
      <c r="M267" s="8"/>
    </row>
    <row r="268" spans="1:13">
      <c r="A268" s="71" t="s">
        <v>785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292</v>
      </c>
      <c r="H268" s="70"/>
      <c r="I268" s="8"/>
      <c r="J268" s="8"/>
      <c r="K268" s="8"/>
      <c r="L268" s="9">
        <v>1759</v>
      </c>
      <c r="M268" s="8"/>
    </row>
    <row r="269" spans="1:13">
      <c r="A269" s="71" t="s">
        <v>786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292</v>
      </c>
      <c r="H269" s="70"/>
      <c r="I269" s="8"/>
      <c r="J269" s="8"/>
      <c r="K269" s="8"/>
      <c r="L269" s="9">
        <v>318</v>
      </c>
      <c r="M269" s="8"/>
    </row>
    <row r="270" spans="1:13">
      <c r="A270" s="71" t="s">
        <v>787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>
      <c r="A271" s="71" t="s">
        <v>788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292</v>
      </c>
      <c r="H271" s="70"/>
      <c r="I271" s="8"/>
      <c r="J271" s="8"/>
      <c r="K271" s="8"/>
      <c r="L271" s="9" t="s">
        <v>433</v>
      </c>
      <c r="M271" s="8"/>
    </row>
    <row r="272" spans="1:13">
      <c r="A272" s="71" t="s">
        <v>789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>
      <c r="A273" s="71" t="s">
        <v>790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292</v>
      </c>
      <c r="H273" s="70"/>
      <c r="I273" s="8"/>
      <c r="J273" s="8"/>
      <c r="K273" s="8"/>
      <c r="L273" s="9" t="s">
        <v>433</v>
      </c>
      <c r="M273" s="8"/>
    </row>
    <row r="274" spans="1:13">
      <c r="A274" s="71" t="s">
        <v>791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292</v>
      </c>
      <c r="H274" s="70"/>
      <c r="I274" s="8"/>
      <c r="J274" s="8"/>
      <c r="K274" s="8"/>
      <c r="L274" s="9">
        <v>1759</v>
      </c>
      <c r="M274" s="8"/>
    </row>
    <row r="275" spans="1:13">
      <c r="A275" s="72" t="s">
        <v>792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>
      <c r="A276" s="71" t="s">
        <v>793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292</v>
      </c>
      <c r="H276" s="70"/>
      <c r="I276" s="8"/>
      <c r="J276" s="8"/>
      <c r="K276" s="8"/>
      <c r="L276" s="9" t="s">
        <v>411</v>
      </c>
      <c r="M276" s="8"/>
    </row>
    <row r="277" spans="1:13">
      <c r="A277" s="13" t="s">
        <v>794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>
      <c r="A278" s="71" t="s">
        <v>795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292</v>
      </c>
      <c r="H278" s="70"/>
      <c r="I278" s="8"/>
      <c r="J278" s="8"/>
      <c r="K278" s="8"/>
      <c r="L278" s="8"/>
      <c r="M278" s="8"/>
    </row>
    <row r="279" spans="1:13">
      <c r="A279" s="71" t="s">
        <v>796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>
      <c r="A280" s="14" t="s">
        <v>797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292</v>
      </c>
      <c r="H280" s="25">
        <v>43164</v>
      </c>
      <c r="I280" s="8"/>
      <c r="J280" s="8"/>
      <c r="K280" s="8"/>
      <c r="L280" s="9">
        <v>255</v>
      </c>
      <c r="M280" s="8"/>
    </row>
    <row r="281" spans="1:13">
      <c r="A281" s="72" t="s">
        <v>798</v>
      </c>
      <c r="B281" s="67">
        <v>5261128838</v>
      </c>
      <c r="C281" s="72" t="s">
        <v>799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>
      <c r="A282" s="29" t="s">
        <v>800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>
      <c r="A283" s="71" t="s">
        <v>801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>
      <c r="A284" s="29" t="s">
        <v>802</v>
      </c>
      <c r="B284" s="67"/>
      <c r="C284" s="29" t="s">
        <v>402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>
      <c r="A285" s="15" t="s">
        <v>803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292</v>
      </c>
      <c r="H285" s="25">
        <v>43164</v>
      </c>
      <c r="I285" s="8"/>
      <c r="J285" s="8"/>
      <c r="K285" s="8"/>
      <c r="L285" s="9">
        <v>255</v>
      </c>
      <c r="M285" s="8"/>
    </row>
    <row r="286" spans="1:13">
      <c r="A286" s="18" t="s">
        <v>804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>
      <c r="A287" s="71" t="s">
        <v>805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292</v>
      </c>
      <c r="H287" s="70"/>
      <c r="I287" s="8"/>
      <c r="J287" s="8"/>
      <c r="K287" s="8"/>
      <c r="L287" s="8"/>
      <c r="M287" s="8"/>
    </row>
    <row r="288" spans="1:13">
      <c r="A288" s="15" t="s">
        <v>806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292</v>
      </c>
      <c r="H288" s="25">
        <v>43164</v>
      </c>
      <c r="I288" s="8"/>
      <c r="J288" s="8"/>
      <c r="K288" s="8"/>
      <c r="L288" s="9">
        <v>255</v>
      </c>
      <c r="M288" s="8"/>
    </row>
    <row r="289" spans="1:13">
      <c r="A289" s="15" t="s">
        <v>807</v>
      </c>
      <c r="B289" s="67">
        <v>80117694304</v>
      </c>
      <c r="C289" s="72" t="s">
        <v>808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>
      <c r="A290" s="18" t="s">
        <v>809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>
      <c r="A291" s="71" t="s">
        <v>810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>
      <c r="A292" s="15" t="s">
        <v>811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>
      <c r="A293" s="71" t="s">
        <v>812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>
      <c r="A294" s="71" t="s">
        <v>813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292</v>
      </c>
      <c r="H294" s="70"/>
      <c r="I294" s="8"/>
      <c r="J294" s="8"/>
      <c r="K294" s="8"/>
      <c r="L294" s="8"/>
      <c r="M294" s="8"/>
    </row>
    <row r="295" spans="1:13">
      <c r="A295" s="71" t="s">
        <v>814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292</v>
      </c>
      <c r="H295" s="9"/>
      <c r="I295" s="8"/>
      <c r="J295" s="8"/>
      <c r="K295" s="8"/>
      <c r="L295" s="9">
        <v>318</v>
      </c>
      <c r="M295" s="8"/>
    </row>
    <row r="296" spans="1:13">
      <c r="A296" s="71" t="s">
        <v>815</v>
      </c>
      <c r="B296" s="67">
        <v>34227913888</v>
      </c>
      <c r="C296" s="72" t="s">
        <v>816</v>
      </c>
      <c r="D296" s="69">
        <v>22306586896</v>
      </c>
      <c r="E296" s="9">
        <v>1214</v>
      </c>
      <c r="F296" s="25">
        <v>42989</v>
      </c>
      <c r="G296" s="70" t="s">
        <v>292</v>
      </c>
      <c r="H296" s="70"/>
      <c r="I296" s="8"/>
      <c r="J296" s="8"/>
      <c r="K296" s="8"/>
      <c r="L296" s="8"/>
      <c r="M296" s="8"/>
    </row>
    <row r="297" spans="1:13">
      <c r="A297" s="71" t="s">
        <v>817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292</v>
      </c>
      <c r="H297" s="70"/>
      <c r="I297" s="8"/>
      <c r="J297" s="8"/>
      <c r="K297" s="8"/>
      <c r="L297" s="9">
        <v>318</v>
      </c>
      <c r="M297" s="8"/>
    </row>
    <row r="298" spans="1:13">
      <c r="A298" s="71" t="s">
        <v>818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298</v>
      </c>
      <c r="H298" s="9"/>
      <c r="I298" s="8"/>
      <c r="J298" s="8"/>
      <c r="K298" s="8"/>
      <c r="L298" s="9">
        <v>1828</v>
      </c>
      <c r="M298" s="8"/>
    </row>
    <row r="299" spans="1:13">
      <c r="A299" s="14" t="s">
        <v>819</v>
      </c>
      <c r="B299" s="67">
        <v>33547844827</v>
      </c>
      <c r="C299" s="72" t="s">
        <v>820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>
      <c r="A300" s="29" t="s">
        <v>821</v>
      </c>
      <c r="B300" s="67"/>
      <c r="C300" s="18" t="s">
        <v>402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>
      <c r="A301" s="14" t="s">
        <v>822</v>
      </c>
      <c r="B301" s="67">
        <v>5212801842</v>
      </c>
      <c r="C301" s="72" t="s">
        <v>823</v>
      </c>
      <c r="D301" s="69">
        <v>7101207880</v>
      </c>
      <c r="E301" s="9">
        <v>262</v>
      </c>
      <c r="F301" s="25">
        <v>43160</v>
      </c>
      <c r="G301" s="70" t="s">
        <v>292</v>
      </c>
      <c r="H301" s="25">
        <v>43164</v>
      </c>
      <c r="I301" s="8"/>
      <c r="J301" s="8"/>
      <c r="K301" s="8"/>
      <c r="L301" s="9">
        <v>255</v>
      </c>
      <c r="M301" s="8"/>
    </row>
    <row r="302" spans="1:13">
      <c r="A302" s="71" t="s">
        <v>824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292</v>
      </c>
      <c r="H302" s="9"/>
      <c r="I302" s="8"/>
      <c r="J302" s="8"/>
      <c r="K302" s="8"/>
      <c r="L302" s="9" t="s">
        <v>411</v>
      </c>
      <c r="M302" s="8"/>
    </row>
    <row r="303" spans="1:13">
      <c r="A303" s="71" t="s">
        <v>825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292</v>
      </c>
      <c r="H303" s="9"/>
      <c r="I303" s="8"/>
      <c r="J303" s="8"/>
      <c r="K303" s="8"/>
      <c r="L303" s="8"/>
      <c r="M303" s="8"/>
    </row>
    <row r="304" spans="1:13">
      <c r="A304" s="29" t="s">
        <v>826</v>
      </c>
      <c r="B304" s="67"/>
      <c r="C304" s="29" t="s">
        <v>827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>
      <c r="A305" s="13" t="s">
        <v>828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292</v>
      </c>
      <c r="H305" s="9"/>
      <c r="I305" s="8"/>
      <c r="J305" s="8"/>
      <c r="K305" s="8"/>
      <c r="L305" s="8"/>
      <c r="M305" s="8"/>
    </row>
    <row r="306" spans="1:13">
      <c r="A306" s="29" t="s">
        <v>829</v>
      </c>
      <c r="B306" s="67">
        <v>43257974833</v>
      </c>
      <c r="C306" s="18" t="s">
        <v>402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>
      <c r="A307" s="71" t="s">
        <v>830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292</v>
      </c>
      <c r="H307" s="9"/>
      <c r="I307" s="8"/>
      <c r="J307" s="8"/>
      <c r="K307" s="8"/>
      <c r="L307" s="8"/>
      <c r="M307" s="8"/>
    </row>
    <row r="308" spans="1:13">
      <c r="A308" s="71" t="s">
        <v>831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>
      <c r="A309" s="71" t="s">
        <v>832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292</v>
      </c>
      <c r="H309" s="9"/>
      <c r="I309" s="8"/>
      <c r="J309" s="8"/>
      <c r="K309" s="8"/>
      <c r="L309" s="9" t="s">
        <v>411</v>
      </c>
      <c r="M309" s="8"/>
    </row>
    <row r="310" spans="1:13">
      <c r="A310" s="13" t="s">
        <v>833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292</v>
      </c>
      <c r="H310" s="9"/>
      <c r="I310" s="8"/>
      <c r="J310" s="8"/>
      <c r="K310" s="8"/>
      <c r="L310" s="8"/>
      <c r="M310" s="8"/>
    </row>
    <row r="311" spans="1:13">
      <c r="A311" s="72" t="s">
        <v>834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292</v>
      </c>
      <c r="H311" s="9"/>
      <c r="I311" s="8"/>
      <c r="J311" s="8"/>
      <c r="K311" s="8"/>
      <c r="L311" s="9" t="s">
        <v>433</v>
      </c>
      <c r="M311" s="8"/>
    </row>
    <row r="312" spans="1:13">
      <c r="A312" s="18" t="s">
        <v>835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>
      <c r="A313" s="13" t="s">
        <v>836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292</v>
      </c>
      <c r="H313" s="9"/>
      <c r="I313" s="8"/>
      <c r="J313" s="8"/>
      <c r="K313" s="8"/>
      <c r="L313" s="8"/>
      <c r="M313" s="8"/>
    </row>
    <row r="314" spans="1:13">
      <c r="A314" s="15" t="s">
        <v>837</v>
      </c>
      <c r="B314" s="67">
        <v>56647751300</v>
      </c>
      <c r="C314" s="72" t="s">
        <v>838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>
      <c r="A315" s="71" t="s">
        <v>839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292</v>
      </c>
      <c r="H315" s="9"/>
      <c r="I315" s="8"/>
      <c r="J315" s="8"/>
      <c r="K315" s="8"/>
      <c r="L315" s="9" t="s">
        <v>433</v>
      </c>
      <c r="M315" s="8"/>
    </row>
    <row r="316" spans="1:13">
      <c r="A316" s="71" t="s">
        <v>840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>
      <c r="A317" s="71" t="s">
        <v>841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292</v>
      </c>
      <c r="H317" s="9"/>
      <c r="I317" s="8"/>
      <c r="J317" s="8"/>
      <c r="K317" s="8"/>
      <c r="L317" s="9">
        <v>1828</v>
      </c>
      <c r="M317" s="8"/>
    </row>
    <row r="318" spans="1:13">
      <c r="A318" s="13" t="s">
        <v>842</v>
      </c>
      <c r="B318" s="67">
        <v>42049249802</v>
      </c>
      <c r="C318" s="72" t="s">
        <v>843</v>
      </c>
      <c r="D318" s="69">
        <v>22669338844</v>
      </c>
      <c r="E318" s="9">
        <v>1267</v>
      </c>
      <c r="F318" s="25">
        <v>42998</v>
      </c>
      <c r="G318" s="70" t="s">
        <v>292</v>
      </c>
      <c r="H318" s="9"/>
      <c r="I318" s="8"/>
      <c r="J318" s="8"/>
      <c r="K318" s="8"/>
      <c r="L318" s="8"/>
      <c r="M318" s="8"/>
    </row>
    <row r="319" spans="1:13">
      <c r="A319" s="71" t="s">
        <v>844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292</v>
      </c>
      <c r="H319" s="9"/>
      <c r="I319" s="8"/>
      <c r="J319" s="8"/>
      <c r="K319" s="8"/>
      <c r="L319" s="8"/>
      <c r="M319" s="8"/>
    </row>
    <row r="320" spans="1:13">
      <c r="A320" s="14" t="s">
        <v>845</v>
      </c>
      <c r="B320" s="67">
        <v>1863847502</v>
      </c>
      <c r="C320" s="72" t="s">
        <v>846</v>
      </c>
      <c r="D320" s="69">
        <v>1636882579</v>
      </c>
      <c r="E320" s="9">
        <v>292</v>
      </c>
      <c r="F320" s="25">
        <v>43168</v>
      </c>
      <c r="G320" s="70" t="s">
        <v>292</v>
      </c>
      <c r="H320" s="9"/>
      <c r="I320" s="8"/>
      <c r="J320" s="8"/>
      <c r="K320" s="8"/>
      <c r="L320" s="9">
        <v>318</v>
      </c>
      <c r="M320" s="8"/>
    </row>
    <row r="321" spans="1:13">
      <c r="A321" s="18" t="s">
        <v>847</v>
      </c>
      <c r="B321" s="67">
        <v>24759459820</v>
      </c>
      <c r="C321" s="18" t="s">
        <v>848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>
      <c r="A322" s="71" t="s">
        <v>849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292</v>
      </c>
      <c r="H322" s="9"/>
      <c r="I322" s="8"/>
      <c r="J322" s="8"/>
      <c r="K322" s="8"/>
      <c r="L322" s="9" t="s">
        <v>671</v>
      </c>
      <c r="M322" s="8"/>
    </row>
    <row r="323" spans="1:13">
      <c r="A323" s="29" t="s">
        <v>850</v>
      </c>
      <c r="B323" s="67"/>
      <c r="C323" s="18" t="s">
        <v>402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>
      <c r="A324" s="13" t="s">
        <v>851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292</v>
      </c>
      <c r="H324" s="9"/>
      <c r="I324" s="8"/>
      <c r="J324" s="8"/>
      <c r="K324" s="8"/>
      <c r="L324" s="8"/>
      <c r="M324" s="8"/>
    </row>
    <row r="325" spans="1:13">
      <c r="A325" s="71" t="s">
        <v>852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>
      <c r="A326" s="71" t="s">
        <v>853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292</v>
      </c>
      <c r="H326" s="9"/>
      <c r="I326" s="8"/>
      <c r="J326" s="8"/>
      <c r="K326" s="8"/>
      <c r="L326" s="9">
        <v>318</v>
      </c>
      <c r="M326" s="8"/>
    </row>
    <row r="327" spans="1:13">
      <c r="A327" s="15" t="s">
        <v>854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>
      <c r="A328" s="15" t="s">
        <v>855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>
      <c r="A329" s="71" t="s">
        <v>856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292</v>
      </c>
      <c r="H329" s="9"/>
      <c r="I329" s="8"/>
      <c r="J329" s="8"/>
      <c r="K329" s="8"/>
      <c r="L329" s="8"/>
      <c r="M329" s="8"/>
    </row>
    <row r="330" spans="1:13">
      <c r="A330" s="71" t="s">
        <v>857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292</v>
      </c>
      <c r="H330" s="9"/>
      <c r="I330" s="8"/>
      <c r="J330" s="8"/>
      <c r="K330" s="8"/>
      <c r="L330" s="9">
        <v>318</v>
      </c>
      <c r="M330" s="8"/>
    </row>
    <row r="331" spans="1:13">
      <c r="A331" s="30" t="s">
        <v>858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292</v>
      </c>
      <c r="H331" s="9"/>
      <c r="I331" s="8"/>
      <c r="J331" s="8"/>
      <c r="K331" s="8"/>
      <c r="L331" s="8"/>
      <c r="M331" s="8"/>
    </row>
    <row r="332" spans="1:13">
      <c r="A332" s="71" t="s">
        <v>859</v>
      </c>
      <c r="B332" s="67">
        <v>43830821816</v>
      </c>
      <c r="C332" s="72" t="s">
        <v>860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>
      <c r="A333" s="15" t="s">
        <v>861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306</v>
      </c>
      <c r="H333" s="25">
        <v>43151</v>
      </c>
      <c r="I333" s="8"/>
      <c r="J333" s="8"/>
      <c r="K333" s="8"/>
      <c r="L333" s="8"/>
      <c r="M333" s="8"/>
    </row>
    <row r="334" spans="1:13">
      <c r="A334" s="13" t="s">
        <v>862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>
      <c r="A335" s="71" t="s">
        <v>863</v>
      </c>
      <c r="B335" s="67">
        <v>26501719879</v>
      </c>
      <c r="C335" s="75" t="s">
        <v>864</v>
      </c>
      <c r="D335" s="69">
        <v>26502973876</v>
      </c>
      <c r="E335" s="9">
        <v>1106</v>
      </c>
      <c r="F335" s="25">
        <v>42965</v>
      </c>
      <c r="G335" s="70" t="s">
        <v>292</v>
      </c>
      <c r="H335" s="9"/>
      <c r="I335" s="8"/>
      <c r="J335" s="8"/>
      <c r="K335" s="8"/>
      <c r="L335" s="8"/>
      <c r="M335" s="8"/>
    </row>
    <row r="336" spans="1:13">
      <c r="A336" s="13" t="s">
        <v>865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292</v>
      </c>
      <c r="H336" s="9"/>
      <c r="I336" s="8"/>
      <c r="J336" s="8"/>
      <c r="K336" s="8"/>
      <c r="L336" s="8"/>
      <c r="M336" s="8"/>
    </row>
    <row r="337" spans="1:13">
      <c r="A337" s="14" t="s">
        <v>866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>
      <c r="A338" s="71" t="s">
        <v>867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292</v>
      </c>
      <c r="H338" s="9"/>
      <c r="I338" s="8"/>
      <c r="J338" s="8"/>
      <c r="K338" s="8"/>
      <c r="L338" s="8"/>
      <c r="M338" s="8"/>
    </row>
    <row r="339" spans="1:13">
      <c r="A339" s="71" t="s">
        <v>868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>
      <c r="A340" s="71" t="s">
        <v>869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>
      <c r="A341" s="71" t="s">
        <v>870</v>
      </c>
      <c r="B341" s="67">
        <v>33603802829</v>
      </c>
      <c r="C341" s="72" t="s">
        <v>871</v>
      </c>
      <c r="D341" s="69">
        <v>26302620813</v>
      </c>
      <c r="E341" s="9">
        <v>1262</v>
      </c>
      <c r="F341" s="25">
        <v>42997</v>
      </c>
      <c r="G341" s="70" t="s">
        <v>292</v>
      </c>
      <c r="H341" s="9"/>
      <c r="I341" s="8"/>
      <c r="J341" s="8"/>
      <c r="K341" s="8"/>
      <c r="L341" s="8"/>
      <c r="M341" s="8"/>
    </row>
    <row r="342" spans="1:13">
      <c r="A342" s="13" t="s">
        <v>872</v>
      </c>
      <c r="B342" s="67">
        <v>23802013824</v>
      </c>
      <c r="C342" s="72" t="s">
        <v>873</v>
      </c>
      <c r="D342" s="69">
        <v>23099249890</v>
      </c>
      <c r="E342" s="9">
        <v>1489</v>
      </c>
      <c r="F342" s="25">
        <v>43038</v>
      </c>
      <c r="G342" s="70" t="s">
        <v>292</v>
      </c>
      <c r="H342" s="9"/>
      <c r="I342" s="8"/>
      <c r="J342" s="8"/>
      <c r="K342" s="8"/>
      <c r="L342" s="9" t="s">
        <v>433</v>
      </c>
      <c r="M342" s="8"/>
    </row>
    <row r="343" spans="1:13">
      <c r="A343" s="71" t="s">
        <v>874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>
      <c r="A344" s="71" t="s">
        <v>875</v>
      </c>
      <c r="B344" s="67">
        <v>39348497847</v>
      </c>
      <c r="C344" s="72" t="s">
        <v>876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>
      <c r="A345" s="72" t="s">
        <v>877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292</v>
      </c>
      <c r="H345" s="9"/>
      <c r="I345" s="8"/>
      <c r="J345" s="8"/>
      <c r="K345" s="8"/>
      <c r="L345" s="9" t="s">
        <v>433</v>
      </c>
      <c r="M345" s="8"/>
    </row>
    <row r="346" spans="1:13">
      <c r="A346" s="71" t="s">
        <v>878</v>
      </c>
      <c r="B346" s="67">
        <v>46102945832</v>
      </c>
      <c r="C346" s="72" t="s">
        <v>879</v>
      </c>
      <c r="D346" s="69">
        <v>48110319890</v>
      </c>
      <c r="E346" s="9">
        <v>262</v>
      </c>
      <c r="F346" s="25">
        <v>43160</v>
      </c>
      <c r="G346" s="70" t="s">
        <v>292</v>
      </c>
      <c r="H346" s="25">
        <v>43164</v>
      </c>
      <c r="I346" s="8"/>
      <c r="J346" s="8"/>
      <c r="K346" s="8"/>
      <c r="L346" s="9">
        <v>255</v>
      </c>
      <c r="M346" s="8"/>
    </row>
    <row r="347" spans="1:13">
      <c r="A347" s="71" t="s">
        <v>880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292</v>
      </c>
      <c r="H347" s="9"/>
      <c r="I347" s="8"/>
      <c r="J347" s="8"/>
      <c r="K347" s="8"/>
      <c r="L347" s="8"/>
      <c r="M347" s="8"/>
    </row>
    <row r="348" spans="1:13">
      <c r="A348" s="71" t="s">
        <v>881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>
      <c r="A349" s="71" t="s">
        <v>882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306</v>
      </c>
      <c r="H349" s="9"/>
      <c r="I349" s="8"/>
      <c r="J349" s="8"/>
      <c r="K349" s="8"/>
      <c r="L349" s="9">
        <v>232</v>
      </c>
      <c r="M349" s="8"/>
    </row>
    <row r="350" spans="1:13">
      <c r="A350" s="71" t="s">
        <v>883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292</v>
      </c>
      <c r="H350" s="9"/>
      <c r="I350" s="8"/>
      <c r="J350" s="8"/>
      <c r="K350" s="8"/>
      <c r="L350" s="9">
        <v>318</v>
      </c>
      <c r="M350" s="8"/>
    </row>
    <row r="351" spans="1:13">
      <c r="A351" s="72" t="s">
        <v>884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>
      <c r="A352" s="13" t="s">
        <v>885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292</v>
      </c>
      <c r="H352" s="9"/>
      <c r="I352" s="8"/>
      <c r="J352" s="8"/>
      <c r="K352" s="8"/>
      <c r="L352" s="8"/>
      <c r="M352" s="8"/>
    </row>
    <row r="353" spans="1:13">
      <c r="A353" s="13" t="s">
        <v>886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292</v>
      </c>
      <c r="H353" s="9"/>
      <c r="I353" s="8"/>
      <c r="J353" s="8"/>
      <c r="K353" s="8"/>
      <c r="L353" s="9" t="s">
        <v>526</v>
      </c>
      <c r="M353" s="8"/>
    </row>
    <row r="354" spans="1:13">
      <c r="A354" s="15" t="s">
        <v>887</v>
      </c>
      <c r="B354" s="67">
        <v>37738978805</v>
      </c>
      <c r="C354" s="15" t="s">
        <v>888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>
      <c r="A355" s="71" t="s">
        <v>889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>
      <c r="A356" s="15" t="s">
        <v>890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>
      <c r="A357" s="14" t="s">
        <v>891</v>
      </c>
      <c r="B357" s="67">
        <v>37439665813</v>
      </c>
      <c r="C357" s="72" t="s">
        <v>892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572</v>
      </c>
      <c r="M357" s="8"/>
    </row>
    <row r="358" spans="1:13">
      <c r="A358" s="15" t="s">
        <v>893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>
      <c r="A359" s="14" t="s">
        <v>894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>
      <c r="A360" s="13" t="s">
        <v>895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292</v>
      </c>
      <c r="H360" s="9"/>
      <c r="I360" s="8"/>
      <c r="J360" s="8"/>
      <c r="K360" s="8"/>
      <c r="L360" s="9" t="s">
        <v>775</v>
      </c>
      <c r="M360" s="8"/>
    </row>
    <row r="361" spans="1:13">
      <c r="A361" s="15" t="s">
        <v>896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>
      <c r="A362" s="14" t="s">
        <v>897</v>
      </c>
      <c r="B362" s="67">
        <v>39263170860</v>
      </c>
      <c r="C362" s="72" t="s">
        <v>898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>
      <c r="A363" s="71" t="s">
        <v>899</v>
      </c>
      <c r="B363" s="67">
        <v>17803665829</v>
      </c>
      <c r="C363" s="72" t="s">
        <v>900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>
      <c r="A364" s="71" t="s">
        <v>901</v>
      </c>
      <c r="B364" s="67">
        <v>39996489884</v>
      </c>
      <c r="C364" s="72" t="s">
        <v>902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>
      <c r="A365" s="15" t="s">
        <v>903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292</v>
      </c>
      <c r="H365" s="25">
        <v>43151</v>
      </c>
      <c r="I365" s="8"/>
      <c r="J365" s="8"/>
      <c r="K365" s="8"/>
      <c r="L365" s="8"/>
      <c r="M365" s="8"/>
    </row>
    <row r="366" spans="1:13">
      <c r="A366" s="15" t="s">
        <v>904</v>
      </c>
      <c r="B366" s="67">
        <v>36210371876</v>
      </c>
      <c r="C366" s="72" t="s">
        <v>905</v>
      </c>
      <c r="D366" s="69">
        <v>32340716837</v>
      </c>
      <c r="E366" s="9">
        <v>229</v>
      </c>
      <c r="F366" s="25">
        <v>43151</v>
      </c>
      <c r="G366" s="70" t="s">
        <v>292</v>
      </c>
      <c r="H366" s="9"/>
      <c r="I366" s="8"/>
      <c r="J366" s="8"/>
      <c r="K366" s="8"/>
      <c r="L366" s="9">
        <v>232</v>
      </c>
      <c r="M366" s="8"/>
    </row>
    <row r="367" spans="1:13">
      <c r="A367" s="73" t="s">
        <v>906</v>
      </c>
      <c r="B367" s="67">
        <v>42016007850</v>
      </c>
      <c r="C367" s="72" t="s">
        <v>907</v>
      </c>
      <c r="D367" s="69">
        <v>35228090843</v>
      </c>
      <c r="E367" s="9">
        <v>810</v>
      </c>
      <c r="F367" s="25">
        <v>42915</v>
      </c>
      <c r="G367" s="70" t="s">
        <v>292</v>
      </c>
      <c r="H367" s="9"/>
      <c r="I367" s="8"/>
      <c r="J367" s="8"/>
      <c r="K367" s="8"/>
      <c r="L367" s="9" t="s">
        <v>411</v>
      </c>
      <c r="M367" s="8"/>
    </row>
    <row r="368" spans="1:13">
      <c r="A368" s="14" t="s">
        <v>908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292</v>
      </c>
      <c r="H368" s="9"/>
      <c r="I368" s="8"/>
      <c r="J368" s="8"/>
      <c r="K368" s="8"/>
      <c r="L368" s="9">
        <v>318</v>
      </c>
      <c r="M368" s="8"/>
    </row>
    <row r="369" spans="1:13">
      <c r="A369" s="71" t="s">
        <v>909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292</v>
      </c>
      <c r="H369" s="9"/>
      <c r="I369" s="8"/>
      <c r="J369" s="8"/>
      <c r="K369" s="8"/>
      <c r="L369" s="9">
        <v>1759</v>
      </c>
      <c r="M369" s="8"/>
    </row>
    <row r="370" spans="1:13">
      <c r="A370" s="71" t="s">
        <v>910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292</v>
      </c>
      <c r="H370" s="9"/>
      <c r="I370" s="8"/>
      <c r="J370" s="8"/>
      <c r="K370" s="8"/>
      <c r="L370" s="9">
        <v>318</v>
      </c>
      <c r="M370" s="8"/>
    </row>
    <row r="371" spans="1:13">
      <c r="A371" s="29" t="s">
        <v>911</v>
      </c>
      <c r="B371" s="67">
        <v>34350558802</v>
      </c>
      <c r="C371" s="18" t="s">
        <v>912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>
      <c r="A372" s="71" t="s">
        <v>913</v>
      </c>
      <c r="B372" s="67">
        <v>41502336839</v>
      </c>
      <c r="C372" s="77" t="s">
        <v>914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>
      <c r="A373" s="14" t="s">
        <v>915</v>
      </c>
      <c r="B373" s="67">
        <v>38156943880</v>
      </c>
      <c r="C373" s="72" t="s">
        <v>916</v>
      </c>
      <c r="D373" s="69">
        <v>35830934884</v>
      </c>
      <c r="E373" s="9">
        <v>262</v>
      </c>
      <c r="F373" s="25">
        <v>43160</v>
      </c>
      <c r="G373" s="70" t="s">
        <v>292</v>
      </c>
      <c r="H373" s="25">
        <v>43164</v>
      </c>
      <c r="I373" s="8"/>
      <c r="J373" s="8"/>
      <c r="K373" s="8"/>
      <c r="L373" s="9">
        <v>255</v>
      </c>
      <c r="M373" s="8"/>
    </row>
    <row r="374" spans="1:13">
      <c r="A374" s="71" t="s">
        <v>917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292</v>
      </c>
      <c r="H374" s="9"/>
      <c r="I374" s="8"/>
      <c r="J374" s="8"/>
      <c r="K374" s="8"/>
      <c r="L374" s="9" t="s">
        <v>411</v>
      </c>
      <c r="M374" s="8"/>
    </row>
    <row r="375" spans="1:13">
      <c r="A375" s="71" t="s">
        <v>918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292</v>
      </c>
      <c r="H375" s="9"/>
      <c r="I375" s="8"/>
      <c r="J375" s="8"/>
      <c r="K375" s="8"/>
      <c r="L375" s="8"/>
      <c r="M375" s="8"/>
    </row>
    <row r="376" spans="1:13">
      <c r="A376" s="71" t="s">
        <v>919</v>
      </c>
      <c r="B376" s="67" t="s">
        <v>920</v>
      </c>
      <c r="C376" s="73" t="s">
        <v>921</v>
      </c>
      <c r="D376" s="69" t="s">
        <v>922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>
      <c r="A377" s="73" t="s">
        <v>923</v>
      </c>
      <c r="B377" s="67">
        <v>41104888858</v>
      </c>
      <c r="C377" s="72" t="s">
        <v>924</v>
      </c>
      <c r="D377" s="69">
        <v>35714357884</v>
      </c>
      <c r="E377" s="9">
        <v>810</v>
      </c>
      <c r="F377" s="25">
        <v>42915</v>
      </c>
      <c r="G377" s="70" t="s">
        <v>292</v>
      </c>
      <c r="H377" s="9"/>
      <c r="I377" s="8"/>
      <c r="J377" s="8"/>
      <c r="K377" s="8"/>
      <c r="L377" s="9" t="s">
        <v>411</v>
      </c>
      <c r="M377" s="8"/>
    </row>
    <row r="378" spans="1:13">
      <c r="A378" s="71" t="s">
        <v>925</v>
      </c>
      <c r="B378" s="67">
        <v>34954516846</v>
      </c>
      <c r="C378" s="72" t="s">
        <v>926</v>
      </c>
      <c r="D378" s="69">
        <v>18356312825</v>
      </c>
      <c r="E378" s="9">
        <v>1824</v>
      </c>
      <c r="F378" s="25">
        <v>43091</v>
      </c>
      <c r="G378" s="70" t="s">
        <v>306</v>
      </c>
      <c r="H378" s="9"/>
      <c r="I378" s="8"/>
      <c r="J378" s="8"/>
      <c r="K378" s="8"/>
      <c r="L378" s="9">
        <v>1828</v>
      </c>
      <c r="M378" s="8"/>
    </row>
    <row r="379" spans="1:13">
      <c r="A379" s="29" t="s">
        <v>927</v>
      </c>
      <c r="B379" s="67"/>
      <c r="C379" s="29" t="s">
        <v>928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>
      <c r="A380" s="71" t="s">
        <v>929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292</v>
      </c>
      <c r="H380" s="9"/>
      <c r="I380" s="8"/>
      <c r="J380" s="8"/>
      <c r="K380" s="8"/>
      <c r="L380" s="8"/>
      <c r="M380" s="8"/>
    </row>
    <row r="381" spans="1:13">
      <c r="A381" s="13" t="s">
        <v>930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292</v>
      </c>
      <c r="H381" s="9"/>
      <c r="I381" s="8"/>
      <c r="J381" s="8"/>
      <c r="K381" s="8"/>
      <c r="L381" s="9" t="s">
        <v>433</v>
      </c>
      <c r="M381" s="8"/>
    </row>
    <row r="382" spans="1:13">
      <c r="A382" s="71" t="s">
        <v>931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>
      <c r="A383" s="71" t="s">
        <v>932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292</v>
      </c>
      <c r="H383" s="9"/>
      <c r="I383" s="8"/>
      <c r="J383" s="8"/>
      <c r="K383" s="8"/>
      <c r="L383" s="9">
        <v>318</v>
      </c>
      <c r="M383" s="8"/>
    </row>
    <row r="384" spans="1:13">
      <c r="A384" s="71" t="s">
        <v>933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292</v>
      </c>
      <c r="H384" s="9"/>
      <c r="I384" s="8"/>
      <c r="J384" s="8"/>
      <c r="K384" s="8"/>
      <c r="L384" s="9" t="s">
        <v>433</v>
      </c>
      <c r="M384" s="8"/>
    </row>
    <row r="385" spans="1:13">
      <c r="A385" s="15" t="s">
        <v>934</v>
      </c>
      <c r="B385" s="67">
        <v>33239238802</v>
      </c>
      <c r="C385" s="72" t="s">
        <v>935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>
      <c r="A386" s="71" t="s">
        <v>936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>
      <c r="A387" s="71" t="s">
        <v>937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292</v>
      </c>
      <c r="H387" s="9"/>
      <c r="I387" s="8"/>
      <c r="J387" s="8"/>
      <c r="K387" s="8"/>
      <c r="L387" s="8"/>
      <c r="M387" s="8"/>
    </row>
    <row r="388" spans="1:13">
      <c r="A388" s="71" t="s">
        <v>938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298</v>
      </c>
      <c r="H388" s="9"/>
      <c r="I388" s="8"/>
      <c r="J388" s="8"/>
      <c r="K388" s="8"/>
      <c r="L388" s="9">
        <v>318</v>
      </c>
      <c r="M388" s="8"/>
    </row>
    <row r="389" spans="1:13">
      <c r="A389" s="71" t="s">
        <v>939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292</v>
      </c>
      <c r="H389" s="9"/>
      <c r="I389" s="8"/>
      <c r="J389" s="8"/>
      <c r="K389" s="8"/>
      <c r="L389" s="9">
        <v>1759</v>
      </c>
      <c r="M389" s="8"/>
    </row>
    <row r="390" spans="1:13">
      <c r="A390" s="14" t="s">
        <v>940</v>
      </c>
      <c r="B390" s="67">
        <v>13486189816</v>
      </c>
      <c r="C390" s="72" t="s">
        <v>941</v>
      </c>
      <c r="D390" s="69">
        <v>15745057858</v>
      </c>
      <c r="E390" s="9">
        <v>262</v>
      </c>
      <c r="F390" s="25">
        <v>43160</v>
      </c>
      <c r="G390" s="70" t="s">
        <v>292</v>
      </c>
      <c r="H390" s="25">
        <v>43164</v>
      </c>
      <c r="I390" s="8"/>
      <c r="J390" s="8"/>
      <c r="K390" s="8"/>
      <c r="L390" s="9">
        <v>255</v>
      </c>
      <c r="M390" s="8"/>
    </row>
    <row r="391" spans="1:13">
      <c r="A391" s="13" t="s">
        <v>942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292</v>
      </c>
      <c r="H391" s="9"/>
      <c r="I391" s="8"/>
      <c r="J391" s="8"/>
      <c r="K391" s="8"/>
      <c r="L391" s="9">
        <v>1828</v>
      </c>
      <c r="M391" s="8"/>
    </row>
    <row r="392" spans="1:13">
      <c r="A392" s="71" t="s">
        <v>943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292</v>
      </c>
      <c r="H392" s="9"/>
      <c r="I392" s="8"/>
      <c r="J392" s="8"/>
      <c r="K392" s="8"/>
      <c r="L392" s="8"/>
      <c r="M392" s="8"/>
    </row>
    <row r="393" spans="1:13">
      <c r="A393" s="71" t="s">
        <v>944</v>
      </c>
      <c r="B393" s="67">
        <v>29672702884</v>
      </c>
      <c r="C393" s="72" t="s">
        <v>945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>
      <c r="A394" s="29" t="s">
        <v>946</v>
      </c>
      <c r="B394" s="67"/>
      <c r="C394" s="29" t="s">
        <v>402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>
      <c r="A395" s="71" t="s">
        <v>947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292</v>
      </c>
      <c r="H395" s="9"/>
      <c r="I395" s="8"/>
      <c r="J395" s="8"/>
      <c r="K395" s="8"/>
      <c r="L395" s="8"/>
      <c r="M395" s="8"/>
    </row>
    <row r="396" spans="1:13">
      <c r="A396" s="15" t="s">
        <v>948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292</v>
      </c>
      <c r="H396" s="9"/>
      <c r="I396" s="8"/>
      <c r="J396" s="8"/>
      <c r="K396" s="8"/>
      <c r="L396" s="9" t="s">
        <v>443</v>
      </c>
      <c r="M396" s="8"/>
    </row>
    <row r="397" spans="1:13">
      <c r="A397" s="15" t="s">
        <v>949</v>
      </c>
      <c r="B397" s="67">
        <v>7030224582</v>
      </c>
      <c r="C397" s="72" t="s">
        <v>950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>
      <c r="A398" s="71" t="s">
        <v>951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292</v>
      </c>
      <c r="H398" s="9"/>
      <c r="I398" s="8"/>
      <c r="J398" s="8"/>
      <c r="K398" s="8"/>
      <c r="L398" s="8"/>
      <c r="M398" s="8"/>
    </row>
    <row r="399" spans="1:13">
      <c r="A399" s="72" t="s">
        <v>952</v>
      </c>
      <c r="B399" s="67">
        <v>39783437895</v>
      </c>
      <c r="C399" s="72" t="s">
        <v>953</v>
      </c>
      <c r="D399" s="69">
        <v>12062296754</v>
      </c>
      <c r="E399" s="9">
        <v>292</v>
      </c>
      <c r="F399" s="25">
        <v>43168</v>
      </c>
      <c r="G399" s="9" t="s">
        <v>292</v>
      </c>
      <c r="H399" s="9"/>
      <c r="I399" s="8"/>
      <c r="J399" s="8"/>
      <c r="K399" s="8"/>
      <c r="L399" s="9">
        <v>318</v>
      </c>
      <c r="M399" s="8"/>
    </row>
    <row r="400" spans="1:13">
      <c r="A400" s="15" t="s">
        <v>954</v>
      </c>
      <c r="B400" s="67">
        <v>41759713864</v>
      </c>
      <c r="C400" s="72" t="s">
        <v>955</v>
      </c>
      <c r="D400" s="69">
        <v>38653116877</v>
      </c>
      <c r="E400" s="9">
        <v>1824</v>
      </c>
      <c r="F400" s="25">
        <v>43091</v>
      </c>
      <c r="G400" s="70" t="s">
        <v>292</v>
      </c>
      <c r="H400" s="9"/>
      <c r="I400" s="8"/>
      <c r="J400" s="8"/>
      <c r="K400" s="8"/>
      <c r="L400" s="9">
        <v>1828</v>
      </c>
      <c r="M400" s="8"/>
    </row>
    <row r="401" spans="1:13">
      <c r="A401" s="14" t="s">
        <v>956</v>
      </c>
      <c r="B401" s="67">
        <v>37686754839</v>
      </c>
      <c r="C401" s="72" t="s">
        <v>957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>
      <c r="A402" s="29" t="s">
        <v>958</v>
      </c>
      <c r="B402" s="67"/>
      <c r="C402" s="29" t="s">
        <v>959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>
      <c r="A403" s="71" t="s">
        <v>960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292</v>
      </c>
      <c r="H403" s="9"/>
      <c r="I403" s="8"/>
      <c r="J403" s="8"/>
      <c r="K403" s="8"/>
      <c r="L403" s="8"/>
      <c r="M403" s="8"/>
    </row>
    <row r="404" spans="1:13">
      <c r="A404" s="71" t="s">
        <v>961</v>
      </c>
      <c r="B404" s="67">
        <v>44864217874</v>
      </c>
      <c r="C404" s="72" t="s">
        <v>962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>
      <c r="A405" s="14" t="s">
        <v>963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292</v>
      </c>
      <c r="H405" s="9"/>
      <c r="I405" s="8"/>
      <c r="J405" s="8"/>
      <c r="K405" s="8"/>
      <c r="L405" s="9" t="s">
        <v>526</v>
      </c>
      <c r="M405" s="8"/>
    </row>
    <row r="406" spans="1:13">
      <c r="A406" s="15" t="s">
        <v>964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292</v>
      </c>
      <c r="H406" s="9"/>
      <c r="I406" s="8"/>
      <c r="J406" s="8"/>
      <c r="K406" s="8"/>
      <c r="L406" s="9" t="s">
        <v>443</v>
      </c>
      <c r="M406" s="8"/>
    </row>
    <row r="407" spans="1:13">
      <c r="A407" s="13" t="s">
        <v>965</v>
      </c>
      <c r="B407" s="67">
        <v>1329442512</v>
      </c>
      <c r="C407" s="68" t="s">
        <v>966</v>
      </c>
      <c r="D407" s="69">
        <v>1320825516</v>
      </c>
      <c r="E407" s="9">
        <v>1214</v>
      </c>
      <c r="F407" s="25">
        <v>42989</v>
      </c>
      <c r="G407" s="70" t="s">
        <v>292</v>
      </c>
      <c r="H407" s="9"/>
      <c r="I407" s="8"/>
      <c r="J407" s="8"/>
      <c r="K407" s="8"/>
      <c r="L407" s="8"/>
      <c r="M407" s="8"/>
    </row>
    <row r="408" spans="1:13">
      <c r="A408" s="71" t="s">
        <v>967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>
      <c r="A409" s="71" t="s">
        <v>968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>
      <c r="A410" s="29" t="s">
        <v>969</v>
      </c>
      <c r="B410" s="67"/>
      <c r="C410" s="29" t="s">
        <v>402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>
      <c r="A411" s="71" t="s">
        <v>970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292</v>
      </c>
      <c r="H411" s="9"/>
      <c r="I411" s="8"/>
      <c r="J411" s="8"/>
      <c r="K411" s="8"/>
      <c r="L411" s="8"/>
      <c r="M411" s="8"/>
    </row>
    <row r="412" spans="1:13">
      <c r="A412" s="71" t="s">
        <v>971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292</v>
      </c>
      <c r="H412" s="9"/>
      <c r="I412" s="8"/>
      <c r="J412" s="8"/>
      <c r="K412" s="8"/>
      <c r="L412" s="9">
        <v>318</v>
      </c>
      <c r="M412" s="8"/>
    </row>
    <row r="413" spans="1:13">
      <c r="A413" s="71" t="s">
        <v>972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>
      <c r="A414" s="13" t="s">
        <v>973</v>
      </c>
      <c r="B414" s="67">
        <v>93440340520</v>
      </c>
      <c r="C414" s="68" t="s">
        <v>974</v>
      </c>
      <c r="D414" s="69">
        <v>8858333845</v>
      </c>
      <c r="E414" s="9">
        <v>1267</v>
      </c>
      <c r="F414" s="25">
        <v>42998</v>
      </c>
      <c r="G414" s="70" t="s">
        <v>292</v>
      </c>
      <c r="H414" s="9"/>
      <c r="I414" s="8"/>
      <c r="J414" s="8"/>
      <c r="K414" s="8"/>
      <c r="L414" s="8"/>
      <c r="M414" s="8"/>
    </row>
    <row r="415" spans="1:13">
      <c r="A415" s="29" t="s">
        <v>975</v>
      </c>
      <c r="B415" s="67">
        <v>21947877801</v>
      </c>
      <c r="C415" s="29" t="s">
        <v>976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>
      <c r="A416" s="71" t="s">
        <v>977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292</v>
      </c>
      <c r="H416" s="9"/>
      <c r="I416" s="8"/>
      <c r="J416" s="8"/>
      <c r="K416" s="8"/>
      <c r="L416" s="8"/>
      <c r="M416" s="8"/>
    </row>
    <row r="417" spans="1:13">
      <c r="A417" s="71" t="s">
        <v>978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292</v>
      </c>
      <c r="H417" s="9"/>
      <c r="I417" s="8"/>
      <c r="J417" s="8"/>
      <c r="K417" s="8"/>
      <c r="L417" s="9">
        <v>1759</v>
      </c>
      <c r="M417" s="8"/>
    </row>
    <row r="418" spans="1:13">
      <c r="A418" s="15" t="s">
        <v>979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292</v>
      </c>
      <c r="H418" s="9"/>
      <c r="I418" s="8"/>
      <c r="J418" s="8"/>
      <c r="K418" s="8"/>
      <c r="L418" s="9">
        <v>1828</v>
      </c>
      <c r="M418" s="8"/>
    </row>
    <row r="419" spans="1:13">
      <c r="A419" s="71" t="s">
        <v>980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292</v>
      </c>
      <c r="H419" s="25">
        <v>43151</v>
      </c>
      <c r="I419" s="8"/>
      <c r="J419" s="8"/>
      <c r="K419" s="8"/>
      <c r="L419" s="8"/>
      <c r="M419" s="8"/>
    </row>
    <row r="420" spans="1:13">
      <c r="A420" s="13" t="s">
        <v>981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292</v>
      </c>
      <c r="H420" s="9"/>
      <c r="I420" s="8"/>
      <c r="J420" s="8"/>
      <c r="K420" s="8"/>
      <c r="L420" s="9">
        <v>1828</v>
      </c>
      <c r="M420" s="8"/>
    </row>
    <row r="421" spans="1:13">
      <c r="A421" s="18" t="s">
        <v>982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>
      <c r="A422" s="71" t="s">
        <v>983</v>
      </c>
      <c r="B422" s="67">
        <v>11163355810</v>
      </c>
      <c r="C422" s="72" t="s">
        <v>984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>
      <c r="A423" s="13" t="s">
        <v>985</v>
      </c>
      <c r="B423" s="67">
        <v>12870537859</v>
      </c>
      <c r="C423" s="72" t="s">
        <v>986</v>
      </c>
      <c r="D423" s="69">
        <v>59856912849</v>
      </c>
      <c r="E423" s="9">
        <v>1417</v>
      </c>
      <c r="F423" s="25">
        <v>43017</v>
      </c>
      <c r="G423" s="70" t="s">
        <v>292</v>
      </c>
      <c r="H423" s="9"/>
      <c r="I423" s="8"/>
      <c r="J423" s="8"/>
      <c r="K423" s="8"/>
      <c r="L423" s="9" t="s">
        <v>526</v>
      </c>
      <c r="M423" s="8"/>
    </row>
    <row r="424" spans="1:13">
      <c r="A424" s="14" t="s">
        <v>987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292</v>
      </c>
      <c r="H424" s="25">
        <v>43164</v>
      </c>
      <c r="I424" s="8"/>
      <c r="J424" s="8"/>
      <c r="K424" s="8"/>
      <c r="L424" s="9">
        <v>255</v>
      </c>
      <c r="M424" s="8"/>
    </row>
    <row r="425" spans="1:13">
      <c r="A425" s="18" t="s">
        <v>988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>
      <c r="A426" s="15" t="s">
        <v>989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292</v>
      </c>
      <c r="H426" s="25">
        <v>43151</v>
      </c>
      <c r="I426" s="8"/>
      <c r="J426" s="8"/>
      <c r="K426" s="8"/>
      <c r="L426" s="8"/>
      <c r="M426" s="8"/>
    </row>
    <row r="427" spans="1:13">
      <c r="A427" s="71" t="s">
        <v>990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292</v>
      </c>
      <c r="H427" s="9"/>
      <c r="I427" s="8"/>
      <c r="J427" s="8"/>
      <c r="K427" s="8"/>
      <c r="L427" s="8"/>
      <c r="M427" s="8"/>
    </row>
    <row r="428" spans="1:13">
      <c r="A428" s="15" t="s">
        <v>991</v>
      </c>
      <c r="B428" s="67">
        <v>34133269888</v>
      </c>
      <c r="C428" s="72" t="s">
        <v>992</v>
      </c>
      <c r="D428" s="69">
        <v>35360635860</v>
      </c>
      <c r="E428" s="9">
        <v>1824</v>
      </c>
      <c r="F428" s="25">
        <v>43091</v>
      </c>
      <c r="G428" s="70" t="s">
        <v>292</v>
      </c>
      <c r="H428" s="9"/>
      <c r="I428" s="8"/>
      <c r="J428" s="8"/>
      <c r="K428" s="8"/>
      <c r="L428" s="9">
        <v>1828</v>
      </c>
      <c r="M428" s="8"/>
    </row>
    <row r="429" spans="1:13">
      <c r="A429" s="14" t="s">
        <v>993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292</v>
      </c>
      <c r="H429" s="25">
        <v>43164</v>
      </c>
      <c r="I429" s="8"/>
      <c r="J429" s="8"/>
      <c r="K429" s="8"/>
      <c r="L429" s="9">
        <v>255</v>
      </c>
      <c r="M429" s="8"/>
    </row>
    <row r="430" spans="1:13">
      <c r="A430" s="15" t="s">
        <v>994</v>
      </c>
      <c r="B430" s="67">
        <v>26370314846</v>
      </c>
      <c r="C430" s="72" t="s">
        <v>995</v>
      </c>
      <c r="D430" s="69">
        <v>26923862809</v>
      </c>
      <c r="E430" s="9">
        <v>117</v>
      </c>
      <c r="F430" s="25">
        <v>43117</v>
      </c>
      <c r="G430" s="70" t="s">
        <v>292</v>
      </c>
      <c r="H430" s="9"/>
      <c r="I430" s="8"/>
      <c r="J430" s="8"/>
      <c r="K430" s="8"/>
      <c r="L430" s="9" t="s">
        <v>443</v>
      </c>
      <c r="M430" s="8"/>
    </row>
    <row r="431" spans="1:13">
      <c r="A431" s="71" t="s">
        <v>996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>
      <c r="A432" s="13" t="s">
        <v>997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292</v>
      </c>
      <c r="H432" s="9"/>
      <c r="I432" s="8"/>
      <c r="J432" s="8"/>
      <c r="K432" s="8"/>
      <c r="L432" s="8"/>
      <c r="M432" s="8"/>
    </row>
    <row r="433" spans="1:13">
      <c r="A433" s="71" t="s">
        <v>998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292</v>
      </c>
      <c r="H433" s="9"/>
      <c r="I433" s="8"/>
      <c r="J433" s="8"/>
      <c r="K433" s="8"/>
      <c r="L433" s="9">
        <v>318</v>
      </c>
      <c r="M433" s="8"/>
    </row>
    <row r="434" spans="1:13">
      <c r="A434" s="13" t="s">
        <v>999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292</v>
      </c>
      <c r="H434" s="9"/>
      <c r="I434" s="8"/>
      <c r="J434" s="8"/>
      <c r="K434" s="8"/>
      <c r="L434" s="8"/>
      <c r="M434" s="8"/>
    </row>
    <row r="435" spans="1:13">
      <c r="A435" s="71" t="s">
        <v>1000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292</v>
      </c>
      <c r="H435" s="9"/>
      <c r="I435" s="8"/>
      <c r="J435" s="8"/>
      <c r="K435" s="8"/>
      <c r="L435" s="9">
        <v>1759</v>
      </c>
      <c r="M435" s="8"/>
    </row>
    <row r="436" spans="1:13">
      <c r="A436" s="29" t="s">
        <v>1001</v>
      </c>
      <c r="B436" s="67"/>
      <c r="C436" s="29" t="s">
        <v>402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>
      <c r="A437" s="71" t="s">
        <v>1002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306</v>
      </c>
      <c r="H437" s="9"/>
      <c r="I437" s="8"/>
      <c r="J437" s="8"/>
      <c r="K437" s="8"/>
      <c r="L437" s="9" t="s">
        <v>443</v>
      </c>
      <c r="M437" s="8"/>
    </row>
    <row r="438" spans="1:13">
      <c r="A438" s="71" t="s">
        <v>1003</v>
      </c>
      <c r="B438" s="67">
        <v>28413241847</v>
      </c>
      <c r="C438" s="72" t="s">
        <v>1004</v>
      </c>
      <c r="D438" s="69">
        <v>14661915895</v>
      </c>
      <c r="E438" s="9">
        <v>810</v>
      </c>
      <c r="F438" s="25">
        <v>42915</v>
      </c>
      <c r="G438" s="70" t="s">
        <v>292</v>
      </c>
      <c r="H438" s="9"/>
      <c r="I438" s="8"/>
      <c r="J438" s="8"/>
      <c r="K438" s="8"/>
      <c r="L438" s="9" t="s">
        <v>411</v>
      </c>
      <c r="M438" s="8"/>
    </row>
    <row r="439" spans="1:13">
      <c r="A439" s="15" t="s">
        <v>1005</v>
      </c>
      <c r="B439" s="67">
        <v>12898733806</v>
      </c>
      <c r="C439" s="72" t="s">
        <v>1006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>
      <c r="A440" s="72" t="s">
        <v>1007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292</v>
      </c>
      <c r="H440" s="9"/>
      <c r="I440" s="8"/>
      <c r="J440" s="8"/>
      <c r="K440" s="8"/>
      <c r="L440" s="9">
        <v>318</v>
      </c>
      <c r="M440" s="8"/>
    </row>
    <row r="441" spans="1:13">
      <c r="A441" s="71" t="s">
        <v>1008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>
      <c r="A442" s="29" t="s">
        <v>1009</v>
      </c>
      <c r="B442" s="67">
        <v>667192328</v>
      </c>
      <c r="C442" s="29" t="s">
        <v>1010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>
      <c r="A443" s="71" t="s">
        <v>1011</v>
      </c>
      <c r="B443" s="67">
        <v>3474339443</v>
      </c>
      <c r="C443" s="72" t="s">
        <v>1012</v>
      </c>
      <c r="D443" s="69">
        <v>58073604515</v>
      </c>
      <c r="E443" s="9">
        <v>810</v>
      </c>
      <c r="F443" s="25">
        <v>42915</v>
      </c>
      <c r="G443" s="70" t="s">
        <v>292</v>
      </c>
      <c r="H443" s="9"/>
      <c r="I443" s="8"/>
      <c r="J443" s="8"/>
      <c r="K443" s="8"/>
      <c r="L443" s="9" t="s">
        <v>411</v>
      </c>
      <c r="M443" s="8"/>
    </row>
    <row r="444" spans="1:13">
      <c r="A444" s="71" t="s">
        <v>1013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292</v>
      </c>
      <c r="H444" s="9"/>
      <c r="I444" s="8"/>
      <c r="J444" s="8"/>
      <c r="K444" s="8"/>
      <c r="L444" s="8"/>
      <c r="M444" s="8"/>
    </row>
    <row r="445" spans="1:13">
      <c r="A445" s="14" t="s">
        <v>1014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>
      <c r="A446" s="71" t="s">
        <v>1015</v>
      </c>
      <c r="B446" s="67">
        <v>70014140349</v>
      </c>
      <c r="C446" s="72" t="s">
        <v>1016</v>
      </c>
      <c r="D446" s="69">
        <v>16412436863</v>
      </c>
      <c r="E446" s="9">
        <v>1262</v>
      </c>
      <c r="F446" s="25">
        <v>42997</v>
      </c>
      <c r="G446" s="70" t="s">
        <v>292</v>
      </c>
      <c r="H446" s="9"/>
      <c r="I446" s="8"/>
      <c r="J446" s="8"/>
      <c r="K446" s="8"/>
      <c r="L446" s="8"/>
      <c r="M446" s="8"/>
    </row>
    <row r="447" spans="1:13">
      <c r="A447" s="71" t="s">
        <v>1017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>
      <c r="A448" s="73" t="s">
        <v>1018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292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>
      <c r="A449" s="29" t="s">
        <v>1019</v>
      </c>
      <c r="B449" s="67">
        <v>42230945807</v>
      </c>
      <c r="C449" s="29" t="s">
        <v>1020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>
      <c r="A450" s="71" t="s">
        <v>1021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292</v>
      </c>
      <c r="H450" s="25">
        <v>43164</v>
      </c>
      <c r="I450" s="8"/>
      <c r="J450" s="8"/>
      <c r="K450" s="8"/>
      <c r="L450" s="9">
        <v>255</v>
      </c>
      <c r="M450" s="8"/>
    </row>
    <row r="451" spans="1:13">
      <c r="A451" s="13" t="s">
        <v>1022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292</v>
      </c>
      <c r="H451" s="9"/>
      <c r="I451" s="8"/>
      <c r="J451" s="8"/>
      <c r="K451" s="8"/>
      <c r="L451" s="8"/>
      <c r="M451" s="8"/>
    </row>
    <row r="452" spans="1:13">
      <c r="A452" s="13" t="s">
        <v>1023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292</v>
      </c>
      <c r="H452" s="9"/>
      <c r="I452" s="8"/>
      <c r="J452" s="8"/>
      <c r="K452" s="8"/>
      <c r="L452" s="9" t="s">
        <v>433</v>
      </c>
      <c r="M452" s="8"/>
    </row>
    <row r="453" spans="1:13">
      <c r="A453" s="71" t="s">
        <v>1024</v>
      </c>
      <c r="B453" s="67">
        <v>7380335456</v>
      </c>
      <c r="C453" s="72" t="s">
        <v>1025</v>
      </c>
      <c r="D453" s="69">
        <v>7548744439</v>
      </c>
      <c r="E453" s="9">
        <v>810</v>
      </c>
      <c r="F453" s="25">
        <v>42915</v>
      </c>
      <c r="G453" s="70" t="s">
        <v>292</v>
      </c>
      <c r="H453" s="9"/>
      <c r="I453" s="8"/>
      <c r="J453" s="8"/>
      <c r="K453" s="8"/>
      <c r="L453" s="9" t="s">
        <v>411</v>
      </c>
      <c r="M453" s="8"/>
    </row>
    <row r="454" spans="1:13">
      <c r="A454" s="18" t="s">
        <v>1026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>
      <c r="A455" s="71" t="s">
        <v>1027</v>
      </c>
      <c r="B455" s="67">
        <v>38529900847</v>
      </c>
      <c r="C455" s="72" t="s">
        <v>1028</v>
      </c>
      <c r="D455" s="69">
        <v>36056823830</v>
      </c>
      <c r="E455" s="9">
        <v>262</v>
      </c>
      <c r="F455" s="25">
        <v>43160</v>
      </c>
      <c r="G455" s="70" t="s">
        <v>292</v>
      </c>
      <c r="H455" s="25">
        <v>43164</v>
      </c>
      <c r="I455" s="8"/>
      <c r="J455" s="8"/>
      <c r="K455" s="8"/>
      <c r="L455" s="9">
        <v>255</v>
      </c>
      <c r="M455" s="8"/>
    </row>
    <row r="456" spans="1:13">
      <c r="A456" s="13" t="s">
        <v>1029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292</v>
      </c>
      <c r="H456" s="9"/>
      <c r="I456" s="8"/>
      <c r="J456" s="8"/>
      <c r="K456" s="8"/>
      <c r="L456" s="9" t="s">
        <v>526</v>
      </c>
      <c r="M456" s="8"/>
    </row>
    <row r="457" spans="1:13">
      <c r="A457" s="13" t="s">
        <v>1030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292</v>
      </c>
      <c r="H457" s="9"/>
      <c r="I457" s="8"/>
      <c r="J457" s="8"/>
      <c r="K457" s="8"/>
      <c r="L457" s="9">
        <v>1759</v>
      </c>
      <c r="M457" s="8"/>
    </row>
    <row r="458" spans="1:13">
      <c r="A458" s="71" t="s">
        <v>1031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292</v>
      </c>
      <c r="H458" s="25">
        <v>43151</v>
      </c>
      <c r="I458" s="8"/>
      <c r="J458" s="8"/>
      <c r="K458" s="8"/>
      <c r="L458" s="8"/>
      <c r="M458" s="8"/>
    </row>
    <row r="459" spans="1:13">
      <c r="A459" s="71" t="s">
        <v>1032</v>
      </c>
      <c r="B459" s="67">
        <v>11806390817</v>
      </c>
      <c r="C459" s="72" t="s">
        <v>1033</v>
      </c>
      <c r="D459" s="69">
        <v>6924399860</v>
      </c>
      <c r="E459" s="9">
        <v>85</v>
      </c>
      <c r="F459" s="25">
        <v>43109</v>
      </c>
      <c r="G459" s="70" t="s">
        <v>292</v>
      </c>
      <c r="H459" s="25">
        <v>43151</v>
      </c>
      <c r="I459" s="8"/>
      <c r="J459" s="8"/>
      <c r="K459" s="8"/>
      <c r="L459" s="8"/>
      <c r="M459" s="8"/>
    </row>
    <row r="460" spans="1:13">
      <c r="A460" s="72" t="s">
        <v>1034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>
      <c r="A461" s="71" t="s">
        <v>1035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292</v>
      </c>
      <c r="H461" s="9"/>
      <c r="I461" s="8"/>
      <c r="J461" s="8"/>
      <c r="K461" s="8"/>
      <c r="L461" s="9">
        <v>318</v>
      </c>
      <c r="M461" s="8"/>
    </row>
    <row r="462" spans="1:13">
      <c r="A462" s="71" t="s">
        <v>1036</v>
      </c>
      <c r="B462" s="67">
        <v>32734621835</v>
      </c>
      <c r="C462" s="77" t="s">
        <v>1037</v>
      </c>
      <c r="D462" s="69" t="s">
        <v>1038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>
      <c r="A463" s="71" t="s">
        <v>1039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292</v>
      </c>
      <c r="H463" s="9"/>
      <c r="I463" s="8"/>
      <c r="J463" s="8"/>
      <c r="K463" s="8"/>
      <c r="L463" s="9">
        <v>318</v>
      </c>
      <c r="M463" s="8"/>
    </row>
    <row r="464" spans="1:13">
      <c r="A464" s="15" t="s">
        <v>1040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>
      <c r="A465" s="13" t="s">
        <v>1041</v>
      </c>
      <c r="B465" s="67">
        <v>31367730805</v>
      </c>
      <c r="C465" s="68" t="s">
        <v>1042</v>
      </c>
      <c r="D465" s="69">
        <v>39532354867</v>
      </c>
      <c r="E465" s="9">
        <v>1350</v>
      </c>
      <c r="F465" s="25">
        <v>43006</v>
      </c>
      <c r="G465" s="70" t="s">
        <v>292</v>
      </c>
      <c r="H465" s="9"/>
      <c r="I465" s="8"/>
      <c r="J465" s="8"/>
      <c r="K465" s="8"/>
      <c r="L465" s="8"/>
      <c r="M465" s="8"/>
    </row>
    <row r="466" spans="1:13">
      <c r="A466" s="71" t="s">
        <v>1043</v>
      </c>
      <c r="B466" s="67">
        <v>5579867611</v>
      </c>
      <c r="C466" s="72" t="s">
        <v>1044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>
      <c r="A467" s="14" t="s">
        <v>1045</v>
      </c>
      <c r="B467" s="67">
        <v>17118545813</v>
      </c>
      <c r="C467" s="72" t="s">
        <v>1046</v>
      </c>
      <c r="D467" s="69">
        <v>29932279803</v>
      </c>
      <c r="E467" s="9">
        <v>262</v>
      </c>
      <c r="F467" s="25">
        <v>43160</v>
      </c>
      <c r="G467" s="70" t="s">
        <v>292</v>
      </c>
      <c r="H467" s="25">
        <v>43164</v>
      </c>
      <c r="I467" s="8"/>
      <c r="J467" s="8"/>
      <c r="K467" s="8"/>
      <c r="L467" s="9">
        <v>255</v>
      </c>
      <c r="M467" s="8"/>
    </row>
    <row r="468" spans="1:13">
      <c r="A468" s="71" t="s">
        <v>1047</v>
      </c>
      <c r="B468" s="67">
        <v>35031003855</v>
      </c>
      <c r="C468" s="72" t="s">
        <v>1048</v>
      </c>
      <c r="D468" s="69">
        <v>41246529840</v>
      </c>
      <c r="E468" s="9">
        <v>1422</v>
      </c>
      <c r="F468" s="25">
        <v>43018</v>
      </c>
      <c r="G468" s="70" t="s">
        <v>292</v>
      </c>
      <c r="H468" s="9"/>
      <c r="I468" s="8"/>
      <c r="J468" s="8"/>
      <c r="K468" s="8"/>
      <c r="L468" s="8"/>
      <c r="M468" s="8"/>
    </row>
    <row r="469" spans="1:13">
      <c r="A469" s="32" t="s">
        <v>1049</v>
      </c>
      <c r="B469" s="67">
        <v>17803718884</v>
      </c>
      <c r="C469" s="32" t="s">
        <v>1050</v>
      </c>
      <c r="D469" s="69">
        <v>364628880</v>
      </c>
      <c r="E469" s="9">
        <v>1570</v>
      </c>
      <c r="F469" s="25">
        <v>43077</v>
      </c>
      <c r="G469" s="70" t="s">
        <v>292</v>
      </c>
      <c r="H469" s="9"/>
      <c r="I469" s="8"/>
      <c r="J469" s="8"/>
      <c r="K469" s="8"/>
      <c r="L469" s="8"/>
      <c r="M469" s="8"/>
    </row>
    <row r="470" spans="1:13">
      <c r="A470" s="71" t="s">
        <v>1051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292</v>
      </c>
      <c r="H470" s="9"/>
      <c r="I470" s="8"/>
      <c r="J470" s="8"/>
      <c r="K470" s="8"/>
      <c r="L470" s="9" t="s">
        <v>443</v>
      </c>
      <c r="M470" s="8"/>
    </row>
    <row r="471" spans="1:13">
      <c r="A471" s="13" t="s">
        <v>1052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292</v>
      </c>
      <c r="H471" s="9"/>
      <c r="I471" s="8"/>
      <c r="J471" s="8"/>
      <c r="K471" s="8"/>
      <c r="L471" s="8"/>
      <c r="M471" s="8"/>
    </row>
    <row r="472" spans="1:13">
      <c r="A472" s="71" t="s">
        <v>1053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292</v>
      </c>
      <c r="H472" s="9"/>
      <c r="I472" s="8"/>
      <c r="J472" s="8"/>
      <c r="K472" s="8"/>
      <c r="L472" s="8"/>
      <c r="M472" s="8"/>
    </row>
    <row r="473" spans="1:13">
      <c r="A473" s="29" t="s">
        <v>1054</v>
      </c>
      <c r="B473" s="67">
        <v>22740303831</v>
      </c>
      <c r="C473" s="18" t="s">
        <v>402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>
      <c r="A474" s="71" t="s">
        <v>1055</v>
      </c>
      <c r="B474" s="67">
        <v>35482535800</v>
      </c>
      <c r="C474" s="72" t="s">
        <v>1056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>
      <c r="A475" s="71" t="s">
        <v>1057</v>
      </c>
      <c r="B475" s="67">
        <v>22213116806</v>
      </c>
      <c r="C475" s="72" t="s">
        <v>1058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>
      <c r="A476" s="29" t="s">
        <v>1059</v>
      </c>
      <c r="B476" s="67">
        <v>22168840814</v>
      </c>
      <c r="C476" s="29" t="s">
        <v>1060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>
      <c r="A477" s="18" t="s">
        <v>1061</v>
      </c>
      <c r="B477" s="67">
        <v>30609785818</v>
      </c>
      <c r="C477" s="18" t="s">
        <v>1062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>
      <c r="A478" s="29" t="s">
        <v>1063</v>
      </c>
      <c r="B478" s="67">
        <v>18515704897</v>
      </c>
      <c r="C478" s="18" t="s">
        <v>402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>
      <c r="A479" s="72" t="s">
        <v>1064</v>
      </c>
      <c r="B479" s="67">
        <v>14683022800</v>
      </c>
      <c r="C479" s="72" t="s">
        <v>1065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>
      <c r="A480" s="71" t="s">
        <v>1066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>
      <c r="A481" s="71" t="s">
        <v>1067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292</v>
      </c>
      <c r="H481" s="9"/>
      <c r="I481" s="8"/>
      <c r="J481" s="8"/>
      <c r="K481" s="8"/>
      <c r="L481" s="9">
        <v>318</v>
      </c>
      <c r="M481" s="8"/>
    </row>
    <row r="482" spans="1:13">
      <c r="A482" s="15" t="s">
        <v>1068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>
      <c r="A483" s="29" t="s">
        <v>1069</v>
      </c>
      <c r="B483" s="67"/>
      <c r="C483" s="29" t="s">
        <v>402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>
      <c r="A484" s="71" t="s">
        <v>1070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292</v>
      </c>
      <c r="H484" s="9"/>
      <c r="I484" s="8"/>
      <c r="J484" s="8"/>
      <c r="K484" s="8"/>
      <c r="L484" s="9">
        <v>1759</v>
      </c>
      <c r="M484" s="8"/>
    </row>
    <row r="485" spans="1:13">
      <c r="A485" s="15" t="s">
        <v>1071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292</v>
      </c>
      <c r="H485" s="25">
        <v>43151</v>
      </c>
      <c r="I485" s="8"/>
      <c r="J485" s="8"/>
      <c r="K485" s="8"/>
      <c r="L485" s="8"/>
      <c r="M485" s="8"/>
    </row>
    <row r="486" spans="1:13">
      <c r="A486" s="71" t="s">
        <v>1072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292</v>
      </c>
      <c r="H486" s="9"/>
      <c r="I486" s="8"/>
      <c r="J486" s="8"/>
      <c r="K486" s="8"/>
      <c r="L486" s="9">
        <v>318</v>
      </c>
      <c r="M486" s="8"/>
    </row>
    <row r="487" spans="1:13">
      <c r="A487" s="13" t="s">
        <v>1073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292</v>
      </c>
      <c r="H487" s="9"/>
      <c r="I487" s="8"/>
      <c r="J487" s="8"/>
      <c r="K487" s="8"/>
      <c r="L487" s="9" t="s">
        <v>433</v>
      </c>
      <c r="M487" s="8"/>
    </row>
    <row r="488" spans="1:13">
      <c r="A488" s="13" t="s">
        <v>1074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292</v>
      </c>
      <c r="H488" s="9"/>
      <c r="I488" s="8"/>
      <c r="J488" s="8"/>
      <c r="K488" s="8"/>
      <c r="L488" s="8"/>
      <c r="M488" s="8"/>
    </row>
    <row r="489" spans="1:13">
      <c r="A489" s="71" t="s">
        <v>1075</v>
      </c>
      <c r="B489" s="67">
        <v>36664921855</v>
      </c>
      <c r="C489" s="72" t="s">
        <v>1076</v>
      </c>
      <c r="D489" s="69">
        <v>28495923823</v>
      </c>
      <c r="E489" s="9">
        <v>117</v>
      </c>
      <c r="F489" s="25">
        <v>43117</v>
      </c>
      <c r="G489" s="70" t="s">
        <v>298</v>
      </c>
      <c r="H489" s="9"/>
      <c r="I489" s="8"/>
      <c r="J489" s="8"/>
      <c r="K489" s="8"/>
      <c r="L489" s="9" t="s">
        <v>443</v>
      </c>
      <c r="M489" s="8"/>
    </row>
    <row r="490" spans="1:13">
      <c r="A490" s="79" t="s">
        <v>1077</v>
      </c>
      <c r="B490" s="80">
        <v>22561317854</v>
      </c>
      <c r="C490" s="81" t="s">
        <v>1078</v>
      </c>
      <c r="D490" s="82">
        <v>26718748803</v>
      </c>
      <c r="E490" s="47">
        <v>1106</v>
      </c>
      <c r="F490" s="48">
        <v>42965</v>
      </c>
      <c r="G490" s="83" t="s">
        <v>298</v>
      </c>
      <c r="H490" s="47"/>
      <c r="I490" s="49"/>
      <c r="J490" s="49"/>
      <c r="K490" s="49"/>
      <c r="L490" s="49"/>
      <c r="M490" s="49"/>
    </row>
    <row r="491" spans="1:13">
      <c r="A491" s="15" t="s">
        <v>1079</v>
      </c>
      <c r="B491" s="67">
        <v>34870463857</v>
      </c>
      <c r="C491" s="72" t="s">
        <v>1080</v>
      </c>
      <c r="D491" s="69">
        <v>7049816531</v>
      </c>
      <c r="E491" s="9">
        <v>292</v>
      </c>
      <c r="F491" s="25">
        <v>43168</v>
      </c>
      <c r="G491" s="70" t="s">
        <v>292</v>
      </c>
      <c r="H491" s="9"/>
      <c r="I491" s="8"/>
      <c r="J491" s="8"/>
      <c r="K491" s="8"/>
      <c r="L491" s="9">
        <v>318</v>
      </c>
      <c r="M491" s="8"/>
    </row>
    <row r="492" spans="1:13">
      <c r="A492" s="71" t="s">
        <v>1081</v>
      </c>
      <c r="B492" s="67">
        <v>35225854885</v>
      </c>
      <c r="C492" s="72" t="s">
        <v>1082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>
      <c r="A493" s="71" t="s">
        <v>1083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292</v>
      </c>
      <c r="H493" s="9"/>
      <c r="I493" s="8"/>
      <c r="J493" s="8"/>
      <c r="K493" s="8"/>
      <c r="L493" s="9">
        <v>1759</v>
      </c>
      <c r="M493" s="8"/>
    </row>
    <row r="494" spans="1:13">
      <c r="A494" s="71" t="s">
        <v>1084</v>
      </c>
      <c r="B494" s="67">
        <v>35929092826</v>
      </c>
      <c r="C494" s="72" t="s">
        <v>1085</v>
      </c>
      <c r="D494" s="69">
        <v>29462804893</v>
      </c>
      <c r="E494" s="9">
        <v>1267</v>
      </c>
      <c r="F494" s="25">
        <v>42998</v>
      </c>
      <c r="G494" s="70" t="s">
        <v>292</v>
      </c>
      <c r="H494" s="9"/>
      <c r="I494" s="8"/>
      <c r="J494" s="8"/>
      <c r="K494" s="8"/>
      <c r="L494" s="8"/>
      <c r="M494" s="8"/>
    </row>
    <row r="495" spans="1:13">
      <c r="A495" s="71" t="s">
        <v>1086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>
      <c r="A496" s="71" t="s">
        <v>1087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>
      <c r="A497" s="71" t="s">
        <v>1088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>
      <c r="A498" s="15" t="s">
        <v>1089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292</v>
      </c>
      <c r="H498" s="25">
        <v>43151</v>
      </c>
      <c r="I498" s="8"/>
      <c r="J498" s="8"/>
      <c r="K498" s="8"/>
      <c r="L498" s="8"/>
      <c r="M498" s="8"/>
    </row>
    <row r="499" spans="1:13">
      <c r="A499" s="15" t="s">
        <v>1090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306</v>
      </c>
      <c r="H499" s="25">
        <v>43151</v>
      </c>
      <c r="I499" s="8"/>
      <c r="J499" s="8"/>
      <c r="K499" s="8"/>
      <c r="L499" s="8"/>
      <c r="M499" s="8"/>
    </row>
    <row r="500" spans="1:13">
      <c r="A500" s="71" t="s">
        <v>1091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>
      <c r="A501" s="71" t="s">
        <v>1092</v>
      </c>
      <c r="B501" s="67">
        <v>24660726886</v>
      </c>
      <c r="C501" s="72" t="s">
        <v>1093</v>
      </c>
      <c r="D501" s="69">
        <v>96400951504</v>
      </c>
      <c r="E501" s="9">
        <v>292</v>
      </c>
      <c r="F501" s="25">
        <v>43168</v>
      </c>
      <c r="G501" s="70" t="s">
        <v>298</v>
      </c>
      <c r="H501" s="9"/>
      <c r="I501" s="8"/>
      <c r="J501" s="8"/>
      <c r="K501" s="8"/>
      <c r="L501" s="9">
        <v>318</v>
      </c>
      <c r="M501" s="8"/>
    </row>
    <row r="502" spans="1:13">
      <c r="A502" s="72" t="s">
        <v>1094</v>
      </c>
      <c r="B502" s="69">
        <v>27863381827</v>
      </c>
      <c r="C502" s="71" t="s">
        <v>1095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>
      <c r="A503" s="72" t="s">
        <v>1096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292</v>
      </c>
      <c r="H503" s="9"/>
      <c r="I503" s="8"/>
      <c r="J503" s="8"/>
      <c r="K503" s="8"/>
      <c r="L503" s="9">
        <v>1759</v>
      </c>
      <c r="M503" s="8"/>
    </row>
    <row r="504" spans="1:13">
      <c r="A504" s="72" t="s">
        <v>1097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>
      <c r="A505" s="71" t="s">
        <v>1098</v>
      </c>
      <c r="B505" s="67">
        <v>25856034821</v>
      </c>
      <c r="C505" s="72" t="s">
        <v>1099</v>
      </c>
      <c r="D505" s="69">
        <v>74821083353</v>
      </c>
      <c r="E505" s="9">
        <v>810</v>
      </c>
      <c r="F505" s="25">
        <v>42915</v>
      </c>
      <c r="G505" s="70" t="s">
        <v>292</v>
      </c>
      <c r="H505" s="9"/>
      <c r="I505" s="8"/>
      <c r="J505" s="8"/>
      <c r="K505" s="8"/>
      <c r="L505" s="9" t="s">
        <v>411</v>
      </c>
      <c r="M505" s="8"/>
    </row>
    <row r="506" spans="1:13">
      <c r="A506" s="71" t="s">
        <v>1100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572</v>
      </c>
      <c r="M506" s="8"/>
    </row>
    <row r="507" spans="1:13">
      <c r="A507" s="71" t="s">
        <v>1101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>
      <c r="A508" s="15" t="s">
        <v>1102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572</v>
      </c>
      <c r="M508" s="8"/>
    </row>
    <row r="509" spans="1:13">
      <c r="A509" s="29" t="s">
        <v>1103</v>
      </c>
      <c r="B509" s="67">
        <v>4802267843</v>
      </c>
      <c r="C509" s="29" t="s">
        <v>1104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>
      <c r="A510" s="71" t="s">
        <v>1105</v>
      </c>
      <c r="B510" s="67">
        <v>6672502807</v>
      </c>
      <c r="C510" s="72" t="s">
        <v>1106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572</v>
      </c>
      <c r="M510" s="8"/>
    </row>
    <row r="511" spans="1:13">
      <c r="A511" s="18" t="s">
        <v>1107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>
      <c r="A512" s="14" t="s">
        <v>1108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>
      <c r="A513" s="29" t="s">
        <v>1109</v>
      </c>
      <c r="B513" s="67">
        <v>37233245843</v>
      </c>
      <c r="C513" s="29" t="s">
        <v>1110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>
      <c r="A514" s="15" t="s">
        <v>1111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>
      <c r="A515" s="71" t="s">
        <v>1112</v>
      </c>
      <c r="B515" s="67">
        <v>33456412835</v>
      </c>
      <c r="C515" s="72" t="s">
        <v>1113</v>
      </c>
      <c r="D515" s="69">
        <v>9387669882</v>
      </c>
      <c r="E515" s="9">
        <v>229</v>
      </c>
      <c r="F515" s="25">
        <v>43151</v>
      </c>
      <c r="G515" s="70" t="s">
        <v>306</v>
      </c>
      <c r="H515" s="9"/>
      <c r="I515" s="8"/>
      <c r="J515" s="8"/>
      <c r="K515" s="8"/>
      <c r="L515" s="9">
        <v>232</v>
      </c>
      <c r="M515" s="8"/>
    </row>
    <row r="516" spans="1:13">
      <c r="A516" s="71" t="s">
        <v>1114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292</v>
      </c>
      <c r="H516" s="9"/>
      <c r="I516" s="8"/>
      <c r="J516" s="8"/>
      <c r="K516" s="8"/>
      <c r="L516" s="8"/>
      <c r="M516" s="8"/>
    </row>
    <row r="517" spans="1:13">
      <c r="A517" s="72" t="s">
        <v>1115</v>
      </c>
      <c r="B517" s="67">
        <v>10317452894</v>
      </c>
      <c r="C517" s="72" t="s">
        <v>1116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>
      <c r="A518" s="71" t="s">
        <v>1117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292</v>
      </c>
      <c r="H518" s="9"/>
      <c r="I518" s="8"/>
      <c r="J518" s="8"/>
      <c r="K518" s="8"/>
      <c r="L518" s="8"/>
      <c r="M518" s="8"/>
    </row>
    <row r="519" spans="1:13">
      <c r="A519" s="29" t="s">
        <v>1118</v>
      </c>
      <c r="B519" s="67"/>
      <c r="C519" s="29" t="s">
        <v>1119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>
      <c r="A520" s="15" t="s">
        <v>1120</v>
      </c>
      <c r="B520" s="67">
        <v>42782953591</v>
      </c>
      <c r="C520" s="72" t="s">
        <v>1121</v>
      </c>
      <c r="D520" s="69">
        <v>53921186587</v>
      </c>
      <c r="E520" s="9">
        <v>85</v>
      </c>
      <c r="F520" s="25">
        <v>43109</v>
      </c>
      <c r="G520" s="70" t="s">
        <v>292</v>
      </c>
      <c r="H520" s="25">
        <v>43151</v>
      </c>
      <c r="I520" s="8"/>
      <c r="J520" s="8"/>
      <c r="K520" s="8"/>
      <c r="L520" s="8"/>
      <c r="M520" s="8"/>
    </row>
    <row r="521" spans="1:13">
      <c r="A521" s="71" t="s">
        <v>1122</v>
      </c>
      <c r="B521" s="67">
        <v>3086762896</v>
      </c>
      <c r="C521" s="72" t="s">
        <v>1123</v>
      </c>
      <c r="D521" s="69">
        <v>89632877853</v>
      </c>
      <c r="E521" s="9">
        <v>810</v>
      </c>
      <c r="F521" s="25">
        <v>42915</v>
      </c>
      <c r="G521" s="70" t="s">
        <v>292</v>
      </c>
      <c r="H521" s="9"/>
      <c r="I521" s="8"/>
      <c r="J521" s="8"/>
      <c r="K521" s="8"/>
      <c r="L521" s="9" t="s">
        <v>411</v>
      </c>
      <c r="M521" s="8"/>
    </row>
    <row r="522" spans="1:13">
      <c r="A522" s="71" t="s">
        <v>1124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292</v>
      </c>
      <c r="H522" s="9"/>
      <c r="I522" s="8"/>
      <c r="J522" s="8"/>
      <c r="K522" s="8"/>
      <c r="L522" s="8"/>
      <c r="M522" s="8"/>
    </row>
    <row r="523" spans="1:13">
      <c r="A523" s="13" t="s">
        <v>1125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292</v>
      </c>
      <c r="H523" s="9"/>
      <c r="I523" s="8"/>
      <c r="J523" s="8"/>
      <c r="K523" s="8"/>
      <c r="L523" s="9" t="s">
        <v>526</v>
      </c>
      <c r="M523" s="8"/>
    </row>
    <row r="524" spans="1:13">
      <c r="A524" s="33" t="s">
        <v>1126</v>
      </c>
      <c r="B524" s="67">
        <v>22624049843</v>
      </c>
      <c r="C524" s="32" t="s">
        <v>1127</v>
      </c>
      <c r="D524" s="69">
        <v>32978302801</v>
      </c>
      <c r="E524" s="9">
        <v>1570</v>
      </c>
      <c r="F524" s="25">
        <v>43077</v>
      </c>
      <c r="G524" s="70" t="s">
        <v>292</v>
      </c>
      <c r="H524" s="9"/>
      <c r="I524" s="8"/>
      <c r="J524" s="8"/>
      <c r="K524" s="8"/>
      <c r="L524" s="8"/>
      <c r="M524" s="8"/>
    </row>
    <row r="525" spans="1:13">
      <c r="A525" s="15" t="s">
        <v>1128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>
      <c r="A526" s="71" t="s">
        <v>1129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292</v>
      </c>
      <c r="H526" s="9"/>
      <c r="I526" s="8"/>
      <c r="J526" s="8"/>
      <c r="K526" s="8"/>
      <c r="L526" s="9" t="s">
        <v>433</v>
      </c>
      <c r="M526" s="8"/>
    </row>
    <row r="527" spans="1:13">
      <c r="A527" s="71" t="s">
        <v>1130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292</v>
      </c>
      <c r="H527" s="9"/>
      <c r="I527" s="8"/>
      <c r="J527" s="8"/>
      <c r="K527" s="8"/>
      <c r="L527" s="9">
        <v>1828</v>
      </c>
      <c r="M527" s="8"/>
    </row>
    <row r="528" spans="1:13">
      <c r="A528" s="73" t="s">
        <v>1131</v>
      </c>
      <c r="B528" s="67">
        <v>27112847869</v>
      </c>
      <c r="C528" s="72" t="s">
        <v>1132</v>
      </c>
      <c r="D528" s="69">
        <v>37782363420</v>
      </c>
      <c r="E528" s="9">
        <v>1106</v>
      </c>
      <c r="F528" s="25">
        <v>42965</v>
      </c>
      <c r="G528" s="70" t="s">
        <v>292</v>
      </c>
      <c r="H528" s="9"/>
      <c r="I528" s="8"/>
      <c r="J528" s="8"/>
      <c r="K528" s="8"/>
      <c r="L528" s="8"/>
      <c r="M528" s="8"/>
    </row>
    <row r="529" spans="1:13">
      <c r="A529" s="15" t="s">
        <v>1133</v>
      </c>
      <c r="B529" s="67">
        <v>32811648895</v>
      </c>
      <c r="C529" s="72" t="s">
        <v>1134</v>
      </c>
      <c r="D529" s="69">
        <v>25428395818</v>
      </c>
      <c r="E529" s="9">
        <v>85</v>
      </c>
      <c r="F529" s="25">
        <v>43109</v>
      </c>
      <c r="G529" s="70" t="s">
        <v>292</v>
      </c>
      <c r="H529" s="25">
        <v>43151</v>
      </c>
      <c r="I529" s="8"/>
      <c r="J529" s="8"/>
      <c r="K529" s="8"/>
      <c r="L529" s="8"/>
      <c r="M529" s="8"/>
    </row>
    <row r="530" spans="1:13">
      <c r="A530" s="71" t="s">
        <v>1135</v>
      </c>
      <c r="B530" s="67">
        <v>12811159835</v>
      </c>
      <c r="C530" s="72" t="s">
        <v>1136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>
      <c r="A531" s="72" t="s">
        <v>1137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>
      <c r="A532" s="72" t="s">
        <v>1138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>
      <c r="A533" s="18" t="s">
        <v>1139</v>
      </c>
      <c r="B533" s="67">
        <v>83941010468</v>
      </c>
      <c r="C533" s="18" t="s">
        <v>1140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>
      <c r="A534" s="29" t="s">
        <v>1141</v>
      </c>
      <c r="B534" s="67">
        <v>43152462808</v>
      </c>
      <c r="C534" s="29" t="s">
        <v>1142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>
      <c r="A535" s="14" t="s">
        <v>1143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>
      <c r="A536" s="71" t="s">
        <v>1144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292</v>
      </c>
      <c r="H536" s="9"/>
      <c r="I536" s="8"/>
      <c r="J536" s="8"/>
      <c r="K536" s="8"/>
      <c r="L536" s="8"/>
      <c r="M536" s="8"/>
    </row>
    <row r="537" spans="1:13">
      <c r="A537" s="29" t="s">
        <v>1145</v>
      </c>
      <c r="B537" s="67"/>
      <c r="C537" s="18" t="s">
        <v>402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>
      <c r="A538" s="15" t="s">
        <v>1146</v>
      </c>
      <c r="B538" s="67">
        <v>41249931886</v>
      </c>
      <c r="C538" s="72" t="s">
        <v>1147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>
      <c r="A539" s="15" t="s">
        <v>1148</v>
      </c>
      <c r="B539" s="67">
        <v>34361118809</v>
      </c>
      <c r="C539" s="72" t="s">
        <v>1149</v>
      </c>
      <c r="D539" s="69">
        <v>14784595813</v>
      </c>
      <c r="E539" s="9">
        <v>85</v>
      </c>
      <c r="F539" s="25">
        <v>43109</v>
      </c>
      <c r="G539" s="70" t="s">
        <v>292</v>
      </c>
      <c r="H539" s="25">
        <v>43151</v>
      </c>
      <c r="I539" s="8"/>
      <c r="J539" s="8"/>
      <c r="K539" s="8"/>
      <c r="L539" s="8"/>
      <c r="M539" s="8"/>
    </row>
    <row r="540" spans="1:13">
      <c r="A540" s="71" t="s">
        <v>1150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292</v>
      </c>
      <c r="H540" s="9"/>
      <c r="I540" s="8"/>
      <c r="J540" s="8"/>
      <c r="K540" s="8"/>
      <c r="L540" s="9" t="s">
        <v>775</v>
      </c>
      <c r="M540" s="8"/>
    </row>
    <row r="541" spans="1:13">
      <c r="A541" s="71" t="s">
        <v>1151</v>
      </c>
      <c r="B541" s="67">
        <v>45469747875</v>
      </c>
      <c r="C541" s="72" t="s">
        <v>1152</v>
      </c>
      <c r="D541" s="69">
        <v>39042679816</v>
      </c>
      <c r="E541" s="9">
        <v>117</v>
      </c>
      <c r="F541" s="25">
        <v>43117</v>
      </c>
      <c r="G541" s="70" t="s">
        <v>292</v>
      </c>
      <c r="H541" s="9"/>
      <c r="I541" s="8"/>
      <c r="J541" s="8"/>
      <c r="K541" s="8"/>
      <c r="L541" s="9" t="s">
        <v>443</v>
      </c>
      <c r="M541" s="8"/>
    </row>
    <row r="542" spans="1:13">
      <c r="A542" s="71" t="s">
        <v>1153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>
      <c r="A543" s="71" t="s">
        <v>1154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292</v>
      </c>
      <c r="H543" s="9"/>
      <c r="I543" s="8"/>
      <c r="J543" s="8"/>
      <c r="K543" s="8"/>
      <c r="L543" s="9">
        <v>1828</v>
      </c>
      <c r="M543" s="8"/>
    </row>
    <row r="544" spans="1:13">
      <c r="A544" s="18" t="s">
        <v>1155</v>
      </c>
      <c r="B544" s="67">
        <v>33199855822</v>
      </c>
      <c r="C544" s="18" t="s">
        <v>1156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>
      <c r="A545" s="18" t="s">
        <v>1157</v>
      </c>
      <c r="B545" s="67">
        <v>32878318870</v>
      </c>
      <c r="C545" s="18" t="s">
        <v>1158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>
      <c r="A546" s="71" t="s">
        <v>1159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292</v>
      </c>
      <c r="H546" s="9"/>
      <c r="I546" s="8"/>
      <c r="J546" s="8"/>
      <c r="K546" s="8"/>
      <c r="L546" s="9">
        <v>318</v>
      </c>
      <c r="M546" s="8"/>
    </row>
    <row r="547" spans="1:13">
      <c r="A547" s="71" t="s">
        <v>1160</v>
      </c>
      <c r="B547" s="67">
        <v>31328839800</v>
      </c>
      <c r="C547" s="72" t="s">
        <v>1161</v>
      </c>
      <c r="D547" s="69">
        <v>13482435898</v>
      </c>
      <c r="E547" s="9">
        <v>262</v>
      </c>
      <c r="F547" s="25">
        <v>43160</v>
      </c>
      <c r="G547" s="70" t="s">
        <v>292</v>
      </c>
      <c r="H547" s="25">
        <v>43164</v>
      </c>
      <c r="I547" s="8"/>
      <c r="J547" s="8"/>
      <c r="K547" s="8"/>
      <c r="L547" s="9">
        <v>255</v>
      </c>
      <c r="M547" s="8"/>
    </row>
    <row r="548" spans="1:13">
      <c r="A548" s="71" t="s">
        <v>1162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292</v>
      </c>
      <c r="H548" s="25">
        <v>43164</v>
      </c>
      <c r="I548" s="8"/>
      <c r="J548" s="8"/>
      <c r="K548" s="8"/>
      <c r="L548" s="9">
        <v>255</v>
      </c>
      <c r="M548" s="8"/>
    </row>
    <row r="549" spans="1:13">
      <c r="A549" s="15" t="s">
        <v>1163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292</v>
      </c>
      <c r="H549" s="9"/>
      <c r="I549" s="8"/>
      <c r="J549" s="8"/>
      <c r="K549" s="8"/>
      <c r="L549" s="9" t="s">
        <v>443</v>
      </c>
      <c r="M549" s="8"/>
    </row>
    <row r="550" spans="1:13">
      <c r="A550" s="73" t="s">
        <v>1164</v>
      </c>
      <c r="B550" s="67">
        <v>33311756843</v>
      </c>
      <c r="C550" s="72" t="s">
        <v>1165</v>
      </c>
      <c r="D550" s="69">
        <v>31561945811</v>
      </c>
      <c r="E550" s="9">
        <v>1106</v>
      </c>
      <c r="F550" s="25">
        <v>42965</v>
      </c>
      <c r="G550" s="70" t="s">
        <v>292</v>
      </c>
      <c r="H550" s="9"/>
      <c r="I550" s="8"/>
      <c r="J550" s="8"/>
      <c r="K550" s="8"/>
      <c r="L550" s="8"/>
      <c r="M550" s="8"/>
    </row>
    <row r="551" spans="1:13">
      <c r="A551" s="71" t="s">
        <v>1166</v>
      </c>
      <c r="B551" s="67" t="s">
        <v>1167</v>
      </c>
      <c r="C551" s="77" t="s">
        <v>1168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>
      <c r="A552" s="71" t="s">
        <v>1169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292</v>
      </c>
      <c r="H552" s="9"/>
      <c r="I552" s="8"/>
      <c r="J552" s="8"/>
      <c r="K552" s="8"/>
      <c r="L552" s="9">
        <v>1828</v>
      </c>
      <c r="M552" s="8"/>
    </row>
    <row r="553" spans="1:13">
      <c r="A553" s="71" t="s">
        <v>1170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292</v>
      </c>
      <c r="H553" s="9"/>
      <c r="I553" s="8"/>
      <c r="J553" s="8"/>
      <c r="K553" s="8"/>
      <c r="L553" s="8"/>
      <c r="M553" s="8"/>
    </row>
    <row r="554" spans="1:13">
      <c r="A554" s="29" t="s">
        <v>1171</v>
      </c>
      <c r="B554" s="67"/>
      <c r="C554" s="18" t="s">
        <v>402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>
      <c r="A555" s="13" t="s">
        <v>1172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292</v>
      </c>
      <c r="H555" s="9"/>
      <c r="I555" s="8"/>
      <c r="J555" s="8"/>
      <c r="K555" s="8"/>
      <c r="L555" s="8"/>
      <c r="M555" s="8"/>
    </row>
    <row r="556" spans="1:13">
      <c r="A556" s="13" t="s">
        <v>1173</v>
      </c>
      <c r="B556" s="67">
        <v>37608246847</v>
      </c>
      <c r="C556" s="68" t="s">
        <v>1174</v>
      </c>
      <c r="D556" s="69">
        <v>27976942875</v>
      </c>
      <c r="E556" s="9">
        <v>608</v>
      </c>
      <c r="F556" s="25">
        <v>43012</v>
      </c>
      <c r="G556" s="70" t="s">
        <v>292</v>
      </c>
      <c r="H556" s="9"/>
      <c r="I556" s="8"/>
      <c r="J556" s="8"/>
      <c r="K556" s="8"/>
      <c r="L556" s="8"/>
      <c r="M556" s="8"/>
    </row>
    <row r="557" spans="1:13">
      <c r="A557" s="14" t="s">
        <v>1175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>
      <c r="A558" s="71" t="s">
        <v>1176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>
      <c r="A559" s="71" t="s">
        <v>1177</v>
      </c>
      <c r="B559" s="67">
        <v>39990709866</v>
      </c>
      <c r="C559" s="72" t="s">
        <v>1178</v>
      </c>
      <c r="D559" s="69">
        <v>46936249850</v>
      </c>
      <c r="E559" s="9">
        <v>229</v>
      </c>
      <c r="F559" s="25">
        <v>43151</v>
      </c>
      <c r="G559" s="70" t="s">
        <v>292</v>
      </c>
      <c r="H559" s="9"/>
      <c r="I559" s="8"/>
      <c r="J559" s="8"/>
      <c r="K559" s="8"/>
      <c r="L559" s="9">
        <v>232</v>
      </c>
      <c r="M559" s="8"/>
    </row>
    <row r="560" spans="1:13">
      <c r="A560" s="71" t="s">
        <v>1179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>
      <c r="A561" s="13" t="s">
        <v>1180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292</v>
      </c>
      <c r="H561" s="9"/>
      <c r="I561" s="8"/>
      <c r="J561" s="8"/>
      <c r="K561" s="8"/>
      <c r="L561" s="8"/>
      <c r="M561" s="8"/>
    </row>
    <row r="562" spans="1:13">
      <c r="A562" s="71" t="s">
        <v>1181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292</v>
      </c>
      <c r="H562" s="9"/>
      <c r="I562" s="8"/>
      <c r="J562" s="8"/>
      <c r="K562" s="8"/>
      <c r="L562" s="9" t="s">
        <v>411</v>
      </c>
      <c r="M562" s="8"/>
    </row>
    <row r="563" spans="1:13">
      <c r="A563" s="71" t="s">
        <v>1182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>
      <c r="A564" s="72" t="s">
        <v>1183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>
      <c r="A565" s="14" t="s">
        <v>1184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292</v>
      </c>
      <c r="H565" s="9"/>
      <c r="I565" s="8"/>
      <c r="J565" s="8"/>
      <c r="K565" s="8"/>
      <c r="L565" s="9">
        <v>318</v>
      </c>
      <c r="M565" s="8"/>
    </row>
    <row r="566" spans="1:13">
      <c r="A566" s="72" t="s">
        <v>1185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>
      <c r="A567" s="71" t="s">
        <v>1186</v>
      </c>
      <c r="B567" s="67">
        <v>9056201867</v>
      </c>
      <c r="C567" s="72" t="s">
        <v>1187</v>
      </c>
      <c r="D567" s="69">
        <v>59754605815</v>
      </c>
      <c r="E567" s="9">
        <v>810</v>
      </c>
      <c r="F567" s="25">
        <v>42915</v>
      </c>
      <c r="G567" s="70" t="s">
        <v>292</v>
      </c>
      <c r="H567" s="9"/>
      <c r="I567" s="8"/>
      <c r="J567" s="8"/>
      <c r="K567" s="8"/>
      <c r="L567" s="9" t="s">
        <v>411</v>
      </c>
      <c r="M567" s="8"/>
    </row>
    <row r="568" spans="1:13">
      <c r="A568" s="71" t="s">
        <v>1188</v>
      </c>
      <c r="B568" s="67">
        <v>4434698656</v>
      </c>
      <c r="C568" s="72" t="s">
        <v>1189</v>
      </c>
      <c r="D568" s="69">
        <v>75851300400</v>
      </c>
      <c r="E568" s="9">
        <v>810</v>
      </c>
      <c r="F568" s="25">
        <v>42915</v>
      </c>
      <c r="G568" s="70" t="s">
        <v>292</v>
      </c>
      <c r="H568" s="9"/>
      <c r="I568" s="8"/>
      <c r="J568" s="8"/>
      <c r="K568" s="8"/>
      <c r="L568" s="9" t="s">
        <v>411</v>
      </c>
      <c r="M568" s="8"/>
    </row>
    <row r="569" spans="1:13">
      <c r="A569" s="71" t="s">
        <v>1190</v>
      </c>
      <c r="B569" s="67">
        <v>27030279824</v>
      </c>
      <c r="C569" s="72" t="s">
        <v>1191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>
      <c r="A570" s="71" t="s">
        <v>1192</v>
      </c>
      <c r="B570" s="67">
        <v>30478760884</v>
      </c>
      <c r="C570" s="77" t="s">
        <v>1193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>
      <c r="A571" s="71" t="s">
        <v>1194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292</v>
      </c>
      <c r="H571" s="76">
        <v>43213</v>
      </c>
      <c r="I571" s="8"/>
      <c r="J571" s="8"/>
      <c r="K571" s="8"/>
      <c r="L571" s="9" t="s">
        <v>411</v>
      </c>
      <c r="M571" s="8"/>
    </row>
    <row r="572" spans="1:13">
      <c r="A572" s="71" t="s">
        <v>1195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292</v>
      </c>
      <c r="H572" s="76">
        <v>43213</v>
      </c>
      <c r="I572" s="8"/>
      <c r="J572" s="8"/>
      <c r="K572" s="8"/>
      <c r="L572" s="9" t="s">
        <v>526</v>
      </c>
      <c r="M572" s="8"/>
    </row>
    <row r="573" spans="1:13">
      <c r="A573" s="72" t="s">
        <v>1196</v>
      </c>
      <c r="B573" s="67">
        <v>16583214806</v>
      </c>
      <c r="C573" s="72" t="s">
        <v>1197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>
      <c r="A574" s="72" t="s">
        <v>1198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>
      <c r="A575" s="71" t="s">
        <v>1199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292</v>
      </c>
      <c r="H575" s="76">
        <v>43213</v>
      </c>
      <c r="I575" s="8"/>
      <c r="J575" s="8"/>
      <c r="K575" s="8"/>
      <c r="L575" s="9">
        <v>318</v>
      </c>
      <c r="M575" s="8"/>
    </row>
    <row r="576" spans="1:13">
      <c r="A576" s="29" t="s">
        <v>1200</v>
      </c>
      <c r="B576" s="67">
        <v>6882969639</v>
      </c>
      <c r="C576" s="29" t="s">
        <v>1201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>
      <c r="A577" s="29" t="s">
        <v>1202</v>
      </c>
      <c r="B577" s="67">
        <v>22449339892</v>
      </c>
      <c r="C577" s="29" t="s">
        <v>1203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>
      <c r="A578" s="29" t="s">
        <v>1204</v>
      </c>
      <c r="B578" s="67"/>
      <c r="C578" s="18" t="s">
        <v>402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>
      <c r="A579" s="71" t="s">
        <v>1205</v>
      </c>
      <c r="B579" s="67">
        <v>22854740831</v>
      </c>
      <c r="C579" s="72" t="s">
        <v>1206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>
      <c r="A580" s="15" t="s">
        <v>1207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>
      <c r="A581" s="15" t="s">
        <v>1208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292</v>
      </c>
      <c r="H581" s="9"/>
      <c r="I581" s="8"/>
      <c r="J581" s="8"/>
      <c r="K581" s="8"/>
      <c r="L581" s="9">
        <v>232</v>
      </c>
      <c r="M581" s="8"/>
    </row>
    <row r="582" spans="1:13">
      <c r="A582" s="71" t="s">
        <v>1209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292</v>
      </c>
      <c r="H582" s="9"/>
      <c r="I582" s="8"/>
      <c r="J582" s="8"/>
      <c r="K582" s="8"/>
      <c r="L582" s="9" t="s">
        <v>411</v>
      </c>
      <c r="M582" s="8"/>
    </row>
    <row r="583" spans="1:13">
      <c r="A583" s="71" t="s">
        <v>1210</v>
      </c>
      <c r="B583" s="67">
        <v>47110994848</v>
      </c>
      <c r="C583" s="71" t="s">
        <v>1211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>
      <c r="A584" s="71" t="s">
        <v>1212</v>
      </c>
      <c r="B584" s="67">
        <v>39353276845</v>
      </c>
      <c r="C584" s="72" t="s">
        <v>1213</v>
      </c>
      <c r="D584" s="69">
        <v>33343612847</v>
      </c>
      <c r="E584" s="9">
        <v>1417</v>
      </c>
      <c r="F584" s="25">
        <v>43017</v>
      </c>
      <c r="G584" s="70" t="s">
        <v>298</v>
      </c>
      <c r="H584" s="9"/>
      <c r="I584" s="8"/>
      <c r="J584" s="8"/>
      <c r="K584" s="8"/>
      <c r="L584" s="9" t="s">
        <v>526</v>
      </c>
      <c r="M584" s="8"/>
    </row>
    <row r="585" spans="1:13">
      <c r="A585" s="13" t="s">
        <v>1214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292</v>
      </c>
      <c r="H585" s="9"/>
      <c r="I585" s="8"/>
      <c r="J585" s="8"/>
      <c r="K585" s="8"/>
      <c r="L585" s="8"/>
      <c r="M585" s="8"/>
    </row>
    <row r="586" spans="1:13">
      <c r="A586" s="13" t="s">
        <v>1215</v>
      </c>
      <c r="B586" s="67">
        <v>39937482801</v>
      </c>
      <c r="C586" s="68" t="s">
        <v>1216</v>
      </c>
      <c r="D586" s="69">
        <v>36243454860</v>
      </c>
      <c r="E586" s="9">
        <v>1128</v>
      </c>
      <c r="F586" s="25">
        <v>42972</v>
      </c>
      <c r="G586" s="70" t="s">
        <v>292</v>
      </c>
      <c r="H586" s="9"/>
      <c r="I586" s="8"/>
      <c r="J586" s="8"/>
      <c r="K586" s="8"/>
      <c r="L586" s="8"/>
      <c r="M586" s="8"/>
    </row>
    <row r="587" spans="1:13">
      <c r="A587" s="13" t="s">
        <v>1217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292</v>
      </c>
      <c r="H587" s="9"/>
      <c r="I587" s="8"/>
      <c r="J587" s="8"/>
      <c r="K587" s="8"/>
      <c r="L587" s="8"/>
      <c r="M587" s="8"/>
    </row>
    <row r="588" spans="1:13">
      <c r="A588" s="71" t="s">
        <v>1218</v>
      </c>
      <c r="B588" s="67">
        <v>4090078466</v>
      </c>
      <c r="C588" s="72" t="s">
        <v>1219</v>
      </c>
      <c r="D588" s="69">
        <v>31135278806</v>
      </c>
      <c r="E588" s="9">
        <v>1555</v>
      </c>
      <c r="F588" s="25">
        <v>43049</v>
      </c>
      <c r="G588" s="70" t="s">
        <v>298</v>
      </c>
      <c r="H588" s="9"/>
      <c r="I588" s="8"/>
      <c r="J588" s="8"/>
      <c r="K588" s="8"/>
      <c r="L588" s="9" t="s">
        <v>671</v>
      </c>
      <c r="M588" s="8"/>
    </row>
    <row r="589" spans="1:13">
      <c r="A589" s="72" t="s">
        <v>1220</v>
      </c>
      <c r="B589" s="67">
        <v>22857706855</v>
      </c>
      <c r="C589" s="72" t="s">
        <v>1221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>
      <c r="A590" s="72" t="s">
        <v>1222</v>
      </c>
      <c r="B590" s="67">
        <v>30278629873</v>
      </c>
      <c r="C590" s="72" t="s">
        <v>1223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>
      <c r="A591" s="29" t="s">
        <v>1224</v>
      </c>
      <c r="B591" s="67"/>
      <c r="C591" s="29" t="s">
        <v>1225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>
      <c r="A592" s="71" t="s">
        <v>1226</v>
      </c>
      <c r="B592" s="67">
        <v>35569130896</v>
      </c>
      <c r="C592" s="72" t="s">
        <v>1227</v>
      </c>
      <c r="D592" s="69">
        <v>34252178878</v>
      </c>
      <c r="E592" s="9">
        <v>262</v>
      </c>
      <c r="F592" s="25">
        <v>43160</v>
      </c>
      <c r="G592" s="9" t="s">
        <v>292</v>
      </c>
      <c r="H592" s="25">
        <v>43164</v>
      </c>
      <c r="I592" s="8"/>
      <c r="J592" s="8"/>
      <c r="K592" s="8"/>
      <c r="L592" s="9">
        <v>255</v>
      </c>
      <c r="M592" s="8"/>
    </row>
    <row r="593" spans="1:13">
      <c r="A593" s="13" t="s">
        <v>1228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292</v>
      </c>
      <c r="H593" s="9"/>
      <c r="I593" s="8"/>
      <c r="J593" s="8"/>
      <c r="K593" s="8"/>
      <c r="L593" s="8"/>
      <c r="M593" s="8"/>
    </row>
    <row r="594" spans="1:13">
      <c r="A594" s="71" t="s">
        <v>1229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292</v>
      </c>
      <c r="H594" s="9"/>
      <c r="I594" s="8"/>
      <c r="J594" s="8"/>
      <c r="K594" s="8"/>
      <c r="L594" s="9" t="s">
        <v>671</v>
      </c>
      <c r="M594" s="8"/>
    </row>
    <row r="595" spans="1:13">
      <c r="A595" s="72" t="s">
        <v>1230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>
      <c r="A596" s="15" t="s">
        <v>1231</v>
      </c>
      <c r="B596" s="67">
        <v>5704186580</v>
      </c>
      <c r="C596" s="72" t="s">
        <v>1232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>
      <c r="A597" s="71" t="s">
        <v>1233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292</v>
      </c>
      <c r="H597" s="9"/>
      <c r="I597" s="8"/>
      <c r="J597" s="8"/>
      <c r="K597" s="8"/>
      <c r="L597" s="8"/>
      <c r="M597" s="8"/>
    </row>
    <row r="598" spans="1:13">
      <c r="A598" s="13" t="s">
        <v>1234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292</v>
      </c>
      <c r="H598" s="9"/>
      <c r="I598" s="8"/>
      <c r="J598" s="8"/>
      <c r="K598" s="8"/>
      <c r="L598" s="8"/>
      <c r="M598" s="8"/>
    </row>
    <row r="599" spans="1:13">
      <c r="A599" s="71" t="s">
        <v>1235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>
      <c r="A600" s="71" t="s">
        <v>1236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292</v>
      </c>
      <c r="H600" s="9"/>
      <c r="I600" s="8"/>
      <c r="J600" s="8"/>
      <c r="K600" s="8"/>
      <c r="L600" s="8"/>
      <c r="M600" s="8"/>
    </row>
    <row r="601" spans="1:13">
      <c r="A601" s="71" t="s">
        <v>1237</v>
      </c>
      <c r="B601" s="67">
        <v>38453816808</v>
      </c>
      <c r="C601" s="72" t="s">
        <v>1238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>
      <c r="A602" s="29" t="s">
        <v>1239</v>
      </c>
      <c r="B602" s="67">
        <v>46366084882</v>
      </c>
      <c r="C602" s="18" t="s">
        <v>402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>
      <c r="A603" s="29" t="s">
        <v>1240</v>
      </c>
      <c r="B603" s="67"/>
      <c r="C603" s="18" t="s">
        <v>402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>
      <c r="A604" s="71" t="s">
        <v>1241</v>
      </c>
      <c r="B604" s="67">
        <v>40415212898</v>
      </c>
      <c r="C604" s="72" t="s">
        <v>1242</v>
      </c>
      <c r="D604" s="69">
        <v>35522659882</v>
      </c>
      <c r="E604" s="9">
        <v>262</v>
      </c>
      <c r="F604" s="25">
        <v>43160</v>
      </c>
      <c r="G604" s="70" t="s">
        <v>292</v>
      </c>
      <c r="H604" s="25">
        <v>43164</v>
      </c>
      <c r="I604" s="8"/>
      <c r="J604" s="8"/>
      <c r="K604" s="8"/>
      <c r="L604" s="9">
        <v>255</v>
      </c>
      <c r="M604" s="8"/>
    </row>
    <row r="605" spans="1:13">
      <c r="A605" s="15" t="s">
        <v>1243</v>
      </c>
      <c r="B605" s="67">
        <v>41957432810</v>
      </c>
      <c r="C605" s="72" t="s">
        <v>1244</v>
      </c>
      <c r="D605" s="69">
        <v>22992085855</v>
      </c>
      <c r="E605" s="9">
        <v>1824</v>
      </c>
      <c r="F605" s="25">
        <v>43091</v>
      </c>
      <c r="G605" s="70" t="s">
        <v>292</v>
      </c>
      <c r="H605" s="9"/>
      <c r="I605" s="8"/>
      <c r="J605" s="8"/>
      <c r="K605" s="8"/>
      <c r="L605" s="9">
        <v>1828</v>
      </c>
      <c r="M605" s="8"/>
    </row>
    <row r="606" spans="1:13">
      <c r="A606" s="71" t="s">
        <v>1245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292</v>
      </c>
      <c r="H606" s="9"/>
      <c r="I606" s="8"/>
      <c r="J606" s="8"/>
      <c r="K606" s="8"/>
      <c r="L606" s="9" t="s">
        <v>443</v>
      </c>
      <c r="M606" s="8"/>
    </row>
    <row r="607" spans="1:13">
      <c r="A607" s="15" t="s">
        <v>1246</v>
      </c>
      <c r="B607" s="67">
        <v>36252717886</v>
      </c>
      <c r="C607" s="72" t="s">
        <v>1247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>
      <c r="A608" s="71" t="s">
        <v>1248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292</v>
      </c>
      <c r="H608" s="9"/>
      <c r="I608" s="8"/>
      <c r="J608" s="8"/>
      <c r="K608" s="8"/>
      <c r="L608" s="9">
        <v>318</v>
      </c>
      <c r="M608" s="8"/>
    </row>
    <row r="609" spans="1:13">
      <c r="A609" s="85" t="s">
        <v>1249</v>
      </c>
      <c r="B609" s="67">
        <v>23436019844</v>
      </c>
      <c r="C609" s="72" t="s">
        <v>1250</v>
      </c>
      <c r="D609" s="69">
        <v>35927095852</v>
      </c>
      <c r="E609" s="9">
        <v>810</v>
      </c>
      <c r="F609" s="25">
        <v>42915</v>
      </c>
      <c r="G609" s="70" t="s">
        <v>292</v>
      </c>
      <c r="H609" s="9"/>
      <c r="I609" s="8"/>
      <c r="J609" s="8"/>
      <c r="K609" s="8"/>
      <c r="L609" s="9" t="s">
        <v>411</v>
      </c>
      <c r="M609" s="8"/>
    </row>
    <row r="610" spans="1:13">
      <c r="A610" s="71" t="s">
        <v>1251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292</v>
      </c>
      <c r="H610" s="9"/>
      <c r="I610" s="8"/>
      <c r="J610" s="8"/>
      <c r="K610" s="8"/>
      <c r="L610" s="9">
        <v>318</v>
      </c>
      <c r="M610" s="8"/>
    </row>
    <row r="611" spans="1:13">
      <c r="A611" s="13" t="s">
        <v>1252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292</v>
      </c>
      <c r="H611" s="9"/>
      <c r="I611" s="8"/>
      <c r="J611" s="8"/>
      <c r="K611" s="8"/>
      <c r="L611" s="8"/>
      <c r="M611" s="8"/>
    </row>
    <row r="612" spans="1:13">
      <c r="A612" s="71" t="s">
        <v>1253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292</v>
      </c>
      <c r="H612" s="9"/>
      <c r="I612" s="8"/>
      <c r="J612" s="8"/>
      <c r="K612" s="8"/>
      <c r="L612" s="8"/>
      <c r="M612" s="8"/>
    </row>
    <row r="613" spans="1:13">
      <c r="A613" s="71" t="s">
        <v>1254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>
      <c r="A614" s="71" t="s">
        <v>1255</v>
      </c>
      <c r="B614" s="67">
        <v>32114645819</v>
      </c>
      <c r="C614" s="72" t="s">
        <v>1256</v>
      </c>
      <c r="D614" s="69">
        <v>33183764857</v>
      </c>
      <c r="E614" s="9">
        <v>810</v>
      </c>
      <c r="F614" s="25">
        <v>42915</v>
      </c>
      <c r="G614" s="70" t="s">
        <v>292</v>
      </c>
      <c r="H614" s="9"/>
      <c r="I614" s="8"/>
      <c r="J614" s="8"/>
      <c r="K614" s="8"/>
      <c r="L614" s="9" t="s">
        <v>411</v>
      </c>
      <c r="M614" s="8"/>
    </row>
    <row r="615" spans="1:13">
      <c r="A615" s="29" t="s">
        <v>1257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>
      <c r="A616" s="18" t="s">
        <v>1258</v>
      </c>
      <c r="B616" s="67">
        <v>4836720508</v>
      </c>
      <c r="C616" s="18" t="s">
        <v>1259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>
      <c r="A617" s="13" t="s">
        <v>1260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292</v>
      </c>
      <c r="H617" s="9"/>
      <c r="I617" s="8"/>
      <c r="J617" s="8"/>
      <c r="K617" s="8"/>
      <c r="L617" s="8"/>
      <c r="M617" s="8"/>
    </row>
    <row r="618" spans="1:13">
      <c r="A618" s="29" t="s">
        <v>1261</v>
      </c>
      <c r="B618" s="67">
        <v>42187654800</v>
      </c>
      <c r="C618" s="29" t="s">
        <v>1262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>
      <c r="A619" s="71" t="s">
        <v>1263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292</v>
      </c>
      <c r="H619" s="9"/>
      <c r="I619" s="8"/>
      <c r="J619" s="8"/>
      <c r="K619" s="8"/>
      <c r="L619" s="9" t="s">
        <v>775</v>
      </c>
      <c r="M619" s="8"/>
    </row>
    <row r="620" spans="1:13">
      <c r="A620" s="71" t="s">
        <v>1264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>
      <c r="A621" s="71" t="s">
        <v>1265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>
      <c r="A622" s="14" t="s">
        <v>1266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>
      <c r="A623" s="71" t="s">
        <v>1267</v>
      </c>
      <c r="B623" s="67">
        <v>1283631504</v>
      </c>
      <c r="C623" s="72" t="s">
        <v>1268</v>
      </c>
      <c r="D623" s="69">
        <v>62180886349</v>
      </c>
      <c r="E623" s="9">
        <v>1824</v>
      </c>
      <c r="F623" s="25">
        <v>43091</v>
      </c>
      <c r="G623" s="70" t="s">
        <v>292</v>
      </c>
      <c r="H623" s="9"/>
      <c r="I623" s="8"/>
      <c r="J623" s="8"/>
      <c r="K623" s="8"/>
      <c r="L623" s="9">
        <v>1828</v>
      </c>
      <c r="M623" s="8"/>
    </row>
    <row r="624" spans="1:13">
      <c r="A624" s="15" t="s">
        <v>1269</v>
      </c>
      <c r="B624" s="67">
        <v>5389709527</v>
      </c>
      <c r="C624" s="86" t="s">
        <v>1270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>
      <c r="A625" s="13" t="s">
        <v>1271</v>
      </c>
      <c r="B625" s="67">
        <v>1262412528</v>
      </c>
      <c r="C625" s="68" t="s">
        <v>1272</v>
      </c>
      <c r="D625" s="69">
        <v>3045815502</v>
      </c>
      <c r="E625" s="9">
        <v>1241</v>
      </c>
      <c r="F625" s="25">
        <v>42992</v>
      </c>
      <c r="G625" s="70" t="s">
        <v>292</v>
      </c>
      <c r="H625" s="9"/>
      <c r="I625" s="8"/>
      <c r="J625" s="8"/>
      <c r="K625" s="8"/>
      <c r="L625" s="8"/>
      <c r="M625" s="8"/>
    </row>
    <row r="626" spans="1:13">
      <c r="A626" s="71" t="s">
        <v>1273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572</v>
      </c>
      <c r="M626" s="8"/>
    </row>
    <row r="627" spans="1:13">
      <c r="A627" s="71" t="s">
        <v>1274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>
      <c r="A628" s="71" t="s">
        <v>497</v>
      </c>
      <c r="B628" s="67">
        <v>9704111460</v>
      </c>
      <c r="C628" s="72" t="s">
        <v>1275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>
      <c r="A629" s="13" t="s">
        <v>1276</v>
      </c>
      <c r="B629" s="67">
        <v>41653576855</v>
      </c>
      <c r="C629" s="72" t="s">
        <v>1277</v>
      </c>
      <c r="D629" s="69">
        <v>33219880894</v>
      </c>
      <c r="E629" s="9">
        <v>1439</v>
      </c>
      <c r="F629" s="25">
        <v>43025</v>
      </c>
      <c r="G629" s="70" t="s">
        <v>292</v>
      </c>
      <c r="H629" s="9"/>
      <c r="I629" s="8"/>
      <c r="J629" s="8"/>
      <c r="K629" s="8"/>
      <c r="L629" s="9" t="s">
        <v>775</v>
      </c>
      <c r="M629" s="8"/>
    </row>
    <row r="630" spans="1:13">
      <c r="A630" s="71" t="s">
        <v>1278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292</v>
      </c>
      <c r="H630" s="25">
        <v>43164</v>
      </c>
      <c r="I630" s="8"/>
      <c r="J630" s="8"/>
      <c r="K630" s="8"/>
      <c r="L630" s="9">
        <v>255</v>
      </c>
      <c r="M630" s="8"/>
    </row>
    <row r="631" spans="1:13">
      <c r="A631" s="71" t="s">
        <v>1279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292</v>
      </c>
      <c r="H631" s="9"/>
      <c r="I631" s="8"/>
      <c r="J631" s="8"/>
      <c r="K631" s="8"/>
      <c r="L631" s="9" t="s">
        <v>411</v>
      </c>
      <c r="M631" s="8"/>
    </row>
    <row r="632" spans="1:13">
      <c r="A632" s="29" t="s">
        <v>1280</v>
      </c>
      <c r="B632" s="67">
        <v>29065742875</v>
      </c>
      <c r="C632" s="29" t="s">
        <v>1281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>
      <c r="A633" s="72" t="s">
        <v>1282</v>
      </c>
      <c r="B633" s="67">
        <v>39491305867</v>
      </c>
      <c r="C633" s="72" t="s">
        <v>1283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>
      <c r="A634" s="18" t="s">
        <v>1284</v>
      </c>
      <c r="B634" s="67">
        <v>35049140846</v>
      </c>
      <c r="C634" s="18" t="s">
        <v>1285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>
      <c r="A635" s="71" t="s">
        <v>1286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292</v>
      </c>
      <c r="H635" s="25">
        <v>43164</v>
      </c>
      <c r="I635" s="8"/>
      <c r="J635" s="8"/>
      <c r="K635" s="8"/>
      <c r="L635" s="9">
        <v>255</v>
      </c>
      <c r="M635" s="8"/>
    </row>
    <row r="636" spans="1:13">
      <c r="A636" s="71" t="s">
        <v>1287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572</v>
      </c>
      <c r="M636" s="8"/>
    </row>
    <row r="637" spans="1:13">
      <c r="A637" s="71" t="s">
        <v>1288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292</v>
      </c>
      <c r="H637" s="9"/>
      <c r="I637" s="8"/>
      <c r="J637" s="8"/>
      <c r="K637" s="8"/>
      <c r="L637" s="8"/>
      <c r="M637" s="8"/>
    </row>
    <row r="638" spans="1:13">
      <c r="A638" s="18" t="s">
        <v>1289</v>
      </c>
      <c r="B638" s="67"/>
      <c r="C638" s="18" t="s">
        <v>1290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>
      <c r="A639" s="29" t="s">
        <v>1291</v>
      </c>
      <c r="B639" s="67">
        <v>198674503</v>
      </c>
      <c r="C639" s="18" t="s">
        <v>1292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>
      <c r="A640" s="71" t="s">
        <v>1293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>
      <c r="A641" s="72" t="s">
        <v>1294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>
      <c r="A642" s="73" t="s">
        <v>1295</v>
      </c>
      <c r="B642" s="67">
        <v>28074733858</v>
      </c>
      <c r="C642" s="72" t="s">
        <v>1296</v>
      </c>
      <c r="D642" s="69">
        <v>18033766867</v>
      </c>
      <c r="E642" s="9">
        <v>810</v>
      </c>
      <c r="F642" s="25">
        <v>42915</v>
      </c>
      <c r="G642" s="70" t="s">
        <v>292</v>
      </c>
      <c r="H642" s="9"/>
      <c r="I642" s="8"/>
      <c r="J642" s="8"/>
      <c r="K642" s="8"/>
      <c r="L642" s="9" t="s">
        <v>411</v>
      </c>
      <c r="M642" s="8"/>
    </row>
    <row r="643" spans="1:13">
      <c r="A643" s="71" t="s">
        <v>1297</v>
      </c>
      <c r="B643" s="67">
        <v>41583475800</v>
      </c>
      <c r="C643" s="72" t="s">
        <v>1298</v>
      </c>
      <c r="D643" s="69">
        <v>47688665817</v>
      </c>
      <c r="E643" s="9">
        <v>810</v>
      </c>
      <c r="F643" s="25">
        <v>42915</v>
      </c>
      <c r="G643" s="70" t="s">
        <v>292</v>
      </c>
      <c r="H643" s="9"/>
      <c r="I643" s="8"/>
      <c r="J643" s="8"/>
      <c r="K643" s="8"/>
      <c r="L643" s="9" t="s">
        <v>411</v>
      </c>
      <c r="M643" s="8"/>
    </row>
    <row r="644" spans="1:13">
      <c r="A644" s="71" t="s">
        <v>1299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292</v>
      </c>
      <c r="H644" s="9"/>
      <c r="I644" s="8"/>
      <c r="J644" s="8"/>
      <c r="K644" s="8"/>
      <c r="L644" s="9" t="s">
        <v>411</v>
      </c>
      <c r="M644" s="8"/>
    </row>
    <row r="645" spans="1:13">
      <c r="A645" s="13" t="s">
        <v>1300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292</v>
      </c>
      <c r="H645" s="9"/>
      <c r="I645" s="8"/>
      <c r="J645" s="8"/>
      <c r="K645" s="8"/>
      <c r="L645" s="8"/>
      <c r="M645" s="8"/>
    </row>
    <row r="646" spans="1:13">
      <c r="A646" s="29" t="s">
        <v>1301</v>
      </c>
      <c r="B646" s="67"/>
      <c r="C646" s="18" t="s">
        <v>402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>
      <c r="A647" s="71" t="s">
        <v>1302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292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>
      <c r="A648" s="15" t="s">
        <v>1303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292</v>
      </c>
      <c r="H648" s="25">
        <v>43151</v>
      </c>
      <c r="I648" s="8"/>
      <c r="J648" s="8"/>
      <c r="K648" s="8"/>
      <c r="L648" s="8"/>
      <c r="M648" s="8"/>
    </row>
    <row r="649" spans="1:13">
      <c r="A649" s="71" t="s">
        <v>1304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>
      <c r="A650" s="71" t="s">
        <v>1305</v>
      </c>
      <c r="B650" s="67">
        <v>80234836334</v>
      </c>
      <c r="C650" s="72" t="s">
        <v>1306</v>
      </c>
      <c r="D650" s="69">
        <v>22522250841</v>
      </c>
      <c r="E650" s="9">
        <v>1267</v>
      </c>
      <c r="F650" s="25">
        <v>42998</v>
      </c>
      <c r="G650" s="70" t="s">
        <v>292</v>
      </c>
      <c r="H650" s="9"/>
      <c r="I650" s="8"/>
      <c r="J650" s="8"/>
      <c r="K650" s="8"/>
      <c r="L650" s="8"/>
      <c r="M650" s="8"/>
    </row>
    <row r="651" spans="1:13">
      <c r="A651" s="71" t="s">
        <v>1307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292</v>
      </c>
      <c r="H651" s="9"/>
      <c r="I651" s="8"/>
      <c r="J651" s="8"/>
      <c r="K651" s="8"/>
      <c r="L651" s="8"/>
      <c r="M651" s="8"/>
    </row>
    <row r="652" spans="1:13">
      <c r="A652" s="71" t="s">
        <v>1308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292</v>
      </c>
      <c r="H652" s="9"/>
      <c r="I652" s="8"/>
      <c r="J652" s="8"/>
      <c r="K652" s="8"/>
      <c r="L652" s="9">
        <v>1828</v>
      </c>
      <c r="M652" s="8"/>
    </row>
    <row r="653" spans="1:13">
      <c r="A653" s="71" t="s">
        <v>1309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>
      <c r="A654" s="15" t="s">
        <v>1310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292</v>
      </c>
      <c r="H654" s="9"/>
      <c r="I654" s="8"/>
      <c r="J654" s="8"/>
      <c r="K654" s="8"/>
      <c r="L654" s="9">
        <v>232</v>
      </c>
      <c r="M654" s="8"/>
    </row>
    <row r="655" spans="1:13">
      <c r="A655" s="72" t="s">
        <v>1311</v>
      </c>
      <c r="B655" s="67">
        <v>7385460895</v>
      </c>
      <c r="C655" s="72" t="s">
        <v>1312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>
      <c r="A656" s="18" t="s">
        <v>1313</v>
      </c>
      <c r="B656" s="67">
        <v>31828009814</v>
      </c>
      <c r="C656" s="18" t="s">
        <v>1314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>
      <c r="A657" s="71" t="s">
        <v>1315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292</v>
      </c>
      <c r="H657" s="9"/>
      <c r="I657" s="8"/>
      <c r="J657" s="8"/>
      <c r="K657" s="8"/>
      <c r="L657" s="8"/>
      <c r="M657" s="8"/>
    </row>
    <row r="658" spans="1:13">
      <c r="A658" s="71" t="s">
        <v>1316</v>
      </c>
      <c r="B658" s="67">
        <v>15090098840</v>
      </c>
      <c r="C658" s="72" t="s">
        <v>1317</v>
      </c>
      <c r="D658" s="69">
        <v>3376233845</v>
      </c>
      <c r="E658" s="9">
        <v>1752</v>
      </c>
      <c r="F658" s="25">
        <v>43051</v>
      </c>
      <c r="G658" s="70" t="s">
        <v>292</v>
      </c>
      <c r="H658" s="9"/>
      <c r="I658" s="8"/>
      <c r="J658" s="8"/>
      <c r="K658" s="8"/>
      <c r="L658" s="9">
        <v>1759</v>
      </c>
      <c r="M658" s="8"/>
    </row>
    <row r="659" spans="1:13">
      <c r="A659" s="71" t="s">
        <v>1318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292</v>
      </c>
      <c r="H659" s="9"/>
      <c r="I659" s="8"/>
      <c r="J659" s="8"/>
      <c r="K659" s="8"/>
      <c r="L659" s="8"/>
      <c r="M659" s="8"/>
    </row>
    <row r="660" spans="1:13">
      <c r="A660" s="71" t="s">
        <v>1319</v>
      </c>
      <c r="B660" s="67">
        <v>30652965865</v>
      </c>
      <c r="C660" s="72" t="s">
        <v>1320</v>
      </c>
      <c r="D660" s="69">
        <v>23330127813</v>
      </c>
      <c r="E660" s="9">
        <v>1214</v>
      </c>
      <c r="F660" s="25">
        <v>42989</v>
      </c>
      <c r="G660" s="70" t="s">
        <v>292</v>
      </c>
      <c r="H660" s="9"/>
      <c r="I660" s="8"/>
      <c r="J660" s="8"/>
      <c r="K660" s="8"/>
      <c r="L660" s="8"/>
      <c r="M660" s="8"/>
    </row>
    <row r="661" spans="1:13">
      <c r="A661" s="14" t="s">
        <v>1321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292</v>
      </c>
      <c r="H661" s="25">
        <v>43164</v>
      </c>
      <c r="I661" s="8"/>
      <c r="J661" s="8"/>
      <c r="K661" s="8"/>
      <c r="L661" s="9">
        <v>255</v>
      </c>
      <c r="M661" s="8"/>
    </row>
    <row r="662" spans="1:13">
      <c r="A662" s="72" t="s">
        <v>1322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>
      <c r="A663" s="15" t="s">
        <v>1323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292</v>
      </c>
      <c r="H663" s="25">
        <v>43164</v>
      </c>
      <c r="I663" s="8"/>
      <c r="J663" s="8"/>
      <c r="K663" s="8"/>
      <c r="L663" s="9">
        <v>255</v>
      </c>
      <c r="M663" s="8"/>
    </row>
    <row r="664" spans="1:13">
      <c r="A664" s="71" t="s">
        <v>1324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572</v>
      </c>
      <c r="M664" s="8"/>
    </row>
    <row r="665" spans="1:13">
      <c r="A665" s="71" t="s">
        <v>1325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292</v>
      </c>
      <c r="H665" s="9"/>
      <c r="I665" s="8"/>
      <c r="J665" s="8"/>
      <c r="K665" s="8"/>
      <c r="L665" s="8"/>
      <c r="M665" s="8"/>
    </row>
    <row r="666" spans="1:13">
      <c r="A666" s="13" t="s">
        <v>1326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292</v>
      </c>
      <c r="H666" s="9"/>
      <c r="I666" s="8"/>
      <c r="J666" s="8"/>
      <c r="K666" s="8"/>
      <c r="L666" s="8"/>
      <c r="M666" s="8"/>
    </row>
    <row r="667" spans="1:13">
      <c r="A667" s="71" t="s">
        <v>1327</v>
      </c>
      <c r="B667" s="67">
        <v>39898491825</v>
      </c>
      <c r="C667" s="72" t="s">
        <v>1328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>
      <c r="A668" s="29" t="s">
        <v>1329</v>
      </c>
      <c r="B668" s="67">
        <v>96629428587</v>
      </c>
      <c r="C668" s="29" t="s">
        <v>1330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>
      <c r="A669" s="71" t="s">
        <v>1331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292</v>
      </c>
      <c r="H669" s="9"/>
      <c r="I669" s="8"/>
      <c r="J669" s="8"/>
      <c r="K669" s="8"/>
      <c r="L669" s="9">
        <v>1759</v>
      </c>
      <c r="M669" s="8"/>
    </row>
    <row r="670" spans="1:13">
      <c r="A670" s="71" t="s">
        <v>1332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292</v>
      </c>
      <c r="H670" s="9"/>
      <c r="I670" s="8"/>
      <c r="J670" s="8"/>
      <c r="K670" s="8"/>
      <c r="L670" s="8"/>
      <c r="M670" s="8"/>
    </row>
    <row r="671" spans="1:13">
      <c r="A671" s="14" t="s">
        <v>1333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>
      <c r="A672" s="13" t="s">
        <v>1334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292</v>
      </c>
      <c r="H672" s="9"/>
      <c r="I672" s="8"/>
      <c r="J672" s="8"/>
      <c r="K672" s="8"/>
      <c r="L672" s="9" t="s">
        <v>526</v>
      </c>
      <c r="M672" s="8"/>
    </row>
    <row r="673" spans="1:13">
      <c r="A673" s="71" t="s">
        <v>1335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292</v>
      </c>
      <c r="H673" s="25">
        <v>43164</v>
      </c>
      <c r="I673" s="8"/>
      <c r="J673" s="8"/>
      <c r="K673" s="8"/>
      <c r="L673" s="9">
        <v>255</v>
      </c>
      <c r="M673" s="8"/>
    </row>
    <row r="674" spans="1:13">
      <c r="A674" s="15" t="s">
        <v>1336</v>
      </c>
      <c r="B674" s="67">
        <v>11438313810</v>
      </c>
      <c r="C674" s="72" t="s">
        <v>1337</v>
      </c>
      <c r="D674" s="69">
        <v>11400812844</v>
      </c>
      <c r="E674" s="9">
        <v>292</v>
      </c>
      <c r="F674" s="25">
        <v>43168</v>
      </c>
      <c r="G674" s="70" t="s">
        <v>292</v>
      </c>
      <c r="H674" s="9"/>
      <c r="I674" s="8"/>
      <c r="J674" s="8"/>
      <c r="K674" s="8"/>
      <c r="L674" s="9">
        <v>318</v>
      </c>
      <c r="M674" s="8"/>
    </row>
    <row r="675" spans="1:13">
      <c r="A675" s="71" t="s">
        <v>1338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>
      <c r="A676" s="13" t="s">
        <v>1339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292</v>
      </c>
      <c r="H676" s="9"/>
      <c r="I676" s="8"/>
      <c r="J676" s="8"/>
      <c r="K676" s="8"/>
      <c r="L676" s="8"/>
      <c r="M676" s="8"/>
    </row>
    <row r="677" spans="1:13">
      <c r="A677" s="14" t="s">
        <v>1340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292</v>
      </c>
      <c r="H677" s="25">
        <v>43164</v>
      </c>
      <c r="I677" s="8"/>
      <c r="J677" s="8"/>
      <c r="K677" s="8"/>
      <c r="L677" s="9">
        <v>255</v>
      </c>
      <c r="M677" s="8"/>
    </row>
    <row r="678" spans="1:13">
      <c r="A678" s="71" t="s">
        <v>1341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>
      <c r="A679" s="71" t="s">
        <v>1342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>
      <c r="A680" s="15" t="s">
        <v>1343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292</v>
      </c>
      <c r="H680" s="9"/>
      <c r="I680" s="8"/>
      <c r="J680" s="8"/>
      <c r="K680" s="8"/>
      <c r="L680" s="9">
        <v>232</v>
      </c>
      <c r="M680" s="8"/>
    </row>
    <row r="681" spans="1:13">
      <c r="A681" s="13" t="s">
        <v>1344</v>
      </c>
      <c r="B681" s="34">
        <v>31970473894</v>
      </c>
      <c r="C681" s="17" t="s">
        <v>1345</v>
      </c>
      <c r="D681" s="35">
        <v>22945039885</v>
      </c>
      <c r="E681" s="36">
        <v>1128</v>
      </c>
      <c r="F681" s="37">
        <v>42972</v>
      </c>
      <c r="G681" s="38" t="s">
        <v>292</v>
      </c>
      <c r="H681" s="9"/>
      <c r="I681" s="8"/>
      <c r="J681" s="8"/>
      <c r="K681" s="8"/>
      <c r="L681" s="8"/>
      <c r="M681" s="8"/>
    </row>
    <row r="682" spans="1:13">
      <c r="A682" s="72" t="s">
        <v>1346</v>
      </c>
      <c r="B682" s="67">
        <v>29486419850</v>
      </c>
      <c r="C682" s="72" t="s">
        <v>1347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>
      <c r="A683" s="71" t="s">
        <v>1348</v>
      </c>
      <c r="B683" s="67">
        <v>73699993272</v>
      </c>
      <c r="C683" s="72" t="s">
        <v>1349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>
      <c r="A684" s="71" t="s">
        <v>1350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292</v>
      </c>
      <c r="H684" s="25">
        <v>43164</v>
      </c>
      <c r="I684" s="8"/>
      <c r="J684" s="8"/>
      <c r="K684" s="8"/>
      <c r="L684" s="9">
        <v>255</v>
      </c>
      <c r="M684" s="8"/>
    </row>
    <row r="685" spans="1:13">
      <c r="A685" s="71" t="s">
        <v>1351</v>
      </c>
      <c r="B685" s="67">
        <v>34833459817</v>
      </c>
      <c r="C685" s="68" t="s">
        <v>1352</v>
      </c>
      <c r="D685" s="69">
        <v>32077064870</v>
      </c>
      <c r="E685" s="9">
        <v>1128</v>
      </c>
      <c r="F685" s="25">
        <v>42972</v>
      </c>
      <c r="G685" s="70" t="s">
        <v>292</v>
      </c>
      <c r="H685" s="9"/>
      <c r="I685" s="8"/>
      <c r="J685" s="8"/>
      <c r="K685" s="8"/>
      <c r="L685" s="8"/>
      <c r="M685" s="8"/>
    </row>
    <row r="686" spans="1:13">
      <c r="A686" s="13" t="s">
        <v>1353</v>
      </c>
      <c r="B686" s="67">
        <v>15203953880</v>
      </c>
      <c r="C686" s="72" t="s">
        <v>1354</v>
      </c>
      <c r="D686" s="69">
        <v>16339364810</v>
      </c>
      <c r="E686" s="9">
        <v>229</v>
      </c>
      <c r="F686" s="25">
        <v>43151</v>
      </c>
      <c r="G686" s="70" t="s">
        <v>298</v>
      </c>
      <c r="H686" s="9"/>
      <c r="I686" s="8"/>
      <c r="J686" s="8"/>
      <c r="K686" s="8"/>
      <c r="L686" s="9">
        <v>232</v>
      </c>
      <c r="M686" s="8"/>
    </row>
    <row r="687" spans="1:13">
      <c r="A687" s="71" t="s">
        <v>1355</v>
      </c>
      <c r="B687" s="67">
        <v>23891239882</v>
      </c>
      <c r="C687" s="72" t="s">
        <v>1356</v>
      </c>
      <c r="D687" s="69">
        <v>22474449892</v>
      </c>
      <c r="E687" s="9">
        <v>1555</v>
      </c>
      <c r="F687" s="25">
        <v>43049</v>
      </c>
      <c r="G687" s="70" t="s">
        <v>292</v>
      </c>
      <c r="H687" s="9"/>
      <c r="I687" s="8"/>
      <c r="J687" s="8"/>
      <c r="K687" s="8"/>
      <c r="L687" s="9" t="s">
        <v>671</v>
      </c>
      <c r="M687" s="8"/>
    </row>
    <row r="688" spans="1:13">
      <c r="A688" s="15" t="s">
        <v>1357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292</v>
      </c>
      <c r="H688" s="25">
        <v>43164</v>
      </c>
      <c r="I688" s="8"/>
      <c r="J688" s="8"/>
      <c r="K688" s="8"/>
      <c r="L688" s="9">
        <v>255</v>
      </c>
      <c r="M688" s="8"/>
    </row>
    <row r="689" spans="1:13">
      <c r="A689" s="71" t="s">
        <v>1358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292</v>
      </c>
      <c r="H689" s="9"/>
      <c r="I689" s="8"/>
      <c r="J689" s="8"/>
      <c r="K689" s="8"/>
      <c r="L689" s="9" t="s">
        <v>411</v>
      </c>
      <c r="M689" s="8"/>
    </row>
    <row r="690" spans="1:13">
      <c r="A690" s="72" t="s">
        <v>1359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572</v>
      </c>
      <c r="M690" s="8"/>
    </row>
    <row r="691" spans="1:13">
      <c r="A691" s="13" t="s">
        <v>1360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292</v>
      </c>
      <c r="H691" s="9"/>
      <c r="I691" s="8"/>
      <c r="J691" s="8"/>
      <c r="K691" s="8"/>
      <c r="L691" s="8"/>
      <c r="M691" s="8"/>
    </row>
    <row r="692" spans="1:13">
      <c r="A692" s="30" t="s">
        <v>1361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>
      <c r="A693" s="14" t="s">
        <v>1362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292</v>
      </c>
      <c r="H693" s="9"/>
      <c r="I693" s="8"/>
      <c r="J693" s="8"/>
      <c r="K693" s="8"/>
      <c r="L693" s="9">
        <v>318</v>
      </c>
      <c r="M693" s="8"/>
    </row>
    <row r="694" spans="1:13">
      <c r="A694" s="71" t="s">
        <v>1363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>
      <c r="A695" s="71" t="s">
        <v>1364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292</v>
      </c>
      <c r="H695" s="9"/>
      <c r="I695" s="8"/>
      <c r="J695" s="8"/>
      <c r="K695" s="8"/>
      <c r="L695" s="9">
        <v>1759</v>
      </c>
      <c r="M695" s="8"/>
    </row>
    <row r="696" spans="1:13">
      <c r="A696" s="71" t="s">
        <v>1365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298</v>
      </c>
      <c r="H696" s="9"/>
      <c r="I696" s="8"/>
      <c r="J696" s="8"/>
      <c r="K696" s="8"/>
      <c r="L696" s="8"/>
      <c r="M696" s="8"/>
    </row>
    <row r="697" spans="1:13">
      <c r="A697" s="71" t="s">
        <v>1366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292</v>
      </c>
      <c r="H697" s="9"/>
      <c r="I697" s="8"/>
      <c r="J697" s="8"/>
      <c r="K697" s="8"/>
      <c r="L697" s="8"/>
      <c r="M697" s="8"/>
    </row>
    <row r="698" spans="1:13">
      <c r="A698" s="71" t="s">
        <v>1367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292</v>
      </c>
      <c r="H698" s="9"/>
      <c r="I698" s="8"/>
      <c r="J698" s="8"/>
      <c r="K698" s="8"/>
      <c r="L698" s="9" t="s">
        <v>411</v>
      </c>
      <c r="M698" s="8"/>
    </row>
    <row r="699" spans="1:13">
      <c r="A699" s="71" t="s">
        <v>1368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>
      <c r="A700" s="13" t="s">
        <v>1369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292</v>
      </c>
      <c r="H700" s="9"/>
      <c r="I700" s="8"/>
      <c r="J700" s="8"/>
      <c r="K700" s="8"/>
      <c r="L700" s="9" t="s">
        <v>433</v>
      </c>
      <c r="M700" s="8"/>
    </row>
    <row r="701" spans="1:13">
      <c r="A701" s="71" t="s">
        <v>1370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>
      <c r="A702" s="72" t="s">
        <v>1371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>
      <c r="A703" s="71" t="s">
        <v>1372</v>
      </c>
      <c r="B703" s="67">
        <v>25698933820</v>
      </c>
      <c r="C703" s="72" t="s">
        <v>1373</v>
      </c>
      <c r="D703" s="69">
        <v>14047433837</v>
      </c>
      <c r="E703" s="9">
        <v>810</v>
      </c>
      <c r="F703" s="25">
        <v>42915</v>
      </c>
      <c r="G703" s="70" t="s">
        <v>292</v>
      </c>
      <c r="H703" s="76">
        <v>43213</v>
      </c>
      <c r="I703" s="8"/>
      <c r="J703" s="8"/>
      <c r="K703" s="8"/>
      <c r="L703" s="9" t="s">
        <v>411</v>
      </c>
      <c r="M703" s="8"/>
    </row>
    <row r="704" spans="1:13">
      <c r="A704" s="71" t="s">
        <v>1374</v>
      </c>
      <c r="B704" s="67">
        <v>34806644315</v>
      </c>
      <c r="C704" s="72" t="s">
        <v>1375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>
      <c r="A705" s="71" t="s">
        <v>1376</v>
      </c>
      <c r="B705" s="67">
        <v>33189488886</v>
      </c>
      <c r="C705" s="72" t="s">
        <v>1377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>
      <c r="A706" s="71" t="s">
        <v>1378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292</v>
      </c>
      <c r="H706" s="76">
        <v>43213</v>
      </c>
      <c r="I706" s="8"/>
      <c r="J706" s="8"/>
      <c r="K706" s="8"/>
      <c r="L706" s="9" t="s">
        <v>411</v>
      </c>
      <c r="M706" s="8"/>
    </row>
    <row r="707" spans="1:13">
      <c r="A707" s="71" t="s">
        <v>1379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292</v>
      </c>
      <c r="H707" s="76">
        <v>43213</v>
      </c>
      <c r="I707" s="8"/>
      <c r="J707" s="8"/>
      <c r="K707" s="8"/>
      <c r="L707" s="9" t="s">
        <v>671</v>
      </c>
      <c r="M707" s="8"/>
    </row>
    <row r="708" spans="1:13">
      <c r="A708" s="13" t="s">
        <v>1380</v>
      </c>
      <c r="B708" s="67">
        <v>28390636549</v>
      </c>
      <c r="C708" s="72" t="s">
        <v>1381</v>
      </c>
      <c r="D708" s="69">
        <v>49042904534</v>
      </c>
      <c r="E708" s="9">
        <v>1343</v>
      </c>
      <c r="F708" s="25">
        <v>43004</v>
      </c>
      <c r="G708" s="70" t="s">
        <v>292</v>
      </c>
      <c r="H708" s="76">
        <v>43213</v>
      </c>
      <c r="I708" s="8"/>
      <c r="J708" s="8"/>
      <c r="K708" s="8"/>
      <c r="L708" s="8"/>
      <c r="M708" s="8"/>
    </row>
    <row r="709" spans="1:13">
      <c r="A709" s="71" t="s">
        <v>1382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>
      <c r="A710" s="71" t="s">
        <v>1383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292</v>
      </c>
      <c r="H710" s="76">
        <v>43213</v>
      </c>
      <c r="I710" s="8"/>
      <c r="J710" s="8"/>
      <c r="K710" s="8"/>
      <c r="L710" s="9" t="s">
        <v>411</v>
      </c>
      <c r="M710" s="8"/>
    </row>
    <row r="711" spans="1:13">
      <c r="A711" s="71" t="s">
        <v>1384</v>
      </c>
      <c r="B711" s="67">
        <v>27863123534</v>
      </c>
      <c r="C711" s="72" t="s">
        <v>1385</v>
      </c>
      <c r="D711" s="69">
        <v>33480142800</v>
      </c>
      <c r="E711" s="9">
        <v>1214</v>
      </c>
      <c r="F711" s="25">
        <v>42989</v>
      </c>
      <c r="G711" s="70" t="s">
        <v>292</v>
      </c>
      <c r="H711" s="9"/>
      <c r="I711" s="8"/>
      <c r="J711" s="8"/>
      <c r="K711" s="8"/>
      <c r="L711" s="8"/>
      <c r="M711" s="8"/>
    </row>
    <row r="712" spans="1:13">
      <c r="A712" s="72" t="s">
        <v>1386</v>
      </c>
      <c r="B712" s="67">
        <v>39454972804</v>
      </c>
      <c r="C712" s="72" t="s">
        <v>1387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>
      <c r="A713" s="29" t="s">
        <v>1388</v>
      </c>
      <c r="B713" s="67"/>
      <c r="C713" s="29" t="s">
        <v>1389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>
      <c r="A714" s="71" t="s">
        <v>1390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292</v>
      </c>
      <c r="H714" s="9"/>
      <c r="I714" s="8"/>
      <c r="J714" s="8"/>
      <c r="K714" s="8"/>
      <c r="L714" s="8"/>
      <c r="M714" s="8"/>
    </row>
    <row r="715" spans="1:13">
      <c r="A715" s="15" t="s">
        <v>1391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292</v>
      </c>
      <c r="H715" s="9"/>
      <c r="I715" s="8"/>
      <c r="J715" s="8"/>
      <c r="K715" s="8"/>
      <c r="L715" s="9">
        <v>232</v>
      </c>
      <c r="M715" s="8"/>
    </row>
    <row r="716" spans="1:13">
      <c r="A716" s="71" t="s">
        <v>1392</v>
      </c>
      <c r="B716" s="67">
        <v>17810014803</v>
      </c>
      <c r="C716" s="72" t="s">
        <v>1393</v>
      </c>
      <c r="D716" s="69">
        <v>28934526807</v>
      </c>
      <c r="E716" s="9">
        <v>292</v>
      </c>
      <c r="F716" s="25">
        <v>43168</v>
      </c>
      <c r="G716" s="9" t="s">
        <v>292</v>
      </c>
      <c r="H716" s="9"/>
      <c r="I716" s="8"/>
      <c r="J716" s="8"/>
      <c r="K716" s="8"/>
      <c r="L716" s="9">
        <v>318</v>
      </c>
      <c r="M716" s="8"/>
    </row>
    <row r="717" spans="1:13">
      <c r="A717" s="14" t="s">
        <v>1394</v>
      </c>
      <c r="B717" s="67">
        <v>724258574</v>
      </c>
      <c r="C717" s="72" t="s">
        <v>1395</v>
      </c>
      <c r="D717" s="69">
        <v>18303361856</v>
      </c>
      <c r="E717" s="9">
        <v>262</v>
      </c>
      <c r="F717" s="25">
        <v>43160</v>
      </c>
      <c r="G717" s="70" t="s">
        <v>292</v>
      </c>
      <c r="H717" s="25">
        <v>43164</v>
      </c>
      <c r="I717" s="8"/>
      <c r="J717" s="8"/>
      <c r="K717" s="8"/>
      <c r="L717" s="9">
        <v>255</v>
      </c>
      <c r="M717" s="8"/>
    </row>
    <row r="718" spans="1:13">
      <c r="A718" s="71" t="s">
        <v>1396</v>
      </c>
      <c r="B718" s="67">
        <v>37453999863</v>
      </c>
      <c r="C718" s="72" t="s">
        <v>1397</v>
      </c>
      <c r="D718" s="69"/>
      <c r="E718" s="9">
        <v>1241</v>
      </c>
      <c r="F718" s="25">
        <v>42992</v>
      </c>
      <c r="G718" s="70" t="s">
        <v>292</v>
      </c>
      <c r="H718" s="9"/>
      <c r="I718" s="8"/>
      <c r="J718" s="8"/>
      <c r="K718" s="8"/>
      <c r="L718" s="8"/>
      <c r="M718" s="8"/>
    </row>
    <row r="719" spans="1:13">
      <c r="A719" s="71" t="s">
        <v>1398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>
      <c r="A720" s="71" t="s">
        <v>1399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292</v>
      </c>
      <c r="H720" s="9"/>
      <c r="I720" s="8"/>
      <c r="J720" s="8"/>
      <c r="K720" s="8"/>
      <c r="L720" s="9">
        <v>318</v>
      </c>
      <c r="M720" s="8"/>
    </row>
    <row r="721" spans="1:13">
      <c r="A721" s="71" t="s">
        <v>1400</v>
      </c>
      <c r="B721" s="67">
        <v>30308539850</v>
      </c>
      <c r="C721" s="72" t="s">
        <v>1401</v>
      </c>
      <c r="D721" s="69">
        <v>84739517434</v>
      </c>
      <c r="E721" s="9">
        <v>810</v>
      </c>
      <c r="F721" s="25">
        <v>42915</v>
      </c>
      <c r="G721" s="70" t="s">
        <v>292</v>
      </c>
      <c r="H721" s="9"/>
      <c r="I721" s="8"/>
      <c r="J721" s="8"/>
      <c r="K721" s="8"/>
      <c r="L721" s="9" t="s">
        <v>411</v>
      </c>
      <c r="M721" s="8"/>
    </row>
    <row r="722" spans="1:13">
      <c r="A722" s="71" t="s">
        <v>1402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>
      <c r="A723" s="71" t="s">
        <v>1403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>
      <c r="A724" s="15" t="s">
        <v>1404</v>
      </c>
      <c r="B724" s="67">
        <v>21716687845</v>
      </c>
      <c r="C724" s="15" t="s">
        <v>1405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>
      <c r="A725" s="71" t="s">
        <v>1406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292</v>
      </c>
      <c r="H725" s="9"/>
      <c r="I725" s="8"/>
      <c r="J725" s="8"/>
      <c r="K725" s="8"/>
      <c r="L725" s="8"/>
      <c r="M725" s="8"/>
    </row>
    <row r="726" spans="1:13">
      <c r="A726" s="14" t="s">
        <v>1407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292</v>
      </c>
      <c r="H726" s="25">
        <v>43164</v>
      </c>
      <c r="I726" s="8"/>
      <c r="J726" s="8"/>
      <c r="K726" s="8"/>
      <c r="L726" s="9">
        <v>255</v>
      </c>
      <c r="M726" s="8"/>
    </row>
    <row r="727" spans="1:13">
      <c r="A727" s="71" t="s">
        <v>1408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292</v>
      </c>
      <c r="H727" s="9"/>
      <c r="I727" s="8"/>
      <c r="J727" s="8"/>
      <c r="K727" s="8"/>
      <c r="L727" s="9" t="s">
        <v>526</v>
      </c>
      <c r="M727" s="8"/>
    </row>
    <row r="728" spans="1:13">
      <c r="A728" s="14" t="s">
        <v>1409</v>
      </c>
      <c r="B728" s="67">
        <v>99658925553</v>
      </c>
      <c r="C728" s="72" t="s">
        <v>1410</v>
      </c>
      <c r="D728" s="69">
        <v>99610108504</v>
      </c>
      <c r="E728" s="9">
        <v>262</v>
      </c>
      <c r="F728" s="25">
        <v>43160</v>
      </c>
      <c r="G728" s="70" t="s">
        <v>292</v>
      </c>
      <c r="H728" s="25">
        <v>43164</v>
      </c>
      <c r="I728" s="8"/>
      <c r="J728" s="8"/>
      <c r="K728" s="8"/>
      <c r="L728" s="9">
        <v>255</v>
      </c>
      <c r="M728" s="8"/>
    </row>
    <row r="729" spans="1:13">
      <c r="A729" s="71" t="s">
        <v>1411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292</v>
      </c>
      <c r="H729" s="9"/>
      <c r="I729" s="8"/>
      <c r="J729" s="8"/>
      <c r="K729" s="8"/>
      <c r="L729" s="9">
        <v>318</v>
      </c>
      <c r="M729" s="8"/>
    </row>
    <row r="730" spans="1:13">
      <c r="A730" s="13" t="s">
        <v>1412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292</v>
      </c>
      <c r="H730" s="9"/>
      <c r="I730" s="8"/>
      <c r="J730" s="8"/>
      <c r="K730" s="8"/>
      <c r="L730" s="8"/>
      <c r="M730" s="8"/>
    </row>
    <row r="731" spans="1:13">
      <c r="A731" s="29" t="s">
        <v>1413</v>
      </c>
      <c r="B731" s="67"/>
      <c r="C731" s="18" t="s">
        <v>402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>
      <c r="A732" s="13" t="s">
        <v>1414</v>
      </c>
      <c r="B732" s="67">
        <v>25905224870</v>
      </c>
      <c r="C732" s="68" t="s">
        <v>1415</v>
      </c>
      <c r="D732" s="69">
        <v>36185256304</v>
      </c>
      <c r="E732" s="9">
        <v>1824</v>
      </c>
      <c r="F732" s="25">
        <v>43091</v>
      </c>
      <c r="G732" s="70" t="s">
        <v>292</v>
      </c>
      <c r="H732" s="9"/>
      <c r="I732" s="8"/>
      <c r="J732" s="8"/>
      <c r="K732" s="8"/>
      <c r="L732" s="9">
        <v>1828</v>
      </c>
      <c r="M732" s="8"/>
    </row>
    <row r="733" spans="1:13">
      <c r="A733" s="71" t="s">
        <v>1416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292</v>
      </c>
      <c r="H733" s="25">
        <v>43164</v>
      </c>
      <c r="I733" s="8"/>
      <c r="J733" s="8"/>
      <c r="K733" s="8"/>
      <c r="L733" s="9">
        <v>255</v>
      </c>
      <c r="M733" s="8"/>
    </row>
    <row r="734" spans="1:13">
      <c r="A734" s="71" t="s">
        <v>1417</v>
      </c>
      <c r="B734" s="67">
        <v>33160363856</v>
      </c>
      <c r="C734" s="72" t="s">
        <v>1418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>
      <c r="A735" s="71" t="s">
        <v>1419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292</v>
      </c>
      <c r="H735" s="9"/>
      <c r="I735" s="8"/>
      <c r="J735" s="8"/>
      <c r="K735" s="8"/>
      <c r="L735" s="9" t="s">
        <v>526</v>
      </c>
      <c r="M735" s="8"/>
    </row>
    <row r="736" spans="1:13">
      <c r="A736" s="15" t="s">
        <v>1420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292</v>
      </c>
      <c r="H736" s="9"/>
      <c r="I736" s="8"/>
      <c r="J736" s="8"/>
      <c r="K736" s="8"/>
      <c r="L736" s="9">
        <v>232</v>
      </c>
      <c r="M736" s="8"/>
    </row>
    <row r="737" spans="1:13">
      <c r="A737" s="29" t="s">
        <v>1421</v>
      </c>
      <c r="B737" s="67">
        <v>71752722434</v>
      </c>
      <c r="C737" s="18" t="s">
        <v>402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>
      <c r="A738" s="71" t="s">
        <v>1422</v>
      </c>
      <c r="B738" s="67">
        <v>8590565890</v>
      </c>
      <c r="C738" s="72" t="s">
        <v>1423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572</v>
      </c>
      <c r="M738" s="8"/>
    </row>
    <row r="739" spans="1:13">
      <c r="A739" s="71" t="s">
        <v>1424</v>
      </c>
      <c r="B739" s="67">
        <v>35556660883</v>
      </c>
      <c r="C739" s="72" t="s">
        <v>1425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>
      <c r="A740" s="71" t="s">
        <v>1426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>
      <c r="A741" s="71" t="s">
        <v>1427</v>
      </c>
      <c r="B741" s="67">
        <v>25905305870</v>
      </c>
      <c r="C741" s="72" t="s">
        <v>1428</v>
      </c>
      <c r="D741" s="69">
        <v>11480794830</v>
      </c>
      <c r="E741" s="9">
        <v>1267</v>
      </c>
      <c r="F741" s="25">
        <v>42998</v>
      </c>
      <c r="G741" s="70" t="s">
        <v>292</v>
      </c>
      <c r="H741" s="9"/>
      <c r="I741" s="8"/>
      <c r="J741" s="8"/>
      <c r="K741" s="8"/>
      <c r="L741" s="8"/>
      <c r="M741" s="8"/>
    </row>
    <row r="742" spans="1:13">
      <c r="A742" s="71" t="s">
        <v>1429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>
      <c r="A743" s="71" t="s">
        <v>1430</v>
      </c>
      <c r="B743" s="67">
        <v>18360141800</v>
      </c>
      <c r="C743" s="72" t="s">
        <v>1431</v>
      </c>
      <c r="D743" s="69">
        <v>48201979591</v>
      </c>
      <c r="E743" s="9">
        <v>117</v>
      </c>
      <c r="F743" s="25">
        <v>43117</v>
      </c>
      <c r="G743" s="70" t="s">
        <v>292</v>
      </c>
      <c r="H743" s="9"/>
      <c r="I743" s="8"/>
      <c r="J743" s="8"/>
      <c r="K743" s="8"/>
      <c r="L743" s="9" t="s">
        <v>443</v>
      </c>
      <c r="M743" s="8"/>
    </row>
    <row r="744" spans="1:13">
      <c r="A744" s="15" t="s">
        <v>1432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443</v>
      </c>
      <c r="M744" s="8"/>
    </row>
    <row r="745" spans="1:13">
      <c r="A745" s="71" t="s">
        <v>1433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>
      <c r="A746" s="15" t="s">
        <v>1434</v>
      </c>
      <c r="B746" s="67">
        <v>36613647829</v>
      </c>
      <c r="C746" s="72" t="s">
        <v>1435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>
      <c r="A747" s="15" t="s">
        <v>1436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292</v>
      </c>
      <c r="H747" s="25">
        <v>43151</v>
      </c>
      <c r="I747" s="8"/>
      <c r="J747" s="8"/>
      <c r="K747" s="8"/>
      <c r="L747" s="8"/>
      <c r="M747" s="8"/>
    </row>
    <row r="748" spans="1:13">
      <c r="A748" s="13" t="s">
        <v>1437</v>
      </c>
      <c r="B748" s="67">
        <v>25332480881</v>
      </c>
      <c r="C748" s="18" t="s">
        <v>402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>
      <c r="A749" s="15" t="s">
        <v>1438</v>
      </c>
      <c r="B749" s="67">
        <v>16365042809</v>
      </c>
      <c r="C749" s="72" t="s">
        <v>1439</v>
      </c>
      <c r="D749" s="69">
        <v>26488933850</v>
      </c>
      <c r="E749" s="9">
        <v>117</v>
      </c>
      <c r="F749" s="25">
        <v>43117</v>
      </c>
      <c r="G749" s="70" t="s">
        <v>292</v>
      </c>
      <c r="H749" s="25">
        <v>43151</v>
      </c>
      <c r="I749" s="8"/>
      <c r="J749" s="8"/>
      <c r="K749" s="8"/>
      <c r="L749" s="9" t="s">
        <v>443</v>
      </c>
      <c r="M749" s="8"/>
    </row>
    <row r="750" spans="1:13">
      <c r="A750" s="15" t="s">
        <v>1440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292</v>
      </c>
      <c r="H750" s="25">
        <v>43151</v>
      </c>
      <c r="I750" s="8"/>
      <c r="J750" s="8"/>
      <c r="K750" s="8"/>
      <c r="L750" s="9" t="s">
        <v>443</v>
      </c>
      <c r="M750" s="8"/>
    </row>
    <row r="751" spans="1:13">
      <c r="A751" s="71" t="s">
        <v>1441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>
      <c r="A752" s="13" t="s">
        <v>1442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298</v>
      </c>
      <c r="H752" s="9"/>
      <c r="I752" s="8"/>
      <c r="J752" s="8"/>
      <c r="K752" s="8"/>
      <c r="L752" s="8"/>
      <c r="M752" s="8"/>
    </row>
    <row r="753" spans="1:13">
      <c r="A753" s="71" t="s">
        <v>1443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292</v>
      </c>
      <c r="H753" s="25">
        <v>43151</v>
      </c>
      <c r="I753" s="8"/>
      <c r="J753" s="8"/>
      <c r="K753" s="8"/>
      <c r="L753" s="8"/>
      <c r="M753" s="8"/>
    </row>
    <row r="754" spans="1:13">
      <c r="A754" s="71" t="s">
        <v>1444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292</v>
      </c>
      <c r="H754" s="9"/>
      <c r="I754" s="8"/>
      <c r="J754" s="8"/>
      <c r="K754" s="8"/>
      <c r="L754" s="8"/>
      <c r="M754" s="8"/>
    </row>
    <row r="755" spans="1:13">
      <c r="A755" s="29" t="s">
        <v>1445</v>
      </c>
      <c r="B755" s="67"/>
      <c r="C755" s="18" t="s">
        <v>402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>
      <c r="A756" s="13" t="s">
        <v>1446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>
      <c r="A757" s="71" t="s">
        <v>1447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292</v>
      </c>
      <c r="H757" s="9"/>
      <c r="I757" s="8"/>
      <c r="J757" s="8"/>
      <c r="K757" s="8"/>
      <c r="L757" s="8"/>
      <c r="M757" s="8"/>
    </row>
    <row r="758" spans="1:13">
      <c r="A758" s="71" t="s">
        <v>1448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>
      <c r="A759" s="71" t="s">
        <v>1449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411</v>
      </c>
      <c r="M759" s="8"/>
    </row>
    <row r="760" spans="1:13">
      <c r="A760" s="71" t="s">
        <v>1450</v>
      </c>
      <c r="B760" s="67">
        <v>41756319847</v>
      </c>
      <c r="C760" s="72" t="s">
        <v>1451</v>
      </c>
      <c r="D760" s="69">
        <v>28780799817</v>
      </c>
      <c r="E760" s="9">
        <v>1489</v>
      </c>
      <c r="F760" s="25">
        <v>43038</v>
      </c>
      <c r="G760" s="70" t="s">
        <v>306</v>
      </c>
      <c r="H760" s="9"/>
      <c r="I760" s="8"/>
      <c r="J760" s="8"/>
      <c r="K760" s="8"/>
      <c r="L760" s="9" t="s">
        <v>433</v>
      </c>
      <c r="M760" s="8"/>
    </row>
    <row r="761" spans="1:13">
      <c r="A761" s="71" t="s">
        <v>1452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292</v>
      </c>
      <c r="H761" s="9"/>
      <c r="I761" s="8"/>
      <c r="J761" s="8"/>
      <c r="K761" s="8"/>
      <c r="L761" s="9">
        <v>1828</v>
      </c>
      <c r="M761" s="8"/>
    </row>
    <row r="762" spans="1:13">
      <c r="A762" s="29" t="s">
        <v>1453</v>
      </c>
      <c r="B762" s="67"/>
      <c r="C762" s="29" t="s">
        <v>402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>
      <c r="A763" s="14" t="s">
        <v>1454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>
      <c r="A764" s="13" t="s">
        <v>1455</v>
      </c>
      <c r="B764" s="67">
        <v>39762019873</v>
      </c>
      <c r="C764" s="68" t="s">
        <v>1456</v>
      </c>
      <c r="D764" s="69">
        <v>28639452890</v>
      </c>
      <c r="E764" s="9">
        <v>1128</v>
      </c>
      <c r="F764" s="25">
        <v>42972</v>
      </c>
      <c r="G764" s="70" t="s">
        <v>292</v>
      </c>
      <c r="H764" s="9"/>
      <c r="I764" s="8"/>
      <c r="J764" s="8"/>
      <c r="K764" s="8"/>
      <c r="L764" s="8"/>
      <c r="M764" s="8"/>
    </row>
    <row r="765" spans="1:13">
      <c r="A765" s="71" t="s">
        <v>1457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292</v>
      </c>
      <c r="H765" s="25">
        <v>43164</v>
      </c>
      <c r="I765" s="8"/>
      <c r="J765" s="8"/>
      <c r="K765" s="8"/>
      <c r="L765" s="9">
        <v>255</v>
      </c>
      <c r="M765" s="8"/>
    </row>
    <row r="766" spans="1:13">
      <c r="A766" s="71" t="s">
        <v>1458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>
      <c r="A767" s="71" t="s">
        <v>1459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292</v>
      </c>
      <c r="H767" s="9"/>
      <c r="I767" s="8"/>
      <c r="J767" s="8"/>
      <c r="K767" s="8"/>
      <c r="L767" s="9">
        <v>318</v>
      </c>
      <c r="M767" s="8"/>
    </row>
    <row r="768" spans="1:13">
      <c r="A768" s="71" t="s">
        <v>1460</v>
      </c>
      <c r="B768" s="67">
        <v>21914504828</v>
      </c>
      <c r="C768" s="72" t="s">
        <v>1461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>
      <c r="A769" s="71" t="s">
        <v>1462</v>
      </c>
      <c r="B769" s="67">
        <v>11259745830</v>
      </c>
      <c r="C769" s="72" t="s">
        <v>1463</v>
      </c>
      <c r="D769" s="69">
        <v>49121901368</v>
      </c>
      <c r="E769" s="9">
        <v>262</v>
      </c>
      <c r="F769" s="25">
        <v>43160</v>
      </c>
      <c r="G769" s="70" t="s">
        <v>292</v>
      </c>
      <c r="H769" s="25">
        <v>43164</v>
      </c>
      <c r="I769" s="8"/>
      <c r="J769" s="8"/>
      <c r="K769" s="8"/>
      <c r="L769" s="9">
        <v>255</v>
      </c>
      <c r="M769" s="8"/>
    </row>
    <row r="770" spans="1:13">
      <c r="A770" s="71" t="s">
        <v>1464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292</v>
      </c>
      <c r="H770" s="9"/>
      <c r="I770" s="8"/>
      <c r="J770" s="8"/>
      <c r="K770" s="8"/>
      <c r="L770" s="8"/>
      <c r="M770" s="8"/>
    </row>
    <row r="771" spans="1:13">
      <c r="A771" s="72" t="s">
        <v>1465</v>
      </c>
      <c r="B771" s="67">
        <v>22547591839</v>
      </c>
      <c r="C771" s="72" t="s">
        <v>1466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>
      <c r="A772" s="84" t="s">
        <v>1467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>
      <c r="A773" s="71" t="s">
        <v>1468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>
      <c r="A774" s="71" t="s">
        <v>1469</v>
      </c>
      <c r="B774" s="67">
        <v>9881940400</v>
      </c>
      <c r="C774" s="72" t="s">
        <v>1470</v>
      </c>
      <c r="D774" s="69">
        <v>1778905501</v>
      </c>
      <c r="E774" s="9">
        <v>262</v>
      </c>
      <c r="F774" s="25">
        <v>43160</v>
      </c>
      <c r="G774" s="70" t="s">
        <v>298</v>
      </c>
      <c r="H774" s="25">
        <v>43164</v>
      </c>
      <c r="I774" s="8"/>
      <c r="J774" s="8"/>
      <c r="K774" s="8"/>
      <c r="L774" s="9">
        <v>255</v>
      </c>
      <c r="M774" s="8"/>
    </row>
    <row r="775" spans="1:13">
      <c r="A775" s="84" t="s">
        <v>1471</v>
      </c>
      <c r="B775" s="67">
        <v>18240627889</v>
      </c>
      <c r="C775" s="77" t="s">
        <v>1472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>
      <c r="A776" s="71" t="s">
        <v>1473</v>
      </c>
      <c r="B776" s="67">
        <v>34715955890</v>
      </c>
      <c r="C776" s="72" t="s">
        <v>1474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>
      <c r="A777" s="71" t="s">
        <v>1475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292</v>
      </c>
      <c r="H777" s="25">
        <v>43151</v>
      </c>
      <c r="I777" s="8"/>
      <c r="J777" s="8"/>
      <c r="K777" s="8"/>
      <c r="L777" s="8"/>
      <c r="M777" s="8"/>
    </row>
    <row r="778" spans="1:13">
      <c r="A778" s="71" t="s">
        <v>1476</v>
      </c>
      <c r="B778" s="67">
        <v>2413902490</v>
      </c>
      <c r="C778" s="77" t="s">
        <v>1477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>
      <c r="A779" s="71" t="s">
        <v>1478</v>
      </c>
      <c r="B779" s="67">
        <v>30558706894</v>
      </c>
      <c r="C779" s="72" t="s">
        <v>1479</v>
      </c>
      <c r="D779" s="69">
        <v>87700352372</v>
      </c>
      <c r="E779" s="9">
        <v>810</v>
      </c>
      <c r="F779" s="25">
        <v>42915</v>
      </c>
      <c r="G779" s="70" t="s">
        <v>292</v>
      </c>
      <c r="H779" s="9"/>
      <c r="I779" s="8"/>
      <c r="J779" s="8"/>
      <c r="K779" s="8"/>
      <c r="L779" s="9" t="s">
        <v>411</v>
      </c>
      <c r="M779" s="8"/>
    </row>
    <row r="780" spans="1:13">
      <c r="A780" s="71" t="s">
        <v>1480</v>
      </c>
      <c r="B780" s="67">
        <v>27926471836</v>
      </c>
      <c r="C780" s="72" t="s">
        <v>1481</v>
      </c>
      <c r="D780" s="69">
        <v>2210309484</v>
      </c>
      <c r="E780" s="9">
        <v>1439</v>
      </c>
      <c r="F780" s="25">
        <v>43025</v>
      </c>
      <c r="G780" s="70" t="s">
        <v>298</v>
      </c>
      <c r="H780" s="9"/>
      <c r="I780" s="8"/>
      <c r="J780" s="8"/>
      <c r="K780" s="8"/>
      <c r="L780" s="9" t="s">
        <v>775</v>
      </c>
      <c r="M780" s="8"/>
    </row>
    <row r="781" spans="1:13">
      <c r="A781" s="15" t="s">
        <v>1482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292</v>
      </c>
      <c r="H781" s="9"/>
      <c r="I781" s="8"/>
      <c r="J781" s="8"/>
      <c r="K781" s="8"/>
      <c r="L781" s="9" t="s">
        <v>443</v>
      </c>
      <c r="M781" s="8"/>
    </row>
    <row r="782" spans="1:13">
      <c r="A782" s="71" t="s">
        <v>1483</v>
      </c>
      <c r="B782" s="67">
        <v>47361352391</v>
      </c>
      <c r="C782" s="72" t="s">
        <v>1484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>
      <c r="A783" s="71" t="s">
        <v>1485</v>
      </c>
      <c r="B783" s="67">
        <v>32763223826</v>
      </c>
      <c r="C783" s="72" t="s">
        <v>1486</v>
      </c>
      <c r="D783" s="69">
        <v>27936363807</v>
      </c>
      <c r="E783" s="9">
        <v>608</v>
      </c>
      <c r="F783" s="25">
        <v>43012</v>
      </c>
      <c r="G783" s="70" t="s">
        <v>292</v>
      </c>
      <c r="H783" s="9"/>
      <c r="I783" s="8"/>
      <c r="J783" s="8"/>
      <c r="K783" s="8"/>
      <c r="L783" s="8"/>
      <c r="M783" s="8"/>
    </row>
    <row r="784" spans="1:13">
      <c r="A784" s="18" t="s">
        <v>1487</v>
      </c>
      <c r="B784" s="67"/>
      <c r="C784" s="18" t="s">
        <v>1488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>
      <c r="A785" s="15" t="s">
        <v>1489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292</v>
      </c>
      <c r="H785" s="25">
        <v>43151</v>
      </c>
      <c r="I785" s="8"/>
      <c r="J785" s="8"/>
      <c r="K785" s="8"/>
      <c r="L785" s="8"/>
      <c r="M785" s="8"/>
    </row>
    <row r="786" spans="1:13">
      <c r="A786" s="13" t="s">
        <v>1490</v>
      </c>
      <c r="B786" s="67">
        <v>39068600869</v>
      </c>
      <c r="C786" s="72"/>
      <c r="D786" s="69"/>
      <c r="E786" s="9"/>
      <c r="F786" s="25"/>
      <c r="G786" s="70" t="s">
        <v>292</v>
      </c>
      <c r="H786" s="9"/>
      <c r="I786" s="8"/>
      <c r="J786" s="8"/>
      <c r="K786" s="8"/>
      <c r="L786" s="8"/>
      <c r="M786" s="8"/>
    </row>
    <row r="787" spans="1:13">
      <c r="A787" s="29" t="s">
        <v>1491</v>
      </c>
      <c r="B787" s="67">
        <v>31875471847</v>
      </c>
      <c r="C787" s="18" t="s">
        <v>1492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>
      <c r="A788" s="71" t="s">
        <v>1493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>
      <c r="A789" s="71" t="s">
        <v>1494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>
      <c r="A790" s="29" t="s">
        <v>1495</v>
      </c>
      <c r="B790" s="67">
        <v>11634805844</v>
      </c>
      <c r="C790" s="29" t="s">
        <v>402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>
      <c r="A791" s="15" t="s">
        <v>1496</v>
      </c>
      <c r="B791" s="67">
        <v>39485124856</v>
      </c>
      <c r="C791" s="72" t="s">
        <v>1497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>
      <c r="A792" s="15" t="s">
        <v>1498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>
      <c r="A793" s="18" t="s">
        <v>1499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>
      <c r="A794" s="71" t="s">
        <v>1500</v>
      </c>
      <c r="B794" s="67">
        <v>32221516877</v>
      </c>
      <c r="C794" s="72" t="s">
        <v>1501</v>
      </c>
      <c r="D794" s="69">
        <v>18338419800</v>
      </c>
      <c r="E794" s="9">
        <v>1752</v>
      </c>
      <c r="F794" s="25">
        <v>43051</v>
      </c>
      <c r="G794" s="70" t="s">
        <v>292</v>
      </c>
      <c r="H794" s="9"/>
      <c r="I794" s="8"/>
      <c r="J794" s="8"/>
      <c r="K794" s="8"/>
      <c r="L794" s="9">
        <v>1759</v>
      </c>
      <c r="M794" s="8"/>
    </row>
    <row r="795" spans="1:13">
      <c r="A795" s="71" t="s">
        <v>1502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>
      <c r="A796" s="15" t="s">
        <v>1503</v>
      </c>
      <c r="B796" s="67">
        <v>43951626810</v>
      </c>
      <c r="C796" s="72" t="s">
        <v>1504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>
      <c r="A797" s="15" t="s">
        <v>1505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>
      <c r="A798" s="73" t="s">
        <v>1506</v>
      </c>
      <c r="B798" s="67">
        <v>40840895836</v>
      </c>
      <c r="C798" s="72" t="s">
        <v>1507</v>
      </c>
      <c r="D798" s="69">
        <v>39329913890</v>
      </c>
      <c r="E798" s="9">
        <v>1106</v>
      </c>
      <c r="F798" s="25">
        <v>42965</v>
      </c>
      <c r="G798" s="70" t="s">
        <v>292</v>
      </c>
      <c r="H798" s="76">
        <v>43213</v>
      </c>
      <c r="I798" s="8"/>
      <c r="J798" s="8"/>
      <c r="K798" s="8"/>
      <c r="L798" s="8"/>
      <c r="M798" s="8"/>
    </row>
    <row r="799" spans="1:13">
      <c r="A799" s="73" t="s">
        <v>1508</v>
      </c>
      <c r="B799" s="67">
        <v>30969194809</v>
      </c>
      <c r="C799" s="72" t="s">
        <v>1509</v>
      </c>
      <c r="D799" s="69">
        <v>13013456876</v>
      </c>
      <c r="E799" s="9">
        <v>810</v>
      </c>
      <c r="F799" s="25">
        <v>42915</v>
      </c>
      <c r="G799" s="70" t="s">
        <v>292</v>
      </c>
      <c r="H799" s="76">
        <v>43213</v>
      </c>
      <c r="I799" s="8"/>
      <c r="J799" s="8"/>
      <c r="K799" s="8"/>
      <c r="L799" s="9" t="s">
        <v>411</v>
      </c>
      <c r="M799" s="8"/>
    </row>
    <row r="800" spans="1:13">
      <c r="A800" s="71" t="s">
        <v>1510</v>
      </c>
      <c r="B800" s="67">
        <v>33186484855</v>
      </c>
      <c r="C800" s="77" t="s">
        <v>1511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>
      <c r="A801" s="71" t="s">
        <v>1512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292</v>
      </c>
      <c r="H801" s="25">
        <v>43164</v>
      </c>
      <c r="I801" s="8"/>
      <c r="J801" s="8"/>
      <c r="K801" s="8"/>
      <c r="L801" s="9">
        <v>255</v>
      </c>
      <c r="M801" s="8"/>
    </row>
    <row r="802" spans="1:13">
      <c r="A802" s="13" t="s">
        <v>1513</v>
      </c>
      <c r="B802" s="67">
        <v>27298776819</v>
      </c>
      <c r="C802" s="72" t="s">
        <v>1514</v>
      </c>
      <c r="D802" s="69">
        <v>31387900544</v>
      </c>
      <c r="E802" s="9">
        <v>229</v>
      </c>
      <c r="F802" s="25">
        <v>43151</v>
      </c>
      <c r="G802" s="70" t="s">
        <v>292</v>
      </c>
      <c r="H802" s="76">
        <v>43213</v>
      </c>
      <c r="I802" s="8"/>
      <c r="J802" s="8"/>
      <c r="K802" s="8"/>
      <c r="L802" s="9">
        <v>232</v>
      </c>
      <c r="M802" s="8"/>
    </row>
    <row r="803" spans="1:13">
      <c r="A803" s="71" t="s">
        <v>1515</v>
      </c>
      <c r="B803" s="67">
        <v>28802120811</v>
      </c>
      <c r="C803" s="72" t="s">
        <v>1516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>
      <c r="A804" s="18" t="s">
        <v>1517</v>
      </c>
      <c r="B804" s="67">
        <v>34581351898</v>
      </c>
      <c r="C804" s="18" t="s">
        <v>1518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>
      <c r="A805" s="71" t="s">
        <v>1519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>
      <c r="A806" s="13" t="s">
        <v>1520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292</v>
      </c>
      <c r="H806" s="9"/>
      <c r="I806" s="8"/>
      <c r="J806" s="8"/>
      <c r="K806" s="8"/>
      <c r="L806" s="8"/>
      <c r="M806" s="8"/>
    </row>
    <row r="807" spans="1:13">
      <c r="A807" s="29" t="s">
        <v>1521</v>
      </c>
      <c r="B807" s="67"/>
      <c r="C807" s="29" t="s">
        <v>402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>
      <c r="A808" s="71" t="s">
        <v>1522</v>
      </c>
      <c r="B808" s="67">
        <v>40324052391</v>
      </c>
      <c r="C808" s="72" t="s">
        <v>1523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>
      <c r="A809" s="71" t="s">
        <v>1524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292</v>
      </c>
      <c r="H809" s="9"/>
      <c r="I809" s="8"/>
      <c r="J809" s="8"/>
      <c r="K809" s="8"/>
      <c r="L809" s="9" t="s">
        <v>411</v>
      </c>
      <c r="M809" s="8"/>
    </row>
    <row r="810" spans="1:13">
      <c r="A810" s="71" t="s">
        <v>1525</v>
      </c>
      <c r="B810" s="67">
        <v>29022777847</v>
      </c>
      <c r="C810" s="72" t="s">
        <v>1526</v>
      </c>
      <c r="D810" s="69">
        <v>33430349400</v>
      </c>
      <c r="E810" s="9">
        <v>262</v>
      </c>
      <c r="F810" s="25">
        <v>43160</v>
      </c>
      <c r="G810" s="70" t="s">
        <v>292</v>
      </c>
      <c r="H810" s="25">
        <v>43164</v>
      </c>
      <c r="I810" s="8"/>
      <c r="J810" s="8"/>
      <c r="K810" s="8"/>
      <c r="L810" s="9">
        <v>255</v>
      </c>
      <c r="M810" s="8"/>
    </row>
    <row r="811" spans="1:13">
      <c r="A811" s="71" t="s">
        <v>1527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292</v>
      </c>
      <c r="H811" s="9"/>
      <c r="I811" s="8"/>
      <c r="J811" s="8"/>
      <c r="K811" s="8"/>
      <c r="L811" s="8"/>
      <c r="M811" s="8"/>
    </row>
    <row r="812" spans="1:13">
      <c r="A812" s="71" t="s">
        <v>1528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>
      <c r="A813" s="71" t="s">
        <v>1529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292</v>
      </c>
      <c r="H813" s="9"/>
      <c r="I813" s="8"/>
      <c r="J813" s="8"/>
      <c r="K813" s="8"/>
      <c r="L813" s="8"/>
      <c r="M813" s="8"/>
    </row>
    <row r="814" spans="1:13">
      <c r="A814" s="71" t="s">
        <v>1530</v>
      </c>
      <c r="B814" s="67">
        <v>43523026865</v>
      </c>
      <c r="C814" s="72" t="s">
        <v>1531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>
      <c r="A815" s="29" t="s">
        <v>1532</v>
      </c>
      <c r="B815" s="67"/>
      <c r="C815" s="29" t="s">
        <v>402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>
      <c r="A816" s="71" t="s">
        <v>1533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292</v>
      </c>
      <c r="H816" s="9"/>
      <c r="I816" s="8"/>
      <c r="J816" s="8"/>
      <c r="K816" s="8"/>
      <c r="L816" s="9">
        <v>1759</v>
      </c>
      <c r="M816" s="8"/>
    </row>
    <row r="817" spans="1:13">
      <c r="A817" s="15" t="s">
        <v>1534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292</v>
      </c>
      <c r="H817" s="9"/>
      <c r="I817" s="8"/>
      <c r="J817" s="8"/>
      <c r="K817" s="8"/>
      <c r="L817" s="9">
        <v>232</v>
      </c>
      <c r="M817" s="8"/>
    </row>
    <row r="818" spans="1:13">
      <c r="A818" s="71" t="s">
        <v>1535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292</v>
      </c>
      <c r="H818" s="9"/>
      <c r="I818" s="8"/>
      <c r="J818" s="8"/>
      <c r="K818" s="8"/>
      <c r="L818" s="9" t="s">
        <v>411</v>
      </c>
      <c r="M818" s="8"/>
    </row>
    <row r="819" spans="1:13">
      <c r="A819" s="71" t="s">
        <v>1536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>
      <c r="A820" s="13" t="s">
        <v>1537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>
      <c r="A821" s="71" t="s">
        <v>1538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292</v>
      </c>
      <c r="H821" s="9"/>
      <c r="I821" s="8"/>
      <c r="J821" s="8"/>
      <c r="K821" s="8"/>
      <c r="L821" s="9">
        <v>318</v>
      </c>
      <c r="M821" s="8"/>
    </row>
    <row r="822" spans="1:13">
      <c r="A822" s="71" t="s">
        <v>1539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292</v>
      </c>
      <c r="H822" s="9"/>
      <c r="I822" s="8"/>
      <c r="J822" s="8"/>
      <c r="K822" s="8"/>
      <c r="L822" s="8"/>
      <c r="M822" s="8"/>
    </row>
    <row r="823" spans="1:13">
      <c r="A823" s="71" t="s">
        <v>1540</v>
      </c>
      <c r="B823" s="67">
        <v>5102923480</v>
      </c>
      <c r="C823" s="72" t="s">
        <v>1541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>
      <c r="A824" s="71" t="s">
        <v>1542</v>
      </c>
      <c r="B824" s="67">
        <v>7268622406</v>
      </c>
      <c r="C824" s="72" t="s">
        <v>1543</v>
      </c>
      <c r="D824" s="69">
        <v>40507630874</v>
      </c>
      <c r="E824" s="9">
        <v>1267</v>
      </c>
      <c r="F824" s="25">
        <v>42998</v>
      </c>
      <c r="G824" s="70" t="s">
        <v>292</v>
      </c>
      <c r="H824" s="9"/>
      <c r="I824" s="8"/>
      <c r="J824" s="8"/>
      <c r="K824" s="8"/>
      <c r="L824" s="8"/>
      <c r="M824" s="8"/>
    </row>
    <row r="825" spans="1:13">
      <c r="A825" s="71" t="s">
        <v>1544</v>
      </c>
      <c r="B825" s="67" t="s">
        <v>1545</v>
      </c>
      <c r="C825" s="77" t="s">
        <v>1546</v>
      </c>
      <c r="D825" s="69" t="s">
        <v>1547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>
      <c r="A826" s="29" t="s">
        <v>1548</v>
      </c>
      <c r="B826" s="67"/>
      <c r="C826" s="29" t="s">
        <v>402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>
      <c r="A827" s="72" t="s">
        <v>1549</v>
      </c>
      <c r="B827" s="67">
        <v>31429224827</v>
      </c>
      <c r="C827" s="72" t="s">
        <v>1550</v>
      </c>
      <c r="D827" s="69">
        <v>27263725894</v>
      </c>
      <c r="E827" s="9">
        <v>292</v>
      </c>
      <c r="F827" s="25">
        <v>43168</v>
      </c>
      <c r="G827" s="70" t="s">
        <v>298</v>
      </c>
      <c r="H827" s="9"/>
      <c r="I827" s="8"/>
      <c r="J827" s="8"/>
      <c r="K827" s="8"/>
      <c r="L827" s="9">
        <v>318</v>
      </c>
      <c r="M827" s="8"/>
    </row>
    <row r="828" spans="1:13">
      <c r="A828" s="71" t="s">
        <v>1551</v>
      </c>
      <c r="B828" s="67">
        <v>3753540420</v>
      </c>
      <c r="C828" s="72" t="s">
        <v>1488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>
      <c r="A829" s="29" t="s">
        <v>1552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>
      <c r="A830" s="73" t="s">
        <v>1553</v>
      </c>
      <c r="B830" s="67">
        <v>36723660803</v>
      </c>
      <c r="C830" s="72" t="s">
        <v>1554</v>
      </c>
      <c r="D830" s="69">
        <v>32763586899</v>
      </c>
      <c r="E830" s="9">
        <v>608</v>
      </c>
      <c r="F830" s="25">
        <v>43012</v>
      </c>
      <c r="G830" s="70" t="s">
        <v>292</v>
      </c>
      <c r="H830" s="9"/>
      <c r="I830" s="8"/>
      <c r="J830" s="8"/>
      <c r="K830" s="8"/>
      <c r="L830" s="8"/>
      <c r="M830" s="8"/>
    </row>
    <row r="831" spans="1:13">
      <c r="A831" s="13" t="s">
        <v>1555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292</v>
      </c>
      <c r="H831" s="9"/>
      <c r="I831" s="8"/>
      <c r="J831" s="8"/>
      <c r="K831" s="8"/>
      <c r="L831" s="8"/>
      <c r="M831" s="8"/>
    </row>
    <row r="832" spans="1:13">
      <c r="A832" s="72" t="s">
        <v>1556</v>
      </c>
      <c r="B832" s="67">
        <v>166405462</v>
      </c>
      <c r="C832" s="15" t="s">
        <v>1557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>
      <c r="A833" s="71" t="s">
        <v>1558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292</v>
      </c>
      <c r="H833" s="9"/>
      <c r="I833" s="8"/>
      <c r="J833" s="8"/>
      <c r="K833" s="8"/>
      <c r="L833" s="9" t="s">
        <v>411</v>
      </c>
      <c r="M833" s="8"/>
    </row>
    <row r="834" spans="1:13">
      <c r="A834" s="15" t="s">
        <v>1559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292</v>
      </c>
      <c r="H834" s="9"/>
      <c r="I834" s="8"/>
      <c r="J834" s="8"/>
      <c r="K834" s="8"/>
      <c r="L834" s="9">
        <v>232</v>
      </c>
      <c r="M834" s="8"/>
    </row>
    <row r="835" spans="1:13">
      <c r="A835" s="33" t="s">
        <v>1560</v>
      </c>
      <c r="B835" s="67">
        <v>13621159835</v>
      </c>
      <c r="C835" s="72" t="s">
        <v>1561</v>
      </c>
      <c r="D835" s="69">
        <v>35124170867</v>
      </c>
      <c r="E835" s="9">
        <v>229</v>
      </c>
      <c r="F835" s="25">
        <v>43151</v>
      </c>
      <c r="G835" s="70" t="s">
        <v>292</v>
      </c>
      <c r="H835" s="9"/>
      <c r="I835" s="8"/>
      <c r="J835" s="8"/>
      <c r="K835" s="8"/>
      <c r="L835" s="9">
        <v>232</v>
      </c>
      <c r="M835" s="8"/>
    </row>
    <row r="836" spans="1:13">
      <c r="A836" s="73" t="s">
        <v>1562</v>
      </c>
      <c r="B836" s="67">
        <v>34649647878</v>
      </c>
      <c r="C836" s="72" t="s">
        <v>1563</v>
      </c>
      <c r="D836" s="69">
        <v>17811429802</v>
      </c>
      <c r="E836" s="9">
        <v>810</v>
      </c>
      <c r="F836" s="25">
        <v>42915</v>
      </c>
      <c r="G836" s="70" t="s">
        <v>292</v>
      </c>
      <c r="H836" s="9"/>
      <c r="I836" s="8"/>
      <c r="J836" s="8"/>
      <c r="K836" s="8"/>
      <c r="L836" s="9" t="s">
        <v>411</v>
      </c>
      <c r="M836" s="8"/>
    </row>
    <row r="837" spans="1:13">
      <c r="A837" s="71" t="s">
        <v>1564</v>
      </c>
      <c r="B837" s="67">
        <v>25809517846</v>
      </c>
      <c r="C837" s="73" t="s">
        <v>1565</v>
      </c>
      <c r="D837" s="69">
        <v>68856830434</v>
      </c>
      <c r="E837" s="9">
        <v>292</v>
      </c>
      <c r="F837" s="25">
        <v>43168</v>
      </c>
      <c r="G837" s="70" t="s">
        <v>298</v>
      </c>
      <c r="H837" s="9"/>
      <c r="I837" s="8"/>
      <c r="J837" s="8"/>
      <c r="K837" s="8"/>
      <c r="L837" s="9">
        <v>318</v>
      </c>
      <c r="M837" s="8"/>
    </row>
    <row r="838" spans="1:13">
      <c r="A838" s="71" t="s">
        <v>1566</v>
      </c>
      <c r="B838" s="67">
        <v>6952730435</v>
      </c>
      <c r="C838" s="72" t="s">
        <v>1567</v>
      </c>
      <c r="D838" s="69">
        <v>8004608477</v>
      </c>
      <c r="E838" s="9">
        <v>810</v>
      </c>
      <c r="F838" s="25">
        <v>42915</v>
      </c>
      <c r="G838" s="70" t="s">
        <v>292</v>
      </c>
      <c r="H838" s="9"/>
      <c r="I838" s="8"/>
      <c r="J838" s="8"/>
      <c r="K838" s="8"/>
      <c r="L838" s="9" t="s">
        <v>411</v>
      </c>
      <c r="M838" s="8"/>
    </row>
    <row r="839" spans="1:13">
      <c r="A839" s="71" t="s">
        <v>1568</v>
      </c>
      <c r="B839" s="67">
        <v>23440697800</v>
      </c>
      <c r="C839" s="72" t="s">
        <v>1569</v>
      </c>
      <c r="D839" s="69">
        <v>93690177553</v>
      </c>
      <c r="E839" s="9">
        <v>292</v>
      </c>
      <c r="F839" s="25">
        <v>43168</v>
      </c>
      <c r="G839" s="70" t="s">
        <v>292</v>
      </c>
      <c r="H839" s="9"/>
      <c r="I839" s="8"/>
      <c r="J839" s="8"/>
      <c r="K839" s="8"/>
      <c r="L839" s="9">
        <v>318</v>
      </c>
      <c r="M839" s="8"/>
    </row>
    <row r="840" spans="1:13">
      <c r="A840" s="71" t="s">
        <v>1570</v>
      </c>
      <c r="B840" s="67">
        <v>93567421549</v>
      </c>
      <c r="C840" s="72" t="s">
        <v>1571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>
      <c r="A841" s="71" t="s">
        <v>1572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>
      <c r="A842" s="15" t="s">
        <v>1573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292</v>
      </c>
      <c r="H842" s="9"/>
      <c r="I842" s="8"/>
      <c r="J842" s="8"/>
      <c r="K842" s="8"/>
      <c r="L842" s="9" t="s">
        <v>443</v>
      </c>
      <c r="M842" s="8"/>
    </row>
    <row r="843" spans="1:13">
      <c r="A843" s="71" t="s">
        <v>1574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292</v>
      </c>
      <c r="H843" s="9"/>
      <c r="I843" s="8"/>
      <c r="J843" s="8"/>
      <c r="K843" s="8"/>
      <c r="L843" s="9">
        <v>318</v>
      </c>
      <c r="M843" s="8"/>
    </row>
    <row r="844" spans="1:13">
      <c r="A844" s="71" t="s">
        <v>1575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>
      <c r="A845" s="15" t="s">
        <v>1576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292</v>
      </c>
      <c r="H845" s="9"/>
      <c r="I845" s="8"/>
      <c r="J845" s="8"/>
      <c r="K845" s="8"/>
      <c r="L845" s="9" t="s">
        <v>443</v>
      </c>
      <c r="M845" s="8"/>
    </row>
    <row r="846" spans="1:13">
      <c r="A846" s="71" t="s">
        <v>1577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292</v>
      </c>
      <c r="H846" s="9"/>
      <c r="I846" s="8"/>
      <c r="J846" s="8"/>
      <c r="K846" s="8"/>
      <c r="L846" s="9" t="s">
        <v>526</v>
      </c>
      <c r="M846" s="8"/>
    </row>
    <row r="847" spans="1:13">
      <c r="A847" s="71" t="s">
        <v>1578</v>
      </c>
      <c r="B847" s="67">
        <v>10762166843</v>
      </c>
      <c r="C847" s="72" t="s">
        <v>1579</v>
      </c>
      <c r="D847" s="69">
        <v>18471490811</v>
      </c>
      <c r="E847" s="9">
        <v>1752</v>
      </c>
      <c r="F847" s="25">
        <v>43051</v>
      </c>
      <c r="G847" s="83" t="s">
        <v>292</v>
      </c>
      <c r="H847" s="9"/>
      <c r="I847" s="8"/>
      <c r="J847" s="8"/>
      <c r="K847" s="8"/>
      <c r="L847" s="9">
        <v>1759</v>
      </c>
      <c r="M847" s="8"/>
    </row>
    <row r="848" spans="1:13">
      <c r="A848" s="71" t="s">
        <v>1580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>
      <c r="A849" s="15" t="s">
        <v>1581</v>
      </c>
      <c r="B849" s="67">
        <v>38988535863</v>
      </c>
      <c r="C849" s="72" t="s">
        <v>1582</v>
      </c>
      <c r="D849" s="69">
        <v>34543536886</v>
      </c>
      <c r="E849" s="9">
        <v>1555</v>
      </c>
      <c r="F849" s="25">
        <v>43049</v>
      </c>
      <c r="G849" s="70" t="s">
        <v>292</v>
      </c>
      <c r="H849" s="9"/>
      <c r="I849" s="8"/>
      <c r="J849" s="8"/>
      <c r="K849" s="8"/>
      <c r="L849" s="9" t="s">
        <v>671</v>
      </c>
      <c r="M849" s="8"/>
    </row>
    <row r="850" spans="1:13">
      <c r="A850" s="71" t="s">
        <v>1583</v>
      </c>
      <c r="B850" s="67">
        <v>81902581334</v>
      </c>
      <c r="C850" s="72" t="s">
        <v>1584</v>
      </c>
      <c r="D850" s="69">
        <v>42305020368</v>
      </c>
      <c r="E850" s="9">
        <v>1752</v>
      </c>
      <c r="F850" s="25">
        <v>43051</v>
      </c>
      <c r="G850" s="70" t="s">
        <v>292</v>
      </c>
      <c r="H850" s="9"/>
      <c r="I850" s="8"/>
      <c r="J850" s="8"/>
      <c r="K850" s="8"/>
      <c r="L850" s="9">
        <v>1759</v>
      </c>
      <c r="M850" s="8"/>
    </row>
    <row r="851" spans="1:13">
      <c r="A851" s="72" t="s">
        <v>1585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>
      <c r="A852" s="71" t="s">
        <v>1586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292</v>
      </c>
      <c r="H852" s="9"/>
      <c r="I852" s="8"/>
      <c r="J852" s="8"/>
      <c r="K852" s="8"/>
      <c r="L852" s="8"/>
      <c r="M852" s="8"/>
    </row>
    <row r="853" spans="1:13">
      <c r="A853" s="72" t="s">
        <v>1587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292</v>
      </c>
      <c r="H853" s="9"/>
      <c r="I853" s="8"/>
      <c r="J853" s="8"/>
      <c r="K853" s="8"/>
      <c r="L853" s="8"/>
      <c r="M853" s="8"/>
    </row>
    <row r="854" spans="1:13">
      <c r="A854" s="15" t="s">
        <v>1588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>
      <c r="A855" s="71" t="s">
        <v>1589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292</v>
      </c>
      <c r="H855" s="9"/>
      <c r="I855" s="8"/>
      <c r="J855" s="8"/>
      <c r="K855" s="8"/>
      <c r="L855" s="9">
        <v>318</v>
      </c>
      <c r="M855" s="8"/>
    </row>
    <row r="856" spans="1:13">
      <c r="A856" s="15" t="s">
        <v>1590</v>
      </c>
      <c r="B856" s="67">
        <v>36135801520</v>
      </c>
      <c r="C856" s="15" t="s">
        <v>1591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>
      <c r="A857" s="15" t="s">
        <v>1592</v>
      </c>
      <c r="B857" s="67">
        <v>43231450802</v>
      </c>
      <c r="C857" s="72" t="s">
        <v>1593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>
      <c r="A858" s="77" t="s">
        <v>1594</v>
      </c>
      <c r="B858" s="67">
        <v>38163601817</v>
      </c>
      <c r="C858" s="72" t="s">
        <v>1595</v>
      </c>
      <c r="D858" s="69">
        <v>36840584836</v>
      </c>
      <c r="E858" s="9">
        <v>292</v>
      </c>
      <c r="F858" s="25">
        <v>43168</v>
      </c>
      <c r="G858" s="70" t="s">
        <v>292</v>
      </c>
      <c r="H858" s="9"/>
      <c r="I858" s="8"/>
      <c r="J858" s="8"/>
      <c r="K858" s="8"/>
      <c r="L858" s="9">
        <v>318</v>
      </c>
      <c r="M858" s="8"/>
    </row>
    <row r="859" spans="1:13">
      <c r="A859" s="15" t="s">
        <v>1596</v>
      </c>
      <c r="B859" s="67">
        <v>40853154805</v>
      </c>
      <c r="C859" s="72" t="s">
        <v>1597</v>
      </c>
      <c r="D859" s="69">
        <v>23596403804</v>
      </c>
      <c r="E859" s="9">
        <v>229</v>
      </c>
      <c r="F859" s="25">
        <v>43151</v>
      </c>
      <c r="G859" s="70" t="s">
        <v>292</v>
      </c>
      <c r="H859" s="9"/>
      <c r="I859" s="8"/>
      <c r="J859" s="8"/>
      <c r="K859" s="8"/>
      <c r="L859" s="9">
        <v>232</v>
      </c>
      <c r="M859" s="8"/>
    </row>
    <row r="860" spans="1:13">
      <c r="A860" s="14" t="s">
        <v>1598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292</v>
      </c>
      <c r="H860" s="25">
        <v>43164</v>
      </c>
      <c r="I860" s="8"/>
      <c r="J860" s="8"/>
      <c r="K860" s="8"/>
      <c r="L860" s="9">
        <v>255</v>
      </c>
      <c r="M860" s="8"/>
    </row>
    <row r="861" spans="1:13">
      <c r="A861" s="13" t="s">
        <v>1599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>
      <c r="A862" s="71" t="s">
        <v>1600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292</v>
      </c>
      <c r="H862" s="9"/>
      <c r="I862" s="8"/>
      <c r="J862" s="8"/>
      <c r="K862" s="8"/>
      <c r="L862" s="9" t="s">
        <v>671</v>
      </c>
      <c r="M862" s="8"/>
    </row>
    <row r="863" spans="1:13">
      <c r="A863" s="14" t="s">
        <v>1601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292</v>
      </c>
      <c r="H863" s="9"/>
      <c r="I863" s="8"/>
      <c r="J863" s="8"/>
      <c r="K863" s="8"/>
      <c r="L863" s="9">
        <v>318</v>
      </c>
      <c r="M863" s="8"/>
    </row>
    <row r="864" spans="1:13">
      <c r="A864" s="71" t="s">
        <v>1602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292</v>
      </c>
      <c r="H864" s="9"/>
      <c r="I864" s="8"/>
      <c r="J864" s="8"/>
      <c r="K864" s="8"/>
      <c r="L864" s="8"/>
      <c r="M864" s="8"/>
    </row>
    <row r="865" spans="1:13">
      <c r="A865" s="71" t="s">
        <v>1603</v>
      </c>
      <c r="B865" s="67">
        <v>30708968805</v>
      </c>
      <c r="C865" s="72" t="s">
        <v>1604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>
      <c r="A866" s="71" t="s">
        <v>1605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>
      <c r="A867" s="71" t="s">
        <v>1606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292</v>
      </c>
      <c r="H867" s="9"/>
      <c r="I867" s="8"/>
      <c r="J867" s="8"/>
      <c r="K867" s="8"/>
      <c r="L867" s="9" t="s">
        <v>411</v>
      </c>
      <c r="M867" s="8"/>
    </row>
    <row r="868" spans="1:13">
      <c r="A868" s="71" t="s">
        <v>1607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>
      <c r="A869" s="71" t="s">
        <v>1608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292</v>
      </c>
      <c r="H869" s="76">
        <v>43213</v>
      </c>
      <c r="I869" s="8"/>
      <c r="J869" s="8"/>
      <c r="K869" s="8"/>
      <c r="L869" s="8"/>
      <c r="M869" s="8"/>
    </row>
    <row r="870" spans="1:13">
      <c r="A870" s="15" t="s">
        <v>1609</v>
      </c>
      <c r="B870" s="67">
        <v>41379878829</v>
      </c>
      <c r="C870" s="72" t="s">
        <v>1610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>
      <c r="A871" s="72" t="s">
        <v>1611</v>
      </c>
      <c r="B871" s="67">
        <v>31471499863</v>
      </c>
      <c r="C871" s="72" t="s">
        <v>1612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>
      <c r="A872" s="71" t="s">
        <v>1613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292</v>
      </c>
      <c r="H872" s="76">
        <v>43213</v>
      </c>
      <c r="I872" s="8"/>
      <c r="J872" s="8"/>
      <c r="K872" s="8"/>
      <c r="L872" s="8"/>
      <c r="M872" s="8"/>
    </row>
    <row r="873" spans="1:13">
      <c r="A873" s="71" t="s">
        <v>1614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292</v>
      </c>
      <c r="H873" s="25">
        <v>43164</v>
      </c>
      <c r="I873" s="8"/>
      <c r="J873" s="8"/>
      <c r="K873" s="8"/>
      <c r="L873" s="9">
        <v>255</v>
      </c>
      <c r="M873" s="8"/>
    </row>
    <row r="874" spans="1:13">
      <c r="A874" s="71" t="s">
        <v>1615</v>
      </c>
      <c r="B874" s="67">
        <v>27878860866</v>
      </c>
      <c r="C874" s="72" t="s">
        <v>1616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>
      <c r="A875" s="72" t="s">
        <v>1617</v>
      </c>
      <c r="B875" s="67">
        <v>25002291813</v>
      </c>
      <c r="C875" s="72" t="s">
        <v>1618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>
      <c r="A876" s="18" t="s">
        <v>1619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>
      <c r="A877" s="29" t="s">
        <v>1620</v>
      </c>
      <c r="B877" s="67"/>
      <c r="C877" s="29" t="s">
        <v>1621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>
      <c r="A878" s="71" t="s">
        <v>1622</v>
      </c>
      <c r="B878" s="67">
        <v>7205116589</v>
      </c>
      <c r="C878" s="72" t="s">
        <v>1623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>
      <c r="A879" s="71" t="s">
        <v>1624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>
      <c r="A880" s="71" t="s">
        <v>1625</v>
      </c>
      <c r="B880" s="67">
        <v>82084602491</v>
      </c>
      <c r="C880" s="72" t="s">
        <v>1626</v>
      </c>
      <c r="D880" s="69">
        <v>74937758420</v>
      </c>
      <c r="E880" s="9">
        <v>292</v>
      </c>
      <c r="F880" s="25">
        <v>43168</v>
      </c>
      <c r="G880" s="9" t="s">
        <v>292</v>
      </c>
      <c r="H880" s="9"/>
      <c r="I880" s="8"/>
      <c r="J880" s="8"/>
      <c r="K880" s="8"/>
      <c r="L880" s="9">
        <v>318</v>
      </c>
      <c r="M880" s="8"/>
    </row>
    <row r="881" spans="1:13">
      <c r="A881" s="15" t="s">
        <v>1627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>
      <c r="A882" s="71" t="s">
        <v>1628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>
      <c r="A883" s="71" t="s">
        <v>1629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292</v>
      </c>
      <c r="H883" s="9"/>
      <c r="I883" s="8"/>
      <c r="J883" s="8"/>
      <c r="K883" s="8"/>
      <c r="L883" s="8"/>
      <c r="M883" s="8"/>
    </row>
    <row r="884" spans="1:13">
      <c r="A884" s="13" t="s">
        <v>1630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292</v>
      </c>
      <c r="H884" s="9"/>
      <c r="I884" s="8"/>
      <c r="J884" s="8"/>
      <c r="K884" s="8"/>
      <c r="L884" s="8"/>
      <c r="M884" s="8"/>
    </row>
    <row r="885" spans="1:13">
      <c r="A885" s="71" t="s">
        <v>1631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>
      <c r="A886" s="13" t="s">
        <v>1632</v>
      </c>
      <c r="B886" s="67">
        <v>63234904553</v>
      </c>
      <c r="C886" s="68" t="s">
        <v>1633</v>
      </c>
      <c r="D886" s="69">
        <v>1193464870</v>
      </c>
      <c r="E886" s="9">
        <v>1128</v>
      </c>
      <c r="F886" s="25">
        <v>42972</v>
      </c>
      <c r="G886" s="70" t="s">
        <v>292</v>
      </c>
      <c r="H886" s="9"/>
      <c r="I886" s="8"/>
      <c r="J886" s="8"/>
      <c r="K886" s="8"/>
      <c r="L886" s="8"/>
      <c r="M886" s="8"/>
    </row>
    <row r="887" spans="1:13">
      <c r="A887" s="71" t="s">
        <v>1634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>
      <c r="A888" s="13" t="s">
        <v>1635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>
      <c r="A889" s="18" t="s">
        <v>1636</v>
      </c>
      <c r="B889" s="67">
        <v>30967680808</v>
      </c>
      <c r="C889" s="18" t="s">
        <v>1637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>
      <c r="A890" s="71" t="s">
        <v>1638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292</v>
      </c>
      <c r="H890" s="9"/>
      <c r="I890" s="8"/>
      <c r="J890" s="8"/>
      <c r="K890" s="8"/>
      <c r="L890" s="9" t="s">
        <v>411</v>
      </c>
      <c r="M890" s="8"/>
    </row>
    <row r="891" spans="1:13">
      <c r="A891" s="15" t="s">
        <v>1639</v>
      </c>
      <c r="B891" s="67">
        <v>3570397696</v>
      </c>
      <c r="C891" s="72" t="s">
        <v>1640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>
      <c r="A892" s="72" t="s">
        <v>1641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>
      <c r="A893" s="15" t="s">
        <v>1642</v>
      </c>
      <c r="B893" s="67">
        <v>1170658547</v>
      </c>
      <c r="C893" s="72" t="s">
        <v>1643</v>
      </c>
      <c r="D893" s="69">
        <v>2695281560</v>
      </c>
      <c r="E893" s="9">
        <v>1824</v>
      </c>
      <c r="F893" s="25">
        <v>43091</v>
      </c>
      <c r="G893" s="70" t="s">
        <v>298</v>
      </c>
      <c r="H893" s="9"/>
      <c r="I893" s="8"/>
      <c r="J893" s="8"/>
      <c r="K893" s="8"/>
      <c r="L893" s="9">
        <v>1828</v>
      </c>
      <c r="M893" s="8"/>
    </row>
    <row r="894" spans="1:13">
      <c r="A894" s="71" t="s">
        <v>1644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292</v>
      </c>
      <c r="H894" s="9"/>
      <c r="I894" s="8"/>
      <c r="J894" s="8"/>
      <c r="K894" s="8"/>
      <c r="L894" s="9" t="s">
        <v>411</v>
      </c>
      <c r="M894" s="8"/>
    </row>
    <row r="895" spans="1:13">
      <c r="A895" s="71" t="s">
        <v>1645</v>
      </c>
      <c r="B895" s="67">
        <v>29927032811</v>
      </c>
      <c r="C895" s="72" t="s">
        <v>1646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>
      <c r="A896" s="71" t="s">
        <v>1647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>
      <c r="A897" s="15" t="s">
        <v>1648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292</v>
      </c>
      <c r="H897" s="25">
        <v>43151</v>
      </c>
      <c r="I897" s="8"/>
      <c r="J897" s="8"/>
      <c r="K897" s="8"/>
      <c r="L897" s="8"/>
      <c r="M897" s="8"/>
    </row>
    <row r="898" spans="1:13">
      <c r="A898" s="71" t="s">
        <v>1649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292</v>
      </c>
      <c r="H898" s="9"/>
      <c r="I898" s="8"/>
      <c r="J898" s="8"/>
      <c r="K898" s="8"/>
      <c r="L898" s="9">
        <v>318</v>
      </c>
      <c r="M898" s="8"/>
    </row>
    <row r="899" spans="1:13">
      <c r="A899" s="13" t="s">
        <v>1650</v>
      </c>
      <c r="B899" s="67">
        <v>37064427877</v>
      </c>
      <c r="C899" s="68" t="s">
        <v>1651</v>
      </c>
      <c r="D899" s="69">
        <v>34881680854</v>
      </c>
      <c r="E899" s="9">
        <v>1128</v>
      </c>
      <c r="F899" s="25">
        <v>42972</v>
      </c>
      <c r="G899" s="70" t="s">
        <v>292</v>
      </c>
      <c r="H899" s="9"/>
      <c r="I899" s="8"/>
      <c r="J899" s="8"/>
      <c r="K899" s="8"/>
      <c r="L899" s="8"/>
      <c r="M899" s="8"/>
    </row>
    <row r="900" spans="1:13">
      <c r="A900" s="15" t="s">
        <v>1652</v>
      </c>
      <c r="B900" s="67">
        <v>34712023821</v>
      </c>
      <c r="C900" s="72" t="s">
        <v>1653</v>
      </c>
      <c r="D900" s="69">
        <v>80700918868</v>
      </c>
      <c r="E900" s="9">
        <v>117</v>
      </c>
      <c r="F900" s="25">
        <v>43117</v>
      </c>
      <c r="G900" s="70" t="s">
        <v>292</v>
      </c>
      <c r="H900" s="9"/>
      <c r="I900" s="8"/>
      <c r="J900" s="8"/>
      <c r="K900" s="8"/>
      <c r="L900" s="9" t="s">
        <v>443</v>
      </c>
      <c r="M900" s="8"/>
    </row>
    <row r="901" spans="1:13">
      <c r="A901" s="71" t="s">
        <v>1654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292</v>
      </c>
      <c r="H901" s="9"/>
      <c r="I901" s="8"/>
      <c r="J901" s="8"/>
      <c r="K901" s="8"/>
      <c r="L901" s="9" t="s">
        <v>411</v>
      </c>
      <c r="M901" s="8"/>
    </row>
    <row r="902" spans="1:13">
      <c r="A902" s="71" t="s">
        <v>1655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>
      <c r="A903" s="13" t="s">
        <v>1656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292</v>
      </c>
      <c r="H903" s="9"/>
      <c r="I903" s="8"/>
      <c r="J903" s="8"/>
      <c r="K903" s="8"/>
      <c r="L903" s="8"/>
      <c r="M903" s="8"/>
    </row>
    <row r="904" spans="1:13">
      <c r="A904" s="72" t="s">
        <v>1657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292</v>
      </c>
      <c r="H904" s="9"/>
      <c r="I904" s="8"/>
      <c r="J904" s="8"/>
      <c r="K904" s="8"/>
      <c r="L904" s="9">
        <v>318</v>
      </c>
      <c r="M904" s="8"/>
    </row>
    <row r="905" spans="1:13">
      <c r="A905" s="71" t="s">
        <v>1658</v>
      </c>
      <c r="B905" s="67">
        <v>42517278865</v>
      </c>
      <c r="C905" s="72" t="s">
        <v>1659</v>
      </c>
      <c r="D905" s="69">
        <v>45677965863</v>
      </c>
      <c r="E905" s="9">
        <v>117</v>
      </c>
      <c r="F905" s="25">
        <v>43117</v>
      </c>
      <c r="G905" s="70" t="s">
        <v>292</v>
      </c>
      <c r="H905" s="9"/>
      <c r="I905" s="8"/>
      <c r="J905" s="8"/>
      <c r="K905" s="8"/>
      <c r="L905" s="9" t="s">
        <v>443</v>
      </c>
      <c r="M905" s="8"/>
    </row>
    <row r="906" spans="1:13">
      <c r="A906" s="18" t="s">
        <v>1660</v>
      </c>
      <c r="B906" s="67">
        <v>34053574897</v>
      </c>
      <c r="C906" s="8" t="s">
        <v>1661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>
      <c r="A907" s="71" t="s">
        <v>1662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292</v>
      </c>
      <c r="H907" s="9"/>
      <c r="I907" s="8"/>
      <c r="J907" s="8"/>
      <c r="K907" s="8"/>
      <c r="L907" s="9">
        <v>1759</v>
      </c>
      <c r="M907" s="8"/>
    </row>
    <row r="908" spans="1:13">
      <c r="A908" s="13" t="s">
        <v>1663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292</v>
      </c>
      <c r="H908" s="9"/>
      <c r="I908" s="8"/>
      <c r="J908" s="8"/>
      <c r="K908" s="8"/>
      <c r="L908" s="8"/>
      <c r="M908" s="8"/>
    </row>
    <row r="909" spans="1:13">
      <c r="A909" s="71" t="s">
        <v>1664</v>
      </c>
      <c r="B909" s="67">
        <v>32391122802</v>
      </c>
      <c r="C909" s="72" t="s">
        <v>1665</v>
      </c>
      <c r="D909" s="69">
        <v>21653624825</v>
      </c>
      <c r="E909" s="9">
        <v>262</v>
      </c>
      <c r="F909" s="25">
        <v>43160</v>
      </c>
      <c r="G909" s="9" t="s">
        <v>292</v>
      </c>
      <c r="H909" s="25">
        <v>43164</v>
      </c>
      <c r="I909" s="8"/>
      <c r="J909" s="8"/>
      <c r="K909" s="8"/>
      <c r="L909" s="9">
        <v>255</v>
      </c>
      <c r="M909" s="8"/>
    </row>
    <row r="910" spans="1:13">
      <c r="A910" s="29" t="s">
        <v>1666</v>
      </c>
      <c r="B910" s="67"/>
      <c r="C910" s="29" t="s">
        <v>1667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>
      <c r="A911" s="71" t="s">
        <v>1668</v>
      </c>
      <c r="B911" s="67">
        <v>39641812858</v>
      </c>
      <c r="C911" s="72" t="s">
        <v>1669</v>
      </c>
      <c r="D911" s="69">
        <v>23425114859</v>
      </c>
      <c r="E911" s="9">
        <v>262</v>
      </c>
      <c r="F911" s="25">
        <v>43160</v>
      </c>
      <c r="G911" s="70" t="s">
        <v>292</v>
      </c>
      <c r="H911" s="25">
        <v>43164</v>
      </c>
      <c r="I911" s="8"/>
      <c r="J911" s="8"/>
      <c r="K911" s="8"/>
      <c r="L911" s="9">
        <v>255</v>
      </c>
      <c r="M911" s="8"/>
    </row>
    <row r="912" spans="1:13">
      <c r="A912" s="14" t="s">
        <v>1670</v>
      </c>
      <c r="B912" s="67">
        <v>7664892481</v>
      </c>
      <c r="C912" s="72" t="s">
        <v>1671</v>
      </c>
      <c r="D912" s="69">
        <v>37120937804</v>
      </c>
      <c r="E912" s="9">
        <v>1570</v>
      </c>
      <c r="F912" s="25">
        <v>43077</v>
      </c>
      <c r="G912" s="70" t="s">
        <v>292</v>
      </c>
      <c r="H912" s="9"/>
      <c r="I912" s="8"/>
      <c r="J912" s="8"/>
      <c r="K912" s="8"/>
      <c r="L912" s="8"/>
      <c r="M912" s="8"/>
    </row>
    <row r="913" spans="1:13">
      <c r="A913" s="71" t="s">
        <v>1672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292</v>
      </c>
      <c r="H913" s="9"/>
      <c r="I913" s="8"/>
      <c r="J913" s="8"/>
      <c r="K913" s="8"/>
      <c r="L913" s="9">
        <v>1828</v>
      </c>
      <c r="M913" s="8"/>
    </row>
    <row r="914" spans="1:13">
      <c r="A914" s="15" t="s">
        <v>1673</v>
      </c>
      <c r="B914" s="67">
        <v>35535310883</v>
      </c>
      <c r="C914" s="72" t="s">
        <v>1674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>
      <c r="A915" s="14" t="s">
        <v>1675</v>
      </c>
      <c r="B915" s="67">
        <v>40993785867</v>
      </c>
      <c r="C915" s="72" t="s">
        <v>1676</v>
      </c>
      <c r="D915" s="69">
        <v>39284894883</v>
      </c>
      <c r="E915" s="9">
        <v>262</v>
      </c>
      <c r="F915" s="25">
        <v>43160</v>
      </c>
      <c r="G915" s="70" t="s">
        <v>292</v>
      </c>
      <c r="H915" s="25">
        <v>43164</v>
      </c>
      <c r="I915" s="8"/>
      <c r="J915" s="8"/>
      <c r="K915" s="8"/>
      <c r="L915" s="9">
        <v>255</v>
      </c>
      <c r="M915" s="8"/>
    </row>
    <row r="916" spans="1:13">
      <c r="A916" s="71" t="s">
        <v>1677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292</v>
      </c>
      <c r="H916" s="9"/>
      <c r="I916" s="8"/>
      <c r="J916" s="8"/>
      <c r="K916" s="8"/>
      <c r="L916" s="9">
        <v>1759</v>
      </c>
      <c r="M916" s="8"/>
    </row>
    <row r="917" spans="1:13">
      <c r="A917" s="14" t="s">
        <v>1678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292</v>
      </c>
      <c r="H917" s="25">
        <v>43164</v>
      </c>
      <c r="I917" s="8"/>
      <c r="J917" s="8"/>
      <c r="K917" s="8"/>
      <c r="L917" s="9">
        <v>255</v>
      </c>
      <c r="M917" s="8"/>
    </row>
    <row r="918" spans="1:13">
      <c r="A918" s="71" t="s">
        <v>1679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292</v>
      </c>
      <c r="H918" s="9"/>
      <c r="I918" s="8"/>
      <c r="J918" s="8"/>
      <c r="K918" s="8"/>
      <c r="L918" s="8"/>
      <c r="M918" s="8"/>
    </row>
    <row r="919" spans="1:13">
      <c r="A919" s="71" t="s">
        <v>1680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292</v>
      </c>
      <c r="H919" s="9"/>
      <c r="I919" s="8"/>
      <c r="J919" s="8"/>
      <c r="K919" s="8"/>
      <c r="L919" s="9">
        <v>1759</v>
      </c>
      <c r="M919" s="8"/>
    </row>
    <row r="920" spans="1:13">
      <c r="A920" s="15" t="s">
        <v>1681</v>
      </c>
      <c r="B920" s="67">
        <v>39485589816</v>
      </c>
      <c r="C920" s="72" t="s">
        <v>1682</v>
      </c>
      <c r="D920" s="69">
        <v>6884648589</v>
      </c>
      <c r="E920" s="9">
        <v>85</v>
      </c>
      <c r="F920" s="25">
        <v>43109</v>
      </c>
      <c r="G920" s="70" t="s">
        <v>292</v>
      </c>
      <c r="H920" s="25">
        <v>43151</v>
      </c>
      <c r="I920" s="8"/>
      <c r="J920" s="8"/>
      <c r="K920" s="8"/>
      <c r="L920" s="8"/>
      <c r="M920" s="8"/>
    </row>
    <row r="921" spans="1:13">
      <c r="A921" s="71" t="s">
        <v>1683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>
      <c r="A922" s="15" t="s">
        <v>1684</v>
      </c>
      <c r="B922" s="67">
        <v>39454700804</v>
      </c>
      <c r="C922" s="72" t="s">
        <v>1685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>
      <c r="A923" s="71" t="s">
        <v>1686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>
      <c r="A924" s="18" t="s">
        <v>1687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>
      <c r="A925" s="71" t="s">
        <v>1688</v>
      </c>
      <c r="B925" s="67">
        <v>19681993810</v>
      </c>
      <c r="C925" s="72" t="s">
        <v>1689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>
      <c r="A926" s="71" t="s">
        <v>1690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292</v>
      </c>
      <c r="H926" s="9"/>
      <c r="I926" s="8"/>
      <c r="J926" s="8"/>
      <c r="K926" s="8"/>
      <c r="L926" s="9" t="s">
        <v>411</v>
      </c>
      <c r="M926" s="8"/>
    </row>
    <row r="927" spans="1:13">
      <c r="A927" s="71" t="s">
        <v>1691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>
      <c r="A928" s="15" t="s">
        <v>1692</v>
      </c>
      <c r="B928" s="67">
        <v>32424255881</v>
      </c>
      <c r="C928" s="72" t="s">
        <v>1693</v>
      </c>
      <c r="D928" s="69">
        <v>4615874596</v>
      </c>
      <c r="E928" s="9">
        <v>229</v>
      </c>
      <c r="F928" s="25">
        <v>43151</v>
      </c>
      <c r="G928" s="70" t="s">
        <v>292</v>
      </c>
      <c r="H928" s="9"/>
      <c r="I928" s="8"/>
      <c r="J928" s="8"/>
      <c r="K928" s="8"/>
      <c r="L928" s="9">
        <v>232</v>
      </c>
      <c r="M928" s="8"/>
    </row>
    <row r="929" spans="1:13">
      <c r="A929" s="71" t="s">
        <v>1694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292</v>
      </c>
      <c r="H929" s="9"/>
      <c r="I929" s="8"/>
      <c r="J929" s="8"/>
      <c r="K929" s="8"/>
      <c r="L929" s="9">
        <v>1828</v>
      </c>
      <c r="M929" s="8"/>
    </row>
    <row r="930" spans="1:13">
      <c r="A930" s="15" t="s">
        <v>1695</v>
      </c>
      <c r="B930" s="67">
        <v>77663551591</v>
      </c>
      <c r="C930" s="72" t="s">
        <v>1696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>
      <c r="A931" s="71" t="s">
        <v>1697</v>
      </c>
      <c r="B931" s="67">
        <v>30768670837</v>
      </c>
      <c r="C931" s="72" t="s">
        <v>1698</v>
      </c>
      <c r="D931" s="69">
        <v>17858599860</v>
      </c>
      <c r="E931" s="9">
        <v>810</v>
      </c>
      <c r="F931" s="25">
        <v>42915</v>
      </c>
      <c r="G931" s="70" t="s">
        <v>292</v>
      </c>
      <c r="H931" s="9"/>
      <c r="I931" s="8"/>
      <c r="J931" s="8"/>
      <c r="K931" s="8"/>
      <c r="L931" s="9" t="s">
        <v>411</v>
      </c>
      <c r="M931" s="8"/>
    </row>
    <row r="932" spans="1:13">
      <c r="A932" s="71" t="s">
        <v>1699</v>
      </c>
      <c r="B932" s="67">
        <v>40801562864</v>
      </c>
      <c r="C932" s="72" t="s">
        <v>1700</v>
      </c>
      <c r="D932" s="69">
        <v>40630792879</v>
      </c>
      <c r="E932" s="9">
        <v>117</v>
      </c>
      <c r="F932" s="25">
        <v>43117</v>
      </c>
      <c r="G932" s="70" t="s">
        <v>298</v>
      </c>
      <c r="H932" s="9"/>
      <c r="I932" s="8"/>
      <c r="J932" s="8"/>
      <c r="K932" s="8"/>
      <c r="L932" s="9" t="s">
        <v>443</v>
      </c>
      <c r="M932" s="8"/>
    </row>
    <row r="933" spans="1:13">
      <c r="A933" s="71" t="s">
        <v>1701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292</v>
      </c>
      <c r="H933" s="9"/>
      <c r="I933" s="8"/>
      <c r="J933" s="8"/>
      <c r="K933" s="8"/>
      <c r="L933" s="9">
        <v>1828</v>
      </c>
      <c r="M933" s="8"/>
    </row>
    <row r="934" spans="1:13">
      <c r="A934" s="71" t="s">
        <v>1702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292</v>
      </c>
      <c r="H934" s="9"/>
      <c r="I934" s="8"/>
      <c r="J934" s="8"/>
      <c r="K934" s="8"/>
      <c r="L934" s="9">
        <v>318</v>
      </c>
      <c r="M934" s="8"/>
    </row>
    <row r="935" spans="1:13">
      <c r="A935" s="72" t="s">
        <v>1703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>
      <c r="A936" s="71" t="s">
        <v>1704</v>
      </c>
      <c r="B936" s="67">
        <v>33897782847</v>
      </c>
      <c r="C936" s="72" t="s">
        <v>1705</v>
      </c>
      <c r="D936" s="69">
        <v>22207136876</v>
      </c>
      <c r="E936" s="9">
        <v>1267</v>
      </c>
      <c r="F936" s="25">
        <v>42998</v>
      </c>
      <c r="G936" s="70" t="s">
        <v>292</v>
      </c>
      <c r="H936" s="9"/>
      <c r="I936" s="8"/>
      <c r="J936" s="8"/>
      <c r="K936" s="8"/>
      <c r="L936" s="8"/>
      <c r="M936" s="8"/>
    </row>
    <row r="937" spans="1:13">
      <c r="A937" s="72" t="s">
        <v>1706</v>
      </c>
      <c r="B937" s="67">
        <v>31219124885</v>
      </c>
      <c r="C937" s="72" t="s">
        <v>1707</v>
      </c>
      <c r="D937" s="69">
        <v>53808967315</v>
      </c>
      <c r="E937" s="9">
        <v>292</v>
      </c>
      <c r="F937" s="25">
        <v>43168</v>
      </c>
      <c r="G937" s="70" t="s">
        <v>292</v>
      </c>
      <c r="H937" s="9"/>
      <c r="I937" s="8"/>
      <c r="J937" s="8"/>
      <c r="K937" s="8"/>
      <c r="L937" s="9">
        <v>318</v>
      </c>
      <c r="M937" s="8"/>
    </row>
    <row r="938" spans="1:13">
      <c r="A938" s="18" t="s">
        <v>1708</v>
      </c>
      <c r="B938" s="67">
        <v>32332935851</v>
      </c>
      <c r="C938" s="18" t="s">
        <v>1709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>
      <c r="A939" s="71" t="s">
        <v>1710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>
      <c r="A940" s="50" t="s">
        <v>1711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306</v>
      </c>
      <c r="H940" s="47"/>
      <c r="I940" s="49"/>
      <c r="J940" s="49"/>
      <c r="K940" s="49"/>
      <c r="L940" s="9" t="s">
        <v>443</v>
      </c>
      <c r="M940" s="49"/>
    </row>
    <row r="941" spans="1:13">
      <c r="A941" s="71" t="s">
        <v>1712</v>
      </c>
      <c r="B941" s="67">
        <v>35124692804</v>
      </c>
      <c r="C941" s="72" t="s">
        <v>1713</v>
      </c>
      <c r="D941" s="69">
        <v>17091274814</v>
      </c>
      <c r="E941" s="9">
        <v>262</v>
      </c>
      <c r="F941" s="25">
        <v>43160</v>
      </c>
      <c r="G941" s="70" t="s">
        <v>292</v>
      </c>
      <c r="H941" s="25">
        <v>43164</v>
      </c>
      <c r="I941" s="8"/>
      <c r="J941" s="8"/>
      <c r="K941" s="8"/>
      <c r="L941" s="9">
        <v>255</v>
      </c>
      <c r="M941" s="8"/>
    </row>
    <row r="942" spans="1:13">
      <c r="A942" s="71" t="s">
        <v>1714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>
      <c r="A943" s="18" t="s">
        <v>1715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>
      <c r="A944" s="72" t="s">
        <v>1716</v>
      </c>
      <c r="B944" s="67">
        <v>35271393895</v>
      </c>
      <c r="C944" s="72" t="s">
        <v>1717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>
      <c r="A945" s="13" t="s">
        <v>1718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292</v>
      </c>
      <c r="H945" s="9"/>
      <c r="I945" s="8"/>
      <c r="J945" s="8"/>
      <c r="K945" s="8"/>
      <c r="L945" s="8"/>
      <c r="M945" s="8"/>
    </row>
    <row r="946" spans="1:13">
      <c r="A946" s="15" t="s">
        <v>1719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572</v>
      </c>
      <c r="M946" s="8"/>
    </row>
    <row r="947" spans="1:13">
      <c r="A947" s="71" t="s">
        <v>1720</v>
      </c>
      <c r="B947" s="67">
        <v>899199399</v>
      </c>
      <c r="C947" s="72" t="s">
        <v>1721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>
      <c r="A948" s="71" t="s">
        <v>1722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292</v>
      </c>
      <c r="H948" s="9"/>
      <c r="I948" s="8"/>
      <c r="J948" s="8"/>
      <c r="K948" s="8"/>
      <c r="L948" s="9" t="s">
        <v>411</v>
      </c>
      <c r="M948" s="8"/>
    </row>
    <row r="949" spans="1:13">
      <c r="A949" s="15" t="s">
        <v>1723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>
      <c r="A950" s="71" t="s">
        <v>1724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292</v>
      </c>
      <c r="H950" s="9"/>
      <c r="I950" s="8"/>
      <c r="J950" s="8"/>
      <c r="K950" s="8"/>
      <c r="L950" s="8"/>
      <c r="M950" s="8"/>
    </row>
    <row r="951" spans="1:13">
      <c r="A951" s="15" t="s">
        <v>1725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298</v>
      </c>
      <c r="H951" s="9"/>
      <c r="I951" s="8"/>
      <c r="J951" s="8"/>
      <c r="K951" s="8"/>
      <c r="L951" s="9" t="s">
        <v>443</v>
      </c>
      <c r="M951" s="8"/>
    </row>
    <row r="952" spans="1:13">
      <c r="A952" s="15" t="s">
        <v>1726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292</v>
      </c>
      <c r="H952" s="25">
        <v>43151</v>
      </c>
      <c r="I952" s="8"/>
      <c r="J952" s="8"/>
      <c r="K952" s="8"/>
      <c r="L952" s="8"/>
      <c r="M952" s="8"/>
    </row>
    <row r="953" spans="1:13">
      <c r="A953" s="15" t="s">
        <v>1727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292</v>
      </c>
      <c r="H953" s="9"/>
      <c r="I953" s="8"/>
      <c r="J953" s="8"/>
      <c r="K953" s="8"/>
      <c r="L953" s="9">
        <v>1828</v>
      </c>
      <c r="M953" s="8"/>
    </row>
    <row r="954" spans="1:13">
      <c r="A954" s="71" t="s">
        <v>1728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292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>
      <c r="A955" s="71" t="s">
        <v>1729</v>
      </c>
      <c r="B955" s="67">
        <v>19584308890</v>
      </c>
      <c r="C955" s="72" t="s">
        <v>1730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>
      <c r="A956" s="71" t="s">
        <v>1731</v>
      </c>
      <c r="B956" s="67">
        <v>3220872441</v>
      </c>
      <c r="C956" s="72" t="s">
        <v>1732</v>
      </c>
      <c r="D956" s="69">
        <v>11805166808</v>
      </c>
      <c r="E956" s="9">
        <v>810</v>
      </c>
      <c r="F956" s="25">
        <v>42915</v>
      </c>
      <c r="G956" s="70" t="s">
        <v>292</v>
      </c>
      <c r="H956" s="9"/>
      <c r="I956" s="8"/>
      <c r="J956" s="8"/>
      <c r="K956" s="8"/>
      <c r="L956" s="9" t="s">
        <v>411</v>
      </c>
      <c r="M956" s="8"/>
    </row>
    <row r="957" spans="1:13">
      <c r="A957" s="73" t="s">
        <v>1733</v>
      </c>
      <c r="B957" s="67">
        <v>29773950832</v>
      </c>
      <c r="C957" s="72" t="s">
        <v>1734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>
      <c r="A958" s="71" t="s">
        <v>1735</v>
      </c>
      <c r="B958" s="78" t="s">
        <v>1736</v>
      </c>
      <c r="C958" s="72" t="s">
        <v>1737</v>
      </c>
      <c r="D958" s="69">
        <v>84102780300</v>
      </c>
      <c r="E958" s="9">
        <v>292</v>
      </c>
      <c r="F958" s="25">
        <v>43168</v>
      </c>
      <c r="G958" s="9" t="s">
        <v>292</v>
      </c>
      <c r="H958" s="9"/>
      <c r="I958" s="8"/>
      <c r="J958" s="8"/>
      <c r="K958" s="8"/>
      <c r="L958" s="9">
        <v>318</v>
      </c>
      <c r="M958" s="8"/>
    </row>
    <row r="959" spans="1:13">
      <c r="A959" s="13" t="s">
        <v>1738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292</v>
      </c>
      <c r="H959" s="9"/>
      <c r="I959" s="8"/>
      <c r="J959" s="8"/>
      <c r="K959" s="8"/>
      <c r="L959" s="8"/>
      <c r="M959" s="8"/>
    </row>
    <row r="960" spans="1:13">
      <c r="A960" s="71" t="s">
        <v>1739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>
      <c r="A961" s="71" t="s">
        <v>1740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292</v>
      </c>
      <c r="H961" s="9"/>
      <c r="I961" s="8"/>
      <c r="J961" s="8"/>
      <c r="K961" s="8"/>
      <c r="L961" s="8"/>
      <c r="M961" s="8"/>
    </row>
    <row r="962" spans="1:13">
      <c r="A962" s="71" t="s">
        <v>1741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292</v>
      </c>
      <c r="H962" s="9"/>
      <c r="I962" s="8"/>
      <c r="J962" s="8"/>
      <c r="K962" s="8"/>
      <c r="L962" s="9" t="s">
        <v>671</v>
      </c>
      <c r="M962" s="8"/>
    </row>
    <row r="963" spans="1:13">
      <c r="A963" s="15" t="s">
        <v>1742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292</v>
      </c>
      <c r="H963" s="25">
        <v>43151</v>
      </c>
      <c r="I963" s="8"/>
      <c r="J963" s="8"/>
      <c r="K963" s="8"/>
      <c r="L963" s="8"/>
      <c r="M963" s="8"/>
    </row>
    <row r="964" spans="1:13">
      <c r="A964" s="71" t="s">
        <v>1743</v>
      </c>
      <c r="B964" s="67">
        <v>46248420300</v>
      </c>
      <c r="C964" s="72" t="s">
        <v>1744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>
      <c r="A965" s="71" t="s">
        <v>1745</v>
      </c>
      <c r="B965" s="67">
        <v>84090294304</v>
      </c>
      <c r="C965" s="72" t="s">
        <v>1746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>
      <c r="A966" s="72" t="s">
        <v>1747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>
      <c r="A967" s="71" t="s">
        <v>1748</v>
      </c>
      <c r="B967" s="67">
        <v>918071313</v>
      </c>
      <c r="C967" s="72" t="s">
        <v>1749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>
      <c r="A968" s="15" t="s">
        <v>1750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292</v>
      </c>
      <c r="H968" s="9"/>
      <c r="I968" s="8"/>
      <c r="J968" s="8"/>
      <c r="K968" s="8"/>
      <c r="L968" s="9" t="s">
        <v>443</v>
      </c>
      <c r="M968" s="8"/>
    </row>
    <row r="969" spans="1:13">
      <c r="A969" s="71" t="s">
        <v>1751</v>
      </c>
      <c r="B969" s="67">
        <v>86465651300</v>
      </c>
      <c r="C969" s="72" t="s">
        <v>1752</v>
      </c>
      <c r="D969" s="69">
        <v>7091216792</v>
      </c>
      <c r="E969" s="9">
        <v>1350</v>
      </c>
      <c r="F969" s="25">
        <v>43006</v>
      </c>
      <c r="G969" s="70" t="s">
        <v>292</v>
      </c>
      <c r="H969" s="9"/>
      <c r="I969" s="8"/>
      <c r="J969" s="8"/>
      <c r="K969" s="8"/>
      <c r="L969" s="8"/>
      <c r="M969" s="8"/>
    </row>
    <row r="970" spans="1:13">
      <c r="A970" s="72" t="s">
        <v>1753</v>
      </c>
      <c r="B970" s="67">
        <v>22893362893</v>
      </c>
      <c r="C970" s="72" t="s">
        <v>1754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>
      <c r="A971" s="71" t="s">
        <v>1755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292</v>
      </c>
      <c r="H971" s="9"/>
      <c r="I971" s="8"/>
      <c r="J971" s="8"/>
      <c r="K971" s="8"/>
      <c r="L971" s="9" t="s">
        <v>526</v>
      </c>
      <c r="M971" s="8"/>
    </row>
    <row r="972" spans="1:13">
      <c r="A972" s="29" t="s">
        <v>1756</v>
      </c>
      <c r="B972" s="67">
        <v>9964640854</v>
      </c>
      <c r="C972" s="18" t="s">
        <v>402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>
      <c r="A973" s="29" t="s">
        <v>1757</v>
      </c>
      <c r="B973" s="67">
        <v>46593499854</v>
      </c>
      <c r="C973" s="29" t="s">
        <v>1758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>
      <c r="A974" s="71" t="s">
        <v>1759</v>
      </c>
      <c r="B974" s="67">
        <v>34412339807</v>
      </c>
      <c r="C974" s="72" t="s">
        <v>1760</v>
      </c>
      <c r="D974" s="69">
        <v>30849792860</v>
      </c>
      <c r="E974" s="9">
        <v>1824</v>
      </c>
      <c r="F974" s="25">
        <v>43091</v>
      </c>
      <c r="G974" s="70" t="s">
        <v>292</v>
      </c>
      <c r="H974" s="9"/>
      <c r="I974" s="8"/>
      <c r="J974" s="8"/>
      <c r="K974" s="8"/>
      <c r="L974" s="9">
        <v>1828</v>
      </c>
      <c r="M974" s="8"/>
    </row>
    <row r="975" spans="1:13">
      <c r="A975" s="15" t="s">
        <v>1761</v>
      </c>
      <c r="B975" s="67">
        <v>63905825449</v>
      </c>
      <c r="C975" s="72" t="s">
        <v>1762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>
      <c r="A976" s="71" t="s">
        <v>1763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292</v>
      </c>
      <c r="H976" s="9"/>
      <c r="I976" s="8"/>
      <c r="J976" s="8"/>
      <c r="K976" s="8"/>
      <c r="L976" s="9" t="s">
        <v>411</v>
      </c>
      <c r="M976" s="8"/>
    </row>
    <row r="977" spans="1:13">
      <c r="A977" s="71" t="s">
        <v>1764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292</v>
      </c>
      <c r="H977" s="9"/>
      <c r="I977" s="8"/>
      <c r="J977" s="8"/>
      <c r="K977" s="8"/>
      <c r="L977" s="9">
        <v>318</v>
      </c>
      <c r="M977" s="8"/>
    </row>
    <row r="978" spans="1:13">
      <c r="A978" s="15" t="s">
        <v>1765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292</v>
      </c>
      <c r="H978" s="9"/>
      <c r="I978" s="8"/>
      <c r="J978" s="8"/>
      <c r="K978" s="8"/>
      <c r="L978" s="9">
        <v>232</v>
      </c>
      <c r="M978" s="8"/>
    </row>
    <row r="979" spans="1:13">
      <c r="A979" s="71" t="s">
        <v>1766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292</v>
      </c>
      <c r="H979" s="9"/>
      <c r="I979" s="8"/>
      <c r="J979" s="8"/>
      <c r="K979" s="8"/>
      <c r="L979" s="9" t="s">
        <v>411</v>
      </c>
      <c r="M979" s="8"/>
    </row>
    <row r="980" spans="1:13">
      <c r="A980" s="18" t="s">
        <v>1767</v>
      </c>
      <c r="B980" s="67">
        <v>18473037812</v>
      </c>
      <c r="C980" s="18" t="s">
        <v>1768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>
      <c r="A981" s="71" t="s">
        <v>1769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>
      <c r="A982" s="13" t="s">
        <v>1770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292</v>
      </c>
      <c r="H982" s="9"/>
      <c r="I982" s="8"/>
      <c r="J982" s="8"/>
      <c r="K982" s="8"/>
      <c r="L982" s="8"/>
      <c r="M982" s="8"/>
    </row>
    <row r="983" spans="1:13">
      <c r="A983" s="71" t="s">
        <v>1771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>
      <c r="A984" s="71" t="s">
        <v>1772</v>
      </c>
      <c r="B984" s="67">
        <v>30458696889</v>
      </c>
      <c r="C984" s="68" t="s">
        <v>1773</v>
      </c>
      <c r="D984" s="69">
        <v>25196748814</v>
      </c>
      <c r="E984" s="9">
        <v>1267</v>
      </c>
      <c r="F984" s="25">
        <v>42998</v>
      </c>
      <c r="G984" s="70" t="s">
        <v>298</v>
      </c>
      <c r="H984" s="9"/>
      <c r="I984" s="8"/>
      <c r="J984" s="8"/>
      <c r="K984" s="8"/>
      <c r="L984" s="8"/>
      <c r="M984" s="8"/>
    </row>
    <row r="985" spans="1:13">
      <c r="A985" s="71" t="s">
        <v>1774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292</v>
      </c>
      <c r="H985" s="9"/>
      <c r="I985" s="8"/>
      <c r="J985" s="8"/>
      <c r="K985" s="8"/>
      <c r="L985" s="8"/>
      <c r="M985" s="8"/>
    </row>
    <row r="986" spans="1:13">
      <c r="A986" s="29" t="s">
        <v>1775</v>
      </c>
      <c r="B986" s="67"/>
      <c r="C986" s="29" t="s">
        <v>1776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>
      <c r="A987" s="71" t="s">
        <v>1777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>
      <c r="A988" s="71" t="s">
        <v>1778</v>
      </c>
      <c r="B988" s="67" t="s">
        <v>1779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>
      <c r="A989" s="72" t="s">
        <v>1780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>
      <c r="A990" s="13" t="s">
        <v>1781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>
      <c r="A991" s="29" t="s">
        <v>1782</v>
      </c>
      <c r="B991" s="67"/>
      <c r="C991" s="18" t="s">
        <v>402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>
      <c r="A992" s="15" t="s">
        <v>1783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>
      <c r="A993" s="14" t="s">
        <v>1784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>
      <c r="A994" s="15" t="s">
        <v>1785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292</v>
      </c>
      <c r="H994" s="25">
        <v>43151</v>
      </c>
      <c r="I994" s="8"/>
      <c r="J994" s="8"/>
      <c r="K994" s="8"/>
      <c r="L994" s="8"/>
      <c r="M994" s="8"/>
    </row>
    <row r="995" spans="1:13">
      <c r="A995" s="13" t="s">
        <v>1786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>
      <c r="A996" s="71" t="s">
        <v>1787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292</v>
      </c>
      <c r="H996" s="9"/>
      <c r="I996" s="8"/>
      <c r="J996" s="8"/>
      <c r="K996" s="8"/>
      <c r="L996" s="9">
        <v>318</v>
      </c>
      <c r="M996" s="8"/>
    </row>
    <row r="997" spans="1:13">
      <c r="A997" s="71" t="s">
        <v>1788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>
      <c r="A998" s="71" t="s">
        <v>1789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>
      <c r="A999" s="71" t="s">
        <v>1790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>
      <c r="A1000" s="13" t="s">
        <v>1791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292</v>
      </c>
      <c r="H1000" s="9"/>
      <c r="I1000" s="8"/>
      <c r="J1000" s="8"/>
      <c r="K1000" s="8"/>
      <c r="L1000" s="8"/>
      <c r="M1000" s="8"/>
    </row>
    <row r="1001" spans="1:13">
      <c r="A1001" s="15" t="s">
        <v>1792</v>
      </c>
      <c r="B1001" s="67">
        <v>39651975334</v>
      </c>
      <c r="C1001" s="72" t="s">
        <v>1793</v>
      </c>
      <c r="D1001" s="69">
        <v>35104799808</v>
      </c>
      <c r="E1001" s="9">
        <v>229</v>
      </c>
      <c r="F1001" s="25">
        <v>43151</v>
      </c>
      <c r="G1001" s="70" t="s">
        <v>292</v>
      </c>
      <c r="H1001" s="9"/>
      <c r="I1001" s="8"/>
      <c r="J1001" s="8"/>
      <c r="K1001" s="8"/>
      <c r="L1001" s="9">
        <v>232</v>
      </c>
      <c r="M1001" s="8"/>
    </row>
    <row r="1002" spans="1:13">
      <c r="A1002" s="71" t="s">
        <v>1794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292</v>
      </c>
      <c r="H1002" s="9"/>
      <c r="I1002" s="8"/>
      <c r="J1002" s="8"/>
      <c r="K1002" s="8"/>
      <c r="L1002" s="8"/>
      <c r="M1002" s="8"/>
    </row>
    <row r="1003" spans="1:13">
      <c r="A1003" s="71" t="s">
        <v>1795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292</v>
      </c>
      <c r="H1003" s="9"/>
      <c r="I1003" s="8"/>
      <c r="J1003" s="8"/>
      <c r="K1003" s="8"/>
      <c r="L1003" s="8"/>
      <c r="M1003" s="8"/>
    </row>
    <row r="1004" spans="1:13">
      <c r="A1004" s="14" t="s">
        <v>1796</v>
      </c>
      <c r="B1004" s="67">
        <v>46226383801</v>
      </c>
      <c r="C1004" s="72" t="s">
        <v>1797</v>
      </c>
      <c r="D1004" s="69">
        <v>46166460821</v>
      </c>
      <c r="E1004" s="9">
        <v>292</v>
      </c>
      <c r="F1004" s="25">
        <v>43168</v>
      </c>
      <c r="G1004" s="70" t="s">
        <v>292</v>
      </c>
      <c r="H1004" s="9"/>
      <c r="I1004" s="8"/>
      <c r="J1004" s="8"/>
      <c r="K1004" s="8"/>
      <c r="L1004" s="9">
        <v>318</v>
      </c>
      <c r="M1004" s="8"/>
    </row>
    <row r="1005" spans="1:13">
      <c r="A1005" s="72" t="s">
        <v>1798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292</v>
      </c>
      <c r="H1005" s="9"/>
      <c r="I1005" s="8"/>
      <c r="J1005" s="8"/>
      <c r="K1005" s="8"/>
      <c r="L1005" s="9">
        <v>318</v>
      </c>
      <c r="M1005" s="8"/>
    </row>
    <row r="1006" spans="1:13">
      <c r="A1006" s="13" t="s">
        <v>1799</v>
      </c>
      <c r="B1006" s="67">
        <v>37051448803</v>
      </c>
      <c r="C1006" s="72" t="s">
        <v>1800</v>
      </c>
      <c r="D1006" s="69">
        <v>22442223813</v>
      </c>
      <c r="E1006" s="9">
        <v>1489</v>
      </c>
      <c r="F1006" s="25">
        <v>43038</v>
      </c>
      <c r="G1006" s="70" t="s">
        <v>292</v>
      </c>
      <c r="H1006" s="9"/>
      <c r="I1006" s="8"/>
      <c r="J1006" s="8"/>
      <c r="K1006" s="8"/>
      <c r="L1006" s="9" t="s">
        <v>433</v>
      </c>
      <c r="M1006" s="8"/>
    </row>
    <row r="1007" spans="1:13">
      <c r="A1007" s="71" t="s">
        <v>1801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>
      <c r="A1008" s="73" t="s">
        <v>1802</v>
      </c>
      <c r="B1008" s="67">
        <v>50092450865</v>
      </c>
      <c r="C1008" s="72" t="s">
        <v>1803</v>
      </c>
      <c r="D1008" s="69">
        <v>34366320827</v>
      </c>
      <c r="E1008" s="9">
        <v>608</v>
      </c>
      <c r="F1008" s="25">
        <v>43012</v>
      </c>
      <c r="G1008" s="70" t="s">
        <v>292</v>
      </c>
      <c r="H1008" s="9"/>
      <c r="I1008" s="8"/>
      <c r="J1008" s="8"/>
      <c r="K1008" s="8"/>
      <c r="L1008" s="8"/>
      <c r="M1008" s="8"/>
    </row>
    <row r="1009" spans="1:13">
      <c r="A1009" s="71" t="s">
        <v>1804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292</v>
      </c>
      <c r="H1009" s="9"/>
      <c r="I1009" s="8"/>
      <c r="J1009" s="8"/>
      <c r="K1009" s="8"/>
      <c r="L1009" s="9">
        <v>318</v>
      </c>
      <c r="M1009" s="8"/>
    </row>
    <row r="1010" spans="1:13">
      <c r="A1010" s="71" t="s">
        <v>1805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292</v>
      </c>
      <c r="H1010" s="9"/>
      <c r="I1010" s="8"/>
      <c r="J1010" s="8"/>
      <c r="K1010" s="8"/>
      <c r="L1010" s="8"/>
      <c r="M1010" s="8"/>
    </row>
    <row r="1011" spans="1:13">
      <c r="A1011" s="15" t="s">
        <v>1806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292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>
      <c r="A1012" s="14" t="s">
        <v>1807</v>
      </c>
      <c r="B1012" s="67">
        <v>36501110807</v>
      </c>
      <c r="C1012" s="72" t="s">
        <v>1808</v>
      </c>
      <c r="D1012" s="69">
        <v>36592467860</v>
      </c>
      <c r="E1012" s="9">
        <v>262</v>
      </c>
      <c r="F1012" s="25">
        <v>43160</v>
      </c>
      <c r="G1012" s="70" t="s">
        <v>292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>
      <c r="A1013" s="29" t="s">
        <v>1809</v>
      </c>
      <c r="B1013" s="67">
        <v>34470374822</v>
      </c>
      <c r="C1013" s="29" t="s">
        <v>1810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>
      <c r="A1014" s="73" t="s">
        <v>1811</v>
      </c>
      <c r="B1014" s="67">
        <v>40814125883</v>
      </c>
      <c r="C1014" s="72" t="s">
        <v>1812</v>
      </c>
      <c r="D1014" s="69">
        <v>27095684898</v>
      </c>
      <c r="E1014" s="9">
        <v>810</v>
      </c>
      <c r="F1014" s="25">
        <v>42915</v>
      </c>
      <c r="G1014" s="70" t="s">
        <v>292</v>
      </c>
      <c r="H1014" s="9"/>
      <c r="I1014" s="8"/>
      <c r="J1014" s="8"/>
      <c r="K1014" s="8"/>
      <c r="L1014" s="9" t="s">
        <v>411</v>
      </c>
      <c r="M1014" s="8"/>
    </row>
    <row r="1015" spans="1:13">
      <c r="A1015" s="71" t="s">
        <v>1813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>
      <c r="A1016" s="71" t="s">
        <v>1814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292</v>
      </c>
      <c r="H1016" s="9"/>
      <c r="I1016" s="8"/>
      <c r="J1016" s="8"/>
      <c r="K1016" s="8"/>
      <c r="L1016" s="8"/>
      <c r="M1016" s="8"/>
    </row>
    <row r="1017" spans="1:13">
      <c r="A1017" s="71" t="s">
        <v>1815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>
      <c r="A1018" s="29" t="s">
        <v>1816</v>
      </c>
      <c r="B1018" s="67"/>
      <c r="C1018" s="18" t="s">
        <v>402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>
      <c r="A1019" s="29" t="s">
        <v>1817</v>
      </c>
      <c r="B1019" s="67">
        <v>26492754808</v>
      </c>
      <c r="C1019" s="9" t="s">
        <v>402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>
      <c r="A1020" s="71" t="s">
        <v>1818</v>
      </c>
      <c r="B1020" s="67">
        <v>526417595</v>
      </c>
      <c r="C1020" s="72" t="s">
        <v>1819</v>
      </c>
      <c r="D1020" s="69">
        <v>25810630847</v>
      </c>
      <c r="E1020" s="9">
        <v>262</v>
      </c>
      <c r="F1020" s="25">
        <v>43160</v>
      </c>
      <c r="G1020" s="9" t="s">
        <v>292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>
      <c r="A1021" s="71" t="s">
        <v>1820</v>
      </c>
      <c r="B1021" s="67">
        <v>26362064852</v>
      </c>
      <c r="C1021" s="77" t="s">
        <v>1821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572</v>
      </c>
      <c r="M1021" s="8"/>
    </row>
    <row r="1022" spans="1:13">
      <c r="A1022" s="71" t="s">
        <v>1822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292</v>
      </c>
      <c r="H1022" s="9"/>
      <c r="I1022" s="8"/>
      <c r="J1022" s="8"/>
      <c r="K1022" s="8"/>
      <c r="L1022" s="9" t="s">
        <v>433</v>
      </c>
      <c r="M1022" s="8"/>
    </row>
    <row r="1023" spans="1:13">
      <c r="A1023" s="71" t="s">
        <v>1823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292</v>
      </c>
      <c r="H1023" s="9"/>
      <c r="I1023" s="8"/>
      <c r="J1023" s="8"/>
      <c r="K1023" s="8"/>
      <c r="L1023" s="9" t="s">
        <v>411</v>
      </c>
      <c r="M1023" s="8"/>
    </row>
    <row r="1024" spans="1:13">
      <c r="A1024" s="71" t="s">
        <v>1824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>
      <c r="A1025" s="29" t="s">
        <v>1825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>
      <c r="A1026" s="14" t="s">
        <v>1826</v>
      </c>
      <c r="B1026" s="67">
        <v>41791708846</v>
      </c>
      <c r="C1026" s="72" t="s">
        <v>1827</v>
      </c>
      <c r="D1026" s="69">
        <v>41003253806</v>
      </c>
      <c r="E1026" s="9">
        <v>262</v>
      </c>
      <c r="F1026" s="25">
        <v>43160</v>
      </c>
      <c r="G1026" s="70" t="s">
        <v>292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>
      <c r="A1027" s="29" t="s">
        <v>1828</v>
      </c>
      <c r="B1027" s="67"/>
      <c r="C1027" s="29" t="s">
        <v>1829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>
      <c r="A1028" s="71" t="s">
        <v>1830</v>
      </c>
      <c r="B1028" s="67">
        <v>34575373800</v>
      </c>
      <c r="C1028" s="72" t="s">
        <v>1831</v>
      </c>
      <c r="D1028" s="69">
        <v>22427117846</v>
      </c>
      <c r="E1028" s="9">
        <v>1350</v>
      </c>
      <c r="F1028" s="25">
        <v>43006</v>
      </c>
      <c r="G1028" s="70" t="s">
        <v>292</v>
      </c>
      <c r="H1028" s="9"/>
      <c r="I1028" s="8"/>
      <c r="J1028" s="8"/>
      <c r="K1028" s="8"/>
      <c r="L1028" s="8"/>
      <c r="M1028" s="8"/>
    </row>
    <row r="1029" spans="1:13">
      <c r="A1029" s="71" t="s">
        <v>1832</v>
      </c>
      <c r="B1029" s="67">
        <v>79215262334</v>
      </c>
      <c r="C1029" s="72" t="s">
        <v>1833</v>
      </c>
      <c r="D1029" s="69">
        <v>76370372315</v>
      </c>
      <c r="E1029" s="9">
        <v>1451</v>
      </c>
      <c r="F1029" s="25">
        <v>43027</v>
      </c>
      <c r="G1029" s="70" t="s">
        <v>298</v>
      </c>
      <c r="H1029" s="9"/>
      <c r="I1029" s="8"/>
      <c r="J1029" s="8"/>
      <c r="K1029" s="8"/>
      <c r="L1029" s="8"/>
      <c r="M1029" s="8"/>
    </row>
    <row r="1030" spans="1:13">
      <c r="A1030" s="13" t="s">
        <v>1834</v>
      </c>
      <c r="B1030" s="67">
        <v>15208922843</v>
      </c>
      <c r="C1030" s="72" t="s">
        <v>1835</v>
      </c>
      <c r="D1030" s="69">
        <v>34068960810</v>
      </c>
      <c r="E1030" s="9">
        <v>229</v>
      </c>
      <c r="F1030" s="25">
        <v>43151</v>
      </c>
      <c r="G1030" s="70" t="s">
        <v>306</v>
      </c>
      <c r="H1030" s="9"/>
      <c r="I1030" s="8"/>
      <c r="J1030" s="8"/>
      <c r="K1030" s="8"/>
      <c r="L1030" s="9">
        <v>232</v>
      </c>
      <c r="M1030" s="8"/>
    </row>
    <row r="1031" spans="1:13">
      <c r="A1031" s="71" t="s">
        <v>1836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>
      <c r="A1032" s="15" t="s">
        <v>1837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>
      <c r="A1033" s="71" t="s">
        <v>1838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292</v>
      </c>
      <c r="H1033" s="76">
        <v>43213</v>
      </c>
      <c r="I1033" s="8"/>
      <c r="J1033" s="8"/>
      <c r="K1033" s="8"/>
      <c r="L1033" s="8"/>
      <c r="M1033" s="8"/>
    </row>
    <row r="1034" spans="1:13">
      <c r="A1034" s="71" t="s">
        <v>1839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572</v>
      </c>
      <c r="M1034" s="8"/>
    </row>
    <row r="1035" spans="1:13">
      <c r="A1035" s="71" t="s">
        <v>1840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>
      <c r="A1036" s="15" t="s">
        <v>1841</v>
      </c>
      <c r="B1036" s="67">
        <v>99570467304</v>
      </c>
      <c r="C1036" s="72" t="s">
        <v>1842</v>
      </c>
      <c r="D1036" s="69">
        <v>7702980877</v>
      </c>
      <c r="E1036" s="9">
        <v>229</v>
      </c>
      <c r="F1036" s="25">
        <v>43151</v>
      </c>
      <c r="G1036" s="70" t="s">
        <v>292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>
      <c r="A1037" s="13" t="s">
        <v>1843</v>
      </c>
      <c r="B1037" s="67">
        <v>18710956549</v>
      </c>
      <c r="C1037" s="72" t="s">
        <v>1844</v>
      </c>
      <c r="D1037" s="69">
        <v>85859141572</v>
      </c>
      <c r="E1037" s="9">
        <v>1417</v>
      </c>
      <c r="F1037" s="25">
        <v>43017</v>
      </c>
      <c r="G1037" s="70" t="s">
        <v>292</v>
      </c>
      <c r="H1037" s="76">
        <v>43213</v>
      </c>
      <c r="I1037" s="8"/>
      <c r="J1037" s="8"/>
      <c r="K1037" s="8"/>
      <c r="L1037" s="9" t="s">
        <v>526</v>
      </c>
      <c r="M1037" s="8"/>
    </row>
    <row r="1038" spans="1:13">
      <c r="A1038" s="71" t="s">
        <v>1845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>
      <c r="A1039" s="18" t="s">
        <v>1846</v>
      </c>
      <c r="B1039" s="67">
        <v>42748662890</v>
      </c>
      <c r="C1039" s="18" t="s">
        <v>1847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>
      <c r="A1040" s="15" t="s">
        <v>1848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292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>
      <c r="A1041" s="71" t="s">
        <v>1849</v>
      </c>
      <c r="B1041" s="67">
        <v>23367537829</v>
      </c>
      <c r="C1041" s="72" t="s">
        <v>1850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>
      <c r="A1042" s="71" t="s">
        <v>1851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292</v>
      </c>
      <c r="H1042" s="9"/>
      <c r="I1042" s="8"/>
      <c r="J1042" s="8"/>
      <c r="K1042" s="8"/>
      <c r="L1042" s="8"/>
      <c r="M1042" s="8"/>
    </row>
    <row r="1043" spans="1:13">
      <c r="A1043" s="15" t="s">
        <v>1852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>
      <c r="A1044" s="15" t="s">
        <v>1853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292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>
      <c r="A1045" s="71" t="s">
        <v>1854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292</v>
      </c>
      <c r="H1045" s="9"/>
      <c r="I1045" s="8"/>
      <c r="J1045" s="8"/>
      <c r="K1045" s="8"/>
      <c r="L1045" s="9">
        <v>1759</v>
      </c>
      <c r="M1045" s="8"/>
    </row>
    <row r="1046" spans="1:13">
      <c r="A1046" s="71" t="s">
        <v>1855</v>
      </c>
      <c r="B1046" s="67">
        <v>74603671415</v>
      </c>
      <c r="C1046" s="72" t="s">
        <v>1856</v>
      </c>
      <c r="D1046" s="69">
        <v>28040569885</v>
      </c>
      <c r="E1046" s="9">
        <v>1267</v>
      </c>
      <c r="F1046" s="25">
        <v>42998</v>
      </c>
      <c r="G1046" s="70" t="s">
        <v>298</v>
      </c>
      <c r="H1046" s="9"/>
      <c r="I1046" s="8"/>
      <c r="J1046" s="8"/>
      <c r="K1046" s="8"/>
      <c r="L1046" s="8"/>
      <c r="M1046" s="8"/>
    </row>
    <row r="1047" spans="1:13">
      <c r="A1047" s="72" t="s">
        <v>1857</v>
      </c>
      <c r="B1047" s="67">
        <v>41590060865</v>
      </c>
      <c r="C1047" s="72" t="s">
        <v>1858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>
      <c r="A1048" s="71" t="s">
        <v>1859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292</v>
      </c>
      <c r="H1048" s="9"/>
      <c r="I1048" s="8"/>
      <c r="J1048" s="8"/>
      <c r="K1048" s="8"/>
      <c r="L1048" s="9" t="s">
        <v>411</v>
      </c>
      <c r="M1048" s="8"/>
    </row>
    <row r="1049" spans="1:13">
      <c r="A1049" s="13" t="s">
        <v>1860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292</v>
      </c>
      <c r="H1049" s="9"/>
      <c r="I1049" s="8"/>
      <c r="J1049" s="8"/>
      <c r="K1049" s="8"/>
      <c r="L1049" s="8"/>
      <c r="M1049" s="8"/>
    </row>
    <row r="1050" spans="1:13">
      <c r="A1050" s="71" t="s">
        <v>1861</v>
      </c>
      <c r="B1050" s="67">
        <v>35741867898</v>
      </c>
      <c r="C1050" s="72" t="s">
        <v>1862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>
      <c r="A1051" s="13" t="s">
        <v>1863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>
      <c r="A1052" s="71" t="s">
        <v>1864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>
      <c r="A1053" s="71" t="s">
        <v>1865</v>
      </c>
      <c r="B1053" s="67">
        <v>27928359820</v>
      </c>
      <c r="C1053" s="72" t="s">
        <v>1866</v>
      </c>
      <c r="D1053" s="69">
        <v>61803766468</v>
      </c>
      <c r="E1053" s="9">
        <v>810</v>
      </c>
      <c r="F1053" s="25">
        <v>42915</v>
      </c>
      <c r="G1053" s="70" t="s">
        <v>292</v>
      </c>
      <c r="H1053" s="9"/>
      <c r="I1053" s="8"/>
      <c r="J1053" s="8"/>
      <c r="K1053" s="8"/>
      <c r="L1053" s="9" t="s">
        <v>411</v>
      </c>
      <c r="M1053" s="8"/>
    </row>
    <row r="1054" spans="1:13">
      <c r="A1054" s="71" t="s">
        <v>1867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292</v>
      </c>
      <c r="H1054" s="9"/>
      <c r="I1054" s="8"/>
      <c r="J1054" s="8"/>
      <c r="K1054" s="8"/>
      <c r="L1054" s="9">
        <v>318</v>
      </c>
      <c r="M1054" s="8"/>
    </row>
    <row r="1055" spans="1:13">
      <c r="A1055" s="29" t="s">
        <v>1868</v>
      </c>
      <c r="B1055" s="67">
        <v>59431920506</v>
      </c>
      <c r="C1055" s="18" t="s">
        <v>402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>
      <c r="A1056" s="13" t="s">
        <v>1869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292</v>
      </c>
      <c r="H1056" s="9"/>
      <c r="I1056" s="8"/>
      <c r="J1056" s="8"/>
      <c r="K1056" s="8"/>
      <c r="L1056" s="8"/>
      <c r="M1056" s="8"/>
    </row>
    <row r="1057" spans="1:13">
      <c r="A1057" s="71" t="s">
        <v>1870</v>
      </c>
      <c r="B1057" s="67" t="s">
        <v>1871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>
      <c r="A1058" s="71" t="s">
        <v>1872</v>
      </c>
      <c r="B1058" s="67">
        <v>34366747880</v>
      </c>
      <c r="C1058" s="77" t="s">
        <v>1873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572</v>
      </c>
      <c r="M1058" s="8"/>
    </row>
    <row r="1059" spans="1:13">
      <c r="A1059" s="71" t="s">
        <v>1874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292</v>
      </c>
      <c r="H1059" s="9"/>
      <c r="I1059" s="8"/>
      <c r="J1059" s="8"/>
      <c r="K1059" s="8"/>
      <c r="L1059" s="9" t="s">
        <v>433</v>
      </c>
      <c r="M1059" s="8"/>
    </row>
    <row r="1060" spans="1:13">
      <c r="A1060" s="14" t="s">
        <v>1875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292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>
      <c r="A1061" s="13" t="s">
        <v>1876</v>
      </c>
      <c r="B1061" s="67">
        <v>19580560811</v>
      </c>
      <c r="C1061" s="68" t="s">
        <v>1877</v>
      </c>
      <c r="D1061" s="69">
        <v>28925414848</v>
      </c>
      <c r="E1061" s="9">
        <v>1359</v>
      </c>
      <c r="F1061" s="25">
        <v>43006</v>
      </c>
      <c r="G1061" s="70" t="s">
        <v>298</v>
      </c>
      <c r="H1061" s="9"/>
      <c r="I1061" s="8"/>
      <c r="J1061" s="8"/>
      <c r="K1061" s="8"/>
      <c r="L1061" s="8"/>
      <c r="M1061" s="8"/>
    </row>
    <row r="1062" spans="1:13">
      <c r="A1062" s="29" t="s">
        <v>1878</v>
      </c>
      <c r="B1062" s="67">
        <v>34230472838</v>
      </c>
      <c r="C1062" s="9" t="s">
        <v>402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>
      <c r="A1063" s="71" t="s">
        <v>1879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>
      <c r="A1064" s="71" t="s">
        <v>1880</v>
      </c>
      <c r="B1064" s="67">
        <v>42398811883</v>
      </c>
      <c r="C1064" s="72" t="s">
        <v>1881</v>
      </c>
      <c r="D1064" s="69">
        <v>33876650836</v>
      </c>
      <c r="E1064" s="9">
        <v>117</v>
      </c>
      <c r="F1064" s="25">
        <v>43117</v>
      </c>
      <c r="G1064" s="70" t="s">
        <v>298</v>
      </c>
      <c r="H1064" s="9"/>
      <c r="I1064" s="8"/>
      <c r="J1064" s="8"/>
      <c r="K1064" s="8"/>
      <c r="L1064" s="9" t="s">
        <v>443</v>
      </c>
      <c r="M1064" s="8"/>
    </row>
    <row r="1065" spans="1:13">
      <c r="A1065" s="13" t="s">
        <v>1882</v>
      </c>
      <c r="B1065" s="67">
        <v>3876363829</v>
      </c>
      <c r="C1065" s="72" t="s">
        <v>1883</v>
      </c>
      <c r="D1065" s="69">
        <v>9491364847</v>
      </c>
      <c r="E1065" s="9">
        <v>1359</v>
      </c>
      <c r="F1065" s="25">
        <v>43006</v>
      </c>
      <c r="G1065" s="70" t="s">
        <v>292</v>
      </c>
      <c r="H1065" s="9"/>
      <c r="I1065" s="8"/>
      <c r="J1065" s="8"/>
      <c r="K1065" s="8"/>
      <c r="L1065" s="8"/>
      <c r="M1065" s="8"/>
    </row>
    <row r="1066" spans="1:13">
      <c r="A1066" s="71" t="s">
        <v>1884</v>
      </c>
      <c r="B1066" s="67">
        <v>27340044884</v>
      </c>
      <c r="C1066" s="72" t="s">
        <v>1885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>
      <c r="A1067" s="15" t="s">
        <v>1886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>
      <c r="A1068" s="73" t="s">
        <v>1887</v>
      </c>
      <c r="B1068" s="67">
        <v>38422303892</v>
      </c>
      <c r="C1068" s="72" t="s">
        <v>1888</v>
      </c>
      <c r="D1068" s="69">
        <v>33753889857</v>
      </c>
      <c r="E1068" s="9">
        <v>608</v>
      </c>
      <c r="F1068" s="25">
        <v>43012</v>
      </c>
      <c r="G1068" s="70" t="s">
        <v>292</v>
      </c>
      <c r="H1068" s="9"/>
      <c r="I1068" s="8"/>
      <c r="J1068" s="8"/>
      <c r="K1068" s="8"/>
      <c r="L1068" s="8"/>
      <c r="M1068" s="8"/>
    </row>
    <row r="1069" spans="1:13">
      <c r="A1069" s="13" t="s">
        <v>1889</v>
      </c>
      <c r="B1069" s="67">
        <v>36171676837</v>
      </c>
      <c r="C1069" s="68" t="s">
        <v>1890</v>
      </c>
      <c r="D1069" s="69">
        <v>1470162580</v>
      </c>
      <c r="E1069" s="9">
        <v>1128</v>
      </c>
      <c r="F1069" s="25">
        <v>42972</v>
      </c>
      <c r="G1069" s="70" t="s">
        <v>292</v>
      </c>
      <c r="H1069" s="9"/>
      <c r="I1069" s="8"/>
      <c r="J1069" s="8"/>
      <c r="K1069" s="8"/>
      <c r="L1069" s="8"/>
      <c r="M1069" s="8"/>
    </row>
    <row r="1070" spans="1:13">
      <c r="A1070" s="14" t="s">
        <v>1891</v>
      </c>
      <c r="B1070" s="67">
        <v>42047014859</v>
      </c>
      <c r="C1070" s="72" t="s">
        <v>1892</v>
      </c>
      <c r="D1070" s="69">
        <v>9300065424</v>
      </c>
      <c r="E1070" s="9">
        <v>1417</v>
      </c>
      <c r="F1070" s="25">
        <v>43017</v>
      </c>
      <c r="G1070" s="70" t="s">
        <v>298</v>
      </c>
      <c r="H1070" s="9"/>
      <c r="I1070" s="8"/>
      <c r="J1070" s="8"/>
      <c r="K1070" s="8"/>
      <c r="L1070" s="9" t="s">
        <v>526</v>
      </c>
      <c r="M1070" s="8"/>
    </row>
    <row r="1071" spans="1:13">
      <c r="A1071" s="29" t="s">
        <v>1893</v>
      </c>
      <c r="B1071" s="67">
        <v>34822545830</v>
      </c>
      <c r="C1071" s="18" t="s">
        <v>402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>
      <c r="A1072" s="14" t="s">
        <v>1894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>
      <c r="A1073" s="71" t="s">
        <v>1895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292</v>
      </c>
      <c r="H1073" s="9"/>
      <c r="I1073" s="8"/>
      <c r="J1073" s="8"/>
      <c r="K1073" s="8"/>
      <c r="L1073" s="8"/>
      <c r="M1073" s="8"/>
    </row>
    <row r="1074" spans="1:13">
      <c r="A1074" s="71" t="s">
        <v>1896</v>
      </c>
      <c r="B1074" s="67">
        <v>1737249308</v>
      </c>
      <c r="C1074" s="72" t="s">
        <v>1897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>
      <c r="A1075" s="71" t="s">
        <v>1898</v>
      </c>
      <c r="B1075" s="67">
        <v>3844142576</v>
      </c>
      <c r="C1075" s="72" t="s">
        <v>1899</v>
      </c>
      <c r="D1075" s="69">
        <v>35502503801</v>
      </c>
      <c r="E1075" s="9">
        <v>810</v>
      </c>
      <c r="F1075" s="25">
        <v>42915</v>
      </c>
      <c r="G1075" s="70" t="s">
        <v>292</v>
      </c>
      <c r="H1075" s="9"/>
      <c r="I1075" s="8"/>
      <c r="J1075" s="8"/>
      <c r="K1075" s="8"/>
      <c r="L1075" s="9" t="s">
        <v>411</v>
      </c>
      <c r="M1075" s="8"/>
    </row>
    <row r="1076" spans="1:13">
      <c r="A1076" s="71" t="s">
        <v>1900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>
      <c r="A1077" s="13" t="s">
        <v>1901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292</v>
      </c>
      <c r="H1077" s="9"/>
      <c r="I1077" s="8"/>
      <c r="J1077" s="8"/>
      <c r="K1077" s="8"/>
      <c r="L1077" s="8"/>
      <c r="M1077" s="8"/>
    </row>
    <row r="1078" spans="1:13">
      <c r="A1078" s="30" t="s">
        <v>1902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>
      <c r="A1079" s="71" t="s">
        <v>1903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292</v>
      </c>
      <c r="H1079" s="9"/>
      <c r="I1079" s="8"/>
      <c r="J1079" s="8"/>
      <c r="K1079" s="8"/>
      <c r="L1079" s="9" t="s">
        <v>443</v>
      </c>
      <c r="M1079" s="8"/>
    </row>
    <row r="1080" spans="1:13">
      <c r="A1080" s="18" t="s">
        <v>1904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>
      <c r="A1081" s="15" t="s">
        <v>1905</v>
      </c>
      <c r="B1081" s="67">
        <v>44410556843</v>
      </c>
      <c r="C1081" s="72" t="s">
        <v>1906</v>
      </c>
      <c r="D1081" s="69">
        <v>39436457898</v>
      </c>
      <c r="E1081" s="9">
        <v>262</v>
      </c>
      <c r="F1081" s="25">
        <v>43160</v>
      </c>
      <c r="G1081" s="70" t="s">
        <v>292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>
      <c r="A1082" s="72" t="s">
        <v>1907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292</v>
      </c>
      <c r="H1082" s="9"/>
      <c r="I1082" s="8"/>
      <c r="J1082" s="8"/>
      <c r="K1082" s="8"/>
      <c r="L1082" s="9">
        <v>318</v>
      </c>
      <c r="M1082" s="8"/>
    </row>
    <row r="1083" spans="1:13">
      <c r="A1083" s="15" t="s">
        <v>1908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>
      <c r="A1084" s="72" t="s">
        <v>1909</v>
      </c>
      <c r="B1084" s="67">
        <v>7838810884</v>
      </c>
      <c r="C1084" s="72" t="s">
        <v>1910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>
      <c r="A1085" s="15" t="s">
        <v>1911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292</v>
      </c>
      <c r="H1085" s="9"/>
      <c r="I1085" s="8"/>
      <c r="J1085" s="8"/>
      <c r="K1085" s="8"/>
      <c r="L1085" s="8"/>
      <c r="M1085" s="8"/>
    </row>
    <row r="1086" spans="1:13">
      <c r="A1086" s="73" t="s">
        <v>1912</v>
      </c>
      <c r="B1086" s="67">
        <v>18239878857</v>
      </c>
      <c r="C1086" s="72" t="s">
        <v>1913</v>
      </c>
      <c r="D1086" s="69">
        <v>18871709870</v>
      </c>
      <c r="E1086" s="9">
        <v>85</v>
      </c>
      <c r="F1086" s="25">
        <v>43109</v>
      </c>
      <c r="G1086" s="70" t="s">
        <v>292</v>
      </c>
      <c r="H1086" s="25">
        <v>43151</v>
      </c>
      <c r="I1086" s="8"/>
      <c r="J1086" s="8"/>
      <c r="K1086" s="8"/>
      <c r="L1086" s="8"/>
      <c r="M1086" s="8"/>
    </row>
    <row r="1087" spans="1:13">
      <c r="A1087" s="29" t="s">
        <v>1914</v>
      </c>
      <c r="B1087" s="67">
        <v>33213821802</v>
      </c>
      <c r="C1087" s="18" t="s">
        <v>402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>
      <c r="A1088" s="71" t="s">
        <v>1915</v>
      </c>
      <c r="B1088" s="67">
        <v>39075719833</v>
      </c>
      <c r="C1088" s="72" t="s">
        <v>1916</v>
      </c>
      <c r="D1088" s="69">
        <v>29754975809</v>
      </c>
      <c r="E1088" s="9">
        <v>810</v>
      </c>
      <c r="F1088" s="25">
        <v>42915</v>
      </c>
      <c r="G1088" s="70" t="s">
        <v>298</v>
      </c>
      <c r="H1088" s="9"/>
      <c r="I1088" s="8"/>
      <c r="J1088" s="8"/>
      <c r="K1088" s="8"/>
      <c r="L1088" s="9" t="s">
        <v>411</v>
      </c>
      <c r="M1088" s="8"/>
    </row>
    <row r="1089" spans="1:13">
      <c r="A1089" s="71" t="s">
        <v>1917</v>
      </c>
      <c r="B1089" s="67">
        <v>22599824842</v>
      </c>
      <c r="C1089" s="73" t="s">
        <v>1918</v>
      </c>
      <c r="D1089" s="69" t="s">
        <v>1919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>
      <c r="A1090" s="71" t="s">
        <v>1920</v>
      </c>
      <c r="B1090" s="67">
        <v>41719739889</v>
      </c>
      <c r="C1090" s="72" t="s">
        <v>1921</v>
      </c>
      <c r="D1090" s="69">
        <v>35883252800</v>
      </c>
      <c r="E1090" s="9">
        <v>1752</v>
      </c>
      <c r="F1090" s="25">
        <v>43051</v>
      </c>
      <c r="G1090" s="70" t="s">
        <v>292</v>
      </c>
      <c r="H1090" s="9"/>
      <c r="I1090" s="8"/>
      <c r="J1090" s="8"/>
      <c r="K1090" s="8"/>
      <c r="L1090" s="9">
        <v>1759</v>
      </c>
      <c r="M1090" s="8"/>
    </row>
    <row r="1091" spans="1:13">
      <c r="A1091" s="72" t="s">
        <v>1922</v>
      </c>
      <c r="B1091" s="67">
        <v>31524778800</v>
      </c>
      <c r="C1091" s="72" t="s">
        <v>1923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>
      <c r="A1092" s="15" t="s">
        <v>1924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>
      <c r="A1093" s="18" t="s">
        <v>1925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>
      <c r="A1094" s="71" t="s">
        <v>1926</v>
      </c>
      <c r="B1094" s="67">
        <v>6614830376</v>
      </c>
      <c r="C1094" s="72" t="s">
        <v>1927</v>
      </c>
      <c r="D1094" s="69">
        <v>6372277352</v>
      </c>
      <c r="E1094" s="9">
        <v>229</v>
      </c>
      <c r="F1094" s="25">
        <v>43151</v>
      </c>
      <c r="G1094" s="70" t="s">
        <v>292</v>
      </c>
      <c r="H1094" s="9"/>
      <c r="I1094" s="8"/>
      <c r="J1094" s="8"/>
      <c r="K1094" s="8"/>
      <c r="L1094" s="9">
        <v>232</v>
      </c>
      <c r="M1094" s="8"/>
    </row>
    <row r="1095" spans="1:13">
      <c r="A1095" s="71" t="s">
        <v>1928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>
      <c r="A1096" s="71" t="s">
        <v>1929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292</v>
      </c>
      <c r="H1096" s="9"/>
      <c r="I1096" s="8"/>
      <c r="J1096" s="8"/>
      <c r="K1096" s="8"/>
      <c r="L1096" s="8"/>
      <c r="M1096" s="8"/>
    </row>
    <row r="1097" spans="1:13">
      <c r="A1097" s="71" t="s">
        <v>1930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>
      <c r="A1098" s="15" t="s">
        <v>1931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292</v>
      </c>
      <c r="H1098" s="25">
        <v>43151</v>
      </c>
      <c r="I1098" s="8"/>
      <c r="J1098" s="8"/>
      <c r="K1098" s="8"/>
      <c r="L1098" s="8"/>
      <c r="M1098" s="8"/>
    </row>
    <row r="1099" spans="1:13">
      <c r="A1099" s="29" t="s">
        <v>1932</v>
      </c>
      <c r="B1099" s="67">
        <v>23047254818</v>
      </c>
      <c r="C1099" s="18" t="s">
        <v>402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>
      <c r="A1100" s="72" t="s">
        <v>1933</v>
      </c>
      <c r="B1100" s="69">
        <v>15755371504</v>
      </c>
      <c r="C1100" s="71" t="s">
        <v>1934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>
      <c r="A1101" s="29" t="s">
        <v>1935</v>
      </c>
      <c r="B1101" s="67"/>
      <c r="C1101" s="29" t="s">
        <v>402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>
      <c r="A1102" s="73" t="s">
        <v>1936</v>
      </c>
      <c r="B1102" s="67">
        <v>37975016845</v>
      </c>
      <c r="C1102" s="72" t="s">
        <v>1937</v>
      </c>
      <c r="D1102" s="69">
        <v>31274964865</v>
      </c>
      <c r="E1102" s="9">
        <v>810</v>
      </c>
      <c r="F1102" s="25">
        <v>42915</v>
      </c>
      <c r="G1102" s="70" t="s">
        <v>292</v>
      </c>
      <c r="H1102" s="9"/>
      <c r="I1102" s="8"/>
      <c r="J1102" s="8"/>
      <c r="K1102" s="8"/>
      <c r="L1102" s="9" t="s">
        <v>411</v>
      </c>
      <c r="M1102" s="8"/>
    </row>
    <row r="1103" spans="1:13">
      <c r="A1103" s="71" t="s">
        <v>1938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>
      <c r="A1104" s="15" t="s">
        <v>1939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>
      <c r="A1105" s="71" t="s">
        <v>1940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292</v>
      </c>
      <c r="H1105" s="9"/>
      <c r="I1105" s="8"/>
      <c r="J1105" s="8"/>
      <c r="K1105" s="8"/>
      <c r="L1105" s="9" t="s">
        <v>443</v>
      </c>
      <c r="M1105" s="8"/>
    </row>
    <row r="1106" spans="1:13">
      <c r="A1106" s="14" t="s">
        <v>1941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292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>
      <c r="A1107" s="15" t="s">
        <v>1942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>
      <c r="A1108" s="71" t="s">
        <v>1943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292</v>
      </c>
      <c r="H1108" s="9"/>
      <c r="I1108" s="8"/>
      <c r="J1108" s="8"/>
      <c r="K1108" s="8"/>
      <c r="L1108" s="9">
        <v>1759</v>
      </c>
      <c r="M1108" s="8"/>
    </row>
    <row r="1109" spans="1:13">
      <c r="A1109" s="13" t="s">
        <v>1944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>
      <c r="A1110" s="18" t="s">
        <v>1945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>
      <c r="A1111" s="71" t="s">
        <v>1946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292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>
      <c r="A1112" s="29" t="s">
        <v>1947</v>
      </c>
      <c r="B1112" s="67"/>
      <c r="C1112" s="29" t="s">
        <v>1948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>
      <c r="A1113" s="18" t="s">
        <v>1949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>
      <c r="A1114" s="15" t="s">
        <v>1950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>
      <c r="A1115" s="18" t="s">
        <v>1951</v>
      </c>
      <c r="B1115" s="67">
        <v>31228148899</v>
      </c>
      <c r="C1115" s="18" t="s">
        <v>1952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>
      <c r="A1116" s="73" t="s">
        <v>1953</v>
      </c>
      <c r="B1116" s="67">
        <v>28077309810</v>
      </c>
      <c r="C1116" s="72" t="s">
        <v>1954</v>
      </c>
      <c r="D1116" s="69">
        <v>62568370530</v>
      </c>
      <c r="E1116" s="9">
        <v>229</v>
      </c>
      <c r="F1116" s="25">
        <v>43151</v>
      </c>
      <c r="G1116" s="70" t="s">
        <v>292</v>
      </c>
      <c r="H1116" s="9"/>
      <c r="I1116" s="8"/>
      <c r="J1116" s="8"/>
      <c r="K1116" s="8"/>
      <c r="L1116" s="9">
        <v>232</v>
      </c>
      <c r="M1116" s="8"/>
    </row>
    <row r="1117" spans="1:13">
      <c r="A1117" s="14" t="s">
        <v>1955</v>
      </c>
      <c r="B1117" s="67">
        <v>43681754845</v>
      </c>
      <c r="C1117" s="72" t="s">
        <v>1956</v>
      </c>
      <c r="D1117" s="69">
        <v>51120226805</v>
      </c>
      <c r="E1117" s="9">
        <v>1555</v>
      </c>
      <c r="F1117" s="25">
        <v>43049</v>
      </c>
      <c r="G1117" s="70" t="s">
        <v>292</v>
      </c>
      <c r="H1117" s="9"/>
      <c r="I1117" s="8"/>
      <c r="J1117" s="8"/>
      <c r="K1117" s="8"/>
      <c r="L1117" s="9" t="s">
        <v>671</v>
      </c>
      <c r="M1117" s="8"/>
    </row>
    <row r="1118" spans="1:13">
      <c r="A1118" s="29" t="s">
        <v>1957</v>
      </c>
      <c r="B1118" s="67"/>
      <c r="C1118" s="29" t="s">
        <v>1958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>
      <c r="A1119" s="71" t="s">
        <v>1959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>
      <c r="A1120" s="14" t="s">
        <v>1960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292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>
      <c r="A1121" s="71" t="s">
        <v>1961</v>
      </c>
      <c r="B1121" s="67">
        <v>44708151870</v>
      </c>
      <c r="C1121" s="88" t="s">
        <v>1962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>
      <c r="A1122" s="71" t="s">
        <v>1963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>
      <c r="A1123" s="18" t="s">
        <v>1964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>
      <c r="A1124" s="71" t="s">
        <v>1965</v>
      </c>
      <c r="B1124" s="67">
        <v>8368671817</v>
      </c>
      <c r="C1124" s="72" t="s">
        <v>1966</v>
      </c>
      <c r="D1124" s="69">
        <v>19184424877</v>
      </c>
      <c r="E1124" s="9">
        <v>292</v>
      </c>
      <c r="F1124" s="25">
        <v>43168</v>
      </c>
      <c r="G1124" s="70" t="s">
        <v>292</v>
      </c>
      <c r="H1124" s="9"/>
      <c r="I1124" s="8"/>
      <c r="J1124" s="8"/>
      <c r="K1124" s="8"/>
      <c r="L1124" s="9">
        <v>318</v>
      </c>
      <c r="M1124" s="8"/>
    </row>
    <row r="1125" spans="1:13">
      <c r="A1125" s="71" t="s">
        <v>1967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292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>
      <c r="A1126" s="71" t="s">
        <v>1968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292</v>
      </c>
      <c r="H1126" s="9"/>
      <c r="I1126" s="8"/>
      <c r="J1126" s="8"/>
      <c r="K1126" s="8"/>
      <c r="L1126" s="9" t="s">
        <v>411</v>
      </c>
      <c r="M1126" s="8"/>
    </row>
    <row r="1127" spans="1:13">
      <c r="A1127" s="18" t="s">
        <v>1969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>
      <c r="A1128" s="15" t="s">
        <v>1970</v>
      </c>
      <c r="B1128" s="67">
        <v>45127604825</v>
      </c>
      <c r="C1128" s="72" t="s">
        <v>1971</v>
      </c>
      <c r="D1128" s="69" t="s">
        <v>1972</v>
      </c>
      <c r="E1128" s="9">
        <v>229</v>
      </c>
      <c r="F1128" s="25">
        <v>43151</v>
      </c>
      <c r="G1128" s="70" t="s">
        <v>306</v>
      </c>
      <c r="H1128" s="9"/>
      <c r="I1128" s="8"/>
      <c r="J1128" s="8"/>
      <c r="K1128" s="8"/>
      <c r="L1128" s="9">
        <v>232</v>
      </c>
      <c r="M1128" s="8"/>
    </row>
    <row r="1129" spans="1:13">
      <c r="A1129" s="15" t="s">
        <v>1973</v>
      </c>
      <c r="B1129" s="67">
        <v>42987674856</v>
      </c>
      <c r="C1129" s="72" t="s">
        <v>1974</v>
      </c>
      <c r="D1129" s="69">
        <v>38745840890</v>
      </c>
      <c r="E1129" s="9">
        <v>85</v>
      </c>
      <c r="F1129" s="25">
        <v>43109</v>
      </c>
      <c r="G1129" s="70" t="s">
        <v>292</v>
      </c>
      <c r="H1129" s="25">
        <v>43151</v>
      </c>
      <c r="I1129" s="8"/>
      <c r="J1129" s="8"/>
      <c r="K1129" s="8"/>
      <c r="L1129" s="8"/>
      <c r="M1129" s="8"/>
    </row>
    <row r="1130" spans="1:13">
      <c r="A1130" s="15" t="s">
        <v>1975</v>
      </c>
      <c r="B1130" s="67">
        <v>36406558855</v>
      </c>
      <c r="C1130" s="72" t="s">
        <v>1976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>
      <c r="A1131" s="71" t="s">
        <v>1977</v>
      </c>
      <c r="B1131" s="67">
        <v>22758320843</v>
      </c>
      <c r="C1131" s="72" t="s">
        <v>1978</v>
      </c>
      <c r="D1131" s="69">
        <v>14229403810</v>
      </c>
      <c r="E1131" s="9">
        <v>1752</v>
      </c>
      <c r="F1131" s="25">
        <v>43051</v>
      </c>
      <c r="G1131" s="70" t="s">
        <v>292</v>
      </c>
      <c r="H1131" s="9"/>
      <c r="I1131" s="8"/>
      <c r="J1131" s="8"/>
      <c r="K1131" s="8"/>
      <c r="L1131" s="9">
        <v>1759</v>
      </c>
      <c r="M1131" s="8"/>
    </row>
    <row r="1132" spans="1:13">
      <c r="A1132" s="30" t="s">
        <v>1979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>
      <c r="A1133" s="71" t="s">
        <v>1980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292</v>
      </c>
      <c r="H1133" s="9"/>
      <c r="I1133" s="8"/>
      <c r="J1133" s="8"/>
      <c r="K1133" s="8"/>
      <c r="L1133" s="8"/>
      <c r="M1133" s="8"/>
    </row>
    <row r="1134" spans="1:13">
      <c r="A1134" s="71" t="s">
        <v>1981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292</v>
      </c>
      <c r="H1134" s="9"/>
      <c r="I1134" s="8"/>
      <c r="J1134" s="8"/>
      <c r="K1134" s="8"/>
      <c r="L1134" s="8"/>
      <c r="M1134" s="8"/>
    </row>
    <row r="1135" spans="1:13">
      <c r="A1135" s="13" t="s">
        <v>1982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292</v>
      </c>
      <c r="H1135" s="9"/>
      <c r="I1135" s="8"/>
      <c r="J1135" s="8"/>
      <c r="K1135" s="8"/>
      <c r="L1135" s="8"/>
      <c r="M1135" s="8"/>
    </row>
    <row r="1136" spans="1:13">
      <c r="A1136" s="73" t="s">
        <v>1983</v>
      </c>
      <c r="B1136" s="67">
        <v>32518683810</v>
      </c>
      <c r="C1136" s="72" t="s">
        <v>1984</v>
      </c>
      <c r="D1136" s="69">
        <v>32570919829</v>
      </c>
      <c r="E1136" s="9">
        <v>262</v>
      </c>
      <c r="F1136" s="25">
        <v>43160</v>
      </c>
      <c r="G1136" s="70" t="s">
        <v>298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>
      <c r="A1137" s="29" t="s">
        <v>1985</v>
      </c>
      <c r="B1137" s="67">
        <v>35723911805</v>
      </c>
      <c r="C1137" s="18" t="s">
        <v>402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>
      <c r="A1138" s="71" t="s">
        <v>1986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292</v>
      </c>
      <c r="H1138" s="9"/>
      <c r="I1138" s="8"/>
      <c r="J1138" s="8"/>
      <c r="K1138" s="8"/>
      <c r="L1138" s="8"/>
      <c r="M1138" s="8"/>
    </row>
    <row r="1139" spans="1:13">
      <c r="A1139" s="71" t="s">
        <v>1987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292</v>
      </c>
      <c r="H1139" s="9"/>
      <c r="I1139" s="8"/>
      <c r="J1139" s="8"/>
      <c r="K1139" s="8"/>
      <c r="L1139" s="8"/>
      <c r="M1139" s="8"/>
    </row>
    <row r="1140" spans="1:13">
      <c r="A1140" s="71" t="s">
        <v>1988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292</v>
      </c>
      <c r="H1140" s="25">
        <v>43151</v>
      </c>
      <c r="I1140" s="8"/>
      <c r="J1140" s="8"/>
      <c r="K1140" s="8"/>
      <c r="L1140" s="8"/>
      <c r="M1140" s="8"/>
    </row>
    <row r="1141" spans="1:13">
      <c r="A1141" s="18" t="s">
        <v>1989</v>
      </c>
      <c r="B1141" s="67">
        <v>9527670667</v>
      </c>
      <c r="C1141" s="18" t="s">
        <v>1990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>
      <c r="A1142" s="71" t="s">
        <v>1991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292</v>
      </c>
      <c r="H1142" s="9"/>
      <c r="I1142" s="8"/>
      <c r="J1142" s="8"/>
      <c r="K1142" s="8"/>
      <c r="L1142" s="8"/>
      <c r="M1142" s="8"/>
    </row>
    <row r="1143" spans="1:13">
      <c r="A1143" s="51" t="s">
        <v>1992</v>
      </c>
      <c r="B1143" s="80">
        <v>15404916842</v>
      </c>
      <c r="C1143" s="81" t="s">
        <v>1993</v>
      </c>
      <c r="D1143" s="82">
        <v>26437120487</v>
      </c>
      <c r="E1143" s="47">
        <v>1752</v>
      </c>
      <c r="F1143" s="48">
        <v>43051</v>
      </c>
      <c r="G1143" s="83" t="s">
        <v>306</v>
      </c>
      <c r="H1143" s="47"/>
      <c r="I1143" s="49"/>
      <c r="J1143" s="49"/>
      <c r="K1143" s="49"/>
      <c r="L1143" s="9">
        <v>1759</v>
      </c>
      <c r="M1143" s="49"/>
    </row>
    <row r="1144" spans="1:13">
      <c r="A1144" s="71" t="s">
        <v>1994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292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>
      <c r="A1145" s="71" t="s">
        <v>1995</v>
      </c>
      <c r="B1145" s="67">
        <v>16618981816</v>
      </c>
      <c r="C1145" s="77" t="s">
        <v>1996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>
      <c r="A1146" s="71" t="s">
        <v>1997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292</v>
      </c>
      <c r="H1146" s="9"/>
      <c r="I1146" s="8"/>
      <c r="J1146" s="8"/>
      <c r="K1146" s="8"/>
      <c r="L1146" s="9">
        <v>1759</v>
      </c>
      <c r="M1146" s="8"/>
    </row>
    <row r="1147" spans="1:13">
      <c r="A1147" s="71" t="s">
        <v>1998</v>
      </c>
      <c r="B1147" s="67">
        <v>14396561857</v>
      </c>
      <c r="C1147" s="72" t="s">
        <v>1999</v>
      </c>
      <c r="D1147" s="69">
        <v>26877955854</v>
      </c>
      <c r="E1147" s="9">
        <v>1350</v>
      </c>
      <c r="F1147" s="25">
        <v>43006</v>
      </c>
      <c r="G1147" s="70" t="s">
        <v>292</v>
      </c>
      <c r="H1147" s="9"/>
      <c r="I1147" s="8"/>
      <c r="J1147" s="8"/>
      <c r="K1147" s="8"/>
      <c r="L1147" s="8"/>
      <c r="M1147" s="8"/>
    </row>
    <row r="1148" spans="1:13">
      <c r="A1148" s="71" t="s">
        <v>2000</v>
      </c>
      <c r="B1148" s="67">
        <v>89014774591</v>
      </c>
      <c r="C1148" s="72" t="s">
        <v>2001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>
      <c r="A1149" s="71" t="s">
        <v>2002</v>
      </c>
      <c r="B1149" s="67">
        <v>36708561883</v>
      </c>
      <c r="C1149" s="72" t="s">
        <v>2003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>
      <c r="A1150" s="71" t="s">
        <v>2004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292</v>
      </c>
      <c r="H1150" s="9"/>
      <c r="I1150" s="8"/>
      <c r="J1150" s="8"/>
      <c r="K1150" s="8"/>
      <c r="L1150" s="9">
        <v>1759</v>
      </c>
      <c r="M1150" s="8"/>
    </row>
    <row r="1151" spans="1:13">
      <c r="A1151" s="15" t="s">
        <v>2005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292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>
      <c r="A1152" s="15" t="s">
        <v>2006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292</v>
      </c>
      <c r="H1152" s="25">
        <v>43151</v>
      </c>
      <c r="I1152" s="8"/>
      <c r="J1152" s="8"/>
      <c r="K1152" s="8"/>
      <c r="L1152" s="8"/>
      <c r="M1152" s="8"/>
    </row>
    <row r="1153" spans="1:13">
      <c r="A1153" s="71" t="s">
        <v>2007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>
      <c r="A1154" s="71" t="s">
        <v>2008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>
      <c r="A1155" s="71" t="s">
        <v>2009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292</v>
      </c>
      <c r="H1155" s="9"/>
      <c r="I1155" s="8"/>
      <c r="J1155" s="8"/>
      <c r="K1155" s="8"/>
      <c r="L1155" s="8"/>
      <c r="M1155" s="8"/>
    </row>
    <row r="1156" spans="1:13">
      <c r="A1156" s="71" t="s">
        <v>2010</v>
      </c>
      <c r="B1156" s="67">
        <v>35706404852</v>
      </c>
      <c r="C1156" s="72"/>
      <c r="D1156" s="69"/>
      <c r="E1156" s="9">
        <v>117</v>
      </c>
      <c r="F1156" s="25"/>
      <c r="G1156" s="70" t="s">
        <v>306</v>
      </c>
      <c r="H1156" s="9"/>
      <c r="I1156" s="8"/>
      <c r="J1156" s="8"/>
      <c r="K1156" s="8"/>
      <c r="L1156" s="8"/>
      <c r="M1156" s="8"/>
    </row>
    <row r="1157" spans="1:13">
      <c r="A1157" s="71" t="s">
        <v>2011</v>
      </c>
      <c r="B1157" s="67">
        <v>2044062348</v>
      </c>
      <c r="C1157" s="72" t="s">
        <v>2012</v>
      </c>
      <c r="D1157" s="69">
        <v>61505005353</v>
      </c>
      <c r="E1157" s="9">
        <v>1214</v>
      </c>
      <c r="F1157" s="25">
        <v>42989</v>
      </c>
      <c r="G1157" s="70" t="s">
        <v>292</v>
      </c>
      <c r="H1157" s="9"/>
      <c r="I1157" s="8"/>
      <c r="J1157" s="8"/>
      <c r="K1157" s="8"/>
      <c r="L1157" s="8"/>
      <c r="M1157" s="8"/>
    </row>
    <row r="1158" spans="1:13">
      <c r="A1158" s="71" t="s">
        <v>2013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292</v>
      </c>
      <c r="H1158" s="9"/>
      <c r="I1158" s="8"/>
      <c r="J1158" s="8"/>
      <c r="K1158" s="8"/>
      <c r="L1158" s="9">
        <v>318</v>
      </c>
      <c r="M1158" s="8"/>
    </row>
    <row r="1159" spans="1:13">
      <c r="A1159" s="84" t="s">
        <v>2014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>
      <c r="A1160" s="71" t="s">
        <v>2015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292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>
      <c r="A1161" s="71" t="s">
        <v>2016</v>
      </c>
      <c r="B1161" s="67">
        <v>11126789801</v>
      </c>
      <c r="C1161" s="72" t="s">
        <v>2017</v>
      </c>
      <c r="D1161" s="69">
        <v>13442330823</v>
      </c>
      <c r="E1161" s="9">
        <v>85</v>
      </c>
      <c r="F1161" s="25">
        <v>43109</v>
      </c>
      <c r="G1161" s="70" t="s">
        <v>292</v>
      </c>
      <c r="H1161" s="25">
        <v>43151</v>
      </c>
      <c r="I1161" s="8"/>
      <c r="J1161" s="8"/>
      <c r="K1161" s="8"/>
      <c r="L1161" s="8"/>
      <c r="M1161" s="8"/>
    </row>
    <row r="1162" spans="1:13">
      <c r="A1162" s="71" t="s">
        <v>2018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292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>
      <c r="A1163" s="71" t="s">
        <v>2019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292</v>
      </c>
      <c r="H1163" s="9"/>
      <c r="I1163" s="8"/>
      <c r="J1163" s="8"/>
      <c r="K1163" s="8"/>
      <c r="L1163" s="9">
        <v>1828</v>
      </c>
      <c r="M1163" s="8"/>
    </row>
    <row r="1164" spans="1:13">
      <c r="A1164" s="71" t="s">
        <v>2020</v>
      </c>
      <c r="B1164" s="67">
        <v>42134258861</v>
      </c>
      <c r="C1164" s="72" t="s">
        <v>2021</v>
      </c>
      <c r="D1164" s="69">
        <v>36485490817</v>
      </c>
      <c r="E1164" s="9">
        <v>262</v>
      </c>
      <c r="F1164" s="25">
        <v>43160</v>
      </c>
      <c r="G1164" s="9" t="s">
        <v>292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>
      <c r="A1165" s="15" t="s">
        <v>2022</v>
      </c>
      <c r="B1165" s="67">
        <v>1772681318</v>
      </c>
      <c r="C1165" s="72" t="s">
        <v>2023</v>
      </c>
      <c r="D1165" s="69">
        <v>88109810306</v>
      </c>
      <c r="E1165" s="9">
        <v>85</v>
      </c>
      <c r="F1165" s="25">
        <v>43109</v>
      </c>
      <c r="G1165" s="70" t="s">
        <v>292</v>
      </c>
      <c r="H1165" s="25">
        <v>43151</v>
      </c>
      <c r="I1165" s="8"/>
      <c r="J1165" s="8"/>
      <c r="K1165" s="8"/>
      <c r="L1165" s="8"/>
      <c r="M1165" s="8"/>
    </row>
    <row r="1166" spans="1:13">
      <c r="A1166" s="71" t="s">
        <v>2024</v>
      </c>
      <c r="B1166" s="67">
        <v>88244881291</v>
      </c>
      <c r="C1166" s="72" t="s">
        <v>2025</v>
      </c>
      <c r="D1166" s="69">
        <v>71885609272</v>
      </c>
      <c r="E1166" s="9">
        <v>292</v>
      </c>
      <c r="F1166" s="25">
        <v>43168</v>
      </c>
      <c r="G1166" s="9" t="s">
        <v>292</v>
      </c>
      <c r="H1166" s="9"/>
      <c r="I1166" s="8"/>
      <c r="J1166" s="8"/>
      <c r="K1166" s="8"/>
      <c r="L1166" s="9">
        <v>318</v>
      </c>
      <c r="M1166" s="8"/>
    </row>
    <row r="1167" spans="1:13">
      <c r="A1167" s="71" t="s">
        <v>2026</v>
      </c>
      <c r="B1167" s="67">
        <v>33535539838</v>
      </c>
      <c r="C1167" s="72" t="s">
        <v>2027</v>
      </c>
      <c r="D1167" s="69">
        <v>19438586830</v>
      </c>
      <c r="E1167" s="9">
        <v>85</v>
      </c>
      <c r="F1167" s="25">
        <v>43109</v>
      </c>
      <c r="G1167" s="70" t="s">
        <v>292</v>
      </c>
      <c r="H1167" s="25">
        <v>43151</v>
      </c>
      <c r="I1167" s="8"/>
      <c r="J1167" s="8"/>
      <c r="K1167" s="8"/>
      <c r="L1167" s="8"/>
      <c r="M1167" s="8"/>
    </row>
    <row r="1168" spans="1:13">
      <c r="A1168" s="71" t="s">
        <v>2028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292</v>
      </c>
      <c r="H1168" s="9"/>
      <c r="I1168" s="8"/>
      <c r="J1168" s="8"/>
      <c r="K1168" s="8"/>
      <c r="L1168" s="8"/>
      <c r="M1168" s="8"/>
    </row>
    <row r="1169" spans="1:13">
      <c r="A1169" s="71" t="s">
        <v>2029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292</v>
      </c>
      <c r="H1169" s="9"/>
      <c r="I1169" s="8"/>
      <c r="J1169" s="8"/>
      <c r="K1169" s="8"/>
      <c r="L1169" s="9" t="s">
        <v>443</v>
      </c>
      <c r="M1169" s="8"/>
    </row>
    <row r="1170" spans="1:13">
      <c r="A1170" s="71" t="s">
        <v>2030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>
      <c r="A1171" s="71" t="s">
        <v>2031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292</v>
      </c>
      <c r="H1171" s="9"/>
      <c r="I1171" s="8"/>
      <c r="J1171" s="8"/>
      <c r="K1171" s="8"/>
      <c r="L1171" s="9" t="s">
        <v>411</v>
      </c>
      <c r="M1171" s="8"/>
    </row>
    <row r="1172" spans="1:13">
      <c r="A1172" s="71" t="s">
        <v>2032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292</v>
      </c>
      <c r="H1172" s="9"/>
      <c r="I1172" s="8"/>
      <c r="J1172" s="8"/>
      <c r="K1172" s="8"/>
      <c r="L1172" s="9" t="s">
        <v>671</v>
      </c>
      <c r="M1172" s="8"/>
    </row>
    <row r="1173" spans="1:13">
      <c r="A1173" s="72" t="s">
        <v>2033</v>
      </c>
      <c r="B1173" s="67">
        <v>42160981850</v>
      </c>
      <c r="C1173" s="72" t="s">
        <v>2034</v>
      </c>
      <c r="D1173" s="69">
        <v>40077808894</v>
      </c>
      <c r="E1173" s="9">
        <v>608</v>
      </c>
      <c r="F1173" s="25">
        <v>43012</v>
      </c>
      <c r="G1173" s="70" t="s">
        <v>292</v>
      </c>
      <c r="H1173" s="9"/>
      <c r="I1173" s="8"/>
      <c r="J1173" s="8"/>
      <c r="K1173" s="8"/>
      <c r="L1173" s="8"/>
      <c r="M1173" s="8"/>
    </row>
    <row r="1174" spans="1:13">
      <c r="A1174" s="71" t="s">
        <v>2035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298</v>
      </c>
      <c r="H1174" s="9"/>
      <c r="I1174" s="8"/>
      <c r="J1174" s="8"/>
      <c r="K1174" s="8"/>
      <c r="L1174" s="8"/>
      <c r="M1174" s="8"/>
    </row>
    <row r="1175" spans="1:13">
      <c r="A1175" s="71" t="s">
        <v>2036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>
      <c r="A1176" s="71" t="s">
        <v>2037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572</v>
      </c>
      <c r="M1176" s="8"/>
    </row>
    <row r="1177" spans="1:13">
      <c r="A1177" s="29" t="s">
        <v>2038</v>
      </c>
      <c r="B1177" s="67"/>
      <c r="C1177" s="29" t="s">
        <v>2039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>
      <c r="A1178" s="71" t="s">
        <v>2040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>
      <c r="A1179" s="71" t="s">
        <v>2041</v>
      </c>
      <c r="B1179" s="67">
        <v>11754585469</v>
      </c>
      <c r="C1179" s="77" t="s">
        <v>2042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572</v>
      </c>
      <c r="M1179" s="8"/>
    </row>
    <row r="1180" spans="1:13">
      <c r="A1180" s="29" t="s">
        <v>2043</v>
      </c>
      <c r="B1180" s="67">
        <v>7621874503</v>
      </c>
      <c r="C1180" s="29" t="s">
        <v>2044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>
      <c r="A1181" s="71" t="s">
        <v>2045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292</v>
      </c>
      <c r="H1181" s="9"/>
      <c r="I1181" s="8"/>
      <c r="J1181" s="8"/>
      <c r="K1181" s="8"/>
      <c r="L1181" s="8"/>
      <c r="M1181" s="8"/>
    </row>
    <row r="1182" spans="1:13">
      <c r="A1182" s="13" t="s">
        <v>2046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292</v>
      </c>
      <c r="H1182" s="9"/>
      <c r="I1182" s="8"/>
      <c r="J1182" s="8"/>
      <c r="K1182" s="8"/>
      <c r="L1182" s="9" t="s">
        <v>671</v>
      </c>
      <c r="M1182" s="8"/>
    </row>
    <row r="1183" spans="1:13">
      <c r="A1183" s="29" t="s">
        <v>2047</v>
      </c>
      <c r="B1183" s="67">
        <v>29913700841</v>
      </c>
      <c r="C1183" s="18" t="s">
        <v>402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>
      <c r="A1184" s="29" t="s">
        <v>2048</v>
      </c>
      <c r="B1184" s="67">
        <v>28907743843</v>
      </c>
      <c r="C1184" s="29" t="s">
        <v>2049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>
      <c r="A1185" s="71" t="s">
        <v>2050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292</v>
      </c>
      <c r="H1185" s="9"/>
      <c r="I1185" s="8"/>
      <c r="J1185" s="8"/>
      <c r="K1185" s="8"/>
      <c r="L1185" s="9" t="s">
        <v>411</v>
      </c>
      <c r="M1185" s="8"/>
    </row>
    <row r="1186" spans="1:13">
      <c r="A1186" s="29" t="s">
        <v>2051</v>
      </c>
      <c r="B1186" s="67"/>
      <c r="C1186" s="18" t="s">
        <v>402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>
      <c r="A1187" s="71" t="s">
        <v>2052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292</v>
      </c>
      <c r="H1187" s="9"/>
      <c r="I1187" s="8"/>
      <c r="J1187" s="8"/>
      <c r="K1187" s="8"/>
      <c r="L1187" s="9" t="s">
        <v>411</v>
      </c>
      <c r="M1187" s="8"/>
    </row>
    <row r="1188" spans="1:13">
      <c r="A1188" s="73" t="s">
        <v>2053</v>
      </c>
      <c r="B1188" s="67">
        <v>1198397500</v>
      </c>
      <c r="C1188" s="72" t="s">
        <v>2054</v>
      </c>
      <c r="D1188" s="69">
        <v>87142503572</v>
      </c>
      <c r="E1188" s="9">
        <v>810</v>
      </c>
      <c r="F1188" s="25">
        <v>42915</v>
      </c>
      <c r="G1188" s="70" t="s">
        <v>292</v>
      </c>
      <c r="H1188" s="9"/>
      <c r="I1188" s="8"/>
      <c r="J1188" s="8"/>
      <c r="K1188" s="8"/>
      <c r="L1188" s="9" t="s">
        <v>411</v>
      </c>
      <c r="M1188" s="8"/>
    </row>
    <row r="1189" spans="1:13">
      <c r="A1189" s="29" t="s">
        <v>2055</v>
      </c>
      <c r="B1189" s="67">
        <v>17487364852</v>
      </c>
      <c r="C1189" s="29" t="s">
        <v>2056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>
      <c r="A1190" s="15" t="s">
        <v>2057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292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>
      <c r="A1191" s="71" t="s">
        <v>2058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>
      <c r="A1192" s="71" t="s">
        <v>2059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>
      <c r="A1193" s="71" t="s">
        <v>2060</v>
      </c>
      <c r="B1193" s="67">
        <v>32993187805</v>
      </c>
      <c r="C1193" s="72" t="s">
        <v>2061</v>
      </c>
      <c r="D1193" s="69">
        <v>2605272460</v>
      </c>
      <c r="E1193" s="9">
        <v>1439</v>
      </c>
      <c r="F1193" s="25">
        <v>43025</v>
      </c>
      <c r="G1193" s="70" t="s">
        <v>292</v>
      </c>
      <c r="H1193" s="9"/>
      <c r="I1193" s="8"/>
      <c r="J1193" s="8"/>
      <c r="K1193" s="8"/>
      <c r="L1193" s="9" t="s">
        <v>775</v>
      </c>
      <c r="M1193" s="8"/>
    </row>
    <row r="1194" spans="1:13">
      <c r="A1194" s="71" t="s">
        <v>2062</v>
      </c>
      <c r="B1194" s="67">
        <v>33182368885</v>
      </c>
      <c r="C1194" s="77" t="s">
        <v>2063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>
      <c r="A1195" s="71" t="s">
        <v>2064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292</v>
      </c>
      <c r="H1195" s="9"/>
      <c r="I1195" s="8"/>
      <c r="J1195" s="8"/>
      <c r="K1195" s="8"/>
      <c r="L1195" s="8"/>
      <c r="M1195" s="8"/>
    </row>
    <row r="1196" spans="1:13">
      <c r="A1196" s="71" t="s">
        <v>2065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292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>
      <c r="A1197" s="71" t="s">
        <v>2066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292</v>
      </c>
      <c r="H1197" s="9"/>
      <c r="I1197" s="8"/>
      <c r="J1197" s="8"/>
      <c r="K1197" s="8"/>
      <c r="L1197" s="8"/>
      <c r="M1197" s="8"/>
    </row>
    <row r="1198" spans="1:13">
      <c r="A1198" s="71" t="s">
        <v>2067</v>
      </c>
      <c r="B1198" s="67">
        <v>32557609846</v>
      </c>
      <c r="C1198" s="72" t="s">
        <v>2068</v>
      </c>
      <c r="D1198" s="69">
        <v>19150806904</v>
      </c>
      <c r="E1198" s="9">
        <v>1241</v>
      </c>
      <c r="F1198" s="25">
        <v>42992</v>
      </c>
      <c r="G1198" s="70" t="s">
        <v>292</v>
      </c>
      <c r="H1198" s="9"/>
      <c r="I1198" s="8"/>
      <c r="J1198" s="8"/>
      <c r="K1198" s="8"/>
      <c r="L1198" s="8"/>
      <c r="M1198" s="8"/>
    </row>
    <row r="1199" spans="1:13">
      <c r="A1199" s="13" t="s">
        <v>2069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292</v>
      </c>
      <c r="H1199" s="9"/>
      <c r="I1199" s="8"/>
      <c r="J1199" s="8"/>
      <c r="K1199" s="8"/>
      <c r="L1199" s="8"/>
      <c r="M1199" s="8"/>
    </row>
    <row r="1200" spans="1:13">
      <c r="A1200" s="14" t="s">
        <v>2070</v>
      </c>
      <c r="B1200" s="67">
        <v>38236980871</v>
      </c>
      <c r="C1200" s="72" t="s">
        <v>2071</v>
      </c>
      <c r="D1200" s="69">
        <v>5177834360</v>
      </c>
      <c r="E1200" s="9">
        <v>262</v>
      </c>
      <c r="F1200" s="25">
        <v>43160</v>
      </c>
      <c r="G1200" s="70" t="s">
        <v>292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>
      <c r="A1201" s="71" t="s">
        <v>2072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292</v>
      </c>
      <c r="H1201" s="9"/>
      <c r="I1201" s="8"/>
      <c r="J1201" s="8"/>
      <c r="K1201" s="8"/>
      <c r="L1201" s="9" t="s">
        <v>411</v>
      </c>
      <c r="M1201" s="8"/>
    </row>
    <row r="1202" spans="1:13">
      <c r="A1202" s="72" t="s">
        <v>2073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>
      <c r="A1203" s="15" t="s">
        <v>2074</v>
      </c>
      <c r="B1203" s="67">
        <v>177446102</v>
      </c>
      <c r="C1203" s="72" t="s">
        <v>2075</v>
      </c>
      <c r="D1203" s="69">
        <v>31301235806</v>
      </c>
      <c r="E1203" s="9">
        <v>229</v>
      </c>
      <c r="F1203" s="25">
        <v>43151</v>
      </c>
      <c r="G1203" s="70" t="s">
        <v>292</v>
      </c>
      <c r="H1203" s="9"/>
      <c r="I1203" s="8"/>
      <c r="J1203" s="8"/>
      <c r="K1203" s="8"/>
      <c r="L1203" s="9">
        <v>232</v>
      </c>
      <c r="M1203" s="8"/>
    </row>
    <row r="1204" spans="1:13">
      <c r="A1204" s="29" t="s">
        <v>2076</v>
      </c>
      <c r="B1204" s="67"/>
      <c r="C1204" s="29" t="s">
        <v>402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>
      <c r="A1205" s="71" t="s">
        <v>2077</v>
      </c>
      <c r="B1205" s="67">
        <v>22394984805</v>
      </c>
      <c r="C1205" s="72" t="s">
        <v>2078</v>
      </c>
      <c r="D1205" s="69">
        <v>29161087858</v>
      </c>
      <c r="E1205" s="9">
        <v>1106</v>
      </c>
      <c r="F1205" s="25">
        <v>42965</v>
      </c>
      <c r="G1205" s="70" t="s">
        <v>292</v>
      </c>
      <c r="H1205" s="9"/>
      <c r="I1205" s="8"/>
      <c r="J1205" s="8"/>
      <c r="K1205" s="8"/>
      <c r="L1205" s="8"/>
      <c r="M1205" s="8"/>
    </row>
    <row r="1206" spans="1:13">
      <c r="A1206" s="13" t="s">
        <v>2079</v>
      </c>
      <c r="B1206" s="67">
        <v>22495577806</v>
      </c>
      <c r="C1206" s="72" t="s">
        <v>2080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>
      <c r="A1207" s="71" t="s">
        <v>2081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>
      <c r="A1208" s="71" t="s">
        <v>2082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>
      <c r="A1209" s="71" t="s">
        <v>2083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292</v>
      </c>
      <c r="H1209" s="76">
        <v>43213</v>
      </c>
      <c r="I1209" s="8"/>
      <c r="J1209" s="8"/>
      <c r="K1209" s="8"/>
      <c r="L1209" s="8"/>
      <c r="M1209" s="8"/>
    </row>
    <row r="1210" spans="1:13">
      <c r="A1210" s="71" t="s">
        <v>2084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>
      <c r="A1211" s="72" t="s">
        <v>2085</v>
      </c>
      <c r="B1211" s="67">
        <v>37304527897</v>
      </c>
      <c r="C1211" s="72" t="s">
        <v>2086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>
      <c r="A1212" s="14" t="s">
        <v>2087</v>
      </c>
      <c r="B1212" s="67">
        <v>11328067807</v>
      </c>
      <c r="C1212" s="72" t="s">
        <v>2088</v>
      </c>
      <c r="D1212" s="69">
        <v>60769793800</v>
      </c>
      <c r="E1212" s="9">
        <v>262</v>
      </c>
      <c r="F1212" s="25">
        <v>43160</v>
      </c>
      <c r="G1212" s="70" t="s">
        <v>292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>
      <c r="A1213" s="71" t="s">
        <v>2089</v>
      </c>
      <c r="B1213" s="67">
        <v>4007781575</v>
      </c>
      <c r="C1213" s="72" t="s">
        <v>2090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>
      <c r="A1214" s="71" t="s">
        <v>2091</v>
      </c>
      <c r="B1214" s="67">
        <v>38448111842</v>
      </c>
      <c r="C1214" s="72" t="s">
        <v>2092</v>
      </c>
      <c r="D1214" s="69">
        <v>38350911824</v>
      </c>
      <c r="E1214" s="9"/>
      <c r="F1214" s="25"/>
      <c r="G1214" s="70" t="s">
        <v>292</v>
      </c>
      <c r="H1214" s="76">
        <v>43213</v>
      </c>
      <c r="I1214" s="8"/>
      <c r="J1214" s="8"/>
      <c r="K1214" s="8"/>
      <c r="L1214" s="8"/>
      <c r="M1214" s="8"/>
    </row>
    <row r="1215" spans="1:13">
      <c r="A1215" s="29" t="s">
        <v>2093</v>
      </c>
      <c r="B1215" s="67"/>
      <c r="C1215" s="18" t="s">
        <v>402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>
      <c r="A1216" s="15" t="s">
        <v>2094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292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>
      <c r="A1217" s="71" t="s">
        <v>2095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292</v>
      </c>
      <c r="H1217" s="76">
        <v>43213</v>
      </c>
      <c r="I1217" s="8"/>
      <c r="J1217" s="8"/>
      <c r="K1217" s="8"/>
      <c r="L1217" s="8"/>
      <c r="M1217" s="8"/>
    </row>
    <row r="1218" spans="1:13">
      <c r="A1218" s="13" t="s">
        <v>2096</v>
      </c>
      <c r="B1218" s="67">
        <v>29040829802</v>
      </c>
      <c r="C1218" s="68" t="s">
        <v>2097</v>
      </c>
      <c r="D1218" s="69">
        <v>17804755864</v>
      </c>
      <c r="E1218" s="9">
        <v>1128</v>
      </c>
      <c r="F1218" s="25">
        <v>42972</v>
      </c>
      <c r="G1218" s="70" t="s">
        <v>292</v>
      </c>
      <c r="H1218" s="9"/>
      <c r="I1218" s="8"/>
      <c r="J1218" s="8"/>
      <c r="K1218" s="8"/>
      <c r="L1218" s="8"/>
      <c r="M1218" s="8"/>
    </row>
    <row r="1219" spans="1:13">
      <c r="A1219" s="71" t="s">
        <v>2098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>
      <c r="A1220" s="71" t="s">
        <v>2099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292</v>
      </c>
      <c r="H1220" s="9"/>
      <c r="I1220" s="8"/>
      <c r="J1220" s="8"/>
      <c r="K1220" s="8"/>
      <c r="L1220" s="9" t="s">
        <v>526</v>
      </c>
      <c r="M1220" s="8"/>
    </row>
    <row r="1221" spans="1:13">
      <c r="A1221" s="14" t="s">
        <v>2100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>
      <c r="A1222" s="29" t="s">
        <v>2101</v>
      </c>
      <c r="B1222" s="67">
        <v>22614376841</v>
      </c>
      <c r="C1222" s="18" t="s">
        <v>402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>
      <c r="A1223" s="71" t="s">
        <v>2102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>
      <c r="A1224" s="15" t="s">
        <v>2103</v>
      </c>
      <c r="B1224" s="67">
        <v>95023003515</v>
      </c>
      <c r="C1224" s="72" t="s">
        <v>2104</v>
      </c>
      <c r="D1224" s="69">
        <v>2283584507</v>
      </c>
      <c r="E1224" s="9">
        <v>117</v>
      </c>
      <c r="F1224" s="25">
        <v>43117</v>
      </c>
      <c r="G1224" s="70" t="s">
        <v>292</v>
      </c>
      <c r="H1224" s="9"/>
      <c r="I1224" s="8"/>
      <c r="J1224" s="8"/>
      <c r="K1224" s="8"/>
      <c r="L1224" s="9" t="s">
        <v>443</v>
      </c>
      <c r="M1224" s="8"/>
    </row>
    <row r="1225" spans="1:13">
      <c r="A1225" s="15" t="s">
        <v>2105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292</v>
      </c>
      <c r="H1225" s="9"/>
      <c r="I1225" s="8"/>
      <c r="J1225" s="8"/>
      <c r="K1225" s="8"/>
      <c r="L1225" s="9">
        <v>232</v>
      </c>
      <c r="M1225" s="8"/>
    </row>
    <row r="1226" spans="1:13">
      <c r="A1226" s="71" t="s">
        <v>2106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>
      <c r="A1227" s="15" t="s">
        <v>2107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292</v>
      </c>
      <c r="H1227" s="9"/>
      <c r="I1227" s="8"/>
      <c r="J1227" s="8"/>
      <c r="K1227" s="8"/>
      <c r="L1227" s="9">
        <v>232</v>
      </c>
      <c r="M1227" s="8"/>
    </row>
    <row r="1228" spans="1:13">
      <c r="A1228" s="71" t="s">
        <v>2108</v>
      </c>
      <c r="B1228" s="67">
        <v>40584610807</v>
      </c>
      <c r="C1228" s="72" t="s">
        <v>2109</v>
      </c>
      <c r="D1228" s="69">
        <v>29182543801</v>
      </c>
      <c r="E1228" s="9">
        <v>810</v>
      </c>
      <c r="F1228" s="25">
        <v>42915</v>
      </c>
      <c r="G1228" s="70" t="s">
        <v>292</v>
      </c>
      <c r="H1228" s="9"/>
      <c r="I1228" s="8"/>
      <c r="J1228" s="8"/>
      <c r="K1228" s="8"/>
      <c r="L1228" s="9" t="s">
        <v>411</v>
      </c>
      <c r="M1228" s="8"/>
    </row>
    <row r="1229" spans="1:13">
      <c r="A1229" s="71" t="s">
        <v>2110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292</v>
      </c>
      <c r="H1229" s="9"/>
      <c r="I1229" s="8"/>
      <c r="J1229" s="8"/>
      <c r="K1229" s="8"/>
      <c r="L1229" s="8"/>
      <c r="M1229" s="8"/>
    </row>
    <row r="1230" spans="1:13">
      <c r="A1230" s="18" t="s">
        <v>2111</v>
      </c>
      <c r="B1230" s="67">
        <v>2330650590</v>
      </c>
      <c r="C1230" s="18" t="s">
        <v>665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>
      <c r="A1231" s="15" t="s">
        <v>2112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572</v>
      </c>
      <c r="M1231" s="8"/>
    </row>
    <row r="1232" spans="1:13">
      <c r="A1232" s="71" t="s">
        <v>2113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292</v>
      </c>
      <c r="H1232" s="9"/>
      <c r="I1232" s="8"/>
      <c r="J1232" s="8"/>
      <c r="K1232" s="8"/>
      <c r="L1232" s="8"/>
      <c r="M1232" s="8"/>
    </row>
    <row r="1233" spans="1:13">
      <c r="A1233" s="71" t="s">
        <v>2114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>
      <c r="A1234" s="13" t="s">
        <v>2115</v>
      </c>
      <c r="B1234" s="67">
        <v>35116318826</v>
      </c>
      <c r="C1234" s="72" t="s">
        <v>2116</v>
      </c>
      <c r="D1234" s="69">
        <v>22432837860</v>
      </c>
      <c r="E1234" s="9">
        <v>1824</v>
      </c>
      <c r="F1234" s="25">
        <v>43091</v>
      </c>
      <c r="G1234" s="70" t="s">
        <v>292</v>
      </c>
      <c r="H1234" s="9"/>
      <c r="I1234" s="8"/>
      <c r="J1234" s="8"/>
      <c r="K1234" s="8"/>
      <c r="L1234" s="9">
        <v>1828</v>
      </c>
      <c r="M1234" s="8"/>
    </row>
    <row r="1235" spans="1:13">
      <c r="A1235" s="14" t="s">
        <v>2117</v>
      </c>
      <c r="B1235" s="67">
        <v>40048912808</v>
      </c>
      <c r="C1235" s="72" t="s">
        <v>2118</v>
      </c>
      <c r="D1235" s="69">
        <v>43519054841</v>
      </c>
      <c r="E1235" s="9">
        <v>262</v>
      </c>
      <c r="F1235" s="25">
        <v>43160</v>
      </c>
      <c r="G1235" s="70" t="s">
        <v>292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>
      <c r="A1236" s="16" t="s">
        <v>2119</v>
      </c>
      <c r="B1236" s="67">
        <v>26016197831</v>
      </c>
      <c r="C1236" s="15" t="s">
        <v>2120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>
      <c r="A1237" s="15" t="s">
        <v>2121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292</v>
      </c>
      <c r="H1237" s="9"/>
      <c r="I1237" s="8"/>
      <c r="J1237" s="8"/>
      <c r="K1237" s="8"/>
      <c r="L1237" s="9">
        <v>232</v>
      </c>
      <c r="M1237" s="8"/>
    </row>
    <row r="1238" spans="1:13">
      <c r="A1238" s="71" t="s">
        <v>2122</v>
      </c>
      <c r="B1238" s="67">
        <v>40121535878</v>
      </c>
      <c r="C1238" s="72" t="s">
        <v>2123</v>
      </c>
      <c r="D1238" s="69">
        <v>33343601802</v>
      </c>
      <c r="E1238" s="9">
        <v>292</v>
      </c>
      <c r="F1238" s="25">
        <v>43168</v>
      </c>
      <c r="G1238" s="70" t="s">
        <v>292</v>
      </c>
      <c r="H1238" s="9"/>
      <c r="I1238" s="8"/>
      <c r="J1238" s="8"/>
      <c r="K1238" s="8"/>
      <c r="L1238" s="9">
        <v>318</v>
      </c>
      <c r="M1238" s="8"/>
    </row>
    <row r="1239" spans="1:13">
      <c r="A1239" s="71" t="s">
        <v>2124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292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>
      <c r="A1240" s="15" t="s">
        <v>2125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292</v>
      </c>
      <c r="H1240" s="25">
        <v>43151</v>
      </c>
      <c r="I1240" s="8"/>
      <c r="J1240" s="8"/>
      <c r="K1240" s="8"/>
      <c r="L1240" s="8"/>
      <c r="M1240" s="8"/>
    </row>
    <row r="1241" spans="1:13">
      <c r="A1241" s="71" t="s">
        <v>2126</v>
      </c>
      <c r="B1241" s="67">
        <v>31029975892</v>
      </c>
      <c r="C1241" s="72" t="s">
        <v>2127</v>
      </c>
      <c r="D1241" s="69">
        <v>36873004472</v>
      </c>
      <c r="E1241" s="9">
        <v>1106</v>
      </c>
      <c r="F1241" s="25">
        <v>42965</v>
      </c>
      <c r="G1241" s="9" t="s">
        <v>292</v>
      </c>
      <c r="H1241" s="9"/>
      <c r="I1241" s="8"/>
      <c r="J1241" s="8"/>
      <c r="K1241" s="8"/>
      <c r="L1241" s="8"/>
      <c r="M1241" s="8"/>
    </row>
    <row r="1242" spans="1:13">
      <c r="A1242" s="72" t="s">
        <v>2128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292</v>
      </c>
      <c r="H1242" s="9"/>
      <c r="I1242" s="8"/>
      <c r="J1242" s="8"/>
      <c r="K1242" s="8"/>
      <c r="L1242" s="9">
        <v>318</v>
      </c>
      <c r="M1242" s="8"/>
    </row>
    <row r="1243" spans="1:13">
      <c r="A1243" s="71" t="s">
        <v>2129</v>
      </c>
      <c r="B1243" s="67">
        <v>36051592814</v>
      </c>
      <c r="C1243" s="72" t="s">
        <v>2130</v>
      </c>
      <c r="D1243" s="69">
        <v>13109522847</v>
      </c>
      <c r="E1243" s="9">
        <v>810</v>
      </c>
      <c r="F1243" s="25">
        <v>42915</v>
      </c>
      <c r="G1243" s="70" t="s">
        <v>292</v>
      </c>
      <c r="H1243" s="9"/>
      <c r="I1243" s="8"/>
      <c r="J1243" s="8"/>
      <c r="K1243" s="8"/>
      <c r="L1243" s="9" t="s">
        <v>411</v>
      </c>
      <c r="M1243" s="8"/>
    </row>
    <row r="1244" spans="1:13">
      <c r="A1244" s="71" t="s">
        <v>2131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>
      <c r="A1245" s="18" t="s">
        <v>2132</v>
      </c>
      <c r="B1245" s="67">
        <v>28142782820</v>
      </c>
      <c r="C1245" s="18" t="s">
        <v>2133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>
      <c r="A1246" s="71" t="s">
        <v>2134</v>
      </c>
      <c r="B1246" s="67">
        <v>30088939880</v>
      </c>
      <c r="C1246" s="72" t="s">
        <v>2135</v>
      </c>
      <c r="D1246" s="69">
        <v>2051861579</v>
      </c>
      <c r="E1246" s="9">
        <v>292</v>
      </c>
      <c r="F1246" s="25">
        <v>43168</v>
      </c>
      <c r="G1246" s="9" t="s">
        <v>292</v>
      </c>
      <c r="H1246" s="9"/>
      <c r="I1246" s="8"/>
      <c r="J1246" s="8"/>
      <c r="K1246" s="8"/>
      <c r="L1246" s="9">
        <v>318</v>
      </c>
      <c r="M1246" s="8"/>
    </row>
    <row r="1247" spans="1:13">
      <c r="A1247" s="15" t="s">
        <v>2136</v>
      </c>
      <c r="B1247" s="67">
        <v>11525085476</v>
      </c>
      <c r="C1247" s="72" t="s">
        <v>2137</v>
      </c>
      <c r="D1247" s="69">
        <v>9293576473</v>
      </c>
      <c r="E1247" s="9">
        <v>262</v>
      </c>
      <c r="F1247" s="25">
        <v>43160</v>
      </c>
      <c r="G1247" s="70" t="s">
        <v>292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>
      <c r="A1248" s="29" t="s">
        <v>2138</v>
      </c>
      <c r="B1248" s="67"/>
      <c r="C1248" s="29" t="s">
        <v>2139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>
      <c r="A1249" s="13" t="s">
        <v>2140</v>
      </c>
      <c r="B1249" s="67">
        <v>31265129843</v>
      </c>
      <c r="C1249" s="68" t="s">
        <v>2141</v>
      </c>
      <c r="D1249" s="69">
        <v>2078435546</v>
      </c>
      <c r="E1249" s="9">
        <v>1241</v>
      </c>
      <c r="F1249" s="25">
        <v>42992</v>
      </c>
      <c r="G1249" s="70" t="s">
        <v>292</v>
      </c>
      <c r="H1249" s="9"/>
      <c r="I1249" s="8"/>
      <c r="J1249" s="8"/>
      <c r="K1249" s="8"/>
      <c r="L1249" s="8"/>
      <c r="M1249" s="8"/>
    </row>
    <row r="1250" spans="1:13">
      <c r="A1250" s="15" t="s">
        <v>2142</v>
      </c>
      <c r="B1250" s="67">
        <v>22524200817</v>
      </c>
      <c r="C1250" s="72" t="s">
        <v>2143</v>
      </c>
      <c r="D1250" s="69">
        <v>22961531861</v>
      </c>
      <c r="E1250" s="9">
        <v>229</v>
      </c>
      <c r="F1250" s="25">
        <v>43151</v>
      </c>
      <c r="G1250" s="70" t="s">
        <v>298</v>
      </c>
      <c r="H1250" s="9"/>
      <c r="I1250" s="8"/>
      <c r="J1250" s="8"/>
      <c r="K1250" s="8"/>
      <c r="L1250" s="9">
        <v>232</v>
      </c>
      <c r="M1250" s="8"/>
    </row>
    <row r="1251" spans="1:13">
      <c r="A1251" s="15" t="s">
        <v>2144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292</v>
      </c>
      <c r="H1251" s="25">
        <v>43151</v>
      </c>
      <c r="I1251" s="8"/>
      <c r="J1251" s="8"/>
      <c r="K1251" s="8"/>
      <c r="L1251" s="8"/>
      <c r="M1251" s="8"/>
    </row>
    <row r="1252" spans="1:13">
      <c r="A1252" s="72" t="s">
        <v>2145</v>
      </c>
      <c r="B1252" s="67">
        <v>29736807860</v>
      </c>
      <c r="C1252" s="72" t="s">
        <v>2146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>
      <c r="A1253" s="71" t="s">
        <v>2147</v>
      </c>
      <c r="B1253" s="67">
        <v>4890860398</v>
      </c>
      <c r="C1253" s="72" t="s">
        <v>2148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>
      <c r="A1254" s="15" t="s">
        <v>2149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292</v>
      </c>
      <c r="H1254" s="25">
        <v>43151</v>
      </c>
      <c r="I1254" s="8"/>
      <c r="J1254" s="8"/>
      <c r="K1254" s="8"/>
      <c r="L1254" s="8"/>
      <c r="M1254" s="8"/>
    </row>
    <row r="1255" spans="1:13">
      <c r="A1255" s="29" t="s">
        <v>2150</v>
      </c>
      <c r="B1255" s="67">
        <v>35336343889</v>
      </c>
      <c r="C1255" s="18" t="s">
        <v>2151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>
      <c r="A1256" s="71" t="s">
        <v>2152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572</v>
      </c>
      <c r="M1256" s="8"/>
    </row>
    <row r="1257" spans="1:13">
      <c r="A1257" s="14" t="s">
        <v>2153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>
      <c r="A1258" s="15" t="s">
        <v>2154</v>
      </c>
      <c r="B1258" s="67">
        <v>39107511809</v>
      </c>
      <c r="C1258" s="72" t="s">
        <v>2155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>
      <c r="A1259" s="71" t="s">
        <v>2156</v>
      </c>
      <c r="B1259" s="67">
        <v>6652314584</v>
      </c>
      <c r="C1259" s="72" t="s">
        <v>2157</v>
      </c>
      <c r="D1259" s="69">
        <v>4945754500</v>
      </c>
      <c r="E1259" s="9">
        <v>85</v>
      </c>
      <c r="F1259" s="25">
        <v>43109</v>
      </c>
      <c r="G1259" s="70" t="s">
        <v>298</v>
      </c>
      <c r="H1259" s="25">
        <v>43151</v>
      </c>
      <c r="I1259" s="8"/>
      <c r="J1259" s="8"/>
      <c r="K1259" s="8"/>
      <c r="L1259" s="8"/>
      <c r="M1259" s="8"/>
    </row>
    <row r="1260" spans="1:13">
      <c r="A1260" s="71" t="s">
        <v>2158</v>
      </c>
      <c r="B1260" s="67">
        <v>43135974847</v>
      </c>
      <c r="C1260" s="73" t="s">
        <v>2159</v>
      </c>
      <c r="D1260" s="69" t="s">
        <v>2160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572</v>
      </c>
      <c r="M1260" s="8"/>
    </row>
    <row r="1261" spans="1:13">
      <c r="A1261" s="13" t="s">
        <v>2161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292</v>
      </c>
      <c r="H1261" s="9"/>
      <c r="I1261" s="8"/>
      <c r="J1261" s="8"/>
      <c r="K1261" s="8"/>
      <c r="L1261" s="8"/>
      <c r="M1261" s="8"/>
    </row>
    <row r="1262" spans="1:13">
      <c r="A1262" s="71" t="s">
        <v>2162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572</v>
      </c>
      <c r="M1262" s="8"/>
    </row>
    <row r="1263" spans="1:13">
      <c r="A1263" s="14" t="s">
        <v>2163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292</v>
      </c>
      <c r="H1263" s="9"/>
      <c r="I1263" s="8"/>
      <c r="J1263" s="8"/>
      <c r="K1263" s="8"/>
      <c r="L1263" s="9">
        <v>318</v>
      </c>
      <c r="M1263" s="8"/>
    </row>
    <row r="1264" spans="1:13">
      <c r="A1264" s="71" t="s">
        <v>2164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>
      <c r="A1265" s="71" t="s">
        <v>2165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298</v>
      </c>
      <c r="H1265" s="25">
        <v>43151</v>
      </c>
      <c r="I1265" s="8"/>
      <c r="J1265" s="8"/>
      <c r="K1265" s="8"/>
      <c r="L1265" s="8"/>
      <c r="M1265" s="8"/>
    </row>
    <row r="1266" spans="1:13">
      <c r="A1266" s="71" t="s">
        <v>2166</v>
      </c>
      <c r="B1266" s="67">
        <v>1748350943</v>
      </c>
      <c r="C1266" s="72" t="s">
        <v>2167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>
      <c r="A1267" s="71" t="s">
        <v>2168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>
      <c r="A1268" s="71" t="s">
        <v>2169</v>
      </c>
      <c r="B1268" s="67">
        <v>23502610851</v>
      </c>
      <c r="C1268" s="73" t="s">
        <v>2170</v>
      </c>
      <c r="D1268" s="69" t="s">
        <v>2171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>
      <c r="A1269" s="39" t="s">
        <v>2172</v>
      </c>
      <c r="B1269" s="67">
        <v>48857598896</v>
      </c>
      <c r="C1269" s="72" t="s">
        <v>2173</v>
      </c>
      <c r="D1269" s="69">
        <v>36223394896</v>
      </c>
      <c r="E1269" s="9">
        <v>262</v>
      </c>
      <c r="F1269" s="25">
        <v>43160</v>
      </c>
      <c r="G1269" s="46" t="s">
        <v>298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>
      <c r="A1270" s="15" t="s">
        <v>2174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>
      <c r="A1271" s="72" t="s">
        <v>2175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>
      <c r="A1272" s="71" t="s">
        <v>2176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292</v>
      </c>
      <c r="H1272" s="9"/>
      <c r="I1272" s="8"/>
      <c r="J1272" s="8"/>
      <c r="K1272" s="8"/>
      <c r="L1272" s="9">
        <v>232</v>
      </c>
      <c r="M1272" s="8"/>
    </row>
    <row r="1273" spans="1:13">
      <c r="A1273" s="71" t="s">
        <v>2177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572</v>
      </c>
      <c r="M1273" s="8"/>
    </row>
    <row r="1274" spans="1:13">
      <c r="A1274" s="71" t="s">
        <v>2178</v>
      </c>
      <c r="B1274" s="78" t="s">
        <v>2179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>
      <c r="A1275" s="71" t="s">
        <v>2180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292</v>
      </c>
      <c r="H1275" s="9"/>
      <c r="I1275" s="8"/>
      <c r="J1275" s="8"/>
      <c r="K1275" s="8"/>
      <c r="L1275" s="8"/>
      <c r="M1275" s="8"/>
    </row>
    <row r="1276" spans="1:13">
      <c r="A1276" s="71" t="s">
        <v>2181</v>
      </c>
      <c r="B1276" s="67">
        <v>16354483876</v>
      </c>
      <c r="C1276" s="68" t="s">
        <v>2182</v>
      </c>
      <c r="D1276" s="69">
        <v>2853992845</v>
      </c>
      <c r="E1276" s="9">
        <v>1267</v>
      </c>
      <c r="F1276" s="25">
        <v>42998</v>
      </c>
      <c r="G1276" s="70" t="s">
        <v>292</v>
      </c>
      <c r="H1276" s="9"/>
      <c r="I1276" s="8"/>
      <c r="J1276" s="8"/>
      <c r="K1276" s="8"/>
      <c r="L1276" s="8"/>
      <c r="M1276" s="8"/>
    </row>
    <row r="1277" spans="1:13">
      <c r="A1277" s="71" t="s">
        <v>2183</v>
      </c>
      <c r="B1277" s="67">
        <v>40753885816</v>
      </c>
      <c r="C1277" s="72" t="s">
        <v>2184</v>
      </c>
      <c r="D1277" s="69">
        <v>35877507850</v>
      </c>
      <c r="E1277" s="9">
        <v>85</v>
      </c>
      <c r="F1277" s="25">
        <v>43109</v>
      </c>
      <c r="G1277" s="70" t="s">
        <v>292</v>
      </c>
      <c r="H1277" s="25">
        <v>43151</v>
      </c>
      <c r="I1277" s="8"/>
      <c r="J1277" s="8"/>
      <c r="K1277" s="8"/>
      <c r="L1277" s="8"/>
      <c r="M1277" s="8"/>
    </row>
    <row r="1278" spans="1:13">
      <c r="A1278" s="15" t="s">
        <v>2185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292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>
      <c r="A1279" s="71" t="s">
        <v>2186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292</v>
      </c>
      <c r="H1279" s="9"/>
      <c r="I1279" s="8"/>
      <c r="J1279" s="8"/>
      <c r="K1279" s="8"/>
      <c r="L1279" s="9">
        <v>318</v>
      </c>
      <c r="M1279" s="8"/>
    </row>
    <row r="1280" spans="1:13">
      <c r="A1280" s="71" t="s">
        <v>2187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>
      <c r="A1281" s="71" t="s">
        <v>2188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292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>
      <c r="A1282" s="71" t="s">
        <v>2189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>
      <c r="A1283" s="71" t="s">
        <v>2190</v>
      </c>
      <c r="B1283" s="67">
        <v>44632196800</v>
      </c>
      <c r="C1283" s="72" t="s">
        <v>2191</v>
      </c>
      <c r="D1283" s="69">
        <v>38901506831</v>
      </c>
      <c r="E1283" s="9">
        <v>1359</v>
      </c>
      <c r="F1283" s="25">
        <v>43006</v>
      </c>
      <c r="G1283" s="9" t="s">
        <v>292</v>
      </c>
      <c r="H1283" s="9"/>
      <c r="I1283" s="8"/>
      <c r="J1283" s="8"/>
      <c r="K1283" s="8"/>
      <c r="L1283" s="8"/>
      <c r="M1283" s="8"/>
    </row>
    <row r="1284" spans="1:13">
      <c r="A1284" s="18" t="s">
        <v>2192</v>
      </c>
      <c r="B1284" s="67"/>
      <c r="C1284" s="18" t="s">
        <v>2193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>
      <c r="A1285" s="71" t="s">
        <v>2194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292</v>
      </c>
      <c r="H1285" s="9"/>
      <c r="I1285" s="8"/>
      <c r="J1285" s="8"/>
      <c r="K1285" s="8"/>
      <c r="L1285" s="9">
        <v>232</v>
      </c>
      <c r="M1285" s="8"/>
    </row>
    <row r="1286" spans="1:13">
      <c r="A1286" s="71" t="s">
        <v>2195</v>
      </c>
      <c r="B1286" s="67">
        <v>7354753505</v>
      </c>
      <c r="C1286" s="72" t="s">
        <v>2196</v>
      </c>
      <c r="D1286" s="69">
        <v>26646541876</v>
      </c>
      <c r="E1286" s="9">
        <v>117</v>
      </c>
      <c r="F1286" s="25">
        <v>43117</v>
      </c>
      <c r="G1286" s="70" t="s">
        <v>292</v>
      </c>
      <c r="H1286" s="9"/>
      <c r="I1286" s="8"/>
      <c r="J1286" s="8"/>
      <c r="K1286" s="8"/>
      <c r="L1286" s="9" t="s">
        <v>443</v>
      </c>
      <c r="M1286" s="8"/>
    </row>
    <row r="1287" spans="1:13">
      <c r="A1287" s="71" t="s">
        <v>2197</v>
      </c>
      <c r="B1287" s="67">
        <v>45378515890</v>
      </c>
      <c r="C1287" s="72" t="s">
        <v>2198</v>
      </c>
      <c r="D1287" s="69">
        <v>35635754520</v>
      </c>
      <c r="E1287" s="9">
        <v>1752</v>
      </c>
      <c r="F1287" s="25">
        <v>43051</v>
      </c>
      <c r="G1287" s="70" t="s">
        <v>292</v>
      </c>
      <c r="H1287" s="9"/>
      <c r="I1287" s="8"/>
      <c r="J1287" s="8"/>
      <c r="K1287" s="8"/>
      <c r="L1287" s="9">
        <v>1759</v>
      </c>
      <c r="M1287" s="8"/>
    </row>
    <row r="1288" spans="1:13">
      <c r="A1288" s="18" t="s">
        <v>2199</v>
      </c>
      <c r="B1288" s="67">
        <v>41274505844</v>
      </c>
      <c r="C1288" s="18" t="s">
        <v>2200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>
      <c r="A1289" s="72" t="s">
        <v>2201</v>
      </c>
      <c r="B1289" s="67">
        <v>46583836831</v>
      </c>
      <c r="C1289" s="72" t="s">
        <v>2202</v>
      </c>
      <c r="D1289" s="69">
        <v>39199167867</v>
      </c>
      <c r="E1289" s="9">
        <v>292</v>
      </c>
      <c r="F1289" s="25">
        <v>43168</v>
      </c>
      <c r="G1289" s="9" t="s">
        <v>292</v>
      </c>
      <c r="H1289" s="9"/>
      <c r="I1289" s="8"/>
      <c r="J1289" s="8"/>
      <c r="K1289" s="8"/>
      <c r="L1289" s="9">
        <v>318</v>
      </c>
      <c r="M1289" s="8"/>
    </row>
    <row r="1290" spans="1:13">
      <c r="A1290" s="29" t="s">
        <v>2203</v>
      </c>
      <c r="B1290" s="67"/>
      <c r="C1290" s="29" t="s">
        <v>2204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>
      <c r="A1291" s="29" t="s">
        <v>2205</v>
      </c>
      <c r="B1291" s="67">
        <v>37483362847</v>
      </c>
      <c r="C1291" s="29" t="s">
        <v>2206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>
      <c r="A1292" s="18" t="s">
        <v>2207</v>
      </c>
      <c r="B1292" s="67">
        <v>43663899837</v>
      </c>
      <c r="C1292" s="18" t="s">
        <v>2208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>
      <c r="A1293" s="71" t="s">
        <v>2209</v>
      </c>
      <c r="B1293" s="67">
        <v>39203446850</v>
      </c>
      <c r="C1293" s="72" t="s">
        <v>2210</v>
      </c>
      <c r="D1293" s="69">
        <v>39255518836</v>
      </c>
      <c r="E1293" s="9">
        <v>292</v>
      </c>
      <c r="F1293" s="25">
        <v>43168</v>
      </c>
      <c r="G1293" s="70" t="s">
        <v>292</v>
      </c>
      <c r="H1293" s="9"/>
      <c r="I1293" s="8"/>
      <c r="J1293" s="8"/>
      <c r="K1293" s="8"/>
      <c r="L1293" s="9">
        <v>318</v>
      </c>
      <c r="M1293" s="8"/>
    </row>
    <row r="1294" spans="1:13">
      <c r="A1294" s="71" t="s">
        <v>2211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>
      <c r="A1295" s="15" t="s">
        <v>2212</v>
      </c>
      <c r="B1295" s="67">
        <v>45722318850</v>
      </c>
      <c r="C1295" s="72" t="s">
        <v>2213</v>
      </c>
      <c r="D1295" s="69">
        <v>61122102313</v>
      </c>
      <c r="E1295" s="9">
        <v>229</v>
      </c>
      <c r="F1295" s="25">
        <v>43151</v>
      </c>
      <c r="G1295" s="70" t="s">
        <v>292</v>
      </c>
      <c r="H1295" s="9"/>
      <c r="I1295" s="8"/>
      <c r="J1295" s="8"/>
      <c r="K1295" s="8"/>
      <c r="L1295" s="9">
        <v>232</v>
      </c>
      <c r="M1295" s="8"/>
    </row>
    <row r="1296" spans="1:13">
      <c r="A1296" s="14" t="s">
        <v>2214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292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>
      <c r="A1297" s="15" t="s">
        <v>2215</v>
      </c>
      <c r="B1297" s="67">
        <v>47697684861</v>
      </c>
      <c r="C1297" s="72" t="s">
        <v>2216</v>
      </c>
      <c r="D1297" s="69">
        <v>42642601838</v>
      </c>
      <c r="E1297" s="9">
        <v>229</v>
      </c>
      <c r="F1297" s="25">
        <v>43151</v>
      </c>
      <c r="G1297" s="70" t="s">
        <v>292</v>
      </c>
      <c r="H1297" s="9"/>
      <c r="I1297" s="8"/>
      <c r="J1297" s="8"/>
      <c r="K1297" s="8"/>
      <c r="L1297" s="9">
        <v>232</v>
      </c>
      <c r="M1297" s="8"/>
    </row>
    <row r="1298" spans="1:13">
      <c r="A1298" s="72" t="s">
        <v>2217</v>
      </c>
      <c r="B1298" s="67">
        <v>97503479515</v>
      </c>
      <c r="C1298" s="15" t="s">
        <v>2218</v>
      </c>
      <c r="D1298" s="69">
        <v>28269015830</v>
      </c>
      <c r="E1298" s="9">
        <v>262</v>
      </c>
      <c r="F1298" s="25">
        <v>43160</v>
      </c>
      <c r="G1298" s="70" t="s">
        <v>292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>
      <c r="A1299" s="71" t="s">
        <v>2219</v>
      </c>
      <c r="B1299" s="67">
        <v>84327510491</v>
      </c>
      <c r="C1299" s="72" t="s">
        <v>2220</v>
      </c>
      <c r="D1299" s="69">
        <v>17305875856</v>
      </c>
      <c r="E1299" s="9">
        <v>292</v>
      </c>
      <c r="F1299" s="25">
        <v>43168</v>
      </c>
      <c r="G1299" s="70" t="s">
        <v>292</v>
      </c>
      <c r="H1299" s="9"/>
      <c r="I1299" s="8"/>
      <c r="J1299" s="8"/>
      <c r="K1299" s="8"/>
      <c r="L1299" s="9">
        <v>318</v>
      </c>
      <c r="M1299" s="8"/>
    </row>
    <row r="1300" spans="1:13">
      <c r="A1300" s="13" t="s">
        <v>2221</v>
      </c>
      <c r="B1300" s="67">
        <v>24870791854</v>
      </c>
      <c r="C1300" s="68" t="s">
        <v>2222</v>
      </c>
      <c r="D1300" s="69">
        <v>4398744835</v>
      </c>
      <c r="E1300" s="9">
        <v>1128</v>
      </c>
      <c r="F1300" s="25">
        <v>42972</v>
      </c>
      <c r="G1300" s="70" t="s">
        <v>292</v>
      </c>
      <c r="H1300" s="9"/>
      <c r="I1300" s="8"/>
      <c r="J1300" s="8"/>
      <c r="K1300" s="8"/>
      <c r="L1300" s="8"/>
      <c r="M1300" s="8"/>
    </row>
    <row r="1301" spans="1:13">
      <c r="A1301" s="71" t="s">
        <v>2223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292</v>
      </c>
      <c r="H1301" s="9"/>
      <c r="I1301" s="8"/>
      <c r="J1301" s="8"/>
      <c r="K1301" s="8"/>
      <c r="L1301" s="8"/>
      <c r="M1301" s="8"/>
    </row>
    <row r="1302" spans="1:13">
      <c r="A1302" s="29" t="s">
        <v>2224</v>
      </c>
      <c r="B1302" s="67"/>
      <c r="C1302" s="18" t="s">
        <v>402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>
      <c r="A1303" s="71" t="s">
        <v>2225</v>
      </c>
      <c r="B1303" s="67">
        <v>25533246851</v>
      </c>
      <c r="C1303" s="72" t="s">
        <v>2226</v>
      </c>
      <c r="D1303" s="69">
        <v>2336832836</v>
      </c>
      <c r="E1303" s="9">
        <v>810</v>
      </c>
      <c r="F1303" s="25">
        <v>42915</v>
      </c>
      <c r="G1303" s="70" t="s">
        <v>292</v>
      </c>
      <c r="H1303" s="9"/>
      <c r="I1303" s="8"/>
      <c r="J1303" s="8"/>
      <c r="K1303" s="8"/>
      <c r="L1303" s="9" t="s">
        <v>411</v>
      </c>
      <c r="M1303" s="8"/>
    </row>
    <row r="1304" spans="1:13">
      <c r="A1304" s="71" t="s">
        <v>2227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292</v>
      </c>
      <c r="H1304" s="9"/>
      <c r="I1304" s="8"/>
      <c r="J1304" s="8"/>
      <c r="K1304" s="8"/>
      <c r="L1304" s="8"/>
      <c r="M1304" s="8"/>
    </row>
    <row r="1305" spans="1:13">
      <c r="A1305" s="15" t="s">
        <v>2228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>
      <c r="A1306" s="15" t="s">
        <v>2229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>
      <c r="A1307" s="72" t="s">
        <v>2230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>
      <c r="A1308" s="18" t="s">
        <v>2231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>
      <c r="A1309" s="71" t="s">
        <v>2232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>
      <c r="A1310" s="15" t="s">
        <v>2233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>
      <c r="A1311" s="72" t="s">
        <v>2234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292</v>
      </c>
      <c r="H1311" s="9"/>
      <c r="I1311" s="8"/>
      <c r="J1311" s="8"/>
      <c r="K1311" s="8"/>
      <c r="L1311" s="9">
        <v>318</v>
      </c>
      <c r="M1311" s="8"/>
    </row>
    <row r="1312" spans="1:13">
      <c r="A1312" s="71" t="s">
        <v>2235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292</v>
      </c>
      <c r="H1312" s="9"/>
      <c r="I1312" s="8"/>
      <c r="J1312" s="8"/>
      <c r="K1312" s="8"/>
      <c r="L1312" s="8"/>
      <c r="M1312" s="8"/>
    </row>
    <row r="1313" spans="1:13">
      <c r="A1313" s="18" t="s">
        <v>2236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>
      <c r="A1314" s="15" t="s">
        <v>2237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>
      <c r="A1315" s="71" t="s">
        <v>2238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292</v>
      </c>
      <c r="H1315" s="9"/>
      <c r="I1315" s="8"/>
      <c r="J1315" s="8"/>
      <c r="K1315" s="8"/>
      <c r="L1315" s="9" t="s">
        <v>526</v>
      </c>
      <c r="M1315" s="8"/>
    </row>
    <row r="1316" spans="1:13">
      <c r="A1316" s="71" t="s">
        <v>2239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292</v>
      </c>
      <c r="H1316" s="9"/>
      <c r="I1316" s="8"/>
      <c r="J1316" s="8"/>
      <c r="K1316" s="8"/>
      <c r="L1316" s="8"/>
      <c r="M1316" s="8"/>
    </row>
    <row r="1317" spans="1:13">
      <c r="A1317" s="18" t="s">
        <v>2240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>
      <c r="A1318" s="71" t="s">
        <v>2241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292</v>
      </c>
      <c r="H1318" s="9"/>
      <c r="I1318" s="8"/>
      <c r="J1318" s="8"/>
      <c r="K1318" s="8"/>
      <c r="L1318" s="9" t="s">
        <v>775</v>
      </c>
      <c r="M1318" s="8"/>
    </row>
    <row r="1319" spans="1:13">
      <c r="A1319" s="15" t="s">
        <v>2242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>
      <c r="A1320" s="15" t="s">
        <v>2243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>
      <c r="A1321" s="15" t="s">
        <v>2244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292</v>
      </c>
      <c r="H1321" s="25">
        <v>43151</v>
      </c>
      <c r="I1321" s="8"/>
      <c r="J1321" s="8"/>
      <c r="K1321" s="8"/>
      <c r="L1321" s="8"/>
      <c r="M1321" s="8"/>
    </row>
    <row r="1322" spans="1:13">
      <c r="A1322" s="71" t="s">
        <v>2245</v>
      </c>
      <c r="B1322" s="67">
        <v>10519320921</v>
      </c>
      <c r="C1322" s="77" t="s">
        <v>2246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>
      <c r="A1323" s="71" t="s">
        <v>2247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292</v>
      </c>
      <c r="H1323" s="9"/>
      <c r="I1323" s="8"/>
      <c r="J1323" s="8"/>
      <c r="K1323" s="8"/>
      <c r="L1323" s="8"/>
      <c r="M1323" s="8"/>
    </row>
    <row r="1324" spans="1:13">
      <c r="A1324" s="29" t="s">
        <v>2248</v>
      </c>
      <c r="B1324" s="67"/>
      <c r="C1324" s="18" t="s">
        <v>402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>
      <c r="A1325" s="71" t="s">
        <v>2249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>
      <c r="A1326" s="29" t="s">
        <v>2250</v>
      </c>
      <c r="B1326" s="67"/>
      <c r="C1326" s="29" t="s">
        <v>402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>
      <c r="A1327" s="71" t="s">
        <v>2251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292</v>
      </c>
      <c r="H1327" s="9"/>
      <c r="I1327" s="8"/>
      <c r="J1327" s="8"/>
      <c r="K1327" s="8"/>
      <c r="L1327" s="8"/>
      <c r="M1327" s="8"/>
    </row>
    <row r="1328" spans="1:13">
      <c r="A1328" s="71" t="s">
        <v>2252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>
      <c r="A1329" s="71" t="s">
        <v>2253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292</v>
      </c>
      <c r="H1329" s="9"/>
      <c r="I1329" s="8"/>
      <c r="J1329" s="8"/>
      <c r="K1329" s="8"/>
      <c r="L1329" s="8"/>
      <c r="M1329" s="8"/>
    </row>
    <row r="1330" spans="1:13">
      <c r="A1330" s="15" t="s">
        <v>2254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>
      <c r="A1331" s="71" t="s">
        <v>2255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292</v>
      </c>
      <c r="H1331" s="9"/>
      <c r="I1331" s="8"/>
      <c r="J1331" s="8"/>
      <c r="K1331" s="8"/>
      <c r="L1331" s="9">
        <v>1759</v>
      </c>
      <c r="M1331" s="8"/>
    </row>
    <row r="1332" spans="1:13">
      <c r="A1332" s="72" t="s">
        <v>2256</v>
      </c>
      <c r="B1332" s="67">
        <v>27211072830</v>
      </c>
      <c r="C1332" s="72" t="s">
        <v>2257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>
      <c r="A1333" s="72" t="s">
        <v>2258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>
      <c r="A1334" s="71" t="s">
        <v>2259</v>
      </c>
      <c r="B1334" s="67">
        <v>35197770880</v>
      </c>
      <c r="C1334" s="72" t="s">
        <v>2260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>
      <c r="A1335" s="71" t="s">
        <v>2261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>
      <c r="A1336" s="71" t="s">
        <v>2262</v>
      </c>
      <c r="B1336" s="67">
        <v>35236970857</v>
      </c>
      <c r="C1336" s="68" t="s">
        <v>2263</v>
      </c>
      <c r="D1336" s="69">
        <v>41901199894</v>
      </c>
      <c r="E1336" s="9">
        <v>1417</v>
      </c>
      <c r="F1336" s="25">
        <v>43017</v>
      </c>
      <c r="G1336" s="70" t="s">
        <v>292</v>
      </c>
      <c r="H1336" s="76">
        <v>43213</v>
      </c>
      <c r="I1336" s="8"/>
      <c r="J1336" s="8"/>
      <c r="K1336" s="8"/>
      <c r="L1336" s="9" t="s">
        <v>526</v>
      </c>
      <c r="M1336" s="8"/>
    </row>
    <row r="1337" spans="1:13">
      <c r="A1337" s="71" t="s">
        <v>2264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292</v>
      </c>
      <c r="H1337" s="76">
        <v>43213</v>
      </c>
      <c r="I1337" s="8"/>
      <c r="J1337" s="8"/>
      <c r="K1337" s="8"/>
      <c r="L1337" s="8"/>
      <c r="M1337" s="8"/>
    </row>
    <row r="1338" spans="1:13">
      <c r="A1338" s="29" t="s">
        <v>2265</v>
      </c>
      <c r="B1338" s="67"/>
      <c r="C1338" s="29" t="s">
        <v>402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>
      <c r="A1339" s="71" t="s">
        <v>2266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292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>
      <c r="A1340" s="72" t="s">
        <v>2267</v>
      </c>
      <c r="B1340" s="67">
        <v>5263835850</v>
      </c>
      <c r="C1340" s="72" t="s">
        <v>2268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>
      <c r="A1341" s="71" t="s">
        <v>2269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292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>
      <c r="A1342" s="71" t="s">
        <v>2270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292</v>
      </c>
      <c r="H1342" s="76">
        <v>43213</v>
      </c>
      <c r="I1342" s="8"/>
      <c r="J1342" s="8"/>
      <c r="K1342" s="8"/>
      <c r="L1342" s="9" t="s">
        <v>443</v>
      </c>
      <c r="M1342" s="8"/>
    </row>
    <row r="1343" spans="1:13">
      <c r="A1343" s="29" t="s">
        <v>2271</v>
      </c>
      <c r="B1343" s="67">
        <v>31148209808</v>
      </c>
      <c r="C1343" s="18" t="s">
        <v>402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>
      <c r="A1344" s="71" t="s">
        <v>2272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>
      <c r="A1345" s="71" t="s">
        <v>2273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292</v>
      </c>
      <c r="H1345" s="9"/>
      <c r="I1345" s="8"/>
      <c r="J1345" s="8"/>
      <c r="K1345" s="8"/>
      <c r="L1345" s="9">
        <v>1759</v>
      </c>
      <c r="M1345" s="8"/>
    </row>
    <row r="1346" spans="1:13">
      <c r="A1346" s="71" t="s">
        <v>2274</v>
      </c>
      <c r="B1346" s="67">
        <v>85794398507</v>
      </c>
      <c r="C1346" s="72" t="s">
        <v>2275</v>
      </c>
      <c r="D1346" s="69">
        <v>59689188534</v>
      </c>
      <c r="E1346" s="9">
        <v>292</v>
      </c>
      <c r="F1346" s="25">
        <v>43168</v>
      </c>
      <c r="G1346" s="70" t="s">
        <v>292</v>
      </c>
      <c r="H1346" s="9"/>
      <c r="I1346" s="8"/>
      <c r="J1346" s="8"/>
      <c r="K1346" s="8"/>
      <c r="L1346" s="9">
        <v>318</v>
      </c>
      <c r="M1346" s="8"/>
    </row>
    <row r="1347" spans="1:13">
      <c r="A1347" s="15" t="s">
        <v>2276</v>
      </c>
      <c r="B1347" s="67">
        <v>2770765442</v>
      </c>
      <c r="C1347" s="72" t="s">
        <v>2277</v>
      </c>
      <c r="D1347" s="69">
        <v>24730161866</v>
      </c>
      <c r="E1347" s="9">
        <v>229</v>
      </c>
      <c r="F1347" s="25">
        <v>43151</v>
      </c>
      <c r="G1347" s="70" t="s">
        <v>292</v>
      </c>
      <c r="H1347" s="9"/>
      <c r="I1347" s="8"/>
      <c r="J1347" s="8"/>
      <c r="K1347" s="8"/>
      <c r="L1347" s="9">
        <v>232</v>
      </c>
      <c r="M1347" s="8"/>
    </row>
    <row r="1348" spans="1:13">
      <c r="A1348" s="15" t="s">
        <v>2278</v>
      </c>
      <c r="B1348" s="67">
        <v>1295044838</v>
      </c>
      <c r="C1348" s="72" t="s">
        <v>2279</v>
      </c>
      <c r="D1348" s="69">
        <v>29976206860</v>
      </c>
      <c r="E1348" s="9">
        <v>485</v>
      </c>
      <c r="F1348" s="25">
        <v>43196</v>
      </c>
      <c r="G1348" s="70" t="s">
        <v>298</v>
      </c>
      <c r="H1348" s="9"/>
      <c r="I1348" s="8"/>
      <c r="J1348" s="8"/>
      <c r="K1348" s="8"/>
      <c r="L1348" s="9">
        <v>483</v>
      </c>
      <c r="M1348" s="8"/>
    </row>
    <row r="1349" spans="1:13">
      <c r="A1349" s="15" t="s">
        <v>2280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292</v>
      </c>
      <c r="H1349" s="9"/>
      <c r="I1349" s="8"/>
      <c r="J1349" s="8"/>
      <c r="K1349" s="8"/>
      <c r="L1349" s="9">
        <v>1828</v>
      </c>
      <c r="M1349" s="8"/>
    </row>
    <row r="1350" spans="1:13">
      <c r="A1350" s="16" t="s">
        <v>2281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>
      <c r="A1351" s="71" t="s">
        <v>2282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>
      <c r="A1352" s="71" t="s">
        <v>2283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292</v>
      </c>
      <c r="H1352" s="9"/>
      <c r="I1352" s="8"/>
      <c r="J1352" s="8"/>
      <c r="K1352" s="8"/>
      <c r="L1352" s="8"/>
      <c r="M1352" s="8"/>
    </row>
    <row r="1353" spans="1:13">
      <c r="A1353" s="71" t="s">
        <v>2284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292</v>
      </c>
      <c r="H1353" s="9"/>
      <c r="I1353" s="8"/>
      <c r="J1353" s="8"/>
      <c r="K1353" s="8"/>
      <c r="L1353" s="8"/>
      <c r="M1353" s="8"/>
    </row>
    <row r="1354" spans="1:13">
      <c r="A1354" s="15" t="s">
        <v>2285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>
      <c r="A1355" s="14" t="s">
        <v>2286</v>
      </c>
      <c r="B1355" s="67">
        <v>75678772520</v>
      </c>
      <c r="C1355" s="72" t="s">
        <v>2287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>
      <c r="A1356" s="71" t="s">
        <v>2288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>
      <c r="A1357" s="71" t="s">
        <v>2289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>
      <c r="A1358" s="15" t="s">
        <v>2290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292</v>
      </c>
      <c r="H1358" s="25">
        <v>43151</v>
      </c>
      <c r="I1358" s="8"/>
      <c r="J1358" s="8"/>
      <c r="K1358" s="8"/>
      <c r="L1358" s="8"/>
      <c r="M1358" s="8"/>
    </row>
    <row r="1359" spans="1:13">
      <c r="A1359" s="71" t="s">
        <v>2291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292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>
      <c r="A1360" s="71" t="s">
        <v>2292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292</v>
      </c>
      <c r="H1360" s="9"/>
      <c r="I1360" s="8"/>
      <c r="J1360" s="8"/>
      <c r="K1360" s="8"/>
      <c r="L1360" s="9">
        <v>318</v>
      </c>
      <c r="M1360" s="8"/>
    </row>
    <row r="1361" spans="1:13">
      <c r="A1361" s="72" t="s">
        <v>2293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292</v>
      </c>
      <c r="H1361" s="9"/>
      <c r="I1361" s="8"/>
      <c r="J1361" s="8"/>
      <c r="K1361" s="8"/>
      <c r="L1361" s="8"/>
      <c r="M1361" s="8"/>
    </row>
    <row r="1362" spans="1:13">
      <c r="A1362" s="29" t="s">
        <v>2294</v>
      </c>
      <c r="B1362" s="67"/>
      <c r="C1362" s="18" t="s">
        <v>402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>
      <c r="A1363" s="71" t="s">
        <v>2295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>
      <c r="A1364" s="15" t="s">
        <v>2296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>
      <c r="A1365" s="71" t="s">
        <v>2297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292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>
      <c r="A1366" s="15" t="s">
        <v>2298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292</v>
      </c>
      <c r="H1366" s="9"/>
      <c r="I1366" s="8"/>
      <c r="J1366" s="8"/>
      <c r="K1366" s="8"/>
      <c r="L1366" s="9">
        <v>232</v>
      </c>
      <c r="M1366" s="8"/>
    </row>
    <row r="1367" spans="1:13">
      <c r="A1367" s="72" t="s">
        <v>2299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>
      <c r="A1368" s="71" t="s">
        <v>2300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292</v>
      </c>
      <c r="H1368" s="9"/>
      <c r="I1368" s="8"/>
      <c r="J1368" s="8"/>
      <c r="K1368" s="8"/>
      <c r="L1368" s="9" t="s">
        <v>443</v>
      </c>
      <c r="M1368" s="8"/>
    </row>
    <row r="1369" spans="1:13">
      <c r="A1369" s="29" t="s">
        <v>2301</v>
      </c>
      <c r="B1369" s="67"/>
      <c r="C1369" s="29" t="s">
        <v>402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>
      <c r="A1370" s="14" t="s">
        <v>2302</v>
      </c>
      <c r="B1370" s="67">
        <v>87915170520</v>
      </c>
      <c r="C1370" s="72" t="s">
        <v>2303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>
      <c r="A1371" s="71" t="s">
        <v>2304</v>
      </c>
      <c r="B1371" s="67">
        <v>30693970855</v>
      </c>
      <c r="C1371" s="72" t="s">
        <v>2305</v>
      </c>
      <c r="D1371" s="69">
        <v>6402681610</v>
      </c>
      <c r="E1371" s="9">
        <v>608</v>
      </c>
      <c r="F1371" s="25">
        <v>43012</v>
      </c>
      <c r="G1371" s="70" t="s">
        <v>298</v>
      </c>
      <c r="H1371" s="9"/>
      <c r="I1371" s="8"/>
      <c r="J1371" s="8"/>
      <c r="K1371" s="8"/>
      <c r="L1371" s="8"/>
      <c r="M1371" s="8"/>
    </row>
    <row r="1372" spans="1:13">
      <c r="A1372" s="71" t="s">
        <v>2306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>
      <c r="A1373" s="14" t="s">
        <v>2307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>
      <c r="A1374" s="71" t="s">
        <v>2308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>
      <c r="A1375" s="71" t="s">
        <v>2309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292</v>
      </c>
      <c r="H1375" s="9"/>
      <c r="I1375" s="8"/>
      <c r="J1375" s="8"/>
      <c r="K1375" s="8"/>
      <c r="L1375" s="8"/>
      <c r="M1375" s="8"/>
    </row>
    <row r="1376" spans="1:13">
      <c r="A1376" s="71" t="s">
        <v>2310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292</v>
      </c>
      <c r="H1376" s="9"/>
      <c r="I1376" s="8"/>
      <c r="J1376" s="8"/>
      <c r="K1376" s="8"/>
      <c r="L1376" s="9" t="s">
        <v>411</v>
      </c>
      <c r="M1376" s="8"/>
    </row>
    <row r="1377" spans="1:13">
      <c r="A1377" s="71" t="s">
        <v>2311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292</v>
      </c>
      <c r="H1377" s="9"/>
      <c r="I1377" s="8"/>
      <c r="J1377" s="8"/>
      <c r="K1377" s="8"/>
      <c r="L1377" s="9">
        <v>318</v>
      </c>
      <c r="M1377" s="8"/>
    </row>
    <row r="1378" spans="1:13">
      <c r="A1378" s="71" t="s">
        <v>2312</v>
      </c>
      <c r="B1378" s="78" t="s">
        <v>2313</v>
      </c>
      <c r="C1378" s="72"/>
      <c r="D1378" s="69"/>
      <c r="E1378" s="9">
        <v>292</v>
      </c>
      <c r="F1378" s="25">
        <v>43168</v>
      </c>
      <c r="G1378" s="9" t="s">
        <v>292</v>
      </c>
      <c r="H1378" s="9"/>
      <c r="I1378" s="8"/>
      <c r="J1378" s="8"/>
      <c r="K1378" s="8"/>
      <c r="L1378" s="9">
        <v>318</v>
      </c>
      <c r="M1378" s="8"/>
    </row>
    <row r="1379" spans="1:13">
      <c r="A1379" s="71" t="s">
        <v>2314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>
      <c r="A1380" s="13" t="s">
        <v>2315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292</v>
      </c>
      <c r="H1380" s="9"/>
      <c r="I1380" s="8"/>
      <c r="J1380" s="8"/>
      <c r="K1380" s="8"/>
      <c r="L1380" s="8"/>
      <c r="M1380" s="8"/>
    </row>
    <row r="1381" spans="1:13">
      <c r="A1381" s="71" t="s">
        <v>2316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292</v>
      </c>
      <c r="H1381" s="9"/>
      <c r="I1381" s="8"/>
      <c r="J1381" s="8"/>
      <c r="K1381" s="8"/>
      <c r="L1381" s="9" t="s">
        <v>671</v>
      </c>
      <c r="M1381" s="8"/>
    </row>
    <row r="1382" spans="1:13">
      <c r="A1382" s="71" t="s">
        <v>2317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>
      <c r="A1383" s="13" t="s">
        <v>2318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>
      <c r="A1384" s="71" t="s">
        <v>2319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292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>
      <c r="A1385" s="71" t="s">
        <v>2320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292</v>
      </c>
      <c r="H1385" s="9"/>
      <c r="I1385" s="8"/>
      <c r="J1385" s="8"/>
      <c r="K1385" s="8"/>
      <c r="L1385" s="9">
        <v>318</v>
      </c>
      <c r="M1385" s="8"/>
    </row>
    <row r="1386" spans="1:13">
      <c r="A1386" s="71" t="s">
        <v>2321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292</v>
      </c>
      <c r="H1386" s="9"/>
      <c r="I1386" s="8"/>
      <c r="J1386" s="8"/>
      <c r="K1386" s="8"/>
      <c r="L1386" s="8"/>
      <c r="M1386" s="8"/>
    </row>
    <row r="1387" spans="1:13">
      <c r="A1387" s="29" t="s">
        <v>2322</v>
      </c>
      <c r="B1387" s="67">
        <v>5753509894</v>
      </c>
      <c r="C1387" s="9" t="s">
        <v>402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>
      <c r="A1388" s="18" t="s">
        <v>2323</v>
      </c>
      <c r="B1388" s="67"/>
      <c r="C1388" s="18" t="s">
        <v>2324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>
      <c r="A1389" s="71" t="s">
        <v>2325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>
      <c r="A1390" s="71" t="s">
        <v>2326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292</v>
      </c>
      <c r="H1390" s="9"/>
      <c r="I1390" s="8"/>
      <c r="J1390" s="8"/>
      <c r="K1390" s="8"/>
      <c r="L1390" s="9" t="s">
        <v>411</v>
      </c>
      <c r="M1390" s="8"/>
    </row>
    <row r="1391" spans="1:13">
      <c r="A1391" s="71" t="s">
        <v>2327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292</v>
      </c>
      <c r="H1391" s="9"/>
      <c r="I1391" s="8"/>
      <c r="J1391" s="8"/>
      <c r="K1391" s="8"/>
      <c r="L1391" s="9" t="s">
        <v>411</v>
      </c>
      <c r="M1391" s="8"/>
    </row>
    <row r="1392" spans="1:13">
      <c r="A1392" s="13" t="s">
        <v>2328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292</v>
      </c>
      <c r="H1392" s="9"/>
      <c r="I1392" s="8"/>
      <c r="J1392" s="8"/>
      <c r="K1392" s="8"/>
      <c r="L1392" s="9">
        <v>1759</v>
      </c>
      <c r="M1392" s="8"/>
    </row>
    <row r="1393" spans="1:13">
      <c r="A1393" s="71" t="s">
        <v>2329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298</v>
      </c>
      <c r="H1393" s="25">
        <v>43151</v>
      </c>
      <c r="I1393" s="8"/>
      <c r="J1393" s="8"/>
      <c r="K1393" s="8"/>
      <c r="L1393" s="8"/>
      <c r="M1393" s="8"/>
    </row>
    <row r="1394" spans="1:13">
      <c r="A1394" s="15" t="s">
        <v>2330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>
      <c r="A1395" s="72" t="s">
        <v>2331</v>
      </c>
      <c r="B1395" s="67">
        <v>61260606449</v>
      </c>
      <c r="C1395" s="72" t="s">
        <v>2332</v>
      </c>
      <c r="D1395" s="69">
        <v>73505854468</v>
      </c>
      <c r="E1395" s="9">
        <v>608</v>
      </c>
      <c r="F1395" s="25">
        <v>43012</v>
      </c>
      <c r="G1395" s="70" t="s">
        <v>292</v>
      </c>
      <c r="H1395" s="9"/>
      <c r="I1395" s="8"/>
      <c r="J1395" s="8"/>
      <c r="K1395" s="8"/>
      <c r="L1395" s="8"/>
      <c r="M1395" s="8"/>
    </row>
    <row r="1396" spans="1:13">
      <c r="A1396" s="71" t="s">
        <v>2333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292</v>
      </c>
      <c r="H1396" s="9"/>
      <c r="I1396" s="8"/>
      <c r="J1396" s="8"/>
      <c r="K1396" s="8"/>
      <c r="L1396" s="9">
        <v>1759</v>
      </c>
      <c r="M1396" s="8"/>
    </row>
    <row r="1397" spans="1:13">
      <c r="A1397" s="71" t="s">
        <v>2334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>
      <c r="A1398" s="29" t="s">
        <v>2335</v>
      </c>
      <c r="B1398" s="67">
        <v>68516274853</v>
      </c>
      <c r="C1398" s="18" t="s">
        <v>402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>
      <c r="A1399" s="71" t="s">
        <v>2336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292</v>
      </c>
      <c r="H1399" s="9"/>
      <c r="I1399" s="8"/>
      <c r="J1399" s="8"/>
      <c r="K1399" s="8"/>
      <c r="L1399" s="9" t="s">
        <v>433</v>
      </c>
      <c r="M1399" s="8"/>
    </row>
    <row r="1400" spans="1:13">
      <c r="A1400" s="15" t="s">
        <v>2337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292</v>
      </c>
      <c r="H1400" s="25">
        <v>43151</v>
      </c>
      <c r="I1400" s="8"/>
      <c r="J1400" s="8"/>
      <c r="K1400" s="8"/>
      <c r="L1400" s="8"/>
      <c r="M1400" s="8"/>
    </row>
    <row r="1401" spans="1:13">
      <c r="A1401" s="15" t="s">
        <v>2338</v>
      </c>
      <c r="B1401" s="67">
        <v>85576492820</v>
      </c>
      <c r="C1401" s="72" t="s">
        <v>2339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>
      <c r="A1402" s="71" t="s">
        <v>2340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>
      <c r="A1403" s="71" t="s">
        <v>2341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292</v>
      </c>
      <c r="H1403" s="9"/>
      <c r="I1403" s="8"/>
      <c r="J1403" s="8"/>
      <c r="K1403" s="8"/>
      <c r="L1403" s="9">
        <v>318</v>
      </c>
      <c r="M1403" s="8"/>
    </row>
    <row r="1404" spans="1:13">
      <c r="A1404" s="30" t="s">
        <v>2342</v>
      </c>
      <c r="B1404" s="67">
        <v>27903916882</v>
      </c>
      <c r="C1404" s="32" t="s">
        <v>2343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>
      <c r="A1405" s="71" t="s">
        <v>2344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292</v>
      </c>
      <c r="H1405" s="9"/>
      <c r="I1405" s="8"/>
      <c r="J1405" s="8"/>
      <c r="K1405" s="8"/>
      <c r="L1405" s="9" t="s">
        <v>433</v>
      </c>
      <c r="M1405" s="8"/>
    </row>
    <row r="1406" spans="1:13">
      <c r="A1406" s="71" t="s">
        <v>2345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298</v>
      </c>
      <c r="H1406" s="9"/>
      <c r="I1406" s="8"/>
      <c r="J1406" s="8"/>
      <c r="K1406" s="8"/>
      <c r="L1406" s="8"/>
      <c r="M1406" s="8"/>
    </row>
    <row r="1407" spans="1:13">
      <c r="A1407" s="71" t="s">
        <v>2346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292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>
      <c r="A1408" s="71" t="s">
        <v>2347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292</v>
      </c>
      <c r="H1408" s="9"/>
      <c r="I1408" s="8"/>
      <c r="J1408" s="8"/>
      <c r="K1408" s="8"/>
      <c r="L1408" s="9" t="s">
        <v>411</v>
      </c>
      <c r="M1408" s="8"/>
    </row>
    <row r="1409" spans="1:13">
      <c r="A1409" s="15" t="s">
        <v>2348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292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>
      <c r="A1410" s="72" t="s">
        <v>2349</v>
      </c>
      <c r="B1410" s="67">
        <v>754731863</v>
      </c>
      <c r="C1410" s="72" t="s">
        <v>2350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>
      <c r="A1411" s="71" t="s">
        <v>2351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292</v>
      </c>
      <c r="H1411" s="9"/>
      <c r="I1411" s="8"/>
      <c r="J1411" s="8"/>
      <c r="K1411" s="8"/>
      <c r="L1411" s="9">
        <v>318</v>
      </c>
      <c r="M1411" s="8"/>
    </row>
    <row r="1412" spans="1:13">
      <c r="A1412" s="71" t="s">
        <v>2352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292</v>
      </c>
      <c r="H1412" s="9"/>
      <c r="I1412" s="8"/>
      <c r="J1412" s="8"/>
      <c r="K1412" s="8"/>
      <c r="L1412" s="9">
        <v>318</v>
      </c>
      <c r="M1412" s="8"/>
    </row>
    <row r="1413" spans="1:13">
      <c r="A1413" s="71" t="s">
        <v>2353</v>
      </c>
      <c r="B1413" s="67" t="s">
        <v>2354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>
      <c r="A1414" s="15" t="s">
        <v>2355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292</v>
      </c>
      <c r="H1414" s="25">
        <v>43151</v>
      </c>
      <c r="I1414" s="8"/>
      <c r="J1414" s="8"/>
      <c r="K1414" s="8"/>
      <c r="L1414" s="8"/>
      <c r="M1414" s="8"/>
    </row>
    <row r="1415" spans="1:13">
      <c r="A1415" s="71" t="s">
        <v>2356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292</v>
      </c>
      <c r="H1415" s="9"/>
      <c r="I1415" s="8"/>
      <c r="J1415" s="8"/>
      <c r="K1415" s="8"/>
      <c r="L1415" s="9" t="s">
        <v>411</v>
      </c>
      <c r="M1415" s="8"/>
    </row>
    <row r="1416" spans="1:13">
      <c r="A1416" s="71" t="s">
        <v>2357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292</v>
      </c>
      <c r="H1416" s="9"/>
      <c r="I1416" s="8"/>
      <c r="J1416" s="8"/>
      <c r="K1416" s="8"/>
      <c r="L1416" s="8"/>
      <c r="M1416" s="8"/>
    </row>
    <row r="1417" spans="1:13">
      <c r="A1417" s="15" t="s">
        <v>2358</v>
      </c>
      <c r="B1417" s="67">
        <v>32045988880</v>
      </c>
      <c r="C1417" s="72" t="s">
        <v>2359</v>
      </c>
      <c r="D1417" s="69">
        <v>28522432880</v>
      </c>
      <c r="E1417" s="9">
        <v>85</v>
      </c>
      <c r="F1417" s="25">
        <v>43109</v>
      </c>
      <c r="G1417" s="70" t="s">
        <v>292</v>
      </c>
      <c r="H1417" s="25">
        <v>43151</v>
      </c>
      <c r="I1417" s="8"/>
      <c r="J1417" s="8"/>
      <c r="K1417" s="8"/>
      <c r="L1417" s="8"/>
      <c r="M1417" s="8"/>
    </row>
    <row r="1418" spans="1:13">
      <c r="A1418" s="29" t="s">
        <v>2360</v>
      </c>
      <c r="B1418" s="67">
        <v>14692639806</v>
      </c>
      <c r="C1418" s="18" t="s">
        <v>402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>
      <c r="A1419" s="71" t="s">
        <v>2361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>
      <c r="A1420" s="29" t="s">
        <v>2362</v>
      </c>
      <c r="B1420" s="67">
        <v>25745713801</v>
      </c>
      <c r="C1420" s="29" t="s">
        <v>2363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>
      <c r="A1421" s="71" t="s">
        <v>2364</v>
      </c>
      <c r="B1421" s="67">
        <v>10373973802</v>
      </c>
      <c r="C1421" s="72" t="s">
        <v>2365</v>
      </c>
      <c r="D1421" s="69">
        <v>3613530813</v>
      </c>
      <c r="E1421" s="9">
        <v>1752</v>
      </c>
      <c r="F1421" s="25">
        <v>43051</v>
      </c>
      <c r="G1421" s="70" t="s">
        <v>292</v>
      </c>
      <c r="H1421" s="9"/>
      <c r="I1421" s="8"/>
      <c r="J1421" s="8"/>
      <c r="K1421" s="8"/>
      <c r="L1421" s="9">
        <v>1759</v>
      </c>
      <c r="M1421" s="8"/>
    </row>
    <row r="1422" spans="1:13">
      <c r="A1422" s="29" t="s">
        <v>2366</v>
      </c>
      <c r="B1422" s="67">
        <v>25397304859</v>
      </c>
      <c r="C1422" s="29" t="s">
        <v>2367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>
      <c r="A1423" s="13" t="s">
        <v>2368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>
      <c r="A1424" s="71" t="s">
        <v>2369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292</v>
      </c>
      <c r="H1424" s="9"/>
      <c r="I1424" s="8"/>
      <c r="J1424" s="8"/>
      <c r="K1424" s="8"/>
      <c r="L1424" s="9">
        <v>1759</v>
      </c>
      <c r="M1424" s="8"/>
    </row>
    <row r="1425" spans="1:13">
      <c r="A1425" s="71" t="s">
        <v>2370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>
      <c r="A1426" s="71" t="s">
        <v>2371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>
      <c r="A1427" s="13" t="s">
        <v>2372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292</v>
      </c>
      <c r="H1427" s="9"/>
      <c r="I1427" s="8"/>
      <c r="J1427" s="8"/>
      <c r="K1427" s="8"/>
      <c r="L1427" s="8"/>
      <c r="M1427" s="8"/>
    </row>
    <row r="1428" spans="1:13">
      <c r="A1428" s="72" t="s">
        <v>2373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292</v>
      </c>
      <c r="H1428" s="9"/>
      <c r="I1428" s="8"/>
      <c r="J1428" s="8"/>
      <c r="K1428" s="8"/>
      <c r="L1428" s="9">
        <v>318</v>
      </c>
      <c r="M1428" s="8"/>
    </row>
    <row r="1429" spans="1:13">
      <c r="A1429" s="13" t="s">
        <v>2374</v>
      </c>
      <c r="B1429" s="67">
        <v>31115215833</v>
      </c>
      <c r="C1429" s="72" t="s">
        <v>2375</v>
      </c>
      <c r="D1429" s="69">
        <v>54134781515</v>
      </c>
      <c r="E1429" s="9">
        <v>608</v>
      </c>
      <c r="F1429" s="25">
        <v>43012</v>
      </c>
      <c r="G1429" s="70" t="s">
        <v>292</v>
      </c>
      <c r="H1429" s="9"/>
      <c r="I1429" s="8"/>
      <c r="J1429" s="8"/>
      <c r="K1429" s="8"/>
      <c r="L1429" s="8"/>
      <c r="M1429" s="8"/>
    </row>
    <row r="1430" spans="1:13">
      <c r="A1430" s="15" t="s">
        <v>2376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292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>
      <c r="A1431" s="71" t="s">
        <v>2377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292</v>
      </c>
      <c r="H1431" s="9"/>
      <c r="I1431" s="8"/>
      <c r="J1431" s="8"/>
      <c r="K1431" s="8"/>
      <c r="L1431" s="9">
        <v>1759</v>
      </c>
      <c r="M1431" s="8"/>
    </row>
    <row r="1432" spans="1:13">
      <c r="A1432" s="71" t="s">
        <v>2378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292</v>
      </c>
      <c r="H1432" s="9"/>
      <c r="I1432" s="8"/>
      <c r="J1432" s="8"/>
      <c r="K1432" s="8"/>
      <c r="L1432" s="8"/>
      <c r="M1432" s="8"/>
    </row>
    <row r="1433" spans="1:13">
      <c r="A1433" s="71" t="s">
        <v>2379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292</v>
      </c>
      <c r="H1433" s="9"/>
      <c r="I1433" s="8"/>
      <c r="J1433" s="8"/>
      <c r="K1433" s="8"/>
      <c r="L1433" s="8"/>
      <c r="M1433" s="8"/>
    </row>
    <row r="1434" spans="1:13">
      <c r="A1434" s="71" t="s">
        <v>2380</v>
      </c>
      <c r="B1434" s="67">
        <v>35198444863</v>
      </c>
      <c r="C1434" s="72" t="s">
        <v>2381</v>
      </c>
      <c r="D1434" s="69">
        <v>30956969810</v>
      </c>
      <c r="E1434" s="9">
        <v>1489</v>
      </c>
      <c r="F1434" s="25">
        <v>43038</v>
      </c>
      <c r="G1434" s="70" t="s">
        <v>292</v>
      </c>
      <c r="H1434" s="9"/>
      <c r="I1434" s="8"/>
      <c r="J1434" s="8"/>
      <c r="K1434" s="8"/>
      <c r="L1434" s="9" t="s">
        <v>433</v>
      </c>
      <c r="M1434" s="8"/>
    </row>
    <row r="1435" spans="1:13">
      <c r="A1435" s="72" t="s">
        <v>2382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>
      <c r="A1436" s="71" t="s">
        <v>2383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292</v>
      </c>
      <c r="H1436" s="9"/>
      <c r="I1436" s="8"/>
      <c r="J1436" s="8"/>
      <c r="K1436" s="8"/>
      <c r="L1436" s="9">
        <v>318</v>
      </c>
      <c r="M1436" s="8"/>
    </row>
    <row r="1437" spans="1:13">
      <c r="A1437" s="71" t="s">
        <v>2384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292</v>
      </c>
      <c r="H1437" s="9"/>
      <c r="I1437" s="8"/>
      <c r="J1437" s="8"/>
      <c r="K1437" s="8"/>
      <c r="L1437" s="9">
        <v>1828</v>
      </c>
      <c r="M1437" s="8"/>
    </row>
    <row r="1438" spans="1:13">
      <c r="A1438" s="71" t="s">
        <v>2385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292</v>
      </c>
      <c r="H1438" s="25">
        <v>43151</v>
      </c>
      <c r="I1438" s="8"/>
      <c r="J1438" s="8"/>
      <c r="K1438" s="8"/>
      <c r="L1438" s="8"/>
      <c r="M1438" s="8"/>
    </row>
    <row r="1439" spans="1:13">
      <c r="A1439" s="71" t="s">
        <v>2386</v>
      </c>
      <c r="B1439" s="67">
        <v>1930099517</v>
      </c>
      <c r="C1439" s="68" t="s">
        <v>2387</v>
      </c>
      <c r="D1439" s="69">
        <v>91788226534</v>
      </c>
      <c r="E1439" s="9">
        <v>1752</v>
      </c>
      <c r="F1439" s="25">
        <v>43051</v>
      </c>
      <c r="G1439" s="70" t="s">
        <v>292</v>
      </c>
      <c r="H1439" s="9"/>
      <c r="I1439" s="8"/>
      <c r="J1439" s="8"/>
      <c r="K1439" s="8"/>
      <c r="L1439" s="9">
        <v>1759</v>
      </c>
      <c r="M1439" s="8"/>
    </row>
    <row r="1440" spans="1:13">
      <c r="A1440" s="71" t="s">
        <v>2388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>
      <c r="A1441" s="71" t="s">
        <v>2389</v>
      </c>
      <c r="B1441" s="67">
        <v>31068143819</v>
      </c>
      <c r="C1441" s="72" t="s">
        <v>2390</v>
      </c>
      <c r="D1441" s="69">
        <v>27121002809</v>
      </c>
      <c r="E1441" s="9">
        <v>608</v>
      </c>
      <c r="F1441" s="25">
        <v>43012</v>
      </c>
      <c r="G1441" s="70" t="s">
        <v>298</v>
      </c>
      <c r="H1441" s="9"/>
      <c r="I1441" s="8"/>
      <c r="J1441" s="8"/>
      <c r="K1441" s="8"/>
      <c r="L1441" s="8"/>
      <c r="M1441" s="8"/>
    </row>
    <row r="1442" spans="1:13">
      <c r="A1442" s="71" t="s">
        <v>2391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292</v>
      </c>
      <c r="H1442" s="9"/>
      <c r="I1442" s="8"/>
      <c r="J1442" s="8"/>
      <c r="K1442" s="8"/>
      <c r="L1442" s="9" t="s">
        <v>775</v>
      </c>
      <c r="M1442" s="8"/>
    </row>
    <row r="1443" spans="1:13">
      <c r="A1443" s="15" t="s">
        <v>2392</v>
      </c>
      <c r="B1443" s="67">
        <v>33100600800</v>
      </c>
      <c r="C1443" s="72" t="s">
        <v>2393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>
      <c r="A1444" s="71" t="s">
        <v>2394</v>
      </c>
      <c r="B1444" s="67">
        <v>23284980865</v>
      </c>
      <c r="C1444" s="72" t="s">
        <v>2395</v>
      </c>
      <c r="D1444" s="69">
        <v>8170993792</v>
      </c>
      <c r="E1444" s="9">
        <v>1214</v>
      </c>
      <c r="F1444" s="25">
        <v>42989</v>
      </c>
      <c r="G1444" s="70" t="s">
        <v>292</v>
      </c>
      <c r="H1444" s="9"/>
      <c r="I1444" s="8"/>
      <c r="J1444" s="8"/>
      <c r="K1444" s="8"/>
      <c r="L1444" s="8"/>
      <c r="M1444" s="8"/>
    </row>
    <row r="1445" spans="1:13">
      <c r="A1445" s="73" t="s">
        <v>2396</v>
      </c>
      <c r="B1445" s="67">
        <v>27235231874</v>
      </c>
      <c r="C1445" s="72" t="s">
        <v>2397</v>
      </c>
      <c r="D1445" s="69">
        <v>36182133520</v>
      </c>
      <c r="E1445" s="9">
        <v>1106</v>
      </c>
      <c r="F1445" s="25">
        <v>42965</v>
      </c>
      <c r="G1445" s="70" t="s">
        <v>292</v>
      </c>
      <c r="H1445" s="9"/>
      <c r="I1445" s="8"/>
      <c r="J1445" s="8"/>
      <c r="K1445" s="8"/>
      <c r="L1445" s="8"/>
      <c r="M1445" s="8"/>
    </row>
    <row r="1446" spans="1:13">
      <c r="A1446" s="71" t="s">
        <v>2398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>
      <c r="A1447" s="71" t="s">
        <v>2399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292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>
      <c r="A1448" s="71" t="s">
        <v>2400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>
      <c r="A1449" s="73" t="s">
        <v>2401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>
      <c r="A1450" s="73" t="s">
        <v>2402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>
      <c r="A1451" s="71" t="s">
        <v>2403</v>
      </c>
      <c r="B1451" s="67">
        <v>774242809</v>
      </c>
      <c r="C1451" s="72" t="s">
        <v>2404</v>
      </c>
      <c r="D1451" s="69">
        <v>16619607829</v>
      </c>
      <c r="E1451" s="9">
        <v>1824</v>
      </c>
      <c r="F1451" s="25">
        <v>43091</v>
      </c>
      <c r="G1451" s="70" t="s">
        <v>292</v>
      </c>
      <c r="H1451" s="9"/>
      <c r="I1451" s="8"/>
      <c r="J1451" s="8"/>
      <c r="K1451" s="8"/>
      <c r="L1451" s="9">
        <v>1828</v>
      </c>
      <c r="M1451" s="8"/>
    </row>
    <row r="1452" spans="1:13">
      <c r="A1452" s="13" t="s">
        <v>2405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292</v>
      </c>
      <c r="H1452" s="9"/>
      <c r="I1452" s="8"/>
      <c r="J1452" s="8"/>
      <c r="K1452" s="8"/>
      <c r="L1452" s="8"/>
      <c r="M1452" s="8"/>
    </row>
    <row r="1453" spans="1:13">
      <c r="A1453" s="71" t="s">
        <v>2406</v>
      </c>
      <c r="B1453" s="67">
        <v>34817829850</v>
      </c>
      <c r="C1453" s="72" t="s">
        <v>2407</v>
      </c>
      <c r="D1453" s="69">
        <v>8025534863</v>
      </c>
      <c r="E1453" s="9">
        <v>1241</v>
      </c>
      <c r="F1453" s="25">
        <v>42992</v>
      </c>
      <c r="G1453" s="70" t="s">
        <v>306</v>
      </c>
      <c r="H1453" s="9"/>
      <c r="I1453" s="8"/>
      <c r="J1453" s="8"/>
      <c r="K1453" s="8"/>
      <c r="L1453" s="8"/>
      <c r="M1453" s="8"/>
    </row>
    <row r="1454" spans="1:13">
      <c r="A1454" s="71" t="s">
        <v>2408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>
      <c r="A1455" s="14" t="s">
        <v>2409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292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>
      <c r="A1456" s="71" t="s">
        <v>2410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292</v>
      </c>
      <c r="H1456" s="9"/>
      <c r="I1456" s="8"/>
      <c r="J1456" s="8"/>
      <c r="K1456" s="8"/>
      <c r="L1456" s="8"/>
      <c r="M1456" s="8"/>
    </row>
    <row r="1457" spans="1:13">
      <c r="A1457" s="71" t="s">
        <v>2411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572</v>
      </c>
      <c r="M1457" s="8"/>
    </row>
    <row r="1458" spans="1:13">
      <c r="A1458" s="14" t="s">
        <v>2412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292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>
      <c r="A1459" s="14" t="s">
        <v>2413</v>
      </c>
      <c r="B1459" s="67">
        <v>32547457873</v>
      </c>
      <c r="C1459" s="72" t="s">
        <v>2414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>
      <c r="A1460" s="71" t="s">
        <v>2415</v>
      </c>
      <c r="B1460" s="67">
        <v>16784597800</v>
      </c>
      <c r="C1460" s="72" t="s">
        <v>2416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>
      <c r="A1461" s="15" t="s">
        <v>1463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>
      <c r="A1462" s="71" t="s">
        <v>2417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292</v>
      </c>
      <c r="H1462" s="9"/>
      <c r="I1462" s="8"/>
      <c r="J1462" s="8"/>
      <c r="K1462" s="8"/>
      <c r="L1462" s="8"/>
      <c r="M1462" s="8"/>
    </row>
    <row r="1463" spans="1:13">
      <c r="A1463" s="71" t="s">
        <v>2418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>
      <c r="A1464" s="72" t="s">
        <v>2419</v>
      </c>
      <c r="B1464" s="67">
        <v>2467378403</v>
      </c>
      <c r="C1464" s="72" t="s">
        <v>2420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>
      <c r="A1465" s="71" t="s">
        <v>2421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>
      <c r="A1466" s="71" t="s">
        <v>2422</v>
      </c>
      <c r="B1466" s="67">
        <v>34247512862</v>
      </c>
      <c r="C1466" s="77" t="s">
        <v>2423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572</v>
      </c>
      <c r="M1466" s="8"/>
    </row>
    <row r="1467" spans="1:13">
      <c r="A1467" s="71" t="s">
        <v>2424</v>
      </c>
      <c r="B1467" s="67" t="s">
        <v>2425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>
      <c r="A1468" s="15" t="s">
        <v>2426</v>
      </c>
      <c r="B1468" s="67">
        <v>47168211889</v>
      </c>
      <c r="C1468" s="72" t="s">
        <v>2427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>
      <c r="A1469" s="13" t="s">
        <v>2428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292</v>
      </c>
      <c r="H1469" s="9"/>
      <c r="I1469" s="8"/>
      <c r="J1469" s="8"/>
      <c r="K1469" s="8"/>
      <c r="L1469" s="8"/>
      <c r="M1469" s="8"/>
    </row>
    <row r="1470" spans="1:13">
      <c r="A1470" s="71" t="s">
        <v>2429</v>
      </c>
      <c r="B1470" s="67">
        <v>1532239521</v>
      </c>
      <c r="C1470" s="72" t="s">
        <v>2430</v>
      </c>
      <c r="D1470" s="69">
        <v>37104060804</v>
      </c>
      <c r="E1470" s="9">
        <v>810</v>
      </c>
      <c r="F1470" s="25">
        <v>42915</v>
      </c>
      <c r="G1470" s="70" t="s">
        <v>292</v>
      </c>
      <c r="H1470" s="9"/>
      <c r="I1470" s="8"/>
      <c r="J1470" s="8"/>
      <c r="K1470" s="8"/>
      <c r="L1470" s="9" t="s">
        <v>411</v>
      </c>
      <c r="M1470" s="8"/>
    </row>
    <row r="1471" spans="1:13">
      <c r="A1471" s="15" t="s">
        <v>2431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292</v>
      </c>
      <c r="H1471" s="9"/>
      <c r="I1471" s="8"/>
      <c r="J1471" s="8"/>
      <c r="K1471" s="8"/>
      <c r="L1471" s="9">
        <v>232</v>
      </c>
      <c r="M1471" s="8"/>
    </row>
    <row r="1472" spans="1:13">
      <c r="A1472" s="71" t="s">
        <v>2432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292</v>
      </c>
      <c r="H1472" s="9"/>
      <c r="I1472" s="8"/>
      <c r="J1472" s="8"/>
      <c r="K1472" s="8"/>
      <c r="L1472" s="9" t="s">
        <v>411</v>
      </c>
      <c r="M1472" s="8"/>
    </row>
    <row r="1473" spans="1:13">
      <c r="A1473" s="71" t="s">
        <v>2433</v>
      </c>
      <c r="B1473" s="67">
        <v>37117512881</v>
      </c>
      <c r="C1473" s="75" t="s">
        <v>2434</v>
      </c>
      <c r="D1473" s="69">
        <v>39740259871</v>
      </c>
      <c r="E1473" s="9">
        <v>1106</v>
      </c>
      <c r="F1473" s="25">
        <v>42965</v>
      </c>
      <c r="G1473" s="70" t="s">
        <v>292</v>
      </c>
      <c r="H1473" s="9"/>
      <c r="I1473" s="8"/>
      <c r="J1473" s="8"/>
      <c r="K1473" s="8"/>
      <c r="L1473" s="8"/>
      <c r="M1473" s="8"/>
    </row>
    <row r="1474" spans="1:13">
      <c r="A1474" s="13" t="s">
        <v>2435</v>
      </c>
      <c r="B1474" s="67">
        <v>39967942827</v>
      </c>
      <c r="C1474" s="72" t="s">
        <v>2436</v>
      </c>
      <c r="D1474" s="69">
        <v>32777947848</v>
      </c>
      <c r="E1474" s="9">
        <v>1267</v>
      </c>
      <c r="F1474" s="25">
        <v>42998</v>
      </c>
      <c r="G1474" s="70" t="s">
        <v>292</v>
      </c>
      <c r="H1474" s="9"/>
      <c r="I1474" s="8"/>
      <c r="J1474" s="8"/>
      <c r="K1474" s="8"/>
      <c r="L1474" s="8"/>
      <c r="M1474" s="8"/>
    </row>
    <row r="1475" spans="1:13">
      <c r="A1475" s="71" t="s">
        <v>2437</v>
      </c>
      <c r="B1475" s="67">
        <v>18464307802</v>
      </c>
      <c r="C1475" s="72" t="s">
        <v>2438</v>
      </c>
      <c r="D1475" s="69">
        <v>13642437842</v>
      </c>
      <c r="E1475" s="9">
        <v>608</v>
      </c>
      <c r="F1475" s="25">
        <v>43012</v>
      </c>
      <c r="G1475" s="70" t="s">
        <v>298</v>
      </c>
      <c r="H1475" s="9"/>
      <c r="I1475" s="8"/>
      <c r="J1475" s="8"/>
      <c r="K1475" s="8"/>
      <c r="L1475" s="8"/>
      <c r="M1475" s="8"/>
    </row>
    <row r="1476" spans="1:13">
      <c r="A1476" s="71" t="s">
        <v>2439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292</v>
      </c>
      <c r="H1476" s="9"/>
      <c r="I1476" s="8"/>
      <c r="J1476" s="8"/>
      <c r="K1476" s="8"/>
      <c r="L1476" s="8"/>
      <c r="M1476" s="8"/>
    </row>
    <row r="1477" spans="1:13">
      <c r="A1477" s="71" t="s">
        <v>2440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292</v>
      </c>
      <c r="H1477" s="9"/>
      <c r="I1477" s="8"/>
      <c r="J1477" s="8"/>
      <c r="K1477" s="8"/>
      <c r="L1477" s="8"/>
      <c r="M1477" s="8"/>
    </row>
    <row r="1478" spans="1:13">
      <c r="A1478" s="71" t="s">
        <v>2441</v>
      </c>
      <c r="B1478" s="67">
        <v>91413168515</v>
      </c>
      <c r="C1478" s="72" t="s">
        <v>2442</v>
      </c>
      <c r="D1478" s="69">
        <v>12713438861</v>
      </c>
      <c r="E1478" s="9">
        <v>810</v>
      </c>
      <c r="F1478" s="25">
        <v>42915</v>
      </c>
      <c r="G1478" s="70" t="s">
        <v>292</v>
      </c>
      <c r="H1478" s="9"/>
      <c r="I1478" s="8"/>
      <c r="J1478" s="8"/>
      <c r="K1478" s="8"/>
      <c r="L1478" s="9" t="s">
        <v>411</v>
      </c>
      <c r="M1478" s="8"/>
    </row>
    <row r="1479" spans="1:13">
      <c r="A1479" s="72" t="s">
        <v>2443</v>
      </c>
      <c r="B1479" s="67">
        <v>13554461806</v>
      </c>
      <c r="C1479" s="72" t="s">
        <v>2444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>
      <c r="A1480" s="71" t="s">
        <v>2445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292</v>
      </c>
      <c r="H1480" s="9"/>
      <c r="I1480" s="8"/>
      <c r="J1480" s="8"/>
      <c r="K1480" s="8"/>
      <c r="L1480" s="9">
        <v>232</v>
      </c>
      <c r="M1480" s="8"/>
    </row>
    <row r="1481" spans="1:13">
      <c r="A1481" s="71" t="s">
        <v>2446</v>
      </c>
      <c r="B1481" s="67">
        <v>23473313882</v>
      </c>
      <c r="C1481" s="72" t="s">
        <v>2447</v>
      </c>
      <c r="D1481" s="69">
        <v>51042797404</v>
      </c>
      <c r="E1481" s="9">
        <v>485</v>
      </c>
      <c r="F1481" s="25">
        <v>43196</v>
      </c>
      <c r="G1481" s="70" t="s">
        <v>298</v>
      </c>
      <c r="H1481" s="9"/>
      <c r="I1481" s="8"/>
      <c r="J1481" s="8"/>
      <c r="K1481" s="8"/>
      <c r="L1481" s="9">
        <v>483</v>
      </c>
      <c r="M1481" s="8"/>
    </row>
    <row r="1482" spans="1:13">
      <c r="A1482" s="13" t="s">
        <v>2448</v>
      </c>
      <c r="B1482" s="67">
        <v>7753877895</v>
      </c>
      <c r="C1482" s="68" t="s">
        <v>2449</v>
      </c>
      <c r="D1482" s="69">
        <v>66725372872</v>
      </c>
      <c r="E1482" s="9">
        <v>1214</v>
      </c>
      <c r="F1482" s="25">
        <v>42989</v>
      </c>
      <c r="G1482" s="70" t="s">
        <v>292</v>
      </c>
      <c r="H1482" s="9"/>
      <c r="I1482" s="8"/>
      <c r="J1482" s="8"/>
      <c r="K1482" s="8"/>
      <c r="L1482" s="8"/>
      <c r="M1482" s="8"/>
    </row>
    <row r="1483" spans="1:13">
      <c r="A1483" s="71" t="s">
        <v>2450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>
      <c r="A1484" s="71" t="s">
        <v>2451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292</v>
      </c>
      <c r="H1484" s="9"/>
      <c r="I1484" s="8"/>
      <c r="J1484" s="8"/>
      <c r="K1484" s="8"/>
      <c r="L1484" s="9" t="s">
        <v>411</v>
      </c>
      <c r="M1484" s="8"/>
    </row>
    <row r="1485" spans="1:13">
      <c r="A1485" s="71" t="s">
        <v>2452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292</v>
      </c>
      <c r="H1485" s="9"/>
      <c r="I1485" s="8"/>
      <c r="J1485" s="8"/>
      <c r="K1485" s="8"/>
      <c r="L1485" s="9" t="s">
        <v>411</v>
      </c>
      <c r="M1485" s="8"/>
    </row>
    <row r="1486" spans="1:13">
      <c r="A1486" s="13" t="s">
        <v>2453</v>
      </c>
      <c r="B1486" s="67">
        <v>40779583850</v>
      </c>
      <c r="C1486" s="68" t="s">
        <v>2454</v>
      </c>
      <c r="D1486" s="69">
        <v>36411481890</v>
      </c>
      <c r="E1486" s="9">
        <v>1343</v>
      </c>
      <c r="F1486" s="25">
        <v>43004</v>
      </c>
      <c r="G1486" s="70" t="s">
        <v>292</v>
      </c>
      <c r="H1486" s="9"/>
      <c r="I1486" s="8"/>
      <c r="J1486" s="8"/>
      <c r="K1486" s="8"/>
      <c r="L1486" s="8"/>
      <c r="M1486" s="8"/>
    </row>
    <row r="1487" spans="1:13">
      <c r="A1487" s="29" t="s">
        <v>2455</v>
      </c>
      <c r="B1487" s="67"/>
      <c r="C1487" s="29" t="s">
        <v>402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>
      <c r="A1488" s="71" t="s">
        <v>2456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>
      <c r="A1489" s="71" t="s">
        <v>2457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292</v>
      </c>
      <c r="H1489" s="9"/>
      <c r="I1489" s="8"/>
      <c r="J1489" s="8"/>
      <c r="K1489" s="8"/>
      <c r="L1489" s="9" t="s">
        <v>411</v>
      </c>
      <c r="M1489" s="8"/>
    </row>
    <row r="1490" spans="1:13">
      <c r="A1490" s="15" t="s">
        <v>2458</v>
      </c>
      <c r="B1490" s="67">
        <v>45854900866</v>
      </c>
      <c r="C1490" s="72" t="s">
        <v>2459</v>
      </c>
      <c r="D1490" s="69">
        <v>23474048813</v>
      </c>
      <c r="E1490" s="9">
        <v>229</v>
      </c>
      <c r="F1490" s="25">
        <v>43151</v>
      </c>
      <c r="G1490" s="70" t="s">
        <v>292</v>
      </c>
      <c r="H1490" s="9"/>
      <c r="I1490" s="8"/>
      <c r="J1490" s="8"/>
      <c r="K1490" s="8"/>
      <c r="L1490" s="9">
        <v>232</v>
      </c>
      <c r="M1490" s="8"/>
    </row>
    <row r="1491" spans="1:13">
      <c r="A1491" s="71" t="s">
        <v>2460</v>
      </c>
      <c r="B1491" s="67">
        <v>40870285858</v>
      </c>
      <c r="C1491" s="72" t="s">
        <v>2461</v>
      </c>
      <c r="D1491" s="69">
        <v>39638342854</v>
      </c>
      <c r="E1491" s="9">
        <v>229</v>
      </c>
      <c r="F1491" s="25">
        <v>43151</v>
      </c>
      <c r="G1491" s="70" t="s">
        <v>306</v>
      </c>
      <c r="H1491" s="9"/>
      <c r="I1491" s="8"/>
      <c r="J1491" s="8"/>
      <c r="K1491" s="8"/>
      <c r="L1491" s="9">
        <v>232</v>
      </c>
      <c r="M1491" s="8"/>
    </row>
    <row r="1492" spans="1:13">
      <c r="A1492" s="72" t="s">
        <v>2462</v>
      </c>
      <c r="B1492" s="67">
        <v>43053164809</v>
      </c>
      <c r="C1492" s="71" t="s">
        <v>2463</v>
      </c>
      <c r="D1492" s="69">
        <v>35649973857</v>
      </c>
      <c r="E1492" s="9">
        <v>292</v>
      </c>
      <c r="F1492" s="25">
        <v>43168</v>
      </c>
      <c r="G1492" s="70" t="s">
        <v>298</v>
      </c>
      <c r="H1492" s="9"/>
      <c r="I1492" s="8"/>
      <c r="J1492" s="8"/>
      <c r="K1492" s="8"/>
      <c r="L1492" s="9">
        <v>318</v>
      </c>
      <c r="M1492" s="8"/>
    </row>
    <row r="1493" spans="1:13">
      <c r="A1493" s="71" t="s">
        <v>2464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>
      <c r="A1494" s="15" t="s">
        <v>2465</v>
      </c>
      <c r="B1494" s="67">
        <v>34727823829</v>
      </c>
      <c r="C1494" s="72" t="s">
        <v>2466</v>
      </c>
      <c r="D1494" s="69">
        <v>33790197807</v>
      </c>
      <c r="E1494" s="9">
        <v>262</v>
      </c>
      <c r="F1494" s="25">
        <v>43160</v>
      </c>
      <c r="G1494" s="70" t="s">
        <v>298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>
      <c r="A1495" s="71" t="s">
        <v>2467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>
      <c r="A1496" s="71" t="s">
        <v>2468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292</v>
      </c>
      <c r="H1496" s="9"/>
      <c r="I1496" s="8"/>
      <c r="J1496" s="8"/>
      <c r="K1496" s="8"/>
      <c r="L1496" s="9">
        <v>318</v>
      </c>
      <c r="M1496" s="8"/>
    </row>
    <row r="1497" spans="1:13">
      <c r="A1497" s="72" t="s">
        <v>2469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>
      <c r="A1498" s="15" t="s">
        <v>2470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292</v>
      </c>
      <c r="H1498" s="25">
        <v>43151</v>
      </c>
      <c r="I1498" s="8"/>
      <c r="J1498" s="8"/>
      <c r="K1498" s="8"/>
      <c r="L1498" s="8"/>
      <c r="M1498" s="8"/>
    </row>
    <row r="1499" spans="1:13">
      <c r="A1499" s="71" t="s">
        <v>2471</v>
      </c>
      <c r="B1499" s="67">
        <v>13576812830</v>
      </c>
      <c r="C1499" s="72" t="s">
        <v>2472</v>
      </c>
      <c r="D1499" s="69">
        <v>1075554845</v>
      </c>
      <c r="E1499" s="9">
        <v>1489</v>
      </c>
      <c r="F1499" s="25">
        <v>43038</v>
      </c>
      <c r="G1499" s="70" t="s">
        <v>292</v>
      </c>
      <c r="H1499" s="9"/>
      <c r="I1499" s="8"/>
      <c r="J1499" s="8"/>
      <c r="K1499" s="8"/>
      <c r="L1499" s="9" t="s">
        <v>433</v>
      </c>
      <c r="M1499" s="8"/>
    </row>
    <row r="1500" spans="1:13">
      <c r="A1500" s="71" t="s">
        <v>2473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>
      <c r="A1501" s="71" t="s">
        <v>2474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>
      <c r="A1502" s="71" t="s">
        <v>2475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292</v>
      </c>
      <c r="H1502" s="9"/>
      <c r="I1502" s="8"/>
      <c r="J1502" s="8"/>
      <c r="K1502" s="8"/>
      <c r="L1502" s="9" t="s">
        <v>411</v>
      </c>
      <c r="M1502" s="8"/>
    </row>
    <row r="1503" spans="1:13">
      <c r="A1503" s="71" t="s">
        <v>2476</v>
      </c>
      <c r="B1503" s="67">
        <v>42490041800</v>
      </c>
      <c r="C1503" s="71" t="s">
        <v>2477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>
      <c r="A1504" s="71" t="s">
        <v>2478</v>
      </c>
      <c r="B1504" s="67">
        <v>37150144829</v>
      </c>
      <c r="C1504" s="72" t="s">
        <v>2479</v>
      </c>
      <c r="D1504" s="69">
        <v>33420633866</v>
      </c>
      <c r="E1504" s="9">
        <v>1417</v>
      </c>
      <c r="F1504" s="25">
        <v>43017</v>
      </c>
      <c r="G1504" s="70" t="s">
        <v>306</v>
      </c>
      <c r="H1504" s="9"/>
      <c r="I1504" s="8"/>
      <c r="J1504" s="8"/>
      <c r="K1504" s="8"/>
      <c r="L1504" s="9" t="s">
        <v>526</v>
      </c>
      <c r="M1504" s="8"/>
    </row>
    <row r="1505" spans="1:13">
      <c r="A1505" s="71" t="s">
        <v>2480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>
      <c r="A1506" s="71" t="s">
        <v>2481</v>
      </c>
      <c r="B1506" s="67">
        <v>95482300544</v>
      </c>
      <c r="C1506" s="72" t="s">
        <v>2482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>
      <c r="A1507" s="15" t="s">
        <v>2483</v>
      </c>
      <c r="B1507" s="67">
        <v>3915987590</v>
      </c>
      <c r="C1507" s="72" t="s">
        <v>2484</v>
      </c>
      <c r="D1507" s="69">
        <v>1733607501</v>
      </c>
      <c r="E1507" s="9">
        <v>85</v>
      </c>
      <c r="F1507" s="25">
        <v>43109</v>
      </c>
      <c r="G1507" s="70" t="s">
        <v>292</v>
      </c>
      <c r="H1507" s="25">
        <v>43151</v>
      </c>
      <c r="I1507" s="8"/>
      <c r="J1507" s="8"/>
      <c r="K1507" s="8"/>
      <c r="L1507" s="8"/>
      <c r="M1507" s="8"/>
    </row>
    <row r="1508" spans="1:13">
      <c r="A1508" s="71" t="s">
        <v>2485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292</v>
      </c>
      <c r="H1508" s="9"/>
      <c r="I1508" s="8"/>
      <c r="J1508" s="8"/>
      <c r="K1508" s="8"/>
      <c r="L1508" s="9" t="s">
        <v>775</v>
      </c>
      <c r="M1508" s="8"/>
    </row>
    <row r="1509" spans="1:13">
      <c r="A1509" s="71" t="s">
        <v>2486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292</v>
      </c>
      <c r="H1509" s="9"/>
      <c r="I1509" s="8"/>
      <c r="J1509" s="8"/>
      <c r="K1509" s="8"/>
      <c r="L1509" s="9" t="s">
        <v>443</v>
      </c>
      <c r="M1509" s="8"/>
    </row>
    <row r="1510" spans="1:13">
      <c r="A1510" s="29" t="s">
        <v>2487</v>
      </c>
      <c r="B1510" s="67"/>
      <c r="C1510" s="18" t="s">
        <v>402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>
      <c r="A1511" s="81" t="s">
        <v>2488</v>
      </c>
      <c r="B1511" s="80">
        <v>39490354864</v>
      </c>
      <c r="C1511" s="81" t="s">
        <v>2489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>
      <c r="A1512" s="71" t="s">
        <v>2490</v>
      </c>
      <c r="B1512" s="67">
        <v>36190827829</v>
      </c>
      <c r="C1512" s="72" t="s">
        <v>2491</v>
      </c>
      <c r="D1512" s="69">
        <v>6501914809</v>
      </c>
      <c r="E1512" s="9">
        <v>1489</v>
      </c>
      <c r="F1512" s="25">
        <v>43038</v>
      </c>
      <c r="G1512" s="70" t="s">
        <v>292</v>
      </c>
      <c r="H1512" s="9"/>
      <c r="I1512" s="8"/>
      <c r="J1512" s="8"/>
      <c r="K1512" s="8"/>
      <c r="L1512" s="9" t="s">
        <v>433</v>
      </c>
      <c r="M1512" s="8"/>
    </row>
    <row r="1513" spans="1:13">
      <c r="A1513" s="71" t="s">
        <v>2492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292</v>
      </c>
      <c r="H1513" s="9"/>
      <c r="I1513" s="8"/>
      <c r="J1513" s="8"/>
      <c r="K1513" s="8"/>
      <c r="L1513" s="9">
        <v>318</v>
      </c>
      <c r="M1513" s="8"/>
    </row>
    <row r="1514" spans="1:13">
      <c r="A1514" s="15" t="s">
        <v>2493</v>
      </c>
      <c r="B1514" s="67">
        <v>37978221890</v>
      </c>
      <c r="C1514" s="15" t="s">
        <v>2494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>
      <c r="A1515" s="71" t="s">
        <v>2495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572</v>
      </c>
      <c r="M1515" s="8"/>
    </row>
    <row r="1516" spans="1:13">
      <c r="A1516" s="71" t="s">
        <v>2496</v>
      </c>
      <c r="B1516" s="67">
        <v>23341671854</v>
      </c>
      <c r="C1516" s="72" t="s">
        <v>2497</v>
      </c>
      <c r="D1516" s="69">
        <v>34413431820</v>
      </c>
      <c r="E1516" s="9">
        <v>810</v>
      </c>
      <c r="F1516" s="25">
        <v>42915</v>
      </c>
      <c r="G1516" s="83" t="s">
        <v>292</v>
      </c>
      <c r="H1516" s="9"/>
      <c r="I1516" s="8"/>
      <c r="J1516" s="8"/>
      <c r="K1516" s="8"/>
      <c r="L1516" s="9" t="s">
        <v>411</v>
      </c>
      <c r="M1516" s="8"/>
    </row>
    <row r="1517" spans="1:13">
      <c r="A1517" s="71" t="s">
        <v>2498</v>
      </c>
      <c r="B1517" s="67">
        <v>35934079816</v>
      </c>
      <c r="C1517" s="72" t="s">
        <v>2499</v>
      </c>
      <c r="D1517" s="69">
        <v>2511538512</v>
      </c>
      <c r="E1517" s="9">
        <v>262</v>
      </c>
      <c r="F1517" s="25">
        <v>43160</v>
      </c>
      <c r="G1517" s="70" t="s">
        <v>292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>
      <c r="A1518" s="71" t="s">
        <v>2500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292</v>
      </c>
      <c r="H1518" s="9"/>
      <c r="I1518" s="8"/>
      <c r="J1518" s="8"/>
      <c r="K1518" s="8"/>
      <c r="L1518" s="9" t="s">
        <v>443</v>
      </c>
      <c r="M1518" s="8"/>
    </row>
    <row r="1519" spans="1:13">
      <c r="A1519" s="71" t="s">
        <v>2501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292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>
      <c r="A1520" s="73" t="s">
        <v>2502</v>
      </c>
      <c r="B1520" s="67">
        <v>37395316819</v>
      </c>
      <c r="C1520" s="72" t="s">
        <v>2503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>
      <c r="A1521" s="81" t="s">
        <v>2504</v>
      </c>
      <c r="B1521" s="80">
        <v>47168651854</v>
      </c>
      <c r="C1521" s="50" t="s">
        <v>2505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>
      <c r="A1522" s="71" t="s">
        <v>2506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>
      <c r="A1523" s="71" t="s">
        <v>2507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292</v>
      </c>
      <c r="H1523" s="9"/>
      <c r="I1523" s="8"/>
      <c r="J1523" s="8"/>
      <c r="K1523" s="8"/>
      <c r="L1523" s="9">
        <v>318</v>
      </c>
      <c r="M1523" s="8"/>
    </row>
    <row r="1524" spans="1:13">
      <c r="A1524" s="71" t="s">
        <v>2508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292</v>
      </c>
      <c r="H1524" s="9"/>
      <c r="I1524" s="8"/>
      <c r="J1524" s="8"/>
      <c r="K1524" s="8"/>
      <c r="L1524" s="9">
        <v>1828</v>
      </c>
      <c r="M1524" s="8"/>
    </row>
    <row r="1525" spans="1:13">
      <c r="A1525" s="71" t="s">
        <v>2509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>
      <c r="A1526" s="73" t="s">
        <v>2510</v>
      </c>
      <c r="B1526" s="67">
        <v>36776791848</v>
      </c>
      <c r="C1526" s="72" t="s">
        <v>2511</v>
      </c>
      <c r="D1526" s="69">
        <v>23340578869</v>
      </c>
      <c r="E1526" s="9">
        <v>608</v>
      </c>
      <c r="F1526" s="25">
        <v>43012</v>
      </c>
      <c r="G1526" s="70" t="s">
        <v>292</v>
      </c>
      <c r="H1526" s="9"/>
      <c r="I1526" s="8"/>
      <c r="J1526" s="8"/>
      <c r="K1526" s="8"/>
      <c r="L1526" s="8"/>
      <c r="M1526" s="8"/>
    </row>
    <row r="1527" spans="1:13">
      <c r="A1527" s="71" t="s">
        <v>2512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>
      <c r="A1528" s="71" t="s">
        <v>2513</v>
      </c>
      <c r="B1528" s="67">
        <v>32561817830</v>
      </c>
      <c r="C1528" s="72" t="s">
        <v>2514</v>
      </c>
      <c r="D1528" s="69">
        <v>30328335827</v>
      </c>
      <c r="E1528" s="9">
        <v>1824</v>
      </c>
      <c r="F1528" s="25">
        <v>43091</v>
      </c>
      <c r="G1528" s="70" t="s">
        <v>298</v>
      </c>
      <c r="H1528" s="9"/>
      <c r="I1528" s="8"/>
      <c r="J1528" s="8"/>
      <c r="K1528" s="8"/>
      <c r="L1528" s="9">
        <v>1828</v>
      </c>
      <c r="M1528" s="8"/>
    </row>
    <row r="1529" spans="1:13">
      <c r="A1529" s="13" t="s">
        <v>2515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292</v>
      </c>
      <c r="H1529" s="9"/>
      <c r="I1529" s="8"/>
      <c r="J1529" s="8"/>
      <c r="K1529" s="8"/>
      <c r="L1529" s="9">
        <v>1759</v>
      </c>
      <c r="M1529" s="8"/>
    </row>
    <row r="1530" spans="1:13">
      <c r="A1530" s="71" t="s">
        <v>2516</v>
      </c>
      <c r="B1530" s="67">
        <v>36044847829</v>
      </c>
      <c r="C1530" s="72" t="s">
        <v>2517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>
      <c r="A1531" s="71" t="s">
        <v>2518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>
      <c r="A1532" s="71" t="s">
        <v>2519</v>
      </c>
      <c r="B1532" s="67">
        <v>35070422820</v>
      </c>
      <c r="C1532" s="72" t="s">
        <v>2520</v>
      </c>
      <c r="D1532" s="69">
        <v>24871235831</v>
      </c>
      <c r="E1532" s="9">
        <v>292</v>
      </c>
      <c r="F1532" s="25">
        <v>43168</v>
      </c>
      <c r="G1532" s="70" t="s">
        <v>292</v>
      </c>
      <c r="H1532" s="9"/>
      <c r="I1532" s="8"/>
      <c r="J1532" s="8"/>
      <c r="K1532" s="8"/>
      <c r="L1532" s="9">
        <v>318</v>
      </c>
      <c r="M1532" s="8"/>
    </row>
    <row r="1533" spans="1:13">
      <c r="A1533" s="71" t="s">
        <v>2521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572</v>
      </c>
      <c r="M1533" s="8"/>
    </row>
    <row r="1534" spans="1:13">
      <c r="A1534" s="15" t="s">
        <v>2522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>
      <c r="A1535" s="29" t="s">
        <v>2523</v>
      </c>
      <c r="B1535" s="67"/>
      <c r="C1535" s="29" t="s">
        <v>2524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>
      <c r="A1536" s="13" t="s">
        <v>2525</v>
      </c>
      <c r="B1536" s="67">
        <v>47240915840</v>
      </c>
      <c r="C1536" s="72"/>
      <c r="D1536" s="69"/>
      <c r="E1536" s="9"/>
      <c r="F1536" s="25"/>
      <c r="G1536" s="70" t="s">
        <v>292</v>
      </c>
      <c r="H1536" s="76">
        <v>43213</v>
      </c>
      <c r="I1536" s="8"/>
      <c r="J1536" s="8"/>
      <c r="K1536" s="8"/>
      <c r="L1536" s="8"/>
      <c r="M1536" s="8"/>
    </row>
    <row r="1537" spans="1:13">
      <c r="A1537" s="29" t="s">
        <v>2526</v>
      </c>
      <c r="B1537" s="67"/>
      <c r="C1537" s="18" t="s">
        <v>402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>
      <c r="A1538" s="73" t="s">
        <v>2527</v>
      </c>
      <c r="B1538" s="67">
        <v>42424051895</v>
      </c>
      <c r="C1538" s="72" t="s">
        <v>2528</v>
      </c>
      <c r="D1538" s="69">
        <v>34920392869</v>
      </c>
      <c r="E1538" s="9">
        <v>1214</v>
      </c>
      <c r="F1538" s="25">
        <v>42989</v>
      </c>
      <c r="G1538" s="70" t="s">
        <v>292</v>
      </c>
      <c r="H1538" s="76">
        <v>43213</v>
      </c>
      <c r="I1538" s="8"/>
      <c r="J1538" s="8"/>
      <c r="K1538" s="8"/>
      <c r="L1538" s="8"/>
      <c r="M1538" s="8"/>
    </row>
    <row r="1539" spans="1:13">
      <c r="A1539" s="29" t="s">
        <v>2529</v>
      </c>
      <c r="B1539" s="67">
        <v>45298965873</v>
      </c>
      <c r="C1539" s="18" t="s">
        <v>402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>
      <c r="A1540" s="29" t="s">
        <v>2530</v>
      </c>
      <c r="B1540" s="67">
        <v>48176009857</v>
      </c>
      <c r="C1540" s="18" t="s">
        <v>402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>
      <c r="A1541" s="71" t="s">
        <v>2531</v>
      </c>
      <c r="B1541" s="67">
        <v>32645353860</v>
      </c>
      <c r="C1541" s="71" t="s">
        <v>2532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>
      <c r="A1542" s="71" t="s">
        <v>2533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292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>
      <c r="A1543" s="71" t="s">
        <v>2534</v>
      </c>
      <c r="B1543" s="67">
        <v>34899686897</v>
      </c>
      <c r="C1543" s="72" t="s">
        <v>2535</v>
      </c>
      <c r="D1543" s="69">
        <v>34782852835</v>
      </c>
      <c r="E1543" s="9">
        <v>810</v>
      </c>
      <c r="F1543" s="25">
        <v>42915</v>
      </c>
      <c r="G1543" s="70" t="s">
        <v>292</v>
      </c>
      <c r="H1543" s="76">
        <v>43213</v>
      </c>
      <c r="I1543" s="8"/>
      <c r="J1543" s="8"/>
      <c r="K1543" s="8"/>
      <c r="L1543" s="9" t="s">
        <v>411</v>
      </c>
      <c r="M1543" s="8"/>
    </row>
    <row r="1544" spans="1:13">
      <c r="A1544" s="71" t="s">
        <v>2536</v>
      </c>
      <c r="B1544" s="67">
        <v>39778910812</v>
      </c>
      <c r="C1544" s="68" t="s">
        <v>2537</v>
      </c>
      <c r="D1544" s="69">
        <v>34703237806</v>
      </c>
      <c r="E1544" s="9">
        <v>1128</v>
      </c>
      <c r="F1544" s="25">
        <v>42972</v>
      </c>
      <c r="G1544" s="70" t="s">
        <v>292</v>
      </c>
      <c r="H1544" s="9"/>
      <c r="I1544" s="8"/>
      <c r="J1544" s="8"/>
      <c r="K1544" s="8"/>
      <c r="L1544" s="8"/>
      <c r="M1544" s="8"/>
    </row>
    <row r="1545" spans="1:13">
      <c r="A1545" s="71" t="s">
        <v>2538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572</v>
      </c>
      <c r="M1545" s="8"/>
    </row>
    <row r="1546" spans="1:13">
      <c r="A1546" s="72" t="s">
        <v>2539</v>
      </c>
      <c r="B1546" s="67">
        <v>22429349884</v>
      </c>
      <c r="C1546" s="72" t="s">
        <v>2540</v>
      </c>
      <c r="D1546" s="69">
        <v>32307277897</v>
      </c>
      <c r="E1546" s="9">
        <v>1417</v>
      </c>
      <c r="F1546" s="25">
        <v>43017</v>
      </c>
      <c r="G1546" s="70" t="s">
        <v>292</v>
      </c>
      <c r="H1546" s="9"/>
      <c r="I1546" s="8"/>
      <c r="J1546" s="8"/>
      <c r="K1546" s="8"/>
      <c r="L1546" s="9" t="s">
        <v>526</v>
      </c>
      <c r="M1546" s="8"/>
    </row>
    <row r="1547" spans="1:13">
      <c r="A1547" s="13" t="s">
        <v>2541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292</v>
      </c>
      <c r="H1547" s="9"/>
      <c r="I1547" s="8"/>
      <c r="J1547" s="8"/>
      <c r="K1547" s="8"/>
      <c r="L1547" s="8"/>
      <c r="M1547" s="8"/>
    </row>
    <row r="1548" spans="1:13">
      <c r="A1548" s="71" t="s">
        <v>2542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572</v>
      </c>
      <c r="M1548" s="8"/>
    </row>
    <row r="1549" spans="1:13">
      <c r="A1549" s="15" t="s">
        <v>2543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292</v>
      </c>
      <c r="H1549" s="9"/>
      <c r="I1549" s="8"/>
      <c r="J1549" s="8"/>
      <c r="K1549" s="8"/>
      <c r="L1549" s="9" t="s">
        <v>443</v>
      </c>
      <c r="M1549" s="8"/>
    </row>
    <row r="1550" spans="1:13">
      <c r="A1550" s="15" t="s">
        <v>2544</v>
      </c>
      <c r="B1550" s="67">
        <v>7081215432</v>
      </c>
      <c r="C1550" s="15" t="s">
        <v>2545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572</v>
      </c>
      <c r="M1550" s="8"/>
    </row>
    <row r="1551" spans="1:13">
      <c r="A1551" s="71" t="s">
        <v>2546</v>
      </c>
      <c r="B1551" s="67">
        <v>37104895809</v>
      </c>
      <c r="C1551" s="72" t="s">
        <v>2547</v>
      </c>
      <c r="D1551" s="69">
        <v>34256763856</v>
      </c>
      <c r="E1551" s="9">
        <v>1752</v>
      </c>
      <c r="F1551" s="25">
        <v>43051</v>
      </c>
      <c r="G1551" s="70" t="s">
        <v>306</v>
      </c>
      <c r="H1551" s="9"/>
      <c r="I1551" s="8"/>
      <c r="J1551" s="8"/>
      <c r="K1551" s="8"/>
      <c r="L1551" s="9">
        <v>1759</v>
      </c>
      <c r="M1551" s="8"/>
    </row>
    <row r="1552" spans="1:13">
      <c r="A1552" s="29" t="s">
        <v>2548</v>
      </c>
      <c r="B1552" s="67"/>
      <c r="C1552" s="29" t="s">
        <v>402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>
      <c r="A1553" s="71" t="s">
        <v>2549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572</v>
      </c>
      <c r="M1553" s="8"/>
    </row>
    <row r="1554" spans="1:13">
      <c r="A1554" s="14" t="s">
        <v>2550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292</v>
      </c>
      <c r="H1554" s="9"/>
      <c r="I1554" s="8"/>
      <c r="J1554" s="8"/>
      <c r="K1554" s="8"/>
      <c r="L1554" s="9">
        <v>318</v>
      </c>
      <c r="M1554" s="8"/>
    </row>
    <row r="1555" spans="1:13">
      <c r="A1555" s="71" t="s">
        <v>2551</v>
      </c>
      <c r="B1555" s="67">
        <v>45862437835</v>
      </c>
      <c r="C1555" s="72" t="s">
        <v>2552</v>
      </c>
      <c r="D1555" s="69">
        <v>2301226280</v>
      </c>
      <c r="E1555" s="9">
        <v>1752</v>
      </c>
      <c r="F1555" s="25">
        <v>43051</v>
      </c>
      <c r="G1555" s="70" t="s">
        <v>292</v>
      </c>
      <c r="H1555" s="9"/>
      <c r="I1555" s="8"/>
      <c r="J1555" s="8"/>
      <c r="K1555" s="8"/>
      <c r="L1555" s="9">
        <v>1759</v>
      </c>
      <c r="M1555" s="8"/>
    </row>
    <row r="1556" spans="1:13">
      <c r="A1556" s="13" t="s">
        <v>2553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292</v>
      </c>
      <c r="H1556" s="9"/>
      <c r="I1556" s="8"/>
      <c r="J1556" s="8"/>
      <c r="K1556" s="8"/>
      <c r="L1556" s="8"/>
      <c r="M1556" s="8"/>
    </row>
    <row r="1557" spans="1:13">
      <c r="A1557" s="29" t="s">
        <v>2554</v>
      </c>
      <c r="B1557" s="67"/>
      <c r="C1557" s="29" t="s">
        <v>2555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>
      <c r="A1558" s="72" t="s">
        <v>2556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>
      <c r="A1559" s="71" t="s">
        <v>2557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572</v>
      </c>
      <c r="M1559" s="8"/>
    </row>
    <row r="1560" spans="1:13">
      <c r="A1560" s="71" t="s">
        <v>2558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292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>
      <c r="A1561" s="71" t="s">
        <v>2559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292</v>
      </c>
      <c r="H1561" s="9"/>
      <c r="I1561" s="8"/>
      <c r="J1561" s="8"/>
      <c r="K1561" s="8"/>
      <c r="L1561" s="8"/>
      <c r="M1561" s="8"/>
    </row>
    <row r="1562" spans="1:13">
      <c r="A1562" s="71" t="s">
        <v>2560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292</v>
      </c>
      <c r="H1562" s="9"/>
      <c r="I1562" s="8"/>
      <c r="J1562" s="8"/>
      <c r="K1562" s="8"/>
      <c r="L1562" s="9" t="s">
        <v>411</v>
      </c>
      <c r="M1562" s="8"/>
    </row>
    <row r="1563" spans="1:13">
      <c r="A1563" s="15" t="s">
        <v>2561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292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>
      <c r="A1564" s="71" t="s">
        <v>2562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292</v>
      </c>
      <c r="H1564" s="9"/>
      <c r="I1564" s="8"/>
      <c r="J1564" s="8"/>
      <c r="K1564" s="8"/>
      <c r="L1564" s="9">
        <v>318</v>
      </c>
      <c r="M1564" s="8"/>
    </row>
    <row r="1565" spans="1:13">
      <c r="A1565" s="71" t="s">
        <v>2563</v>
      </c>
      <c r="B1565" s="67">
        <v>33390811826</v>
      </c>
      <c r="C1565" s="72" t="s">
        <v>2564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>
      <c r="A1566" s="13" t="s">
        <v>2565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292</v>
      </c>
      <c r="H1566" s="9"/>
      <c r="I1566" s="8"/>
      <c r="J1566" s="8"/>
      <c r="K1566" s="8"/>
      <c r="L1566" s="9" t="s">
        <v>526</v>
      </c>
      <c r="M1566" s="8"/>
    </row>
    <row r="1567" spans="1:13">
      <c r="A1567" s="29" t="s">
        <v>2566</v>
      </c>
      <c r="B1567" s="67">
        <v>22173656813</v>
      </c>
      <c r="C1567" s="18" t="s">
        <v>402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>
      <c r="A1568" s="72" t="s">
        <v>2567</v>
      </c>
      <c r="B1568" s="67">
        <v>30690514808</v>
      </c>
      <c r="C1568" s="72" t="s">
        <v>2568</v>
      </c>
      <c r="D1568" s="69">
        <v>22622085818</v>
      </c>
      <c r="E1568" s="9">
        <v>423</v>
      </c>
      <c r="F1568" s="25">
        <v>43182</v>
      </c>
      <c r="G1568" s="9" t="s">
        <v>292</v>
      </c>
      <c r="H1568" s="9"/>
      <c r="I1568" s="8"/>
      <c r="J1568" s="8"/>
      <c r="K1568" s="8"/>
      <c r="L1568" s="8"/>
      <c r="M1568" s="8"/>
    </row>
    <row r="1569" spans="1:13">
      <c r="A1569" s="71" t="s">
        <v>2569</v>
      </c>
      <c r="B1569" s="67">
        <v>43901748865</v>
      </c>
      <c r="C1569" s="72" t="s">
        <v>2570</v>
      </c>
      <c r="D1569" s="69">
        <v>34818027812</v>
      </c>
      <c r="E1569" s="9">
        <v>1824</v>
      </c>
      <c r="F1569" s="25">
        <v>43091</v>
      </c>
      <c r="G1569" s="70" t="s">
        <v>292</v>
      </c>
      <c r="H1569" s="9"/>
      <c r="I1569" s="8"/>
      <c r="J1569" s="8"/>
      <c r="K1569" s="8"/>
      <c r="L1569" s="9">
        <v>1828</v>
      </c>
      <c r="M1569" s="8"/>
    </row>
    <row r="1570" spans="1:13">
      <c r="A1570" s="29" t="s">
        <v>2571</v>
      </c>
      <c r="B1570" s="67"/>
      <c r="C1570" s="18" t="s">
        <v>402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>
      <c r="A1571" s="72" t="s">
        <v>2572</v>
      </c>
      <c r="B1571" s="67">
        <v>5212444390</v>
      </c>
      <c r="C1571" s="15" t="s">
        <v>2573</v>
      </c>
      <c r="D1571" s="69">
        <v>2231738350</v>
      </c>
      <c r="E1571" s="9">
        <v>292</v>
      </c>
      <c r="F1571" s="25">
        <v>43168</v>
      </c>
      <c r="G1571" s="70" t="s">
        <v>292</v>
      </c>
      <c r="H1571" s="9"/>
      <c r="I1571" s="8"/>
      <c r="J1571" s="8"/>
      <c r="K1571" s="8"/>
      <c r="L1571" s="9">
        <v>318</v>
      </c>
      <c r="M1571" s="8"/>
    </row>
    <row r="1572" spans="1:13">
      <c r="A1572" s="71" t="s">
        <v>2574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>
      <c r="A1573" s="71" t="s">
        <v>2575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292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>
      <c r="A1574" s="14" t="s">
        <v>2576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>
      <c r="A1575" s="71" t="s">
        <v>2577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292</v>
      </c>
      <c r="H1575" s="9"/>
      <c r="I1575" s="8"/>
      <c r="J1575" s="8"/>
      <c r="K1575" s="8"/>
      <c r="L1575" s="9" t="s">
        <v>411</v>
      </c>
      <c r="M1575" s="8"/>
    </row>
    <row r="1576" spans="1:13">
      <c r="A1576" s="71" t="s">
        <v>2578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292</v>
      </c>
      <c r="H1576" s="9"/>
      <c r="I1576" s="8"/>
      <c r="J1576" s="8"/>
      <c r="K1576" s="8"/>
      <c r="L1576" s="8"/>
      <c r="M1576" s="8"/>
    </row>
    <row r="1577" spans="1:13">
      <c r="A1577" s="71" t="s">
        <v>2579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>
      <c r="A1578" s="71" t="s">
        <v>2580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>
      <c r="A1579" s="71" t="s">
        <v>2581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>
      <c r="A1580" s="29" t="s">
        <v>2582</v>
      </c>
      <c r="B1580" s="67">
        <v>88436144520</v>
      </c>
      <c r="C1580" s="29" t="s">
        <v>402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>
      <c r="A1581" s="72" t="s">
        <v>2583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>
      <c r="A1582" s="71" t="s">
        <v>2584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292</v>
      </c>
      <c r="H1582" s="9"/>
      <c r="I1582" s="8"/>
      <c r="J1582" s="8"/>
      <c r="K1582" s="8"/>
      <c r="L1582" s="8"/>
      <c r="M1582" s="8"/>
    </row>
    <row r="1583" spans="1:13">
      <c r="A1583" s="72" t="s">
        <v>2585</v>
      </c>
      <c r="B1583" s="67">
        <v>4967493580</v>
      </c>
      <c r="C1583" s="15" t="s">
        <v>2586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>
      <c r="A1584" s="15" t="s">
        <v>2587</v>
      </c>
      <c r="B1584" s="67">
        <v>28043649847</v>
      </c>
      <c r="C1584" s="72" t="s">
        <v>2588</v>
      </c>
      <c r="D1584" s="69">
        <v>37064432870</v>
      </c>
      <c r="E1584" s="9">
        <v>117</v>
      </c>
      <c r="F1584" s="25">
        <v>43117</v>
      </c>
      <c r="G1584" s="70" t="s">
        <v>292</v>
      </c>
      <c r="H1584" s="9"/>
      <c r="I1584" s="8"/>
      <c r="J1584" s="8"/>
      <c r="K1584" s="8"/>
      <c r="L1584" s="9" t="s">
        <v>443</v>
      </c>
      <c r="M1584" s="8"/>
    </row>
    <row r="1585" spans="1:13">
      <c r="A1585" s="71" t="s">
        <v>2589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292</v>
      </c>
      <c r="H1585" s="9"/>
      <c r="I1585" s="8"/>
      <c r="J1585" s="8"/>
      <c r="K1585" s="8"/>
      <c r="L1585" s="9" t="s">
        <v>411</v>
      </c>
      <c r="M1585" s="8"/>
    </row>
    <row r="1586" spans="1:13">
      <c r="A1586" s="73" t="s">
        <v>2590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292</v>
      </c>
      <c r="H1586" s="9"/>
      <c r="I1586" s="8"/>
      <c r="J1586" s="8"/>
      <c r="K1586" s="8"/>
      <c r="L1586" s="8"/>
      <c r="M1586" s="8"/>
    </row>
    <row r="1587" spans="1:13">
      <c r="A1587" s="15" t="s">
        <v>2591</v>
      </c>
      <c r="B1587" s="67">
        <v>45671290325</v>
      </c>
      <c r="C1587" s="72" t="s">
        <v>2592</v>
      </c>
      <c r="D1587" s="69">
        <v>13019071895</v>
      </c>
      <c r="E1587" s="9">
        <v>117</v>
      </c>
      <c r="F1587" s="25">
        <v>43117</v>
      </c>
      <c r="G1587" s="70" t="s">
        <v>306</v>
      </c>
      <c r="H1587" s="9"/>
      <c r="I1587" s="8"/>
      <c r="J1587" s="8"/>
      <c r="K1587" s="8"/>
      <c r="L1587" s="9" t="s">
        <v>443</v>
      </c>
      <c r="M1587" s="8"/>
    </row>
    <row r="1588" spans="1:13">
      <c r="A1588" s="13" t="s">
        <v>2593</v>
      </c>
      <c r="B1588" s="67">
        <v>7677424864</v>
      </c>
      <c r="C1588" s="72" t="s">
        <v>2594</v>
      </c>
      <c r="D1588" s="69">
        <v>6128186831</v>
      </c>
      <c r="E1588" s="9">
        <v>1570</v>
      </c>
      <c r="F1588" s="25">
        <v>43077</v>
      </c>
      <c r="G1588" s="70" t="s">
        <v>292</v>
      </c>
      <c r="H1588" s="9"/>
      <c r="I1588" s="8"/>
      <c r="J1588" s="8"/>
      <c r="K1588" s="8"/>
      <c r="L1588" s="8"/>
      <c r="M1588" s="8"/>
    </row>
    <row r="1589" spans="1:13">
      <c r="A1589" s="13" t="s">
        <v>2595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>
      <c r="A1590" s="15" t="s">
        <v>2596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292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>
      <c r="A1591" s="71" t="s">
        <v>2597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292</v>
      </c>
      <c r="H1591" s="9"/>
      <c r="I1591" s="8"/>
      <c r="J1591" s="8"/>
      <c r="K1591" s="8"/>
      <c r="L1591" s="9">
        <v>1828</v>
      </c>
      <c r="M1591" s="8"/>
    </row>
    <row r="1592" spans="1:13">
      <c r="A1592" s="15" t="s">
        <v>2598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>
      <c r="A1593" s="71" t="s">
        <v>2599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292</v>
      </c>
      <c r="H1593" s="9"/>
      <c r="I1593" s="8"/>
      <c r="J1593" s="8"/>
      <c r="K1593" s="8"/>
      <c r="L1593" s="9">
        <v>1828</v>
      </c>
      <c r="M1593" s="8"/>
    </row>
    <row r="1594" spans="1:13">
      <c r="A1594" s="29" t="s">
        <v>2600</v>
      </c>
      <c r="B1594" s="67"/>
      <c r="C1594" s="29" t="s">
        <v>402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>
      <c r="A1595" s="15" t="s">
        <v>2601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292</v>
      </c>
      <c r="H1595" s="9"/>
      <c r="I1595" s="8"/>
      <c r="J1595" s="8"/>
      <c r="K1595" s="8"/>
      <c r="L1595" s="9">
        <v>318</v>
      </c>
      <c r="M1595" s="8"/>
    </row>
    <row r="1596" spans="1:13">
      <c r="A1596" s="29" t="s">
        <v>2602</v>
      </c>
      <c r="B1596" s="67">
        <v>47555303850</v>
      </c>
      <c r="C1596" s="18" t="s">
        <v>402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>
      <c r="A1597" s="71" t="s">
        <v>2603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292</v>
      </c>
      <c r="H1597" s="9"/>
      <c r="I1597" s="8"/>
      <c r="J1597" s="8"/>
      <c r="K1597" s="8"/>
      <c r="L1597" s="9">
        <v>318</v>
      </c>
      <c r="M1597" s="8"/>
    </row>
    <row r="1598" spans="1:13">
      <c r="A1598" s="71" t="s">
        <v>2604</v>
      </c>
      <c r="B1598" s="67">
        <v>25966733805</v>
      </c>
      <c r="C1598" s="72" t="s">
        <v>2605</v>
      </c>
      <c r="D1598" s="69">
        <v>19681706854</v>
      </c>
      <c r="E1598" s="9">
        <v>1752</v>
      </c>
      <c r="F1598" s="25">
        <v>43051</v>
      </c>
      <c r="G1598" s="70" t="s">
        <v>298</v>
      </c>
      <c r="H1598" s="9"/>
      <c r="I1598" s="8"/>
      <c r="J1598" s="8"/>
      <c r="K1598" s="8"/>
      <c r="L1598" s="9">
        <v>1759</v>
      </c>
      <c r="M1598" s="8"/>
    </row>
    <row r="1599" spans="1:13">
      <c r="A1599" s="71" t="s">
        <v>2606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292</v>
      </c>
      <c r="H1599" s="25">
        <v>43151</v>
      </c>
      <c r="I1599" s="8"/>
      <c r="J1599" s="8"/>
      <c r="K1599" s="8"/>
      <c r="L1599" s="8"/>
      <c r="M1599" s="8"/>
    </row>
    <row r="1600" spans="1:13">
      <c r="A1600" s="72" t="s">
        <v>2607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292</v>
      </c>
      <c r="H1600" s="9"/>
      <c r="I1600" s="8"/>
      <c r="J1600" s="8"/>
      <c r="K1600" s="8"/>
      <c r="L1600" s="9">
        <v>318</v>
      </c>
      <c r="M1600" s="8"/>
    </row>
    <row r="1601" spans="1:13">
      <c r="A1601" s="13" t="s">
        <v>2608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>
      <c r="A1602" s="14" t="s">
        <v>2609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292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>
      <c r="A1603" s="18" t="s">
        <v>2610</v>
      </c>
      <c r="B1603" s="67">
        <v>32448230846</v>
      </c>
      <c r="C1603" s="18" t="s">
        <v>2611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>
      <c r="A1604" s="18" t="s">
        <v>2612</v>
      </c>
      <c r="B1604" s="67">
        <v>56151250559</v>
      </c>
      <c r="C1604" s="18" t="s">
        <v>2613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>
      <c r="A1605" s="72" t="s">
        <v>2614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292</v>
      </c>
      <c r="H1605" s="9"/>
      <c r="I1605" s="8"/>
      <c r="J1605" s="8"/>
      <c r="K1605" s="8"/>
      <c r="L1605" s="9">
        <v>318</v>
      </c>
      <c r="M1605" s="8"/>
    </row>
    <row r="1606" spans="1:13">
      <c r="A1606" s="71" t="s">
        <v>2615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>
      <c r="A1607" s="15" t="s">
        <v>2616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292</v>
      </c>
      <c r="H1607" s="25">
        <v>43151</v>
      </c>
      <c r="I1607" s="8"/>
      <c r="J1607" s="8"/>
      <c r="K1607" s="8"/>
      <c r="L1607" s="8"/>
      <c r="M1607" s="8"/>
    </row>
    <row r="1608" spans="1:13">
      <c r="A1608" s="71" t="s">
        <v>2617</v>
      </c>
      <c r="B1608" s="67">
        <v>36713930840</v>
      </c>
      <c r="C1608" s="68" t="s">
        <v>2618</v>
      </c>
      <c r="D1608" s="69">
        <v>30171047885</v>
      </c>
      <c r="E1608" s="9">
        <v>1128</v>
      </c>
      <c r="F1608" s="25">
        <v>42972</v>
      </c>
      <c r="G1608" s="70" t="s">
        <v>292</v>
      </c>
      <c r="H1608" s="9"/>
      <c r="I1608" s="8"/>
      <c r="J1608" s="8"/>
      <c r="K1608" s="8"/>
      <c r="L1608" s="8"/>
      <c r="M1608" s="8"/>
    </row>
    <row r="1609" spans="1:13">
      <c r="A1609" s="29" t="s">
        <v>2619</v>
      </c>
      <c r="B1609" s="67">
        <v>37138221827</v>
      </c>
      <c r="C1609" s="29" t="s">
        <v>2620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>
      <c r="A1610" s="71" t="s">
        <v>2621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292</v>
      </c>
      <c r="H1610" s="9"/>
      <c r="I1610" s="8"/>
      <c r="J1610" s="8"/>
      <c r="K1610" s="8"/>
      <c r="L1610" s="8"/>
      <c r="M1610" s="8"/>
    </row>
    <row r="1611" spans="1:13">
      <c r="A1611" s="71" t="s">
        <v>2622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292</v>
      </c>
      <c r="H1611" s="9"/>
      <c r="I1611" s="8"/>
      <c r="J1611" s="8"/>
      <c r="K1611" s="8"/>
      <c r="L1611" s="8"/>
      <c r="M1611" s="8"/>
    </row>
    <row r="1612" spans="1:13">
      <c r="A1612" s="71" t="s">
        <v>2623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292</v>
      </c>
      <c r="H1612" s="9"/>
      <c r="I1612" s="8"/>
      <c r="J1612" s="8"/>
      <c r="K1612" s="8"/>
      <c r="L1612" s="9">
        <v>1759</v>
      </c>
      <c r="M1612" s="8"/>
    </row>
    <row r="1613" spans="1:13">
      <c r="A1613" s="71" t="s">
        <v>2624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>
      <c r="A1614" s="71" t="s">
        <v>2625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292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>
      <c r="A1615" s="71" t="s">
        <v>2626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292</v>
      </c>
      <c r="H1615" s="9"/>
      <c r="I1615" s="8"/>
      <c r="J1615" s="8"/>
      <c r="K1615" s="8"/>
      <c r="L1615" s="9">
        <v>1759</v>
      </c>
      <c r="M1615" s="8"/>
    </row>
    <row r="1616" spans="1:13">
      <c r="A1616" s="71" t="s">
        <v>2627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292</v>
      </c>
      <c r="H1616" s="9"/>
      <c r="I1616" s="8"/>
      <c r="J1616" s="8"/>
      <c r="K1616" s="8"/>
      <c r="L1616" s="9">
        <v>1828</v>
      </c>
      <c r="M1616" s="8"/>
    </row>
    <row r="1617" spans="1:13">
      <c r="A1617" s="71" t="s">
        <v>2628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>
      <c r="A1618" s="71" t="s">
        <v>2629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292</v>
      </c>
      <c r="H1618" s="9"/>
      <c r="I1618" s="8"/>
      <c r="J1618" s="8"/>
      <c r="K1618" s="8"/>
      <c r="L1618" s="9" t="s">
        <v>411</v>
      </c>
      <c r="M1618" s="8"/>
    </row>
    <row r="1619" spans="1:13">
      <c r="A1619" s="71" t="s">
        <v>2630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292</v>
      </c>
      <c r="H1619" s="25">
        <v>43151</v>
      </c>
      <c r="I1619" s="8"/>
      <c r="J1619" s="8"/>
      <c r="K1619" s="8"/>
      <c r="L1619" s="8"/>
      <c r="M1619" s="8"/>
    </row>
    <row r="1620" spans="1:13">
      <c r="A1620" s="72" t="s">
        <v>2631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292</v>
      </c>
      <c r="H1620" s="9"/>
      <c r="I1620" s="8"/>
      <c r="J1620" s="8"/>
      <c r="K1620" s="8"/>
      <c r="L1620" s="9">
        <v>318</v>
      </c>
      <c r="M1620" s="8"/>
    </row>
    <row r="1621" spans="1:13">
      <c r="A1621" s="71" t="s">
        <v>2632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>
      <c r="A1622" s="71" t="s">
        <v>2633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>
      <c r="A1623" s="71" t="s">
        <v>2634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292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>
      <c r="A1624" s="71" t="s">
        <v>2635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>
      <c r="A1625" s="71" t="s">
        <v>2636</v>
      </c>
      <c r="B1625" s="67">
        <v>37338189897</v>
      </c>
      <c r="C1625" s="72" t="s">
        <v>2637</v>
      </c>
      <c r="D1625" s="69">
        <v>27359655897</v>
      </c>
      <c r="E1625" s="9">
        <v>1824</v>
      </c>
      <c r="F1625" s="25">
        <v>43091</v>
      </c>
      <c r="G1625" s="70" t="s">
        <v>292</v>
      </c>
      <c r="H1625" s="9"/>
      <c r="I1625" s="8"/>
      <c r="J1625" s="8"/>
      <c r="K1625" s="8"/>
      <c r="L1625" s="9">
        <v>1828</v>
      </c>
      <c r="M1625" s="8"/>
    </row>
    <row r="1626" spans="1:13">
      <c r="A1626" s="15" t="s">
        <v>2638</v>
      </c>
      <c r="B1626" s="67">
        <v>45632601854</v>
      </c>
      <c r="C1626" s="32" t="s">
        <v>2639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572</v>
      </c>
      <c r="M1626" s="8"/>
    </row>
    <row r="1627" spans="1:13">
      <c r="A1627" s="29" t="s">
        <v>2640</v>
      </c>
      <c r="B1627" s="67"/>
      <c r="C1627" s="29" t="s">
        <v>2641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>
      <c r="A1628" s="71" t="s">
        <v>2642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>
      <c r="A1629" s="71" t="s">
        <v>2643</v>
      </c>
      <c r="B1629" s="67">
        <v>38150547886</v>
      </c>
      <c r="C1629" s="72" t="s">
        <v>2644</v>
      </c>
      <c r="D1629" s="69">
        <v>36270820871</v>
      </c>
      <c r="E1629" s="9">
        <v>262</v>
      </c>
      <c r="F1629" s="25">
        <v>43160</v>
      </c>
      <c r="G1629" s="9" t="s">
        <v>292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>
      <c r="A1630" s="18" t="s">
        <v>2645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>
      <c r="A1631" s="18" t="s">
        <v>2646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>
      <c r="A1632" s="19" t="s">
        <v>2647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>
      <c r="A1633" s="71" t="s">
        <v>2648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>
      <c r="A1634" s="71" t="s">
        <v>2649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292</v>
      </c>
      <c r="H1634" s="9"/>
      <c r="I1634" s="8"/>
      <c r="J1634" s="8"/>
      <c r="K1634" s="8"/>
      <c r="L1634" s="8"/>
      <c r="M1634" s="8"/>
    </row>
    <row r="1635" spans="1:13">
      <c r="A1635" s="71" t="s">
        <v>2650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292</v>
      </c>
      <c r="H1635" s="9"/>
      <c r="I1635" s="8"/>
      <c r="J1635" s="8"/>
      <c r="K1635" s="8"/>
      <c r="L1635" s="9">
        <v>232</v>
      </c>
      <c r="M1635" s="8"/>
    </row>
    <row r="1636" spans="1:13">
      <c r="A1636" s="15" t="s">
        <v>2651</v>
      </c>
      <c r="B1636" s="67">
        <v>44852605858</v>
      </c>
      <c r="C1636" s="15" t="s">
        <v>2652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>
      <c r="A1637" s="29" t="s">
        <v>2653</v>
      </c>
      <c r="B1637" s="67">
        <v>42130610862</v>
      </c>
      <c r="C1637" s="29" t="s">
        <v>2654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>
      <c r="A1638" s="71" t="s">
        <v>2655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292</v>
      </c>
      <c r="H1638" s="9"/>
      <c r="I1638" s="8"/>
      <c r="J1638" s="8"/>
      <c r="K1638" s="8"/>
      <c r="L1638" s="9" t="s">
        <v>443</v>
      </c>
      <c r="M1638" s="8"/>
    </row>
    <row r="1639" spans="1:13">
      <c r="A1639" s="15" t="s">
        <v>2656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>
      <c r="A1640" s="15" t="s">
        <v>2657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292</v>
      </c>
      <c r="H1640" s="9"/>
      <c r="I1640" s="8"/>
      <c r="J1640" s="8"/>
      <c r="K1640" s="8"/>
      <c r="L1640" s="9" t="s">
        <v>443</v>
      </c>
      <c r="M1640" s="8"/>
    </row>
    <row r="1641" spans="1:13">
      <c r="A1641" s="71" t="s">
        <v>2658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292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>
      <c r="A1642" s="72" t="s">
        <v>2659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>
      <c r="A1643" s="18" t="s">
        <v>2660</v>
      </c>
      <c r="B1643" s="67">
        <v>25399089858</v>
      </c>
      <c r="C1643" s="18" t="s">
        <v>2661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>
      <c r="A1644" s="15" t="s">
        <v>2662</v>
      </c>
      <c r="B1644" s="67">
        <v>36758489817</v>
      </c>
      <c r="C1644" s="72" t="s">
        <v>2663</v>
      </c>
      <c r="D1644" s="69">
        <v>15602238808</v>
      </c>
      <c r="E1644" s="9">
        <v>117</v>
      </c>
      <c r="F1644" s="25">
        <v>43117</v>
      </c>
      <c r="G1644" s="70" t="s">
        <v>292</v>
      </c>
      <c r="H1644" s="9"/>
      <c r="I1644" s="8"/>
      <c r="J1644" s="8"/>
      <c r="K1644" s="8"/>
      <c r="L1644" s="9" t="s">
        <v>443</v>
      </c>
      <c r="M1644" s="8"/>
    </row>
    <row r="1645" spans="1:13">
      <c r="A1645" s="71" t="s">
        <v>2664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292</v>
      </c>
      <c r="H1645" s="9"/>
      <c r="I1645" s="8"/>
      <c r="J1645" s="8"/>
      <c r="K1645" s="8"/>
      <c r="L1645" s="8"/>
      <c r="M1645" s="8"/>
    </row>
    <row r="1646" spans="1:13">
      <c r="A1646" s="71" t="s">
        <v>2665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>
      <c r="A1647" s="71" t="s">
        <v>2666</v>
      </c>
      <c r="B1647" s="67">
        <v>3051791440</v>
      </c>
      <c r="C1647" s="72" t="s">
        <v>2667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>
      <c r="A1648" s="15" t="s">
        <v>2668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292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>
      <c r="A1649" s="29" t="s">
        <v>2669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>
      <c r="A1650" s="29" t="s">
        <v>2670</v>
      </c>
      <c r="B1650" s="67">
        <v>8774817841</v>
      </c>
      <c r="C1650" s="18" t="s">
        <v>402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>
      <c r="A1651" s="71" t="s">
        <v>2671</v>
      </c>
      <c r="B1651" s="67">
        <v>15730438850</v>
      </c>
      <c r="C1651" s="72" t="s">
        <v>2672</v>
      </c>
      <c r="D1651" s="69">
        <v>11253544883</v>
      </c>
      <c r="E1651" s="9">
        <v>1628</v>
      </c>
      <c r="F1651" s="25">
        <v>43077</v>
      </c>
      <c r="G1651" s="70" t="s">
        <v>292</v>
      </c>
      <c r="H1651" s="9"/>
      <c r="I1651" s="8"/>
      <c r="J1651" s="8"/>
      <c r="K1651" s="8"/>
      <c r="L1651" s="8"/>
      <c r="M1651" s="8"/>
    </row>
    <row r="1652" spans="1:13">
      <c r="A1652" s="72" t="s">
        <v>2673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>
      <c r="A1653" s="72" t="s">
        <v>2674</v>
      </c>
      <c r="B1653" s="67">
        <v>16416601800</v>
      </c>
      <c r="C1653" s="72" t="s">
        <v>2675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>
      <c r="A1654" s="15" t="s">
        <v>2676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>
      <c r="A1655" s="71" t="s">
        <v>2677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292</v>
      </c>
      <c r="H1655" s="9"/>
      <c r="I1655" s="8"/>
      <c r="J1655" s="8"/>
      <c r="K1655" s="8"/>
      <c r="L1655" s="9">
        <v>1759</v>
      </c>
      <c r="M1655" s="8"/>
    </row>
    <row r="1656" spans="1:13">
      <c r="A1656" s="13" t="s">
        <v>2678</v>
      </c>
      <c r="B1656" s="67">
        <v>6595999617</v>
      </c>
      <c r="C1656" s="68" t="s">
        <v>2679</v>
      </c>
      <c r="D1656" s="69">
        <v>9929242430</v>
      </c>
      <c r="E1656" s="9">
        <v>1128</v>
      </c>
      <c r="F1656" s="25">
        <v>42972</v>
      </c>
      <c r="G1656" s="70" t="s">
        <v>292</v>
      </c>
      <c r="H1656" s="9"/>
      <c r="I1656" s="8"/>
      <c r="J1656" s="8"/>
      <c r="K1656" s="8"/>
      <c r="L1656" s="8"/>
      <c r="M1656" s="8"/>
    </row>
    <row r="1657" spans="1:13">
      <c r="A1657" s="71" t="s">
        <v>2680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292</v>
      </c>
      <c r="H1657" s="9"/>
      <c r="I1657" s="8"/>
      <c r="J1657" s="8"/>
      <c r="K1657" s="8"/>
      <c r="L1657" s="9">
        <v>318</v>
      </c>
      <c r="M1657" s="8"/>
    </row>
    <row r="1658" spans="1:13">
      <c r="A1658" s="71" t="s">
        <v>2681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>
      <c r="A1659" s="71" t="s">
        <v>2682</v>
      </c>
      <c r="B1659" s="67">
        <v>28785359874</v>
      </c>
      <c r="C1659" s="72" t="s">
        <v>2683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>
      <c r="A1660" s="71" t="s">
        <v>2684</v>
      </c>
      <c r="B1660" s="67">
        <v>36460261890</v>
      </c>
      <c r="C1660" s="72" t="s">
        <v>2685</v>
      </c>
      <c r="D1660" s="69">
        <v>7468402841</v>
      </c>
      <c r="E1660" s="9">
        <v>608</v>
      </c>
      <c r="F1660" s="25">
        <v>43012</v>
      </c>
      <c r="G1660" s="70" t="s">
        <v>292</v>
      </c>
      <c r="H1660" s="9"/>
      <c r="I1660" s="8"/>
      <c r="J1660" s="8"/>
      <c r="K1660" s="8"/>
      <c r="L1660" s="8"/>
      <c r="M1660" s="8"/>
    </row>
    <row r="1661" spans="1:13">
      <c r="A1661" s="15" t="s">
        <v>2686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292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>
      <c r="A1662" s="71" t="s">
        <v>2687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292</v>
      </c>
      <c r="H1662" s="25">
        <v>43151</v>
      </c>
      <c r="I1662" s="8"/>
      <c r="J1662" s="8"/>
      <c r="K1662" s="8"/>
      <c r="L1662" s="8"/>
      <c r="M1662" s="8"/>
    </row>
    <row r="1663" spans="1:13">
      <c r="A1663" s="14" t="s">
        <v>2688</v>
      </c>
      <c r="B1663" s="67">
        <v>34385358826</v>
      </c>
      <c r="C1663" s="72" t="s">
        <v>2689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>
      <c r="A1664" s="71" t="s">
        <v>2690</v>
      </c>
      <c r="B1664" s="67">
        <v>24820428870</v>
      </c>
      <c r="C1664" s="72" t="s">
        <v>2691</v>
      </c>
      <c r="D1664" s="69">
        <v>22012255833</v>
      </c>
      <c r="E1664" s="9">
        <v>1417</v>
      </c>
      <c r="F1664" s="25">
        <v>43017</v>
      </c>
      <c r="G1664" s="70" t="s">
        <v>292</v>
      </c>
      <c r="H1664" s="9"/>
      <c r="I1664" s="8"/>
      <c r="J1664" s="8"/>
      <c r="K1664" s="8"/>
      <c r="L1664" s="9" t="s">
        <v>526</v>
      </c>
      <c r="M1664" s="8"/>
    </row>
    <row r="1665" spans="1:13">
      <c r="A1665" s="29" t="s">
        <v>2692</v>
      </c>
      <c r="B1665" s="67">
        <v>31148609822</v>
      </c>
      <c r="C1665" s="29" t="s">
        <v>2693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>
      <c r="A1666" s="71" t="s">
        <v>2694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306</v>
      </c>
      <c r="H1666" s="9"/>
      <c r="I1666" s="8"/>
      <c r="J1666" s="8"/>
      <c r="K1666" s="8"/>
      <c r="L1666" s="9" t="s">
        <v>443</v>
      </c>
      <c r="M1666" s="8"/>
    </row>
    <row r="1667" spans="1:13">
      <c r="A1667" s="14" t="s">
        <v>2695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>
      <c r="A1668" s="71" t="s">
        <v>2695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292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>
      <c r="A1669" s="15" t="s">
        <v>2696</v>
      </c>
      <c r="B1669" s="67">
        <v>44772896856</v>
      </c>
      <c r="C1669" s="72" t="s">
        <v>2697</v>
      </c>
      <c r="D1669" s="69">
        <v>39313729873</v>
      </c>
      <c r="E1669" s="9">
        <v>117</v>
      </c>
      <c r="F1669" s="25">
        <v>43117</v>
      </c>
      <c r="G1669" s="70" t="s">
        <v>292</v>
      </c>
      <c r="H1669" s="9"/>
      <c r="I1669" s="8"/>
      <c r="J1669" s="8"/>
      <c r="K1669" s="8"/>
      <c r="L1669" s="9" t="s">
        <v>443</v>
      </c>
      <c r="M1669" s="8"/>
    </row>
    <row r="1670" spans="1:13">
      <c r="A1670" s="29" t="s">
        <v>2698</v>
      </c>
      <c r="B1670" s="67">
        <v>28501359840</v>
      </c>
      <c r="C1670" s="29" t="s">
        <v>2699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>
      <c r="A1671" s="71" t="s">
        <v>2700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>
      <c r="A1672" s="71" t="s">
        <v>2701</v>
      </c>
      <c r="B1672" s="67">
        <v>30131142828</v>
      </c>
      <c r="C1672" s="77" t="s">
        <v>2702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>
      <c r="A1673" s="29" t="s">
        <v>2703</v>
      </c>
      <c r="B1673" s="67"/>
      <c r="C1673" s="29" t="s">
        <v>402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>
      <c r="A1674" s="71" t="s">
        <v>2704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292</v>
      </c>
      <c r="H1674" s="9"/>
      <c r="I1674" s="8"/>
      <c r="J1674" s="8"/>
      <c r="K1674" s="8"/>
      <c r="L1674" s="8"/>
      <c r="M1674" s="8"/>
    </row>
    <row r="1675" spans="1:13">
      <c r="A1675" s="15" t="s">
        <v>2705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292</v>
      </c>
      <c r="H1675" s="9"/>
      <c r="I1675" s="8"/>
      <c r="J1675" s="8"/>
      <c r="K1675" s="8"/>
      <c r="L1675" s="9">
        <v>232</v>
      </c>
      <c r="M1675" s="8"/>
    </row>
    <row r="1676" spans="1:13">
      <c r="A1676" s="15" t="s">
        <v>2706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292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>
      <c r="A1677" s="71" t="s">
        <v>2707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292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>
      <c r="A1678" s="29" t="s">
        <v>2708</v>
      </c>
      <c r="B1678" s="67">
        <v>30319988805</v>
      </c>
      <c r="C1678" s="29" t="s">
        <v>402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>
      <c r="A1679" s="71" t="s">
        <v>2709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>
      <c r="A1680" s="71" t="s">
        <v>2710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292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>
      <c r="A1681" s="71" t="s">
        <v>2711</v>
      </c>
      <c r="B1681" s="67">
        <v>1565236122</v>
      </c>
      <c r="C1681" s="72" t="s">
        <v>2712</v>
      </c>
      <c r="D1681" s="69">
        <v>218506589</v>
      </c>
      <c r="E1681" s="9">
        <v>1241</v>
      </c>
      <c r="F1681" s="25">
        <v>42992</v>
      </c>
      <c r="G1681" s="70" t="s">
        <v>292</v>
      </c>
      <c r="H1681" s="9"/>
      <c r="I1681" s="8"/>
      <c r="J1681" s="8"/>
      <c r="K1681" s="8"/>
      <c r="L1681" s="8"/>
      <c r="M1681" s="8"/>
    </row>
    <row r="1682" spans="1:13">
      <c r="A1682" s="71" t="s">
        <v>2713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>
      <c r="A1683" s="71" t="s">
        <v>2714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292</v>
      </c>
      <c r="H1683" s="9"/>
      <c r="I1683" s="8"/>
      <c r="J1683" s="8"/>
      <c r="K1683" s="8"/>
      <c r="L1683" s="9">
        <v>318</v>
      </c>
      <c r="M1683" s="8"/>
    </row>
    <row r="1684" spans="1:13">
      <c r="A1684" s="71" t="s">
        <v>2715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>
      <c r="A1685" s="71" t="s">
        <v>2716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>
      <c r="A1686" s="14" t="s">
        <v>2717</v>
      </c>
      <c r="B1686" s="67">
        <v>28842233803</v>
      </c>
      <c r="C1686" s="72" t="s">
        <v>2718</v>
      </c>
      <c r="D1686" s="69">
        <v>39207708892</v>
      </c>
      <c r="E1686" s="9">
        <v>262</v>
      </c>
      <c r="F1686" s="25">
        <v>43160</v>
      </c>
      <c r="G1686" s="70" t="s">
        <v>298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>
      <c r="A1687" s="71" t="s">
        <v>2719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292</v>
      </c>
      <c r="H1687" s="9"/>
      <c r="I1687" s="8"/>
      <c r="J1687" s="8"/>
      <c r="K1687" s="8"/>
      <c r="L1687" s="9" t="s">
        <v>411</v>
      </c>
      <c r="M1687" s="8"/>
    </row>
    <row r="1688" spans="1:13">
      <c r="A1688" s="71" t="s">
        <v>2720</v>
      </c>
      <c r="B1688" s="67">
        <v>39111957883</v>
      </c>
      <c r="C1688" s="72" t="s">
        <v>2721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>
      <c r="A1689" s="73" t="s">
        <v>2722</v>
      </c>
      <c r="B1689" s="67">
        <v>26763450877</v>
      </c>
      <c r="C1689" s="72" t="s">
        <v>2723</v>
      </c>
      <c r="D1689" s="69">
        <v>23405053803</v>
      </c>
      <c r="E1689" s="9">
        <v>292</v>
      </c>
      <c r="F1689" s="25">
        <v>43168</v>
      </c>
      <c r="G1689" s="70" t="s">
        <v>292</v>
      </c>
      <c r="H1689" s="9"/>
      <c r="I1689" s="8"/>
      <c r="J1689" s="8"/>
      <c r="K1689" s="8"/>
      <c r="L1689" s="9">
        <v>318</v>
      </c>
      <c r="M1689" s="8"/>
    </row>
    <row r="1690" spans="1:13">
      <c r="A1690" s="71" t="s">
        <v>2724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292</v>
      </c>
      <c r="H1690" s="9"/>
      <c r="I1690" s="8"/>
      <c r="J1690" s="8"/>
      <c r="K1690" s="8"/>
      <c r="L1690" s="9" t="s">
        <v>443</v>
      </c>
      <c r="M1690" s="8"/>
    </row>
    <row r="1691" spans="1:13">
      <c r="A1691" s="29" t="s">
        <v>2725</v>
      </c>
      <c r="B1691" s="67">
        <v>41696411831</v>
      </c>
      <c r="C1691" s="29" t="s">
        <v>2726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>
      <c r="A1692" s="13" t="s">
        <v>2727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>
      <c r="A1693" s="29" t="s">
        <v>2728</v>
      </c>
      <c r="B1693" s="67"/>
      <c r="C1693" s="18" t="s">
        <v>402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>
      <c r="A1694" s="72" t="s">
        <v>2729</v>
      </c>
      <c r="B1694" s="67">
        <v>8946062479</v>
      </c>
      <c r="C1694" s="15" t="s">
        <v>2730</v>
      </c>
      <c r="D1694" s="69">
        <v>9671165460</v>
      </c>
      <c r="E1694" s="9">
        <v>292</v>
      </c>
      <c r="F1694" s="25">
        <v>43168</v>
      </c>
      <c r="G1694" s="70" t="s">
        <v>298</v>
      </c>
      <c r="H1694" s="9"/>
      <c r="I1694" s="8"/>
      <c r="J1694" s="8"/>
      <c r="K1694" s="8"/>
      <c r="L1694" s="9">
        <v>318</v>
      </c>
      <c r="M1694" s="8"/>
    </row>
    <row r="1695" spans="1:13">
      <c r="A1695" s="15" t="s">
        <v>2731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292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>
      <c r="A1696" s="13" t="s">
        <v>2732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292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>
      <c r="A1697" s="29" t="s">
        <v>2733</v>
      </c>
      <c r="B1697" s="67"/>
      <c r="C1697" s="18" t="s">
        <v>402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>
      <c r="A1698" s="72" t="s">
        <v>2734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292</v>
      </c>
      <c r="H1698" s="9"/>
      <c r="I1698" s="8"/>
      <c r="J1698" s="8"/>
      <c r="K1698" s="8"/>
      <c r="L1698" s="9">
        <v>1828</v>
      </c>
      <c r="M1698" s="8"/>
    </row>
    <row r="1699" spans="1:13">
      <c r="A1699" s="71" t="s">
        <v>2735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>
      <c r="A1700" s="14" t="s">
        <v>2736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>
      <c r="A1701" s="71" t="s">
        <v>2737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>
      <c r="A1702" s="15" t="s">
        <v>2738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>
      <c r="A1703" s="71" t="s">
        <v>2739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>
      <c r="A1704" s="71" t="s">
        <v>2740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>
      <c r="A1705" s="16" t="s">
        <v>2741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>
      <c r="A1706" s="71" t="s">
        <v>2742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292</v>
      </c>
      <c r="H1706" s="9"/>
      <c r="I1706" s="8"/>
      <c r="J1706" s="8"/>
      <c r="K1706" s="8"/>
      <c r="L1706" s="9">
        <v>318</v>
      </c>
      <c r="M1706" s="8"/>
    </row>
    <row r="1707" spans="1:13">
      <c r="A1707" s="14" t="s">
        <v>2743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292</v>
      </c>
      <c r="H1707" s="9"/>
      <c r="I1707" s="8"/>
      <c r="J1707" s="8"/>
      <c r="K1707" s="8"/>
      <c r="L1707" s="9" t="s">
        <v>526</v>
      </c>
      <c r="M1707" s="8"/>
    </row>
    <row r="1708" spans="1:13">
      <c r="A1708" s="13" t="s">
        <v>2744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292</v>
      </c>
      <c r="H1708" s="9"/>
      <c r="I1708" s="8"/>
      <c r="J1708" s="8"/>
      <c r="K1708" s="8"/>
      <c r="L1708" s="8"/>
      <c r="M1708" s="8"/>
    </row>
    <row r="1709" spans="1:13">
      <c r="A1709" s="71" t="s">
        <v>2745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>
      <c r="A1710" s="71" t="s">
        <v>2746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>
      <c r="A1711" s="29" t="s">
        <v>2747</v>
      </c>
      <c r="B1711" s="67"/>
      <c r="C1711" s="18" t="s">
        <v>402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>
      <c r="A1712" s="15" t="s">
        <v>2748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292</v>
      </c>
      <c r="H1712" s="9"/>
      <c r="I1712" s="8"/>
      <c r="J1712" s="8"/>
      <c r="K1712" s="8"/>
      <c r="L1712" s="9" t="s">
        <v>443</v>
      </c>
      <c r="M1712" s="8"/>
    </row>
    <row r="1713" spans="1:13">
      <c r="A1713" s="71" t="s">
        <v>2749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292</v>
      </c>
      <c r="H1713" s="9"/>
      <c r="I1713" s="8"/>
      <c r="J1713" s="8"/>
      <c r="K1713" s="8"/>
      <c r="L1713" s="9">
        <v>318</v>
      </c>
      <c r="M1713" s="8"/>
    </row>
    <row r="1714" spans="1:13">
      <c r="A1714" s="14" t="s">
        <v>2750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292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>
      <c r="A1715" s="71" t="s">
        <v>2751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>
      <c r="A1716" s="71" t="s">
        <v>2752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292</v>
      </c>
      <c r="H1716" s="9"/>
      <c r="I1716" s="8"/>
      <c r="J1716" s="8"/>
      <c r="K1716" s="8"/>
      <c r="L1716" s="9" t="s">
        <v>411</v>
      </c>
      <c r="M1716" s="8"/>
    </row>
    <row r="1717" spans="1:13">
      <c r="A1717" s="71" t="s">
        <v>2753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>
      <c r="A1718" s="71" t="s">
        <v>2754</v>
      </c>
      <c r="B1718" s="67">
        <v>26903961810</v>
      </c>
      <c r="C1718" s="72" t="s">
        <v>2755</v>
      </c>
      <c r="D1718" s="69">
        <v>40904229904</v>
      </c>
      <c r="E1718" s="9">
        <v>1555</v>
      </c>
      <c r="F1718" s="25">
        <v>43049</v>
      </c>
      <c r="G1718" s="70" t="s">
        <v>292</v>
      </c>
      <c r="H1718" s="9"/>
      <c r="I1718" s="8"/>
      <c r="J1718" s="8"/>
      <c r="K1718" s="8"/>
      <c r="L1718" s="9" t="s">
        <v>671</v>
      </c>
      <c r="M1718" s="8"/>
    </row>
    <row r="1719" spans="1:13">
      <c r="A1719" s="18" t="s">
        <v>2756</v>
      </c>
      <c r="B1719" s="67">
        <v>31611651875</v>
      </c>
      <c r="C1719" s="18" t="s">
        <v>2757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>
      <c r="A1720" s="72" t="s">
        <v>2758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292</v>
      </c>
      <c r="H1720" s="9"/>
      <c r="I1720" s="8"/>
      <c r="J1720" s="8"/>
      <c r="K1720" s="8"/>
      <c r="L1720" s="9">
        <v>318</v>
      </c>
      <c r="M1720" s="8"/>
    </row>
    <row r="1721" spans="1:13">
      <c r="A1721" s="71" t="s">
        <v>2759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>
      <c r="A1722" s="71" t="s">
        <v>2760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292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>
      <c r="A1723" s="71" t="s">
        <v>2761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>
      <c r="A1724" s="68" t="s">
        <v>2762</v>
      </c>
      <c r="B1724" s="69">
        <v>22580790802</v>
      </c>
      <c r="C1724" s="71" t="s">
        <v>2763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>
      <c r="A1725" s="71" t="s">
        <v>2764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>
      <c r="A1726" s="71" t="s">
        <v>2765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>
      <c r="A1727" s="72" t="s">
        <v>2766</v>
      </c>
      <c r="B1727" s="69">
        <v>88565386520</v>
      </c>
      <c r="C1727" s="15" t="s">
        <v>2767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>
      <c r="A1728" s="71" t="s">
        <v>2768</v>
      </c>
      <c r="B1728" s="67">
        <v>1147816565</v>
      </c>
      <c r="C1728" s="72" t="s">
        <v>2769</v>
      </c>
      <c r="D1728" s="69">
        <v>24692193883</v>
      </c>
      <c r="E1728" s="9">
        <v>262</v>
      </c>
      <c r="F1728" s="25">
        <v>43160</v>
      </c>
      <c r="G1728" s="70" t="s">
        <v>292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>
      <c r="A1729" s="71" t="s">
        <v>2770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292</v>
      </c>
      <c r="H1729" s="9"/>
      <c r="I1729" s="8"/>
      <c r="J1729" s="8"/>
      <c r="K1729" s="8"/>
      <c r="L1729" s="9" t="s">
        <v>411</v>
      </c>
      <c r="M1729" s="8"/>
    </row>
    <row r="1730" spans="1:13">
      <c r="A1730" s="14" t="s">
        <v>2771</v>
      </c>
      <c r="B1730" s="67">
        <v>7039189402</v>
      </c>
      <c r="C1730" s="72" t="s">
        <v>2772</v>
      </c>
      <c r="D1730" s="69">
        <v>5531291558</v>
      </c>
      <c r="E1730" s="9">
        <v>262</v>
      </c>
      <c r="F1730" s="25">
        <v>43160</v>
      </c>
      <c r="G1730" s="70" t="s">
        <v>292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>
      <c r="A1731" s="71" t="s">
        <v>2773</v>
      </c>
      <c r="B1731" s="67">
        <v>34602647804</v>
      </c>
      <c r="C1731" s="72" t="s">
        <v>2774</v>
      </c>
      <c r="D1731" s="69">
        <v>27640163870</v>
      </c>
      <c r="E1731" s="9">
        <v>229</v>
      </c>
      <c r="F1731" s="25">
        <v>43151</v>
      </c>
      <c r="G1731" s="70" t="s">
        <v>292</v>
      </c>
      <c r="H1731" s="9"/>
      <c r="I1731" s="8"/>
      <c r="J1731" s="8"/>
      <c r="K1731" s="8"/>
      <c r="L1731" s="9">
        <v>232</v>
      </c>
      <c r="M1731" s="8"/>
    </row>
    <row r="1732" spans="1:13">
      <c r="A1732" s="71" t="s">
        <v>2775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292</v>
      </c>
      <c r="H1732" s="9"/>
      <c r="I1732" s="8"/>
      <c r="J1732" s="8"/>
      <c r="K1732" s="8"/>
      <c r="L1732" s="8"/>
      <c r="M1732" s="8"/>
    </row>
    <row r="1733" spans="1:13">
      <c r="A1733" s="71" t="s">
        <v>2776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292</v>
      </c>
      <c r="H1733" s="9"/>
      <c r="I1733" s="8"/>
      <c r="J1733" s="8"/>
      <c r="K1733" s="8"/>
      <c r="L1733" s="9" t="s">
        <v>775</v>
      </c>
      <c r="M1733" s="8"/>
    </row>
    <row r="1734" spans="1:13">
      <c r="A1734" s="71" t="s">
        <v>2777</v>
      </c>
      <c r="B1734" s="67">
        <v>4656282570</v>
      </c>
      <c r="C1734" s="72" t="s">
        <v>2778</v>
      </c>
      <c r="D1734" s="69">
        <v>85025780578</v>
      </c>
      <c r="E1734" s="9">
        <v>85</v>
      </c>
      <c r="F1734" s="25">
        <v>43109</v>
      </c>
      <c r="G1734" s="70" t="s">
        <v>292</v>
      </c>
      <c r="H1734" s="25">
        <v>43151</v>
      </c>
      <c r="I1734" s="8"/>
      <c r="J1734" s="8"/>
      <c r="K1734" s="8"/>
      <c r="L1734" s="8"/>
      <c r="M1734" s="8"/>
    </row>
    <row r="1735" spans="1:13">
      <c r="A1735" s="15" t="s">
        <v>2779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>
      <c r="A1736" s="15" t="s">
        <v>2780</v>
      </c>
      <c r="B1736" s="67">
        <v>44808773805</v>
      </c>
      <c r="C1736" s="72" t="s">
        <v>2781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>
      <c r="A1737" s="15" t="s">
        <v>2782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292</v>
      </c>
      <c r="H1737" s="25">
        <v>43151</v>
      </c>
      <c r="I1737" s="8"/>
      <c r="J1737" s="8"/>
      <c r="K1737" s="8"/>
      <c r="L1737" s="8"/>
      <c r="M1737" s="8"/>
    </row>
    <row r="1738" spans="1:13">
      <c r="A1738" s="71" t="s">
        <v>2783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>
      <c r="A1739" s="71" t="s">
        <v>2784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292</v>
      </c>
      <c r="H1739" s="9"/>
      <c r="I1739" s="8"/>
      <c r="J1739" s="8"/>
      <c r="K1739" s="8"/>
      <c r="L1739" s="9" t="s">
        <v>411</v>
      </c>
      <c r="M1739" s="8"/>
    </row>
    <row r="1740" spans="1:13">
      <c r="A1740" s="71" t="s">
        <v>2785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306</v>
      </c>
      <c r="H1740" s="9"/>
      <c r="I1740" s="8"/>
      <c r="J1740" s="8"/>
      <c r="K1740" s="8"/>
      <c r="L1740" s="9" t="s">
        <v>526</v>
      </c>
      <c r="M1740" s="8"/>
    </row>
    <row r="1741" spans="1:13">
      <c r="A1741" s="15" t="s">
        <v>2786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292</v>
      </c>
      <c r="H1741" s="9"/>
      <c r="I1741" s="8"/>
      <c r="J1741" s="8"/>
      <c r="K1741" s="8"/>
      <c r="L1741" s="9">
        <v>318</v>
      </c>
      <c r="M1741" s="8"/>
    </row>
    <row r="1742" spans="1:13">
      <c r="A1742" s="18" t="s">
        <v>2787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>
      <c r="A1743" s="15" t="s">
        <v>2788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>
      <c r="A1744" s="15" t="s">
        <v>2789</v>
      </c>
      <c r="B1744" s="67">
        <v>19129440491</v>
      </c>
      <c r="C1744" s="72" t="s">
        <v>2790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>
      <c r="A1745" s="13" t="s">
        <v>2791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292</v>
      </c>
      <c r="H1745" s="9"/>
      <c r="I1745" s="8"/>
      <c r="J1745" s="8"/>
      <c r="K1745" s="8"/>
      <c r="L1745" s="8"/>
      <c r="M1745" s="8"/>
    </row>
    <row r="1746" spans="1:13">
      <c r="A1746" s="71" t="s">
        <v>2792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292</v>
      </c>
      <c r="H1746" s="9"/>
      <c r="I1746" s="8"/>
      <c r="J1746" s="8"/>
      <c r="K1746" s="8"/>
      <c r="L1746" s="8"/>
      <c r="M1746" s="8"/>
    </row>
    <row r="1747" spans="1:13">
      <c r="A1747" s="15" t="s">
        <v>2793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292</v>
      </c>
      <c r="H1747" s="25">
        <v>43151</v>
      </c>
      <c r="I1747" s="8"/>
      <c r="J1747" s="8"/>
      <c r="K1747" s="8"/>
      <c r="L1747" s="8"/>
      <c r="M1747" s="8"/>
    </row>
    <row r="1748" spans="1:13">
      <c r="A1748" s="71" t="s">
        <v>2794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292</v>
      </c>
      <c r="H1748" s="9"/>
      <c r="I1748" s="8"/>
      <c r="J1748" s="8"/>
      <c r="K1748" s="8"/>
      <c r="L1748" s="9" t="s">
        <v>671</v>
      </c>
      <c r="M1748" s="8"/>
    </row>
    <row r="1749" spans="1:13">
      <c r="A1749" s="13" t="s">
        <v>2795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292</v>
      </c>
      <c r="H1749" s="9"/>
      <c r="I1749" s="8"/>
      <c r="J1749" s="8"/>
      <c r="K1749" s="8"/>
      <c r="L1749" s="8"/>
      <c r="M1749" s="8"/>
    </row>
    <row r="1750" spans="1:13">
      <c r="A1750" s="71" t="s">
        <v>2796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>
      <c r="A1751" s="71" t="s">
        <v>2797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292</v>
      </c>
      <c r="H1751" s="25">
        <v>43151</v>
      </c>
      <c r="I1751" s="8"/>
      <c r="J1751" s="8"/>
      <c r="K1751" s="8"/>
      <c r="L1751" s="8"/>
      <c r="M1751" s="8"/>
    </row>
    <row r="1752" spans="1:13">
      <c r="A1752" s="71" t="s">
        <v>2798</v>
      </c>
      <c r="B1752" s="67">
        <v>15634351871</v>
      </c>
      <c r="C1752" s="72" t="s">
        <v>2799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>
      <c r="A1753" s="71" t="s">
        <v>2800</v>
      </c>
      <c r="B1753" s="67">
        <v>35994306835</v>
      </c>
      <c r="C1753" s="72" t="s">
        <v>2801</v>
      </c>
      <c r="D1753" s="69">
        <v>25021610880</v>
      </c>
      <c r="E1753" s="9">
        <v>262</v>
      </c>
      <c r="F1753" s="25">
        <v>43160</v>
      </c>
      <c r="G1753" s="70" t="s">
        <v>292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>
      <c r="A1754" s="71" t="s">
        <v>2802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292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>
      <c r="A1755" s="71" t="s">
        <v>2803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>
      <c r="A1756" s="29" t="s">
        <v>2804</v>
      </c>
      <c r="B1756" s="67">
        <v>32525046854</v>
      </c>
      <c r="C1756" s="29" t="s">
        <v>402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>
      <c r="A1757" s="71" t="s">
        <v>2805</v>
      </c>
      <c r="B1757" s="67">
        <v>23704553816</v>
      </c>
      <c r="C1757" s="77" t="s">
        <v>2806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572</v>
      </c>
      <c r="M1757" s="8"/>
    </row>
    <row r="1758" spans="1:13">
      <c r="A1758" s="71" t="s">
        <v>2807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292</v>
      </c>
      <c r="H1758" s="9"/>
      <c r="I1758" s="8"/>
      <c r="J1758" s="8"/>
      <c r="K1758" s="8"/>
      <c r="L1758" s="9">
        <v>318</v>
      </c>
      <c r="M1758" s="8"/>
    </row>
    <row r="1759" spans="1:13">
      <c r="A1759" s="71" t="s">
        <v>2808</v>
      </c>
      <c r="B1759" s="67">
        <v>3180351543</v>
      </c>
      <c r="C1759" s="72" t="s">
        <v>2809</v>
      </c>
      <c r="D1759" s="69">
        <v>38259838893</v>
      </c>
      <c r="E1759" s="9">
        <v>1752</v>
      </c>
      <c r="F1759" s="25">
        <v>43051</v>
      </c>
      <c r="G1759" s="70" t="s">
        <v>292</v>
      </c>
      <c r="H1759" s="9"/>
      <c r="I1759" s="8"/>
      <c r="J1759" s="8"/>
      <c r="K1759" s="8"/>
      <c r="L1759" s="9">
        <v>1759</v>
      </c>
      <c r="M1759" s="8"/>
    </row>
    <row r="1760" spans="1:13">
      <c r="A1760" s="71" t="s">
        <v>2810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292</v>
      </c>
      <c r="H1760" s="9"/>
      <c r="I1760" s="8"/>
      <c r="J1760" s="8"/>
      <c r="K1760" s="8"/>
      <c r="L1760" s="9" t="s">
        <v>411</v>
      </c>
      <c r="M1760" s="8"/>
    </row>
    <row r="1761" spans="1:13">
      <c r="A1761" s="71" t="s">
        <v>2811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292</v>
      </c>
      <c r="H1761" s="9"/>
      <c r="I1761" s="8"/>
      <c r="J1761" s="8"/>
      <c r="K1761" s="8"/>
      <c r="L1761" s="8"/>
      <c r="M1761" s="8"/>
    </row>
    <row r="1762" spans="1:13">
      <c r="A1762" s="14" t="s">
        <v>2812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>
      <c r="A1763" s="71" t="s">
        <v>2813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292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>
      <c r="A1764" s="71" t="s">
        <v>2814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292</v>
      </c>
      <c r="H1764" s="9"/>
      <c r="I1764" s="8"/>
      <c r="J1764" s="8"/>
      <c r="K1764" s="8"/>
      <c r="L1764" s="9">
        <v>232</v>
      </c>
      <c r="M1764" s="8"/>
    </row>
    <row r="1765" spans="1:13">
      <c r="A1765" s="50" t="s">
        <v>2815</v>
      </c>
      <c r="B1765" s="80">
        <v>27034088896</v>
      </c>
      <c r="C1765" s="81" t="s">
        <v>2816</v>
      </c>
      <c r="D1765" s="82">
        <v>31801530831</v>
      </c>
      <c r="E1765" s="47">
        <v>1267</v>
      </c>
      <c r="F1765" s="48">
        <v>42998</v>
      </c>
      <c r="G1765" s="83" t="s">
        <v>298</v>
      </c>
      <c r="H1765" s="47"/>
      <c r="I1765" s="49"/>
      <c r="J1765" s="49"/>
      <c r="K1765" s="49"/>
      <c r="L1765" s="49"/>
      <c r="M1765" s="49"/>
    </row>
    <row r="1766" spans="1:13">
      <c r="A1766" s="15" t="s">
        <v>2817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>
      <c r="A1767" s="18" t="s">
        <v>2818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>
      <c r="A1768" s="13" t="s">
        <v>2819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292</v>
      </c>
      <c r="H1768" s="9"/>
      <c r="I1768" s="8"/>
      <c r="J1768" s="8"/>
      <c r="K1768" s="8"/>
      <c r="L1768" s="8"/>
      <c r="M1768" s="8"/>
    </row>
    <row r="1769" spans="1:13">
      <c r="A1769" s="71" t="s">
        <v>2820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292</v>
      </c>
      <c r="H1769" s="9"/>
      <c r="I1769" s="8"/>
      <c r="J1769" s="8"/>
      <c r="K1769" s="8"/>
      <c r="L1769" s="9">
        <v>318</v>
      </c>
      <c r="M1769" s="8"/>
    </row>
    <row r="1770" spans="1:13">
      <c r="A1770" s="71" t="s">
        <v>2821</v>
      </c>
      <c r="B1770" s="67">
        <v>13035980861</v>
      </c>
      <c r="C1770" s="72" t="s">
        <v>2822</v>
      </c>
      <c r="D1770" s="69">
        <v>60623608553</v>
      </c>
      <c r="E1770" s="9">
        <v>1752</v>
      </c>
      <c r="F1770" s="25">
        <v>43051</v>
      </c>
      <c r="G1770" s="70" t="s">
        <v>292</v>
      </c>
      <c r="H1770" s="9"/>
      <c r="I1770" s="8"/>
      <c r="J1770" s="8"/>
      <c r="K1770" s="8"/>
      <c r="L1770" s="9">
        <v>1759</v>
      </c>
      <c r="M1770" s="8"/>
    </row>
    <row r="1771" spans="1:13">
      <c r="A1771" s="71" t="s">
        <v>2823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>
      <c r="A1772" s="71" t="s">
        <v>2824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292</v>
      </c>
      <c r="H1772" s="9"/>
      <c r="I1772" s="8"/>
      <c r="J1772" s="8"/>
      <c r="K1772" s="8"/>
      <c r="L1772" s="9" t="s">
        <v>411</v>
      </c>
      <c r="M1772" s="8"/>
    </row>
    <row r="1773" spans="1:13">
      <c r="A1773" s="29" t="s">
        <v>2825</v>
      </c>
      <c r="B1773" s="67">
        <v>7965453401</v>
      </c>
      <c r="C1773" s="29" t="s">
        <v>2826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>
      <c r="A1774" s="71" t="s">
        <v>2827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292</v>
      </c>
      <c r="H1774" s="9"/>
      <c r="I1774" s="8"/>
      <c r="J1774" s="8"/>
      <c r="K1774" s="8"/>
      <c r="L1774" s="8"/>
      <c r="M1774" s="8"/>
    </row>
    <row r="1775" spans="1:13">
      <c r="A1775" s="71" t="s">
        <v>2828</v>
      </c>
      <c r="B1775" s="67">
        <v>29335127850</v>
      </c>
      <c r="C1775" s="68" t="s">
        <v>2829</v>
      </c>
      <c r="D1775" s="69">
        <v>18384225877</v>
      </c>
      <c r="E1775" s="9">
        <v>1214</v>
      </c>
      <c r="F1775" s="25">
        <v>42989</v>
      </c>
      <c r="G1775" s="70" t="s">
        <v>292</v>
      </c>
      <c r="H1775" s="9"/>
      <c r="I1775" s="8"/>
      <c r="J1775" s="8"/>
      <c r="K1775" s="8"/>
      <c r="L1775" s="8"/>
      <c r="M1775" s="8"/>
    </row>
    <row r="1776" spans="1:13">
      <c r="A1776" s="71" t="s">
        <v>2830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292</v>
      </c>
      <c r="H1776" s="9"/>
      <c r="I1776" s="8"/>
      <c r="J1776" s="8"/>
      <c r="K1776" s="8"/>
      <c r="L1776" s="9">
        <v>1759</v>
      </c>
      <c r="M1776" s="8"/>
    </row>
    <row r="1777" spans="1:13">
      <c r="A1777" s="15" t="s">
        <v>2831</v>
      </c>
      <c r="B1777" s="67">
        <v>22530539880</v>
      </c>
      <c r="C1777" s="72" t="s">
        <v>2832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>
      <c r="A1778" s="71" t="s">
        <v>2833</v>
      </c>
      <c r="B1778" s="67">
        <v>22135571873</v>
      </c>
      <c r="C1778" s="72" t="s">
        <v>2834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>
      <c r="A1779" s="71" t="s">
        <v>2835</v>
      </c>
      <c r="B1779" s="67">
        <v>29928831823</v>
      </c>
      <c r="C1779" s="72" t="s">
        <v>2836</v>
      </c>
      <c r="D1779" s="69">
        <v>9500916428</v>
      </c>
      <c r="E1779" s="9">
        <v>810</v>
      </c>
      <c r="F1779" s="25">
        <v>42915</v>
      </c>
      <c r="G1779" s="70" t="s">
        <v>292</v>
      </c>
      <c r="H1779" s="9"/>
      <c r="I1779" s="8"/>
      <c r="J1779" s="8"/>
      <c r="K1779" s="8"/>
      <c r="L1779" s="9" t="s">
        <v>411</v>
      </c>
      <c r="M1779" s="8"/>
    </row>
    <row r="1780" spans="1:13">
      <c r="A1780" s="72" t="s">
        <v>2837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>
      <c r="A1781" s="15" t="s">
        <v>2838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292</v>
      </c>
      <c r="H1781" s="25">
        <v>43151</v>
      </c>
      <c r="I1781" s="8"/>
      <c r="J1781" s="8"/>
      <c r="K1781" s="8"/>
      <c r="L1781" s="8"/>
      <c r="M1781" s="8"/>
    </row>
    <row r="1782" spans="1:13">
      <c r="A1782" s="71" t="s">
        <v>2839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>
      <c r="A1783" s="29" t="s">
        <v>2840</v>
      </c>
      <c r="B1783" s="67"/>
      <c r="C1783" s="29" t="s">
        <v>402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>
      <c r="A1784" s="71" t="s">
        <v>2841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292</v>
      </c>
      <c r="H1784" s="9"/>
      <c r="I1784" s="8"/>
      <c r="J1784" s="8"/>
      <c r="K1784" s="8"/>
      <c r="L1784" s="9">
        <v>1828</v>
      </c>
      <c r="M1784" s="8"/>
    </row>
    <row r="1785" spans="1:13">
      <c r="A1785" s="13" t="s">
        <v>2842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292</v>
      </c>
      <c r="H1785" s="9"/>
      <c r="I1785" s="8"/>
      <c r="J1785" s="8"/>
      <c r="K1785" s="8"/>
      <c r="L1785" s="8"/>
      <c r="M1785" s="8"/>
    </row>
    <row r="1786" spans="1:13">
      <c r="A1786" s="71" t="s">
        <v>2843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292</v>
      </c>
      <c r="H1786" s="9"/>
      <c r="I1786" s="8"/>
      <c r="J1786" s="8"/>
      <c r="K1786" s="8"/>
      <c r="L1786" s="8"/>
      <c r="M1786" s="8"/>
    </row>
    <row r="1787" spans="1:13">
      <c r="A1787" s="71" t="s">
        <v>2844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292</v>
      </c>
      <c r="H1787" s="9"/>
      <c r="I1787" s="8"/>
      <c r="J1787" s="8"/>
      <c r="K1787" s="8"/>
      <c r="L1787" s="8"/>
      <c r="M1787" s="8"/>
    </row>
    <row r="1788" spans="1:13">
      <c r="A1788" s="71" t="s">
        <v>2845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292</v>
      </c>
      <c r="H1788" s="9"/>
      <c r="I1788" s="8"/>
      <c r="J1788" s="8"/>
      <c r="K1788" s="8"/>
      <c r="L1788" s="9" t="s">
        <v>411</v>
      </c>
      <c r="M1788" s="8"/>
    </row>
    <row r="1789" spans="1:13">
      <c r="A1789" s="71" t="s">
        <v>2846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292</v>
      </c>
      <c r="H1789" s="9"/>
      <c r="I1789" s="8"/>
      <c r="J1789" s="8"/>
      <c r="K1789" s="8"/>
      <c r="L1789" s="8"/>
      <c r="M1789" s="8"/>
    </row>
    <row r="1790" spans="1:13">
      <c r="A1790" s="71" t="s">
        <v>2847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292</v>
      </c>
      <c r="H1790" s="9"/>
      <c r="I1790" s="8"/>
      <c r="J1790" s="8"/>
      <c r="K1790" s="8"/>
      <c r="L1790" s="8"/>
      <c r="M1790" s="8"/>
    </row>
    <row r="1791" spans="1:13">
      <c r="A1791" s="15" t="s">
        <v>2848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292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>
      <c r="A1792" s="71" t="s">
        <v>2849</v>
      </c>
      <c r="B1792" s="67">
        <v>29652104825</v>
      </c>
      <c r="C1792" s="68" t="s">
        <v>2850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>
      <c r="A1793" s="71" t="s">
        <v>2851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292</v>
      </c>
      <c r="H1793" s="9"/>
      <c r="I1793" s="8"/>
      <c r="J1793" s="8"/>
      <c r="K1793" s="8"/>
      <c r="L1793" s="8"/>
      <c r="M1793" s="8"/>
    </row>
    <row r="1794" spans="1:13">
      <c r="A1794" s="14" t="s">
        <v>2852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>
      <c r="A1795" s="71" t="s">
        <v>2853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>
      <c r="A1796" s="71" t="s">
        <v>2854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292</v>
      </c>
      <c r="H1796" s="9"/>
      <c r="I1796" s="8"/>
      <c r="J1796" s="8"/>
      <c r="K1796" s="8"/>
      <c r="L1796" s="9" t="s">
        <v>775</v>
      </c>
      <c r="M1796" s="8"/>
    </row>
    <row r="1797" spans="1:13">
      <c r="A1797" s="71" t="s">
        <v>2855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292</v>
      </c>
      <c r="H1797" s="9"/>
      <c r="I1797" s="8"/>
      <c r="J1797" s="8"/>
      <c r="K1797" s="8"/>
      <c r="L1797" s="8"/>
      <c r="M1797" s="8"/>
    </row>
    <row r="1798" spans="1:13">
      <c r="A1798" s="29" t="s">
        <v>2856</v>
      </c>
      <c r="B1798" s="67">
        <v>6896659890</v>
      </c>
      <c r="C1798" s="29" t="s">
        <v>2857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>
      <c r="A1799" s="71" t="s">
        <v>2858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292</v>
      </c>
      <c r="H1799" s="25">
        <v>43151</v>
      </c>
      <c r="I1799" s="8"/>
      <c r="J1799" s="8"/>
      <c r="K1799" s="8"/>
      <c r="L1799" s="8"/>
      <c r="M1799" s="8"/>
    </row>
    <row r="1800" spans="1:13">
      <c r="A1800" s="71" t="s">
        <v>2859</v>
      </c>
      <c r="B1800" s="67">
        <v>60230380506</v>
      </c>
      <c r="C1800" s="72" t="s">
        <v>2860</v>
      </c>
      <c r="D1800" s="69">
        <v>30853536821</v>
      </c>
      <c r="E1800" s="9">
        <v>1570</v>
      </c>
      <c r="F1800" s="25">
        <v>43051</v>
      </c>
      <c r="G1800" s="70" t="s">
        <v>298</v>
      </c>
      <c r="H1800" s="9"/>
      <c r="I1800" s="8"/>
      <c r="J1800" s="8"/>
      <c r="K1800" s="8"/>
      <c r="L1800" s="8"/>
      <c r="M1800" s="8"/>
    </row>
    <row r="1801" spans="1:13">
      <c r="A1801" s="14" t="s">
        <v>2861</v>
      </c>
      <c r="B1801" s="67">
        <v>44556393817</v>
      </c>
      <c r="C1801" s="72" t="s">
        <v>2862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>
      <c r="A1802" s="29" t="s">
        <v>2863</v>
      </c>
      <c r="B1802" s="67">
        <v>35780076847</v>
      </c>
      <c r="C1802" s="29" t="s">
        <v>2864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>
      <c r="A1803" s="71" t="s">
        <v>2865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292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>
      <c r="A1804" s="71" t="s">
        <v>2866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292</v>
      </c>
      <c r="H1804" s="9"/>
      <c r="I1804" s="8"/>
      <c r="J1804" s="8"/>
      <c r="K1804" s="8"/>
      <c r="L1804" s="8"/>
      <c r="M1804" s="8"/>
    </row>
    <row r="1805" spans="1:13">
      <c r="A1805" s="71" t="s">
        <v>2867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>
      <c r="A1806" s="71" t="s">
        <v>2868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>
      <c r="A1807" s="29" t="s">
        <v>2869</v>
      </c>
      <c r="B1807" s="67">
        <v>8265497806</v>
      </c>
      <c r="C1807" s="18" t="s">
        <v>402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>
      <c r="A1808" s="29" t="s">
        <v>2870</v>
      </c>
      <c r="B1808" s="67">
        <v>27435732877</v>
      </c>
      <c r="C1808" s="29" t="s">
        <v>402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>
      <c r="A1809" s="15" t="s">
        <v>2871</v>
      </c>
      <c r="B1809" s="67">
        <v>17620421858</v>
      </c>
      <c r="C1809" s="72" t="s">
        <v>2872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>
      <c r="A1810" s="13" t="s">
        <v>2873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292</v>
      </c>
      <c r="H1810" s="9"/>
      <c r="I1810" s="8"/>
      <c r="J1810" s="8"/>
      <c r="K1810" s="8"/>
      <c r="L1810" s="8"/>
      <c r="M1810" s="8"/>
    </row>
    <row r="1811" spans="1:13">
      <c r="A1811" s="71" t="s">
        <v>2874</v>
      </c>
      <c r="B1811" s="78" t="s">
        <v>2875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>
      <c r="A1812" s="13" t="s">
        <v>2876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292</v>
      </c>
      <c r="H1812" s="9"/>
      <c r="I1812" s="8"/>
      <c r="J1812" s="8"/>
      <c r="K1812" s="8"/>
      <c r="L1812" s="8"/>
      <c r="M1812" s="8"/>
    </row>
    <row r="1813" spans="1:13">
      <c r="A1813" s="71" t="s">
        <v>2877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>
      <c r="A1814" s="71" t="s">
        <v>2878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>
      <c r="A1815" s="71" t="s">
        <v>2879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292</v>
      </c>
      <c r="H1815" s="9"/>
      <c r="I1815" s="8"/>
      <c r="J1815" s="8"/>
      <c r="K1815" s="8"/>
      <c r="L1815" s="9">
        <v>318</v>
      </c>
      <c r="M1815" s="8"/>
    </row>
    <row r="1816" spans="1:13">
      <c r="A1816" s="72" t="s">
        <v>2880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572</v>
      </c>
      <c r="M1816" s="8"/>
    </row>
    <row r="1817" spans="1:13">
      <c r="A1817" s="14" t="s">
        <v>2881</v>
      </c>
      <c r="B1817" s="67">
        <v>24655581883</v>
      </c>
      <c r="C1817" s="72" t="s">
        <v>2882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>
      <c r="A1818" s="72" t="s">
        <v>2883</v>
      </c>
      <c r="B1818" s="67">
        <v>6455171861</v>
      </c>
      <c r="C1818" s="72" t="s">
        <v>2884</v>
      </c>
      <c r="D1818" s="69">
        <v>34375910534</v>
      </c>
      <c r="E1818" s="9">
        <v>1417</v>
      </c>
      <c r="F1818" s="25">
        <v>43017</v>
      </c>
      <c r="G1818" s="70" t="s">
        <v>292</v>
      </c>
      <c r="H1818" s="9"/>
      <c r="I1818" s="8"/>
      <c r="J1818" s="8"/>
      <c r="K1818" s="8"/>
      <c r="L1818" s="9" t="s">
        <v>526</v>
      </c>
      <c r="M1818" s="8"/>
    </row>
    <row r="1819" spans="1:13">
      <c r="A1819" s="71" t="s">
        <v>2885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292</v>
      </c>
      <c r="H1819" s="9"/>
      <c r="I1819" s="8"/>
      <c r="J1819" s="8"/>
      <c r="K1819" s="8"/>
      <c r="L1819" s="8"/>
      <c r="M1819" s="8"/>
    </row>
    <row r="1820" spans="1:13">
      <c r="A1820" s="71" t="s">
        <v>2886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292</v>
      </c>
      <c r="H1820" s="9"/>
      <c r="I1820" s="8"/>
      <c r="J1820" s="8"/>
      <c r="K1820" s="8"/>
      <c r="L1820" s="9">
        <v>318</v>
      </c>
      <c r="M1820" s="8"/>
    </row>
    <row r="1821" spans="1:13">
      <c r="A1821" s="71" t="s">
        <v>2887</v>
      </c>
      <c r="B1821" s="67">
        <v>16417318850</v>
      </c>
      <c r="C1821" s="72" t="s">
        <v>2888</v>
      </c>
      <c r="D1821" s="69">
        <v>18195940846</v>
      </c>
      <c r="E1821" s="9">
        <v>810</v>
      </c>
      <c r="F1821" s="25">
        <v>42915</v>
      </c>
      <c r="G1821" s="70" t="s">
        <v>298</v>
      </c>
      <c r="H1821" s="9"/>
      <c r="I1821" s="8"/>
      <c r="J1821" s="8"/>
      <c r="K1821" s="8"/>
      <c r="L1821" s="9" t="s">
        <v>411</v>
      </c>
      <c r="M1821" s="8"/>
    </row>
    <row r="1822" spans="1:13">
      <c r="A1822" s="14" t="s">
        <v>2889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292</v>
      </c>
      <c r="H1822" s="9"/>
      <c r="I1822" s="8"/>
      <c r="J1822" s="8"/>
      <c r="K1822" s="8"/>
      <c r="L1822" s="9">
        <v>1759</v>
      </c>
      <c r="M1822" s="8"/>
    </row>
    <row r="1823" spans="1:13">
      <c r="A1823" s="71" t="s">
        <v>2890</v>
      </c>
      <c r="B1823" s="67">
        <v>14369207878</v>
      </c>
      <c r="C1823" s="72" t="s">
        <v>2891</v>
      </c>
      <c r="D1823" s="69">
        <v>7358923421</v>
      </c>
      <c r="E1823" s="9">
        <v>292</v>
      </c>
      <c r="F1823" s="25">
        <v>43168</v>
      </c>
      <c r="G1823" s="9" t="s">
        <v>292</v>
      </c>
      <c r="H1823" s="9"/>
      <c r="I1823" s="8"/>
      <c r="J1823" s="8"/>
      <c r="K1823" s="8"/>
      <c r="L1823" s="9">
        <v>318</v>
      </c>
      <c r="M1823" s="8"/>
    </row>
    <row r="1824" spans="1:13">
      <c r="A1824" s="71" t="s">
        <v>2892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>
      <c r="A1825" s="71" t="s">
        <v>2892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>
      <c r="A1826" s="71" t="s">
        <v>2893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292</v>
      </c>
      <c r="H1826" s="25">
        <v>43151</v>
      </c>
      <c r="I1826" s="8"/>
      <c r="J1826" s="8"/>
      <c r="K1826" s="8"/>
      <c r="L1826" s="8"/>
      <c r="M1826" s="8"/>
    </row>
    <row r="1827" spans="1:13">
      <c r="A1827" s="40" t="s">
        <v>2894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>
      <c r="A1828" s="71" t="s">
        <v>2895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>
      <c r="A1829" s="71" t="s">
        <v>2896</v>
      </c>
      <c r="B1829" s="67" t="s">
        <v>2897</v>
      </c>
      <c r="C1829" s="72" t="s">
        <v>2898</v>
      </c>
      <c r="D1829" s="69">
        <v>43860821822</v>
      </c>
      <c r="E1829" s="9">
        <v>1752</v>
      </c>
      <c r="F1829" s="25">
        <v>43051</v>
      </c>
      <c r="G1829" s="70" t="s">
        <v>292</v>
      </c>
      <c r="H1829" s="9"/>
      <c r="I1829" s="8"/>
      <c r="J1829" s="8"/>
      <c r="K1829" s="8"/>
      <c r="L1829" s="9">
        <v>1759</v>
      </c>
      <c r="M1829" s="8"/>
    </row>
    <row r="1830" spans="1:13">
      <c r="A1830" s="29" t="s">
        <v>2896</v>
      </c>
      <c r="B1830" s="67"/>
      <c r="C1830" s="18" t="s">
        <v>402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>
      <c r="A1831" s="72" t="s">
        <v>2899</v>
      </c>
      <c r="B1831" s="67">
        <v>32969576856</v>
      </c>
      <c r="C1831" s="72" t="s">
        <v>2900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>
      <c r="A1832" s="18" t="s">
        <v>2901</v>
      </c>
      <c r="B1832" s="67">
        <v>23651706842</v>
      </c>
      <c r="C1832" s="18" t="s">
        <v>2902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>
      <c r="A1833" s="29" t="s">
        <v>2903</v>
      </c>
      <c r="B1833" s="67"/>
      <c r="C1833" s="29" t="s">
        <v>2904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>
      <c r="A1834" s="71" t="s">
        <v>2905</v>
      </c>
      <c r="B1834" s="67">
        <v>24891699809</v>
      </c>
      <c r="C1834" s="72" t="s">
        <v>2906</v>
      </c>
      <c r="D1834" s="69">
        <v>17610300861</v>
      </c>
      <c r="E1834" s="9">
        <v>262</v>
      </c>
      <c r="F1834" s="25">
        <v>43160</v>
      </c>
      <c r="G1834" s="70" t="s">
        <v>298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>
      <c r="A1835" s="13" t="s">
        <v>2907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292</v>
      </c>
      <c r="H1835" s="9"/>
      <c r="I1835" s="8"/>
      <c r="J1835" s="8"/>
      <c r="K1835" s="8"/>
      <c r="L1835" s="8"/>
      <c r="M1835" s="8"/>
    </row>
    <row r="1836" spans="1:13">
      <c r="A1836" s="71" t="s">
        <v>2908</v>
      </c>
      <c r="B1836" s="67">
        <v>79465617687</v>
      </c>
      <c r="C1836" s="77" t="s">
        <v>2909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572</v>
      </c>
      <c r="M1836" s="8"/>
    </row>
    <row r="1837" spans="1:13">
      <c r="A1837" s="29" t="s">
        <v>2910</v>
      </c>
      <c r="B1837" s="67"/>
      <c r="C1837" s="29" t="s">
        <v>402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>
      <c r="A1838" s="71" t="s">
        <v>2911</v>
      </c>
      <c r="B1838" s="67" t="s">
        <v>2912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>
      <c r="A1839" s="18" t="s">
        <v>2913</v>
      </c>
      <c r="B1839" s="67">
        <v>8545670893</v>
      </c>
      <c r="C1839" s="18" t="s">
        <v>2914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>
      <c r="A1840" s="71" t="s">
        <v>2913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292</v>
      </c>
      <c r="H1840" s="9"/>
      <c r="I1840" s="8"/>
      <c r="J1840" s="8"/>
      <c r="K1840" s="8"/>
      <c r="L1840" s="9" t="s">
        <v>411</v>
      </c>
      <c r="M1840" s="8"/>
    </row>
    <row r="1841" spans="1:13">
      <c r="A1841" s="72" t="s">
        <v>2915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>
      <c r="A1842" s="29" t="s">
        <v>2916</v>
      </c>
      <c r="B1842" s="67"/>
      <c r="C1842" s="29" t="s">
        <v>402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>
      <c r="A1843" s="13" t="s">
        <v>2917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292</v>
      </c>
      <c r="H1843" s="9"/>
      <c r="I1843" s="8"/>
      <c r="J1843" s="8"/>
      <c r="K1843" s="8"/>
      <c r="L1843" s="8"/>
      <c r="M1843" s="8"/>
    </row>
    <row r="1844" spans="1:13">
      <c r="A1844" s="72" t="s">
        <v>2918</v>
      </c>
      <c r="B1844" s="69">
        <v>84920157487</v>
      </c>
      <c r="C1844" s="71" t="s">
        <v>2919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>
      <c r="A1845" s="29" t="s">
        <v>2920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>
      <c r="A1846" s="71" t="s">
        <v>2921</v>
      </c>
      <c r="B1846" s="67">
        <v>35331745814</v>
      </c>
      <c r="C1846" s="75" t="s">
        <v>2922</v>
      </c>
      <c r="D1846" s="69">
        <v>33184459837</v>
      </c>
      <c r="E1846" s="9">
        <v>1106</v>
      </c>
      <c r="F1846" s="25">
        <v>42965</v>
      </c>
      <c r="G1846" s="70" t="s">
        <v>292</v>
      </c>
      <c r="H1846" s="9"/>
      <c r="I1846" s="8"/>
      <c r="J1846" s="8"/>
      <c r="K1846" s="8"/>
      <c r="L1846" s="8"/>
      <c r="M1846" s="8"/>
    </row>
    <row r="1847" spans="1:13">
      <c r="A1847" s="15" t="s">
        <v>2923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292</v>
      </c>
      <c r="H1847" s="9"/>
      <c r="I1847" s="8"/>
      <c r="J1847" s="8"/>
      <c r="K1847" s="8"/>
      <c r="L1847" s="9">
        <v>232</v>
      </c>
      <c r="M1847" s="8"/>
    </row>
    <row r="1848" spans="1:13">
      <c r="A1848" s="15" t="s">
        <v>2924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>
      <c r="A1849" s="71" t="s">
        <v>2925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292</v>
      </c>
      <c r="H1849" s="9"/>
      <c r="I1849" s="8"/>
      <c r="J1849" s="8"/>
      <c r="K1849" s="8"/>
      <c r="L1849" s="9">
        <v>1828</v>
      </c>
      <c r="M1849" s="8"/>
    </row>
    <row r="1850" spans="1:13">
      <c r="A1850" s="29" t="s">
        <v>2926</v>
      </c>
      <c r="B1850" s="67">
        <v>14686278805</v>
      </c>
      <c r="C1850" s="18" t="s">
        <v>402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>
      <c r="A1851" s="73" t="s">
        <v>2927</v>
      </c>
      <c r="B1851" s="67">
        <v>14857592851</v>
      </c>
      <c r="C1851" s="72" t="s">
        <v>2928</v>
      </c>
      <c r="D1851" s="69">
        <v>35142215885</v>
      </c>
      <c r="E1851" s="9">
        <v>1106</v>
      </c>
      <c r="F1851" s="25">
        <v>42965</v>
      </c>
      <c r="G1851" s="70" t="s">
        <v>292</v>
      </c>
      <c r="H1851" s="9"/>
      <c r="I1851" s="8"/>
      <c r="J1851" s="8"/>
      <c r="K1851" s="8"/>
      <c r="L1851" s="8"/>
      <c r="M1851" s="8"/>
    </row>
    <row r="1852" spans="1:13">
      <c r="A1852" s="71" t="s">
        <v>2929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292</v>
      </c>
      <c r="H1852" s="9"/>
      <c r="I1852" s="8"/>
      <c r="J1852" s="8"/>
      <c r="K1852" s="8"/>
      <c r="L1852" s="9">
        <v>1828</v>
      </c>
      <c r="M1852" s="8"/>
    </row>
    <row r="1853" spans="1:13">
      <c r="A1853" s="73" t="s">
        <v>2930</v>
      </c>
      <c r="B1853" s="67">
        <v>35714112857</v>
      </c>
      <c r="C1853" s="72" t="s">
        <v>2931</v>
      </c>
      <c r="D1853" s="69">
        <v>32342783850</v>
      </c>
      <c r="E1853" s="9">
        <v>810</v>
      </c>
      <c r="F1853" s="25">
        <v>42915</v>
      </c>
      <c r="G1853" s="70" t="s">
        <v>292</v>
      </c>
      <c r="H1853" s="9"/>
      <c r="I1853" s="8"/>
      <c r="J1853" s="8"/>
      <c r="K1853" s="8"/>
      <c r="L1853" s="9" t="s">
        <v>411</v>
      </c>
      <c r="M1853" s="8"/>
    </row>
    <row r="1854" spans="1:13">
      <c r="A1854" s="15" t="s">
        <v>2932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>
      <c r="A1855" s="71" t="s">
        <v>2933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292</v>
      </c>
      <c r="H1855" s="9"/>
      <c r="I1855" s="8"/>
      <c r="J1855" s="8"/>
      <c r="K1855" s="8"/>
      <c r="L1855" s="9">
        <v>318</v>
      </c>
      <c r="M1855" s="8"/>
    </row>
    <row r="1856" spans="1:13">
      <c r="A1856" s="71" t="s">
        <v>2934</v>
      </c>
      <c r="B1856" s="67">
        <v>22009621859</v>
      </c>
      <c r="C1856" s="72" t="s">
        <v>2935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>
      <c r="A1857" s="71" t="s">
        <v>2936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292</v>
      </c>
      <c r="H1857" s="9"/>
      <c r="I1857" s="8"/>
      <c r="J1857" s="8"/>
      <c r="K1857" s="8"/>
      <c r="L1857" s="9" t="s">
        <v>411</v>
      </c>
      <c r="M1857" s="8"/>
    </row>
    <row r="1858" spans="1:13">
      <c r="A1858" s="71" t="s">
        <v>2937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292</v>
      </c>
      <c r="H1858" s="25">
        <v>43151</v>
      </c>
      <c r="I1858" s="8"/>
      <c r="J1858" s="8"/>
      <c r="K1858" s="8"/>
      <c r="L1858" s="8"/>
      <c r="M1858" s="8"/>
    </row>
    <row r="1859" spans="1:13">
      <c r="A1859" s="71" t="s">
        <v>2938</v>
      </c>
      <c r="B1859" s="67">
        <v>32752183879</v>
      </c>
      <c r="C1859" s="72" t="s">
        <v>2939</v>
      </c>
      <c r="D1859" s="69">
        <v>15202346867</v>
      </c>
      <c r="E1859" s="9">
        <v>85</v>
      </c>
      <c r="F1859" s="25">
        <v>43109</v>
      </c>
      <c r="G1859" s="70" t="s">
        <v>292</v>
      </c>
      <c r="H1859" s="25">
        <v>43151</v>
      </c>
      <c r="I1859" s="8"/>
      <c r="J1859" s="8"/>
      <c r="K1859" s="8"/>
      <c r="L1859" s="8"/>
      <c r="M1859" s="8"/>
    </row>
    <row r="1860" spans="1:13">
      <c r="A1860" s="18" t="s">
        <v>2940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>
      <c r="A1861" s="13" t="s">
        <v>2941</v>
      </c>
      <c r="B1861" s="67">
        <v>13622732873</v>
      </c>
      <c r="C1861" s="68"/>
      <c r="D1861" s="69"/>
      <c r="E1861" s="9"/>
      <c r="F1861" s="25"/>
      <c r="G1861" s="70" t="s">
        <v>292</v>
      </c>
      <c r="H1861" s="9"/>
      <c r="I1861" s="8"/>
      <c r="J1861" s="8"/>
      <c r="K1861" s="8"/>
      <c r="L1861" s="8"/>
      <c r="M1861" s="8"/>
    </row>
    <row r="1862" spans="1:13">
      <c r="A1862" s="71" t="s">
        <v>2942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>
      <c r="A1863" s="71" t="s">
        <v>2943</v>
      </c>
      <c r="B1863" s="67">
        <v>17094778813</v>
      </c>
      <c r="C1863" s="72" t="s">
        <v>2944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>
      <c r="A1864" s="71" t="s">
        <v>2945</v>
      </c>
      <c r="B1864" s="67"/>
      <c r="C1864" s="72" t="s">
        <v>2946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>
      <c r="A1865" s="73" t="s">
        <v>2947</v>
      </c>
      <c r="B1865" s="67">
        <v>43289674878</v>
      </c>
      <c r="C1865" s="72" t="s">
        <v>2948</v>
      </c>
      <c r="D1865" s="69">
        <v>39726735823</v>
      </c>
      <c r="E1865" s="9">
        <v>810</v>
      </c>
      <c r="F1865" s="25">
        <v>42915</v>
      </c>
      <c r="G1865" s="70" t="s">
        <v>292</v>
      </c>
      <c r="H1865" s="9"/>
      <c r="I1865" s="8"/>
      <c r="J1865" s="8"/>
      <c r="K1865" s="8"/>
      <c r="L1865" s="9" t="s">
        <v>411</v>
      </c>
      <c r="M1865" s="8"/>
    </row>
    <row r="1866" spans="1:13">
      <c r="A1866" s="29" t="s">
        <v>2949</v>
      </c>
      <c r="B1866" s="67">
        <v>3778856812</v>
      </c>
      <c r="C1866" s="18" t="s">
        <v>402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>
      <c r="A1867" s="29" t="s">
        <v>2950</v>
      </c>
      <c r="B1867" s="67">
        <v>36074731888</v>
      </c>
      <c r="C1867" s="29" t="s">
        <v>402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>
      <c r="A1868" s="71" t="s">
        <v>2951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>
      <c r="A1869" s="71" t="s">
        <v>2952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292</v>
      </c>
      <c r="H1869" s="9"/>
      <c r="I1869" s="8"/>
      <c r="J1869" s="8"/>
      <c r="K1869" s="8"/>
      <c r="L1869" s="9">
        <v>1759</v>
      </c>
      <c r="M1869" s="8"/>
    </row>
    <row r="1870" spans="1:13">
      <c r="A1870" s="13" t="s">
        <v>2953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572</v>
      </c>
      <c r="M1870" s="8"/>
    </row>
    <row r="1871" spans="1:13">
      <c r="A1871" s="71" t="s">
        <v>2954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>
      <c r="A1872" s="71" t="s">
        <v>2955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292</v>
      </c>
      <c r="H1872" s="9"/>
      <c r="I1872" s="8"/>
      <c r="J1872" s="8"/>
      <c r="K1872" s="8"/>
      <c r="L1872" s="9">
        <v>1828</v>
      </c>
      <c r="M1872" s="8"/>
    </row>
    <row r="1873" spans="1:13">
      <c r="A1873" s="71" t="s">
        <v>2956</v>
      </c>
      <c r="B1873" s="67">
        <v>35885861803</v>
      </c>
      <c r="C1873" s="72" t="s">
        <v>2957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>
      <c r="A1874" s="71" t="s">
        <v>2958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>
      <c r="A1875" s="71" t="s">
        <v>2959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292</v>
      </c>
      <c r="H1875" s="9"/>
      <c r="I1875" s="8"/>
      <c r="J1875" s="8"/>
      <c r="K1875" s="8"/>
      <c r="L1875" s="9" t="s">
        <v>411</v>
      </c>
      <c r="M1875" s="8"/>
    </row>
    <row r="1876" spans="1:13">
      <c r="A1876" s="13" t="s">
        <v>2960</v>
      </c>
      <c r="B1876" s="67">
        <v>14888258821</v>
      </c>
      <c r="C1876" s="72" t="s">
        <v>2961</v>
      </c>
      <c r="D1876" s="69">
        <v>9173891827</v>
      </c>
      <c r="E1876" s="9">
        <v>229</v>
      </c>
      <c r="F1876" s="25">
        <v>43151</v>
      </c>
      <c r="G1876" s="70" t="s">
        <v>292</v>
      </c>
      <c r="H1876" s="9"/>
      <c r="I1876" s="8"/>
      <c r="J1876" s="8"/>
      <c r="K1876" s="8"/>
      <c r="L1876" s="9">
        <v>232</v>
      </c>
      <c r="M1876" s="8"/>
    </row>
    <row r="1877" spans="1:13">
      <c r="A1877" s="71" t="s">
        <v>2962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292</v>
      </c>
      <c r="H1877" s="9"/>
      <c r="I1877" s="8"/>
      <c r="J1877" s="8"/>
      <c r="K1877" s="8"/>
      <c r="L1877" s="9" t="s">
        <v>775</v>
      </c>
      <c r="M1877" s="8"/>
    </row>
    <row r="1878" spans="1:13">
      <c r="A1878" s="73" t="s">
        <v>2963</v>
      </c>
      <c r="B1878" s="67">
        <v>36238125870</v>
      </c>
      <c r="C1878" s="72" t="s">
        <v>2964</v>
      </c>
      <c r="D1878" s="69">
        <v>44321368391</v>
      </c>
      <c r="E1878" s="9">
        <v>1106</v>
      </c>
      <c r="F1878" s="25">
        <v>42965</v>
      </c>
      <c r="G1878" s="70" t="s">
        <v>292</v>
      </c>
      <c r="H1878" s="9"/>
      <c r="I1878" s="8"/>
      <c r="J1878" s="8"/>
      <c r="K1878" s="8"/>
      <c r="L1878" s="8"/>
      <c r="M1878" s="8"/>
    </row>
    <row r="1879" spans="1:13">
      <c r="A1879" s="71" t="s">
        <v>2965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292</v>
      </c>
      <c r="H1879" s="9"/>
      <c r="I1879" s="8"/>
      <c r="J1879" s="8"/>
      <c r="K1879" s="8"/>
      <c r="L1879" s="9">
        <v>318</v>
      </c>
      <c r="M1879" s="8"/>
    </row>
    <row r="1880" spans="1:13">
      <c r="A1880" s="71" t="s">
        <v>2966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>
      <c r="A1881" s="29" t="s">
        <v>2967</v>
      </c>
      <c r="B1881" s="67">
        <v>25970465836</v>
      </c>
      <c r="C1881" s="29" t="s">
        <v>2968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>
      <c r="A1882" s="72" t="s">
        <v>2969</v>
      </c>
      <c r="B1882" s="67">
        <v>26569869825</v>
      </c>
      <c r="C1882" s="15" t="s">
        <v>2970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>
      <c r="A1883" s="73" t="s">
        <v>2971</v>
      </c>
      <c r="B1883" s="67">
        <v>87835053349</v>
      </c>
      <c r="C1883" s="72" t="s">
        <v>2972</v>
      </c>
      <c r="D1883" s="69">
        <v>18172850840</v>
      </c>
      <c r="E1883" s="9">
        <v>1106</v>
      </c>
      <c r="F1883" s="25">
        <v>42965</v>
      </c>
      <c r="G1883" s="70" t="s">
        <v>292</v>
      </c>
      <c r="H1883" s="9"/>
      <c r="I1883" s="8"/>
      <c r="J1883" s="8"/>
      <c r="K1883" s="8"/>
      <c r="L1883" s="8"/>
      <c r="M1883" s="8"/>
    </row>
    <row r="1884" spans="1:13">
      <c r="A1884" s="71" t="s">
        <v>2973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572</v>
      </c>
      <c r="M1884" s="8"/>
    </row>
    <row r="1885" spans="1:13">
      <c r="A1885" s="72" t="s">
        <v>2974</v>
      </c>
      <c r="B1885" s="67">
        <v>32747471810</v>
      </c>
      <c r="C1885" s="72" t="s">
        <v>2975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>
      <c r="A1886" s="84" t="s">
        <v>2976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>
      <c r="A1887" s="71" t="s">
        <v>2977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292</v>
      </c>
      <c r="H1887" s="9"/>
      <c r="I1887" s="8"/>
      <c r="J1887" s="8"/>
      <c r="K1887" s="8"/>
      <c r="L1887" s="9">
        <v>318</v>
      </c>
      <c r="M1887" s="8"/>
    </row>
    <row r="1888" spans="1:13">
      <c r="A1888" s="73" t="s">
        <v>2978</v>
      </c>
      <c r="B1888" s="67">
        <v>31413965822</v>
      </c>
      <c r="C1888" s="72" t="s">
        <v>2979</v>
      </c>
      <c r="D1888" s="69">
        <v>17486425882</v>
      </c>
      <c r="E1888" s="9">
        <v>1106</v>
      </c>
      <c r="F1888" s="25">
        <v>42965</v>
      </c>
      <c r="G1888" s="70" t="s">
        <v>292</v>
      </c>
      <c r="H1888" s="9"/>
      <c r="I1888" s="8"/>
      <c r="J1888" s="8"/>
      <c r="K1888" s="8"/>
      <c r="L1888" s="8"/>
      <c r="M1888" s="8"/>
    </row>
    <row r="1889" spans="1:13">
      <c r="A1889" s="33" t="s">
        <v>2980</v>
      </c>
      <c r="B1889" s="67">
        <v>35736302861</v>
      </c>
      <c r="C1889" s="72" t="s">
        <v>2981</v>
      </c>
      <c r="D1889" s="69">
        <v>39355200854</v>
      </c>
      <c r="E1889" s="9">
        <v>229</v>
      </c>
      <c r="F1889" s="25">
        <v>43151</v>
      </c>
      <c r="G1889" s="70" t="s">
        <v>292</v>
      </c>
      <c r="H1889" s="9"/>
      <c r="I1889" s="8"/>
      <c r="J1889" s="8"/>
      <c r="K1889" s="8"/>
      <c r="L1889" s="9">
        <v>232</v>
      </c>
      <c r="M1889" s="8"/>
    </row>
    <row r="1890" spans="1:13">
      <c r="A1890" s="13" t="s">
        <v>2982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292</v>
      </c>
      <c r="H1890" s="9"/>
      <c r="I1890" s="8"/>
      <c r="J1890" s="8"/>
      <c r="K1890" s="8"/>
      <c r="L1890" s="8"/>
      <c r="M1890" s="8"/>
    </row>
    <row r="1891" spans="1:13">
      <c r="A1891" s="15" t="s">
        <v>2983</v>
      </c>
      <c r="B1891" s="67">
        <v>16364261825</v>
      </c>
      <c r="C1891" s="72" t="s">
        <v>2984</v>
      </c>
      <c r="D1891" s="69">
        <v>3293003427</v>
      </c>
      <c r="E1891" s="9">
        <v>117</v>
      </c>
      <c r="F1891" s="25">
        <v>43117</v>
      </c>
      <c r="G1891" s="70" t="s">
        <v>292</v>
      </c>
      <c r="H1891" s="9"/>
      <c r="I1891" s="8"/>
      <c r="J1891" s="8"/>
      <c r="K1891" s="8"/>
      <c r="L1891" s="9" t="s">
        <v>443</v>
      </c>
      <c r="M1891" s="8"/>
    </row>
    <row r="1892" spans="1:13">
      <c r="A1892" s="84" t="s">
        <v>2985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>
      <c r="A1893" s="71" t="s">
        <v>2986</v>
      </c>
      <c r="B1893" s="67">
        <v>33729129856</v>
      </c>
      <c r="C1893" s="72" t="s">
        <v>2987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>
      <c r="A1894" s="15" t="s">
        <v>2988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292</v>
      </c>
      <c r="H1894" s="9"/>
      <c r="I1894" s="8"/>
      <c r="J1894" s="8"/>
      <c r="K1894" s="8"/>
      <c r="L1894" s="9">
        <v>318</v>
      </c>
      <c r="M1894" s="8"/>
    </row>
    <row r="1895" spans="1:13">
      <c r="A1895" s="73" t="s">
        <v>2989</v>
      </c>
      <c r="B1895" s="67">
        <v>6579182458</v>
      </c>
      <c r="C1895" s="72" t="s">
        <v>2990</v>
      </c>
      <c r="D1895" s="69">
        <v>7424068490</v>
      </c>
      <c r="E1895" s="9">
        <v>810</v>
      </c>
      <c r="F1895" s="25">
        <v>42915</v>
      </c>
      <c r="G1895" s="70" t="s">
        <v>292</v>
      </c>
      <c r="H1895" s="9"/>
      <c r="I1895" s="8"/>
      <c r="J1895" s="8"/>
      <c r="K1895" s="8"/>
      <c r="L1895" s="9" t="s">
        <v>411</v>
      </c>
      <c r="M1895" s="8"/>
    </row>
    <row r="1896" spans="1:13">
      <c r="A1896" s="71" t="s">
        <v>2991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>
      <c r="A1897" s="29" t="s">
        <v>2992</v>
      </c>
      <c r="B1897" s="67">
        <v>65195140553</v>
      </c>
      <c r="C1897" s="29" t="s">
        <v>402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>
      <c r="A1898" s="71" t="s">
        <v>2993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>
      <c r="A1899" s="71" t="s">
        <v>2993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292</v>
      </c>
      <c r="H1899" s="9"/>
      <c r="I1899" s="8"/>
      <c r="J1899" s="8"/>
      <c r="K1899" s="8"/>
      <c r="L1899" s="8"/>
      <c r="M1899" s="8"/>
    </row>
    <row r="1900" spans="1:13">
      <c r="A1900" s="71" t="s">
        <v>2994</v>
      </c>
      <c r="B1900" s="67">
        <v>17146759806</v>
      </c>
      <c r="C1900" s="72" t="s">
        <v>2995</v>
      </c>
      <c r="D1900" s="69">
        <v>39095494896</v>
      </c>
      <c r="E1900" s="9">
        <v>1262</v>
      </c>
      <c r="F1900" s="25">
        <v>42997</v>
      </c>
      <c r="G1900" s="70" t="s">
        <v>298</v>
      </c>
      <c r="H1900" s="9"/>
      <c r="I1900" s="8"/>
      <c r="J1900" s="8"/>
      <c r="K1900" s="8"/>
      <c r="L1900" s="8"/>
      <c r="M1900" s="8"/>
    </row>
    <row r="1901" spans="1:13">
      <c r="A1901" s="13" t="s">
        <v>2996</v>
      </c>
      <c r="B1901" s="67">
        <v>3893020403</v>
      </c>
      <c r="C1901" s="68" t="s">
        <v>2997</v>
      </c>
      <c r="D1901" s="69">
        <v>31615704809</v>
      </c>
      <c r="E1901" s="9">
        <v>1128</v>
      </c>
      <c r="F1901" s="25">
        <v>42972</v>
      </c>
      <c r="G1901" s="70" t="s">
        <v>292</v>
      </c>
      <c r="H1901" s="9"/>
      <c r="I1901" s="8"/>
      <c r="J1901" s="8"/>
      <c r="K1901" s="8"/>
      <c r="L1901" s="8"/>
      <c r="M1901" s="8"/>
    </row>
    <row r="1902" spans="1:13">
      <c r="A1902" s="73" t="s">
        <v>2998</v>
      </c>
      <c r="B1902" s="67">
        <v>70116695404</v>
      </c>
      <c r="C1902" s="72" t="s">
        <v>2999</v>
      </c>
      <c r="D1902" s="69">
        <v>66319943491</v>
      </c>
      <c r="E1902" s="9">
        <v>1106</v>
      </c>
      <c r="F1902" s="25">
        <v>42965</v>
      </c>
      <c r="G1902" s="70" t="s">
        <v>292</v>
      </c>
      <c r="H1902" s="9"/>
      <c r="I1902" s="8"/>
      <c r="J1902" s="8"/>
      <c r="K1902" s="8"/>
      <c r="L1902" s="8"/>
      <c r="M1902" s="8"/>
    </row>
    <row r="1903" spans="1:13">
      <c r="A1903" s="29" t="s">
        <v>3000</v>
      </c>
      <c r="B1903" s="67"/>
      <c r="C1903" s="29" t="s">
        <v>3001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>
      <c r="A1904" s="29" t="s">
        <v>3002</v>
      </c>
      <c r="B1904" s="67"/>
      <c r="C1904" s="29" t="s">
        <v>402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>
      <c r="A1905" s="29" t="s">
        <v>3003</v>
      </c>
      <c r="B1905" s="67"/>
      <c r="C1905" s="29" t="s">
        <v>3004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>
      <c r="A1906" s="71" t="s">
        <v>3005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292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>
      <c r="A1907" s="71" t="s">
        <v>3006</v>
      </c>
      <c r="B1907" s="67">
        <v>6936214436</v>
      </c>
      <c r="C1907" s="72" t="s">
        <v>3007</v>
      </c>
      <c r="D1907" s="69">
        <v>8583452423</v>
      </c>
      <c r="E1907" s="9">
        <v>85</v>
      </c>
      <c r="F1907" s="25">
        <v>43109</v>
      </c>
      <c r="G1907" s="70" t="s">
        <v>292</v>
      </c>
      <c r="H1907" s="25">
        <v>43151</v>
      </c>
      <c r="I1907" s="8"/>
      <c r="J1907" s="8"/>
      <c r="K1907" s="8"/>
      <c r="L1907" s="8"/>
      <c r="M1907" s="8"/>
    </row>
    <row r="1908" spans="1:13">
      <c r="A1908" s="71" t="s">
        <v>3008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292</v>
      </c>
      <c r="H1908" s="9"/>
      <c r="I1908" s="8"/>
      <c r="J1908" s="8"/>
      <c r="K1908" s="8"/>
      <c r="L1908" s="9" t="s">
        <v>411</v>
      </c>
      <c r="M1908" s="8"/>
    </row>
    <row r="1909" spans="1:13">
      <c r="A1909" s="15" t="s">
        <v>3009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292</v>
      </c>
      <c r="H1909" s="25">
        <v>43151</v>
      </c>
      <c r="I1909" s="8"/>
      <c r="J1909" s="8"/>
      <c r="K1909" s="8"/>
      <c r="L1909" s="8"/>
      <c r="M1909" s="8"/>
    </row>
    <row r="1910" spans="1:13">
      <c r="A1910" s="29" t="s">
        <v>3010</v>
      </c>
      <c r="B1910" s="67">
        <v>35264817847</v>
      </c>
      <c r="C1910" s="29" t="s">
        <v>402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>
      <c r="A1911" s="91" t="s">
        <v>3011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>
      <c r="A1912" s="13" t="s">
        <v>3012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292</v>
      </c>
      <c r="H1912" s="9"/>
      <c r="I1912" s="8"/>
      <c r="J1912" s="8"/>
      <c r="K1912" s="8"/>
      <c r="L1912" s="8"/>
      <c r="M1912" s="8"/>
    </row>
    <row r="1913" spans="1:13">
      <c r="A1913" s="71" t="s">
        <v>3013</v>
      </c>
      <c r="B1913" s="67">
        <v>90046226591</v>
      </c>
      <c r="C1913" s="72" t="s">
        <v>3014</v>
      </c>
      <c r="D1913" s="69">
        <v>74829505591</v>
      </c>
      <c r="E1913" s="9">
        <v>262</v>
      </c>
      <c r="F1913" s="25">
        <v>43160</v>
      </c>
      <c r="G1913" s="9" t="s">
        <v>292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>
      <c r="A1914" s="15" t="s">
        <v>3015</v>
      </c>
      <c r="B1914" s="67">
        <v>29871369867</v>
      </c>
      <c r="C1914" s="72" t="s">
        <v>3016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>
      <c r="A1915" s="71" t="s">
        <v>3017</v>
      </c>
      <c r="B1915" s="67">
        <v>26681571883</v>
      </c>
      <c r="C1915" s="71" t="s">
        <v>3018</v>
      </c>
      <c r="D1915" s="69">
        <v>18465693897</v>
      </c>
      <c r="E1915" s="9">
        <v>292</v>
      </c>
      <c r="F1915" s="25">
        <v>43168</v>
      </c>
      <c r="G1915" s="70" t="s">
        <v>292</v>
      </c>
      <c r="H1915" s="9"/>
      <c r="I1915" s="8"/>
      <c r="J1915" s="8"/>
      <c r="K1915" s="8"/>
      <c r="L1915" s="9">
        <v>318</v>
      </c>
      <c r="M1915" s="8"/>
    </row>
    <row r="1916" spans="1:13">
      <c r="A1916" s="72" t="s">
        <v>3019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>
      <c r="A1917" s="13" t="s">
        <v>3020</v>
      </c>
      <c r="B1917" s="67">
        <v>26526680801</v>
      </c>
      <c r="C1917" s="68" t="s">
        <v>3021</v>
      </c>
      <c r="D1917" s="69">
        <v>7117205631</v>
      </c>
      <c r="E1917" s="9">
        <v>1128</v>
      </c>
      <c r="F1917" s="25">
        <v>42972</v>
      </c>
      <c r="G1917" s="70" t="s">
        <v>292</v>
      </c>
      <c r="H1917" s="9"/>
      <c r="I1917" s="8"/>
      <c r="J1917" s="8"/>
      <c r="K1917" s="8"/>
      <c r="L1917" s="8"/>
      <c r="M1917" s="8"/>
    </row>
    <row r="1918" spans="1:13">
      <c r="A1918" s="71" t="s">
        <v>3022</v>
      </c>
      <c r="B1918" s="67">
        <v>67285902420</v>
      </c>
      <c r="C1918" s="72" t="s">
        <v>1790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572</v>
      </c>
      <c r="M1918" s="8"/>
    </row>
    <row r="1919" spans="1:13">
      <c r="A1919" s="29" t="s">
        <v>3023</v>
      </c>
      <c r="B1919" s="67"/>
      <c r="C1919" s="18" t="s">
        <v>402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>
      <c r="A1920" s="71" t="s">
        <v>3024</v>
      </c>
      <c r="B1920" s="67">
        <v>1097111490</v>
      </c>
      <c r="C1920" s="77" t="s">
        <v>3025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572</v>
      </c>
      <c r="M1920" s="8"/>
    </row>
    <row r="1921" spans="1:13">
      <c r="A1921" s="71" t="s">
        <v>3026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292</v>
      </c>
      <c r="H1921" s="9"/>
      <c r="I1921" s="8"/>
      <c r="J1921" s="8"/>
      <c r="K1921" s="8"/>
      <c r="L1921" s="9">
        <v>318</v>
      </c>
      <c r="M1921" s="8"/>
    </row>
    <row r="1922" spans="1:13">
      <c r="A1922" s="13" t="s">
        <v>3027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292</v>
      </c>
      <c r="H1922" s="9"/>
      <c r="I1922" s="8"/>
      <c r="J1922" s="8"/>
      <c r="K1922" s="8"/>
      <c r="L1922" s="8"/>
      <c r="M1922" s="8"/>
    </row>
    <row r="1923" spans="1:13">
      <c r="A1923" s="71" t="s">
        <v>3028</v>
      </c>
      <c r="B1923" s="67">
        <v>16756911856</v>
      </c>
      <c r="C1923" s="72" t="s">
        <v>3029</v>
      </c>
      <c r="D1923" s="69">
        <v>10411415808</v>
      </c>
      <c r="E1923" s="9">
        <v>1752</v>
      </c>
      <c r="F1923" s="25">
        <v>43051</v>
      </c>
      <c r="G1923" s="70" t="s">
        <v>292</v>
      </c>
      <c r="H1923" s="9"/>
      <c r="I1923" s="8"/>
      <c r="J1923" s="8"/>
      <c r="K1923" s="8"/>
      <c r="L1923" s="9">
        <v>1759</v>
      </c>
      <c r="M1923" s="8"/>
    </row>
    <row r="1924" spans="1:13">
      <c r="A1924" s="71" t="s">
        <v>3030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>
      <c r="A1925" s="71" t="s">
        <v>3031</v>
      </c>
      <c r="B1925" s="67"/>
      <c r="C1925" s="72" t="s">
        <v>3032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>
      <c r="A1926" s="13" t="s">
        <v>3033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298</v>
      </c>
      <c r="H1926" s="9"/>
      <c r="I1926" s="8"/>
      <c r="J1926" s="8"/>
      <c r="K1926" s="8"/>
      <c r="L1926" s="8"/>
      <c r="M1926" s="8"/>
    </row>
    <row r="1927" spans="1:13">
      <c r="A1927" s="72" t="s">
        <v>3034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>
      <c r="A1928" s="13" t="s">
        <v>3035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292</v>
      </c>
      <c r="H1928" s="9"/>
      <c r="I1928" s="8"/>
      <c r="J1928" s="8"/>
      <c r="K1928" s="8"/>
      <c r="L1928" s="9" t="s">
        <v>775</v>
      </c>
      <c r="M1928" s="8"/>
    </row>
    <row r="1929" spans="1:13">
      <c r="A1929" s="29" t="s">
        <v>3036</v>
      </c>
      <c r="B1929" s="67"/>
      <c r="C1929" s="29" t="s">
        <v>402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>
      <c r="A1930" s="29" t="s">
        <v>3037</v>
      </c>
      <c r="B1930" s="67"/>
      <c r="C1930" s="29" t="s">
        <v>3038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>
      <c r="A1931" s="71" t="s">
        <v>3039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292</v>
      </c>
      <c r="H1931" s="9"/>
      <c r="I1931" s="8"/>
      <c r="J1931" s="8"/>
      <c r="K1931" s="8"/>
      <c r="L1931" s="9">
        <v>318</v>
      </c>
      <c r="M1931" s="8"/>
    </row>
    <row r="1932" spans="1:13">
      <c r="A1932" s="71" t="s">
        <v>3040</v>
      </c>
      <c r="B1932" s="67">
        <v>30900118830</v>
      </c>
      <c r="C1932" s="72" t="s">
        <v>3041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>
      <c r="A1933" s="18" t="s">
        <v>3042</v>
      </c>
      <c r="B1933" s="67">
        <v>64217299400</v>
      </c>
      <c r="C1933" s="18" t="s">
        <v>3043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>
      <c r="A1934" s="71" t="s">
        <v>3044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>
      <c r="A1935" s="72" t="s">
        <v>3045</v>
      </c>
      <c r="B1935" s="67">
        <v>95875409487</v>
      </c>
      <c r="C1935" s="72" t="s">
        <v>3046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>
      <c r="A1936" s="18" t="s">
        <v>3047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>
      <c r="A1937" s="71" t="s">
        <v>3048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292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>
      <c r="A1938" s="14" t="s">
        <v>3049</v>
      </c>
      <c r="B1938" s="67">
        <v>26655730325</v>
      </c>
      <c r="C1938" s="72" t="s">
        <v>3050</v>
      </c>
      <c r="D1938" s="69">
        <v>59222891520</v>
      </c>
      <c r="E1938" s="9">
        <v>262</v>
      </c>
      <c r="F1938" s="25">
        <v>43160</v>
      </c>
      <c r="G1938" s="70" t="s">
        <v>292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>
      <c r="A1939" s="73" t="s">
        <v>3051</v>
      </c>
      <c r="B1939" s="67">
        <v>15696788807</v>
      </c>
      <c r="C1939" s="72" t="s">
        <v>3052</v>
      </c>
      <c r="D1939" s="69">
        <v>4231184801</v>
      </c>
      <c r="E1939" s="9">
        <v>1555</v>
      </c>
      <c r="F1939" s="25">
        <v>43049</v>
      </c>
      <c r="G1939" s="70" t="s">
        <v>292</v>
      </c>
      <c r="H1939" s="9"/>
      <c r="I1939" s="8"/>
      <c r="J1939" s="8"/>
      <c r="K1939" s="8"/>
      <c r="L1939" s="9" t="s">
        <v>671</v>
      </c>
      <c r="M1939" s="8"/>
    </row>
    <row r="1940" spans="1:13">
      <c r="A1940" s="71" t="s">
        <v>3053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298</v>
      </c>
      <c r="H1940" s="9"/>
      <c r="I1940" s="8"/>
      <c r="J1940" s="8"/>
      <c r="K1940" s="8"/>
      <c r="L1940" s="8"/>
      <c r="M1940" s="8"/>
    </row>
    <row r="1941" spans="1:13">
      <c r="A1941" s="71" t="s">
        <v>3054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292</v>
      </c>
      <c r="H1941" s="9"/>
      <c r="I1941" s="8"/>
      <c r="J1941" s="8"/>
      <c r="K1941" s="8"/>
      <c r="L1941" s="9" t="s">
        <v>443</v>
      </c>
      <c r="M1941" s="8"/>
    </row>
    <row r="1942" spans="1:13">
      <c r="A1942" s="71" t="s">
        <v>3055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292</v>
      </c>
      <c r="H1942" s="9"/>
      <c r="I1942" s="8"/>
      <c r="J1942" s="8"/>
      <c r="K1942" s="8"/>
      <c r="L1942" s="8"/>
      <c r="M1942" s="8"/>
    </row>
    <row r="1943" spans="1:13">
      <c r="A1943" s="71" t="s">
        <v>3056</v>
      </c>
      <c r="B1943" s="67">
        <v>1280254688</v>
      </c>
      <c r="C1943" s="72" t="s">
        <v>3057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>
      <c r="A1944" s="13" t="s">
        <v>3058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292</v>
      </c>
      <c r="H1944" s="9"/>
      <c r="I1944" s="8"/>
      <c r="J1944" s="8"/>
      <c r="K1944" s="8"/>
      <c r="L1944" s="8"/>
      <c r="M1944" s="8"/>
    </row>
    <row r="1945" spans="1:13">
      <c r="A1945" s="15" t="s">
        <v>3059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>
      <c r="A1946" s="71" t="s">
        <v>3060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>
      <c r="A1947" s="71" t="s">
        <v>3061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292</v>
      </c>
      <c r="H1947" s="9"/>
      <c r="I1947" s="8"/>
      <c r="J1947" s="8"/>
      <c r="K1947" s="8"/>
      <c r="L1947" s="8"/>
      <c r="M1947" s="8"/>
    </row>
    <row r="1948" spans="1:13">
      <c r="A1948" s="14" t="s">
        <v>3062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>
      <c r="A1949" s="71" t="s">
        <v>3062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292</v>
      </c>
      <c r="H1949" s="9"/>
      <c r="I1949" s="8"/>
      <c r="J1949" s="8"/>
      <c r="K1949" s="8"/>
      <c r="L1949" s="9">
        <v>232</v>
      </c>
      <c r="M1949" s="8"/>
    </row>
    <row r="1950" spans="1:13">
      <c r="A1950" s="71" t="s">
        <v>3062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292</v>
      </c>
      <c r="H1950" s="9"/>
      <c r="I1950" s="8"/>
      <c r="J1950" s="8"/>
      <c r="K1950" s="8"/>
      <c r="L1950" s="9">
        <v>318</v>
      </c>
      <c r="M1950" s="8"/>
    </row>
    <row r="1951" spans="1:13">
      <c r="A1951" s="71" t="s">
        <v>3063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>
      <c r="A1952" s="29" t="s">
        <v>3064</v>
      </c>
      <c r="B1952" s="67">
        <v>33635659843</v>
      </c>
      <c r="C1952" s="29" t="s">
        <v>3065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>
      <c r="A1953" s="15" t="s">
        <v>3066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292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>
      <c r="A1954" s="71" t="s">
        <v>3066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572</v>
      </c>
      <c r="M1954" s="8"/>
    </row>
    <row r="1955" spans="1:13">
      <c r="A1955" s="71" t="s">
        <v>3067</v>
      </c>
      <c r="B1955" s="67">
        <v>36841231880</v>
      </c>
      <c r="C1955" s="77" t="s">
        <v>3068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>
      <c r="A1956" s="13" t="s">
        <v>3069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292</v>
      </c>
      <c r="H1956" s="9"/>
      <c r="I1956" s="8"/>
      <c r="J1956" s="8"/>
      <c r="K1956" s="8"/>
      <c r="L1956" s="9" t="s">
        <v>433</v>
      </c>
      <c r="M1956" s="8"/>
    </row>
    <row r="1957" spans="1:13">
      <c r="A1957" s="29" t="s">
        <v>3070</v>
      </c>
      <c r="B1957" s="67"/>
      <c r="C1957" s="29" t="s">
        <v>402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>
      <c r="A1958" s="71" t="s">
        <v>3071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292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>
      <c r="A1959" s="29" t="s">
        <v>3072</v>
      </c>
      <c r="B1959" s="67"/>
      <c r="C1959" s="29" t="s">
        <v>3073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>
      <c r="A1960" s="71" t="s">
        <v>3074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>
      <c r="A1961" s="29" t="s">
        <v>3075</v>
      </c>
      <c r="B1961" s="67">
        <v>64404714734</v>
      </c>
      <c r="C1961" s="29" t="s">
        <v>3076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>
      <c r="A1962" s="29" t="s">
        <v>3077</v>
      </c>
      <c r="B1962" s="67">
        <v>29783527878</v>
      </c>
      <c r="C1962" s="29" t="s">
        <v>3078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>
      <c r="A1963" s="71" t="s">
        <v>3079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292</v>
      </c>
      <c r="H1963" s="9"/>
      <c r="I1963" s="8"/>
      <c r="J1963" s="8"/>
      <c r="K1963" s="8"/>
      <c r="L1963" s="8"/>
      <c r="M1963" s="8"/>
    </row>
    <row r="1964" spans="1:13">
      <c r="A1964" s="18" t="s">
        <v>3080</v>
      </c>
      <c r="B1964" s="67">
        <v>70155356372</v>
      </c>
      <c r="C1964" s="18" t="s">
        <v>3081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>
      <c r="A1965" s="71" t="s">
        <v>3082</v>
      </c>
      <c r="B1965" s="67">
        <v>4350125337</v>
      </c>
      <c r="C1965" s="72" t="s">
        <v>3083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>
      <c r="A1966" s="71" t="s">
        <v>3084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306</v>
      </c>
      <c r="H1966" s="9"/>
      <c r="I1966" s="8"/>
      <c r="J1966" s="8"/>
      <c r="K1966" s="8"/>
      <c r="L1966" s="9" t="s">
        <v>526</v>
      </c>
      <c r="M1966" s="8"/>
    </row>
    <row r="1967" spans="1:13">
      <c r="A1967" s="72" t="s">
        <v>3085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292</v>
      </c>
      <c r="H1967" s="9"/>
      <c r="I1967" s="8"/>
      <c r="J1967" s="8"/>
      <c r="K1967" s="8"/>
      <c r="L1967" s="9">
        <v>318</v>
      </c>
      <c r="M1967" s="8"/>
    </row>
    <row r="1968" spans="1:13">
      <c r="A1968" s="71" t="s">
        <v>3086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>
      <c r="A1969" s="29" t="s">
        <v>3087</v>
      </c>
      <c r="B1969" s="67"/>
      <c r="C1969" s="29" t="s">
        <v>402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>
      <c r="A1970" s="72" t="s">
        <v>3088</v>
      </c>
      <c r="B1970" s="67">
        <v>49628474812</v>
      </c>
      <c r="C1970" s="72" t="s">
        <v>3089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>
      <c r="A1971" s="71" t="s">
        <v>3090</v>
      </c>
      <c r="B1971" s="67">
        <v>37473032852</v>
      </c>
      <c r="C1971" s="72" t="s">
        <v>3091</v>
      </c>
      <c r="D1971" s="69">
        <v>21894541820</v>
      </c>
      <c r="E1971" s="9">
        <v>1824</v>
      </c>
      <c r="F1971" s="25">
        <v>43091</v>
      </c>
      <c r="G1971" s="70" t="s">
        <v>306</v>
      </c>
      <c r="H1971" s="9"/>
      <c r="I1971" s="8"/>
      <c r="J1971" s="8"/>
      <c r="K1971" s="8"/>
      <c r="L1971" s="9">
        <v>1828</v>
      </c>
      <c r="M1971" s="8"/>
    </row>
    <row r="1972" spans="1:13">
      <c r="A1972" s="71" t="s">
        <v>3092</v>
      </c>
      <c r="B1972" s="67">
        <v>36383878875</v>
      </c>
      <c r="C1972" s="72" t="s">
        <v>3093</v>
      </c>
      <c r="D1972" s="69">
        <v>39907872849</v>
      </c>
      <c r="E1972" s="9">
        <v>117</v>
      </c>
      <c r="F1972" s="25">
        <v>43117</v>
      </c>
      <c r="G1972" s="70" t="s">
        <v>298</v>
      </c>
      <c r="H1972" s="9"/>
      <c r="I1972" s="8"/>
      <c r="J1972" s="8"/>
      <c r="K1972" s="8"/>
      <c r="L1972" s="9" t="s">
        <v>443</v>
      </c>
      <c r="M1972" s="8"/>
    </row>
    <row r="1973" spans="1:13">
      <c r="A1973" s="71" t="s">
        <v>3094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292</v>
      </c>
      <c r="H1973" s="9"/>
      <c r="I1973" s="8"/>
      <c r="J1973" s="8"/>
      <c r="K1973" s="8"/>
      <c r="L1973" s="9">
        <v>1759</v>
      </c>
      <c r="M1973" s="8"/>
    </row>
    <row r="1974" spans="1:13">
      <c r="A1974" s="71" t="s">
        <v>3095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292</v>
      </c>
      <c r="H1974" s="9"/>
      <c r="I1974" s="8"/>
      <c r="J1974" s="8"/>
      <c r="K1974" s="8"/>
      <c r="L1974" s="8"/>
      <c r="M1974" s="8"/>
    </row>
    <row r="1975" spans="1:13">
      <c r="A1975" s="71" t="s">
        <v>3095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292</v>
      </c>
      <c r="H1975" s="9"/>
      <c r="I1975" s="8"/>
      <c r="J1975" s="8"/>
      <c r="K1975" s="8"/>
      <c r="L1975" s="8"/>
      <c r="M1975" s="8"/>
    </row>
    <row r="1976" spans="1:13">
      <c r="A1976" s="71" t="s">
        <v>3095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292</v>
      </c>
      <c r="H1976" s="9"/>
      <c r="I1976" s="8"/>
      <c r="J1976" s="8"/>
      <c r="K1976" s="8"/>
      <c r="L1976" s="9">
        <v>318</v>
      </c>
      <c r="M1976" s="8"/>
    </row>
    <row r="1977" spans="1:13">
      <c r="A1977" s="92" t="s">
        <v>3096</v>
      </c>
      <c r="B1977" s="80">
        <v>87102331487</v>
      </c>
      <c r="C1977" s="81" t="s">
        <v>3097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411</v>
      </c>
      <c r="M1977" s="49"/>
    </row>
    <row r="1978" spans="1:13">
      <c r="A1978" s="15" t="s">
        <v>3098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292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>
      <c r="A1979" s="71" t="s">
        <v>3099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292</v>
      </c>
      <c r="H1979" s="9"/>
      <c r="I1979" s="8"/>
      <c r="J1979" s="8"/>
      <c r="K1979" s="8"/>
      <c r="L1979" s="9">
        <v>318</v>
      </c>
      <c r="M1979" s="8"/>
    </row>
    <row r="1980" spans="1:13">
      <c r="A1980" s="15" t="s">
        <v>3100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292</v>
      </c>
      <c r="H1980" s="9"/>
      <c r="I1980" s="8"/>
      <c r="J1980" s="8"/>
      <c r="K1980" s="8"/>
      <c r="L1980" s="9">
        <v>232</v>
      </c>
      <c r="M1980" s="8"/>
    </row>
    <row r="1981" spans="1:13">
      <c r="A1981" s="13" t="s">
        <v>3101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292</v>
      </c>
      <c r="H1981" s="9"/>
      <c r="I1981" s="8"/>
      <c r="J1981" s="8"/>
      <c r="K1981" s="8"/>
      <c r="L1981" s="9" t="s">
        <v>443</v>
      </c>
      <c r="M1981" s="8"/>
    </row>
    <row r="1982" spans="1:13">
      <c r="A1982" s="71" t="s">
        <v>3102</v>
      </c>
      <c r="B1982" s="67">
        <v>18360384886</v>
      </c>
      <c r="C1982" s="72" t="s">
        <v>3103</v>
      </c>
      <c r="D1982" s="69">
        <v>28828648848</v>
      </c>
      <c r="E1982" s="9">
        <v>1214</v>
      </c>
      <c r="F1982" s="25">
        <v>42989</v>
      </c>
      <c r="G1982" s="70" t="s">
        <v>292</v>
      </c>
      <c r="H1982" s="9"/>
      <c r="I1982" s="8"/>
      <c r="J1982" s="8"/>
      <c r="K1982" s="8"/>
      <c r="L1982" s="8"/>
      <c r="M1982" s="8"/>
    </row>
    <row r="1983" spans="1:13">
      <c r="A1983" s="71" t="s">
        <v>3104</v>
      </c>
      <c r="B1983" s="67">
        <v>8224204812</v>
      </c>
      <c r="C1983" s="72" t="s">
        <v>3105</v>
      </c>
      <c r="D1983" s="69">
        <v>5373139823</v>
      </c>
      <c r="E1983" s="9">
        <v>1752</v>
      </c>
      <c r="F1983" s="25">
        <v>43051</v>
      </c>
      <c r="G1983" s="70" t="s">
        <v>292</v>
      </c>
      <c r="H1983" s="9"/>
      <c r="I1983" s="8"/>
      <c r="J1983" s="8"/>
      <c r="K1983" s="8"/>
      <c r="L1983" s="9">
        <v>1759</v>
      </c>
      <c r="M1983" s="8"/>
    </row>
    <row r="1984" spans="1:13">
      <c r="A1984" s="71" t="s">
        <v>3106</v>
      </c>
      <c r="B1984" s="67">
        <v>61232386200</v>
      </c>
      <c r="C1984" s="72" t="s">
        <v>3107</v>
      </c>
      <c r="D1984" s="69">
        <v>30971900310</v>
      </c>
      <c r="E1984" s="9">
        <v>1267</v>
      </c>
      <c r="F1984" s="25">
        <v>42998</v>
      </c>
      <c r="G1984" s="70" t="s">
        <v>292</v>
      </c>
      <c r="H1984" s="9"/>
      <c r="I1984" s="8"/>
      <c r="J1984" s="8"/>
      <c r="K1984" s="8"/>
      <c r="L1984" s="8"/>
      <c r="M1984" s="8"/>
    </row>
    <row r="1985" spans="1:13">
      <c r="A1985" s="30" t="s">
        <v>3108</v>
      </c>
      <c r="B1985" s="67">
        <v>68688210420</v>
      </c>
      <c r="C1985" s="32" t="s">
        <v>3109</v>
      </c>
      <c r="D1985" s="69">
        <v>3241531805</v>
      </c>
      <c r="E1985" s="9">
        <v>1570</v>
      </c>
      <c r="F1985" s="25">
        <v>43077</v>
      </c>
      <c r="G1985" s="70" t="s">
        <v>292</v>
      </c>
      <c r="H1985" s="9"/>
      <c r="I1985" s="8"/>
      <c r="J1985" s="8"/>
      <c r="K1985" s="8"/>
      <c r="L1985" s="8"/>
      <c r="M1985" s="8"/>
    </row>
    <row r="1986" spans="1:13">
      <c r="A1986" s="72" t="s">
        <v>3110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292</v>
      </c>
      <c r="H1986" s="9"/>
      <c r="I1986" s="8"/>
      <c r="J1986" s="8"/>
      <c r="K1986" s="8"/>
      <c r="L1986" s="9">
        <v>318</v>
      </c>
      <c r="M1986" s="8"/>
    </row>
    <row r="1987" spans="1:13">
      <c r="A1987" s="71" t="s">
        <v>3111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292</v>
      </c>
      <c r="H1987" s="9"/>
      <c r="I1987" s="8"/>
      <c r="J1987" s="8"/>
      <c r="K1987" s="8"/>
      <c r="L1987" s="8"/>
      <c r="M1987" s="8"/>
    </row>
    <row r="1988" spans="1:13">
      <c r="A1988" s="71" t="s">
        <v>3112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>
      <c r="A1989" s="71" t="s">
        <v>3113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292</v>
      </c>
      <c r="H1989" s="9"/>
      <c r="I1989" s="8"/>
      <c r="J1989" s="8"/>
      <c r="K1989" s="8"/>
      <c r="L1989" s="9" t="s">
        <v>411</v>
      </c>
      <c r="M1989" s="8"/>
    </row>
    <row r="1990" spans="1:13">
      <c r="A1990" s="71" t="s">
        <v>3114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292</v>
      </c>
      <c r="H1990" s="9"/>
      <c r="I1990" s="8"/>
      <c r="J1990" s="8"/>
      <c r="K1990" s="8"/>
      <c r="L1990" s="9">
        <v>1828</v>
      </c>
      <c r="M1990" s="8"/>
    </row>
    <row r="1991" spans="1:13">
      <c r="A1991" s="18" t="s">
        <v>3115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>
      <c r="A1992" s="71" t="s">
        <v>3116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>
      <c r="A1993" s="71" t="s">
        <v>3117</v>
      </c>
      <c r="B1993" s="67">
        <v>22566146896</v>
      </c>
      <c r="C1993" s="72" t="s">
        <v>3118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>
      <c r="A1994" s="71" t="s">
        <v>3119</v>
      </c>
      <c r="B1994" s="67">
        <v>27957199836</v>
      </c>
      <c r="C1994" s="72" t="s">
        <v>3120</v>
      </c>
      <c r="D1994" s="69">
        <v>14369564808</v>
      </c>
      <c r="E1994" s="9">
        <v>292</v>
      </c>
      <c r="F1994" s="25">
        <v>43168</v>
      </c>
      <c r="G1994" s="70" t="s">
        <v>292</v>
      </c>
      <c r="H1994" s="9"/>
      <c r="I1994" s="8"/>
      <c r="J1994" s="8"/>
      <c r="K1994" s="8"/>
      <c r="L1994" s="9">
        <v>318</v>
      </c>
      <c r="M1994" s="8"/>
    </row>
    <row r="1995" spans="1:13">
      <c r="A1995" s="71" t="s">
        <v>3121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292</v>
      </c>
      <c r="H1995" s="9"/>
      <c r="I1995" s="8"/>
      <c r="J1995" s="8"/>
      <c r="K1995" s="8"/>
      <c r="L1995" s="9" t="s">
        <v>671</v>
      </c>
      <c r="M1995" s="8"/>
    </row>
    <row r="1996" spans="1:13">
      <c r="A1996" s="18" t="s">
        <v>3122</v>
      </c>
      <c r="B1996" s="67"/>
      <c r="C1996" s="18" t="s">
        <v>3123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>
      <c r="A1997" s="71" t="s">
        <v>3124</v>
      </c>
      <c r="B1997" s="67">
        <v>12723195805</v>
      </c>
      <c r="C1997" s="72" t="s">
        <v>3125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>
      <c r="A1998" s="71" t="s">
        <v>3126</v>
      </c>
      <c r="B1998" s="67">
        <v>15731373833</v>
      </c>
      <c r="C1998" s="75" t="s">
        <v>3127</v>
      </c>
      <c r="D1998" s="69">
        <v>12858074801</v>
      </c>
      <c r="E1998" s="9">
        <v>1106</v>
      </c>
      <c r="F1998" s="25">
        <v>42965</v>
      </c>
      <c r="G1998" s="70" t="s">
        <v>298</v>
      </c>
      <c r="H1998" s="9"/>
      <c r="I1998" s="8"/>
      <c r="J1998" s="8"/>
      <c r="K1998" s="8"/>
      <c r="L1998" s="8"/>
      <c r="M1998" s="8"/>
    </row>
    <row r="1999" spans="1:13">
      <c r="A1999" s="71" t="s">
        <v>3128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292</v>
      </c>
      <c r="H1999" s="9"/>
      <c r="I1999" s="8"/>
      <c r="J1999" s="8"/>
      <c r="K1999" s="8"/>
      <c r="L1999" s="9" t="s">
        <v>411</v>
      </c>
      <c r="M1999" s="8"/>
    </row>
    <row r="2000" spans="1:13">
      <c r="A2000" s="71" t="s">
        <v>3129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>
      <c r="A2001" s="71" t="s">
        <v>3130</v>
      </c>
      <c r="B2001" s="67">
        <v>38402878806</v>
      </c>
      <c r="C2001" s="72" t="s">
        <v>3131</v>
      </c>
      <c r="D2001" s="69">
        <v>23700547862</v>
      </c>
      <c r="E2001" s="9">
        <v>262</v>
      </c>
      <c r="F2001" s="25">
        <v>43160</v>
      </c>
      <c r="G2001" s="9" t="s">
        <v>292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>
      <c r="A2002" s="15" t="s">
        <v>3132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>
      <c r="A2003" s="71" t="s">
        <v>3133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>
      <c r="A2004" s="71" t="s">
        <v>3134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>
      <c r="A2005" s="71" t="s">
        <v>3135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>
      <c r="A2006" s="29" t="s">
        <v>3136</v>
      </c>
      <c r="B2006" s="67">
        <v>27023833862</v>
      </c>
      <c r="C2006" s="29" t="s">
        <v>3137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>
      <c r="A2007" s="13" t="s">
        <v>3138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>
      <c r="A2008" s="15" t="s">
        <v>3139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292</v>
      </c>
      <c r="H2008" s="9"/>
      <c r="I2008" s="8"/>
      <c r="J2008" s="8"/>
      <c r="K2008" s="8"/>
      <c r="L2008" s="9" t="s">
        <v>443</v>
      </c>
      <c r="M2008" s="8"/>
    </row>
    <row r="2009" spans="1:13">
      <c r="A2009" s="71" t="s">
        <v>3140</v>
      </c>
      <c r="B2009" s="67">
        <v>38815800344</v>
      </c>
      <c r="C2009" s="72" t="s">
        <v>3141</v>
      </c>
      <c r="D2009" s="69">
        <v>39085252334</v>
      </c>
      <c r="E2009" s="9">
        <v>85</v>
      </c>
      <c r="F2009" s="25">
        <v>43109</v>
      </c>
      <c r="G2009" s="70" t="s">
        <v>292</v>
      </c>
      <c r="H2009" s="25">
        <v>43151</v>
      </c>
      <c r="I2009" s="8"/>
      <c r="J2009" s="8"/>
      <c r="K2009" s="8"/>
      <c r="L2009" s="8"/>
      <c r="M2009" s="8"/>
    </row>
    <row r="2010" spans="1:13">
      <c r="A2010" s="71" t="s">
        <v>3142</v>
      </c>
      <c r="B2010" s="67">
        <v>36154299826</v>
      </c>
      <c r="C2010" s="72" t="s">
        <v>3143</v>
      </c>
      <c r="D2010" s="69">
        <v>34489273843</v>
      </c>
      <c r="E2010" s="9">
        <v>1267</v>
      </c>
      <c r="F2010" s="25">
        <v>42998</v>
      </c>
      <c r="G2010" s="70" t="s">
        <v>298</v>
      </c>
      <c r="H2010" s="9"/>
      <c r="I2010" s="8"/>
      <c r="J2010" s="8"/>
      <c r="K2010" s="8"/>
      <c r="L2010" s="8"/>
      <c r="M2010" s="8"/>
    </row>
    <row r="2011" spans="1:13">
      <c r="A2011" s="15" t="s">
        <v>3144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292</v>
      </c>
      <c r="H2011" s="9"/>
      <c r="I2011" s="8"/>
      <c r="J2011" s="8"/>
      <c r="K2011" s="8"/>
      <c r="L2011" s="9">
        <v>232</v>
      </c>
      <c r="M2011" s="8"/>
    </row>
    <row r="2012" spans="1:13">
      <c r="A2012" s="29" t="s">
        <v>3145</v>
      </c>
      <c r="B2012" s="67"/>
      <c r="C2012" s="18" t="s">
        <v>402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>
      <c r="A2013" s="71" t="s">
        <v>3146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>
      <c r="A2014" s="71" t="s">
        <v>3147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292</v>
      </c>
      <c r="H2014" s="9"/>
      <c r="I2014" s="8"/>
      <c r="J2014" s="8"/>
      <c r="K2014" s="8"/>
      <c r="L2014" s="9">
        <v>318</v>
      </c>
      <c r="M2014" s="8"/>
    </row>
    <row r="2015" spans="1:13">
      <c r="A2015" s="15" t="s">
        <v>3148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292</v>
      </c>
      <c r="H2015" s="9"/>
      <c r="I2015" s="8"/>
      <c r="J2015" s="8"/>
      <c r="K2015" s="8"/>
      <c r="L2015" s="9">
        <v>318</v>
      </c>
      <c r="M2015" s="8"/>
    </row>
    <row r="2016" spans="1:13">
      <c r="A2016" s="14" t="s">
        <v>3149</v>
      </c>
      <c r="B2016" s="67">
        <v>64174182434</v>
      </c>
      <c r="C2016" s="72" t="s">
        <v>3150</v>
      </c>
      <c r="D2016" s="69">
        <v>98105183587</v>
      </c>
      <c r="E2016" s="9">
        <v>262</v>
      </c>
      <c r="F2016" s="25">
        <v>43160</v>
      </c>
      <c r="G2016" s="70" t="s">
        <v>292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>
      <c r="A2017" s="29" t="s">
        <v>3151</v>
      </c>
      <c r="B2017" s="67">
        <v>4148505485</v>
      </c>
      <c r="C2017" s="29" t="s">
        <v>3152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>
      <c r="A2018" s="72" t="s">
        <v>3153</v>
      </c>
      <c r="B2018" s="67">
        <v>39364828372</v>
      </c>
      <c r="C2018" s="72" t="s">
        <v>3154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>
      <c r="A2019" s="71" t="s">
        <v>3155</v>
      </c>
      <c r="B2019" s="67">
        <v>82046042468</v>
      </c>
      <c r="C2019" s="72" t="s">
        <v>3156</v>
      </c>
      <c r="D2019" s="69">
        <v>88251098491</v>
      </c>
      <c r="E2019" s="9">
        <v>85</v>
      </c>
      <c r="F2019" s="25">
        <v>43109</v>
      </c>
      <c r="G2019" s="70" t="s">
        <v>292</v>
      </c>
      <c r="H2019" s="25">
        <v>43151</v>
      </c>
      <c r="I2019" s="8"/>
      <c r="J2019" s="8"/>
      <c r="K2019" s="8"/>
      <c r="L2019" s="8"/>
      <c r="M2019" s="8"/>
    </row>
    <row r="2020" spans="1:13">
      <c r="A2020" s="71" t="s">
        <v>3157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292</v>
      </c>
      <c r="H2020" s="9"/>
      <c r="I2020" s="8"/>
      <c r="J2020" s="8"/>
      <c r="K2020" s="8"/>
      <c r="L2020" s="8"/>
      <c r="M2020" s="8"/>
    </row>
    <row r="2021" spans="1:13">
      <c r="A2021" s="14" t="s">
        <v>3158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292</v>
      </c>
      <c r="H2021" s="9"/>
      <c r="I2021" s="8"/>
      <c r="J2021" s="8"/>
      <c r="K2021" s="8"/>
      <c r="L2021" s="9">
        <v>1828</v>
      </c>
      <c r="M2021" s="8"/>
    </row>
    <row r="2022" spans="1:13">
      <c r="A2022" s="71" t="s">
        <v>3159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292</v>
      </c>
      <c r="H2022" s="9"/>
      <c r="I2022" s="8"/>
      <c r="J2022" s="8"/>
      <c r="K2022" s="8"/>
      <c r="L2022" s="9" t="s">
        <v>526</v>
      </c>
      <c r="M2022" s="8"/>
    </row>
    <row r="2023" spans="1:13">
      <c r="A2023" s="72" t="s">
        <v>3160</v>
      </c>
      <c r="B2023" s="67">
        <v>37806851836</v>
      </c>
      <c r="C2023" s="72" t="s">
        <v>3161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>
      <c r="A2024" s="71" t="s">
        <v>3162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>
      <c r="A2025" s="40" t="s">
        <v>3163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>
      <c r="A2026" s="71" t="s">
        <v>3164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>
      <c r="A2027" s="71" t="s">
        <v>3165</v>
      </c>
      <c r="B2027" s="67">
        <v>27506021811</v>
      </c>
      <c r="C2027" s="72" t="s">
        <v>3166</v>
      </c>
      <c r="D2027" s="69">
        <v>13130281851</v>
      </c>
      <c r="E2027" s="9">
        <v>810</v>
      </c>
      <c r="F2027" s="25">
        <v>42915</v>
      </c>
      <c r="G2027" s="70" t="s">
        <v>292</v>
      </c>
      <c r="H2027" s="9"/>
      <c r="I2027" s="8"/>
      <c r="J2027" s="8"/>
      <c r="K2027" s="8"/>
      <c r="L2027" s="9" t="s">
        <v>411</v>
      </c>
      <c r="M2027" s="8"/>
    </row>
    <row r="2028" spans="1:13">
      <c r="A2028" s="15" t="s">
        <v>3167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292</v>
      </c>
      <c r="H2028" s="25">
        <v>43151</v>
      </c>
      <c r="I2028" s="8"/>
      <c r="J2028" s="8"/>
      <c r="K2028" s="8"/>
      <c r="L2028" s="8"/>
      <c r="M2028" s="8"/>
    </row>
    <row r="2029" spans="1:13">
      <c r="A2029" s="71" t="s">
        <v>3168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292</v>
      </c>
      <c r="H2029" s="9"/>
      <c r="I2029" s="8"/>
      <c r="J2029" s="8"/>
      <c r="K2029" s="8"/>
      <c r="L2029" s="9" t="s">
        <v>526</v>
      </c>
      <c r="M2029" s="8"/>
    </row>
    <row r="2030" spans="1:13">
      <c r="A2030" s="15" t="s">
        <v>3169</v>
      </c>
      <c r="B2030" s="67">
        <v>660919346</v>
      </c>
      <c r="C2030" s="72" t="s">
        <v>3170</v>
      </c>
      <c r="D2030" s="69">
        <v>296516384</v>
      </c>
      <c r="E2030" s="9">
        <v>262</v>
      </c>
      <c r="F2030" s="25">
        <v>43160</v>
      </c>
      <c r="G2030" s="70" t="s">
        <v>298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>
      <c r="A2031" s="71" t="s">
        <v>3171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292</v>
      </c>
      <c r="H2031" s="9"/>
      <c r="I2031" s="8"/>
      <c r="J2031" s="8"/>
      <c r="K2031" s="8"/>
      <c r="L2031" s="9">
        <v>1828</v>
      </c>
      <c r="M2031" s="8"/>
    </row>
    <row r="2032" spans="1:13">
      <c r="A2032" s="72" t="s">
        <v>3172</v>
      </c>
      <c r="B2032" s="67">
        <v>55075746500</v>
      </c>
      <c r="C2032" s="72" t="s">
        <v>3173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>
      <c r="A2033" s="71" t="s">
        <v>3174</v>
      </c>
      <c r="B2033" s="67">
        <v>34549590807</v>
      </c>
      <c r="C2033" s="72" t="s">
        <v>3175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>
      <c r="A2034" s="29" t="s">
        <v>3176</v>
      </c>
      <c r="B2034" s="67"/>
      <c r="C2034" s="18" t="s">
        <v>402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>
      <c r="A2035" s="71" t="s">
        <v>3177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>
      <c r="A2036" s="15" t="s">
        <v>3178</v>
      </c>
      <c r="B2036" s="67">
        <v>41292199873</v>
      </c>
      <c r="C2036" s="72" t="s">
        <v>3179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>
      <c r="A2037" s="29" t="s">
        <v>3180</v>
      </c>
      <c r="B2037" s="67"/>
      <c r="C2037" s="29" t="s">
        <v>402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>
      <c r="A2038" s="14" t="s">
        <v>3181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>
      <c r="A2039" s="15" t="s">
        <v>3182</v>
      </c>
      <c r="B2039" s="67">
        <v>42318039860</v>
      </c>
      <c r="C2039" s="72" t="s">
        <v>3183</v>
      </c>
      <c r="D2039" s="69">
        <v>23059375801</v>
      </c>
      <c r="E2039" s="9">
        <v>85</v>
      </c>
      <c r="F2039" s="25">
        <v>43109</v>
      </c>
      <c r="G2039" s="70" t="s">
        <v>292</v>
      </c>
      <c r="H2039" s="25">
        <v>43151</v>
      </c>
      <c r="I2039" s="8"/>
      <c r="J2039" s="8"/>
      <c r="K2039" s="8"/>
      <c r="L2039" s="8"/>
      <c r="M2039" s="8"/>
    </row>
    <row r="2040" spans="1:13">
      <c r="A2040" s="71" t="s">
        <v>3184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292</v>
      </c>
      <c r="H2040" s="9"/>
      <c r="I2040" s="8"/>
      <c r="J2040" s="8"/>
      <c r="K2040" s="8"/>
      <c r="L2040" s="9" t="s">
        <v>411</v>
      </c>
      <c r="M2040" s="8"/>
    </row>
    <row r="2041" spans="1:13">
      <c r="A2041" s="71" t="s">
        <v>3185</v>
      </c>
      <c r="B2041" s="67">
        <v>2693234573</v>
      </c>
      <c r="C2041" s="71" t="s">
        <v>3186</v>
      </c>
      <c r="D2041" s="69">
        <v>36131987890</v>
      </c>
      <c r="E2041" s="9">
        <v>292</v>
      </c>
      <c r="F2041" s="25">
        <v>43168</v>
      </c>
      <c r="G2041" s="9" t="s">
        <v>292</v>
      </c>
      <c r="H2041" s="9"/>
      <c r="I2041" s="8"/>
      <c r="J2041" s="8"/>
      <c r="K2041" s="8"/>
      <c r="L2041" s="9">
        <v>318</v>
      </c>
      <c r="M2041" s="8"/>
    </row>
    <row r="2042" spans="1:13">
      <c r="A2042" s="72" t="s">
        <v>3187</v>
      </c>
      <c r="B2042" s="67">
        <v>19677621807</v>
      </c>
      <c r="C2042" s="72" t="s">
        <v>3188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>
      <c r="A2043" s="71" t="s">
        <v>3189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292</v>
      </c>
      <c r="H2043" s="9"/>
      <c r="I2043" s="8"/>
      <c r="J2043" s="8"/>
      <c r="K2043" s="8"/>
      <c r="L2043" s="9">
        <v>1759</v>
      </c>
      <c r="M2043" s="8"/>
    </row>
    <row r="2044" spans="1:13">
      <c r="A2044" s="71" t="s">
        <v>3190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>
      <c r="A2045" s="71" t="s">
        <v>3191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292</v>
      </c>
      <c r="H2045" s="9"/>
      <c r="I2045" s="8"/>
      <c r="J2045" s="8"/>
      <c r="K2045" s="8"/>
      <c r="L2045" s="9">
        <v>318</v>
      </c>
      <c r="M2045" s="8"/>
    </row>
    <row r="2046" spans="1:13">
      <c r="A2046" s="72" t="s">
        <v>3192</v>
      </c>
      <c r="B2046" s="67">
        <v>22583603825</v>
      </c>
      <c r="C2046" s="72" t="s">
        <v>3193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>
      <c r="A2047" s="15" t="s">
        <v>3194</v>
      </c>
      <c r="B2047" s="67">
        <v>14858077861</v>
      </c>
      <c r="C2047" s="15" t="s">
        <v>3195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>
      <c r="A2048" s="71" t="s">
        <v>3196</v>
      </c>
      <c r="B2048" s="67">
        <v>32291860879</v>
      </c>
      <c r="C2048" s="29" t="s">
        <v>3197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>
      <c r="A2049" s="71" t="s">
        <v>3198</v>
      </c>
      <c r="B2049" s="67">
        <v>76396126320</v>
      </c>
      <c r="C2049" s="72" t="s">
        <v>3199</v>
      </c>
      <c r="D2049" s="69">
        <v>62133390510</v>
      </c>
      <c r="E2049" s="9">
        <v>1262</v>
      </c>
      <c r="F2049" s="25">
        <v>42997</v>
      </c>
      <c r="G2049" s="70" t="s">
        <v>292</v>
      </c>
      <c r="H2049" s="9"/>
      <c r="I2049" s="8"/>
      <c r="J2049" s="8"/>
      <c r="K2049" s="8"/>
      <c r="L2049" s="8"/>
      <c r="M2049" s="8"/>
    </row>
    <row r="2050" spans="1:13">
      <c r="A2050" s="14" t="s">
        <v>3200</v>
      </c>
      <c r="B2050" s="67">
        <v>34303186880</v>
      </c>
      <c r="C2050" s="72" t="s">
        <v>3201</v>
      </c>
      <c r="D2050" s="69">
        <v>39695431852</v>
      </c>
      <c r="E2050" s="9">
        <v>1570</v>
      </c>
      <c r="F2050" s="25">
        <v>43077</v>
      </c>
      <c r="G2050" s="70" t="s">
        <v>292</v>
      </c>
      <c r="H2050" s="9"/>
      <c r="I2050" s="8"/>
      <c r="J2050" s="8"/>
      <c r="K2050" s="8"/>
      <c r="L2050" s="8"/>
      <c r="M2050" s="8"/>
    </row>
    <row r="2051" spans="1:13">
      <c r="A2051" s="18" t="s">
        <v>3202</v>
      </c>
      <c r="B2051" s="67">
        <v>14331980880</v>
      </c>
      <c r="C2051" s="8" t="s">
        <v>3203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>
      <c r="A2052" s="19" t="s">
        <v>3202</v>
      </c>
      <c r="B2052" s="67">
        <v>14331980880</v>
      </c>
      <c r="C2052" s="77" t="s">
        <v>3203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>
      <c r="A2053" s="18" t="s">
        <v>3204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>
      <c r="A2054" s="29" t="s">
        <v>3205</v>
      </c>
      <c r="B2054" s="67"/>
      <c r="C2054" s="29" t="s">
        <v>3206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>
      <c r="A2055" s="71" t="s">
        <v>3207</v>
      </c>
      <c r="B2055" s="67">
        <v>31662836848</v>
      </c>
      <c r="C2055" s="72" t="s">
        <v>3208</v>
      </c>
      <c r="D2055" s="69">
        <v>12871784809</v>
      </c>
      <c r="E2055" s="9">
        <v>1570</v>
      </c>
      <c r="F2055" s="25">
        <v>43077</v>
      </c>
      <c r="G2055" s="70" t="s">
        <v>292</v>
      </c>
      <c r="H2055" s="9"/>
      <c r="I2055" s="8"/>
      <c r="J2055" s="8"/>
      <c r="K2055" s="8"/>
      <c r="L2055" s="8"/>
      <c r="M2055" s="8"/>
    </row>
    <row r="2056" spans="1:13">
      <c r="A2056" s="14" t="s">
        <v>3209</v>
      </c>
      <c r="B2056" s="67">
        <v>39000389372</v>
      </c>
      <c r="C2056" s="72" t="s">
        <v>3210</v>
      </c>
      <c r="D2056" s="69">
        <v>14683732858</v>
      </c>
      <c r="E2056" s="9">
        <v>1417</v>
      </c>
      <c r="F2056" s="25">
        <v>43017</v>
      </c>
      <c r="G2056" s="70" t="s">
        <v>292</v>
      </c>
      <c r="H2056" s="9"/>
      <c r="I2056" s="8"/>
      <c r="J2056" s="8"/>
      <c r="K2056" s="8"/>
      <c r="L2056" s="9" t="s">
        <v>526</v>
      </c>
      <c r="M2056" s="8"/>
    </row>
    <row r="2057" spans="1:13">
      <c r="A2057" s="18" t="s">
        <v>3211</v>
      </c>
      <c r="B2057" s="67">
        <v>10349044856</v>
      </c>
      <c r="C2057" s="18" t="s">
        <v>2482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>
      <c r="A2058" s="71" t="s">
        <v>3212</v>
      </c>
      <c r="B2058" s="67">
        <v>25058845873</v>
      </c>
      <c r="C2058" s="71" t="s">
        <v>3213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>
      <c r="A2059" s="29" t="s">
        <v>3214</v>
      </c>
      <c r="B2059" s="67"/>
      <c r="C2059" s="29" t="s">
        <v>3215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>
      <c r="A2060" s="72" t="s">
        <v>3216</v>
      </c>
      <c r="B2060" s="67">
        <v>5088717431</v>
      </c>
      <c r="C2060" s="72" t="s">
        <v>3217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572</v>
      </c>
      <c r="M2060" s="8"/>
    </row>
    <row r="2061" spans="1:13">
      <c r="A2061" s="13" t="s">
        <v>3218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292</v>
      </c>
      <c r="H2061" s="9"/>
      <c r="I2061" s="8"/>
      <c r="J2061" s="8"/>
      <c r="K2061" s="8"/>
      <c r="L2061" s="8"/>
      <c r="M2061" s="8"/>
    </row>
    <row r="2062" spans="1:13">
      <c r="A2062" s="71" t="s">
        <v>3219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>
      <c r="A2063" s="15" t="s">
        <v>3220</v>
      </c>
      <c r="B2063" s="67">
        <v>33517044881</v>
      </c>
      <c r="C2063" s="72" t="s">
        <v>3221</v>
      </c>
      <c r="D2063" s="69">
        <v>28076571847</v>
      </c>
      <c r="E2063" s="9">
        <v>85</v>
      </c>
      <c r="F2063" s="25">
        <v>43109</v>
      </c>
      <c r="G2063" s="93" t="s">
        <v>298</v>
      </c>
      <c r="H2063" s="25">
        <v>43151</v>
      </c>
      <c r="I2063" s="8"/>
      <c r="J2063" s="8"/>
      <c r="K2063" s="8"/>
      <c r="L2063" s="8"/>
      <c r="M2063" s="8"/>
    </row>
    <row r="2064" spans="1:13">
      <c r="A2064" s="13" t="s">
        <v>3222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292</v>
      </c>
      <c r="H2064" s="9"/>
      <c r="I2064" s="8"/>
      <c r="J2064" s="8"/>
      <c r="K2064" s="8"/>
      <c r="L2064" s="8"/>
      <c r="M2064" s="8"/>
    </row>
    <row r="2065" spans="1:13">
      <c r="A2065" s="71" t="s">
        <v>3223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>
      <c r="A2066" s="71" t="s">
        <v>3224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292</v>
      </c>
      <c r="H2066" s="9"/>
      <c r="I2066" s="8"/>
      <c r="J2066" s="8"/>
      <c r="K2066" s="8"/>
      <c r="L2066" s="9" t="s">
        <v>671</v>
      </c>
      <c r="M2066" s="8"/>
    </row>
    <row r="2067" spans="1:13">
      <c r="A2067" s="71" t="s">
        <v>3225</v>
      </c>
      <c r="B2067" s="67">
        <v>16488724843</v>
      </c>
      <c r="C2067" s="73" t="s">
        <v>3226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>
      <c r="A2068" s="29" t="s">
        <v>3227</v>
      </c>
      <c r="B2068" s="67">
        <v>22230898876</v>
      </c>
      <c r="C2068" s="18" t="s">
        <v>402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>
      <c r="A2069" s="29" t="s">
        <v>3228</v>
      </c>
      <c r="B2069" s="67">
        <v>1218219866</v>
      </c>
      <c r="C2069" s="18" t="s">
        <v>402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>
      <c r="A2070" s="71" t="s">
        <v>3229</v>
      </c>
      <c r="B2070" s="67">
        <v>75696312772</v>
      </c>
      <c r="C2070" s="77" t="s">
        <v>3230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>
      <c r="A2071" s="29" t="s">
        <v>3231</v>
      </c>
      <c r="B2071" s="67">
        <v>12772099873</v>
      </c>
      <c r="C2071" s="29" t="s">
        <v>3232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>
      <c r="A2072" s="71" t="s">
        <v>3233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572</v>
      </c>
      <c r="M2072" s="8"/>
    </row>
    <row r="2073" spans="1:13">
      <c r="A2073" s="18" t="s">
        <v>690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>
      <c r="A2074" s="71" t="s">
        <v>690</v>
      </c>
      <c r="B2074" s="67">
        <v>40312801491</v>
      </c>
      <c r="C2074" s="72" t="s">
        <v>3234</v>
      </c>
      <c r="D2074" s="69">
        <v>36270235823</v>
      </c>
      <c r="E2074" s="9">
        <v>810</v>
      </c>
      <c r="F2074" s="25">
        <v>42915</v>
      </c>
      <c r="G2074" s="70" t="s">
        <v>292</v>
      </c>
      <c r="H2074" s="9"/>
      <c r="I2074" s="8"/>
      <c r="J2074" s="8"/>
      <c r="K2074" s="8"/>
      <c r="L2074" s="9" t="s">
        <v>411</v>
      </c>
      <c r="M2074" s="8"/>
    </row>
    <row r="2075" spans="1:13">
      <c r="A2075" s="71" t="s">
        <v>690</v>
      </c>
      <c r="B2075" s="67">
        <v>13016641895</v>
      </c>
      <c r="C2075" s="72" t="s">
        <v>3235</v>
      </c>
      <c r="D2075" s="69">
        <v>2681565731</v>
      </c>
      <c r="E2075" s="9">
        <v>810</v>
      </c>
      <c r="F2075" s="25">
        <v>42915</v>
      </c>
      <c r="G2075" s="70" t="s">
        <v>292</v>
      </c>
      <c r="H2075" s="9"/>
      <c r="I2075" s="8"/>
      <c r="J2075" s="8"/>
      <c r="K2075" s="8"/>
      <c r="L2075" s="9" t="s">
        <v>411</v>
      </c>
      <c r="M2075" s="8"/>
    </row>
    <row r="2076" spans="1:13">
      <c r="A2076" s="71" t="s">
        <v>3236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>
      <c r="A2077" s="71" t="s">
        <v>3237</v>
      </c>
      <c r="B2077" s="67">
        <v>18472653838</v>
      </c>
      <c r="C2077" s="72" t="s">
        <v>3238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>
      <c r="A2078" s="29" t="s">
        <v>3239</v>
      </c>
      <c r="B2078" s="67"/>
      <c r="C2078" s="18" t="s">
        <v>402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>
      <c r="A2079" s="71" t="s">
        <v>3240</v>
      </c>
      <c r="B2079" s="67">
        <v>21531362885</v>
      </c>
      <c r="C2079" s="72" t="s">
        <v>3241</v>
      </c>
      <c r="D2079" s="69">
        <v>27454333850</v>
      </c>
      <c r="E2079" s="9">
        <v>117</v>
      </c>
      <c r="F2079" s="25">
        <v>43117</v>
      </c>
      <c r="G2079" s="70" t="s">
        <v>292</v>
      </c>
      <c r="H2079" s="9"/>
      <c r="I2079" s="8"/>
      <c r="J2079" s="8"/>
      <c r="K2079" s="8"/>
      <c r="L2079" s="9" t="s">
        <v>443</v>
      </c>
      <c r="M2079" s="8"/>
    </row>
    <row r="2080" spans="1:13">
      <c r="A2080" s="13" t="s">
        <v>3240</v>
      </c>
      <c r="B2080" s="67">
        <v>35537854899</v>
      </c>
      <c r="C2080" s="72" t="s">
        <v>3242</v>
      </c>
      <c r="D2080" s="69">
        <v>35365081897</v>
      </c>
      <c r="E2080" s="9">
        <v>1128</v>
      </c>
      <c r="F2080" s="25">
        <v>42972</v>
      </c>
      <c r="G2080" s="70" t="s">
        <v>292</v>
      </c>
      <c r="H2080" s="9"/>
      <c r="I2080" s="8"/>
      <c r="J2080" s="8"/>
      <c r="K2080" s="8"/>
      <c r="L2080" s="8"/>
      <c r="M2080" s="8"/>
    </row>
    <row r="2081" spans="1:13">
      <c r="A2081" s="29" t="s">
        <v>3243</v>
      </c>
      <c r="B2081" s="67"/>
      <c r="C2081" s="29" t="s">
        <v>3244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>
      <c r="A2082" s="15" t="s">
        <v>3245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292</v>
      </c>
      <c r="H2082" s="25">
        <v>43151</v>
      </c>
      <c r="I2082" s="8"/>
      <c r="J2082" s="8"/>
      <c r="K2082" s="8"/>
      <c r="L2082" s="8"/>
      <c r="M2082" s="8"/>
    </row>
    <row r="2083" spans="1:13">
      <c r="A2083" s="71" t="s">
        <v>3246</v>
      </c>
      <c r="B2083" s="67">
        <v>35483702840</v>
      </c>
      <c r="C2083" s="72" t="s">
        <v>3247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>
      <c r="A2084" s="73" t="s">
        <v>3248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292</v>
      </c>
      <c r="H2084" s="9"/>
      <c r="I2084" s="8"/>
      <c r="J2084" s="8"/>
      <c r="K2084" s="8"/>
      <c r="L2084" s="9">
        <v>318</v>
      </c>
      <c r="M2084" s="8"/>
    </row>
    <row r="2085" spans="1:13">
      <c r="A2085" s="71" t="s">
        <v>3249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572</v>
      </c>
      <c r="M2085" s="8"/>
    </row>
    <row r="2086" spans="1:13">
      <c r="A2086" s="72" t="s">
        <v>3250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>
      <c r="A2087" s="18" t="s">
        <v>3251</v>
      </c>
      <c r="B2087" s="67">
        <v>3322258440</v>
      </c>
      <c r="C2087" s="18" t="s">
        <v>3252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>
      <c r="A2088" s="72" t="s">
        <v>3253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>
      <c r="A2089" s="29" t="s">
        <v>3254</v>
      </c>
      <c r="B2089" s="67"/>
      <c r="C2089" s="18" t="s">
        <v>402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>
      <c r="A2090" s="71" t="s">
        <v>3255</v>
      </c>
      <c r="B2090" s="67">
        <v>25564758897</v>
      </c>
      <c r="C2090" s="72" t="s">
        <v>3256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>
      <c r="A2091" s="71" t="s">
        <v>3257</v>
      </c>
      <c r="B2091" s="67">
        <v>9722276875</v>
      </c>
      <c r="C2091" s="72" t="s">
        <v>3258</v>
      </c>
      <c r="D2091" s="69">
        <v>7777516825</v>
      </c>
      <c r="E2091" s="9">
        <v>810</v>
      </c>
      <c r="F2091" s="25">
        <v>42915</v>
      </c>
      <c r="G2091" s="70" t="s">
        <v>292</v>
      </c>
      <c r="H2091" s="9"/>
      <c r="I2091" s="8"/>
      <c r="J2091" s="8"/>
      <c r="K2091" s="8"/>
      <c r="L2091" s="9" t="s">
        <v>411</v>
      </c>
      <c r="M2091" s="8"/>
    </row>
    <row r="2092" spans="1:13">
      <c r="A2092" s="71" t="s">
        <v>3259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>
      <c r="A2093" s="13" t="s">
        <v>3260</v>
      </c>
      <c r="B2093" s="67">
        <v>27192176893</v>
      </c>
      <c r="C2093" s="68" t="s">
        <v>3261</v>
      </c>
      <c r="D2093" s="69">
        <v>8367664825</v>
      </c>
      <c r="E2093" s="9">
        <v>608</v>
      </c>
      <c r="F2093" s="25">
        <v>43012</v>
      </c>
      <c r="G2093" s="70" t="s">
        <v>292</v>
      </c>
      <c r="H2093" s="9"/>
      <c r="I2093" s="8"/>
      <c r="J2093" s="8"/>
      <c r="K2093" s="8"/>
      <c r="L2093" s="8"/>
      <c r="M2093" s="8"/>
    </row>
    <row r="2094" spans="1:13">
      <c r="A2094" s="18" t="s">
        <v>3262</v>
      </c>
      <c r="B2094" s="67">
        <v>16514255825</v>
      </c>
      <c r="C2094" s="18" t="s">
        <v>3263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>
      <c r="A2095" s="73" t="s">
        <v>3264</v>
      </c>
      <c r="B2095" s="67">
        <v>4809644324</v>
      </c>
      <c r="C2095" s="72" t="s">
        <v>3265</v>
      </c>
      <c r="D2095" s="69">
        <v>31827963808</v>
      </c>
      <c r="E2095" s="9">
        <v>1214</v>
      </c>
      <c r="F2095" s="25">
        <v>42989</v>
      </c>
      <c r="G2095" s="70" t="s">
        <v>292</v>
      </c>
      <c r="H2095" s="9"/>
      <c r="I2095" s="8"/>
      <c r="J2095" s="8"/>
      <c r="K2095" s="8"/>
      <c r="L2095" s="8"/>
      <c r="M2095" s="8"/>
    </row>
    <row r="2096" spans="1:13">
      <c r="A2096" s="71" t="s">
        <v>3266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292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>
      <c r="A2097" s="73" t="s">
        <v>3267</v>
      </c>
      <c r="B2097" s="67">
        <v>11894918428</v>
      </c>
      <c r="C2097" s="72" t="s">
        <v>3268</v>
      </c>
      <c r="D2097" s="69">
        <v>37623185810</v>
      </c>
      <c r="E2097" s="9">
        <v>810</v>
      </c>
      <c r="F2097" s="25">
        <v>42915</v>
      </c>
      <c r="G2097" s="70" t="s">
        <v>292</v>
      </c>
      <c r="H2097" s="9"/>
      <c r="I2097" s="8"/>
      <c r="J2097" s="8"/>
      <c r="K2097" s="8"/>
      <c r="L2097" s="9" t="s">
        <v>411</v>
      </c>
      <c r="M2097" s="8"/>
    </row>
    <row r="2098" spans="1:13">
      <c r="A2098" s="15" t="s">
        <v>3269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292</v>
      </c>
      <c r="H2098" s="9"/>
      <c r="I2098" s="8"/>
      <c r="J2098" s="8"/>
      <c r="K2098" s="8"/>
      <c r="L2098" s="8"/>
      <c r="M2098" s="8"/>
    </row>
    <row r="2099" spans="1:13">
      <c r="A2099" s="72" t="s">
        <v>3270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>
      <c r="A2100" s="71" t="s">
        <v>3271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572</v>
      </c>
      <c r="M2100" s="8"/>
    </row>
    <row r="2101" spans="1:13">
      <c r="A2101" s="15" t="s">
        <v>3272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>
      <c r="A2102" s="72" t="s">
        <v>3273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292</v>
      </c>
      <c r="H2102" s="9"/>
      <c r="I2102" s="8"/>
      <c r="J2102" s="8"/>
      <c r="K2102" s="8"/>
      <c r="L2102" s="9">
        <v>318</v>
      </c>
      <c r="M2102" s="8"/>
    </row>
    <row r="2103" spans="1:13">
      <c r="A2103" s="29" t="s">
        <v>3274</v>
      </c>
      <c r="B2103" s="67"/>
      <c r="C2103" s="29" t="s">
        <v>402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>
      <c r="A2104" s="15" t="s">
        <v>3275</v>
      </c>
      <c r="B2104" s="67">
        <v>4241745377</v>
      </c>
      <c r="C2104" s="72" t="s">
        <v>3276</v>
      </c>
      <c r="D2104" s="69">
        <v>4417028303</v>
      </c>
      <c r="E2104" s="9">
        <v>85</v>
      </c>
      <c r="F2104" s="25">
        <v>43109</v>
      </c>
      <c r="G2104" s="70" t="s">
        <v>292</v>
      </c>
      <c r="H2104" s="25">
        <v>43151</v>
      </c>
      <c r="I2104" s="8"/>
      <c r="J2104" s="8"/>
      <c r="K2104" s="8"/>
      <c r="L2104" s="8"/>
      <c r="M2104" s="8"/>
    </row>
    <row r="2105" spans="1:13">
      <c r="A2105" s="29" t="s">
        <v>3277</v>
      </c>
      <c r="B2105" s="67"/>
      <c r="C2105" s="29" t="s">
        <v>3278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>
      <c r="A2106" s="13" t="s">
        <v>3279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292</v>
      </c>
      <c r="H2106" s="9"/>
      <c r="I2106" s="8"/>
      <c r="J2106" s="8"/>
      <c r="K2106" s="8"/>
      <c r="L2106" s="8"/>
      <c r="M2106" s="8"/>
    </row>
    <row r="2107" spans="1:13">
      <c r="A2107" s="71" t="s">
        <v>3280</v>
      </c>
      <c r="B2107" s="67">
        <v>2182682708</v>
      </c>
      <c r="C2107" s="72" t="s">
        <v>3281</v>
      </c>
      <c r="D2107" s="69">
        <v>1409950727</v>
      </c>
      <c r="E2107" s="9">
        <v>810</v>
      </c>
      <c r="F2107" s="25">
        <v>42915</v>
      </c>
      <c r="G2107" s="70" t="s">
        <v>306</v>
      </c>
      <c r="H2107" s="9"/>
      <c r="I2107" s="8"/>
      <c r="J2107" s="8"/>
      <c r="K2107" s="8"/>
      <c r="L2107" s="9" t="s">
        <v>411</v>
      </c>
      <c r="M2107" s="8"/>
    </row>
    <row r="2108" spans="1:13">
      <c r="A2108" s="71" t="s">
        <v>3282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>
      <c r="A2109" s="72" t="s">
        <v>3283</v>
      </c>
      <c r="B2109" s="67">
        <v>11694151808</v>
      </c>
      <c r="C2109" s="72" t="s">
        <v>3284</v>
      </c>
      <c r="D2109" s="69">
        <v>29721167800</v>
      </c>
      <c r="E2109" s="9">
        <v>485</v>
      </c>
      <c r="F2109" s="25">
        <v>43196</v>
      </c>
      <c r="G2109" s="70" t="s">
        <v>298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>
      <c r="A2110" s="71" t="s">
        <v>3285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292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>
      <c r="A2111" s="71" t="s">
        <v>3286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>
      <c r="A2112" s="71" t="s">
        <v>3287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292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>
      <c r="A2113" s="71" t="s">
        <v>3288</v>
      </c>
      <c r="B2113" s="67">
        <v>24613427843</v>
      </c>
      <c r="C2113" s="72" t="s">
        <v>3289</v>
      </c>
      <c r="D2113" s="69">
        <v>6003706821</v>
      </c>
      <c r="E2113" s="9">
        <v>810</v>
      </c>
      <c r="F2113" s="25">
        <v>42915</v>
      </c>
      <c r="G2113" s="70" t="s">
        <v>292</v>
      </c>
      <c r="H2113" s="76">
        <v>43213</v>
      </c>
      <c r="I2113" s="8"/>
      <c r="J2113" s="8"/>
      <c r="K2113" s="8"/>
      <c r="L2113" s="9" t="s">
        <v>411</v>
      </c>
      <c r="M2113" s="8"/>
    </row>
    <row r="2114" spans="1:13">
      <c r="A2114" s="72" t="s">
        <v>3290</v>
      </c>
      <c r="B2114" s="67">
        <v>61234508400</v>
      </c>
      <c r="C2114" s="72" t="s">
        <v>3291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>
      <c r="A2115" s="29" t="s">
        <v>3292</v>
      </c>
      <c r="B2115" s="67"/>
      <c r="C2115" s="18" t="s">
        <v>402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>
      <c r="A2116" s="71" t="s">
        <v>3293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292</v>
      </c>
      <c r="H2116" s="76">
        <v>43213</v>
      </c>
      <c r="I2116" s="8"/>
      <c r="J2116" s="8"/>
      <c r="K2116" s="8"/>
      <c r="L2116" s="9" t="s">
        <v>411</v>
      </c>
      <c r="M2116" s="8"/>
    </row>
    <row r="2117" spans="1:13">
      <c r="A2117" s="71" t="s">
        <v>3294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306</v>
      </c>
      <c r="H2117" s="76">
        <v>43213</v>
      </c>
      <c r="I2117" s="8"/>
      <c r="J2117" s="8"/>
      <c r="K2117" s="8"/>
      <c r="L2117" s="9" t="s">
        <v>671</v>
      </c>
      <c r="M2117" s="8"/>
    </row>
    <row r="2118" spans="1:13">
      <c r="A2118" s="71" t="s">
        <v>3295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>
      <c r="A2119" s="71" t="s">
        <v>3296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>
      <c r="A2120" s="15" t="s">
        <v>3297</v>
      </c>
      <c r="B2120" s="67">
        <v>3493507364</v>
      </c>
      <c r="C2120" s="72" t="s">
        <v>3298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>
      <c r="A2121" s="71" t="s">
        <v>3299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292</v>
      </c>
      <c r="H2121" s="9"/>
      <c r="I2121" s="8"/>
      <c r="J2121" s="8"/>
      <c r="K2121" s="8"/>
      <c r="L2121" s="9">
        <v>1828</v>
      </c>
      <c r="M2121" s="8"/>
    </row>
    <row r="2122" spans="1:13">
      <c r="A2122" s="71" t="s">
        <v>3300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292</v>
      </c>
      <c r="H2122" s="9"/>
      <c r="I2122" s="8"/>
      <c r="J2122" s="8"/>
      <c r="K2122" s="8"/>
      <c r="L2122" s="9" t="s">
        <v>411</v>
      </c>
      <c r="M2122" s="8"/>
    </row>
    <row r="2123" spans="1:13">
      <c r="A2123" s="71" t="s">
        <v>3301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>
      <c r="A2124" s="71" t="s">
        <v>3302</v>
      </c>
      <c r="B2124" s="67">
        <v>31365484858</v>
      </c>
      <c r="C2124" s="71" t="s">
        <v>3303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>
      <c r="A2125" s="71" t="s">
        <v>3304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292</v>
      </c>
      <c r="H2125" s="9"/>
      <c r="I2125" s="8"/>
      <c r="J2125" s="8"/>
      <c r="K2125" s="8"/>
      <c r="L2125" s="8"/>
      <c r="M2125" s="8"/>
    </row>
    <row r="2126" spans="1:13">
      <c r="A2126" s="71" t="s">
        <v>3305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292</v>
      </c>
      <c r="H2126" s="9"/>
      <c r="I2126" s="8"/>
      <c r="J2126" s="8"/>
      <c r="K2126" s="8"/>
      <c r="L2126" s="9" t="s">
        <v>411</v>
      </c>
      <c r="M2126" s="8"/>
    </row>
    <row r="2127" spans="1:13">
      <c r="A2127" s="14" t="s">
        <v>3306</v>
      </c>
      <c r="B2127" s="67">
        <v>69813043504</v>
      </c>
      <c r="C2127" s="72" t="s">
        <v>3307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>
      <c r="A2128" s="18" t="s">
        <v>3308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>
      <c r="A2129" s="71" t="s">
        <v>3309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292</v>
      </c>
      <c r="H2129" s="9"/>
      <c r="I2129" s="8"/>
      <c r="J2129" s="8"/>
      <c r="K2129" s="8"/>
      <c r="L2129" s="9" t="s">
        <v>443</v>
      </c>
      <c r="M2129" s="8"/>
    </row>
    <row r="2130" spans="1:13">
      <c r="A2130" s="18" t="s">
        <v>3310</v>
      </c>
      <c r="B2130" s="67">
        <v>15800175845</v>
      </c>
      <c r="C2130" s="18" t="s">
        <v>3311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>
      <c r="A2131" s="71" t="s">
        <v>3312</v>
      </c>
      <c r="B2131" s="67">
        <v>13018290801</v>
      </c>
      <c r="C2131" s="72" t="s">
        <v>3313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>
      <c r="A2132" s="18" t="s">
        <v>3314</v>
      </c>
      <c r="B2132" s="67">
        <v>61505078318</v>
      </c>
      <c r="C2132" s="18" t="s">
        <v>3315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>
      <c r="A2133" s="71" t="s">
        <v>3316</v>
      </c>
      <c r="B2133" s="67">
        <v>6097323824</v>
      </c>
      <c r="C2133" s="72" t="s">
        <v>3317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>
      <c r="A2134" s="71" t="s">
        <v>3318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292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>
      <c r="A2135" s="71" t="s">
        <v>3319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292</v>
      </c>
      <c r="H2135" s="76">
        <v>43213</v>
      </c>
      <c r="I2135" s="8"/>
      <c r="J2135" s="8"/>
      <c r="K2135" s="8"/>
      <c r="L2135" s="9" t="s">
        <v>411</v>
      </c>
      <c r="M2135" s="8"/>
    </row>
    <row r="2136" spans="1:13">
      <c r="A2136" s="71" t="s">
        <v>3320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292</v>
      </c>
      <c r="H2136" s="76">
        <v>43213</v>
      </c>
      <c r="I2136" s="8"/>
      <c r="J2136" s="8"/>
      <c r="K2136" s="8"/>
      <c r="L2136" s="9" t="s">
        <v>411</v>
      </c>
      <c r="M2136" s="8"/>
    </row>
    <row r="2137" spans="1:13">
      <c r="A2137" s="71" t="s">
        <v>3321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292</v>
      </c>
      <c r="H2137" s="76">
        <v>43213</v>
      </c>
      <c r="I2137" s="8"/>
      <c r="J2137" s="8"/>
      <c r="K2137" s="8"/>
      <c r="L2137" s="9" t="s">
        <v>411</v>
      </c>
      <c r="M2137" s="8"/>
    </row>
    <row r="2138" spans="1:13">
      <c r="A2138" s="71" t="s">
        <v>3322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>
      <c r="A2139" s="71" t="s">
        <v>3323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292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>
      <c r="A2140" s="15" t="s">
        <v>3324</v>
      </c>
      <c r="B2140" s="67">
        <v>33005130819</v>
      </c>
      <c r="C2140" s="72" t="s">
        <v>3325</v>
      </c>
      <c r="D2140" s="69">
        <v>29843431820</v>
      </c>
      <c r="E2140" s="9">
        <v>117</v>
      </c>
      <c r="F2140" s="25">
        <v>43117</v>
      </c>
      <c r="G2140" s="70" t="s">
        <v>292</v>
      </c>
      <c r="H2140" s="76">
        <v>43213</v>
      </c>
      <c r="I2140" s="8"/>
      <c r="J2140" s="8"/>
      <c r="K2140" s="8"/>
      <c r="L2140" s="9" t="s">
        <v>443</v>
      </c>
      <c r="M2140" s="8"/>
    </row>
    <row r="2141" spans="1:13">
      <c r="A2141" s="71" t="s">
        <v>3326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292</v>
      </c>
      <c r="H2141" s="9"/>
      <c r="I2141" s="8"/>
      <c r="J2141" s="8"/>
      <c r="K2141" s="8"/>
      <c r="L2141" s="9">
        <v>318</v>
      </c>
      <c r="M2141" s="8"/>
    </row>
    <row r="2142" spans="1:13">
      <c r="A2142" s="71" t="s">
        <v>3327</v>
      </c>
      <c r="B2142" s="67">
        <v>42840674866</v>
      </c>
      <c r="C2142" s="72" t="s">
        <v>3328</v>
      </c>
      <c r="D2142" s="69">
        <v>33066015866</v>
      </c>
      <c r="E2142" s="9">
        <v>117</v>
      </c>
      <c r="F2142" s="25">
        <v>43117</v>
      </c>
      <c r="G2142" s="70" t="s">
        <v>292</v>
      </c>
      <c r="H2142" s="9"/>
      <c r="I2142" s="8"/>
      <c r="J2142" s="8"/>
      <c r="K2142" s="8"/>
      <c r="L2142" s="9" t="s">
        <v>443</v>
      </c>
      <c r="M2142" s="8"/>
    </row>
    <row r="2143" spans="1:13">
      <c r="A2143" s="71" t="s">
        <v>3329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>
      <c r="A2144" s="29" t="s">
        <v>3330</v>
      </c>
      <c r="B2144" s="67">
        <v>2312065851</v>
      </c>
      <c r="C2144" s="73" t="s">
        <v>3331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>
      <c r="A2145" s="71" t="s">
        <v>3332</v>
      </c>
      <c r="B2145" s="67">
        <v>48549010472</v>
      </c>
      <c r="C2145" s="72" t="s">
        <v>3333</v>
      </c>
      <c r="D2145" s="69">
        <v>7796014830</v>
      </c>
      <c r="E2145" s="9">
        <v>1267</v>
      </c>
      <c r="F2145" s="25">
        <v>42998</v>
      </c>
      <c r="G2145" s="70" t="s">
        <v>292</v>
      </c>
      <c r="H2145" s="9"/>
      <c r="I2145" s="8"/>
      <c r="J2145" s="8"/>
      <c r="K2145" s="8"/>
      <c r="L2145" s="8"/>
      <c r="M2145" s="8"/>
    </row>
    <row r="2146" spans="1:13">
      <c r="A2146" s="29" t="s">
        <v>3334</v>
      </c>
      <c r="B2146" s="67"/>
      <c r="C2146" s="18" t="s">
        <v>402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>
      <c r="A2147" s="95" t="s">
        <v>3334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>
      <c r="A2148" s="73" t="s">
        <v>3335</v>
      </c>
      <c r="B2148" s="67">
        <v>38348922890</v>
      </c>
      <c r="C2148" s="72" t="s">
        <v>3336</v>
      </c>
      <c r="D2148" s="69">
        <v>22580367802</v>
      </c>
      <c r="E2148" s="9">
        <v>810</v>
      </c>
      <c r="F2148" s="25">
        <v>42915</v>
      </c>
      <c r="G2148" s="70" t="s">
        <v>292</v>
      </c>
      <c r="H2148" s="9"/>
      <c r="I2148" s="8"/>
      <c r="J2148" s="8"/>
      <c r="K2148" s="8"/>
      <c r="L2148" s="9" t="s">
        <v>411</v>
      </c>
      <c r="M2148" s="8"/>
    </row>
    <row r="2149" spans="1:13">
      <c r="A2149" s="72" t="s">
        <v>3337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292</v>
      </c>
      <c r="H2149" s="9"/>
      <c r="I2149" s="8"/>
      <c r="J2149" s="8"/>
      <c r="K2149" s="8"/>
      <c r="L2149" s="9" t="s">
        <v>443</v>
      </c>
      <c r="M2149" s="8"/>
    </row>
    <row r="2150" spans="1:13">
      <c r="A2150" s="71" t="s">
        <v>3338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>
      <c r="A2151" s="73" t="s">
        <v>3339</v>
      </c>
      <c r="B2151" s="67">
        <v>36691354800</v>
      </c>
      <c r="C2151" s="72" t="s">
        <v>3340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>
      <c r="A2152" s="15" t="s">
        <v>3341</v>
      </c>
      <c r="B2152" s="67">
        <v>2599679559</v>
      </c>
      <c r="C2152" s="72" t="s">
        <v>3342</v>
      </c>
      <c r="D2152" s="69">
        <v>99002051549</v>
      </c>
      <c r="E2152" s="9">
        <v>1824</v>
      </c>
      <c r="F2152" s="25">
        <v>43091</v>
      </c>
      <c r="G2152" s="70" t="s">
        <v>306</v>
      </c>
      <c r="H2152" s="9"/>
      <c r="I2152" s="8"/>
      <c r="J2152" s="8"/>
      <c r="K2152" s="8"/>
      <c r="L2152" s="9">
        <v>1828</v>
      </c>
      <c r="M2152" s="8"/>
    </row>
    <row r="2153" spans="1:13">
      <c r="A2153" s="29" t="s">
        <v>3343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>
      <c r="A2154" s="71" t="s">
        <v>3344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292</v>
      </c>
      <c r="H2154" s="9"/>
      <c r="I2154" s="8"/>
      <c r="J2154" s="8"/>
      <c r="K2154" s="8"/>
      <c r="L2154" s="8"/>
      <c r="M2154" s="8"/>
    </row>
    <row r="2155" spans="1:13">
      <c r="A2155" s="15" t="s">
        <v>3345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292</v>
      </c>
      <c r="H2155" s="9"/>
      <c r="I2155" s="8"/>
      <c r="J2155" s="8"/>
      <c r="K2155" s="8"/>
      <c r="L2155" s="9">
        <v>232</v>
      </c>
      <c r="M2155" s="8"/>
    </row>
    <row r="2156" spans="1:13">
      <c r="A2156" s="29" t="s">
        <v>3346</v>
      </c>
      <c r="B2156" s="67">
        <v>94813078591</v>
      </c>
      <c r="C2156" s="18" t="s">
        <v>3347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>
      <c r="A2157" s="15" t="s">
        <v>3348</v>
      </c>
      <c r="B2157" s="67">
        <v>6522038846</v>
      </c>
      <c r="C2157" s="72" t="s">
        <v>3349</v>
      </c>
      <c r="D2157" s="69">
        <v>390582808</v>
      </c>
      <c r="E2157" s="9">
        <v>292</v>
      </c>
      <c r="F2157" s="25">
        <v>43168</v>
      </c>
      <c r="G2157" s="70" t="s">
        <v>292</v>
      </c>
      <c r="H2157" s="9"/>
      <c r="I2157" s="8"/>
      <c r="J2157" s="8"/>
      <c r="K2157" s="8"/>
      <c r="L2157" s="9">
        <v>318</v>
      </c>
      <c r="M2157" s="8"/>
    </row>
    <row r="2158" spans="1:13">
      <c r="A2158" s="71" t="s">
        <v>3350</v>
      </c>
      <c r="B2158" s="67">
        <v>70986847402</v>
      </c>
      <c r="C2158" s="72" t="s">
        <v>3351</v>
      </c>
      <c r="D2158" s="69">
        <v>39640099899</v>
      </c>
      <c r="E2158" s="9">
        <v>229</v>
      </c>
      <c r="F2158" s="25">
        <v>43151</v>
      </c>
      <c r="G2158" s="70" t="s">
        <v>292</v>
      </c>
      <c r="H2158" s="9"/>
      <c r="I2158" s="8"/>
      <c r="J2158" s="8"/>
      <c r="K2158" s="8"/>
      <c r="L2158" s="9">
        <v>232</v>
      </c>
      <c r="M2158" s="8"/>
    </row>
    <row r="2159" spans="1:13">
      <c r="A2159" s="71" t="s">
        <v>3352</v>
      </c>
      <c r="B2159" s="67">
        <v>37737032878</v>
      </c>
      <c r="C2159" s="72" t="s">
        <v>3353</v>
      </c>
      <c r="D2159" s="69">
        <v>24659778819</v>
      </c>
      <c r="E2159" s="9">
        <v>1417</v>
      </c>
      <c r="F2159" s="25">
        <v>43017</v>
      </c>
      <c r="G2159" s="70" t="s">
        <v>298</v>
      </c>
      <c r="H2159" s="9"/>
      <c r="I2159" s="8"/>
      <c r="J2159" s="8"/>
      <c r="K2159" s="8"/>
      <c r="L2159" s="9" t="s">
        <v>526</v>
      </c>
      <c r="M2159" s="8"/>
    </row>
    <row r="2160" spans="1:13">
      <c r="A2160" s="71" t="s">
        <v>3354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>
      <c r="A2161" s="71" t="s">
        <v>3355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292</v>
      </c>
      <c r="H2161" s="9"/>
      <c r="I2161" s="8"/>
      <c r="J2161" s="8"/>
      <c r="K2161" s="8"/>
      <c r="L2161" s="8"/>
      <c r="M2161" s="8"/>
    </row>
    <row r="2162" spans="1:13">
      <c r="A2162" s="73" t="s">
        <v>3356</v>
      </c>
      <c r="B2162" s="67">
        <v>15716959822</v>
      </c>
      <c r="C2162" s="72" t="s">
        <v>3357</v>
      </c>
      <c r="D2162" s="69">
        <v>10451985877</v>
      </c>
      <c r="E2162" s="9">
        <v>262</v>
      </c>
      <c r="F2162" s="25">
        <v>43160</v>
      </c>
      <c r="G2162" s="70" t="s">
        <v>292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>
      <c r="A2163" s="52" t="s">
        <v>3358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>
      <c r="A2164" s="71" t="s">
        <v>3359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292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>
      <c r="A2165" s="13" t="s">
        <v>3360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292</v>
      </c>
      <c r="H2165" s="9"/>
      <c r="I2165" s="8"/>
      <c r="J2165" s="8"/>
      <c r="K2165" s="8"/>
      <c r="L2165" s="8"/>
      <c r="M2165" s="8"/>
    </row>
    <row r="2166" spans="1:13">
      <c r="A2166" s="71" t="s">
        <v>3361</v>
      </c>
      <c r="B2166" s="67">
        <v>32241408875</v>
      </c>
      <c r="C2166" s="72" t="s">
        <v>3362</v>
      </c>
      <c r="D2166" s="69">
        <v>7164250413</v>
      </c>
      <c r="E2166" s="9">
        <v>1824</v>
      </c>
      <c r="F2166" s="25">
        <v>43091</v>
      </c>
      <c r="G2166" s="70" t="s">
        <v>292</v>
      </c>
      <c r="H2166" s="9"/>
      <c r="I2166" s="8"/>
      <c r="J2166" s="8"/>
      <c r="K2166" s="8"/>
      <c r="L2166" s="9">
        <v>1828</v>
      </c>
      <c r="M2166" s="8"/>
    </row>
    <row r="2167" spans="1:13">
      <c r="A2167" s="14" t="s">
        <v>3363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292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>
      <c r="A2168" s="71" t="s">
        <v>3364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292</v>
      </c>
      <c r="H2168" s="9"/>
      <c r="I2168" s="8"/>
      <c r="J2168" s="8"/>
      <c r="K2168" s="8"/>
      <c r="L2168" s="8"/>
      <c r="M2168" s="8"/>
    </row>
    <row r="2169" spans="1:13">
      <c r="A2169" s="72" t="s">
        <v>3365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>
      <c r="A2170" s="72" t="s">
        <v>3366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>
      <c r="A2171" s="72" t="s">
        <v>3367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292</v>
      </c>
      <c r="H2171" s="9"/>
      <c r="I2171" s="8"/>
      <c r="J2171" s="8"/>
      <c r="K2171" s="8"/>
      <c r="L2171" s="9">
        <v>318</v>
      </c>
      <c r="M2171" s="8"/>
    </row>
    <row r="2172" spans="1:13">
      <c r="A2172" s="14" t="s">
        <v>3368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292</v>
      </c>
      <c r="H2172" s="9"/>
      <c r="I2172" s="8"/>
      <c r="J2172" s="8"/>
      <c r="K2172" s="8"/>
      <c r="L2172" s="9" t="s">
        <v>526</v>
      </c>
      <c r="M2172" s="8"/>
    </row>
    <row r="2173" spans="1:13">
      <c r="A2173" s="71" t="s">
        <v>3369</v>
      </c>
      <c r="B2173" s="67">
        <v>8983229870</v>
      </c>
      <c r="C2173" s="72" t="s">
        <v>3370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>
      <c r="A2174" s="71" t="s">
        <v>3371</v>
      </c>
      <c r="B2174" s="67">
        <v>9269199894</v>
      </c>
      <c r="C2174" s="72" t="s">
        <v>3372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>
      <c r="A2175" s="71" t="s">
        <v>3373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292</v>
      </c>
      <c r="H2175" s="9"/>
      <c r="I2175" s="8"/>
      <c r="J2175" s="8"/>
      <c r="K2175" s="8"/>
      <c r="L2175" s="8"/>
      <c r="M2175" s="8"/>
    </row>
    <row r="2176" spans="1:13">
      <c r="A2176" s="13" t="s">
        <v>3374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292</v>
      </c>
      <c r="H2176" s="9"/>
      <c r="I2176" s="8"/>
      <c r="J2176" s="8"/>
      <c r="K2176" s="8"/>
      <c r="L2176" s="8"/>
      <c r="M2176" s="8"/>
    </row>
    <row r="2177" spans="1:13">
      <c r="A2177" s="71" t="s">
        <v>3375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292</v>
      </c>
      <c r="H2177" s="9"/>
      <c r="I2177" s="8"/>
      <c r="J2177" s="8"/>
      <c r="K2177" s="8"/>
      <c r="L2177" s="9">
        <v>318</v>
      </c>
      <c r="M2177" s="8"/>
    </row>
    <row r="2178" spans="1:13">
      <c r="A2178" s="73" t="s">
        <v>3376</v>
      </c>
      <c r="B2178" s="67">
        <v>34641758808</v>
      </c>
      <c r="C2178" s="72" t="s">
        <v>3377</v>
      </c>
      <c r="D2178" s="69">
        <v>30083315802</v>
      </c>
      <c r="E2178" s="9">
        <v>810</v>
      </c>
      <c r="F2178" s="25">
        <v>42915</v>
      </c>
      <c r="G2178" s="70" t="s">
        <v>292</v>
      </c>
      <c r="H2178" s="9"/>
      <c r="I2178" s="8"/>
      <c r="J2178" s="8"/>
      <c r="K2178" s="8"/>
      <c r="L2178" s="9" t="s">
        <v>411</v>
      </c>
      <c r="M2178" s="8"/>
    </row>
    <row r="2179" spans="1:13">
      <c r="A2179" s="71" t="s">
        <v>3378</v>
      </c>
      <c r="B2179" s="67">
        <v>1335459383</v>
      </c>
      <c r="C2179" s="71" t="s">
        <v>3379</v>
      </c>
      <c r="D2179" s="69">
        <v>2369426381</v>
      </c>
      <c r="E2179" s="9">
        <v>292</v>
      </c>
      <c r="F2179" s="25">
        <v>43168</v>
      </c>
      <c r="G2179" s="70" t="s">
        <v>292</v>
      </c>
      <c r="H2179" s="9"/>
      <c r="I2179" s="8"/>
      <c r="J2179" s="8"/>
      <c r="K2179" s="8"/>
      <c r="L2179" s="9">
        <v>318</v>
      </c>
      <c r="M2179" s="8"/>
    </row>
    <row r="2180" spans="1:13">
      <c r="A2180" s="71" t="s">
        <v>3380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292</v>
      </c>
      <c r="H2180" s="9"/>
      <c r="I2180" s="8"/>
      <c r="J2180" s="8"/>
      <c r="K2180" s="8"/>
      <c r="L2180" s="9" t="s">
        <v>443</v>
      </c>
      <c r="M2180" s="8"/>
    </row>
    <row r="2181" spans="1:13">
      <c r="A2181" s="71" t="s">
        <v>3381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292</v>
      </c>
      <c r="H2181" s="9"/>
      <c r="I2181" s="8"/>
      <c r="J2181" s="8"/>
      <c r="K2181" s="8"/>
      <c r="L2181" s="9">
        <v>1828</v>
      </c>
      <c r="M2181" s="8"/>
    </row>
    <row r="2182" spans="1:13">
      <c r="A2182" s="29" t="s">
        <v>3382</v>
      </c>
      <c r="B2182" s="67">
        <v>38248770826</v>
      </c>
      <c r="C2182" s="29" t="s">
        <v>3383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>
      <c r="A2183" s="73" t="s">
        <v>3384</v>
      </c>
      <c r="B2183" s="67">
        <v>32857847840</v>
      </c>
      <c r="C2183" s="72" t="s">
        <v>3385</v>
      </c>
      <c r="D2183" s="69">
        <v>33885204886</v>
      </c>
      <c r="E2183" s="9">
        <v>810</v>
      </c>
      <c r="F2183" s="25">
        <v>42915</v>
      </c>
      <c r="G2183" s="70" t="s">
        <v>292</v>
      </c>
      <c r="H2183" s="9"/>
      <c r="I2183" s="8"/>
      <c r="J2183" s="8"/>
      <c r="K2183" s="8"/>
      <c r="L2183" s="9" t="s">
        <v>411</v>
      </c>
      <c r="M2183" s="8"/>
    </row>
    <row r="2184" spans="1:13">
      <c r="A2184" s="14" t="s">
        <v>3386</v>
      </c>
      <c r="B2184" s="67">
        <v>25367069827</v>
      </c>
      <c r="C2184" s="72" t="s">
        <v>3387</v>
      </c>
      <c r="D2184" s="69">
        <v>28922275855</v>
      </c>
      <c r="E2184" s="9">
        <v>262</v>
      </c>
      <c r="F2184" s="25">
        <v>43160</v>
      </c>
      <c r="G2184" s="70" t="s">
        <v>298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>
      <c r="A2185" s="15" t="s">
        <v>3388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292</v>
      </c>
      <c r="H2185" s="9"/>
      <c r="I2185" s="8"/>
      <c r="J2185" s="8"/>
      <c r="K2185" s="8"/>
      <c r="L2185" s="9" t="s">
        <v>443</v>
      </c>
      <c r="M2185" s="8"/>
    </row>
    <row r="2186" spans="1:13">
      <c r="A2186" s="71" t="s">
        <v>3389</v>
      </c>
      <c r="B2186" s="67">
        <v>29652533866</v>
      </c>
      <c r="C2186" s="72" t="s">
        <v>3390</v>
      </c>
      <c r="D2186" s="69">
        <v>21898199892</v>
      </c>
      <c r="E2186" s="9">
        <v>1752</v>
      </c>
      <c r="F2186" s="25">
        <v>43051</v>
      </c>
      <c r="G2186" s="70" t="s">
        <v>292</v>
      </c>
      <c r="H2186" s="9"/>
      <c r="I2186" s="8"/>
      <c r="J2186" s="8"/>
      <c r="K2186" s="8"/>
      <c r="L2186" s="9">
        <v>1759</v>
      </c>
      <c r="M2186" s="8"/>
    </row>
    <row r="2187" spans="1:13">
      <c r="A2187" s="71" t="s">
        <v>3391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292</v>
      </c>
      <c r="H2187" s="9"/>
      <c r="I2187" s="8"/>
      <c r="J2187" s="8"/>
      <c r="K2187" s="8"/>
      <c r="L2187" s="8"/>
      <c r="M2187" s="8"/>
    </row>
    <row r="2188" spans="1:13">
      <c r="A2188" s="14" t="s">
        <v>3392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292</v>
      </c>
      <c r="H2188" s="9"/>
      <c r="I2188" s="8"/>
      <c r="J2188" s="8"/>
      <c r="K2188" s="8"/>
      <c r="L2188" s="9">
        <v>318</v>
      </c>
      <c r="M2188" s="8"/>
    </row>
    <row r="2189" spans="1:13">
      <c r="A2189" s="71" t="s">
        <v>3393</v>
      </c>
      <c r="B2189" s="67">
        <v>34777966836</v>
      </c>
      <c r="C2189" s="72" t="s">
        <v>3394</v>
      </c>
      <c r="D2189" s="69">
        <v>33600648870</v>
      </c>
      <c r="E2189" s="9">
        <v>117</v>
      </c>
      <c r="F2189" s="25">
        <v>43117</v>
      </c>
      <c r="G2189" s="70" t="s">
        <v>292</v>
      </c>
      <c r="H2189" s="9"/>
      <c r="I2189" s="8"/>
      <c r="J2189" s="8"/>
      <c r="K2189" s="8"/>
      <c r="L2189" s="9" t="s">
        <v>443</v>
      </c>
      <c r="M2189" s="8"/>
    </row>
    <row r="2190" spans="1:13">
      <c r="A2190" s="29" t="s">
        <v>3395</v>
      </c>
      <c r="B2190" s="67"/>
      <c r="C2190" s="29" t="s">
        <v>3396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>
      <c r="A2191" s="71" t="s">
        <v>3397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292</v>
      </c>
      <c r="H2191" s="9"/>
      <c r="I2191" s="8"/>
      <c r="J2191" s="8"/>
      <c r="K2191" s="8"/>
      <c r="L2191" s="9">
        <v>318</v>
      </c>
      <c r="M2191" s="8"/>
    </row>
    <row r="2192" spans="1:13">
      <c r="A2192" s="71" t="s">
        <v>3398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>
      <c r="A2193" s="15" t="s">
        <v>3399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292</v>
      </c>
      <c r="H2193" s="9"/>
      <c r="I2193" s="8"/>
      <c r="J2193" s="8"/>
      <c r="K2193" s="8"/>
      <c r="L2193" s="9">
        <v>232</v>
      </c>
      <c r="M2193" s="8"/>
    </row>
    <row r="2194" spans="1:13">
      <c r="A2194" s="71" t="s">
        <v>3400</v>
      </c>
      <c r="B2194" s="67">
        <v>27082581840</v>
      </c>
      <c r="C2194" s="77" t="s">
        <v>3401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>
      <c r="A2195" s="72" t="s">
        <v>3402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>
      <c r="A2196" s="72" t="s">
        <v>3403</v>
      </c>
      <c r="B2196" s="67">
        <v>40878539859</v>
      </c>
      <c r="C2196" s="72" t="s">
        <v>3404</v>
      </c>
      <c r="D2196" s="69"/>
      <c r="E2196" s="9">
        <v>1489</v>
      </c>
      <c r="F2196" s="25">
        <v>43038</v>
      </c>
      <c r="G2196" s="70" t="s">
        <v>292</v>
      </c>
      <c r="H2196" s="9"/>
      <c r="I2196" s="8"/>
      <c r="J2196" s="8"/>
      <c r="K2196" s="8"/>
      <c r="L2196" s="9" t="s">
        <v>433</v>
      </c>
      <c r="M2196" s="8"/>
    </row>
    <row r="2197" spans="1:13">
      <c r="A2197" s="71" t="s">
        <v>3405</v>
      </c>
      <c r="B2197" s="67">
        <v>35643661802</v>
      </c>
      <c r="C2197" s="68" t="s">
        <v>3406</v>
      </c>
      <c r="D2197" s="69">
        <v>34613571898</v>
      </c>
      <c r="E2197" s="9">
        <v>1128</v>
      </c>
      <c r="F2197" s="25">
        <v>42972</v>
      </c>
      <c r="G2197" s="70" t="s">
        <v>292</v>
      </c>
      <c r="H2197" s="9"/>
      <c r="I2197" s="8"/>
      <c r="J2197" s="8"/>
      <c r="K2197" s="8"/>
      <c r="L2197" s="8"/>
      <c r="M2197" s="8"/>
    </row>
    <row r="2198" spans="1:13">
      <c r="A2198" s="29" t="s">
        <v>3407</v>
      </c>
      <c r="B2198" s="67">
        <v>89251660549</v>
      </c>
      <c r="C2198" s="18" t="s">
        <v>402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>
      <c r="A2199" s="13" t="s">
        <v>3408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292</v>
      </c>
      <c r="H2199" s="9"/>
      <c r="I2199" s="8"/>
      <c r="J2199" s="8"/>
      <c r="K2199" s="8"/>
      <c r="L2199" s="8"/>
      <c r="M2199" s="8"/>
    </row>
    <row r="2200" spans="1:13">
      <c r="A2200" s="13" t="s">
        <v>3409</v>
      </c>
      <c r="B2200" s="67">
        <v>28280731814</v>
      </c>
      <c r="C2200" s="68" t="s">
        <v>3410</v>
      </c>
      <c r="D2200" s="69">
        <v>36523032884</v>
      </c>
      <c r="E2200" s="9">
        <v>1128</v>
      </c>
      <c r="F2200" s="25">
        <v>42972</v>
      </c>
      <c r="G2200" s="70" t="s">
        <v>292</v>
      </c>
      <c r="H2200" s="9"/>
      <c r="I2200" s="8"/>
      <c r="J2200" s="8"/>
      <c r="K2200" s="8"/>
      <c r="L2200" s="8"/>
      <c r="M2200" s="8"/>
    </row>
    <row r="2201" spans="1:13">
      <c r="A2201" s="71" t="s">
        <v>3411</v>
      </c>
      <c r="B2201" s="67">
        <v>12525223802</v>
      </c>
      <c r="C2201" s="68" t="s">
        <v>3412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>
      <c r="A2202" s="71" t="s">
        <v>3413</v>
      </c>
      <c r="B2202" s="67">
        <v>37014825860</v>
      </c>
      <c r="C2202" s="72" t="s">
        <v>3414</v>
      </c>
      <c r="D2202" s="69">
        <v>38869051870</v>
      </c>
      <c r="E2202" s="9">
        <v>1752</v>
      </c>
      <c r="F2202" s="25">
        <v>43051</v>
      </c>
      <c r="G2202" s="70" t="s">
        <v>292</v>
      </c>
      <c r="H2202" s="9"/>
      <c r="I2202" s="8"/>
      <c r="J2202" s="8"/>
      <c r="K2202" s="8"/>
      <c r="L2202" s="9">
        <v>1759</v>
      </c>
      <c r="M2202" s="8"/>
    </row>
    <row r="2203" spans="1:13">
      <c r="A2203" s="71" t="s">
        <v>3415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292</v>
      </c>
      <c r="H2203" s="9"/>
      <c r="I2203" s="8"/>
      <c r="J2203" s="8"/>
      <c r="K2203" s="8"/>
      <c r="L2203" s="8"/>
      <c r="M2203" s="8"/>
    </row>
    <row r="2204" spans="1:13">
      <c r="A2204" s="71" t="s">
        <v>3416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292</v>
      </c>
      <c r="H2204" s="9"/>
      <c r="I2204" s="8"/>
      <c r="J2204" s="8"/>
      <c r="K2204" s="8"/>
      <c r="L2204" s="8"/>
      <c r="M2204" s="8"/>
    </row>
    <row r="2205" spans="1:13">
      <c r="A2205" s="71" t="s">
        <v>3417</v>
      </c>
      <c r="B2205" s="67">
        <v>15095801825</v>
      </c>
      <c r="C2205" s="72" t="s">
        <v>3418</v>
      </c>
      <c r="D2205" s="69">
        <v>16417229831</v>
      </c>
      <c r="E2205" s="9">
        <v>85</v>
      </c>
      <c r="F2205" s="25">
        <v>43109</v>
      </c>
      <c r="G2205" s="70" t="s">
        <v>292</v>
      </c>
      <c r="H2205" s="25">
        <v>43151</v>
      </c>
      <c r="I2205" s="8"/>
      <c r="J2205" s="8"/>
      <c r="K2205" s="8"/>
      <c r="L2205" s="8"/>
      <c r="M2205" s="8"/>
    </row>
    <row r="2206" spans="1:13">
      <c r="A2206" s="71" t="s">
        <v>3419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>
      <c r="A2207" s="15" t="s">
        <v>3420</v>
      </c>
      <c r="B2207" s="67">
        <v>58037845249</v>
      </c>
      <c r="C2207" s="72" t="s">
        <v>3421</v>
      </c>
      <c r="D2207" s="69">
        <v>496500333</v>
      </c>
      <c r="E2207" s="9">
        <v>117</v>
      </c>
      <c r="F2207" s="25">
        <v>43117</v>
      </c>
      <c r="G2207" s="70" t="s">
        <v>292</v>
      </c>
      <c r="H2207" s="9"/>
      <c r="I2207" s="8"/>
      <c r="J2207" s="8"/>
      <c r="K2207" s="8"/>
      <c r="L2207" s="9" t="s">
        <v>443</v>
      </c>
      <c r="M2207" s="8"/>
    </row>
    <row r="2208" spans="1:13">
      <c r="A2208" s="84" t="s">
        <v>3422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>
      <c r="A2209" s="71" t="s">
        <v>3423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>
      <c r="A2210" s="72" t="s">
        <v>3424</v>
      </c>
      <c r="B2210" s="67">
        <v>4416847858</v>
      </c>
      <c r="C2210" s="72" t="s">
        <v>3425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>
      <c r="A2211" s="29" t="s">
        <v>3426</v>
      </c>
      <c r="B2211" s="67"/>
      <c r="C2211" s="18" t="s">
        <v>402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>
      <c r="A2212" s="71" t="s">
        <v>3427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292</v>
      </c>
      <c r="H2212" s="9"/>
      <c r="I2212" s="8"/>
      <c r="J2212" s="8"/>
      <c r="K2212" s="8"/>
      <c r="L2212" s="8"/>
      <c r="M2212" s="8"/>
    </row>
    <row r="2213" spans="1:13">
      <c r="A2213" s="71" t="s">
        <v>3428</v>
      </c>
      <c r="B2213" s="67">
        <v>35325197800</v>
      </c>
      <c r="C2213" s="72" t="s">
        <v>3429</v>
      </c>
      <c r="D2213" s="69">
        <v>38159378840</v>
      </c>
      <c r="E2213" s="9">
        <v>810</v>
      </c>
      <c r="F2213" s="25">
        <v>42915</v>
      </c>
      <c r="G2213" s="70" t="s">
        <v>292</v>
      </c>
      <c r="H2213" s="9"/>
      <c r="I2213" s="8"/>
      <c r="J2213" s="8"/>
      <c r="K2213" s="8"/>
      <c r="L2213" s="9" t="s">
        <v>411</v>
      </c>
      <c r="M2213" s="8"/>
    </row>
    <row r="2214" spans="1:13">
      <c r="A2214" s="71" t="s">
        <v>3430</v>
      </c>
      <c r="B2214" s="67">
        <v>37527821884</v>
      </c>
      <c r="C2214" s="72" t="s">
        <v>3431</v>
      </c>
      <c r="D2214" s="69">
        <v>69447810420</v>
      </c>
      <c r="E2214" s="9">
        <v>262</v>
      </c>
      <c r="F2214" s="25">
        <v>43160</v>
      </c>
      <c r="G2214" s="70" t="s">
        <v>292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>
      <c r="A2215" s="71" t="s">
        <v>3432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292</v>
      </c>
      <c r="H2215" s="9"/>
      <c r="I2215" s="8"/>
      <c r="J2215" s="8"/>
      <c r="K2215" s="8"/>
      <c r="L2215" s="9" t="s">
        <v>443</v>
      </c>
      <c r="M2215" s="8"/>
    </row>
    <row r="2216" spans="1:13">
      <c r="A2216" s="15" t="s">
        <v>3433</v>
      </c>
      <c r="B2216" s="67">
        <v>85281050672</v>
      </c>
      <c r="C2216" s="72" t="s">
        <v>3434</v>
      </c>
      <c r="D2216" s="69">
        <v>5490696664</v>
      </c>
      <c r="E2216" s="9">
        <v>229</v>
      </c>
      <c r="F2216" s="25">
        <v>43151</v>
      </c>
      <c r="G2216" s="70" t="s">
        <v>292</v>
      </c>
      <c r="H2216" s="9"/>
      <c r="I2216" s="8"/>
      <c r="J2216" s="8"/>
      <c r="K2216" s="8"/>
      <c r="L2216" s="9">
        <v>232</v>
      </c>
      <c r="M2216" s="8"/>
    </row>
    <row r="2217" spans="1:13">
      <c r="A2217" s="71" t="s">
        <v>3435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292</v>
      </c>
      <c r="H2217" s="9"/>
      <c r="I2217" s="8"/>
      <c r="J2217" s="8"/>
      <c r="K2217" s="8"/>
      <c r="L2217" s="9">
        <v>318</v>
      </c>
      <c r="M2217" s="8"/>
    </row>
    <row r="2218" spans="1:13">
      <c r="A2218" s="15" t="s">
        <v>3436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298</v>
      </c>
      <c r="H2218" s="9"/>
      <c r="I2218" s="8"/>
      <c r="J2218" s="8"/>
      <c r="K2218" s="8"/>
      <c r="L2218" s="9" t="s">
        <v>443</v>
      </c>
      <c r="M2218" s="8"/>
    </row>
    <row r="2219" spans="1:13">
      <c r="A2219" s="71" t="s">
        <v>3437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>
      <c r="A2220" s="71" t="s">
        <v>3438</v>
      </c>
      <c r="B2220" s="67">
        <v>27851461820</v>
      </c>
      <c r="C2220" s="72" t="s">
        <v>3439</v>
      </c>
      <c r="D2220" s="69">
        <v>27264565882</v>
      </c>
      <c r="E2220" s="9">
        <v>117</v>
      </c>
      <c r="F2220" s="25">
        <v>43117</v>
      </c>
      <c r="G2220" s="70" t="s">
        <v>292</v>
      </c>
      <c r="H2220" s="9"/>
      <c r="I2220" s="8"/>
      <c r="J2220" s="8"/>
      <c r="K2220" s="8"/>
      <c r="L2220" s="9" t="s">
        <v>443</v>
      </c>
      <c r="M2220" s="8"/>
    </row>
    <row r="2221" spans="1:13">
      <c r="A2221" s="71" t="s">
        <v>3440</v>
      </c>
      <c r="B2221" s="67">
        <v>32960731832</v>
      </c>
      <c r="C2221" s="77" t="s">
        <v>3441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>
      <c r="A2222" s="18" t="s">
        <v>3442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>
      <c r="A2223" s="71" t="s">
        <v>3443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292</v>
      </c>
      <c r="H2223" s="9"/>
      <c r="I2223" s="8"/>
      <c r="J2223" s="8"/>
      <c r="K2223" s="8"/>
      <c r="L2223" s="8"/>
      <c r="M2223" s="8"/>
    </row>
    <row r="2224" spans="1:13">
      <c r="A2224" s="71" t="s">
        <v>3444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292</v>
      </c>
      <c r="H2224" s="9"/>
      <c r="I2224" s="8"/>
      <c r="J2224" s="8"/>
      <c r="K2224" s="8"/>
      <c r="L2224" s="9" t="s">
        <v>433</v>
      </c>
      <c r="M2224" s="8"/>
    </row>
    <row r="2225" spans="1:13">
      <c r="A2225" s="71" t="s">
        <v>3445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292</v>
      </c>
      <c r="H2225" s="9"/>
      <c r="I2225" s="8"/>
      <c r="J2225" s="8"/>
      <c r="K2225" s="8"/>
      <c r="L2225" s="8"/>
      <c r="M2225" s="8"/>
    </row>
    <row r="2226" spans="1:13">
      <c r="A2226" s="71" t="s">
        <v>3446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292</v>
      </c>
      <c r="H2226" s="9"/>
      <c r="I2226" s="8"/>
      <c r="J2226" s="8"/>
      <c r="K2226" s="8"/>
      <c r="L2226" s="8"/>
      <c r="M2226" s="8"/>
    </row>
    <row r="2227" spans="1:13">
      <c r="A2227" s="29" t="s">
        <v>3447</v>
      </c>
      <c r="B2227" s="67"/>
      <c r="C2227" s="18" t="s">
        <v>402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>
      <c r="A2228" s="71" t="s">
        <v>3448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292</v>
      </c>
      <c r="H2228" s="9"/>
      <c r="I2228" s="8"/>
      <c r="J2228" s="8"/>
      <c r="K2228" s="8"/>
      <c r="L2228" s="9">
        <v>1759</v>
      </c>
      <c r="M2228" s="8"/>
    </row>
    <row r="2229" spans="1:13">
      <c r="A2229" s="71" t="s">
        <v>3449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292</v>
      </c>
      <c r="H2229" s="9"/>
      <c r="I2229" s="8"/>
      <c r="J2229" s="8"/>
      <c r="K2229" s="8"/>
      <c r="L2229" s="9">
        <v>318</v>
      </c>
      <c r="M2229" s="8"/>
    </row>
    <row r="2230" spans="1:13">
      <c r="A2230" s="18" t="s">
        <v>3450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>
      <c r="A2231" s="15" t="s">
        <v>3451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292</v>
      </c>
      <c r="H2231" s="9"/>
      <c r="I2231" s="8"/>
      <c r="J2231" s="8"/>
      <c r="K2231" s="8"/>
      <c r="L2231" s="9" t="s">
        <v>443</v>
      </c>
      <c r="M2231" s="8"/>
    </row>
    <row r="2232" spans="1:13">
      <c r="A2232" s="14" t="s">
        <v>3452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>
      <c r="A2233" s="15" t="s">
        <v>3453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292</v>
      </c>
      <c r="H2233" s="25">
        <v>43151</v>
      </c>
      <c r="I2233" s="8"/>
      <c r="J2233" s="8"/>
      <c r="K2233" s="8"/>
      <c r="L2233" s="8"/>
      <c r="M2233" s="8"/>
    </row>
    <row r="2234" spans="1:13">
      <c r="A2234" s="15" t="s">
        <v>3454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>
      <c r="A2235" s="71" t="s">
        <v>3455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>
      <c r="A2236" s="77" t="s">
        <v>3456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>
      <c r="A2237" s="71" t="s">
        <v>3457</v>
      </c>
      <c r="B2237" s="67">
        <v>22548549844</v>
      </c>
      <c r="C2237" s="77" t="s">
        <v>3458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>
      <c r="A2238" s="15" t="s">
        <v>3459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292</v>
      </c>
      <c r="H2238" s="25">
        <v>43151</v>
      </c>
      <c r="I2238" s="8"/>
      <c r="J2238" s="8"/>
      <c r="K2238" s="8"/>
      <c r="L2238" s="8"/>
      <c r="M2238" s="8"/>
    </row>
    <row r="2239" spans="1:13">
      <c r="A2239" s="71" t="s">
        <v>3460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292</v>
      </c>
      <c r="H2239" s="9"/>
      <c r="I2239" s="8"/>
      <c r="J2239" s="8"/>
      <c r="K2239" s="8"/>
      <c r="L2239" s="9">
        <v>318</v>
      </c>
      <c r="M2239" s="8"/>
    </row>
    <row r="2240" spans="1:13">
      <c r="A2240" s="71" t="s">
        <v>3461</v>
      </c>
      <c r="B2240" s="67">
        <v>27757716888</v>
      </c>
      <c r="C2240" s="77" t="s">
        <v>3462</v>
      </c>
      <c r="D2240" s="69" t="s">
        <v>3463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>
      <c r="A2241" s="15" t="s">
        <v>3464</v>
      </c>
      <c r="B2241" s="67">
        <v>30926413880</v>
      </c>
      <c r="C2241" s="72" t="s">
        <v>3465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572</v>
      </c>
      <c r="M2241" s="8"/>
    </row>
    <row r="2242" spans="1:13">
      <c r="A2242" s="71" t="s">
        <v>3466</v>
      </c>
      <c r="B2242" s="67">
        <v>32954076810</v>
      </c>
      <c r="C2242" s="72" t="s">
        <v>3467</v>
      </c>
      <c r="D2242" s="69">
        <v>82353131468</v>
      </c>
      <c r="E2242" s="9">
        <v>292</v>
      </c>
      <c r="F2242" s="25">
        <v>43168</v>
      </c>
      <c r="G2242" s="70" t="s">
        <v>292</v>
      </c>
      <c r="H2242" s="9"/>
      <c r="I2242" s="8"/>
      <c r="J2242" s="8"/>
      <c r="K2242" s="8"/>
      <c r="L2242" s="9">
        <v>318</v>
      </c>
      <c r="M2242" s="8"/>
    </row>
    <row r="2243" spans="1:13">
      <c r="A2243" s="71" t="s">
        <v>3468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298</v>
      </c>
      <c r="H2243" s="9"/>
      <c r="I2243" s="8"/>
      <c r="J2243" s="8"/>
      <c r="K2243" s="8"/>
      <c r="L2243" s="9">
        <v>1828</v>
      </c>
      <c r="M2243" s="8"/>
    </row>
    <row r="2244" spans="1:13">
      <c r="A2244" s="71" t="s">
        <v>3469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292</v>
      </c>
      <c r="H2244" s="9"/>
      <c r="I2244" s="8"/>
      <c r="J2244" s="8"/>
      <c r="K2244" s="8"/>
      <c r="L2244" s="9">
        <v>318</v>
      </c>
      <c r="M2244" s="8"/>
    </row>
    <row r="2245" spans="1:13">
      <c r="A2245" s="71" t="s">
        <v>3470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292</v>
      </c>
      <c r="H2245" s="9"/>
      <c r="I2245" s="8"/>
      <c r="J2245" s="8"/>
      <c r="K2245" s="8"/>
      <c r="L2245" s="9">
        <v>1828</v>
      </c>
      <c r="M2245" s="8"/>
    </row>
    <row r="2246" spans="1:13">
      <c r="A2246" s="71" t="s">
        <v>3471</v>
      </c>
      <c r="B2246" s="67">
        <v>23171032805</v>
      </c>
      <c r="C2246" s="72" t="s">
        <v>3472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>
      <c r="A2247" s="71" t="s">
        <v>3473</v>
      </c>
      <c r="B2247" s="67">
        <v>33375182813</v>
      </c>
      <c r="C2247" s="75" t="s">
        <v>3474</v>
      </c>
      <c r="D2247" s="69">
        <v>30178836800</v>
      </c>
      <c r="E2247" s="9">
        <v>1106</v>
      </c>
      <c r="F2247" s="25">
        <v>42965</v>
      </c>
      <c r="G2247" s="70" t="s">
        <v>292</v>
      </c>
      <c r="H2247" s="9"/>
      <c r="I2247" s="8"/>
      <c r="J2247" s="8"/>
      <c r="K2247" s="8"/>
      <c r="L2247" s="8"/>
      <c r="M2247" s="8"/>
    </row>
    <row r="2248" spans="1:13">
      <c r="A2248" s="71" t="s">
        <v>3475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292</v>
      </c>
      <c r="H2248" s="9"/>
      <c r="I2248" s="8"/>
      <c r="J2248" s="8"/>
      <c r="K2248" s="8"/>
      <c r="L2248" s="8"/>
      <c r="M2248" s="8"/>
    </row>
    <row r="2249" spans="1:13">
      <c r="A2249" s="71" t="s">
        <v>3476</v>
      </c>
      <c r="B2249" s="67">
        <v>15712243865</v>
      </c>
      <c r="C2249" s="72" t="s">
        <v>3477</v>
      </c>
      <c r="D2249" s="69">
        <v>501095705</v>
      </c>
      <c r="E2249" s="9">
        <v>1752</v>
      </c>
      <c r="F2249" s="25">
        <v>43051</v>
      </c>
      <c r="G2249" s="70" t="s">
        <v>292</v>
      </c>
      <c r="H2249" s="9"/>
      <c r="I2249" s="8"/>
      <c r="J2249" s="8"/>
      <c r="K2249" s="8"/>
      <c r="L2249" s="9">
        <v>1759</v>
      </c>
      <c r="M2249" s="8"/>
    </row>
    <row r="2250" spans="1:13">
      <c r="A2250" s="71" t="s">
        <v>3478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292</v>
      </c>
      <c r="H2250" s="9"/>
      <c r="I2250" s="8"/>
      <c r="J2250" s="8"/>
      <c r="K2250" s="8"/>
      <c r="L2250" s="9" t="s">
        <v>411</v>
      </c>
      <c r="M2250" s="8"/>
    </row>
    <row r="2251" spans="1:13">
      <c r="A2251" s="15" t="s">
        <v>3479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292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>
      <c r="A2252" s="71" t="s">
        <v>3480</v>
      </c>
      <c r="B2252" s="67">
        <v>22403927899</v>
      </c>
      <c r="C2252" s="72" t="s">
        <v>3481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>
      <c r="A2253" s="13" t="s">
        <v>3482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292</v>
      </c>
      <c r="H2253" s="9"/>
      <c r="I2253" s="8"/>
      <c r="J2253" s="8"/>
      <c r="K2253" s="8"/>
      <c r="L2253" s="9" t="s">
        <v>443</v>
      </c>
      <c r="M2253" s="8"/>
    </row>
    <row r="2254" spans="1:13">
      <c r="A2254" s="14" t="s">
        <v>3483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>
      <c r="A2255" s="75" t="s">
        <v>3484</v>
      </c>
      <c r="B2255" s="67">
        <v>32624504800</v>
      </c>
      <c r="C2255" s="72" t="s">
        <v>3485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>
      <c r="A2256" s="71" t="s">
        <v>3486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292</v>
      </c>
      <c r="H2256" s="9"/>
      <c r="I2256" s="8"/>
      <c r="J2256" s="8"/>
      <c r="K2256" s="8"/>
      <c r="L2256" s="8"/>
      <c r="M2256" s="8"/>
    </row>
    <row r="2257" spans="1:13">
      <c r="A2257" s="71" t="s">
        <v>3487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298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>
      <c r="A2258" s="72" t="s">
        <v>3488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>
      <c r="A2259" s="72" t="s">
        <v>3489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292</v>
      </c>
      <c r="H2259" s="9"/>
      <c r="I2259" s="8"/>
      <c r="J2259" s="8"/>
      <c r="K2259" s="8"/>
      <c r="L2259" s="9">
        <v>318</v>
      </c>
      <c r="M2259" s="8"/>
    </row>
    <row r="2260" spans="1:13">
      <c r="A2260" s="15" t="s">
        <v>3490</v>
      </c>
      <c r="B2260" s="67">
        <v>14688456832</v>
      </c>
      <c r="C2260" s="72" t="s">
        <v>3491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>
      <c r="A2261" s="13" t="s">
        <v>3492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292</v>
      </c>
      <c r="H2261" s="9"/>
      <c r="I2261" s="8"/>
      <c r="J2261" s="8"/>
      <c r="K2261" s="8"/>
      <c r="L2261" s="8"/>
      <c r="M2261" s="8"/>
    </row>
    <row r="2262" spans="1:13">
      <c r="A2262" s="71" t="s">
        <v>3493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292</v>
      </c>
      <c r="H2262" s="9"/>
      <c r="I2262" s="8"/>
      <c r="J2262" s="8"/>
      <c r="K2262" s="8"/>
      <c r="L2262" s="9">
        <v>318</v>
      </c>
      <c r="M2262" s="8"/>
    </row>
    <row r="2263" spans="1:13">
      <c r="A2263" s="18" t="s">
        <v>3494</v>
      </c>
      <c r="B2263" s="67">
        <v>38726646897</v>
      </c>
      <c r="C2263" s="18" t="s">
        <v>3495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>
      <c r="A2264" s="29" t="s">
        <v>3496</v>
      </c>
      <c r="B2264" s="67">
        <v>45171952876</v>
      </c>
      <c r="C2264" s="29" t="s">
        <v>3497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>
      <c r="A2265" s="71" t="s">
        <v>3498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292</v>
      </c>
      <c r="H2265" s="9"/>
      <c r="I2265" s="8"/>
      <c r="J2265" s="8"/>
      <c r="K2265" s="8"/>
      <c r="L2265" s="9">
        <v>318</v>
      </c>
      <c r="M2265" s="8"/>
    </row>
    <row r="2266" spans="1:13">
      <c r="A2266" s="71" t="s">
        <v>3499</v>
      </c>
      <c r="B2266" s="67">
        <v>36695082871</v>
      </c>
      <c r="C2266" s="72" t="s">
        <v>3500</v>
      </c>
      <c r="D2266" s="69">
        <v>36736721857</v>
      </c>
      <c r="E2266" s="9">
        <v>1241</v>
      </c>
      <c r="F2266" s="25">
        <v>42992</v>
      </c>
      <c r="G2266" s="70" t="s">
        <v>292</v>
      </c>
      <c r="H2266" s="9"/>
      <c r="I2266" s="8"/>
      <c r="J2266" s="8"/>
      <c r="K2266" s="8"/>
      <c r="L2266" s="8"/>
      <c r="M2266" s="8"/>
    </row>
    <row r="2267" spans="1:13">
      <c r="A2267" s="13" t="s">
        <v>3501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>
      <c r="A2268" s="71" t="s">
        <v>3502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>
      <c r="A2269" s="71" t="s">
        <v>3503</v>
      </c>
      <c r="B2269" s="67">
        <v>42141950864</v>
      </c>
      <c r="C2269" s="72" t="s">
        <v>3504</v>
      </c>
      <c r="D2269" s="69"/>
      <c r="E2269" s="9">
        <v>1214</v>
      </c>
      <c r="F2269" s="25">
        <v>42989</v>
      </c>
      <c r="G2269" s="70" t="s">
        <v>292</v>
      </c>
      <c r="H2269" s="9"/>
      <c r="I2269" s="8"/>
      <c r="J2269" s="8"/>
      <c r="K2269" s="8"/>
      <c r="L2269" s="8"/>
      <c r="M2269" s="8"/>
    </row>
    <row r="2270" spans="1:13">
      <c r="A2270" s="15" t="s">
        <v>3505</v>
      </c>
      <c r="B2270" s="67">
        <v>47270275858</v>
      </c>
      <c r="C2270" s="72" t="s">
        <v>3506</v>
      </c>
      <c r="D2270" s="69">
        <v>34861975840</v>
      </c>
      <c r="E2270" s="9">
        <v>1824</v>
      </c>
      <c r="F2270" s="25">
        <v>43091</v>
      </c>
      <c r="G2270" s="70" t="s">
        <v>292</v>
      </c>
      <c r="H2270" s="9"/>
      <c r="I2270" s="8"/>
      <c r="J2270" s="8"/>
      <c r="K2270" s="8"/>
      <c r="L2270" s="9">
        <v>1828</v>
      </c>
      <c r="M2270" s="8"/>
    </row>
    <row r="2271" spans="1:13">
      <c r="A2271" s="73" t="s">
        <v>3507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292</v>
      </c>
      <c r="H2271" s="9"/>
      <c r="I2271" s="8"/>
      <c r="J2271" s="8"/>
      <c r="K2271" s="8"/>
      <c r="L2271" s="9" t="s">
        <v>443</v>
      </c>
      <c r="M2271" s="8"/>
    </row>
    <row r="2272" spans="1:13">
      <c r="A2272" s="29" t="s">
        <v>3508</v>
      </c>
      <c r="B2272" s="67">
        <v>22899917838</v>
      </c>
      <c r="C2272" s="18" t="s">
        <v>402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>
      <c r="A2273" s="29" t="s">
        <v>3509</v>
      </c>
      <c r="B2273" s="67"/>
      <c r="C2273" s="29" t="s">
        <v>402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>
      <c r="A2274" s="71" t="s">
        <v>3510</v>
      </c>
      <c r="B2274" s="67">
        <v>45477385804</v>
      </c>
      <c r="C2274" s="72" t="s">
        <v>3511</v>
      </c>
      <c r="D2274" s="69">
        <v>40972166866</v>
      </c>
      <c r="E2274" s="9">
        <v>1417</v>
      </c>
      <c r="F2274" s="25">
        <v>43017</v>
      </c>
      <c r="G2274" s="70" t="s">
        <v>292</v>
      </c>
      <c r="H2274" s="9"/>
      <c r="I2274" s="8"/>
      <c r="J2274" s="8"/>
      <c r="K2274" s="8"/>
      <c r="L2274" s="9" t="s">
        <v>526</v>
      </c>
      <c r="M2274" s="8"/>
    </row>
    <row r="2275" spans="1:13">
      <c r="A2275" s="71" t="s">
        <v>3512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292</v>
      </c>
      <c r="H2275" s="9"/>
      <c r="I2275" s="8"/>
      <c r="J2275" s="8"/>
      <c r="K2275" s="8"/>
      <c r="L2275" s="8"/>
      <c r="M2275" s="8"/>
    </row>
    <row r="2276" spans="1:13">
      <c r="A2276" s="29" t="s">
        <v>3513</v>
      </c>
      <c r="B2276" s="67"/>
      <c r="C2276" s="29" t="s">
        <v>3514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>
      <c r="A2277" s="15" t="s">
        <v>3515</v>
      </c>
      <c r="B2277" s="67">
        <v>8990461855</v>
      </c>
      <c r="C2277" s="15" t="s">
        <v>3354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>
      <c r="A2278" s="71" t="s">
        <v>3516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>
      <c r="A2279" s="29" t="s">
        <v>3517</v>
      </c>
      <c r="B2279" s="67"/>
      <c r="C2279" s="29" t="s">
        <v>3518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>
      <c r="A2280" s="71" t="s">
        <v>3519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292</v>
      </c>
      <c r="H2280" s="9"/>
      <c r="I2280" s="8"/>
      <c r="J2280" s="8"/>
      <c r="K2280" s="8"/>
      <c r="L2280" s="9">
        <v>1828</v>
      </c>
      <c r="M2280" s="8"/>
    </row>
    <row r="2281" spans="1:13">
      <c r="A2281" s="15" t="s">
        <v>3520</v>
      </c>
      <c r="B2281" s="67">
        <v>38917984827</v>
      </c>
      <c r="C2281" s="72" t="s">
        <v>3521</v>
      </c>
      <c r="D2281" s="69">
        <v>42231603896</v>
      </c>
      <c r="E2281" s="9">
        <v>229</v>
      </c>
      <c r="F2281" s="25">
        <v>43151</v>
      </c>
      <c r="G2281" s="70" t="s">
        <v>292</v>
      </c>
      <c r="H2281" s="9"/>
      <c r="I2281" s="8"/>
      <c r="J2281" s="8"/>
      <c r="K2281" s="8"/>
      <c r="L2281" s="9">
        <v>232</v>
      </c>
      <c r="M2281" s="8"/>
    </row>
    <row r="2282" spans="1:13">
      <c r="A2282" s="14" t="s">
        <v>3522</v>
      </c>
      <c r="B2282" s="67">
        <v>37870673889</v>
      </c>
      <c r="C2282" s="72" t="s">
        <v>3523</v>
      </c>
      <c r="D2282" s="69">
        <v>2786569516</v>
      </c>
      <c r="E2282" s="9">
        <v>262</v>
      </c>
      <c r="F2282" s="25">
        <v>43160</v>
      </c>
      <c r="G2282" s="70" t="s">
        <v>292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>
      <c r="A2283" s="14" t="s">
        <v>3524</v>
      </c>
      <c r="B2283" s="67">
        <v>10441616801</v>
      </c>
      <c r="C2283" s="72" t="s">
        <v>3525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>
      <c r="A2284" s="30" t="s">
        <v>3526</v>
      </c>
      <c r="B2284" s="67">
        <v>11702039811</v>
      </c>
      <c r="C2284" s="32" t="s">
        <v>3527</v>
      </c>
      <c r="D2284" s="69">
        <v>14689396884</v>
      </c>
      <c r="E2284" s="9">
        <v>1350</v>
      </c>
      <c r="F2284" s="25">
        <v>43006</v>
      </c>
      <c r="G2284" s="70" t="s">
        <v>292</v>
      </c>
      <c r="H2284" s="9"/>
      <c r="I2284" s="8"/>
      <c r="J2284" s="8"/>
      <c r="K2284" s="8"/>
      <c r="L2284" s="8"/>
      <c r="M2284" s="8"/>
    </row>
    <row r="2285" spans="1:13">
      <c r="A2285" s="15" t="s">
        <v>3528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292</v>
      </c>
      <c r="H2285" s="9"/>
      <c r="I2285" s="8"/>
      <c r="J2285" s="8"/>
      <c r="K2285" s="8"/>
      <c r="L2285" s="9">
        <v>232</v>
      </c>
      <c r="M2285" s="8"/>
    </row>
    <row r="2286" spans="1:13">
      <c r="A2286" s="71" t="s">
        <v>3529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>
      <c r="A2287" s="71" t="s">
        <v>3530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>
      <c r="A2288" s="71" t="s">
        <v>3531</v>
      </c>
      <c r="B2288" s="67">
        <v>46959766842</v>
      </c>
      <c r="C2288" s="72" t="s">
        <v>3532</v>
      </c>
      <c r="D2288" s="69">
        <v>40096022876</v>
      </c>
      <c r="E2288" s="9">
        <v>1350</v>
      </c>
      <c r="F2288" s="25">
        <v>43006</v>
      </c>
      <c r="G2288" s="70" t="s">
        <v>292</v>
      </c>
      <c r="H2288" s="9"/>
      <c r="I2288" s="8"/>
      <c r="J2288" s="8"/>
      <c r="K2288" s="8"/>
      <c r="L2288" s="8"/>
      <c r="M2288" s="8"/>
    </row>
    <row r="2289" spans="1:13">
      <c r="A2289" s="71" t="s">
        <v>3533</v>
      </c>
      <c r="B2289" s="67">
        <v>15147799869</v>
      </c>
      <c r="C2289" s="72" t="s">
        <v>3534</v>
      </c>
      <c r="D2289" s="69">
        <v>18304595893</v>
      </c>
      <c r="E2289" s="9">
        <v>1824</v>
      </c>
      <c r="F2289" s="25">
        <v>43091</v>
      </c>
      <c r="G2289" s="70" t="s">
        <v>292</v>
      </c>
      <c r="H2289" s="9"/>
      <c r="I2289" s="8"/>
      <c r="J2289" s="8"/>
      <c r="K2289" s="8"/>
      <c r="L2289" s="9">
        <v>1828</v>
      </c>
      <c r="M2289" s="8"/>
    </row>
    <row r="2290" spans="1:13">
      <c r="A2290" s="71" t="s">
        <v>3535</v>
      </c>
      <c r="B2290" s="67">
        <v>29012884802</v>
      </c>
      <c r="C2290" s="72" t="s">
        <v>3536</v>
      </c>
      <c r="D2290" s="69">
        <v>16761377854</v>
      </c>
      <c r="E2290" s="9">
        <v>85</v>
      </c>
      <c r="F2290" s="25">
        <v>43109</v>
      </c>
      <c r="G2290" s="70" t="s">
        <v>292</v>
      </c>
      <c r="H2290" s="25">
        <v>43151</v>
      </c>
      <c r="I2290" s="8"/>
      <c r="J2290" s="8"/>
      <c r="K2290" s="8"/>
      <c r="L2290" s="8"/>
      <c r="M2290" s="8"/>
    </row>
    <row r="2291" spans="1:13">
      <c r="A2291" s="71" t="s">
        <v>3537</v>
      </c>
      <c r="B2291" s="67">
        <v>13009518854</v>
      </c>
      <c r="C2291" s="72" t="s">
        <v>3538</v>
      </c>
      <c r="D2291" s="69">
        <v>59636467749</v>
      </c>
      <c r="E2291" s="9">
        <v>1267</v>
      </c>
      <c r="F2291" s="25">
        <v>42998</v>
      </c>
      <c r="G2291" s="70" t="s">
        <v>306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>
      <c r="A2292" s="71" t="s">
        <v>3539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>
      <c r="A2293" s="15" t="s">
        <v>3540</v>
      </c>
      <c r="B2293" s="67">
        <v>38605259809</v>
      </c>
      <c r="C2293" s="72" t="s">
        <v>3541</v>
      </c>
      <c r="D2293" s="69">
        <v>1090388519</v>
      </c>
      <c r="E2293" s="9">
        <v>117</v>
      </c>
      <c r="F2293" s="25">
        <v>43117</v>
      </c>
      <c r="G2293" s="70" t="s">
        <v>292</v>
      </c>
      <c r="H2293" s="9"/>
      <c r="I2293" s="8"/>
      <c r="J2293" s="8"/>
      <c r="K2293" s="8"/>
      <c r="L2293" s="9" t="s">
        <v>443</v>
      </c>
      <c r="M2293" s="8"/>
    </row>
    <row r="2294" spans="1:13">
      <c r="A2294" s="15" t="s">
        <v>3542</v>
      </c>
      <c r="B2294" s="67">
        <v>9333321810</v>
      </c>
      <c r="C2294" s="72" t="s">
        <v>3543</v>
      </c>
      <c r="D2294" s="69">
        <v>16122645818</v>
      </c>
      <c r="E2294" s="9">
        <v>117</v>
      </c>
      <c r="F2294" s="25">
        <v>43117</v>
      </c>
      <c r="G2294" s="70" t="s">
        <v>292</v>
      </c>
      <c r="H2294" s="9"/>
      <c r="I2294" s="8"/>
      <c r="J2294" s="8"/>
      <c r="K2294" s="8"/>
      <c r="L2294" s="9" t="s">
        <v>443</v>
      </c>
      <c r="M2294" s="8"/>
    </row>
    <row r="2295" spans="1:13">
      <c r="A2295" s="71" t="s">
        <v>3544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292</v>
      </c>
      <c r="H2295" s="9"/>
      <c r="I2295" s="8"/>
      <c r="J2295" s="8"/>
      <c r="K2295" s="8"/>
      <c r="L2295" s="9" t="s">
        <v>411</v>
      </c>
      <c r="M2295" s="8"/>
    </row>
    <row r="2296" spans="1:13">
      <c r="A2296" s="71" t="s">
        <v>3545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>
      <c r="A2297" s="71" t="s">
        <v>3546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>
      <c r="A2298" s="71" t="s">
        <v>3547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>
      <c r="A2299" s="71" t="s">
        <v>3548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>
      <c r="A2300" s="18" t="s">
        <v>3549</v>
      </c>
      <c r="B2300" s="67">
        <v>35810601839</v>
      </c>
      <c r="C2300" s="18" t="s">
        <v>3550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>
      <c r="A2301" s="71" t="s">
        <v>3551</v>
      </c>
      <c r="B2301" s="67">
        <v>32203433841</v>
      </c>
      <c r="C2301" s="72" t="s">
        <v>3552</v>
      </c>
      <c r="D2301" s="69">
        <v>36256617890</v>
      </c>
      <c r="E2301" s="9">
        <v>810</v>
      </c>
      <c r="F2301" s="25">
        <v>42915</v>
      </c>
      <c r="G2301" s="70" t="s">
        <v>292</v>
      </c>
      <c r="H2301" s="9"/>
      <c r="I2301" s="8"/>
      <c r="J2301" s="8"/>
      <c r="K2301" s="8"/>
      <c r="L2301" s="9" t="s">
        <v>411</v>
      </c>
      <c r="M2301" s="8"/>
    </row>
    <row r="2302" spans="1:13">
      <c r="A2302" s="72" t="s">
        <v>3553</v>
      </c>
      <c r="B2302" s="67">
        <v>29816586894</v>
      </c>
      <c r="C2302" s="72" t="s">
        <v>3554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>
      <c r="A2303" s="72" t="s">
        <v>3555</v>
      </c>
      <c r="B2303" s="67">
        <v>3087797545</v>
      </c>
      <c r="C2303" s="71" t="s">
        <v>3556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>
      <c r="A2304" s="18" t="s">
        <v>3557</v>
      </c>
      <c r="B2304" s="67">
        <v>44135110851</v>
      </c>
      <c r="C2304" s="18" t="s">
        <v>3558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>
      <c r="A2305" s="71" t="s">
        <v>3559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292</v>
      </c>
      <c r="H2305" s="9"/>
      <c r="I2305" s="8"/>
      <c r="J2305" s="8"/>
      <c r="K2305" s="8"/>
      <c r="L2305" s="9">
        <v>1828</v>
      </c>
      <c r="M2305" s="8"/>
    </row>
    <row r="2306" spans="1:13">
      <c r="A2306" s="71" t="s">
        <v>3560</v>
      </c>
      <c r="B2306" s="67">
        <v>5416929847</v>
      </c>
      <c r="C2306" s="72" t="s">
        <v>3561</v>
      </c>
      <c r="D2306" s="69">
        <v>69220670887</v>
      </c>
      <c r="E2306" s="9">
        <v>292</v>
      </c>
      <c r="F2306" s="25">
        <v>43168</v>
      </c>
      <c r="G2306" s="70" t="s">
        <v>298</v>
      </c>
      <c r="H2306" s="9"/>
      <c r="I2306" s="8"/>
      <c r="J2306" s="8"/>
      <c r="K2306" s="8"/>
      <c r="L2306" s="9">
        <v>318</v>
      </c>
      <c r="M2306" s="8"/>
    </row>
    <row r="2307" spans="1:13">
      <c r="A2307" s="71" t="s">
        <v>3562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292</v>
      </c>
      <c r="H2307" s="70"/>
      <c r="I2307" s="8"/>
      <c r="J2307" s="8"/>
      <c r="K2307" s="8"/>
      <c r="L2307" s="8"/>
      <c r="M2307" s="8"/>
    </row>
    <row r="2308" spans="1:13">
      <c r="A2308" s="71" t="s">
        <v>3563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>
      <c r="A2309" s="72" t="s">
        <v>3564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292</v>
      </c>
      <c r="H2309" s="70"/>
      <c r="I2309" s="8"/>
      <c r="J2309" s="8"/>
      <c r="K2309" s="8"/>
      <c r="L2309" s="9" t="s">
        <v>526</v>
      </c>
      <c r="M2309" s="8"/>
    </row>
    <row r="2310" spans="1:13">
      <c r="A2310" s="71" t="s">
        <v>3565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292</v>
      </c>
      <c r="H2310" s="70"/>
      <c r="I2310" s="8"/>
      <c r="J2310" s="8"/>
      <c r="K2310" s="8"/>
      <c r="L2310" s="8"/>
      <c r="M2310" s="8"/>
    </row>
    <row r="2311" spans="1:13">
      <c r="A2311" s="71" t="s">
        <v>3566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>
      <c r="A2312" s="13" t="s">
        <v>3567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292</v>
      </c>
      <c r="H2312" s="70"/>
      <c r="I2312" s="8"/>
      <c r="J2312" s="8"/>
      <c r="K2312" s="8"/>
      <c r="L2312" s="8"/>
      <c r="M2312" s="8"/>
    </row>
    <row r="2313" spans="1:13">
      <c r="A2313" s="71" t="s">
        <v>3568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292</v>
      </c>
      <c r="H2313" s="70"/>
      <c r="I2313" s="8"/>
      <c r="J2313" s="8"/>
      <c r="K2313" s="8"/>
      <c r="L2313" s="9">
        <v>318</v>
      </c>
      <c r="M2313" s="8"/>
    </row>
    <row r="2314" spans="1:13">
      <c r="A2314" s="71" t="s">
        <v>3569</v>
      </c>
      <c r="B2314" s="67">
        <v>60363616373</v>
      </c>
      <c r="C2314" s="72" t="s">
        <v>3570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>
      <c r="A2315" s="71" t="s">
        <v>3571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292</v>
      </c>
      <c r="H2315" s="70"/>
      <c r="I2315" s="8"/>
      <c r="J2315" s="8"/>
      <c r="K2315" s="8"/>
      <c r="L2315" s="8"/>
      <c r="M2315" s="8"/>
    </row>
    <row r="2316" spans="1:13">
      <c r="A2316" s="29" t="s">
        <v>3572</v>
      </c>
      <c r="B2316" s="67">
        <v>6780677833</v>
      </c>
      <c r="C2316" s="29" t="s">
        <v>3573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>
      <c r="A2317" s="71" t="s">
        <v>3574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>
      <c r="A2318" s="29" t="s">
        <v>3575</v>
      </c>
      <c r="B2318" s="67"/>
      <c r="C2318" s="29" t="s">
        <v>402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>
      <c r="A2319" s="71" t="s">
        <v>3576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>
      <c r="A2320" s="71" t="s">
        <v>3577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>
      <c r="A2321" s="18" t="s">
        <v>3578</v>
      </c>
      <c r="B2321" s="67"/>
      <c r="C2321" s="18" t="s">
        <v>3579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>
      <c r="A2322" s="71" t="s">
        <v>3580</v>
      </c>
      <c r="B2322" s="67">
        <v>47104776800</v>
      </c>
      <c r="C2322" s="72" t="s">
        <v>3581</v>
      </c>
      <c r="D2322" s="69">
        <v>29524413833</v>
      </c>
      <c r="E2322" s="9">
        <v>117</v>
      </c>
      <c r="F2322" s="25">
        <v>43117</v>
      </c>
      <c r="G2322" s="70" t="s">
        <v>292</v>
      </c>
      <c r="H2322" s="70"/>
      <c r="I2322" s="8"/>
      <c r="J2322" s="8"/>
      <c r="K2322" s="8"/>
      <c r="L2322" s="9" t="s">
        <v>443</v>
      </c>
      <c r="M2322" s="8"/>
    </row>
    <row r="2323" spans="1:13">
      <c r="A2323" s="71" t="s">
        <v>3582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292</v>
      </c>
      <c r="H2323" s="70"/>
      <c r="I2323" s="8"/>
      <c r="J2323" s="8"/>
      <c r="K2323" s="8"/>
      <c r="L2323" s="9">
        <v>318</v>
      </c>
      <c r="M2323" s="8"/>
    </row>
    <row r="2324" spans="1:13">
      <c r="A2324" s="71" t="s">
        <v>3583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292</v>
      </c>
      <c r="H2324" s="70"/>
      <c r="I2324" s="8"/>
      <c r="J2324" s="8"/>
      <c r="K2324" s="8"/>
      <c r="L2324" s="9">
        <v>318</v>
      </c>
      <c r="M2324" s="8"/>
    </row>
    <row r="2325" spans="1:13">
      <c r="A2325" s="71" t="s">
        <v>3584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>
      <c r="A2326" s="29" t="s">
        <v>3585</v>
      </c>
      <c r="B2326" s="67"/>
      <c r="C2326" s="29" t="s">
        <v>3586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>
      <c r="A2327" s="15" t="s">
        <v>3587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292</v>
      </c>
      <c r="H2327" s="9"/>
      <c r="I2327" s="8"/>
      <c r="J2327" s="8"/>
      <c r="K2327" s="8"/>
      <c r="L2327" s="9" t="s">
        <v>443</v>
      </c>
      <c r="M2327" s="8"/>
    </row>
    <row r="2328" spans="1:13">
      <c r="A2328" s="71" t="s">
        <v>3588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>
      <c r="A2329" s="18" t="s">
        <v>3589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>
      <c r="A2330" s="15" t="s">
        <v>3590</v>
      </c>
      <c r="B2330" s="67">
        <v>44920823878</v>
      </c>
      <c r="C2330" s="72" t="s">
        <v>3591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>
      <c r="A2331" s="71" t="s">
        <v>3592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>
      <c r="A2332" s="71" t="s">
        <v>3593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>
      <c r="A2333" s="71" t="s">
        <v>3594</v>
      </c>
      <c r="B2333" s="67">
        <v>8665698809</v>
      </c>
      <c r="C2333" s="72" t="s">
        <v>3595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>
      <c r="A2334" s="71" t="s">
        <v>3596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292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>
      <c r="A2335" s="14" t="s">
        <v>3597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>
      <c r="A2336" s="71" t="s">
        <v>3598</v>
      </c>
      <c r="B2336" s="67">
        <v>37383675860</v>
      </c>
      <c r="C2336" s="72" t="s">
        <v>3599</v>
      </c>
      <c r="D2336" s="69">
        <v>37457320814</v>
      </c>
      <c r="E2336" s="9">
        <v>1824</v>
      </c>
      <c r="F2336" s="25">
        <v>43091</v>
      </c>
      <c r="G2336" s="70" t="s">
        <v>292</v>
      </c>
      <c r="H2336" s="9"/>
      <c r="I2336" s="8"/>
      <c r="J2336" s="8"/>
      <c r="K2336" s="8"/>
      <c r="L2336" s="9">
        <v>1828</v>
      </c>
      <c r="M2336" s="8"/>
    </row>
    <row r="2337" spans="1:13">
      <c r="A2337" s="15" t="s">
        <v>3600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292</v>
      </c>
      <c r="H2337" s="9"/>
      <c r="I2337" s="8"/>
      <c r="J2337" s="8"/>
      <c r="K2337" s="8"/>
      <c r="L2337" s="9">
        <v>232</v>
      </c>
      <c r="M2337" s="8"/>
    </row>
    <row r="2338" spans="1:13">
      <c r="A2338" s="71" t="s">
        <v>3601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292</v>
      </c>
      <c r="H2338" s="9"/>
      <c r="I2338" s="8"/>
      <c r="J2338" s="8"/>
      <c r="K2338" s="8"/>
      <c r="L2338" s="9">
        <v>1759</v>
      </c>
      <c r="M2338" s="8"/>
    </row>
    <row r="2339" spans="1:13">
      <c r="A2339" s="18" t="s">
        <v>3602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>
      <c r="A2340" s="29" t="s">
        <v>3603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>
      <c r="A2341" s="72" t="s">
        <v>3604</v>
      </c>
      <c r="B2341" s="67">
        <v>36394093882</v>
      </c>
      <c r="C2341" s="72" t="s">
        <v>3605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>
      <c r="A2342" s="79" t="s">
        <v>3606</v>
      </c>
      <c r="B2342" s="80">
        <v>38327155687</v>
      </c>
      <c r="C2342" s="81" t="s">
        <v>3607</v>
      </c>
      <c r="D2342" s="82">
        <v>20534089879</v>
      </c>
      <c r="E2342" s="47">
        <v>1824</v>
      </c>
      <c r="F2342" s="48">
        <v>43091</v>
      </c>
      <c r="G2342" s="83" t="s">
        <v>306</v>
      </c>
      <c r="H2342" s="47"/>
      <c r="I2342" s="49"/>
      <c r="J2342" s="49"/>
      <c r="K2342" s="49"/>
      <c r="L2342" s="9">
        <v>1828</v>
      </c>
      <c r="M2342" s="49"/>
    </row>
    <row r="2343" spans="1:13">
      <c r="A2343" s="71" t="s">
        <v>3608</v>
      </c>
      <c r="B2343" s="67">
        <v>36553625875</v>
      </c>
      <c r="C2343" s="72" t="s">
        <v>3609</v>
      </c>
      <c r="D2343" s="69">
        <v>34615418850</v>
      </c>
      <c r="E2343" s="9">
        <v>608</v>
      </c>
      <c r="F2343" s="25">
        <v>43012</v>
      </c>
      <c r="G2343" s="70" t="s">
        <v>292</v>
      </c>
      <c r="H2343" s="9"/>
      <c r="I2343" s="8"/>
      <c r="J2343" s="8"/>
      <c r="K2343" s="8"/>
      <c r="L2343" s="8"/>
      <c r="M2343" s="8"/>
    </row>
    <row r="2344" spans="1:13">
      <c r="A2344" s="71" t="s">
        <v>3610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292</v>
      </c>
      <c r="H2344" s="9"/>
      <c r="I2344" s="8"/>
      <c r="J2344" s="8"/>
      <c r="K2344" s="8"/>
      <c r="L2344" s="9">
        <v>1759</v>
      </c>
      <c r="M2344" s="8"/>
    </row>
    <row r="2345" spans="1:13">
      <c r="A2345" s="71" t="s">
        <v>3611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292</v>
      </c>
      <c r="H2345" s="9"/>
      <c r="I2345" s="8"/>
      <c r="J2345" s="8"/>
      <c r="K2345" s="8"/>
      <c r="L2345" s="9" t="s">
        <v>411</v>
      </c>
      <c r="M2345" s="8"/>
    </row>
    <row r="2346" spans="1:13">
      <c r="A2346" s="13" t="s">
        <v>3612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292</v>
      </c>
      <c r="H2346" s="9"/>
      <c r="I2346" s="8"/>
      <c r="J2346" s="8"/>
      <c r="K2346" s="8"/>
      <c r="L2346" s="9" t="s">
        <v>433</v>
      </c>
      <c r="M2346" s="8"/>
    </row>
    <row r="2347" spans="1:13">
      <c r="A2347" s="71" t="s">
        <v>3613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>
      <c r="A2348" s="71" t="s">
        <v>3614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292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>
      <c r="A2349" s="15" t="s">
        <v>3615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292</v>
      </c>
      <c r="H2349" s="9"/>
      <c r="I2349" s="8"/>
      <c r="J2349" s="8"/>
      <c r="K2349" s="8"/>
      <c r="L2349" s="9">
        <v>232</v>
      </c>
      <c r="M2349" s="8"/>
    </row>
    <row r="2350" spans="1:13">
      <c r="A2350" s="71" t="s">
        <v>3616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292</v>
      </c>
      <c r="H2350" s="9"/>
      <c r="I2350" s="8"/>
      <c r="J2350" s="8"/>
      <c r="K2350" s="8"/>
      <c r="L2350" s="8"/>
      <c r="M2350" s="8"/>
    </row>
    <row r="2351" spans="1:13">
      <c r="A2351" s="14" t="s">
        <v>3617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292</v>
      </c>
      <c r="H2351" s="9"/>
      <c r="I2351" s="8"/>
      <c r="J2351" s="8"/>
      <c r="K2351" s="8"/>
      <c r="L2351" s="9">
        <v>318</v>
      </c>
      <c r="M2351" s="8"/>
    </row>
    <row r="2352" spans="1:13">
      <c r="A2352" s="18" t="s">
        <v>3618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>
      <c r="A2353" s="71" t="s">
        <v>3619</v>
      </c>
      <c r="B2353" s="67">
        <v>2267811863</v>
      </c>
      <c r="C2353" s="68" t="s">
        <v>3620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>
      <c r="A2354" s="14" t="s">
        <v>3621</v>
      </c>
      <c r="B2354" s="67">
        <v>4640546726</v>
      </c>
      <c r="C2354" s="72" t="s">
        <v>3622</v>
      </c>
      <c r="D2354" s="69">
        <v>72849215791</v>
      </c>
      <c r="E2354" s="9">
        <v>262</v>
      </c>
      <c r="F2354" s="25">
        <v>43160</v>
      </c>
      <c r="G2354" s="70" t="s">
        <v>292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>
      <c r="A2355" s="29" t="s">
        <v>3623</v>
      </c>
      <c r="B2355" s="67">
        <v>11862093806</v>
      </c>
      <c r="C2355" s="18" t="s">
        <v>402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>
      <c r="A2356" s="71" t="s">
        <v>3624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292</v>
      </c>
      <c r="H2356" s="9"/>
      <c r="I2356" s="8"/>
      <c r="J2356" s="8"/>
      <c r="K2356" s="8"/>
      <c r="L2356" s="9">
        <v>318</v>
      </c>
      <c r="M2356" s="8"/>
    </row>
    <row r="2357" spans="1:13">
      <c r="A2357" s="71" t="s">
        <v>3625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292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>
      <c r="A2358" s="71" t="s">
        <v>3626</v>
      </c>
      <c r="B2358" s="67">
        <v>12983214842</v>
      </c>
      <c r="C2358" s="72" t="s">
        <v>3627</v>
      </c>
      <c r="D2358" s="69">
        <v>33776403802</v>
      </c>
      <c r="E2358" s="9">
        <v>85</v>
      </c>
      <c r="F2358" s="25">
        <v>43109</v>
      </c>
      <c r="G2358" s="70" t="s">
        <v>292</v>
      </c>
      <c r="H2358" s="25">
        <v>43151</v>
      </c>
      <c r="I2358" s="8"/>
      <c r="J2358" s="8"/>
      <c r="K2358" s="8"/>
      <c r="L2358" s="8"/>
      <c r="M2358" s="8"/>
    </row>
    <row r="2359" spans="1:13">
      <c r="A2359" s="15" t="s">
        <v>3628</v>
      </c>
      <c r="B2359" s="67">
        <v>3343521507</v>
      </c>
      <c r="C2359" s="15" t="s">
        <v>3629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>
      <c r="A2360" s="73" t="s">
        <v>3630</v>
      </c>
      <c r="B2360" s="67">
        <v>41812689500</v>
      </c>
      <c r="C2360" s="72" t="s">
        <v>3631</v>
      </c>
      <c r="D2360" s="69">
        <v>14037047837</v>
      </c>
      <c r="E2360" s="9">
        <v>1106</v>
      </c>
      <c r="F2360" s="25">
        <v>42965</v>
      </c>
      <c r="G2360" s="70" t="s">
        <v>292</v>
      </c>
      <c r="H2360" s="9"/>
      <c r="I2360" s="8"/>
      <c r="J2360" s="8"/>
      <c r="K2360" s="8"/>
      <c r="L2360" s="8"/>
      <c r="M2360" s="8"/>
    </row>
    <row r="2361" spans="1:13">
      <c r="A2361" s="71" t="s">
        <v>3632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>
      <c r="A2362" s="71" t="s">
        <v>3633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292</v>
      </c>
      <c r="H2362" s="9"/>
      <c r="I2362" s="8"/>
      <c r="J2362" s="8"/>
      <c r="K2362" s="8"/>
      <c r="L2362" s="9" t="s">
        <v>411</v>
      </c>
      <c r="M2362" s="8"/>
    </row>
    <row r="2363" spans="1:13">
      <c r="A2363" s="71" t="s">
        <v>3634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>
      <c r="A2364" s="19" t="s">
        <v>3635</v>
      </c>
      <c r="B2364" s="67">
        <v>45479391879</v>
      </c>
      <c r="C2364" s="30" t="s">
        <v>3636</v>
      </c>
      <c r="D2364" s="67">
        <v>35624185820</v>
      </c>
      <c r="E2364" s="9">
        <v>1350</v>
      </c>
      <c r="F2364" s="25">
        <v>43006</v>
      </c>
      <c r="G2364" s="70" t="s">
        <v>292</v>
      </c>
      <c r="H2364" s="9"/>
      <c r="I2364" s="8"/>
      <c r="J2364" s="8"/>
      <c r="K2364" s="8"/>
      <c r="L2364" s="8"/>
      <c r="M2364" s="8"/>
    </row>
    <row r="2365" spans="1:13" ht="15" customHeight="1">
      <c r="A2365" s="75" t="s">
        <v>3637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306</v>
      </c>
      <c r="H2365" s="9"/>
      <c r="I2365" s="8"/>
      <c r="J2365" s="8"/>
      <c r="K2365" s="8"/>
      <c r="L2365" s="9" t="s">
        <v>775</v>
      </c>
      <c r="M2365" s="8"/>
    </row>
    <row r="2366" spans="1:13">
      <c r="A2366" s="15" t="s">
        <v>3638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292</v>
      </c>
      <c r="H2366" s="25">
        <v>43151</v>
      </c>
      <c r="I2366" s="8"/>
      <c r="J2366" s="8"/>
      <c r="K2366" s="8"/>
      <c r="L2366" s="8"/>
      <c r="M2366" s="8"/>
    </row>
    <row r="2367" spans="1:13">
      <c r="A2367" s="18" t="s">
        <v>3639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>
      <c r="A2368" s="15" t="s">
        <v>3640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>
      <c r="A2369" s="71" t="s">
        <v>3641</v>
      </c>
      <c r="B2369" s="67">
        <v>36159577840</v>
      </c>
      <c r="C2369" s="72" t="s">
        <v>3642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>
      <c r="A2370" s="72" t="s">
        <v>3643</v>
      </c>
      <c r="B2370" s="67">
        <v>39308828842</v>
      </c>
      <c r="C2370" s="72" t="s">
        <v>3644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>
      <c r="A2371" s="29" t="s">
        <v>3645</v>
      </c>
      <c r="B2371" s="67">
        <v>6619801897</v>
      </c>
      <c r="C2371" s="29" t="s">
        <v>3646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>
      <c r="A2372" s="71" t="s">
        <v>3647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>
      <c r="A2373" s="71" t="s">
        <v>3648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292</v>
      </c>
      <c r="H2373" s="9"/>
      <c r="I2373" s="8"/>
      <c r="J2373" s="8"/>
      <c r="K2373" s="8"/>
      <c r="L2373" s="9">
        <v>318</v>
      </c>
      <c r="M2373" s="8"/>
    </row>
    <row r="2374" spans="1:13">
      <c r="A2374" s="71" t="s">
        <v>3649</v>
      </c>
      <c r="B2374" s="67">
        <v>36138056850</v>
      </c>
      <c r="C2374" s="72" t="s">
        <v>3650</v>
      </c>
      <c r="D2374" s="69">
        <v>56721897504</v>
      </c>
      <c r="E2374" s="9">
        <v>262</v>
      </c>
      <c r="F2374" s="25">
        <v>43160</v>
      </c>
      <c r="G2374" s="70" t="s">
        <v>292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>
      <c r="A2375" s="71" t="s">
        <v>3651</v>
      </c>
      <c r="B2375" s="67">
        <v>22365509878</v>
      </c>
      <c r="C2375" s="72" t="s">
        <v>3652</v>
      </c>
      <c r="D2375" s="69">
        <v>9353681839</v>
      </c>
      <c r="E2375" s="9">
        <v>810</v>
      </c>
      <c r="F2375" s="25">
        <v>42915</v>
      </c>
      <c r="G2375" s="70" t="s">
        <v>292</v>
      </c>
      <c r="H2375" s="9"/>
      <c r="I2375" s="8"/>
      <c r="J2375" s="8"/>
      <c r="K2375" s="8"/>
      <c r="L2375" s="9" t="s">
        <v>411</v>
      </c>
      <c r="M2375" s="8"/>
    </row>
    <row r="2376" spans="1:13">
      <c r="A2376" s="72" t="s">
        <v>3653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>
      <c r="A2377" s="71" t="s">
        <v>3654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292</v>
      </c>
      <c r="H2377" s="9"/>
      <c r="I2377" s="8"/>
      <c r="J2377" s="8"/>
      <c r="K2377" s="8"/>
      <c r="L2377" s="9">
        <v>1828</v>
      </c>
      <c r="M2377" s="8"/>
    </row>
    <row r="2378" spans="1:13">
      <c r="A2378" s="73" t="s">
        <v>3655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>
      <c r="A2379" s="71" t="s">
        <v>3656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292</v>
      </c>
      <c r="H2379" s="9"/>
      <c r="I2379" s="8"/>
      <c r="J2379" s="8"/>
      <c r="K2379" s="8"/>
      <c r="L2379" s="9" t="s">
        <v>671</v>
      </c>
      <c r="M2379" s="8"/>
    </row>
    <row r="2380" spans="1:13">
      <c r="A2380" s="71" t="s">
        <v>3657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292</v>
      </c>
      <c r="H2380" s="9"/>
      <c r="I2380" s="8"/>
      <c r="J2380" s="8"/>
      <c r="K2380" s="8"/>
      <c r="L2380" s="9" t="s">
        <v>443</v>
      </c>
      <c r="M2380" s="8"/>
    </row>
    <row r="2381" spans="1:13">
      <c r="A2381" s="71" t="s">
        <v>3658</v>
      </c>
      <c r="B2381" s="67">
        <v>40878398856</v>
      </c>
      <c r="C2381" s="72" t="s">
        <v>3659</v>
      </c>
      <c r="D2381" s="69">
        <v>73226718568</v>
      </c>
      <c r="E2381" s="9">
        <v>262</v>
      </c>
      <c r="F2381" s="25">
        <v>43160</v>
      </c>
      <c r="G2381" s="70" t="s">
        <v>292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>
      <c r="A2382" s="71" t="s">
        <v>3660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292</v>
      </c>
      <c r="H2382" s="9"/>
      <c r="I2382" s="8"/>
      <c r="J2382" s="8"/>
      <c r="K2382" s="8"/>
      <c r="L2382" s="8"/>
      <c r="M2382" s="8"/>
    </row>
    <row r="2383" spans="1:13">
      <c r="A2383" s="13" t="s">
        <v>3661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292</v>
      </c>
      <c r="H2383" s="9"/>
      <c r="I2383" s="8"/>
      <c r="J2383" s="8"/>
      <c r="K2383" s="8"/>
      <c r="L2383" s="9">
        <v>1759</v>
      </c>
      <c r="M2383" s="8"/>
    </row>
    <row r="2384" spans="1:13">
      <c r="A2384" s="30" t="s">
        <v>3662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292</v>
      </c>
      <c r="H2384" s="9"/>
      <c r="I2384" s="8"/>
      <c r="J2384" s="8"/>
      <c r="K2384" s="8"/>
      <c r="L2384" s="8"/>
      <c r="M2384" s="8"/>
    </row>
    <row r="2385" spans="1:13">
      <c r="A2385" s="71" t="s">
        <v>3663</v>
      </c>
      <c r="B2385" s="67">
        <v>33475393387</v>
      </c>
      <c r="C2385" s="72" t="s">
        <v>3664</v>
      </c>
      <c r="D2385" s="69">
        <v>21580260306</v>
      </c>
      <c r="E2385" s="9">
        <v>292</v>
      </c>
      <c r="F2385" s="25">
        <v>43168</v>
      </c>
      <c r="G2385" s="70" t="s">
        <v>292</v>
      </c>
      <c r="H2385" s="9"/>
      <c r="I2385" s="8"/>
      <c r="J2385" s="8"/>
      <c r="K2385" s="8"/>
      <c r="L2385" s="9">
        <v>318</v>
      </c>
      <c r="M2385" s="8"/>
    </row>
    <row r="2386" spans="1:13">
      <c r="A2386" s="71" t="s">
        <v>3665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>
      <c r="A2387" s="29" t="s">
        <v>3666</v>
      </c>
      <c r="B2387" s="67">
        <v>15114386816</v>
      </c>
      <c r="C2387" s="29" t="s">
        <v>3667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>
      <c r="A2388" s="71" t="s">
        <v>3668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292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>
      <c r="A2389" s="71" t="s">
        <v>3669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292</v>
      </c>
      <c r="H2389" s="9"/>
      <c r="I2389" s="8"/>
      <c r="J2389" s="8"/>
      <c r="K2389" s="8"/>
      <c r="L2389" s="8"/>
      <c r="M2389" s="8"/>
    </row>
    <row r="2390" spans="1:13">
      <c r="A2390" s="71" t="s">
        <v>3670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>
      <c r="A2391" s="71" t="s">
        <v>3671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>
      <c r="A2392" s="71" t="s">
        <v>3672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>
      <c r="A2393" s="15" t="s">
        <v>3673</v>
      </c>
      <c r="B2393" s="67">
        <v>38754982839</v>
      </c>
      <c r="C2393" s="72" t="s">
        <v>3674</v>
      </c>
      <c r="D2393" s="69">
        <v>34941494881</v>
      </c>
      <c r="E2393" s="9">
        <v>85</v>
      </c>
      <c r="F2393" s="25">
        <v>43109</v>
      </c>
      <c r="G2393" s="70" t="s">
        <v>306</v>
      </c>
      <c r="H2393" s="25">
        <v>43151</v>
      </c>
      <c r="I2393" s="8"/>
      <c r="J2393" s="8"/>
      <c r="K2393" s="8"/>
      <c r="L2393" s="8"/>
      <c r="M2393" s="8"/>
    </row>
    <row r="2394" spans="1:13">
      <c r="A2394" s="71" t="s">
        <v>3675</v>
      </c>
      <c r="B2394" s="67">
        <v>33401168819</v>
      </c>
      <c r="C2394" s="72" t="s">
        <v>3676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>
      <c r="A2395" s="71" t="s">
        <v>3677</v>
      </c>
      <c r="B2395" s="67">
        <v>42116294843</v>
      </c>
      <c r="C2395" s="72" t="s">
        <v>3678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>
      <c r="A2396" s="14" t="s">
        <v>3679</v>
      </c>
      <c r="B2396" s="67">
        <v>12648968679</v>
      </c>
      <c r="C2396" s="72" t="s">
        <v>3680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>
      <c r="A2397" s="73" t="s">
        <v>3681</v>
      </c>
      <c r="B2397" s="67">
        <v>34361698899</v>
      </c>
      <c r="C2397" s="72" t="s">
        <v>3682</v>
      </c>
      <c r="D2397" s="69">
        <v>21266025839</v>
      </c>
      <c r="E2397" s="9">
        <v>1489</v>
      </c>
      <c r="F2397" s="25">
        <v>43038</v>
      </c>
      <c r="G2397" s="70" t="s">
        <v>292</v>
      </c>
      <c r="H2397" s="9"/>
      <c r="I2397" s="8"/>
      <c r="J2397" s="8"/>
      <c r="K2397" s="8"/>
      <c r="L2397" s="9" t="s">
        <v>433</v>
      </c>
      <c r="M2397" s="8"/>
    </row>
    <row r="2398" spans="1:13">
      <c r="A2398" s="71" t="s">
        <v>3683</v>
      </c>
      <c r="B2398" s="67">
        <v>12835905812</v>
      </c>
      <c r="C2398" s="72" t="s">
        <v>3684</v>
      </c>
      <c r="D2398" s="69">
        <v>26821342890</v>
      </c>
      <c r="E2398" s="9">
        <v>262</v>
      </c>
      <c r="F2398" s="25">
        <v>43160</v>
      </c>
      <c r="G2398" s="70" t="s">
        <v>298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>
      <c r="A2399" s="71" t="s">
        <v>3685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292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>
      <c r="A2400" s="71" t="s">
        <v>3686</v>
      </c>
      <c r="B2400" s="67">
        <v>22713517826</v>
      </c>
      <c r="C2400" s="72" t="s">
        <v>3687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>
      <c r="A2401" s="71" t="s">
        <v>3688</v>
      </c>
      <c r="B2401" s="67">
        <v>28467390808</v>
      </c>
      <c r="C2401" s="72" t="s">
        <v>3689</v>
      </c>
      <c r="D2401" s="69">
        <v>90847547</v>
      </c>
      <c r="E2401" s="9">
        <v>810</v>
      </c>
      <c r="F2401" s="25">
        <v>42915</v>
      </c>
      <c r="G2401" s="70" t="s">
        <v>292</v>
      </c>
      <c r="H2401" s="9"/>
      <c r="I2401" s="8"/>
      <c r="J2401" s="8"/>
      <c r="K2401" s="8"/>
      <c r="L2401" s="9" t="s">
        <v>411</v>
      </c>
      <c r="M2401" s="8"/>
    </row>
    <row r="2402" spans="1:13">
      <c r="A2402" s="71" t="s">
        <v>3690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292</v>
      </c>
      <c r="H2402" s="9"/>
      <c r="I2402" s="8"/>
      <c r="J2402" s="8"/>
      <c r="K2402" s="8"/>
      <c r="L2402" s="8"/>
      <c r="M2402" s="8"/>
    </row>
    <row r="2403" spans="1:13">
      <c r="A2403" s="73" t="s">
        <v>3691</v>
      </c>
      <c r="B2403" s="67">
        <v>32033541878</v>
      </c>
      <c r="C2403" s="72" t="s">
        <v>3692</v>
      </c>
      <c r="D2403" s="69">
        <v>19674006877</v>
      </c>
      <c r="E2403" s="9">
        <v>1752</v>
      </c>
      <c r="F2403" s="25">
        <v>43051</v>
      </c>
      <c r="G2403" s="70" t="s">
        <v>292</v>
      </c>
      <c r="H2403" s="9"/>
      <c r="I2403" s="8"/>
      <c r="J2403" s="8"/>
      <c r="K2403" s="8"/>
      <c r="L2403" s="9">
        <v>1759</v>
      </c>
      <c r="M2403" s="8"/>
    </row>
    <row r="2404" spans="1:13">
      <c r="A2404" s="29" t="s">
        <v>3693</v>
      </c>
      <c r="B2404" s="67">
        <v>23241720896</v>
      </c>
      <c r="C2404" s="18" t="s">
        <v>3694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>
      <c r="A2405" s="71" t="s">
        <v>3695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>
      <c r="A2406" s="71" t="s">
        <v>3696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292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>
      <c r="A2407" s="73" t="s">
        <v>3697</v>
      </c>
      <c r="B2407" s="67">
        <v>1889333360</v>
      </c>
      <c r="C2407" s="72" t="s">
        <v>3698</v>
      </c>
      <c r="D2407" s="69">
        <v>580003302</v>
      </c>
      <c r="E2407" s="9">
        <v>1241</v>
      </c>
      <c r="F2407" s="25">
        <v>42992</v>
      </c>
      <c r="G2407" s="70" t="s">
        <v>292</v>
      </c>
      <c r="H2407" s="9"/>
      <c r="I2407" s="8"/>
      <c r="J2407" s="8"/>
      <c r="K2407" s="8"/>
      <c r="L2407" s="8"/>
      <c r="M2407" s="8"/>
    </row>
    <row r="2408" spans="1:13">
      <c r="A2408" s="71" t="s">
        <v>3699</v>
      </c>
      <c r="B2408" s="67">
        <v>40321655800</v>
      </c>
      <c r="C2408" s="72" t="s">
        <v>3700</v>
      </c>
      <c r="D2408" s="69">
        <v>37378835803</v>
      </c>
      <c r="E2408" s="9">
        <v>810</v>
      </c>
      <c r="F2408" s="25">
        <v>42915</v>
      </c>
      <c r="G2408" s="70" t="s">
        <v>292</v>
      </c>
      <c r="H2408" s="9"/>
      <c r="I2408" s="8"/>
      <c r="J2408" s="8"/>
      <c r="K2408" s="8"/>
      <c r="L2408" s="9" t="s">
        <v>411</v>
      </c>
      <c r="M2408" s="8"/>
    </row>
    <row r="2409" spans="1:13">
      <c r="A2409" s="14" t="s">
        <v>3701</v>
      </c>
      <c r="B2409" s="67">
        <v>5117256557</v>
      </c>
      <c r="C2409" s="72" t="s">
        <v>3702</v>
      </c>
      <c r="D2409" s="69">
        <v>5063737544</v>
      </c>
      <c r="E2409" s="9">
        <v>262</v>
      </c>
      <c r="F2409" s="25">
        <v>43160</v>
      </c>
      <c r="G2409" s="70" t="s">
        <v>298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>
      <c r="A2410" s="15" t="s">
        <v>3703</v>
      </c>
      <c r="B2410" s="67">
        <v>21863985832</v>
      </c>
      <c r="C2410" s="72" t="s">
        <v>3704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>
      <c r="A2411" s="71" t="s">
        <v>3705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292</v>
      </c>
      <c r="H2411" s="9"/>
      <c r="I2411" s="8"/>
      <c r="J2411" s="8"/>
      <c r="K2411" s="8"/>
      <c r="L2411" s="9" t="s">
        <v>526</v>
      </c>
      <c r="M2411" s="8"/>
    </row>
    <row r="2412" spans="1:13">
      <c r="A2412" s="18" t="s">
        <v>3706</v>
      </c>
      <c r="B2412" s="67">
        <v>31694477851</v>
      </c>
      <c r="C2412" s="18" t="s">
        <v>3707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>
      <c r="A2413" s="71" t="s">
        <v>3708</v>
      </c>
      <c r="B2413" s="67">
        <v>14690610827</v>
      </c>
      <c r="C2413" s="72" t="s">
        <v>3709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>
      <c r="A2414" s="71" t="s">
        <v>3710</v>
      </c>
      <c r="B2414" s="67">
        <v>1740803523</v>
      </c>
      <c r="C2414" s="72" t="s">
        <v>3711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>
      <c r="A2415" s="71" t="s">
        <v>3712</v>
      </c>
      <c r="B2415" s="67">
        <v>23328195840</v>
      </c>
      <c r="C2415" s="72" t="s">
        <v>3713</v>
      </c>
      <c r="D2415" s="69">
        <v>770249310</v>
      </c>
      <c r="E2415" s="9">
        <v>810</v>
      </c>
      <c r="F2415" s="25">
        <v>42915</v>
      </c>
      <c r="G2415" s="70" t="s">
        <v>292</v>
      </c>
      <c r="H2415" s="9"/>
      <c r="I2415" s="8"/>
      <c r="J2415" s="8"/>
      <c r="K2415" s="8"/>
      <c r="L2415" s="9" t="s">
        <v>411</v>
      </c>
      <c r="M2415" s="8"/>
    </row>
    <row r="2416" spans="1:13">
      <c r="A2416" s="71" t="s">
        <v>3714</v>
      </c>
      <c r="B2416" s="67">
        <v>28082388862</v>
      </c>
      <c r="C2416" s="72" t="s">
        <v>3715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>
      <c r="A2417" s="29" t="s">
        <v>3716</v>
      </c>
      <c r="B2417" s="67">
        <v>43054747867</v>
      </c>
      <c r="C2417" s="29" t="s">
        <v>3717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>
      <c r="A2418" s="71" t="s">
        <v>3718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>
      <c r="A2419" s="14" t="s">
        <v>3719</v>
      </c>
      <c r="B2419" s="67">
        <v>89863704504</v>
      </c>
      <c r="C2419" s="72" t="s">
        <v>3720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>
      <c r="A2420" s="71" t="s">
        <v>3721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>
      <c r="A2421" s="71" t="s">
        <v>3722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292</v>
      </c>
      <c r="H2421" s="9"/>
      <c r="I2421" s="8"/>
      <c r="J2421" s="8"/>
      <c r="K2421" s="8"/>
      <c r="L2421" s="9">
        <v>318</v>
      </c>
      <c r="M2421" s="8"/>
    </row>
    <row r="2422" spans="1:13">
      <c r="A2422" s="71" t="s">
        <v>3723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>
      <c r="A2423" s="71" t="s">
        <v>3724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292</v>
      </c>
      <c r="H2423" s="9"/>
      <c r="I2423" s="8"/>
      <c r="J2423" s="8"/>
      <c r="K2423" s="8"/>
      <c r="L2423" s="8"/>
      <c r="M2423" s="8"/>
    </row>
    <row r="2424" spans="1:13">
      <c r="A2424" s="73" t="s">
        <v>3725</v>
      </c>
      <c r="B2424" s="67">
        <v>33538686823</v>
      </c>
      <c r="C2424" s="72" t="s">
        <v>3726</v>
      </c>
      <c r="D2424" s="69">
        <v>37104062858</v>
      </c>
      <c r="E2424" s="9">
        <v>810</v>
      </c>
      <c r="F2424" s="25">
        <v>42915</v>
      </c>
      <c r="G2424" s="9" t="s">
        <v>292</v>
      </c>
      <c r="H2424" s="9"/>
      <c r="I2424" s="8"/>
      <c r="J2424" s="8"/>
      <c r="K2424" s="8"/>
      <c r="L2424" s="9" t="s">
        <v>411</v>
      </c>
      <c r="M2424" s="8"/>
    </row>
    <row r="2425" spans="1:13">
      <c r="A2425" s="18" t="s">
        <v>3727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>
      <c r="A2426" s="71" t="s">
        <v>3728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292</v>
      </c>
      <c r="H2426" s="9"/>
      <c r="I2426" s="8"/>
      <c r="J2426" s="8"/>
      <c r="K2426" s="8"/>
      <c r="L2426" s="9">
        <v>318</v>
      </c>
      <c r="M2426" s="8"/>
    </row>
    <row r="2427" spans="1:13">
      <c r="A2427" s="15" t="s">
        <v>3729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>
      <c r="A2428" s="15" t="s">
        <v>3730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292</v>
      </c>
      <c r="H2428" s="9"/>
      <c r="I2428" s="8"/>
      <c r="J2428" s="8"/>
      <c r="K2428" s="8"/>
      <c r="L2428" s="9">
        <v>318</v>
      </c>
      <c r="M2428" s="8"/>
    </row>
    <row r="2429" spans="1:13">
      <c r="A2429" s="71" t="s">
        <v>3731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292</v>
      </c>
      <c r="H2429" s="9"/>
      <c r="I2429" s="8"/>
      <c r="J2429" s="8"/>
      <c r="K2429" s="8"/>
      <c r="L2429" s="8"/>
      <c r="M2429" s="8"/>
    </row>
    <row r="2430" spans="1:13">
      <c r="A2430" s="29" t="s">
        <v>3732</v>
      </c>
      <c r="B2430" s="67"/>
      <c r="C2430" s="29" t="s">
        <v>402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>
      <c r="A2431" s="15" t="s">
        <v>3733</v>
      </c>
      <c r="B2431" s="67">
        <v>39308964860</v>
      </c>
      <c r="C2431" s="72" t="s">
        <v>3734</v>
      </c>
      <c r="D2431" s="69">
        <v>39308963898</v>
      </c>
      <c r="E2431" s="9">
        <v>229</v>
      </c>
      <c r="F2431" s="25">
        <v>43151</v>
      </c>
      <c r="G2431" s="70" t="s">
        <v>292</v>
      </c>
      <c r="H2431" s="9"/>
      <c r="I2431" s="8"/>
      <c r="J2431" s="8"/>
      <c r="K2431" s="8"/>
      <c r="L2431" s="9">
        <v>232</v>
      </c>
      <c r="M2431" s="8"/>
    </row>
    <row r="2432" spans="1:13">
      <c r="A2432" s="71" t="s">
        <v>3735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292</v>
      </c>
      <c r="H2432" s="9"/>
      <c r="I2432" s="8"/>
      <c r="J2432" s="8"/>
      <c r="K2432" s="8"/>
      <c r="L2432" s="9">
        <v>318</v>
      </c>
      <c r="M2432" s="8"/>
    </row>
    <row r="2433" spans="1:13">
      <c r="A2433" s="71" t="s">
        <v>3736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292</v>
      </c>
      <c r="H2433" s="9"/>
      <c r="I2433" s="8"/>
      <c r="J2433" s="8"/>
      <c r="K2433" s="8"/>
      <c r="L2433" s="8"/>
      <c r="M2433" s="8"/>
    </row>
    <row r="2434" spans="1:13">
      <c r="A2434" s="71" t="s">
        <v>3737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>
      <c r="A2435" s="71" t="s">
        <v>3738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292</v>
      </c>
      <c r="H2435" s="9"/>
      <c r="I2435" s="8"/>
      <c r="J2435" s="8"/>
      <c r="K2435" s="8"/>
      <c r="L2435" s="8"/>
      <c r="M2435" s="8"/>
    </row>
    <row r="2436" spans="1:13">
      <c r="A2436" s="71" t="s">
        <v>3739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>
      <c r="A2437" s="71" t="s">
        <v>3740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>
      <c r="A2438" s="13" t="s">
        <v>3741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>
      <c r="A2439" s="73" t="s">
        <v>3742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292</v>
      </c>
      <c r="H2439" s="9"/>
      <c r="I2439" s="8"/>
      <c r="J2439" s="8"/>
      <c r="K2439" s="8"/>
      <c r="L2439" s="9" t="s">
        <v>443</v>
      </c>
      <c r="M2439" s="8"/>
    </row>
    <row r="2440" spans="1:13">
      <c r="A2440" s="71" t="s">
        <v>3743</v>
      </c>
      <c r="B2440" s="67">
        <v>36344864818</v>
      </c>
      <c r="C2440" s="72" t="s">
        <v>3744</v>
      </c>
      <c r="D2440" s="69">
        <v>35601867810</v>
      </c>
      <c r="E2440" s="9">
        <v>810</v>
      </c>
      <c r="F2440" s="25">
        <v>42915</v>
      </c>
      <c r="G2440" s="70" t="s">
        <v>292</v>
      </c>
      <c r="H2440" s="9"/>
      <c r="I2440" s="8"/>
      <c r="J2440" s="8"/>
      <c r="K2440" s="8"/>
      <c r="L2440" s="9" t="s">
        <v>411</v>
      </c>
      <c r="M2440" s="8"/>
    </row>
    <row r="2441" spans="1:13">
      <c r="A2441" s="29" t="s">
        <v>3745</v>
      </c>
      <c r="B2441" s="67"/>
      <c r="C2441" s="29" t="s">
        <v>402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>
      <c r="A2442" s="71" t="s">
        <v>3746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292</v>
      </c>
      <c r="H2442" s="9"/>
      <c r="I2442" s="8"/>
      <c r="J2442" s="8"/>
      <c r="K2442" s="8"/>
      <c r="L2442" s="8"/>
      <c r="M2442" s="8"/>
    </row>
    <row r="2443" spans="1:13">
      <c r="A2443" s="73" t="s">
        <v>3747</v>
      </c>
      <c r="B2443" s="67">
        <v>23969560861</v>
      </c>
      <c r="C2443" s="72" t="s">
        <v>3748</v>
      </c>
      <c r="D2443" s="69">
        <v>16141701850</v>
      </c>
      <c r="E2443" s="9">
        <v>1267</v>
      </c>
      <c r="F2443" s="25">
        <v>42998</v>
      </c>
      <c r="G2443" s="70" t="s">
        <v>292</v>
      </c>
      <c r="H2443" s="9"/>
      <c r="I2443" s="8"/>
      <c r="J2443" s="8"/>
      <c r="K2443" s="8"/>
      <c r="L2443" s="8"/>
      <c r="M2443" s="8"/>
    </row>
    <row r="2444" spans="1:13">
      <c r="A2444" s="71" t="s">
        <v>3749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>
      <c r="A2445" s="71" t="s">
        <v>3750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292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>
      <c r="A2446" s="13" t="s">
        <v>3751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292</v>
      </c>
      <c r="H2446" s="9"/>
      <c r="I2446" s="8"/>
      <c r="J2446" s="8"/>
      <c r="K2446" s="8"/>
      <c r="L2446" s="8"/>
      <c r="M2446" s="8"/>
    </row>
    <row r="2447" spans="1:13">
      <c r="A2447" s="72" t="s">
        <v>3752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>
      <c r="A2448" s="15" t="s">
        <v>3753</v>
      </c>
      <c r="B2448" s="67">
        <v>35193151817</v>
      </c>
      <c r="C2448" s="72" t="s">
        <v>3754</v>
      </c>
      <c r="D2448" s="69">
        <v>26084005829</v>
      </c>
      <c r="E2448" s="9">
        <v>229</v>
      </c>
      <c r="F2448" s="25">
        <v>43151</v>
      </c>
      <c r="G2448" s="70" t="s">
        <v>292</v>
      </c>
      <c r="H2448" s="9"/>
      <c r="I2448" s="8"/>
      <c r="J2448" s="8"/>
      <c r="K2448" s="8"/>
      <c r="L2448" s="9">
        <v>232</v>
      </c>
      <c r="M2448" s="8"/>
    </row>
    <row r="2449" spans="1:13">
      <c r="A2449" s="18" t="s">
        <v>3755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>
      <c r="A2450" s="15" t="s">
        <v>3756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>
      <c r="A2451" s="71" t="s">
        <v>3757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292</v>
      </c>
      <c r="H2451" s="9"/>
      <c r="I2451" s="8"/>
      <c r="J2451" s="8"/>
      <c r="K2451" s="8"/>
      <c r="L2451" s="9">
        <v>318</v>
      </c>
      <c r="M2451" s="8"/>
    </row>
    <row r="2452" spans="1:13">
      <c r="A2452" s="71" t="s">
        <v>3758</v>
      </c>
      <c r="B2452" s="67">
        <v>34674605857</v>
      </c>
      <c r="C2452" s="72" t="s">
        <v>3759</v>
      </c>
      <c r="D2452" s="69">
        <v>36771603830</v>
      </c>
      <c r="E2452" s="9">
        <v>810</v>
      </c>
      <c r="F2452" s="25">
        <v>42915</v>
      </c>
      <c r="G2452" s="70" t="s">
        <v>292</v>
      </c>
      <c r="H2452" s="9"/>
      <c r="I2452" s="8"/>
      <c r="J2452" s="8"/>
      <c r="K2452" s="8"/>
      <c r="L2452" s="9" t="s">
        <v>411</v>
      </c>
      <c r="M2452" s="8"/>
    </row>
    <row r="2453" spans="1:13">
      <c r="A2453" s="71" t="s">
        <v>3760</v>
      </c>
      <c r="B2453" s="67">
        <v>33248807857</v>
      </c>
      <c r="C2453" s="72" t="s">
        <v>3761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>
      <c r="A2454" s="13" t="s">
        <v>3762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292</v>
      </c>
      <c r="H2454" s="9"/>
      <c r="I2454" s="8"/>
      <c r="J2454" s="8"/>
      <c r="K2454" s="8"/>
      <c r="L2454" s="8"/>
      <c r="M2454" s="8"/>
    </row>
    <row r="2455" spans="1:13">
      <c r="A2455" s="13" t="s">
        <v>3763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292</v>
      </c>
      <c r="H2455" s="9"/>
      <c r="I2455" s="8"/>
      <c r="J2455" s="8"/>
      <c r="K2455" s="8"/>
      <c r="L2455" s="8"/>
      <c r="M2455" s="8"/>
    </row>
    <row r="2456" spans="1:13">
      <c r="A2456" s="71" t="s">
        <v>3764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>
      <c r="A2457" s="71" t="s">
        <v>3765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292</v>
      </c>
      <c r="H2457" s="9"/>
      <c r="I2457" s="8"/>
      <c r="J2457" s="8"/>
      <c r="K2457" s="8"/>
      <c r="L2457" s="9">
        <v>1759</v>
      </c>
      <c r="M2457" s="8"/>
    </row>
    <row r="2458" spans="1:13">
      <c r="A2458" s="29" t="s">
        <v>3766</v>
      </c>
      <c r="B2458" s="67">
        <v>7143855901</v>
      </c>
      <c r="C2458" s="18" t="s">
        <v>402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>
      <c r="A2459" s="29" t="s">
        <v>3767</v>
      </c>
      <c r="B2459" s="67"/>
      <c r="C2459" s="29" t="s">
        <v>402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>
      <c r="A2460" s="71" t="s">
        <v>3768</v>
      </c>
      <c r="B2460" s="67">
        <v>5365375505</v>
      </c>
      <c r="C2460" s="68" t="s">
        <v>3769</v>
      </c>
      <c r="D2460" s="69">
        <v>34658162857</v>
      </c>
      <c r="E2460" s="9">
        <v>1128</v>
      </c>
      <c r="F2460" s="25">
        <v>42972</v>
      </c>
      <c r="G2460" s="70" t="s">
        <v>292</v>
      </c>
      <c r="H2460" s="9"/>
      <c r="I2460" s="8"/>
      <c r="J2460" s="8"/>
      <c r="K2460" s="8"/>
      <c r="L2460" s="8"/>
      <c r="M2460" s="8"/>
    </row>
    <row r="2461" spans="1:13">
      <c r="A2461" s="18" t="s">
        <v>3770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>
      <c r="A2462" s="29" t="s">
        <v>3771</v>
      </c>
      <c r="B2462" s="67">
        <v>66691990404</v>
      </c>
      <c r="C2462" s="29" t="s">
        <v>3772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>
      <c r="A2463" s="15" t="s">
        <v>3773</v>
      </c>
      <c r="B2463" s="67">
        <v>60347000355</v>
      </c>
      <c r="C2463" s="72" t="s">
        <v>3774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>
      <c r="A2464" s="15" t="s">
        <v>3775</v>
      </c>
      <c r="B2464" s="67">
        <v>37467543808</v>
      </c>
      <c r="C2464" s="72" t="s">
        <v>3776</v>
      </c>
      <c r="D2464" s="69">
        <v>40552745804</v>
      </c>
      <c r="E2464" s="9">
        <v>229</v>
      </c>
      <c r="F2464" s="25">
        <v>43151</v>
      </c>
      <c r="G2464" s="70" t="s">
        <v>292</v>
      </c>
      <c r="H2464" s="9"/>
      <c r="I2464" s="8"/>
      <c r="J2464" s="8"/>
      <c r="K2464" s="8"/>
      <c r="L2464" s="9">
        <v>232</v>
      </c>
      <c r="M2464" s="8"/>
    </row>
    <row r="2465" spans="1:13">
      <c r="A2465" s="71" t="s">
        <v>3777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>
      <c r="A2466" s="71" t="s">
        <v>3778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>
      <c r="A2467" s="29" t="s">
        <v>3779</v>
      </c>
      <c r="B2467" s="67"/>
      <c r="C2467" s="18" t="s">
        <v>402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>
      <c r="A2468" s="71" t="s">
        <v>3780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292</v>
      </c>
      <c r="H2468" s="9"/>
      <c r="I2468" s="8"/>
      <c r="J2468" s="8"/>
      <c r="K2468" s="8"/>
      <c r="L2468" s="9">
        <v>1828</v>
      </c>
      <c r="M2468" s="8"/>
    </row>
    <row r="2469" spans="1:13">
      <c r="A2469" s="71" t="s">
        <v>3781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>
      <c r="A2470" s="15" t="s">
        <v>3782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>
      <c r="A2471" s="15" t="s">
        <v>3783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>
      <c r="A2472" s="29" t="s">
        <v>3784</v>
      </c>
      <c r="B2472" s="67"/>
      <c r="C2472" s="18" t="s">
        <v>402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>
      <c r="A2473" s="15" t="s">
        <v>3785</v>
      </c>
      <c r="B2473" s="67">
        <v>34907942818</v>
      </c>
      <c r="C2473" s="72" t="s">
        <v>3786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>
      <c r="A2474" s="71" t="s">
        <v>3787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>
      <c r="A2475" s="71" t="s">
        <v>3788</v>
      </c>
      <c r="B2475" s="67">
        <v>40642684820</v>
      </c>
      <c r="C2475" s="72" t="s">
        <v>3789</v>
      </c>
      <c r="D2475" s="69">
        <v>43189527890</v>
      </c>
      <c r="E2475" s="9">
        <v>292</v>
      </c>
      <c r="F2475" s="25">
        <v>43168</v>
      </c>
      <c r="G2475" s="70" t="s">
        <v>292</v>
      </c>
      <c r="H2475" s="9"/>
      <c r="I2475" s="8"/>
      <c r="J2475" s="8"/>
      <c r="K2475" s="8"/>
      <c r="L2475" s="9">
        <v>318</v>
      </c>
      <c r="M2475" s="8"/>
    </row>
    <row r="2476" spans="1:13">
      <c r="A2476" s="71" t="s">
        <v>3790</v>
      </c>
      <c r="B2476" s="67">
        <v>36401343893</v>
      </c>
      <c r="C2476" s="72" t="s">
        <v>3791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572</v>
      </c>
      <c r="M2476" s="8"/>
    </row>
    <row r="2477" spans="1:13">
      <c r="A2477" s="15" t="s">
        <v>3792</v>
      </c>
      <c r="B2477" s="67">
        <v>10413301460</v>
      </c>
      <c r="C2477" s="72" t="s">
        <v>3793</v>
      </c>
      <c r="D2477" s="69">
        <v>10931047404</v>
      </c>
      <c r="E2477" s="9">
        <v>117</v>
      </c>
      <c r="F2477" s="25">
        <v>43117</v>
      </c>
      <c r="G2477" s="70" t="s">
        <v>292</v>
      </c>
      <c r="H2477" s="9"/>
      <c r="I2477" s="8"/>
      <c r="J2477" s="8"/>
      <c r="K2477" s="8"/>
      <c r="L2477" s="9" t="s">
        <v>443</v>
      </c>
      <c r="M2477" s="8"/>
    </row>
    <row r="2478" spans="1:13">
      <c r="A2478" s="15" t="s">
        <v>3794</v>
      </c>
      <c r="B2478" s="67">
        <v>42030087866</v>
      </c>
      <c r="C2478" s="72" t="s">
        <v>3795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>
      <c r="A2479" s="15" t="s">
        <v>3796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>
      <c r="A2480" s="19" t="s">
        <v>3797</v>
      </c>
      <c r="B2480" s="67">
        <v>38302413801</v>
      </c>
      <c r="C2480" s="77" t="s">
        <v>3798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>
      <c r="A2481" s="71" t="s">
        <v>3799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292</v>
      </c>
      <c r="H2481" s="9"/>
      <c r="I2481" s="8"/>
      <c r="J2481" s="8"/>
      <c r="K2481" s="8"/>
      <c r="L2481" s="9" t="s">
        <v>411</v>
      </c>
      <c r="M2481" s="8"/>
    </row>
    <row r="2482" spans="1:13">
      <c r="A2482" s="71" t="s">
        <v>3800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>
      <c r="A2483" s="15" t="s">
        <v>3801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298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>
      <c r="A2484" s="71" t="s">
        <v>3802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292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>
      <c r="A2485" s="71" t="s">
        <v>3803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292</v>
      </c>
      <c r="H2485" s="9"/>
      <c r="I2485" s="8"/>
      <c r="J2485" s="8"/>
      <c r="K2485" s="8"/>
      <c r="L2485" s="9">
        <v>318</v>
      </c>
      <c r="M2485" s="8"/>
    </row>
    <row r="2486" spans="1:13">
      <c r="A2486" s="13" t="s">
        <v>3804</v>
      </c>
      <c r="B2486" s="67">
        <v>34034498315</v>
      </c>
      <c r="C2486" s="72" t="s">
        <v>3805</v>
      </c>
      <c r="D2486" s="69">
        <v>30620015349</v>
      </c>
      <c r="E2486" s="9">
        <v>1470</v>
      </c>
      <c r="F2486" s="25">
        <v>43031</v>
      </c>
      <c r="G2486" s="70" t="s">
        <v>292</v>
      </c>
      <c r="H2486" s="9"/>
      <c r="I2486" s="8"/>
      <c r="J2486" s="8"/>
      <c r="K2486" s="8"/>
      <c r="L2486" s="8"/>
      <c r="M2486" s="8"/>
    </row>
    <row r="2487" spans="1:13">
      <c r="A2487" s="71" t="s">
        <v>3806</v>
      </c>
      <c r="B2487" s="67">
        <v>38027861810</v>
      </c>
      <c r="C2487" s="72" t="s">
        <v>3807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>
      <c r="A2488" s="15" t="s">
        <v>3808</v>
      </c>
      <c r="B2488" s="67">
        <v>34557275818</v>
      </c>
      <c r="C2488" s="72" t="s">
        <v>3809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>
      <c r="A2489" s="71" t="s">
        <v>3810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292</v>
      </c>
      <c r="H2489" s="9"/>
      <c r="I2489" s="8"/>
      <c r="J2489" s="8"/>
      <c r="K2489" s="8"/>
      <c r="L2489" s="9">
        <v>1759</v>
      </c>
      <c r="M2489" s="8"/>
    </row>
    <row r="2490" spans="1:13">
      <c r="A2490" s="29" t="s">
        <v>3811</v>
      </c>
      <c r="B2490" s="67"/>
      <c r="C2490" s="29" t="s">
        <v>3812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>
      <c r="A2491" s="15" t="s">
        <v>3813</v>
      </c>
      <c r="B2491" s="67">
        <v>40298877830</v>
      </c>
      <c r="C2491" s="72" t="s">
        <v>3814</v>
      </c>
      <c r="D2491" s="69">
        <v>5551703576</v>
      </c>
      <c r="E2491" s="9">
        <v>262</v>
      </c>
      <c r="F2491" s="25">
        <v>43160</v>
      </c>
      <c r="G2491" s="70" t="s">
        <v>292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>
      <c r="A2492" s="71" t="s">
        <v>3815</v>
      </c>
      <c r="B2492" s="67">
        <v>36295512895</v>
      </c>
      <c r="C2492" s="72" t="s">
        <v>3816</v>
      </c>
      <c r="D2492" s="69">
        <v>29129585805</v>
      </c>
      <c r="E2492" s="9">
        <v>292</v>
      </c>
      <c r="F2492" s="25">
        <v>43168</v>
      </c>
      <c r="G2492" s="70" t="s">
        <v>292</v>
      </c>
      <c r="H2492" s="9"/>
      <c r="I2492" s="8"/>
      <c r="J2492" s="8"/>
      <c r="K2492" s="8"/>
      <c r="L2492" s="9">
        <v>318</v>
      </c>
      <c r="M2492" s="8"/>
    </row>
    <row r="2493" spans="1:13">
      <c r="A2493" s="73" t="s">
        <v>3817</v>
      </c>
      <c r="B2493" s="67">
        <v>13188101830</v>
      </c>
      <c r="C2493" s="72" t="s">
        <v>3818</v>
      </c>
      <c r="D2493" s="69">
        <v>55072399320</v>
      </c>
      <c r="E2493" s="9">
        <v>1752</v>
      </c>
      <c r="F2493" s="25">
        <v>43051</v>
      </c>
      <c r="G2493" s="70" t="s">
        <v>298</v>
      </c>
      <c r="H2493" s="9"/>
      <c r="I2493" s="8"/>
      <c r="J2493" s="8"/>
      <c r="K2493" s="8"/>
      <c r="L2493" s="9">
        <v>1759</v>
      </c>
      <c r="M2493" s="8"/>
    </row>
    <row r="2494" spans="1:13">
      <c r="A2494" s="71" t="s">
        <v>3819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>
      <c r="A2495" s="71" t="s">
        <v>3820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292</v>
      </c>
      <c r="H2495" s="9"/>
      <c r="I2495" s="8"/>
      <c r="J2495" s="8"/>
      <c r="K2495" s="8"/>
      <c r="L2495" s="9" t="s">
        <v>433</v>
      </c>
      <c r="M2495" s="8"/>
    </row>
    <row r="2496" spans="1:13">
      <c r="A2496" s="71" t="s">
        <v>3821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>
      <c r="A2497" s="72" t="s">
        <v>3822</v>
      </c>
      <c r="B2497" s="67">
        <v>18468597864</v>
      </c>
      <c r="C2497" s="72" t="s">
        <v>3823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>
      <c r="A2498" s="71" t="s">
        <v>3824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292</v>
      </c>
      <c r="H2498" s="9"/>
      <c r="I2498" s="8"/>
      <c r="J2498" s="8"/>
      <c r="K2498" s="8"/>
      <c r="L2498" s="8"/>
      <c r="M2498" s="8"/>
    </row>
    <row r="2499" spans="1:13">
      <c r="A2499" s="15" t="s">
        <v>3825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292</v>
      </c>
      <c r="H2499" s="9"/>
      <c r="I2499" s="8"/>
      <c r="J2499" s="8"/>
      <c r="K2499" s="8"/>
      <c r="L2499" s="9">
        <v>232</v>
      </c>
      <c r="M2499" s="8"/>
    </row>
    <row r="2500" spans="1:13">
      <c r="A2500" s="15" t="s">
        <v>3826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292</v>
      </c>
      <c r="H2500" s="25">
        <v>43151</v>
      </c>
      <c r="I2500" s="8"/>
      <c r="J2500" s="8"/>
      <c r="K2500" s="8"/>
      <c r="L2500" s="8"/>
      <c r="M2500" s="8"/>
    </row>
    <row r="2501" spans="1:13">
      <c r="A2501" s="15" t="s">
        <v>3827</v>
      </c>
      <c r="B2501" s="67">
        <v>23134916843</v>
      </c>
      <c r="C2501" s="72" t="s">
        <v>3828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>
      <c r="A2502" s="72" t="s">
        <v>3829</v>
      </c>
      <c r="B2502" s="67">
        <v>60939966468</v>
      </c>
      <c r="C2502" s="72" t="s">
        <v>3830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>
      <c r="A2503" s="29" t="s">
        <v>3831</v>
      </c>
      <c r="B2503" s="67"/>
      <c r="C2503" s="29" t="s">
        <v>3832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>
      <c r="A2504" s="15" t="s">
        <v>3833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292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>
      <c r="A2505" s="13" t="s">
        <v>3834</v>
      </c>
      <c r="B2505" s="67">
        <v>33594407810</v>
      </c>
      <c r="C2505" s="68" t="s">
        <v>3835</v>
      </c>
      <c r="D2505" s="69">
        <v>5613611777</v>
      </c>
      <c r="E2505" s="9">
        <v>1128</v>
      </c>
      <c r="F2505" s="25">
        <v>42972</v>
      </c>
      <c r="G2505" s="70" t="s">
        <v>292</v>
      </c>
      <c r="H2505" s="9"/>
      <c r="I2505" s="8"/>
      <c r="J2505" s="8"/>
      <c r="K2505" s="8"/>
      <c r="L2505" s="8"/>
      <c r="M2505" s="8"/>
    </row>
    <row r="2506" spans="1:13">
      <c r="A2506" s="71" t="s">
        <v>3836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292</v>
      </c>
      <c r="H2506" s="9"/>
      <c r="I2506" s="8"/>
      <c r="J2506" s="8"/>
      <c r="K2506" s="8"/>
      <c r="L2506" s="9">
        <v>318</v>
      </c>
      <c r="M2506" s="8"/>
    </row>
    <row r="2507" spans="1:13">
      <c r="A2507" s="71" t="s">
        <v>3837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>
      <c r="A2508" s="71" t="s">
        <v>3838</v>
      </c>
      <c r="B2508" s="67">
        <v>38404903832</v>
      </c>
      <c r="C2508" s="72" t="s">
        <v>3839</v>
      </c>
      <c r="D2508" s="69">
        <v>35612360819</v>
      </c>
      <c r="E2508" s="9">
        <v>810</v>
      </c>
      <c r="F2508" s="25">
        <v>42915</v>
      </c>
      <c r="G2508" s="70" t="s">
        <v>292</v>
      </c>
      <c r="H2508" s="9"/>
      <c r="I2508" s="8"/>
      <c r="J2508" s="8"/>
      <c r="K2508" s="8"/>
      <c r="L2508" s="9" t="s">
        <v>411</v>
      </c>
      <c r="M2508" s="8"/>
    </row>
    <row r="2509" spans="1:13">
      <c r="A2509" s="71" t="s">
        <v>3840</v>
      </c>
      <c r="B2509" s="67">
        <v>33198410843</v>
      </c>
      <c r="C2509" s="72" t="s">
        <v>3841</v>
      </c>
      <c r="D2509" s="69">
        <v>32853865843</v>
      </c>
      <c r="E2509" s="9">
        <v>810</v>
      </c>
      <c r="F2509" s="25">
        <v>42915</v>
      </c>
      <c r="G2509" s="70" t="s">
        <v>292</v>
      </c>
      <c r="H2509" s="9"/>
      <c r="I2509" s="8"/>
      <c r="J2509" s="8"/>
      <c r="K2509" s="8"/>
      <c r="L2509" s="9" t="s">
        <v>411</v>
      </c>
      <c r="M2509" s="8"/>
    </row>
    <row r="2510" spans="1:13">
      <c r="A2510" s="71" t="s">
        <v>3842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292</v>
      </c>
      <c r="H2510" s="9"/>
      <c r="I2510" s="8"/>
      <c r="J2510" s="8"/>
      <c r="K2510" s="8"/>
      <c r="L2510" s="9">
        <v>318</v>
      </c>
      <c r="M2510" s="8"/>
    </row>
    <row r="2511" spans="1:13">
      <c r="A2511" s="71" t="s">
        <v>3843</v>
      </c>
      <c r="B2511" s="67">
        <v>46962268831</v>
      </c>
      <c r="C2511" s="72" t="s">
        <v>3844</v>
      </c>
      <c r="D2511" s="69">
        <v>40564058831</v>
      </c>
      <c r="E2511" s="9">
        <v>1752</v>
      </c>
      <c r="F2511" s="25">
        <v>43051</v>
      </c>
      <c r="G2511" s="70" t="s">
        <v>306</v>
      </c>
      <c r="H2511" s="9"/>
      <c r="I2511" s="8"/>
      <c r="J2511" s="8"/>
      <c r="K2511" s="8"/>
      <c r="L2511" s="9">
        <v>1759</v>
      </c>
      <c r="M2511" s="8"/>
    </row>
    <row r="2512" spans="1:13">
      <c r="A2512" s="71" t="s">
        <v>3845</v>
      </c>
      <c r="B2512" s="67">
        <v>33337344860</v>
      </c>
      <c r="C2512" s="72" t="s">
        <v>3846</v>
      </c>
      <c r="D2512" s="69">
        <v>33436663867</v>
      </c>
      <c r="E2512" s="9">
        <v>810</v>
      </c>
      <c r="F2512" s="25">
        <v>42915</v>
      </c>
      <c r="G2512" s="70" t="s">
        <v>292</v>
      </c>
      <c r="H2512" s="9"/>
      <c r="I2512" s="8"/>
      <c r="J2512" s="8"/>
      <c r="K2512" s="8"/>
      <c r="L2512" s="9" t="s">
        <v>411</v>
      </c>
      <c r="M2512" s="8"/>
    </row>
    <row r="2513" spans="1:13">
      <c r="A2513" s="14" t="s">
        <v>3847</v>
      </c>
      <c r="B2513" s="67">
        <v>11587518694</v>
      </c>
      <c r="C2513" s="72" t="s">
        <v>3848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>
      <c r="A2514" s="13" t="s">
        <v>3849</v>
      </c>
      <c r="B2514" s="67">
        <v>37957151809</v>
      </c>
      <c r="C2514" s="72" t="s">
        <v>3850</v>
      </c>
      <c r="D2514" s="69">
        <v>28342788814</v>
      </c>
      <c r="E2514" s="9">
        <v>1570</v>
      </c>
      <c r="F2514" s="25">
        <v>43077</v>
      </c>
      <c r="G2514" s="70" t="s">
        <v>292</v>
      </c>
      <c r="H2514" s="9"/>
      <c r="I2514" s="8"/>
      <c r="J2514" s="8"/>
      <c r="K2514" s="8"/>
      <c r="L2514" s="8"/>
      <c r="M2514" s="8"/>
    </row>
    <row r="2515" spans="1:13">
      <c r="A2515" s="71" t="s">
        <v>3851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572</v>
      </c>
      <c r="M2515" s="8"/>
    </row>
    <row r="2516" spans="1:13">
      <c r="A2516" s="29" t="s">
        <v>3852</v>
      </c>
      <c r="B2516" s="67">
        <v>35434226852</v>
      </c>
      <c r="C2516" s="29" t="s">
        <v>3853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>
      <c r="A2517" s="71" t="s">
        <v>3854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292</v>
      </c>
      <c r="H2517" s="25">
        <v>43151</v>
      </c>
      <c r="I2517" s="8"/>
      <c r="J2517" s="8"/>
      <c r="K2517" s="8"/>
      <c r="L2517" s="8"/>
      <c r="M2517" s="8"/>
    </row>
    <row r="2518" spans="1:13">
      <c r="A2518" s="13" t="s">
        <v>3855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292</v>
      </c>
      <c r="H2518" s="9"/>
      <c r="I2518" s="8"/>
      <c r="J2518" s="8"/>
      <c r="K2518" s="8"/>
      <c r="L2518" s="8"/>
      <c r="M2518" s="8"/>
    </row>
    <row r="2519" spans="1:13">
      <c r="A2519" s="15" t="s">
        <v>3856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292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>
      <c r="A2520" s="15" t="s">
        <v>3857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>
      <c r="A2521" s="72" t="s">
        <v>3858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>
      <c r="A2522" s="71" t="s">
        <v>3859</v>
      </c>
      <c r="B2522" s="67">
        <v>31989585809</v>
      </c>
      <c r="C2522" s="72" t="s">
        <v>3860</v>
      </c>
      <c r="D2522" s="69">
        <v>4312861919</v>
      </c>
      <c r="E2522" s="9">
        <v>1824</v>
      </c>
      <c r="F2522" s="25">
        <v>43091</v>
      </c>
      <c r="G2522" s="70" t="s">
        <v>306</v>
      </c>
      <c r="H2522" s="9"/>
      <c r="I2522" s="8"/>
      <c r="J2522" s="8"/>
      <c r="K2522" s="8"/>
      <c r="L2522" s="9">
        <v>1828</v>
      </c>
      <c r="M2522" s="8"/>
    </row>
    <row r="2523" spans="1:13">
      <c r="A2523" s="29" t="s">
        <v>3861</v>
      </c>
      <c r="B2523" s="67">
        <v>30264611802</v>
      </c>
      <c r="C2523" s="29" t="s">
        <v>3862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>
      <c r="A2524" s="13" t="s">
        <v>3863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292</v>
      </c>
      <c r="H2524" s="9"/>
      <c r="I2524" s="8"/>
      <c r="J2524" s="8"/>
      <c r="K2524" s="8"/>
      <c r="L2524" s="8"/>
      <c r="M2524" s="8"/>
    </row>
    <row r="2525" spans="1:13">
      <c r="A2525" s="71" t="s">
        <v>3864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292</v>
      </c>
      <c r="H2525" s="9"/>
      <c r="I2525" s="8"/>
      <c r="J2525" s="8"/>
      <c r="K2525" s="8"/>
      <c r="L2525" s="9">
        <v>318</v>
      </c>
      <c r="M2525" s="8"/>
    </row>
    <row r="2526" spans="1:13">
      <c r="A2526" s="15" t="s">
        <v>3865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292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>
      <c r="A2527" s="71" t="s">
        <v>3866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292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>
      <c r="A2528" s="71" t="s">
        <v>3867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>
      <c r="A2529" s="71" t="s">
        <v>3868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>
      <c r="A2530" s="71" t="s">
        <v>3869</v>
      </c>
      <c r="B2530" s="67">
        <v>31117169880</v>
      </c>
      <c r="C2530" s="72" t="s">
        <v>3870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>
      <c r="A2531" s="15" t="s">
        <v>3871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292</v>
      </c>
      <c r="H2531" s="9"/>
      <c r="I2531" s="8"/>
      <c r="J2531" s="8"/>
      <c r="K2531" s="8"/>
      <c r="L2531" s="9" t="s">
        <v>443</v>
      </c>
      <c r="M2531" s="8"/>
    </row>
    <row r="2532" spans="1:13">
      <c r="A2532" s="29" t="s">
        <v>3872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>
      <c r="A2533" s="73" t="s">
        <v>3873</v>
      </c>
      <c r="B2533" s="67">
        <v>34800386896</v>
      </c>
      <c r="C2533" s="72" t="s">
        <v>3874</v>
      </c>
      <c r="D2533" s="69">
        <v>33748068808</v>
      </c>
      <c r="E2533" s="9">
        <v>810</v>
      </c>
      <c r="F2533" s="25">
        <v>42915</v>
      </c>
      <c r="G2533" s="70" t="s">
        <v>292</v>
      </c>
      <c r="H2533" s="9"/>
      <c r="I2533" s="8"/>
      <c r="J2533" s="8"/>
      <c r="K2533" s="8"/>
      <c r="L2533" s="9" t="s">
        <v>411</v>
      </c>
      <c r="M2533" s="8"/>
    </row>
    <row r="2534" spans="1:13">
      <c r="A2534" s="72" t="s">
        <v>3875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>
      <c r="A2535" s="71" t="s">
        <v>3876</v>
      </c>
      <c r="B2535" s="67">
        <v>38858760867</v>
      </c>
      <c r="C2535" s="68" t="s">
        <v>3877</v>
      </c>
      <c r="D2535" s="69">
        <v>37279553842</v>
      </c>
      <c r="E2535" s="9">
        <v>1128</v>
      </c>
      <c r="F2535" s="25">
        <v>42972</v>
      </c>
      <c r="G2535" s="70" t="s">
        <v>292</v>
      </c>
      <c r="H2535" s="9"/>
      <c r="I2535" s="8"/>
      <c r="J2535" s="8"/>
      <c r="K2535" s="8"/>
      <c r="L2535" s="8"/>
      <c r="M2535" s="8"/>
    </row>
    <row r="2536" spans="1:13">
      <c r="A2536" s="29" t="s">
        <v>3878</v>
      </c>
      <c r="B2536" s="67">
        <v>43621579800</v>
      </c>
      <c r="C2536" s="29" t="s">
        <v>402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>
      <c r="A2537" s="71" t="s">
        <v>3879</v>
      </c>
      <c r="B2537" s="67">
        <v>37412192825</v>
      </c>
      <c r="C2537" s="72" t="s">
        <v>3880</v>
      </c>
      <c r="D2537" s="69">
        <v>27576214830</v>
      </c>
      <c r="E2537" s="9">
        <v>1489</v>
      </c>
      <c r="F2537" s="25">
        <v>43038</v>
      </c>
      <c r="G2537" s="70" t="s">
        <v>292</v>
      </c>
      <c r="H2537" s="9"/>
      <c r="I2537" s="8"/>
      <c r="J2537" s="8"/>
      <c r="K2537" s="8"/>
      <c r="L2537" s="9" t="s">
        <v>433</v>
      </c>
      <c r="M2537" s="8"/>
    </row>
    <row r="2538" spans="1:13">
      <c r="A2538" s="71" t="s">
        <v>3881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292</v>
      </c>
      <c r="H2538" s="25">
        <v>43151</v>
      </c>
      <c r="I2538" s="8"/>
      <c r="J2538" s="8"/>
      <c r="K2538" s="8"/>
      <c r="L2538" s="8"/>
      <c r="M2538" s="8"/>
    </row>
    <row r="2539" spans="1:13">
      <c r="A2539" s="71" t="s">
        <v>3882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292</v>
      </c>
      <c r="H2539" s="9"/>
      <c r="I2539" s="8"/>
      <c r="J2539" s="8"/>
      <c r="K2539" s="8"/>
      <c r="L2539" s="9" t="s">
        <v>411</v>
      </c>
      <c r="M2539" s="8"/>
    </row>
    <row r="2540" spans="1:13">
      <c r="A2540" s="71" t="s">
        <v>3883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>
      <c r="A2541" s="15" t="s">
        <v>3884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>
      <c r="A2542" s="72" t="s">
        <v>3885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>
      <c r="A2543" s="71" t="s">
        <v>3886</v>
      </c>
      <c r="B2543" s="67">
        <v>36613563803</v>
      </c>
      <c r="C2543" s="72" t="s">
        <v>3887</v>
      </c>
      <c r="D2543" s="69">
        <v>27798369899</v>
      </c>
      <c r="E2543" s="9">
        <v>292</v>
      </c>
      <c r="F2543" s="25">
        <v>43168</v>
      </c>
      <c r="G2543" s="70" t="s">
        <v>292</v>
      </c>
      <c r="H2543" s="9"/>
      <c r="I2543" s="8"/>
      <c r="J2543" s="8"/>
      <c r="K2543" s="8"/>
      <c r="L2543" s="9">
        <v>318</v>
      </c>
      <c r="M2543" s="8"/>
    </row>
    <row r="2544" spans="1:13">
      <c r="A2544" s="71" t="s">
        <v>3888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>
      <c r="A2545" s="71" t="s">
        <v>3889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292</v>
      </c>
      <c r="H2545" s="9"/>
      <c r="I2545" s="8"/>
      <c r="J2545" s="8"/>
      <c r="K2545" s="8"/>
      <c r="L2545" s="9" t="s">
        <v>411</v>
      </c>
      <c r="M2545" s="8"/>
    </row>
    <row r="2546" spans="1:13" ht="27.75">
      <c r="A2546" s="91" t="s">
        <v>3890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292</v>
      </c>
      <c r="H2546" s="9"/>
      <c r="I2546" s="8"/>
      <c r="J2546" s="8"/>
      <c r="K2546" s="8"/>
      <c r="L2546" s="8"/>
      <c r="M2546" s="8"/>
    </row>
    <row r="2547" spans="1:13">
      <c r="A2547" s="15" t="s">
        <v>3891</v>
      </c>
      <c r="B2547" s="67">
        <v>2950068545</v>
      </c>
      <c r="C2547" s="15" t="s">
        <v>3892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>
      <c r="A2548" s="71" t="s">
        <v>3893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292</v>
      </c>
      <c r="H2548" s="9"/>
      <c r="I2548" s="8"/>
      <c r="J2548" s="8"/>
      <c r="K2548" s="8"/>
      <c r="L2548" s="8"/>
      <c r="M2548" s="8"/>
    </row>
    <row r="2549" spans="1:13">
      <c r="A2549" s="71" t="s">
        <v>3894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298</v>
      </c>
      <c r="H2549" s="9"/>
      <c r="I2549" s="8"/>
      <c r="J2549" s="8"/>
      <c r="K2549" s="8"/>
      <c r="L2549" s="9">
        <v>1828</v>
      </c>
      <c r="M2549" s="8"/>
    </row>
    <row r="2550" spans="1:13">
      <c r="A2550" s="16" t="s">
        <v>3895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>
      <c r="A2551" s="71" t="s">
        <v>3896</v>
      </c>
      <c r="B2551" s="67">
        <v>44618522453</v>
      </c>
      <c r="C2551" s="68" t="s">
        <v>3897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>
      <c r="A2552" s="71" t="s">
        <v>3898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292</v>
      </c>
      <c r="H2552" s="9"/>
      <c r="I2552" s="8"/>
      <c r="J2552" s="8"/>
      <c r="K2552" s="8"/>
      <c r="L2552" s="9" t="s">
        <v>443</v>
      </c>
      <c r="M2552" s="8"/>
    </row>
    <row r="2553" spans="1:13">
      <c r="A2553" s="71" t="s">
        <v>3899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292</v>
      </c>
      <c r="H2553" s="9"/>
      <c r="I2553" s="8"/>
      <c r="J2553" s="8"/>
      <c r="K2553" s="8"/>
      <c r="L2553" s="9" t="s">
        <v>526</v>
      </c>
      <c r="M2553" s="8"/>
    </row>
    <row r="2554" spans="1:13">
      <c r="A2554" s="71" t="s">
        <v>3900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>
      <c r="A2555" s="71" t="s">
        <v>3901</v>
      </c>
      <c r="B2555" s="67">
        <v>26333731862</v>
      </c>
      <c r="C2555" s="72" t="s">
        <v>3902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>
      <c r="A2556" s="71" t="s">
        <v>3903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572</v>
      </c>
      <c r="M2556" s="8"/>
    </row>
    <row r="2557" spans="1:13">
      <c r="A2557" s="71" t="s">
        <v>3904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292</v>
      </c>
      <c r="H2557" s="9"/>
      <c r="I2557" s="8"/>
      <c r="J2557" s="8"/>
      <c r="K2557" s="8"/>
      <c r="L2557" s="8"/>
      <c r="M2557" s="8"/>
    </row>
    <row r="2558" spans="1:13">
      <c r="A2558" s="71" t="s">
        <v>3905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292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>
      <c r="A2559" s="71" t="s">
        <v>3906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292</v>
      </c>
      <c r="H2559" s="9"/>
      <c r="I2559" s="8"/>
      <c r="J2559" s="8"/>
      <c r="K2559" s="8"/>
      <c r="L2559" s="8"/>
      <c r="M2559" s="8"/>
    </row>
    <row r="2560" spans="1:13">
      <c r="A2560" s="71" t="s">
        <v>3907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292</v>
      </c>
      <c r="H2560" s="9"/>
      <c r="I2560" s="8"/>
      <c r="J2560" s="8"/>
      <c r="K2560" s="8"/>
      <c r="L2560" s="8"/>
      <c r="M2560" s="8"/>
    </row>
    <row r="2561" spans="1:13">
      <c r="A2561" s="84" t="s">
        <v>3908</v>
      </c>
      <c r="B2561" s="67">
        <v>2035513545</v>
      </c>
      <c r="C2561" s="77" t="s">
        <v>3909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>
      <c r="A2562" s="15" t="s">
        <v>3910</v>
      </c>
      <c r="B2562" s="67">
        <v>32375610881</v>
      </c>
      <c r="C2562" s="72" t="s">
        <v>3911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>
      <c r="A2563" s="13" t="s">
        <v>3912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292</v>
      </c>
      <c r="H2563" s="25">
        <v>43011</v>
      </c>
      <c r="I2563" s="8"/>
      <c r="J2563" s="8"/>
      <c r="K2563" s="8"/>
      <c r="L2563" s="8"/>
      <c r="M2563" s="8"/>
    </row>
    <row r="2564" spans="1:13">
      <c r="A2564" s="13" t="s">
        <v>3913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292</v>
      </c>
      <c r="H2564" s="25">
        <v>43011</v>
      </c>
      <c r="I2564" s="8"/>
      <c r="J2564" s="8"/>
      <c r="K2564" s="8"/>
      <c r="L2564" s="8"/>
      <c r="M2564" s="8"/>
    </row>
    <row r="2565" spans="1:13">
      <c r="A2565" s="71" t="s">
        <v>3914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>
      <c r="A2566" s="71" t="s">
        <v>3915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292</v>
      </c>
      <c r="H2566" s="9"/>
      <c r="I2566" s="8"/>
      <c r="J2566" s="8"/>
      <c r="K2566" s="8"/>
      <c r="L2566" s="9" t="s">
        <v>433</v>
      </c>
      <c r="M2566" s="8"/>
    </row>
    <row r="2567" spans="1:13">
      <c r="A2567" s="71" t="s">
        <v>3916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292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>
      <c r="A2568" s="71" t="s">
        <v>3917</v>
      </c>
      <c r="B2568" s="67">
        <v>28040254892</v>
      </c>
      <c r="C2568" s="72" t="s">
        <v>3918</v>
      </c>
      <c r="D2568" s="69">
        <v>27414145808</v>
      </c>
      <c r="E2568" s="9">
        <v>810</v>
      </c>
      <c r="F2568" s="25">
        <v>42915</v>
      </c>
      <c r="G2568" s="70" t="s">
        <v>292</v>
      </c>
      <c r="H2568" s="25">
        <v>42921</v>
      </c>
      <c r="I2568" s="8"/>
      <c r="J2568" s="8"/>
      <c r="K2568" s="8"/>
      <c r="L2568" s="9" t="s">
        <v>411</v>
      </c>
      <c r="M2568" s="8"/>
    </row>
    <row r="2569" spans="1:13">
      <c r="A2569" s="71" t="s">
        <v>3919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292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>
      <c r="A2570" s="15" t="s">
        <v>3920</v>
      </c>
      <c r="B2570" s="67">
        <v>19585439859</v>
      </c>
      <c r="C2570" s="72" t="s">
        <v>3921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>
      <c r="A2571" s="71" t="s">
        <v>3922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292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>
      <c r="A2572" s="29" t="s">
        <v>3923</v>
      </c>
      <c r="B2572" s="67">
        <v>33167057831</v>
      </c>
      <c r="C2572" s="18" t="s">
        <v>402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>
      <c r="A2573" s="15" t="s">
        <v>3924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292</v>
      </c>
      <c r="H2573" s="9"/>
      <c r="I2573" s="8"/>
      <c r="J2573" s="8"/>
      <c r="K2573" s="8"/>
      <c r="L2573" s="9">
        <v>232</v>
      </c>
      <c r="M2573" s="8"/>
    </row>
    <row r="2574" spans="1:13">
      <c r="A2574" s="71" t="s">
        <v>3925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292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>
      <c r="A2575" s="15" t="s">
        <v>3926</v>
      </c>
      <c r="B2575" s="67">
        <v>41360953841</v>
      </c>
      <c r="C2575" s="72" t="s">
        <v>3927</v>
      </c>
      <c r="D2575" s="69">
        <v>39212484859</v>
      </c>
      <c r="E2575" s="9">
        <v>117</v>
      </c>
      <c r="F2575" s="25">
        <v>43117</v>
      </c>
      <c r="G2575" s="70" t="s">
        <v>292</v>
      </c>
      <c r="H2575" s="25">
        <v>43151</v>
      </c>
      <c r="I2575" s="8"/>
      <c r="J2575" s="8"/>
      <c r="K2575" s="8"/>
      <c r="L2575" s="9" t="s">
        <v>443</v>
      </c>
      <c r="M2575" s="8"/>
    </row>
    <row r="2576" spans="1:13">
      <c r="A2576" s="15" t="s">
        <v>3928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292</v>
      </c>
      <c r="H2576" s="9"/>
      <c r="I2576" s="8"/>
      <c r="J2576" s="8"/>
      <c r="K2576" s="8"/>
      <c r="L2576" s="9">
        <v>232</v>
      </c>
      <c r="M2576" s="8"/>
    </row>
    <row r="2577" spans="1:13">
      <c r="A2577" s="14" t="s">
        <v>3929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292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>
      <c r="A2578" s="13" t="s">
        <v>3930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292</v>
      </c>
      <c r="H2578" s="25">
        <v>43027</v>
      </c>
      <c r="I2578" s="8"/>
      <c r="J2578" s="8"/>
      <c r="K2578" s="8"/>
      <c r="L2578" s="8"/>
      <c r="M2578" s="8"/>
    </row>
    <row r="2579" spans="1:13">
      <c r="A2579" s="29" t="s">
        <v>3931</v>
      </c>
      <c r="B2579" s="67"/>
      <c r="C2579" s="29" t="s">
        <v>402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>
      <c r="A2580" s="71" t="s">
        <v>3932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>
      <c r="A2581" s="14" t="s">
        <v>3933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292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>
      <c r="A2582" s="72" t="s">
        <v>3934</v>
      </c>
      <c r="B2582" s="67">
        <v>39407601889</v>
      </c>
      <c r="C2582" s="72" t="s">
        <v>3935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>
      <c r="A2583" s="72" t="s">
        <v>3936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292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>
      <c r="A2584" s="15" t="s">
        <v>3937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>
      <c r="A2585" s="71" t="s">
        <v>3938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292</v>
      </c>
      <c r="H2585" s="25">
        <v>42921</v>
      </c>
      <c r="I2585" s="8"/>
      <c r="J2585" s="8"/>
      <c r="K2585" s="8"/>
      <c r="L2585" s="9" t="s">
        <v>411</v>
      </c>
      <c r="M2585" s="8"/>
    </row>
    <row r="2586" spans="1:13">
      <c r="A2586" s="71" t="s">
        <v>3939</v>
      </c>
      <c r="B2586" s="67">
        <v>40831453826</v>
      </c>
      <c r="C2586" s="72" t="s">
        <v>3940</v>
      </c>
      <c r="D2586" s="69">
        <v>41787837858</v>
      </c>
      <c r="E2586" s="9">
        <v>1214</v>
      </c>
      <c r="F2586" s="25">
        <v>42989</v>
      </c>
      <c r="G2586" s="70" t="s">
        <v>292</v>
      </c>
      <c r="H2586" s="25">
        <v>43000</v>
      </c>
      <c r="I2586" s="8"/>
      <c r="J2586" s="8"/>
      <c r="K2586" s="8"/>
      <c r="L2586" s="8"/>
      <c r="M2586" s="8"/>
    </row>
    <row r="2587" spans="1:13">
      <c r="A2587" s="18" t="s">
        <v>3941</v>
      </c>
      <c r="B2587" s="67">
        <v>23043868811</v>
      </c>
      <c r="C2587" s="18" t="s">
        <v>3942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>
      <c r="A2588" s="71" t="s">
        <v>3943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292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>
      <c r="A2589" s="15" t="s">
        <v>3944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292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>
      <c r="A2590" s="71" t="s">
        <v>3945</v>
      </c>
      <c r="B2590" s="67">
        <v>11739082850</v>
      </c>
      <c r="C2590" s="72" t="s">
        <v>3946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>
      <c r="A2591" s="71" t="s">
        <v>3947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292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>
      <c r="A2592" s="71" t="s">
        <v>3948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292</v>
      </c>
      <c r="H2592" s="25">
        <v>43027</v>
      </c>
      <c r="I2592" s="8"/>
      <c r="J2592" s="8"/>
      <c r="K2592" s="8"/>
      <c r="L2592" s="8"/>
      <c r="M2592" s="8"/>
    </row>
    <row r="2593" spans="1:13">
      <c r="A2593" s="71" t="s">
        <v>3949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292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>
      <c r="A2594" s="71" t="s">
        <v>3950</v>
      </c>
      <c r="B2594" s="67">
        <v>36782552809</v>
      </c>
      <c r="C2594" s="72" t="s">
        <v>3951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>
      <c r="A2595" s="18" t="s">
        <v>3952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>
      <c r="A2596" s="71" t="s">
        <v>3953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292</v>
      </c>
      <c r="H2596" s="25">
        <v>42978</v>
      </c>
      <c r="I2596" s="8"/>
      <c r="J2596" s="8"/>
      <c r="K2596" s="8"/>
      <c r="L2596" s="8"/>
      <c r="M2596" s="8"/>
    </row>
    <row r="2597" spans="1:13">
      <c r="A2597" s="29" t="s">
        <v>3954</v>
      </c>
      <c r="B2597" s="67">
        <v>28249902874</v>
      </c>
      <c r="C2597" s="29" t="s">
        <v>3955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>
      <c r="A2598" s="71" t="s">
        <v>3956</v>
      </c>
      <c r="B2598" s="67">
        <v>36169238836</v>
      </c>
      <c r="C2598" s="77" t="s">
        <v>3957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>
      <c r="A2599" s="16" t="s">
        <v>3958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292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>
      <c r="A2600" s="29" t="s">
        <v>3959</v>
      </c>
      <c r="B2600" s="67">
        <v>30886267870</v>
      </c>
      <c r="C2600" s="29" t="s">
        <v>3960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>
      <c r="A2601" s="29" t="s">
        <v>3961</v>
      </c>
      <c r="B2601" s="67"/>
      <c r="C2601" s="29" t="s">
        <v>3962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>
      <c r="A2602" s="71" t="s">
        <v>3963</v>
      </c>
      <c r="B2602" s="67">
        <v>26107569847</v>
      </c>
      <c r="C2602" s="77" t="s">
        <v>3964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>
      <c r="A2603" s="71" t="s">
        <v>3965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292</v>
      </c>
      <c r="H2603" s="25">
        <v>42979</v>
      </c>
      <c r="I2603" s="8"/>
      <c r="J2603" s="8"/>
      <c r="K2603" s="8"/>
      <c r="L2603" s="8"/>
      <c r="M2603" s="8"/>
    </row>
    <row r="2604" spans="1:13">
      <c r="A2604" s="71" t="s">
        <v>3966</v>
      </c>
      <c r="B2604" s="67">
        <v>13516251875</v>
      </c>
      <c r="C2604" s="68" t="s">
        <v>3967</v>
      </c>
      <c r="D2604" s="69">
        <v>10146756851</v>
      </c>
      <c r="E2604" s="9">
        <v>1214</v>
      </c>
      <c r="F2604" s="25">
        <v>42989</v>
      </c>
      <c r="G2604" s="70" t="s">
        <v>292</v>
      </c>
      <c r="H2604" s="25">
        <v>43000</v>
      </c>
      <c r="I2604" s="8"/>
      <c r="J2604" s="8"/>
      <c r="K2604" s="8"/>
      <c r="L2604" s="8"/>
      <c r="M2604" s="8"/>
    </row>
    <row r="2605" spans="1:13">
      <c r="A2605" s="72" t="s">
        <v>3968</v>
      </c>
      <c r="B2605" s="67">
        <v>3597715486</v>
      </c>
      <c r="C2605" s="72" t="s">
        <v>3969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>
      <c r="A2606" s="13" t="s">
        <v>3970</v>
      </c>
      <c r="B2606" s="67">
        <v>1563161532</v>
      </c>
      <c r="C2606" s="68" t="s">
        <v>3971</v>
      </c>
      <c r="D2606" s="69">
        <v>92557732591</v>
      </c>
      <c r="E2606" s="9">
        <v>1128</v>
      </c>
      <c r="F2606" s="25">
        <v>42972</v>
      </c>
      <c r="G2606" s="70" t="s">
        <v>292</v>
      </c>
      <c r="H2606" s="25">
        <v>42979</v>
      </c>
      <c r="I2606" s="8"/>
      <c r="J2606" s="8"/>
      <c r="K2606" s="8"/>
      <c r="L2606" s="8"/>
      <c r="M2606" s="8"/>
    </row>
    <row r="2607" spans="1:13">
      <c r="A2607" s="18" t="s">
        <v>3972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>
      <c r="A2608" s="71" t="s">
        <v>3973</v>
      </c>
      <c r="B2608" s="67">
        <v>31914362861</v>
      </c>
      <c r="C2608" s="72" t="s">
        <v>3974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572</v>
      </c>
      <c r="M2608" s="8"/>
    </row>
    <row r="2609" spans="1:13">
      <c r="A2609" s="18" t="s">
        <v>3975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>
      <c r="A2610" s="71" t="s">
        <v>3976</v>
      </c>
      <c r="B2610" s="67">
        <v>35218693855</v>
      </c>
      <c r="C2610" s="72" t="s">
        <v>3977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>
      <c r="A2611" s="71" t="s">
        <v>3978</v>
      </c>
      <c r="B2611" s="67">
        <v>30947166874</v>
      </c>
      <c r="C2611" s="72" t="s">
        <v>3979</v>
      </c>
      <c r="D2611" s="69">
        <v>1304805506</v>
      </c>
      <c r="E2611" s="9">
        <v>1241</v>
      </c>
      <c r="F2611" s="25">
        <v>42992</v>
      </c>
      <c r="G2611" s="70" t="s">
        <v>292</v>
      </c>
      <c r="H2611" s="25">
        <v>42998</v>
      </c>
      <c r="I2611" s="8"/>
      <c r="J2611" s="8"/>
      <c r="K2611" s="8"/>
      <c r="L2611" s="8"/>
      <c r="M2611" s="8"/>
    </row>
    <row r="2612" spans="1:13">
      <c r="A2612" s="18" t="s">
        <v>3980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>
      <c r="A2613" s="15" t="s">
        <v>3981</v>
      </c>
      <c r="B2613" s="67">
        <v>3632265593</v>
      </c>
      <c r="C2613" s="72" t="s">
        <v>3982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>
      <c r="A2614" s="71" t="s">
        <v>3983</v>
      </c>
      <c r="B2614" s="67">
        <v>9500687801</v>
      </c>
      <c r="C2614" s="77" t="s">
        <v>3984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572</v>
      </c>
      <c r="M2614" s="8"/>
    </row>
    <row r="2615" spans="1:13">
      <c r="A2615" s="71" t="s">
        <v>3985</v>
      </c>
      <c r="B2615" s="67">
        <v>78808405400</v>
      </c>
      <c r="C2615" s="72" t="s">
        <v>3986</v>
      </c>
      <c r="D2615" s="69">
        <v>6840084400</v>
      </c>
      <c r="E2615" s="9">
        <v>1824</v>
      </c>
      <c r="F2615" s="25">
        <v>43091</v>
      </c>
      <c r="G2615" s="70" t="s">
        <v>292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>
      <c r="A2616" s="15" t="s">
        <v>3987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292</v>
      </c>
      <c r="H2616" s="9"/>
      <c r="I2616" s="8"/>
      <c r="J2616" s="8"/>
      <c r="K2616" s="8"/>
      <c r="L2616" s="9">
        <v>232</v>
      </c>
      <c r="M2616" s="8"/>
    </row>
    <row r="2617" spans="1:13">
      <c r="A2617" s="15" t="s">
        <v>3988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>
      <c r="A2618" s="13" t="s">
        <v>3989</v>
      </c>
      <c r="B2618" s="67">
        <v>37500289820</v>
      </c>
      <c r="C2618" s="68" t="s">
        <v>3990</v>
      </c>
      <c r="D2618" s="69">
        <v>26607571867</v>
      </c>
      <c r="E2618" s="9">
        <v>1350</v>
      </c>
      <c r="F2618" s="25">
        <v>43006</v>
      </c>
      <c r="G2618" s="70" t="s">
        <v>292</v>
      </c>
      <c r="H2618" s="25">
        <v>43011</v>
      </c>
      <c r="I2618" s="8"/>
      <c r="J2618" s="8"/>
      <c r="K2618" s="8"/>
      <c r="L2618" s="8"/>
      <c r="M2618" s="8"/>
    </row>
    <row r="2619" spans="1:13">
      <c r="A2619" s="18" t="s">
        <v>3991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>
      <c r="A2620" s="13" t="s">
        <v>3992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292</v>
      </c>
      <c r="H2620" s="25">
        <v>43000</v>
      </c>
      <c r="I2620" s="8"/>
      <c r="J2620" s="8"/>
      <c r="K2620" s="8"/>
      <c r="L2620" s="8"/>
      <c r="M2620" s="8"/>
    </row>
    <row r="2621" spans="1:13">
      <c r="A2621" s="71" t="s">
        <v>3993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>
      <c r="A2622" s="15" t="s">
        <v>3994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292</v>
      </c>
      <c r="H2622" s="9"/>
      <c r="I2622" s="8"/>
      <c r="J2622" s="8"/>
      <c r="K2622" s="8"/>
      <c r="L2622" s="9">
        <v>232</v>
      </c>
      <c r="M2622" s="8"/>
    </row>
    <row r="2623" spans="1:13">
      <c r="A2623" s="71" t="s">
        <v>3995</v>
      </c>
      <c r="B2623" s="67">
        <v>8192130800</v>
      </c>
      <c r="C2623" s="72" t="s">
        <v>3996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>
      <c r="A2624" s="18" t="s">
        <v>3997</v>
      </c>
      <c r="B2624" s="67">
        <v>26853070879</v>
      </c>
      <c r="C2624" s="18" t="s">
        <v>3998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>
      <c r="A2625" s="13" t="s">
        <v>3999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292</v>
      </c>
      <c r="H2625" s="25">
        <v>43027</v>
      </c>
      <c r="I2625" s="8"/>
      <c r="J2625" s="8"/>
      <c r="K2625" s="8"/>
      <c r="L2625" s="9" t="s">
        <v>526</v>
      </c>
      <c r="M2625" s="8"/>
    </row>
    <row r="2626" spans="1:13">
      <c r="A2626" s="13" t="s">
        <v>4000</v>
      </c>
      <c r="B2626" s="67">
        <v>27440063864</v>
      </c>
      <c r="C2626" s="68" t="s">
        <v>4001</v>
      </c>
      <c r="D2626" s="69">
        <v>66533287400</v>
      </c>
      <c r="E2626" s="9">
        <v>1241</v>
      </c>
      <c r="F2626" s="25">
        <v>42992</v>
      </c>
      <c r="G2626" s="70" t="s">
        <v>292</v>
      </c>
      <c r="H2626" s="25">
        <v>42998</v>
      </c>
      <c r="I2626" s="8"/>
      <c r="J2626" s="8"/>
      <c r="K2626" s="8"/>
      <c r="L2626" s="8"/>
      <c r="M2626" s="8"/>
    </row>
    <row r="2627" spans="1:13">
      <c r="A2627" s="71" t="s">
        <v>4002</v>
      </c>
      <c r="B2627" s="67">
        <v>32362879852</v>
      </c>
      <c r="C2627" s="72" t="s">
        <v>4003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572</v>
      </c>
      <c r="M2627" s="8"/>
    </row>
    <row r="2628" spans="1:13">
      <c r="A2628" s="15" t="s">
        <v>4004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292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>
      <c r="A2629" s="71" t="s">
        <v>4005</v>
      </c>
      <c r="B2629" s="67">
        <v>37904123843</v>
      </c>
      <c r="C2629" s="72" t="s">
        <v>4006</v>
      </c>
      <c r="D2629" s="69">
        <v>16565739897</v>
      </c>
      <c r="E2629" s="9">
        <v>292</v>
      </c>
      <c r="F2629" s="25">
        <v>43168</v>
      </c>
      <c r="G2629" s="70" t="s">
        <v>292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>
      <c r="A2630" s="71" t="s">
        <v>4007</v>
      </c>
      <c r="B2630" s="67">
        <v>30775860883</v>
      </c>
      <c r="C2630" s="72" t="s">
        <v>4008</v>
      </c>
      <c r="D2630" s="69">
        <v>34227894808</v>
      </c>
      <c r="E2630" s="9">
        <v>1359</v>
      </c>
      <c r="F2630" s="25">
        <v>43006</v>
      </c>
      <c r="G2630" s="70" t="s">
        <v>292</v>
      </c>
      <c r="H2630" s="25">
        <v>43011</v>
      </c>
      <c r="I2630" s="8"/>
      <c r="J2630" s="8"/>
      <c r="K2630" s="8"/>
      <c r="L2630" s="8"/>
      <c r="M2630" s="8"/>
    </row>
    <row r="2631" spans="1:13">
      <c r="A2631" s="14" t="s">
        <v>4009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292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>
      <c r="A2632" s="15" t="s">
        <v>4010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292</v>
      </c>
      <c r="H2632" s="9"/>
      <c r="I2632" s="8"/>
      <c r="J2632" s="8"/>
      <c r="K2632" s="8"/>
      <c r="L2632" s="9">
        <v>232</v>
      </c>
      <c r="M2632" s="8"/>
    </row>
    <row r="2633" spans="1:13">
      <c r="A2633" s="71" t="s">
        <v>4011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292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>
      <c r="A2634" s="71" t="s">
        <v>4012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292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>
      <c r="A2635" s="71" t="s">
        <v>4013</v>
      </c>
      <c r="B2635" s="67">
        <v>29287401802</v>
      </c>
      <c r="C2635" s="72" t="s">
        <v>4014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>
      <c r="A2636" s="15" t="s">
        <v>3892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292</v>
      </c>
      <c r="H2636" s="25">
        <v>43151</v>
      </c>
      <c r="I2636" s="8"/>
      <c r="J2636" s="8"/>
      <c r="K2636" s="8"/>
      <c r="L2636" s="9" t="s">
        <v>443</v>
      </c>
      <c r="M2636" s="8"/>
    </row>
    <row r="2637" spans="1:13">
      <c r="A2637" s="71" t="s">
        <v>4015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>
      <c r="A2638" s="30" t="s">
        <v>4016</v>
      </c>
      <c r="B2638" s="67">
        <v>36051425837</v>
      </c>
      <c r="C2638" s="77" t="s">
        <v>4017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>
      <c r="A2639" s="72" t="s">
        <v>4018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292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>
      <c r="A2640" s="71" t="s">
        <v>4019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572</v>
      </c>
      <c r="M2640" s="8"/>
    </row>
    <row r="2641" spans="1:13">
      <c r="A2641" s="72" t="s">
        <v>4020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>
      <c r="A2642" s="71" t="s">
        <v>4021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292</v>
      </c>
      <c r="H2642" s="25">
        <v>42978</v>
      </c>
      <c r="I2642" s="8"/>
      <c r="J2642" s="8"/>
      <c r="K2642" s="8"/>
      <c r="L2642" s="8"/>
      <c r="M2642" s="8"/>
    </row>
    <row r="2643" spans="1:13">
      <c r="A2643" s="71" t="s">
        <v>4022</v>
      </c>
      <c r="B2643" s="67">
        <v>3212055375</v>
      </c>
      <c r="C2643" s="77" t="s">
        <v>4023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>
      <c r="A2644" s="15" t="s">
        <v>4024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292</v>
      </c>
      <c r="H2644" s="9"/>
      <c r="I2644" s="8"/>
      <c r="J2644" s="8"/>
      <c r="K2644" s="8"/>
      <c r="L2644" s="9">
        <v>232</v>
      </c>
      <c r="M2644" s="8"/>
    </row>
    <row r="2645" spans="1:13">
      <c r="A2645" s="71" t="s">
        <v>4025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292</v>
      </c>
      <c r="H2645" s="25">
        <v>43011</v>
      </c>
      <c r="I2645" s="8"/>
      <c r="J2645" s="8"/>
      <c r="K2645" s="8"/>
      <c r="L2645" s="8"/>
      <c r="M2645" s="8"/>
    </row>
    <row r="2646" spans="1:13">
      <c r="A2646" s="15" t="s">
        <v>4026</v>
      </c>
      <c r="B2646" s="67">
        <v>11452168890</v>
      </c>
      <c r="C2646" s="72" t="s">
        <v>4027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>
      <c r="A2647" s="71" t="s">
        <v>4028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>
      <c r="A2648" s="73" t="s">
        <v>4029</v>
      </c>
      <c r="B2648" s="67">
        <v>31856157865</v>
      </c>
      <c r="C2648" s="72" t="s">
        <v>4030</v>
      </c>
      <c r="D2648" s="69">
        <v>94552967568</v>
      </c>
      <c r="E2648" s="9">
        <v>810</v>
      </c>
      <c r="F2648" s="25">
        <v>42915</v>
      </c>
      <c r="G2648" s="70" t="s">
        <v>292</v>
      </c>
      <c r="H2648" s="25">
        <v>42921</v>
      </c>
      <c r="I2648" s="8"/>
      <c r="J2648" s="8"/>
      <c r="K2648" s="8"/>
      <c r="L2648" s="9" t="s">
        <v>411</v>
      </c>
      <c r="M2648" s="8"/>
    </row>
    <row r="2649" spans="1:13">
      <c r="A2649" s="71" t="s">
        <v>4031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292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>
      <c r="A2650" s="15" t="s">
        <v>4032</v>
      </c>
      <c r="B2650" s="67">
        <v>37478827810</v>
      </c>
      <c r="C2650" s="72" t="s">
        <v>4033</v>
      </c>
      <c r="D2650" s="69">
        <v>37591131842</v>
      </c>
      <c r="E2650" s="9">
        <v>292</v>
      </c>
      <c r="F2650" s="25">
        <v>43168</v>
      </c>
      <c r="G2650" s="70" t="s">
        <v>292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>
      <c r="A2651" s="71" t="s">
        <v>4034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292</v>
      </c>
      <c r="H2651" s="25">
        <v>43000</v>
      </c>
      <c r="I2651" s="8"/>
      <c r="J2651" s="8"/>
      <c r="K2651" s="8"/>
      <c r="L2651" s="8"/>
      <c r="M2651" s="8"/>
    </row>
    <row r="2652" spans="1:13">
      <c r="A2652" s="15" t="s">
        <v>4035</v>
      </c>
      <c r="B2652" s="67">
        <v>23465596870</v>
      </c>
      <c r="C2652" s="72" t="s">
        <v>4036</v>
      </c>
      <c r="D2652" s="69">
        <v>23522451848</v>
      </c>
      <c r="E2652" s="9">
        <v>292</v>
      </c>
      <c r="F2652" s="25">
        <v>43168</v>
      </c>
      <c r="G2652" s="70" t="s">
        <v>292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>
      <c r="A2653" s="71" t="s">
        <v>4037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572</v>
      </c>
      <c r="M2653" s="8"/>
    </row>
    <row r="2654" spans="1:13">
      <c r="A2654" s="73" t="s">
        <v>4038</v>
      </c>
      <c r="B2654" s="67">
        <v>34274784835</v>
      </c>
      <c r="C2654" s="72" t="s">
        <v>4039</v>
      </c>
      <c r="D2654" s="69">
        <v>19379885890</v>
      </c>
      <c r="E2654" s="9">
        <v>810</v>
      </c>
      <c r="F2654" s="25">
        <v>42915</v>
      </c>
      <c r="G2654" s="70" t="s">
        <v>292</v>
      </c>
      <c r="H2654" s="25">
        <v>42921</v>
      </c>
      <c r="I2654" s="8"/>
      <c r="J2654" s="8"/>
      <c r="K2654" s="8"/>
      <c r="L2654" s="9" t="s">
        <v>411</v>
      </c>
      <c r="M2654" s="8"/>
    </row>
    <row r="2655" spans="1:13">
      <c r="A2655" s="71" t="s">
        <v>4040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292</v>
      </c>
      <c r="H2655" s="25">
        <v>42921</v>
      </c>
      <c r="I2655" s="8"/>
      <c r="J2655" s="8"/>
      <c r="K2655" s="8"/>
      <c r="L2655" s="9" t="s">
        <v>411</v>
      </c>
      <c r="M2655" s="8"/>
    </row>
    <row r="2656" spans="1:13">
      <c r="A2656" s="71" t="s">
        <v>4041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292</v>
      </c>
      <c r="H2656" s="25">
        <v>42921</v>
      </c>
      <c r="I2656" s="8"/>
      <c r="J2656" s="8"/>
      <c r="K2656" s="8"/>
      <c r="L2656" s="9" t="s">
        <v>411</v>
      </c>
      <c r="M2656" s="8"/>
    </row>
    <row r="2657" spans="1:13">
      <c r="A2657" s="71" t="s">
        <v>4042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292</v>
      </c>
      <c r="H2657" s="25">
        <v>43151</v>
      </c>
      <c r="I2657" s="8"/>
      <c r="J2657" s="8"/>
      <c r="K2657" s="8"/>
      <c r="L2657" s="9" t="s">
        <v>443</v>
      </c>
      <c r="M2657" s="8"/>
    </row>
    <row r="2658" spans="1:13">
      <c r="A2658" s="71" t="s">
        <v>4043</v>
      </c>
      <c r="B2658" s="67">
        <v>41491764856</v>
      </c>
      <c r="C2658" s="72" t="s">
        <v>4044</v>
      </c>
      <c r="D2658" s="69">
        <v>91076447520</v>
      </c>
      <c r="E2658" s="9">
        <v>292</v>
      </c>
      <c r="F2658" s="25">
        <v>43168</v>
      </c>
      <c r="G2658" s="70" t="s">
        <v>292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>
      <c r="A2659" s="71" t="s">
        <v>4045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292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>
      <c r="A2660" s="14" t="s">
        <v>4046</v>
      </c>
      <c r="B2660" s="67">
        <v>32962624820</v>
      </c>
      <c r="C2660" s="72" t="s">
        <v>4047</v>
      </c>
      <c r="D2660" s="69">
        <v>3430918871</v>
      </c>
      <c r="E2660" s="9"/>
      <c r="F2660" s="25"/>
      <c r="G2660" s="70" t="s">
        <v>292</v>
      </c>
      <c r="H2660" s="9"/>
      <c r="I2660" s="8"/>
      <c r="J2660" s="8"/>
      <c r="K2660" s="8"/>
      <c r="L2660" s="8"/>
      <c r="M2660" s="8"/>
    </row>
    <row r="2661" spans="1:13">
      <c r="A2661" s="71" t="s">
        <v>4048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298</v>
      </c>
      <c r="H2661" s="25">
        <v>43011</v>
      </c>
      <c r="I2661" s="8"/>
      <c r="J2661" s="8"/>
      <c r="K2661" s="8"/>
      <c r="L2661" s="8"/>
      <c r="M2661" s="8"/>
    </row>
    <row r="2662" spans="1:13">
      <c r="A2662" s="71" t="s">
        <v>4049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>
      <c r="A2663" s="18" t="s">
        <v>4050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>
      <c r="A2664" s="71" t="s">
        <v>4051</v>
      </c>
      <c r="B2664" s="67" t="s">
        <v>4052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>
      <c r="A2665" s="71" t="s">
        <v>4053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292</v>
      </c>
      <c r="H2665" s="25">
        <v>43027</v>
      </c>
      <c r="I2665" s="8"/>
      <c r="J2665" s="8"/>
      <c r="K2665" s="8"/>
      <c r="L2665" s="8"/>
      <c r="M2665" s="8"/>
    </row>
    <row r="2666" spans="1:13">
      <c r="A2666" s="29" t="s">
        <v>4054</v>
      </c>
      <c r="B2666" s="67">
        <v>99048957753</v>
      </c>
      <c r="C2666" s="29" t="s">
        <v>4055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>
      <c r="A2667" s="71" t="s">
        <v>4056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>
      <c r="A2668" s="71" t="s">
        <v>4057</v>
      </c>
      <c r="B2668" s="67">
        <v>11234152851</v>
      </c>
      <c r="C2668" s="72" t="s">
        <v>4058</v>
      </c>
      <c r="D2668" s="69">
        <v>11353668886</v>
      </c>
      <c r="E2668" s="9">
        <v>117</v>
      </c>
      <c r="F2668" s="25">
        <v>43117</v>
      </c>
      <c r="G2668" s="70" t="s">
        <v>292</v>
      </c>
      <c r="H2668" s="25">
        <v>43151</v>
      </c>
      <c r="I2668" s="8"/>
      <c r="J2668" s="8"/>
      <c r="K2668" s="8"/>
      <c r="L2668" s="9" t="s">
        <v>443</v>
      </c>
      <c r="M2668" s="8"/>
    </row>
    <row r="2669" spans="1:13">
      <c r="A2669" s="14" t="s">
        <v>4059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>
      <c r="A2670" s="29" t="s">
        <v>4060</v>
      </c>
      <c r="B2670" s="67">
        <v>39109326812</v>
      </c>
      <c r="C2670" s="29" t="s">
        <v>4061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>
      <c r="A2671" s="71" t="s">
        <v>4062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292</v>
      </c>
      <c r="H2671" s="25">
        <v>42921</v>
      </c>
      <c r="I2671" s="8"/>
      <c r="J2671" s="8"/>
      <c r="K2671" s="8"/>
      <c r="L2671" s="9" t="s">
        <v>411</v>
      </c>
      <c r="M2671" s="8"/>
    </row>
    <row r="2672" spans="1:13">
      <c r="A2672" s="71" t="s">
        <v>4063</v>
      </c>
      <c r="B2672" s="67">
        <v>33211970819</v>
      </c>
      <c r="C2672" s="72" t="s">
        <v>4064</v>
      </c>
      <c r="D2672" s="69">
        <v>22546816802</v>
      </c>
      <c r="E2672" s="9">
        <v>810</v>
      </c>
      <c r="F2672" s="25">
        <v>42915</v>
      </c>
      <c r="G2672" s="70" t="s">
        <v>292</v>
      </c>
      <c r="H2672" s="25">
        <v>42921</v>
      </c>
      <c r="I2672" s="8"/>
      <c r="J2672" s="8"/>
      <c r="K2672" s="8"/>
      <c r="L2672" s="9" t="s">
        <v>411</v>
      </c>
      <c r="M2672" s="8"/>
    </row>
    <row r="2673" spans="1:13">
      <c r="A2673" s="71" t="s">
        <v>4065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292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>
      <c r="A2674" s="29" t="s">
        <v>4066</v>
      </c>
      <c r="B2674" s="67">
        <v>45170442890</v>
      </c>
      <c r="C2674" s="18" t="s">
        <v>402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>
      <c r="A2675" s="15" t="s">
        <v>4067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292</v>
      </c>
      <c r="H2675" s="9"/>
      <c r="I2675" s="8"/>
      <c r="J2675" s="8"/>
      <c r="K2675" s="8"/>
      <c r="L2675" s="9">
        <v>232</v>
      </c>
      <c r="M2675" s="8"/>
    </row>
    <row r="2676" spans="1:13">
      <c r="A2676" s="71" t="s">
        <v>4068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292</v>
      </c>
      <c r="H2676" s="25">
        <v>43000</v>
      </c>
      <c r="I2676" s="8"/>
      <c r="J2676" s="8"/>
      <c r="K2676" s="8"/>
      <c r="L2676" s="8"/>
      <c r="M2676" s="8"/>
    </row>
    <row r="2677" spans="1:13">
      <c r="A2677" s="71" t="s">
        <v>4069</v>
      </c>
      <c r="B2677" s="67"/>
      <c r="C2677" s="71" t="s">
        <v>4070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>
      <c r="A2678" s="71" t="s">
        <v>4071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>
      <c r="A2679" s="29" t="s">
        <v>4072</v>
      </c>
      <c r="B2679" s="67"/>
      <c r="C2679" s="29" t="s">
        <v>402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>
      <c r="A2680" s="14" t="s">
        <v>4073</v>
      </c>
      <c r="B2680" s="67">
        <v>1846996490</v>
      </c>
      <c r="C2680" s="72" t="s">
        <v>4074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>
      <c r="A2681" s="71" t="s">
        <v>4075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292</v>
      </c>
      <c r="H2681" s="25">
        <v>43080</v>
      </c>
      <c r="I2681" s="8"/>
      <c r="J2681" s="8"/>
      <c r="K2681" s="8"/>
      <c r="L2681" s="8"/>
      <c r="M2681" s="8"/>
    </row>
    <row r="2682" spans="1:13">
      <c r="A2682" s="71" t="s">
        <v>4076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292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>
      <c r="A2683" s="71" t="s">
        <v>4077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292</v>
      </c>
      <c r="H2683" s="25">
        <v>43027</v>
      </c>
      <c r="I2683" s="8"/>
      <c r="J2683" s="8"/>
      <c r="K2683" s="8"/>
      <c r="L2683" s="9" t="s">
        <v>526</v>
      </c>
      <c r="M2683" s="8"/>
    </row>
    <row r="2684" spans="1:13">
      <c r="A2684" s="13" t="s">
        <v>4078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292</v>
      </c>
      <c r="H2684" s="25">
        <v>42979</v>
      </c>
      <c r="I2684" s="8"/>
      <c r="J2684" s="8"/>
      <c r="K2684" s="8"/>
      <c r="L2684" s="8"/>
      <c r="M2684" s="8"/>
    </row>
    <row r="2685" spans="1:13">
      <c r="A2685" s="29" t="s">
        <v>4079</v>
      </c>
      <c r="B2685" s="67"/>
      <c r="C2685" s="29" t="s">
        <v>402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>
      <c r="A2686" s="71" t="s">
        <v>4080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292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>
      <c r="A2687" s="72" t="s">
        <v>4081</v>
      </c>
      <c r="B2687" s="67">
        <v>18033634871</v>
      </c>
      <c r="C2687" s="72" t="s">
        <v>4082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>
      <c r="A2688" s="71" t="s">
        <v>4083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>
      <c r="A2689" s="96" t="s">
        <v>4084</v>
      </c>
      <c r="B2689" s="67">
        <v>16155105839</v>
      </c>
      <c r="C2689" s="72" t="s">
        <v>4085</v>
      </c>
      <c r="D2689" s="69">
        <v>53581717468</v>
      </c>
      <c r="E2689" s="9">
        <v>1359</v>
      </c>
      <c r="F2689" s="25">
        <v>43006</v>
      </c>
      <c r="G2689" s="70" t="s">
        <v>292</v>
      </c>
      <c r="H2689" s="25">
        <v>43011</v>
      </c>
      <c r="I2689" s="8"/>
      <c r="J2689" s="8"/>
      <c r="K2689" s="8"/>
      <c r="L2689" s="8"/>
      <c r="M2689" s="8"/>
    </row>
    <row r="2690" spans="1:13">
      <c r="A2690" s="13" t="s">
        <v>4086</v>
      </c>
      <c r="B2690" s="67">
        <v>33244692877</v>
      </c>
      <c r="C2690" s="72" t="s">
        <v>4087</v>
      </c>
      <c r="D2690" s="69">
        <v>7582246802</v>
      </c>
      <c r="E2690" s="9">
        <v>1417</v>
      </c>
      <c r="F2690" s="25">
        <v>43017</v>
      </c>
      <c r="G2690" s="70" t="s">
        <v>292</v>
      </c>
      <c r="H2690" s="25">
        <v>43027</v>
      </c>
      <c r="I2690" s="8"/>
      <c r="J2690" s="8"/>
      <c r="K2690" s="8"/>
      <c r="L2690" s="9" t="s">
        <v>526</v>
      </c>
      <c r="M2690" s="8"/>
    </row>
    <row r="2691" spans="1:13">
      <c r="A2691" s="71" t="s">
        <v>4088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>
      <c r="A2692" s="71" t="s">
        <v>4089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>
      <c r="A2693" s="71" t="s">
        <v>4090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>
      <c r="A2694" s="71" t="s">
        <v>4091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>
      <c r="A2695" s="73" t="s">
        <v>4092</v>
      </c>
      <c r="B2695" s="67">
        <v>8715634795</v>
      </c>
      <c r="C2695" s="72" t="s">
        <v>4093</v>
      </c>
      <c r="D2695" s="69">
        <v>30386378827</v>
      </c>
      <c r="E2695" s="9">
        <v>1106</v>
      </c>
      <c r="F2695" s="25">
        <v>42965</v>
      </c>
      <c r="G2695" s="70" t="s">
        <v>292</v>
      </c>
      <c r="H2695" s="25">
        <v>42978</v>
      </c>
      <c r="I2695" s="8"/>
      <c r="J2695" s="8"/>
      <c r="K2695" s="8"/>
      <c r="L2695" s="8"/>
      <c r="M2695" s="8"/>
    </row>
    <row r="2696" spans="1:13">
      <c r="A2696" s="13" t="s">
        <v>4094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292</v>
      </c>
      <c r="H2696" s="25">
        <v>43000</v>
      </c>
      <c r="I2696" s="8"/>
      <c r="J2696" s="8"/>
      <c r="K2696" s="8"/>
      <c r="L2696" s="8"/>
      <c r="M2696" s="8"/>
    </row>
    <row r="2697" spans="1:13">
      <c r="A2697" s="71" t="s">
        <v>4095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292</v>
      </c>
      <c r="H2697" s="25">
        <v>43011</v>
      </c>
      <c r="I2697" s="8"/>
      <c r="J2697" s="8"/>
      <c r="K2697" s="8"/>
      <c r="L2697" s="8"/>
      <c r="M2697" s="8"/>
    </row>
    <row r="2698" spans="1:13">
      <c r="A2698" s="71" t="s">
        <v>4096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>
      <c r="A2699" s="15" t="s">
        <v>4097</v>
      </c>
      <c r="B2699" s="67">
        <v>85941933517</v>
      </c>
      <c r="C2699" s="72" t="s">
        <v>4098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>
      <c r="A2700" s="71" t="s">
        <v>4099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>
      <c r="A2701" s="71" t="s">
        <v>4100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>
      <c r="A2702" s="29" t="s">
        <v>4101</v>
      </c>
      <c r="B2702" s="67"/>
      <c r="C2702" s="18" t="s">
        <v>402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>
      <c r="A2703" s="15" t="s">
        <v>4102</v>
      </c>
      <c r="B2703" s="67">
        <v>39766945845</v>
      </c>
      <c r="C2703" s="72" t="s">
        <v>4103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>
      <c r="A2704" s="15" t="s">
        <v>4104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292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>
      <c r="A2705" s="16" t="s">
        <v>4105</v>
      </c>
      <c r="B2705" s="67">
        <v>16374846826</v>
      </c>
      <c r="C2705" s="72" t="s">
        <v>4106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>
      <c r="A2706" s="71" t="s">
        <v>4107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>
      <c r="A2707" s="15" t="s">
        <v>4108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292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>
      <c r="A2708" s="71" t="s">
        <v>4109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292</v>
      </c>
      <c r="H2708" s="9"/>
      <c r="I2708" s="8"/>
      <c r="J2708" s="8"/>
      <c r="K2708" s="8"/>
      <c r="L2708" s="9" t="s">
        <v>671</v>
      </c>
      <c r="M2708" s="8"/>
    </row>
    <row r="2709" spans="1:13">
      <c r="A2709" s="71" t="s">
        <v>4110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292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>
      <c r="A2710" s="71" t="s">
        <v>4111</v>
      </c>
      <c r="B2710" s="67">
        <v>14337129898</v>
      </c>
      <c r="C2710" s="77" t="s">
        <v>4112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>
      <c r="A2711" s="13" t="s">
        <v>4113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292</v>
      </c>
      <c r="H2711" s="25">
        <v>42979</v>
      </c>
      <c r="I2711" s="8"/>
      <c r="J2711" s="8"/>
      <c r="K2711" s="8"/>
      <c r="L2711" s="8"/>
      <c r="M2711" s="8"/>
    </row>
    <row r="2712" spans="1:13">
      <c r="A2712" s="71" t="s">
        <v>4114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292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>
      <c r="A2713" s="71" t="s">
        <v>4115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>
      <c r="A2714" s="71" t="s">
        <v>4116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>
      <c r="A2715" s="71" t="s">
        <v>4117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292</v>
      </c>
      <c r="H2715" s="25">
        <v>43000</v>
      </c>
      <c r="I2715" s="8"/>
      <c r="J2715" s="8"/>
      <c r="K2715" s="8"/>
      <c r="L2715" s="8"/>
      <c r="M2715" s="8"/>
    </row>
    <row r="2716" spans="1:13">
      <c r="A2716" s="71" t="s">
        <v>4118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>
      <c r="A2717" s="71" t="s">
        <v>4119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>
      <c r="A2718" s="13" t="s">
        <v>4120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306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>
      <c r="A2719" s="71" t="s">
        <v>4121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292</v>
      </c>
      <c r="H2719" s="25">
        <v>43151</v>
      </c>
      <c r="I2719" s="8"/>
      <c r="J2719" s="8"/>
      <c r="K2719" s="8"/>
      <c r="L2719" s="8"/>
      <c r="M2719" s="8"/>
    </row>
    <row r="2720" spans="1:13">
      <c r="A2720" s="71" t="s">
        <v>4122</v>
      </c>
      <c r="B2720" s="67">
        <v>38482003844</v>
      </c>
      <c r="C2720" s="72" t="s">
        <v>4123</v>
      </c>
      <c r="D2720" s="69">
        <v>34337869840</v>
      </c>
      <c r="E2720" s="9">
        <v>117</v>
      </c>
      <c r="F2720" s="25">
        <v>43117</v>
      </c>
      <c r="G2720" s="70" t="s">
        <v>292</v>
      </c>
      <c r="H2720" s="25">
        <v>43151</v>
      </c>
      <c r="I2720" s="8"/>
      <c r="J2720" s="8"/>
      <c r="K2720" s="8"/>
      <c r="L2720" s="9" t="s">
        <v>443</v>
      </c>
      <c r="M2720" s="8"/>
    </row>
    <row r="2721" spans="1:13">
      <c r="A2721" s="71" t="s">
        <v>4124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>
      <c r="A2722" s="14" t="s">
        <v>4125</v>
      </c>
      <c r="B2722" s="67">
        <v>33079736818</v>
      </c>
      <c r="C2722" s="72" t="s">
        <v>4126</v>
      </c>
      <c r="D2722" s="69">
        <v>35642667807</v>
      </c>
      <c r="E2722" s="9">
        <v>262</v>
      </c>
      <c r="F2722" s="25">
        <v>43160</v>
      </c>
      <c r="G2722" s="70" t="s">
        <v>292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>
      <c r="A2723" s="15" t="s">
        <v>4127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>
      <c r="A2724" s="71" t="s">
        <v>4128</v>
      </c>
      <c r="B2724" s="67">
        <v>31620090813</v>
      </c>
      <c r="C2724" s="72" t="s">
        <v>4129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>
      <c r="A2725" s="71" t="s">
        <v>4130</v>
      </c>
      <c r="B2725" s="67">
        <v>39621579805</v>
      </c>
      <c r="C2725" s="77" t="s">
        <v>4131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>
      <c r="A2726" s="15" t="s">
        <v>4132</v>
      </c>
      <c r="B2726" s="67">
        <v>221267328</v>
      </c>
      <c r="C2726" s="72" t="s">
        <v>4133</v>
      </c>
      <c r="D2726" s="69">
        <v>98610830306</v>
      </c>
      <c r="E2726" s="9">
        <v>85</v>
      </c>
      <c r="F2726" s="25">
        <v>43109</v>
      </c>
      <c r="G2726" s="70" t="s">
        <v>292</v>
      </c>
      <c r="H2726" s="25">
        <v>43151</v>
      </c>
      <c r="I2726" s="8"/>
      <c r="J2726" s="8"/>
      <c r="K2726" s="8"/>
      <c r="L2726" s="8"/>
      <c r="M2726" s="8"/>
    </row>
    <row r="2727" spans="1:13">
      <c r="A2727" s="71" t="s">
        <v>4134</v>
      </c>
      <c r="B2727" s="67">
        <v>35706262888</v>
      </c>
      <c r="C2727" s="71" t="s">
        <v>4135</v>
      </c>
      <c r="D2727" s="69">
        <v>28992397836</v>
      </c>
      <c r="E2727" s="9">
        <v>292</v>
      </c>
      <c r="F2727" s="25">
        <v>43168</v>
      </c>
      <c r="G2727" s="9" t="s">
        <v>292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>
      <c r="A2728" s="71" t="s">
        <v>4136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292</v>
      </c>
      <c r="H2728" s="25">
        <v>42921</v>
      </c>
      <c r="I2728" s="8"/>
      <c r="J2728" s="8"/>
      <c r="K2728" s="8"/>
      <c r="L2728" s="9" t="s">
        <v>411</v>
      </c>
      <c r="M2728" s="8"/>
    </row>
    <row r="2729" spans="1:13">
      <c r="A2729" s="71" t="s">
        <v>4137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292</v>
      </c>
      <c r="H2729" s="25">
        <v>43011</v>
      </c>
      <c r="I2729" s="8"/>
      <c r="J2729" s="8"/>
      <c r="K2729" s="8"/>
      <c r="L2729" s="8"/>
      <c r="M2729" s="8"/>
    </row>
    <row r="2730" spans="1:13">
      <c r="A2730" s="14" t="s">
        <v>4138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>
      <c r="A2731" s="15" t="s">
        <v>4139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292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>
      <c r="A2732" s="71" t="s">
        <v>4140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>
      <c r="A2733" s="18" t="s">
        <v>4141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>
      <c r="A2734" s="32" t="s">
        <v>4142</v>
      </c>
      <c r="B2734" s="67">
        <v>34393827880</v>
      </c>
      <c r="C2734" s="72" t="s">
        <v>4143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>
      <c r="A2735" s="71" t="s">
        <v>4144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>
      <c r="A2736" s="71" t="s">
        <v>4145</v>
      </c>
      <c r="B2736" s="67">
        <v>35679630826</v>
      </c>
      <c r="C2736" s="72" t="s">
        <v>4146</v>
      </c>
      <c r="D2736" s="69">
        <v>34083542861</v>
      </c>
      <c r="E2736" s="9">
        <v>1752</v>
      </c>
      <c r="F2736" s="25">
        <v>43051</v>
      </c>
      <c r="G2736" s="70" t="s">
        <v>292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>
      <c r="A2737" s="18" t="s">
        <v>4147</v>
      </c>
      <c r="B2737" s="67">
        <v>34949006800</v>
      </c>
      <c r="C2737" s="18" t="s">
        <v>4148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>
      <c r="A2738" s="15" t="s">
        <v>4149</v>
      </c>
      <c r="B2738" s="67">
        <v>1157524559</v>
      </c>
      <c r="C2738" s="72" t="s">
        <v>4150</v>
      </c>
      <c r="D2738" s="69">
        <v>1436524512</v>
      </c>
      <c r="E2738" s="9">
        <v>117</v>
      </c>
      <c r="F2738" s="25">
        <v>43117</v>
      </c>
      <c r="G2738" s="70" t="s">
        <v>298</v>
      </c>
      <c r="H2738" s="25">
        <v>43151</v>
      </c>
      <c r="I2738" s="8"/>
      <c r="J2738" s="8"/>
      <c r="K2738" s="8"/>
      <c r="L2738" s="9" t="s">
        <v>443</v>
      </c>
      <c r="M2738" s="8"/>
    </row>
    <row r="2739" spans="1:13">
      <c r="A2739" s="71" t="s">
        <v>4151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292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>
      <c r="A2740" s="71" t="s">
        <v>4152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292</v>
      </c>
      <c r="H2740" s="25">
        <v>42998</v>
      </c>
      <c r="I2740" s="8"/>
      <c r="J2740" s="8"/>
      <c r="K2740" s="8"/>
      <c r="L2740" s="8"/>
      <c r="M2740" s="8"/>
    </row>
    <row r="2741" spans="1:13">
      <c r="A2741" s="15" t="s">
        <v>4153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292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>
      <c r="A2742" s="29" t="s">
        <v>4154</v>
      </c>
      <c r="B2742" s="67">
        <v>21686263830</v>
      </c>
      <c r="C2742" s="29" t="s">
        <v>4155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>
      <c r="A2743" s="18" t="s">
        <v>4156</v>
      </c>
      <c r="B2743" s="67">
        <v>22497995800</v>
      </c>
      <c r="C2743" s="18" t="s">
        <v>4157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>
      <c r="A2744" s="15" t="s">
        <v>4158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292</v>
      </c>
      <c r="H2744" s="9"/>
      <c r="I2744" s="8"/>
      <c r="J2744" s="8"/>
      <c r="K2744" s="8"/>
      <c r="L2744" s="9">
        <v>232</v>
      </c>
      <c r="M2744" s="8"/>
    </row>
    <row r="2745" spans="1:13">
      <c r="A2745" s="29" t="s">
        <v>4159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>
      <c r="A2746" s="71" t="s">
        <v>4160</v>
      </c>
      <c r="B2746" s="67">
        <v>40291692877</v>
      </c>
      <c r="C2746" s="72" t="s">
        <v>4161</v>
      </c>
      <c r="D2746" s="69">
        <v>1566073367</v>
      </c>
      <c r="E2746" s="9">
        <v>810</v>
      </c>
      <c r="F2746" s="25">
        <v>42915</v>
      </c>
      <c r="G2746" s="70" t="s">
        <v>292</v>
      </c>
      <c r="H2746" s="25">
        <v>42921</v>
      </c>
      <c r="I2746" s="8"/>
      <c r="J2746" s="8"/>
      <c r="K2746" s="8"/>
      <c r="L2746" s="9" t="s">
        <v>411</v>
      </c>
      <c r="M2746" s="8"/>
    </row>
    <row r="2747" spans="1:13">
      <c r="A2747" s="72" t="s">
        <v>4162</v>
      </c>
      <c r="B2747" s="67">
        <v>11767064896</v>
      </c>
      <c r="C2747" s="72" t="s">
        <v>4163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>
      <c r="A2748" s="13" t="s">
        <v>4164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292</v>
      </c>
      <c r="H2748" s="25">
        <v>42979</v>
      </c>
      <c r="I2748" s="8"/>
      <c r="J2748" s="8"/>
      <c r="K2748" s="8"/>
      <c r="L2748" s="8"/>
      <c r="M2748" s="8"/>
    </row>
    <row r="2749" spans="1:13">
      <c r="A2749" s="71" t="s">
        <v>4165</v>
      </c>
      <c r="B2749" s="67">
        <v>49009893391</v>
      </c>
      <c r="C2749" s="72" t="s">
        <v>4166</v>
      </c>
      <c r="D2749" s="69">
        <v>37349813368</v>
      </c>
      <c r="E2749" s="9">
        <v>292</v>
      </c>
      <c r="F2749" s="25">
        <v>43168</v>
      </c>
      <c r="G2749" s="70" t="s">
        <v>292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>
      <c r="A2750" s="17" t="s">
        <v>4167</v>
      </c>
      <c r="B2750" s="67">
        <v>92361587572</v>
      </c>
      <c r="C2750" s="72" t="s">
        <v>4168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>
      <c r="A2751" s="71" t="s">
        <v>4169</v>
      </c>
      <c r="B2751" s="67">
        <v>17487435890</v>
      </c>
      <c r="C2751" s="72" t="s">
        <v>4170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>
      <c r="A2752" s="71" t="s">
        <v>4171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292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>
      <c r="A2753" s="14" t="s">
        <v>4172</v>
      </c>
      <c r="B2753" s="67">
        <v>86815121615</v>
      </c>
      <c r="C2753" s="72" t="s">
        <v>4173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>
      <c r="A2754" s="14" t="s">
        <v>4174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>
      <c r="A2755" s="18" t="s">
        <v>4175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>
      <c r="A2756" s="71" t="s">
        <v>4176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292</v>
      </c>
      <c r="H2756" s="25">
        <v>42921</v>
      </c>
      <c r="I2756" s="8"/>
      <c r="J2756" s="8"/>
      <c r="K2756" s="8"/>
      <c r="L2756" s="9" t="s">
        <v>411</v>
      </c>
      <c r="M2756" s="8"/>
    </row>
    <row r="2757" spans="1:13">
      <c r="A2757" s="72" t="s">
        <v>4177</v>
      </c>
      <c r="B2757" s="67">
        <v>25261161800</v>
      </c>
      <c r="C2757" s="72" t="s">
        <v>4178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>
      <c r="A2758" s="15" t="s">
        <v>4179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292</v>
      </c>
      <c r="H2758" s="25">
        <v>43151</v>
      </c>
      <c r="I2758" s="8"/>
      <c r="J2758" s="8"/>
      <c r="K2758" s="8"/>
      <c r="L2758" s="9" t="s">
        <v>443</v>
      </c>
      <c r="M2758" s="8"/>
    </row>
    <row r="2759" spans="1:13">
      <c r="A2759" s="71" t="s">
        <v>4180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292</v>
      </c>
      <c r="H2759" s="25">
        <v>42979</v>
      </c>
      <c r="I2759" s="8"/>
      <c r="J2759" s="8"/>
      <c r="K2759" s="8"/>
      <c r="L2759" s="8"/>
      <c r="M2759" s="8"/>
    </row>
    <row r="2760" spans="1:13">
      <c r="A2760" s="71" t="s">
        <v>4181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>
      <c r="A2761" s="15" t="s">
        <v>4182</v>
      </c>
      <c r="B2761" s="67">
        <v>22638604879</v>
      </c>
      <c r="C2761" s="72" t="s">
        <v>4183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>
      <c r="A2762" s="19" t="s">
        <v>4184</v>
      </c>
      <c r="B2762" s="67" t="s">
        <v>4185</v>
      </c>
      <c r="C2762" s="18" t="s">
        <v>4186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>
      <c r="A2763" s="71" t="s">
        <v>4187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>
      <c r="A2764" s="73" t="s">
        <v>4188</v>
      </c>
      <c r="B2764" s="67">
        <v>32880462886</v>
      </c>
      <c r="C2764" s="72" t="s">
        <v>4189</v>
      </c>
      <c r="D2764" s="69">
        <v>30845711806</v>
      </c>
      <c r="E2764" s="9">
        <v>810</v>
      </c>
      <c r="F2764" s="25">
        <v>42915</v>
      </c>
      <c r="G2764" s="70" t="s">
        <v>292</v>
      </c>
      <c r="H2764" s="25">
        <v>42921</v>
      </c>
      <c r="I2764" s="8"/>
      <c r="J2764" s="8"/>
      <c r="K2764" s="8"/>
      <c r="L2764" s="9" t="s">
        <v>411</v>
      </c>
      <c r="M2764" s="8"/>
    </row>
    <row r="2765" spans="1:13">
      <c r="A2765" s="29" t="s">
        <v>4190</v>
      </c>
      <c r="B2765" s="67">
        <v>31228758883</v>
      </c>
      <c r="C2765" s="29" t="s">
        <v>4191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>
      <c r="A2766" s="71" t="s">
        <v>4192</v>
      </c>
      <c r="B2766" s="67">
        <v>40443218846</v>
      </c>
      <c r="C2766" s="88" t="s">
        <v>4193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>
      <c r="A2767" s="14" t="s">
        <v>4194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292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>
      <c r="A2768" s="71" t="s">
        <v>4195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298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>
      <c r="A2769" s="29" t="s">
        <v>4196</v>
      </c>
      <c r="B2769" s="67"/>
      <c r="C2769" s="29" t="s">
        <v>4197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>
      <c r="A2770" s="71" t="s">
        <v>4198</v>
      </c>
      <c r="B2770" s="67">
        <v>34462426860</v>
      </c>
      <c r="C2770" s="72" t="s">
        <v>4199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572</v>
      </c>
      <c r="M2770" s="8"/>
    </row>
    <row r="2771" spans="1:13">
      <c r="A2771" s="15" t="s">
        <v>4200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292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>
      <c r="A2772" s="71" t="s">
        <v>4201</v>
      </c>
      <c r="B2772" s="67">
        <v>39600488827</v>
      </c>
      <c r="C2772" s="72" t="s">
        <v>4202</v>
      </c>
      <c r="D2772" s="69">
        <v>34795746885</v>
      </c>
      <c r="E2772" s="9">
        <v>292</v>
      </c>
      <c r="F2772" s="25">
        <v>43168</v>
      </c>
      <c r="G2772" s="70" t="s">
        <v>292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>
      <c r="A2773" s="71" t="s">
        <v>4203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>
      <c r="A2774" s="71" t="s">
        <v>4204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306</v>
      </c>
      <c r="H2774" s="25">
        <v>42921</v>
      </c>
      <c r="I2774" s="8"/>
      <c r="J2774" s="8"/>
      <c r="K2774" s="8"/>
      <c r="L2774" s="9" t="s">
        <v>411</v>
      </c>
      <c r="M2774" s="8"/>
    </row>
    <row r="2775" spans="1:13">
      <c r="A2775" s="71" t="s">
        <v>4205</v>
      </c>
      <c r="B2775" s="67">
        <v>32768872822</v>
      </c>
      <c r="C2775" s="72" t="s">
        <v>4206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>
      <c r="A2776" s="71" t="s">
        <v>4207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292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>
      <c r="A2777" s="71" t="s">
        <v>4208</v>
      </c>
      <c r="B2777" s="67">
        <v>85942588104</v>
      </c>
      <c r="C2777" s="88" t="s">
        <v>4209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>
      <c r="A2778" s="29" t="s">
        <v>4210</v>
      </c>
      <c r="B2778" s="67"/>
      <c r="C2778" s="29" t="s">
        <v>402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>
      <c r="A2779" s="71" t="s">
        <v>4211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292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>
      <c r="A2780" s="13" t="s">
        <v>4212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292</v>
      </c>
      <c r="H2780" s="25">
        <v>42979</v>
      </c>
      <c r="I2780" s="8"/>
      <c r="J2780" s="8"/>
      <c r="K2780" s="8"/>
      <c r="L2780" s="8"/>
      <c r="M2780" s="8"/>
    </row>
    <row r="2781" spans="1:13">
      <c r="A2781" s="71" t="s">
        <v>4213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>
      <c r="A2782" s="18" t="s">
        <v>4214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>
      <c r="A2783" s="13" t="s">
        <v>4215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292</v>
      </c>
      <c r="H2783" s="25">
        <v>42979</v>
      </c>
      <c r="I2783" s="8"/>
      <c r="J2783" s="8"/>
      <c r="K2783" s="8"/>
      <c r="L2783" s="8"/>
      <c r="M2783" s="8"/>
    </row>
    <row r="2784" spans="1:13">
      <c r="A2784" s="13" t="s">
        <v>4216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292</v>
      </c>
      <c r="H2784" s="25">
        <v>42998</v>
      </c>
      <c r="I2784" s="8"/>
      <c r="J2784" s="8"/>
      <c r="K2784" s="8"/>
      <c r="L2784" s="8"/>
      <c r="M2784" s="8"/>
    </row>
    <row r="2785" spans="1:13">
      <c r="A2785" s="14" t="s">
        <v>4217</v>
      </c>
      <c r="B2785" s="67">
        <v>30834349876</v>
      </c>
      <c r="C2785" s="72" t="s">
        <v>4218</v>
      </c>
      <c r="D2785" s="69">
        <v>58355561520</v>
      </c>
      <c r="E2785" s="9">
        <v>262</v>
      </c>
      <c r="F2785" s="25">
        <v>43160</v>
      </c>
      <c r="G2785" s="70" t="s">
        <v>292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>
      <c r="A2786" s="14" t="s">
        <v>4219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292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>
      <c r="A2787" s="71" t="s">
        <v>4220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298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>
      <c r="A2788" s="71" t="s">
        <v>4221</v>
      </c>
      <c r="B2788" s="67">
        <v>22682142818</v>
      </c>
      <c r="C2788" s="72" t="s">
        <v>3021</v>
      </c>
      <c r="D2788" s="69">
        <v>22853401847</v>
      </c>
      <c r="E2788" s="9">
        <v>117</v>
      </c>
      <c r="F2788" s="25">
        <v>43117</v>
      </c>
      <c r="G2788" s="70" t="s">
        <v>292</v>
      </c>
      <c r="H2788" s="25">
        <v>43151</v>
      </c>
      <c r="I2788" s="8"/>
      <c r="J2788" s="8"/>
      <c r="K2788" s="8"/>
      <c r="L2788" s="9" t="s">
        <v>443</v>
      </c>
      <c r="M2788" s="8"/>
    </row>
    <row r="2789" spans="1:13">
      <c r="A2789" s="71" t="s">
        <v>4222</v>
      </c>
      <c r="B2789" s="67">
        <v>32700235886</v>
      </c>
      <c r="C2789" s="72" t="s">
        <v>4223</v>
      </c>
      <c r="D2789" s="69">
        <v>30542314886</v>
      </c>
      <c r="E2789" s="9">
        <v>292</v>
      </c>
      <c r="F2789" s="25">
        <v>43168</v>
      </c>
      <c r="G2789" s="70" t="s">
        <v>292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>
      <c r="A2790" s="71" t="s">
        <v>4224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>
      <c r="A2791" s="71" t="s">
        <v>4225</v>
      </c>
      <c r="B2791" s="67">
        <v>12487731877</v>
      </c>
      <c r="C2791" s="72" t="s">
        <v>4226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>
      <c r="A2792" s="71" t="s">
        <v>4227</v>
      </c>
      <c r="B2792" s="67" t="s">
        <v>4228</v>
      </c>
      <c r="C2792" s="88" t="s">
        <v>4229</v>
      </c>
      <c r="D2792" s="69" t="s">
        <v>4230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>
      <c r="A2793" s="71" t="s">
        <v>4231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292</v>
      </c>
      <c r="H2793" s="25">
        <v>43000</v>
      </c>
      <c r="I2793" s="8"/>
      <c r="J2793" s="8"/>
      <c r="K2793" s="8"/>
      <c r="L2793" s="8"/>
      <c r="M2793" s="8"/>
    </row>
    <row r="2794" spans="1:13">
      <c r="A2794" s="71" t="s">
        <v>4232</v>
      </c>
      <c r="B2794" s="67">
        <v>35705436840</v>
      </c>
      <c r="C2794" s="88" t="s">
        <v>4233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>
      <c r="A2795" s="73" t="s">
        <v>4234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306</v>
      </c>
      <c r="H2795" s="25">
        <v>43024</v>
      </c>
      <c r="I2795" s="8"/>
      <c r="J2795" s="8"/>
      <c r="K2795" s="8"/>
      <c r="L2795" s="8"/>
      <c r="M2795" s="8"/>
    </row>
    <row r="2796" spans="1:13">
      <c r="A2796" s="15" t="s">
        <v>4235</v>
      </c>
      <c r="B2796" s="67">
        <v>34086913801</v>
      </c>
      <c r="C2796" s="72" t="s">
        <v>4236</v>
      </c>
      <c r="D2796" s="69">
        <v>31013050800</v>
      </c>
      <c r="E2796" s="9">
        <v>229</v>
      </c>
      <c r="F2796" s="25">
        <v>43151</v>
      </c>
      <c r="G2796" s="70" t="s">
        <v>292</v>
      </c>
      <c r="H2796" s="9"/>
      <c r="I2796" s="8"/>
      <c r="J2796" s="8"/>
      <c r="K2796" s="8"/>
      <c r="L2796" s="9">
        <v>232</v>
      </c>
      <c r="M2796" s="8"/>
    </row>
    <row r="2797" spans="1:13">
      <c r="A2797" s="71" t="s">
        <v>4237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292</v>
      </c>
      <c r="H2797" s="25">
        <v>42979</v>
      </c>
      <c r="I2797" s="8"/>
      <c r="J2797" s="8"/>
      <c r="K2797" s="8"/>
      <c r="L2797" s="8"/>
      <c r="M2797" s="8"/>
    </row>
    <row r="2798" spans="1:13">
      <c r="A2798" s="71" t="s">
        <v>4238</v>
      </c>
      <c r="B2798" s="67">
        <v>24648996828</v>
      </c>
      <c r="C2798" s="72" t="s">
        <v>4239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>
      <c r="A2799" s="73" t="s">
        <v>4240</v>
      </c>
      <c r="B2799" s="67">
        <v>87445824472</v>
      </c>
      <c r="C2799" s="72" t="s">
        <v>4241</v>
      </c>
      <c r="D2799" s="69">
        <v>30439764874</v>
      </c>
      <c r="E2799" s="9">
        <v>1417</v>
      </c>
      <c r="F2799" s="25">
        <v>43017</v>
      </c>
      <c r="G2799" s="70" t="s">
        <v>292</v>
      </c>
      <c r="H2799" s="25">
        <v>43027</v>
      </c>
      <c r="I2799" s="8"/>
      <c r="J2799" s="8"/>
      <c r="K2799" s="8"/>
      <c r="L2799" s="9" t="s">
        <v>526</v>
      </c>
      <c r="M2799" s="8"/>
    </row>
    <row r="2800" spans="1:13">
      <c r="A2800" s="71" t="s">
        <v>4242</v>
      </c>
      <c r="B2800" s="67">
        <v>25630230840</v>
      </c>
      <c r="C2800" s="77" t="s">
        <v>4243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572</v>
      </c>
      <c r="M2800" s="8"/>
    </row>
    <row r="2801" spans="1:13">
      <c r="A2801" s="71" t="s">
        <v>4244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292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>
      <c r="A2802" s="71" t="s">
        <v>4245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292</v>
      </c>
      <c r="H2802" s="25">
        <v>43027</v>
      </c>
      <c r="I2802" s="8"/>
      <c r="J2802" s="8"/>
      <c r="K2802" s="8"/>
      <c r="L2802" s="9" t="s">
        <v>526</v>
      </c>
      <c r="M2802" s="8"/>
    </row>
    <row r="2803" spans="1:13">
      <c r="A2803" s="71" t="s">
        <v>4246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>
      <c r="A2804" s="73" t="s">
        <v>4247</v>
      </c>
      <c r="B2804" s="67">
        <v>17128618830</v>
      </c>
      <c r="C2804" s="72" t="s">
        <v>4248</v>
      </c>
      <c r="D2804" s="69">
        <v>69305315534</v>
      </c>
      <c r="E2804" s="9">
        <v>810</v>
      </c>
      <c r="F2804" s="25">
        <v>42915</v>
      </c>
      <c r="G2804" s="70" t="s">
        <v>298</v>
      </c>
      <c r="H2804" s="25">
        <v>42921</v>
      </c>
      <c r="I2804" s="8"/>
      <c r="J2804" s="8"/>
      <c r="K2804" s="8"/>
      <c r="L2804" s="9" t="s">
        <v>411</v>
      </c>
      <c r="M2804" s="8"/>
    </row>
    <row r="2805" spans="1:13">
      <c r="A2805" s="71" t="s">
        <v>4249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>
      <c r="A2806" s="71" t="s">
        <v>4250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>
      <c r="A2807" s="18" t="s">
        <v>4251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>
      <c r="A2808" s="29" t="s">
        <v>4252</v>
      </c>
      <c r="B2808" s="67">
        <v>79572421468</v>
      </c>
      <c r="C2808" s="29" t="s">
        <v>4253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>
      <c r="A2809" s="71" t="s">
        <v>4254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292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>
      <c r="A2810" s="71" t="s">
        <v>4255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>
      <c r="A2811" s="71" t="s">
        <v>4256</v>
      </c>
      <c r="B2811" s="67">
        <v>44518427866</v>
      </c>
      <c r="C2811" s="72" t="s">
        <v>4257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>
      <c r="A2812" s="71" t="s">
        <v>4258</v>
      </c>
      <c r="B2812" s="67">
        <v>35625515840</v>
      </c>
      <c r="C2812" s="72" t="s">
        <v>4259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>
      <c r="A2813" s="15" t="s">
        <v>4260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>
      <c r="A2814" s="71" t="s">
        <v>4261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572</v>
      </c>
      <c r="M2814" s="8"/>
    </row>
    <row r="2815" spans="1:13">
      <c r="A2815" s="18" t="s">
        <v>4262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>
      <c r="A2816" s="71" t="s">
        <v>4263</v>
      </c>
      <c r="B2816" s="67">
        <v>40663707803</v>
      </c>
      <c r="C2816" s="72" t="s">
        <v>4264</v>
      </c>
      <c r="D2816" s="69">
        <v>35138540807</v>
      </c>
      <c r="E2816" s="9">
        <v>262</v>
      </c>
      <c r="F2816" s="25">
        <v>43160</v>
      </c>
      <c r="G2816" s="70" t="s">
        <v>292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>
      <c r="A2817" s="71" t="s">
        <v>4265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>
      <c r="A2818" s="71" t="s">
        <v>4266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>
      <c r="A2819" s="13" t="s">
        <v>4267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292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>
      <c r="A2820" s="71" t="s">
        <v>4268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292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>
      <c r="A2821" s="29" t="s">
        <v>4269</v>
      </c>
      <c r="B2821" s="67"/>
      <c r="C2821" s="29" t="s">
        <v>4270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>
      <c r="A2822" s="71" t="s">
        <v>4271</v>
      </c>
      <c r="B2822" s="67">
        <v>40874659850</v>
      </c>
      <c r="C2822" s="77" t="s">
        <v>4272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572</v>
      </c>
      <c r="M2822" s="8"/>
    </row>
    <row r="2823" spans="1:13">
      <c r="A2823" s="29" t="s">
        <v>4273</v>
      </c>
      <c r="B2823" s="67"/>
      <c r="C2823" s="29" t="s">
        <v>4274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>
      <c r="A2824" s="71" t="s">
        <v>4275</v>
      </c>
      <c r="B2824" s="67">
        <v>37028047814</v>
      </c>
      <c r="C2824" s="72" t="s">
        <v>4276</v>
      </c>
      <c r="D2824" s="69">
        <v>34812554896</v>
      </c>
      <c r="E2824" s="9">
        <v>1824</v>
      </c>
      <c r="F2824" s="25">
        <v>43091</v>
      </c>
      <c r="G2824" s="70" t="s">
        <v>292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>
      <c r="A2825" s="16" t="s">
        <v>4277</v>
      </c>
      <c r="B2825" s="67">
        <v>10774591650</v>
      </c>
      <c r="C2825" s="72" t="s">
        <v>4278</v>
      </c>
      <c r="D2825" s="69">
        <v>33230795822</v>
      </c>
      <c r="E2825" s="9">
        <v>292</v>
      </c>
      <c r="F2825" s="25">
        <v>43168</v>
      </c>
      <c r="G2825" s="70" t="s">
        <v>292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>
      <c r="A2826" s="72" t="s">
        <v>4279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292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>
      <c r="A2827" s="18" t="s">
        <v>4280</v>
      </c>
      <c r="B2827" s="67">
        <v>42779099810</v>
      </c>
      <c r="C2827" s="18" t="s">
        <v>4281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>
      <c r="A2828" s="29" t="s">
        <v>4282</v>
      </c>
      <c r="B2828" s="67">
        <v>50748310835</v>
      </c>
      <c r="C2828" s="18" t="s">
        <v>4283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>
      <c r="A2829" s="71" t="s">
        <v>4284</v>
      </c>
      <c r="B2829" s="67">
        <v>42651266850</v>
      </c>
      <c r="C2829" s="72" t="s">
        <v>4285</v>
      </c>
      <c r="D2829" s="69">
        <v>3580715429</v>
      </c>
      <c r="E2829" s="9">
        <v>1350</v>
      </c>
      <c r="F2829" s="25">
        <v>43006</v>
      </c>
      <c r="G2829" s="70" t="s">
        <v>292</v>
      </c>
      <c r="H2829" s="25">
        <v>43011</v>
      </c>
      <c r="I2829" s="8"/>
      <c r="J2829" s="8"/>
      <c r="K2829" s="8"/>
      <c r="L2829" s="8"/>
      <c r="M2829" s="8"/>
    </row>
    <row r="2830" spans="1:13">
      <c r="A2830" s="71" t="s">
        <v>4286</v>
      </c>
      <c r="B2830" s="67">
        <v>36474824808</v>
      </c>
      <c r="C2830" s="72" t="s">
        <v>4287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>
      <c r="A2831" s="15" t="s">
        <v>4288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>
      <c r="A2832" s="73" t="s">
        <v>4289</v>
      </c>
      <c r="B2832" s="67">
        <v>22034628845</v>
      </c>
      <c r="C2832" s="72" t="s">
        <v>4290</v>
      </c>
      <c r="D2832" s="69">
        <v>26990288515</v>
      </c>
      <c r="E2832" s="9">
        <v>1555</v>
      </c>
      <c r="F2832" s="25">
        <v>43049</v>
      </c>
      <c r="G2832" s="70" t="s">
        <v>292</v>
      </c>
      <c r="H2832" s="9"/>
      <c r="I2832" s="8"/>
      <c r="J2832" s="8"/>
      <c r="K2832" s="8"/>
      <c r="L2832" s="9" t="s">
        <v>671</v>
      </c>
      <c r="M2832" s="8"/>
    </row>
    <row r="2833" spans="1:13">
      <c r="A2833" s="71" t="s">
        <v>4291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>
      <c r="A2834" s="71" t="s">
        <v>4292</v>
      </c>
      <c r="B2834" s="67">
        <v>10782475876</v>
      </c>
      <c r="C2834" s="72" t="s">
        <v>4293</v>
      </c>
      <c r="D2834" s="69">
        <v>616947895</v>
      </c>
      <c r="E2834" s="9">
        <v>1214</v>
      </c>
      <c r="F2834" s="25">
        <v>42989</v>
      </c>
      <c r="G2834" s="70" t="s">
        <v>292</v>
      </c>
      <c r="H2834" s="25">
        <v>43000</v>
      </c>
      <c r="I2834" s="8"/>
      <c r="J2834" s="8"/>
      <c r="K2834" s="8"/>
      <c r="L2834" s="8"/>
      <c r="M2834" s="8"/>
    </row>
    <row r="2835" spans="1:13">
      <c r="A2835" s="13" t="s">
        <v>4294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292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>
      <c r="A2836" s="29" t="s">
        <v>4295</v>
      </c>
      <c r="B2836" s="67"/>
      <c r="C2836" s="18" t="s">
        <v>402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>
      <c r="A2837" s="73" t="s">
        <v>4296</v>
      </c>
      <c r="B2837" s="67">
        <v>42151049809</v>
      </c>
      <c r="C2837" s="68" t="s">
        <v>4297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>
      <c r="A2838" s="18" t="s">
        <v>4298</v>
      </c>
      <c r="B2838" s="67">
        <v>38785656828</v>
      </c>
      <c r="C2838" s="18" t="s">
        <v>4299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>
      <c r="A2839" s="71" t="s">
        <v>4300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>
      <c r="A2840" s="14" t="s">
        <v>4301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292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>
      <c r="A2841" s="71" t="s">
        <v>4302</v>
      </c>
      <c r="B2841" s="67">
        <v>22815009854</v>
      </c>
      <c r="C2841" s="77" t="s">
        <v>4303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>
      <c r="A2842" s="71" t="s">
        <v>4304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298</v>
      </c>
      <c r="H2842" s="25">
        <v>43000</v>
      </c>
      <c r="I2842" s="8"/>
      <c r="J2842" s="8"/>
      <c r="K2842" s="8"/>
      <c r="L2842" s="8"/>
      <c r="M2842" s="8"/>
    </row>
    <row r="2843" spans="1:13">
      <c r="A2843" s="18" t="s">
        <v>4305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>
      <c r="A2844" s="14" t="s">
        <v>4306</v>
      </c>
      <c r="B2844" s="67">
        <v>40506629813</v>
      </c>
      <c r="C2844" s="72" t="s">
        <v>4307</v>
      </c>
      <c r="D2844" s="69">
        <v>32485329800</v>
      </c>
      <c r="E2844" s="9">
        <v>262</v>
      </c>
      <c r="F2844" s="25">
        <v>43160</v>
      </c>
      <c r="G2844" s="70" t="s">
        <v>292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>
      <c r="A2845" s="13" t="s">
        <v>4308</v>
      </c>
      <c r="B2845" s="67">
        <v>31504729897</v>
      </c>
      <c r="C2845" s="68" t="s">
        <v>4309</v>
      </c>
      <c r="D2845" s="69">
        <v>24816878840</v>
      </c>
      <c r="E2845" s="9">
        <v>1214</v>
      </c>
      <c r="F2845" s="25">
        <v>42989</v>
      </c>
      <c r="G2845" s="70" t="s">
        <v>292</v>
      </c>
      <c r="H2845" s="25">
        <v>43000</v>
      </c>
      <c r="I2845" s="8"/>
      <c r="J2845" s="8"/>
      <c r="K2845" s="8"/>
      <c r="L2845" s="8"/>
      <c r="M2845" s="8"/>
    </row>
    <row r="2846" spans="1:13">
      <c r="A2846" s="13" t="s">
        <v>4310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292</v>
      </c>
      <c r="H2846" s="25">
        <v>42979</v>
      </c>
      <c r="I2846" s="8"/>
      <c r="J2846" s="8"/>
      <c r="K2846" s="8"/>
      <c r="L2846" s="8"/>
      <c r="M2846" s="8"/>
    </row>
    <row r="2847" spans="1:13">
      <c r="A2847" s="71" t="s">
        <v>4311</v>
      </c>
      <c r="B2847" s="67">
        <v>12925287700</v>
      </c>
      <c r="C2847" s="72" t="s">
        <v>4312</v>
      </c>
      <c r="D2847" s="69">
        <v>37253983807</v>
      </c>
      <c r="E2847" s="9">
        <v>1752</v>
      </c>
      <c r="F2847" s="25">
        <v>43051</v>
      </c>
      <c r="G2847" s="70" t="s">
        <v>292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>
      <c r="A2848" s="71" t="s">
        <v>4313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572</v>
      </c>
      <c r="M2848" s="8"/>
    </row>
    <row r="2849" spans="1:13">
      <c r="A2849" s="71" t="s">
        <v>4314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292</v>
      </c>
      <c r="H2849" s="25">
        <v>43000</v>
      </c>
      <c r="I2849" s="8"/>
      <c r="J2849" s="8"/>
      <c r="K2849" s="8"/>
      <c r="L2849" s="8"/>
      <c r="M2849" s="8"/>
    </row>
    <row r="2850" spans="1:13">
      <c r="A2850" s="71" t="s">
        <v>4315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292</v>
      </c>
      <c r="H2850" s="25">
        <v>43000</v>
      </c>
      <c r="I2850" s="8"/>
      <c r="J2850" s="8"/>
      <c r="K2850" s="8"/>
      <c r="L2850" s="8"/>
      <c r="M2850" s="8"/>
    </row>
    <row r="2851" spans="1:13">
      <c r="A2851" s="71" t="s">
        <v>4316</v>
      </c>
      <c r="B2851" s="67">
        <v>26735743873</v>
      </c>
      <c r="C2851" s="72" t="s">
        <v>4317</v>
      </c>
      <c r="D2851" s="69">
        <v>14913845810</v>
      </c>
      <c r="E2851" s="9">
        <v>1214</v>
      </c>
      <c r="F2851" s="25">
        <v>42989</v>
      </c>
      <c r="G2851" s="70" t="s">
        <v>298</v>
      </c>
      <c r="H2851" s="25">
        <v>43000</v>
      </c>
      <c r="I2851" s="8"/>
      <c r="J2851" s="8"/>
      <c r="K2851" s="8"/>
      <c r="L2851" s="8"/>
      <c r="M2851" s="8"/>
    </row>
    <row r="2852" spans="1:13">
      <c r="A2852" s="71" t="s">
        <v>4318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292</v>
      </c>
      <c r="H2852" s="25">
        <v>43000</v>
      </c>
      <c r="I2852" s="8"/>
      <c r="J2852" s="8"/>
      <c r="K2852" s="8"/>
      <c r="L2852" s="8"/>
      <c r="M2852" s="8"/>
    </row>
    <row r="2853" spans="1:13">
      <c r="A2853" s="13" t="s">
        <v>4319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292</v>
      </c>
      <c r="H2853" s="25">
        <v>42998</v>
      </c>
      <c r="I2853" s="8"/>
      <c r="J2853" s="8"/>
      <c r="K2853" s="8"/>
      <c r="L2853" s="8"/>
      <c r="M2853" s="8"/>
    </row>
    <row r="2854" spans="1:13">
      <c r="A2854" s="29" t="s">
        <v>4320</v>
      </c>
      <c r="B2854" s="67">
        <v>26193222863</v>
      </c>
      <c r="C2854" s="18" t="s">
        <v>4321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>
      <c r="A2855" s="71" t="s">
        <v>4322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>
      <c r="A2856" s="71" t="s">
        <v>4323</v>
      </c>
      <c r="B2856" s="67">
        <v>3381508890</v>
      </c>
      <c r="C2856" s="72" t="s">
        <v>4324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572</v>
      </c>
      <c r="M2856" s="8"/>
    </row>
    <row r="2857" spans="1:13">
      <c r="A2857" s="15" t="s">
        <v>4325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292</v>
      </c>
      <c r="H2857" s="9"/>
      <c r="I2857" s="8"/>
      <c r="J2857" s="8"/>
      <c r="K2857" s="8"/>
      <c r="L2857" s="9">
        <v>232</v>
      </c>
      <c r="M2857" s="8"/>
    </row>
    <row r="2858" spans="1:13">
      <c r="A2858" s="71" t="s">
        <v>4326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>
      <c r="A2859" s="71" t="s">
        <v>4327</v>
      </c>
      <c r="B2859" s="67">
        <v>11507771843</v>
      </c>
      <c r="C2859" s="72" t="s">
        <v>4328</v>
      </c>
      <c r="D2859" s="69">
        <v>6898979876</v>
      </c>
      <c r="E2859" s="9">
        <v>292</v>
      </c>
      <c r="F2859" s="25">
        <v>43168</v>
      </c>
      <c r="G2859" s="70" t="s">
        <v>292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>
      <c r="A2860" s="15" t="s">
        <v>4329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292</v>
      </c>
      <c r="H2860" s="25">
        <v>43151</v>
      </c>
      <c r="I2860" s="8"/>
      <c r="J2860" s="8"/>
      <c r="K2860" s="8"/>
      <c r="L2860" s="8"/>
      <c r="M2860" s="8"/>
    </row>
    <row r="2861" spans="1:13">
      <c r="A2861" s="71" t="s">
        <v>4330</v>
      </c>
      <c r="B2861" s="67">
        <v>42597970850</v>
      </c>
      <c r="C2861" s="72" t="s">
        <v>4331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>
      <c r="A2862" s="71" t="s">
        <v>4332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>
      <c r="A2863" s="29" t="s">
        <v>4333</v>
      </c>
      <c r="B2863" s="67"/>
      <c r="C2863" s="29" t="s">
        <v>4334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>
      <c r="A2864" s="15" t="s">
        <v>4335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292</v>
      </c>
      <c r="H2864" s="9"/>
      <c r="I2864" s="8"/>
      <c r="J2864" s="8"/>
      <c r="K2864" s="8"/>
      <c r="L2864" s="9">
        <v>232</v>
      </c>
      <c r="M2864" s="8"/>
    </row>
    <row r="2865" spans="1:13">
      <c r="A2865" s="71" t="s">
        <v>4336</v>
      </c>
      <c r="B2865" s="67">
        <v>48081983805</v>
      </c>
      <c r="C2865" s="77" t="s">
        <v>4337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>
      <c r="A2866" s="71" t="s">
        <v>4338</v>
      </c>
      <c r="B2866" s="67">
        <v>43249836826</v>
      </c>
      <c r="C2866" s="72" t="s">
        <v>4339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>
      <c r="A2867" s="71" t="s">
        <v>4340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292</v>
      </c>
      <c r="H2867" s="25">
        <v>43080</v>
      </c>
      <c r="I2867" s="8"/>
      <c r="J2867" s="8"/>
      <c r="K2867" s="8"/>
      <c r="L2867" s="8"/>
      <c r="M2867" s="8"/>
    </row>
    <row r="2868" spans="1:13">
      <c r="A2868" s="71" t="s">
        <v>4341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>
      <c r="A2869" s="72" t="s">
        <v>4342</v>
      </c>
      <c r="B2869" s="67">
        <v>11894872681</v>
      </c>
      <c r="C2869" s="72" t="s">
        <v>4343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>
      <c r="A2870" s="71" t="s">
        <v>4344</v>
      </c>
      <c r="B2870" s="67">
        <v>40155044885</v>
      </c>
      <c r="C2870" s="72" t="s">
        <v>4345</v>
      </c>
      <c r="D2870" s="69">
        <v>34935837888</v>
      </c>
      <c r="E2870" s="9">
        <v>292</v>
      </c>
      <c r="F2870" s="25">
        <v>43168</v>
      </c>
      <c r="G2870" s="9" t="s">
        <v>292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>
      <c r="A2871" s="73" t="s">
        <v>4346</v>
      </c>
      <c r="B2871" s="67">
        <v>35165262898</v>
      </c>
      <c r="C2871" s="68" t="s">
        <v>4347</v>
      </c>
      <c r="D2871" s="69">
        <v>34112749805</v>
      </c>
      <c r="E2871" s="9">
        <v>1241</v>
      </c>
      <c r="F2871" s="25">
        <v>42992</v>
      </c>
      <c r="G2871" s="70" t="s">
        <v>292</v>
      </c>
      <c r="H2871" s="25">
        <v>42998</v>
      </c>
      <c r="I2871" s="8"/>
      <c r="J2871" s="8"/>
      <c r="K2871" s="8"/>
      <c r="L2871" s="8"/>
      <c r="M2871" s="8"/>
    </row>
    <row r="2872" spans="1:13">
      <c r="A2872" s="71" t="s">
        <v>4348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292</v>
      </c>
      <c r="H2872" s="25">
        <v>43151</v>
      </c>
      <c r="I2872" s="8"/>
      <c r="J2872" s="8"/>
      <c r="K2872" s="8"/>
      <c r="L2872" s="9" t="s">
        <v>443</v>
      </c>
      <c r="M2872" s="8"/>
    </row>
    <row r="2873" spans="1:13">
      <c r="A2873" s="72" t="s">
        <v>4349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>
      <c r="A2874" s="71" t="s">
        <v>4350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292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>
      <c r="A2875" s="13" t="s">
        <v>4351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292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>
      <c r="A2876" s="15" t="s">
        <v>4352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292</v>
      </c>
      <c r="H2876" s="25">
        <v>43151</v>
      </c>
      <c r="I2876" s="8"/>
      <c r="J2876" s="8"/>
      <c r="K2876" s="8"/>
      <c r="L2876" s="8"/>
      <c r="M2876" s="8"/>
    </row>
    <row r="2877" spans="1:13">
      <c r="A2877" s="15" t="s">
        <v>4353</v>
      </c>
      <c r="B2877" s="67">
        <v>40770970885</v>
      </c>
      <c r="C2877" s="72" t="s">
        <v>4354</v>
      </c>
      <c r="D2877" s="69">
        <v>43652847890</v>
      </c>
      <c r="E2877" s="9">
        <v>117</v>
      </c>
      <c r="F2877" s="25">
        <v>43117</v>
      </c>
      <c r="G2877" s="70" t="s">
        <v>292</v>
      </c>
      <c r="H2877" s="25">
        <v>43151</v>
      </c>
      <c r="I2877" s="8"/>
      <c r="J2877" s="8"/>
      <c r="K2877" s="8"/>
      <c r="L2877" s="9" t="s">
        <v>443</v>
      </c>
      <c r="M2877" s="8"/>
    </row>
    <row r="2878" spans="1:13">
      <c r="A2878" s="29" t="s">
        <v>4355</v>
      </c>
      <c r="B2878" s="67"/>
      <c r="C2878" s="18" t="s">
        <v>402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>
      <c r="A2879" s="29" t="s">
        <v>4356</v>
      </c>
      <c r="B2879" s="67">
        <v>38462624800</v>
      </c>
      <c r="C2879" s="18" t="s">
        <v>402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>
      <c r="A2880" s="71" t="s">
        <v>4357</v>
      </c>
      <c r="B2880" s="67">
        <v>30942876890</v>
      </c>
      <c r="C2880" s="72" t="s">
        <v>4358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>
      <c r="A2881" s="15" t="s">
        <v>4359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292</v>
      </c>
      <c r="H2881" s="9"/>
      <c r="I2881" s="8"/>
      <c r="J2881" s="8"/>
      <c r="K2881" s="8"/>
      <c r="L2881" s="9">
        <v>232</v>
      </c>
      <c r="M2881" s="8"/>
    </row>
    <row r="2882" spans="1:13">
      <c r="A2882" s="71" t="s">
        <v>4360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292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>
      <c r="A2883" s="15" t="s">
        <v>4361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292</v>
      </c>
      <c r="H2883" s="25">
        <v>43151</v>
      </c>
      <c r="I2883" s="8"/>
      <c r="J2883" s="8"/>
      <c r="K2883" s="8"/>
      <c r="L2883" s="8"/>
      <c r="M2883" s="8"/>
    </row>
    <row r="2884" spans="1:13">
      <c r="A2884" s="72" t="s">
        <v>4362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>
      <c r="A2885" s="71" t="s">
        <v>4363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292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>
      <c r="A2886" s="71" t="s">
        <v>4364</v>
      </c>
      <c r="B2886" s="67">
        <v>28965520819</v>
      </c>
      <c r="C2886" s="72" t="s">
        <v>4365</v>
      </c>
      <c r="D2886" s="69">
        <v>8432372447</v>
      </c>
      <c r="E2886" s="9">
        <v>1824</v>
      </c>
      <c r="F2886" s="25">
        <v>43091</v>
      </c>
      <c r="G2886" s="70" t="s">
        <v>298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>
      <c r="A2887" s="71" t="s">
        <v>4366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>
      <c r="A2888" s="71" t="s">
        <v>4367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572</v>
      </c>
      <c r="M2888" s="8"/>
    </row>
    <row r="2889" spans="1:13">
      <c r="A2889" s="71" t="s">
        <v>4368</v>
      </c>
      <c r="B2889" s="67">
        <v>31336065818</v>
      </c>
      <c r="C2889" s="72" t="s">
        <v>4369</v>
      </c>
      <c r="D2889" s="69">
        <v>43264481804</v>
      </c>
      <c r="E2889" s="9">
        <v>1214</v>
      </c>
      <c r="F2889" s="25">
        <v>42989</v>
      </c>
      <c r="G2889" s="70" t="s">
        <v>292</v>
      </c>
      <c r="H2889" s="25">
        <v>43000</v>
      </c>
      <c r="I2889" s="8"/>
      <c r="J2889" s="8"/>
      <c r="K2889" s="8"/>
      <c r="L2889" s="8"/>
      <c r="M2889" s="8"/>
    </row>
    <row r="2890" spans="1:13">
      <c r="A2890" s="13" t="s">
        <v>4370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>
      <c r="A2891" s="71" t="s">
        <v>4371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292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>
      <c r="A2892" s="15" t="s">
        <v>4372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292</v>
      </c>
      <c r="H2892" s="9"/>
      <c r="I2892" s="8"/>
      <c r="J2892" s="8"/>
      <c r="K2892" s="8"/>
      <c r="L2892" s="9">
        <v>232</v>
      </c>
      <c r="M2892" s="8"/>
    </row>
    <row r="2893" spans="1:13">
      <c r="A2893" s="71" t="s">
        <v>4373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292</v>
      </c>
      <c r="H2893" s="25">
        <v>43027</v>
      </c>
      <c r="I2893" s="8"/>
      <c r="J2893" s="8"/>
      <c r="K2893" s="8"/>
      <c r="L2893" s="9" t="s">
        <v>775</v>
      </c>
      <c r="M2893" s="8"/>
    </row>
    <row r="2894" spans="1:13">
      <c r="A2894" s="15" t="s">
        <v>4374</v>
      </c>
      <c r="B2894" s="67">
        <v>2655794494</v>
      </c>
      <c r="C2894" s="72" t="s">
        <v>4375</v>
      </c>
      <c r="D2894" s="69">
        <v>96385081591</v>
      </c>
      <c r="E2894" s="9">
        <v>117</v>
      </c>
      <c r="F2894" s="25">
        <v>43117</v>
      </c>
      <c r="G2894" s="70" t="s">
        <v>292</v>
      </c>
      <c r="H2894" s="25">
        <v>43151</v>
      </c>
      <c r="I2894" s="8"/>
      <c r="J2894" s="8"/>
      <c r="K2894" s="8"/>
      <c r="L2894" s="9" t="s">
        <v>443</v>
      </c>
      <c r="M2894" s="8"/>
    </row>
    <row r="2895" spans="1:13">
      <c r="A2895" s="71" t="s">
        <v>4376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292</v>
      </c>
      <c r="H2895" s="25">
        <v>43027</v>
      </c>
      <c r="I2895" s="8"/>
      <c r="J2895" s="8"/>
      <c r="K2895" s="8"/>
      <c r="L2895" s="8"/>
      <c r="M2895" s="8"/>
    </row>
    <row r="2896" spans="1:13">
      <c r="A2896" s="71" t="s">
        <v>4377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292</v>
      </c>
      <c r="H2896" s="25">
        <v>42978</v>
      </c>
      <c r="I2896" s="8"/>
      <c r="J2896" s="8"/>
      <c r="K2896" s="8"/>
      <c r="L2896" s="8"/>
      <c r="M2896" s="8"/>
    </row>
    <row r="2897" spans="1:13">
      <c r="A2897" s="71" t="s">
        <v>4378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292</v>
      </c>
      <c r="H2897" s="9"/>
      <c r="I2897" s="9">
        <v>229</v>
      </c>
      <c r="J2897" s="25">
        <v>43151</v>
      </c>
      <c r="K2897" s="25">
        <v>43158</v>
      </c>
      <c r="L2897" s="9" t="s">
        <v>433</v>
      </c>
      <c r="M2897" s="25"/>
    </row>
    <row r="2898" spans="1:13">
      <c r="A2898" s="71" t="s">
        <v>4379</v>
      </c>
      <c r="B2898" s="67">
        <v>38085002809</v>
      </c>
      <c r="C2898" s="72" t="s">
        <v>4380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>
      <c r="A2899" s="71" t="s">
        <v>4381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292</v>
      </c>
      <c r="H2899" s="25">
        <v>43000</v>
      </c>
      <c r="I2899" s="8"/>
      <c r="J2899" s="8"/>
      <c r="K2899" s="8"/>
      <c r="L2899" s="8"/>
      <c r="M2899" s="8"/>
    </row>
    <row r="2900" spans="1:13">
      <c r="A2900" s="71" t="s">
        <v>4382</v>
      </c>
      <c r="B2900" s="67">
        <v>23357346877</v>
      </c>
      <c r="C2900" s="72" t="s">
        <v>4383</v>
      </c>
      <c r="D2900" s="69">
        <v>39917830880</v>
      </c>
      <c r="E2900" s="9">
        <v>1555</v>
      </c>
      <c r="F2900" s="25">
        <v>43049</v>
      </c>
      <c r="G2900" s="70" t="s">
        <v>292</v>
      </c>
      <c r="H2900" s="9"/>
      <c r="I2900" s="8"/>
      <c r="J2900" s="8"/>
      <c r="K2900" s="8"/>
      <c r="L2900" s="9" t="s">
        <v>671</v>
      </c>
      <c r="M2900" s="8"/>
    </row>
    <row r="2901" spans="1:13">
      <c r="A2901" s="71" t="s">
        <v>4384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>
      <c r="A2902" s="71" t="s">
        <v>4385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292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>
      <c r="A2903" s="71" t="s">
        <v>4386</v>
      </c>
      <c r="B2903" s="67">
        <v>33733642805</v>
      </c>
      <c r="C2903" s="72" t="s">
        <v>4387</v>
      </c>
      <c r="D2903" s="69">
        <v>1860087590</v>
      </c>
      <c r="E2903" s="9">
        <v>85</v>
      </c>
      <c r="F2903" s="25">
        <v>43109</v>
      </c>
      <c r="G2903" s="70" t="s">
        <v>292</v>
      </c>
      <c r="H2903" s="25">
        <v>43151</v>
      </c>
      <c r="I2903" s="8"/>
      <c r="J2903" s="8"/>
      <c r="K2903" s="8"/>
      <c r="L2903" s="8"/>
      <c r="M2903" s="8"/>
    </row>
    <row r="2904" spans="1:13">
      <c r="A2904" s="71" t="s">
        <v>4388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292</v>
      </c>
      <c r="H2904" s="25">
        <v>42978</v>
      </c>
      <c r="I2904" s="8"/>
      <c r="J2904" s="8"/>
      <c r="K2904" s="8"/>
      <c r="L2904" s="8"/>
      <c r="M2904" s="8"/>
    </row>
    <row r="2905" spans="1:13">
      <c r="A2905" s="71" t="s">
        <v>4389</v>
      </c>
      <c r="B2905" s="67">
        <v>5387678802</v>
      </c>
      <c r="C2905" s="72" t="s">
        <v>4390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>
      <c r="A2906" s="71" t="s">
        <v>4391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292</v>
      </c>
      <c r="H2906" s="25">
        <v>43011</v>
      </c>
      <c r="I2906" s="8"/>
      <c r="J2906" s="8"/>
      <c r="K2906" s="8"/>
      <c r="L2906" s="8"/>
      <c r="M2906" s="8"/>
    </row>
    <row r="2907" spans="1:13">
      <c r="A2907" s="72" t="s">
        <v>4392</v>
      </c>
      <c r="B2907" s="67">
        <v>41173451846</v>
      </c>
      <c r="C2907" s="72" t="s">
        <v>4393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>
      <c r="A2908" s="19" t="s">
        <v>4394</v>
      </c>
      <c r="B2908" s="67">
        <v>36432395801</v>
      </c>
      <c r="C2908" s="77" t="s">
        <v>4395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>
      <c r="A2909" s="71" t="s">
        <v>4396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>
      <c r="A2910" s="71" t="s">
        <v>4397</v>
      </c>
      <c r="B2910" s="67">
        <v>28196011890</v>
      </c>
      <c r="C2910" s="72" t="s">
        <v>4398</v>
      </c>
      <c r="D2910" s="69">
        <v>73582980553</v>
      </c>
      <c r="E2910" s="9">
        <v>1262</v>
      </c>
      <c r="F2910" s="25">
        <v>42997</v>
      </c>
      <c r="G2910" s="70" t="s">
        <v>292</v>
      </c>
      <c r="H2910" s="25">
        <v>43000</v>
      </c>
      <c r="I2910" s="8"/>
      <c r="J2910" s="8"/>
      <c r="K2910" s="8"/>
      <c r="L2910" s="8"/>
      <c r="M2910" s="8"/>
    </row>
    <row r="2911" spans="1:13">
      <c r="A2911" s="71" t="s">
        <v>4399</v>
      </c>
      <c r="B2911" s="67">
        <v>8710545409</v>
      </c>
      <c r="C2911" s="72" t="s">
        <v>4400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>
      <c r="A2912" s="71" t="s">
        <v>4401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>
      <c r="A2913" s="71" t="s">
        <v>4402</v>
      </c>
      <c r="B2913" s="67">
        <v>27279265880</v>
      </c>
      <c r="C2913" s="77" t="s">
        <v>4403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>
      <c r="A2914" s="29" t="s">
        <v>4404</v>
      </c>
      <c r="B2914" s="67">
        <v>2973007844</v>
      </c>
      <c r="C2914" s="18" t="s">
        <v>402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>
      <c r="A2915" s="71" t="s">
        <v>4405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>
      <c r="A2916" s="15" t="s">
        <v>4406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292</v>
      </c>
      <c r="H2916" s="9"/>
      <c r="I2916" s="8"/>
      <c r="J2916" s="8"/>
      <c r="K2916" s="8"/>
      <c r="L2916" s="9">
        <v>232</v>
      </c>
      <c r="M2916" s="8"/>
    </row>
    <row r="2917" spans="1:13">
      <c r="A2917" s="13" t="s">
        <v>4407</v>
      </c>
      <c r="B2917" s="67">
        <v>97080756391</v>
      </c>
      <c r="C2917" s="68" t="s">
        <v>4408</v>
      </c>
      <c r="D2917" s="69">
        <v>78464463391</v>
      </c>
      <c r="E2917" s="9">
        <v>1343</v>
      </c>
      <c r="F2917" s="25">
        <v>43004</v>
      </c>
      <c r="G2917" s="70" t="s">
        <v>292</v>
      </c>
      <c r="H2917" s="25">
        <v>43011</v>
      </c>
      <c r="I2917" s="8"/>
      <c r="J2917" s="8"/>
      <c r="K2917" s="8"/>
      <c r="L2917" s="8"/>
      <c r="M2917" s="8"/>
    </row>
    <row r="2918" spans="1:13">
      <c r="A2918" s="15" t="s">
        <v>4409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>
      <c r="A2919" s="29" t="s">
        <v>4410</v>
      </c>
      <c r="B2919" s="67">
        <v>542688778</v>
      </c>
      <c r="C2919" s="18" t="s">
        <v>402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>
      <c r="A2920" s="71" t="s">
        <v>4411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>
      <c r="A2921" s="71" t="s">
        <v>4412</v>
      </c>
      <c r="B2921" s="67">
        <v>19521938854</v>
      </c>
      <c r="C2921" s="72" t="s">
        <v>4413</v>
      </c>
      <c r="D2921" s="69">
        <v>16398980506</v>
      </c>
      <c r="E2921" s="9">
        <v>1214</v>
      </c>
      <c r="F2921" s="25">
        <v>42989</v>
      </c>
      <c r="G2921" s="70" t="s">
        <v>292</v>
      </c>
      <c r="H2921" s="25">
        <v>43000</v>
      </c>
      <c r="I2921" s="8"/>
      <c r="J2921" s="8"/>
      <c r="K2921" s="8"/>
      <c r="L2921" s="8"/>
      <c r="M2921" s="8"/>
    </row>
    <row r="2922" spans="1:13">
      <c r="A2922" s="71" t="s">
        <v>4414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>
      <c r="A2923" s="14" t="s">
        <v>4415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292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>
      <c r="A2924" s="71" t="s">
        <v>4416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292</v>
      </c>
      <c r="H2924" s="25">
        <v>42978</v>
      </c>
      <c r="I2924" s="8"/>
      <c r="J2924" s="8"/>
      <c r="K2924" s="8"/>
      <c r="L2924" s="8"/>
      <c r="M2924" s="8"/>
    </row>
    <row r="2925" spans="1:13">
      <c r="A2925" s="71" t="s">
        <v>4417</v>
      </c>
      <c r="B2925" s="67">
        <v>81710763272</v>
      </c>
      <c r="C2925" s="77" t="s">
        <v>4418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>
      <c r="A2926" s="71" t="s">
        <v>4419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292</v>
      </c>
      <c r="H2926" s="25">
        <v>43000</v>
      </c>
      <c r="I2926" s="8"/>
      <c r="J2926" s="8"/>
      <c r="K2926" s="8"/>
      <c r="L2926" s="8"/>
      <c r="M2926" s="8"/>
    </row>
    <row r="2927" spans="1:13">
      <c r="A2927" s="18" t="s">
        <v>4420</v>
      </c>
      <c r="B2927" s="67">
        <v>35453812850</v>
      </c>
      <c r="C2927" s="18" t="s">
        <v>4421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>
      <c r="A2928" s="72" t="s">
        <v>4422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>
      <c r="A2929" s="71" t="s">
        <v>4423</v>
      </c>
      <c r="B2929" s="67">
        <v>22665008807</v>
      </c>
      <c r="C2929" s="72" t="s">
        <v>4424</v>
      </c>
      <c r="D2929" s="69">
        <v>35575903800</v>
      </c>
      <c r="E2929" s="9">
        <v>262</v>
      </c>
      <c r="F2929" s="25">
        <v>43160</v>
      </c>
      <c r="G2929" s="9" t="s">
        <v>292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>
      <c r="A2930" s="13" t="s">
        <v>4425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292</v>
      </c>
      <c r="H2930" s="25">
        <v>43011</v>
      </c>
      <c r="I2930" s="8"/>
      <c r="J2930" s="8"/>
      <c r="K2930" s="8"/>
      <c r="L2930" s="8"/>
      <c r="M2930" s="8"/>
    </row>
    <row r="2931" spans="1:13">
      <c r="A2931" s="71" t="s">
        <v>4426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>
      <c r="A2932" s="72" t="s">
        <v>4427</v>
      </c>
      <c r="B2932" s="67">
        <v>60615920357</v>
      </c>
      <c r="C2932" s="72" t="s">
        <v>4428</v>
      </c>
      <c r="D2932" s="69">
        <v>4818511358</v>
      </c>
      <c r="E2932" s="9">
        <v>292</v>
      </c>
      <c r="F2932" s="25">
        <v>43168</v>
      </c>
      <c r="G2932" s="9" t="s">
        <v>292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>
      <c r="A2933" s="71" t="s">
        <v>4429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292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>
      <c r="A2934" s="71" t="s">
        <v>4430</v>
      </c>
      <c r="B2934" s="67">
        <v>31633338851</v>
      </c>
      <c r="C2934" s="72" t="s">
        <v>4431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572</v>
      </c>
      <c r="M2934" s="8"/>
    </row>
    <row r="2935" spans="1:13">
      <c r="A2935" s="71" t="s">
        <v>4432</v>
      </c>
      <c r="B2935" s="67">
        <v>42518509801</v>
      </c>
      <c r="C2935" s="72" t="s">
        <v>4433</v>
      </c>
      <c r="D2935" s="69">
        <v>36320707844</v>
      </c>
      <c r="E2935" s="9">
        <v>1752</v>
      </c>
      <c r="F2935" s="25">
        <v>43051</v>
      </c>
      <c r="G2935" s="70" t="s">
        <v>306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>
      <c r="A2936" s="71" t="s">
        <v>4434</v>
      </c>
      <c r="B2936" s="67">
        <v>22958464806</v>
      </c>
      <c r="C2936" s="72" t="s">
        <v>4435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>
      <c r="A2937" s="13" t="s">
        <v>4436</v>
      </c>
      <c r="B2937" s="67">
        <v>31152044850</v>
      </c>
      <c r="C2937" s="72" t="s">
        <v>4437</v>
      </c>
      <c r="D2937" s="69">
        <v>31152043889</v>
      </c>
      <c r="E2937" s="9">
        <v>1128</v>
      </c>
      <c r="F2937" s="25">
        <v>42972</v>
      </c>
      <c r="G2937" s="70" t="s">
        <v>292</v>
      </c>
      <c r="H2937" s="25">
        <v>42979</v>
      </c>
      <c r="I2937" s="8"/>
      <c r="J2937" s="8"/>
      <c r="K2937" s="8"/>
      <c r="L2937" s="8"/>
      <c r="M2937" s="8"/>
    </row>
    <row r="2938" spans="1:13">
      <c r="A2938" s="71" t="s">
        <v>4438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292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>
      <c r="A2939" s="79" t="s">
        <v>4439</v>
      </c>
      <c r="B2939" s="80">
        <v>35805723859</v>
      </c>
      <c r="C2939" s="81" t="s">
        <v>4440</v>
      </c>
      <c r="D2939" s="82">
        <v>12726161855</v>
      </c>
      <c r="E2939" s="47">
        <v>1824</v>
      </c>
      <c r="F2939" s="48">
        <v>43091</v>
      </c>
      <c r="G2939" s="83" t="s">
        <v>298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>
      <c r="A2940" s="14" t="s">
        <v>4441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292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>
      <c r="A2941" s="15" t="s">
        <v>4442</v>
      </c>
      <c r="B2941" s="67">
        <v>7358002431</v>
      </c>
      <c r="C2941" s="72" t="s">
        <v>4443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>
      <c r="A2942" s="71" t="s">
        <v>4444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292</v>
      </c>
      <c r="H2942" s="25">
        <v>42978</v>
      </c>
      <c r="I2942" s="8"/>
      <c r="J2942" s="8"/>
      <c r="K2942" s="8"/>
      <c r="L2942" s="8"/>
      <c r="M2942" s="8"/>
    </row>
    <row r="2943" spans="1:13">
      <c r="A2943" s="71" t="s">
        <v>4445</v>
      </c>
      <c r="B2943" s="67">
        <v>43354497807</v>
      </c>
      <c r="C2943" s="72" t="s">
        <v>4446</v>
      </c>
      <c r="D2943" s="69">
        <v>40802896855</v>
      </c>
      <c r="E2943" s="9">
        <v>1214</v>
      </c>
      <c r="F2943" s="25">
        <v>42989</v>
      </c>
      <c r="G2943" s="70" t="s">
        <v>292</v>
      </c>
      <c r="H2943" s="25">
        <v>43000</v>
      </c>
      <c r="I2943" s="8"/>
      <c r="J2943" s="8"/>
      <c r="K2943" s="8"/>
      <c r="L2943" s="8"/>
      <c r="M2943" s="8"/>
    </row>
    <row r="2944" spans="1:13">
      <c r="A2944" s="13" t="s">
        <v>4447</v>
      </c>
      <c r="B2944" s="67">
        <v>43586522800</v>
      </c>
      <c r="C2944" s="68" t="s">
        <v>4448</v>
      </c>
      <c r="D2944" s="69">
        <v>43586522800</v>
      </c>
      <c r="E2944" s="9">
        <v>1128</v>
      </c>
      <c r="F2944" s="25">
        <v>42972</v>
      </c>
      <c r="G2944" s="70" t="s">
        <v>292</v>
      </c>
      <c r="H2944" s="25">
        <v>42979</v>
      </c>
      <c r="I2944" s="8"/>
      <c r="J2944" s="8"/>
      <c r="K2944" s="8"/>
      <c r="L2944" s="8"/>
      <c r="M2944" s="8"/>
    </row>
    <row r="2945" spans="1:13">
      <c r="A2945" s="71" t="s">
        <v>4449</v>
      </c>
      <c r="B2945" s="67">
        <v>17447067865</v>
      </c>
      <c r="C2945" s="72" t="s">
        <v>4450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>
      <c r="A2946" s="71" t="s">
        <v>4451</v>
      </c>
      <c r="B2946" s="67">
        <v>3568560542</v>
      </c>
      <c r="C2946" s="72" t="s">
        <v>4452</v>
      </c>
      <c r="D2946" s="69">
        <v>4078587500</v>
      </c>
      <c r="E2946" s="9">
        <v>1106</v>
      </c>
      <c r="F2946" s="25">
        <v>42965</v>
      </c>
      <c r="G2946" s="70" t="s">
        <v>292</v>
      </c>
      <c r="H2946" s="25">
        <v>42978</v>
      </c>
      <c r="I2946" s="8"/>
      <c r="J2946" s="8"/>
      <c r="K2946" s="8"/>
      <c r="L2946" s="8"/>
      <c r="M2946" s="8"/>
    </row>
    <row r="2947" spans="1:13">
      <c r="A2947" s="71" t="s">
        <v>4453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>
      <c r="A2948" s="14" t="s">
        <v>4454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>
      <c r="A2949" s="71" t="s">
        <v>4455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443</v>
      </c>
      <c r="M2949" s="8"/>
    </row>
    <row r="2950" spans="1:13">
      <c r="A2950" s="71" t="s">
        <v>4456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292</v>
      </c>
      <c r="H2950" s="25">
        <v>43000</v>
      </c>
      <c r="I2950" s="8"/>
      <c r="J2950" s="8"/>
      <c r="K2950" s="8"/>
      <c r="L2950" s="8"/>
      <c r="M2950" s="8"/>
    </row>
    <row r="2951" spans="1:13">
      <c r="A2951" s="71" t="s">
        <v>4457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292</v>
      </c>
      <c r="H2951" s="25">
        <v>42978</v>
      </c>
      <c r="I2951" s="8"/>
      <c r="J2951" s="8"/>
      <c r="K2951" s="8"/>
      <c r="L2951" s="8"/>
      <c r="M2951" s="8"/>
    </row>
    <row r="2952" spans="1:13">
      <c r="A2952" s="29" t="s">
        <v>4458</v>
      </c>
      <c r="B2952" s="67"/>
      <c r="C2952" s="29" t="s">
        <v>4459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>
      <c r="A2953" s="15" t="s">
        <v>4460</v>
      </c>
      <c r="B2953" s="67">
        <v>1326462857</v>
      </c>
      <c r="C2953" s="72" t="s">
        <v>4461</v>
      </c>
      <c r="D2953" s="69">
        <v>4906141838</v>
      </c>
      <c r="E2953" s="9">
        <v>229</v>
      </c>
      <c r="F2953" s="25">
        <v>43151</v>
      </c>
      <c r="G2953" s="70" t="s">
        <v>292</v>
      </c>
      <c r="H2953" s="9"/>
      <c r="I2953" s="8"/>
      <c r="J2953" s="8"/>
      <c r="K2953" s="8"/>
      <c r="L2953" s="9">
        <v>232</v>
      </c>
      <c r="M2953" s="8"/>
    </row>
    <row r="2954" spans="1:13">
      <c r="A2954" s="29" t="s">
        <v>4462</v>
      </c>
      <c r="B2954" s="67">
        <v>7722903428</v>
      </c>
      <c r="C2954" s="29" t="s">
        <v>4463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>
      <c r="A2955" s="71" t="s">
        <v>4464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>
      <c r="A2956" s="71" t="s">
        <v>4465</v>
      </c>
      <c r="B2956" s="67">
        <v>37794411874</v>
      </c>
      <c r="C2956" s="72" t="s">
        <v>4466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>
      <c r="A2957" s="15" t="s">
        <v>4467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>
      <c r="A2958" s="71" t="s">
        <v>4468</v>
      </c>
      <c r="B2958" s="67">
        <v>34093287856</v>
      </c>
      <c r="C2958" s="68" t="s">
        <v>4469</v>
      </c>
      <c r="D2958" s="69">
        <v>1517221536</v>
      </c>
      <c r="E2958" s="9">
        <v>1489</v>
      </c>
      <c r="F2958" s="25"/>
      <c r="G2958" s="70" t="s">
        <v>292</v>
      </c>
      <c r="H2958" s="9"/>
      <c r="I2958" s="8"/>
      <c r="J2958" s="8"/>
      <c r="K2958" s="8"/>
      <c r="L2958" s="9" t="s">
        <v>433</v>
      </c>
      <c r="M2958" s="8"/>
    </row>
    <row r="2959" spans="1:13">
      <c r="A2959" s="71" t="s">
        <v>4470</v>
      </c>
      <c r="B2959" s="67">
        <v>29289559845</v>
      </c>
      <c r="C2959" s="72" t="s">
        <v>4471</v>
      </c>
      <c r="D2959" s="69">
        <v>25585724827</v>
      </c>
      <c r="E2959" s="9">
        <v>1752</v>
      </c>
      <c r="F2959" s="25">
        <v>43051</v>
      </c>
      <c r="G2959" s="70" t="s">
        <v>292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>
      <c r="A2960" s="29" t="s">
        <v>4472</v>
      </c>
      <c r="B2960" s="67"/>
      <c r="C2960" s="29" t="s">
        <v>4473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>
      <c r="A2961" s="14" t="s">
        <v>4474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>
      <c r="A2962" s="18" t="s">
        <v>4475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>
      <c r="A2963" s="71" t="s">
        <v>4476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>
      <c r="A2964" s="72" t="s">
        <v>4477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>
      <c r="A2965" s="14" t="s">
        <v>4478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292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>
      <c r="A2966" s="13" t="s">
        <v>4479</v>
      </c>
      <c r="B2966" s="67">
        <v>32368859802</v>
      </c>
      <c r="C2966" s="68" t="s">
        <v>4480</v>
      </c>
      <c r="D2966" s="69">
        <v>28517056876</v>
      </c>
      <c r="E2966" s="9">
        <v>1343</v>
      </c>
      <c r="F2966" s="25">
        <v>43004</v>
      </c>
      <c r="G2966" s="70" t="s">
        <v>292</v>
      </c>
      <c r="H2966" s="25">
        <v>43011</v>
      </c>
      <c r="I2966" s="8"/>
      <c r="J2966" s="8"/>
      <c r="K2966" s="8"/>
      <c r="L2966" s="8"/>
      <c r="M2966" s="8"/>
    </row>
    <row r="2967" spans="1:13">
      <c r="A2967" s="72" t="s">
        <v>4481</v>
      </c>
      <c r="B2967" s="67">
        <v>35104711803</v>
      </c>
      <c r="C2967" s="72" t="s">
        <v>4482</v>
      </c>
      <c r="D2967" s="69">
        <v>34881906844</v>
      </c>
      <c r="E2967" s="9">
        <v>292</v>
      </c>
      <c r="F2967" s="25">
        <v>43168</v>
      </c>
      <c r="G2967" s="9" t="s">
        <v>292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>
      <c r="A2968" s="29" t="s">
        <v>4483</v>
      </c>
      <c r="B2968" s="67">
        <v>23093033802</v>
      </c>
      <c r="C2968" s="29" t="s">
        <v>4484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>
      <c r="A2969" s="73" t="s">
        <v>4485</v>
      </c>
      <c r="B2969" s="67">
        <v>92605494420</v>
      </c>
      <c r="C2969" s="72" t="s">
        <v>4486</v>
      </c>
      <c r="D2969" s="69">
        <v>37622834866</v>
      </c>
      <c r="E2969" s="9">
        <v>608</v>
      </c>
      <c r="F2969" s="25">
        <v>43012</v>
      </c>
      <c r="G2969" s="70" t="s">
        <v>292</v>
      </c>
      <c r="H2969" s="25">
        <v>43024</v>
      </c>
      <c r="I2969" s="8"/>
      <c r="J2969" s="8"/>
      <c r="K2969" s="8"/>
      <c r="L2969" s="8"/>
      <c r="M2969" s="8"/>
    </row>
    <row r="2970" spans="1:13">
      <c r="A2970" s="71" t="s">
        <v>4487</v>
      </c>
      <c r="B2970" s="67">
        <v>27646989843</v>
      </c>
      <c r="C2970" s="72" t="s">
        <v>4488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>
      <c r="A2971" s="71" t="s">
        <v>4489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292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>
      <c r="A2972" s="29" t="s">
        <v>4490</v>
      </c>
      <c r="B2972" s="67">
        <v>29312608860</v>
      </c>
      <c r="C2972" s="29" t="s">
        <v>4491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>
      <c r="A2973" s="29" t="s">
        <v>4492</v>
      </c>
      <c r="B2973" s="67"/>
      <c r="C2973" s="29" t="s">
        <v>4493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>
      <c r="A2974" s="71" t="s">
        <v>4494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292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>
      <c r="A2975" s="71" t="s">
        <v>4495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>
      <c r="A2976" s="15" t="s">
        <v>4496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>
      <c r="A2977" s="71" t="s">
        <v>4497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>
      <c r="A2978" s="71" t="s">
        <v>4498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>
      <c r="A2979" s="71" t="s">
        <v>4499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>
      <c r="A2980" s="71" t="s">
        <v>4500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292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>
      <c r="A2981" s="71" t="s">
        <v>4501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292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>
      <c r="A2982" s="14" t="s">
        <v>4502</v>
      </c>
      <c r="B2982" s="67">
        <v>13562151810</v>
      </c>
      <c r="C2982" s="72" t="s">
        <v>4503</v>
      </c>
      <c r="D2982" s="69">
        <v>47393076772</v>
      </c>
      <c r="E2982" s="9">
        <v>292</v>
      </c>
      <c r="F2982" s="25">
        <v>43168</v>
      </c>
      <c r="G2982" s="70" t="s">
        <v>298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>
      <c r="A2983" s="15" t="s">
        <v>4504</v>
      </c>
      <c r="B2983" s="67">
        <v>10488541832</v>
      </c>
      <c r="C2983" s="72" t="s">
        <v>4505</v>
      </c>
      <c r="D2983" s="69">
        <v>8437233860</v>
      </c>
      <c r="E2983" s="9">
        <v>229</v>
      </c>
      <c r="F2983" s="25">
        <v>43151</v>
      </c>
      <c r="G2983" s="70" t="s">
        <v>292</v>
      </c>
      <c r="H2983" s="9"/>
      <c r="I2983" s="8"/>
      <c r="J2983" s="8"/>
      <c r="K2983" s="8"/>
      <c r="L2983" s="9">
        <v>232</v>
      </c>
      <c r="M2983" s="8"/>
    </row>
    <row r="2984" spans="1:13">
      <c r="A2984" s="29" t="s">
        <v>4506</v>
      </c>
      <c r="B2984" s="67">
        <v>52291168894</v>
      </c>
      <c r="C2984" s="29" t="s">
        <v>402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>
      <c r="A2985" s="71" t="s">
        <v>4507</v>
      </c>
      <c r="B2985" s="67">
        <v>32455945855</v>
      </c>
      <c r="C2985" s="77" t="s">
        <v>4508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>
      <c r="A2986" s="71" t="s">
        <v>4509</v>
      </c>
      <c r="B2986" s="67">
        <v>7127228663</v>
      </c>
      <c r="C2986" s="72" t="s">
        <v>4510</v>
      </c>
      <c r="D2986" s="69">
        <v>18053058833</v>
      </c>
      <c r="E2986" s="9">
        <v>1628</v>
      </c>
      <c r="F2986" s="25">
        <v>43077</v>
      </c>
      <c r="G2986" s="70" t="s">
        <v>292</v>
      </c>
      <c r="H2986" s="25">
        <v>43080</v>
      </c>
      <c r="I2986" s="8"/>
      <c r="J2986" s="8"/>
      <c r="K2986" s="8"/>
      <c r="L2986" s="8"/>
      <c r="M2986" s="8"/>
    </row>
    <row r="2987" spans="1:13">
      <c r="A2987" s="15" t="s">
        <v>4511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292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>
      <c r="A2988" s="71" t="s">
        <v>4512</v>
      </c>
      <c r="B2988" s="67">
        <v>32318059888</v>
      </c>
      <c r="C2988" s="68" t="s">
        <v>4513</v>
      </c>
      <c r="D2988" s="69">
        <v>38564888807</v>
      </c>
      <c r="E2988" s="9">
        <v>1128</v>
      </c>
      <c r="F2988" s="25">
        <v>42972</v>
      </c>
      <c r="G2988" s="70" t="s">
        <v>292</v>
      </c>
      <c r="H2988" s="25">
        <v>42979</v>
      </c>
      <c r="I2988" s="8"/>
      <c r="J2988" s="8"/>
      <c r="K2988" s="8"/>
      <c r="L2988" s="8"/>
      <c r="M2988" s="8"/>
    </row>
    <row r="2989" spans="1:13">
      <c r="A2989" s="71" t="s">
        <v>4514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>
      <c r="A2990" s="15" t="s">
        <v>4515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292</v>
      </c>
      <c r="H2990" s="9"/>
      <c r="I2990" s="8"/>
      <c r="J2990" s="8"/>
      <c r="K2990" s="8"/>
      <c r="L2990" s="9">
        <v>232</v>
      </c>
      <c r="M2990" s="8"/>
    </row>
    <row r="2991" spans="1:13">
      <c r="A2991" s="71" t="s">
        <v>4516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292</v>
      </c>
      <c r="H2991" s="25">
        <v>42998</v>
      </c>
      <c r="I2991" s="8"/>
      <c r="J2991" s="8"/>
      <c r="K2991" s="8"/>
      <c r="L2991" s="8"/>
      <c r="M2991" s="8"/>
    </row>
    <row r="2992" spans="1:13">
      <c r="A2992" s="13" t="s">
        <v>4517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292</v>
      </c>
      <c r="H2992" s="25">
        <v>43011</v>
      </c>
      <c r="I2992" s="8"/>
      <c r="J2992" s="8"/>
      <c r="K2992" s="8"/>
      <c r="L2992" s="8"/>
      <c r="M2992" s="8"/>
    </row>
    <row r="2993" spans="1:13">
      <c r="A2993" s="72" t="s">
        <v>4518</v>
      </c>
      <c r="B2993" s="67">
        <v>45255799866</v>
      </c>
      <c r="C2993" s="72" t="s">
        <v>4519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>
      <c r="A2994" s="71" t="s">
        <v>4520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292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>
      <c r="A2995" s="72" t="s">
        <v>4521</v>
      </c>
      <c r="B2995" s="67">
        <v>37570860829</v>
      </c>
      <c r="C2995" s="72" t="s">
        <v>4522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>
      <c r="A2996" s="13" t="s">
        <v>4523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292</v>
      </c>
      <c r="H2996" s="25">
        <v>42979</v>
      </c>
      <c r="I2996" s="8"/>
      <c r="J2996" s="8"/>
      <c r="K2996" s="8"/>
      <c r="L2996" s="8"/>
      <c r="M2996" s="8"/>
    </row>
    <row r="2997" spans="1:13">
      <c r="A2997" s="71" t="s">
        <v>4524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>
      <c r="A2998" s="18" t="s">
        <v>4525</v>
      </c>
      <c r="B2998" s="67">
        <v>25712620847</v>
      </c>
      <c r="C2998" s="18" t="s">
        <v>4526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>
      <c r="A2999" s="71" t="s">
        <v>4527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572</v>
      </c>
      <c r="M2999" s="8"/>
    </row>
    <row r="3000" spans="1:13">
      <c r="A3000" s="72" t="s">
        <v>4528</v>
      </c>
      <c r="B3000" s="67">
        <v>40000949809</v>
      </c>
      <c r="C3000" s="72" t="s">
        <v>4529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572</v>
      </c>
      <c r="M3000" s="8"/>
    </row>
    <row r="3001" spans="1:13">
      <c r="A3001" s="71" t="s">
        <v>4530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>
      <c r="A3002" s="71" t="s">
        <v>4531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>
      <c r="A3003" s="71" t="s">
        <v>4532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>
      <c r="A3004" s="29" t="s">
        <v>4533</v>
      </c>
      <c r="B3004" s="67"/>
      <c r="C3004" s="29" t="s">
        <v>402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>
      <c r="A3005" s="71" t="s">
        <v>4534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292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>
      <c r="A3006" s="15" t="s">
        <v>4535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>
      <c r="A3007" s="71" t="s">
        <v>4536</v>
      </c>
      <c r="B3007" s="67">
        <v>13517396893</v>
      </c>
      <c r="C3007" s="72" t="s">
        <v>4537</v>
      </c>
      <c r="D3007" s="69">
        <v>61574252453</v>
      </c>
      <c r="E3007" s="9">
        <v>262</v>
      </c>
      <c r="F3007" s="25">
        <v>43160</v>
      </c>
      <c r="G3007" s="70" t="s">
        <v>298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>
      <c r="A3008" s="71" t="s">
        <v>4538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292</v>
      </c>
      <c r="H3008" s="25">
        <v>42979</v>
      </c>
      <c r="I3008" s="8"/>
      <c r="J3008" s="8"/>
      <c r="K3008" s="8"/>
      <c r="L3008" s="8"/>
      <c r="M3008" s="8"/>
    </row>
    <row r="3009" spans="1:13">
      <c r="A3009" s="29" t="s">
        <v>4539</v>
      </c>
      <c r="B3009" s="67"/>
      <c r="C3009" s="29" t="s">
        <v>4540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>
      <c r="A3010" s="15" t="s">
        <v>4541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292</v>
      </c>
      <c r="H3010" s="25">
        <v>43151</v>
      </c>
      <c r="I3010" s="8"/>
      <c r="J3010" s="8"/>
      <c r="K3010" s="8"/>
      <c r="L3010" s="8"/>
      <c r="M3010" s="8"/>
    </row>
    <row r="3011" spans="1:13">
      <c r="A3011" s="71" t="s">
        <v>4542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292</v>
      </c>
      <c r="H3011" s="25">
        <v>42998</v>
      </c>
      <c r="I3011" s="8"/>
      <c r="J3011" s="8"/>
      <c r="K3011" s="8"/>
      <c r="L3011" s="8"/>
      <c r="M3011" s="8"/>
    </row>
    <row r="3012" spans="1:13">
      <c r="A3012" s="71" t="s">
        <v>4543</v>
      </c>
      <c r="B3012" s="67">
        <v>4609966654</v>
      </c>
      <c r="C3012" s="72" t="s">
        <v>4544</v>
      </c>
      <c r="D3012" s="69">
        <v>28402756867</v>
      </c>
      <c r="E3012" s="9">
        <v>292</v>
      </c>
      <c r="F3012" s="25">
        <v>43168</v>
      </c>
      <c r="G3012" s="70" t="s">
        <v>292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>
      <c r="A3013" s="15" t="s">
        <v>4545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292</v>
      </c>
      <c r="H3013" s="9"/>
      <c r="I3013" s="8"/>
      <c r="J3013" s="8"/>
      <c r="K3013" s="8"/>
      <c r="L3013" s="9">
        <v>232</v>
      </c>
      <c r="M3013" s="8"/>
    </row>
    <row r="3014" spans="1:13">
      <c r="A3014" s="15" t="s">
        <v>4546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292</v>
      </c>
      <c r="H3014" s="25">
        <v>43151</v>
      </c>
      <c r="I3014" s="8"/>
      <c r="J3014" s="8"/>
      <c r="K3014" s="8"/>
      <c r="L3014" s="8"/>
      <c r="M3014" s="8"/>
    </row>
    <row r="3015" spans="1:13">
      <c r="A3015" s="71" t="s">
        <v>4547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>
      <c r="A3016" s="71" t="s">
        <v>4548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292</v>
      </c>
      <c r="H3016" s="25">
        <v>43000</v>
      </c>
      <c r="I3016" s="8"/>
      <c r="J3016" s="8"/>
      <c r="K3016" s="8"/>
      <c r="L3016" s="8"/>
      <c r="M3016" s="8"/>
    </row>
    <row r="3017" spans="1:13">
      <c r="A3017" s="18" t="s">
        <v>4549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>
      <c r="A3018" s="29" t="s">
        <v>4549</v>
      </c>
      <c r="B3018" s="67"/>
      <c r="C3018" s="18" t="s">
        <v>402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>
      <c r="A3019" s="29" t="s">
        <v>4550</v>
      </c>
      <c r="B3019" s="67"/>
      <c r="C3019" s="29" t="s">
        <v>402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>
      <c r="A3020" s="15" t="s">
        <v>4551</v>
      </c>
      <c r="B3020" s="67">
        <v>40882575880</v>
      </c>
      <c r="C3020" s="72" t="s">
        <v>4552</v>
      </c>
      <c r="D3020" s="69">
        <v>39163987848</v>
      </c>
      <c r="E3020" s="9">
        <v>292</v>
      </c>
      <c r="F3020" s="25">
        <v>43168</v>
      </c>
      <c r="G3020" s="70" t="s">
        <v>292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>
      <c r="A3021" s="29" t="s">
        <v>4553</v>
      </c>
      <c r="B3021" s="67"/>
      <c r="C3021" s="29" t="s">
        <v>402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>
      <c r="A3022" s="71" t="s">
        <v>4554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>
      <c r="A3023" s="71" t="s">
        <v>4555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292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>
      <c r="A3024" s="18" t="s">
        <v>4556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>
      <c r="A3025" s="29" t="s">
        <v>4557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>
      <c r="A3026" s="71" t="s">
        <v>4558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>
      <c r="A3027" s="71" t="s">
        <v>4559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292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>
      <c r="A3028" s="72" t="s">
        <v>4560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>
      <c r="A3029" s="96" t="s">
        <v>4561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>
      <c r="A3030" s="29" t="s">
        <v>4562</v>
      </c>
      <c r="B3030" s="67"/>
      <c r="C3030" s="29" t="s">
        <v>402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>
      <c r="A3031" s="71" t="s">
        <v>4563</v>
      </c>
      <c r="B3031" s="67">
        <v>44374068856</v>
      </c>
      <c r="C3031" s="72" t="s">
        <v>4564</v>
      </c>
      <c r="D3031" s="69">
        <v>34698741823</v>
      </c>
      <c r="E3031" s="9">
        <v>1489</v>
      </c>
      <c r="F3031" s="25">
        <v>43038</v>
      </c>
      <c r="G3031" s="70" t="s">
        <v>292</v>
      </c>
      <c r="H3031" s="9"/>
      <c r="I3031" s="8"/>
      <c r="J3031" s="8"/>
      <c r="K3031" s="8"/>
      <c r="L3031" s="9" t="s">
        <v>433</v>
      </c>
      <c r="M3031" s="8"/>
    </row>
    <row r="3032" spans="1:13">
      <c r="A3032" s="71" t="s">
        <v>4565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>
      <c r="A3033" s="72" t="s">
        <v>4566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572</v>
      </c>
      <c r="M3033" s="8"/>
    </row>
    <row r="3034" spans="1:13">
      <c r="A3034" s="71" t="s">
        <v>4567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>
      <c r="A3035" s="71" t="s">
        <v>4568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292</v>
      </c>
      <c r="H3035" s="9"/>
      <c r="I3035" s="8"/>
      <c r="J3035" s="8"/>
      <c r="K3035" s="8"/>
      <c r="L3035" s="8"/>
      <c r="M3035" s="8"/>
    </row>
    <row r="3036" spans="1:13">
      <c r="A3036" s="15" t="s">
        <v>4569</v>
      </c>
      <c r="B3036" s="67">
        <v>46812344869</v>
      </c>
      <c r="C3036" s="72" t="s">
        <v>4570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>
      <c r="A3037" s="71" t="s">
        <v>4571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292</v>
      </c>
      <c r="H3037" s="25">
        <v>43000</v>
      </c>
      <c r="I3037" s="8"/>
      <c r="J3037" s="8"/>
      <c r="K3037" s="8"/>
      <c r="L3037" s="8"/>
      <c r="M3037" s="8"/>
    </row>
    <row r="3038" spans="1:13">
      <c r="A3038" s="13" t="s">
        <v>4572</v>
      </c>
      <c r="B3038" s="67">
        <v>70659834634</v>
      </c>
      <c r="C3038" s="68" t="s">
        <v>4573</v>
      </c>
      <c r="D3038" s="69">
        <v>70558795404</v>
      </c>
      <c r="E3038" s="9">
        <v>1267</v>
      </c>
      <c r="F3038" s="25">
        <v>42998</v>
      </c>
      <c r="G3038" s="70" t="s">
        <v>292</v>
      </c>
      <c r="H3038" s="25">
        <v>43000</v>
      </c>
      <c r="I3038" s="8"/>
      <c r="J3038" s="8"/>
      <c r="K3038" s="8"/>
      <c r="L3038" s="8"/>
      <c r="M3038" s="8"/>
    </row>
    <row r="3039" spans="1:13">
      <c r="A3039" s="71" t="s">
        <v>4574</v>
      </c>
      <c r="B3039" s="67"/>
      <c r="C3039" s="72" t="s">
        <v>4575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>
      <c r="A3040" s="71" t="s">
        <v>4576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292</v>
      </c>
      <c r="H3040" s="25">
        <v>42978</v>
      </c>
      <c r="I3040" s="8"/>
      <c r="J3040" s="8"/>
      <c r="K3040" s="8"/>
      <c r="L3040" s="8"/>
      <c r="M3040" s="8"/>
    </row>
    <row r="3041" spans="1:13">
      <c r="A3041" s="15" t="s">
        <v>4577</v>
      </c>
      <c r="B3041" s="67">
        <v>3867219630</v>
      </c>
      <c r="C3041" s="72" t="s">
        <v>4578</v>
      </c>
      <c r="D3041" s="69">
        <v>4268294503</v>
      </c>
      <c r="E3041" s="9">
        <v>1824</v>
      </c>
      <c r="F3041" s="25">
        <v>43091</v>
      </c>
      <c r="G3041" s="70" t="s">
        <v>292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>
      <c r="A3042" s="71" t="s">
        <v>4579</v>
      </c>
      <c r="B3042" s="67">
        <v>27084341870</v>
      </c>
      <c r="C3042" s="72" t="s">
        <v>596</v>
      </c>
      <c r="D3042" s="69">
        <v>70639957315</v>
      </c>
      <c r="E3042" s="9">
        <v>1214</v>
      </c>
      <c r="F3042" s="25">
        <v>42989</v>
      </c>
      <c r="G3042" s="70" t="s">
        <v>298</v>
      </c>
      <c r="H3042" s="25">
        <v>43000</v>
      </c>
      <c r="I3042" s="8"/>
      <c r="J3042" s="8"/>
      <c r="K3042" s="8"/>
      <c r="L3042" s="8"/>
      <c r="M3042" s="8"/>
    </row>
    <row r="3043" spans="1:13">
      <c r="A3043" s="71" t="s">
        <v>4580</v>
      </c>
      <c r="B3043" s="67">
        <v>29697189870</v>
      </c>
      <c r="C3043" s="72" t="s">
        <v>4581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>
      <c r="A3044" s="71" t="s">
        <v>4582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292</v>
      </c>
      <c r="H3044" s="25">
        <v>43000</v>
      </c>
      <c r="I3044" s="8"/>
      <c r="J3044" s="8"/>
      <c r="K3044" s="8"/>
      <c r="L3044" s="8"/>
      <c r="M3044" s="8"/>
    </row>
    <row r="3045" spans="1:13">
      <c r="A3045" s="29" t="s">
        <v>4583</v>
      </c>
      <c r="B3045" s="67">
        <v>4055380810</v>
      </c>
      <c r="C3045" s="29" t="s">
        <v>402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>
      <c r="A3046" s="71" t="s">
        <v>4584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292</v>
      </c>
      <c r="H3046" s="25">
        <v>43027</v>
      </c>
      <c r="I3046" s="8"/>
      <c r="J3046" s="8"/>
      <c r="K3046" s="8"/>
      <c r="L3046" s="9" t="s">
        <v>526</v>
      </c>
      <c r="M3046" s="8"/>
    </row>
    <row r="3047" spans="1:13">
      <c r="A3047" s="16" t="s">
        <v>4585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>
      <c r="A3048" s="71" t="s">
        <v>4586</v>
      </c>
      <c r="B3048" s="67">
        <v>99038862504</v>
      </c>
      <c r="C3048" s="72" t="s">
        <v>4587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>
      <c r="A3049" s="13" t="s">
        <v>4588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292</v>
      </c>
      <c r="H3049" s="25">
        <v>42979</v>
      </c>
      <c r="I3049" s="8"/>
      <c r="J3049" s="8"/>
      <c r="K3049" s="8"/>
      <c r="L3049" s="8"/>
      <c r="M3049" s="8"/>
    </row>
    <row r="3050" spans="1:13">
      <c r="A3050" s="71" t="s">
        <v>4589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292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>
      <c r="A3051" s="71" t="s">
        <v>4590</v>
      </c>
      <c r="B3051" s="67">
        <v>22505123888</v>
      </c>
      <c r="C3051" s="72" t="s">
        <v>4591</v>
      </c>
      <c r="D3051" s="69">
        <v>39819234808</v>
      </c>
      <c r="E3051" s="9">
        <v>1752</v>
      </c>
      <c r="F3051" s="25">
        <v>43051</v>
      </c>
      <c r="G3051" s="70" t="s">
        <v>292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>
      <c r="A3052" s="29" t="s">
        <v>4592</v>
      </c>
      <c r="B3052" s="67"/>
      <c r="C3052" s="29" t="s">
        <v>402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>
      <c r="A3053" s="18" t="s">
        <v>4593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>
      <c r="A3054" s="73" t="s">
        <v>4594</v>
      </c>
      <c r="B3054" s="67">
        <v>34850143890</v>
      </c>
      <c r="C3054" s="72" t="s">
        <v>4595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>
      <c r="A3055" s="14" t="s">
        <v>4596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292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>
      <c r="A3056" s="71" t="s">
        <v>4597</v>
      </c>
      <c r="B3056" s="67">
        <v>17852199879</v>
      </c>
      <c r="C3056" s="72" t="s">
        <v>4598</v>
      </c>
      <c r="D3056" s="69">
        <v>15255063827</v>
      </c>
      <c r="E3056" s="9">
        <v>1128</v>
      </c>
      <c r="F3056" s="25">
        <v>42972</v>
      </c>
      <c r="G3056" s="70" t="s">
        <v>292</v>
      </c>
      <c r="H3056" s="25">
        <v>42979</v>
      </c>
      <c r="I3056" s="8"/>
      <c r="J3056" s="8"/>
      <c r="K3056" s="8"/>
      <c r="L3056" s="8"/>
      <c r="M3056" s="8"/>
    </row>
    <row r="3057" spans="1:13">
      <c r="A3057" s="71" t="s">
        <v>4599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292</v>
      </c>
      <c r="H3057" s="25">
        <v>43011</v>
      </c>
      <c r="I3057" s="8"/>
      <c r="J3057" s="8"/>
      <c r="K3057" s="8"/>
      <c r="L3057" s="8"/>
      <c r="M3057" s="8"/>
    </row>
    <row r="3058" spans="1:13">
      <c r="A3058" s="72" t="s">
        <v>4600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>
      <c r="A3059" s="71" t="s">
        <v>4601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292</v>
      </c>
      <c r="H3059" s="25">
        <v>42979</v>
      </c>
      <c r="I3059" s="8"/>
      <c r="J3059" s="8"/>
      <c r="K3059" s="8"/>
      <c r="L3059" s="8"/>
      <c r="M3059" s="8"/>
    </row>
    <row r="3060" spans="1:13">
      <c r="A3060" s="27"/>
      <c r="B3060" s="28"/>
      <c r="G3060" s="54"/>
    </row>
    <row r="3061" spans="1:13">
      <c r="A3061"/>
    </row>
    <row r="3062" spans="1:13">
      <c r="A3062" s="98"/>
    </row>
    <row r="3063" spans="1:13">
      <c r="A3063" s="98"/>
    </row>
    <row r="3064" spans="1:13">
      <c r="A3064" s="98"/>
    </row>
    <row r="3065" spans="1:13">
      <c r="A3065" s="98"/>
    </row>
    <row r="3066" spans="1:13">
      <c r="A3066" s="98"/>
    </row>
    <row r="3067" spans="1:13">
      <c r="A3067" s="98"/>
    </row>
    <row r="3068" spans="1:13">
      <c r="A3068" s="98"/>
    </row>
    <row r="3069" spans="1:13">
      <c r="A3069" s="98"/>
    </row>
    <row r="3070" spans="1:13">
      <c r="A3070" s="98"/>
    </row>
    <row r="3071" spans="1:13">
      <c r="A3071" s="98"/>
    </row>
    <row r="3072" spans="1:13">
      <c r="A3072" s="98"/>
    </row>
    <row r="3073" spans="1:1">
      <c r="A3073" s="98"/>
    </row>
    <row r="3074" spans="1:1">
      <c r="A3074" s="98"/>
    </row>
    <row r="3075" spans="1:1">
      <c r="A3075" s="98"/>
    </row>
    <row r="3076" spans="1:1">
      <c r="A3076" s="98"/>
    </row>
    <row r="3077" spans="1:1">
      <c r="A3077" s="98"/>
    </row>
    <row r="3078" spans="1:1">
      <c r="A3078" s="98"/>
    </row>
    <row r="3079" spans="1:1">
      <c r="A3079" s="98"/>
    </row>
    <row r="3080" spans="1:1">
      <c r="A3080" s="98"/>
    </row>
    <row r="3081" spans="1:1">
      <c r="A3081" s="98"/>
    </row>
    <row r="3082" spans="1:1">
      <c r="A3082" s="98"/>
    </row>
    <row r="3083" spans="1:1">
      <c r="A3083" s="98"/>
    </row>
    <row r="3084" spans="1:1">
      <c r="A3084" s="98"/>
    </row>
    <row r="3085" spans="1:1">
      <c r="A3085" s="98"/>
    </row>
    <row r="3086" spans="1:1">
      <c r="A3086" s="98"/>
    </row>
    <row r="3087" spans="1:1">
      <c r="A3087" s="98"/>
    </row>
    <row r="3088" spans="1:1">
      <c r="A3088" s="98"/>
    </row>
    <row r="3089" spans="1:1">
      <c r="A3089" s="98"/>
    </row>
    <row r="3090" spans="1:1">
      <c r="A3090" s="98"/>
    </row>
    <row r="3091" spans="1:1">
      <c r="A3091" s="98"/>
    </row>
    <row r="3092" spans="1:1">
      <c r="A3092" s="98"/>
    </row>
    <row r="3093" spans="1:1">
      <c r="A3093" s="98"/>
    </row>
    <row r="3094" spans="1:1">
      <c r="A3094" s="98"/>
    </row>
    <row r="3095" spans="1:1">
      <c r="A3095" s="98"/>
    </row>
    <row r="3096" spans="1:1">
      <c r="A3096" s="98"/>
    </row>
    <row r="3097" spans="1:1">
      <c r="A3097" s="98"/>
    </row>
    <row r="3098" spans="1:1">
      <c r="A3098" s="98"/>
    </row>
    <row r="3099" spans="1:1">
      <c r="A3099" s="98"/>
    </row>
    <row r="3100" spans="1:1">
      <c r="A3100" s="98"/>
    </row>
    <row r="3101" spans="1:1">
      <c r="A3101" s="98"/>
    </row>
    <row r="3102" spans="1:1">
      <c r="A3102" s="98"/>
    </row>
    <row r="3103" spans="1:1">
      <c r="A3103" s="98"/>
    </row>
    <row r="3104" spans="1:1">
      <c r="A3104" s="98"/>
    </row>
    <row r="3105" spans="1:1">
      <c r="A3105" s="98"/>
    </row>
    <row r="3106" spans="1:1">
      <c r="A3106" s="98"/>
    </row>
    <row r="3107" spans="1:1">
      <c r="A3107" s="98"/>
    </row>
    <row r="3108" spans="1:1">
      <c r="A3108" s="98"/>
    </row>
    <row r="3109" spans="1:1">
      <c r="A3109" s="98"/>
    </row>
    <row r="3110" spans="1:1">
      <c r="A3110" s="98"/>
    </row>
    <row r="3111" spans="1:1">
      <c r="A3111" s="98"/>
    </row>
    <row r="3112" spans="1:1">
      <c r="A3112" s="98"/>
    </row>
    <row r="3113" spans="1:1">
      <c r="A3113" s="98"/>
    </row>
    <row r="3114" spans="1:1">
      <c r="A3114" s="98"/>
    </row>
    <row r="3115" spans="1:1">
      <c r="A3115" s="98"/>
    </row>
    <row r="3116" spans="1:1">
      <c r="A3116" s="98"/>
    </row>
    <row r="3117" spans="1:1">
      <c r="A3117" s="98"/>
    </row>
    <row r="3118" spans="1:1">
      <c r="A3118" s="98"/>
    </row>
    <row r="3119" spans="1:1">
      <c r="A3119" s="98"/>
    </row>
    <row r="3120" spans="1:1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4" priority="5" stopIfTrue="1"/>
  </conditionalFormatting>
  <conditionalFormatting sqref="A3:A128">
    <cfRule type="duplicateValues" dxfId="3" priority="4" stopIfTrue="1"/>
  </conditionalFormatting>
  <conditionalFormatting sqref="A3:A626">
    <cfRule type="duplicateValues" dxfId="2" priority="1" stopIfTrue="1"/>
  </conditionalFormatting>
  <conditionalFormatting sqref="B2684">
    <cfRule type="duplicateValues" dxfId="1" priority="3" stopIfTrue="1"/>
  </conditionalFormatting>
  <conditionalFormatting sqref="C689">
    <cfRule type="duplicateValues" dxfId="0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2026-05-04T19:08:24Z</dcterms:modified>
  <cp:category/>
  <cp:contentStatus/>
</cp:coreProperties>
</file>