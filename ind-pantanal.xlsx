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286" documentId="8_{DAC6C9CA-70D7-4111-A0A7-BC6755E560D9}" xr6:coauthVersionLast="47" xr6:coauthVersionMax="47" xr10:uidLastSave="{CA977623-9AA4-4BC9-9DAD-4F7DD2690BA8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21" i="20" l="1"/>
  <c r="BD121" i="20"/>
  <c r="BC121" i="20"/>
  <c r="BE122" i="20"/>
  <c r="BD122" i="20"/>
  <c r="BC122" i="20"/>
  <c r="BE123" i="20"/>
  <c r="BD123" i="20"/>
  <c r="BC123" i="20"/>
  <c r="BE125" i="20"/>
  <c r="BD125" i="20"/>
  <c r="BC125" i="20"/>
  <c r="BE130" i="20"/>
  <c r="BD130" i="20"/>
  <c r="BC130" i="20"/>
  <c r="BC553" i="20"/>
  <c r="BD553" i="20"/>
  <c r="BE553" i="20"/>
  <c r="BE159" i="20"/>
  <c r="BD159" i="20"/>
  <c r="BC159" i="20"/>
  <c r="BE149" i="20"/>
  <c r="BD149" i="20"/>
  <c r="BC149" i="20"/>
  <c r="BE101" i="20"/>
  <c r="BD101" i="20"/>
  <c r="BC101" i="20"/>
  <c r="BE663" i="20"/>
  <c r="BD663" i="20"/>
  <c r="BC663" i="20"/>
  <c r="BE483" i="20"/>
  <c r="BD483" i="20"/>
  <c r="BC483" i="20"/>
  <c r="BE572" i="20"/>
  <c r="BD572" i="20"/>
  <c r="BC572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80" i="20"/>
  <c r="BD480" i="20"/>
  <c r="BC480" i="20"/>
  <c r="BE444" i="20"/>
  <c r="BD444" i="20"/>
  <c r="BC444" i="20"/>
  <c r="BE443" i="20"/>
  <c r="BD443" i="20"/>
  <c r="BC443" i="20"/>
  <c r="BE442" i="20"/>
  <c r="BD442" i="20"/>
  <c r="BC442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7" i="20"/>
  <c r="BD427" i="20"/>
  <c r="BC427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8" i="20"/>
  <c r="BD788" i="20"/>
  <c r="BC788" i="20"/>
  <c r="BE716" i="20"/>
  <c r="BD716" i="20"/>
  <c r="BC716" i="20"/>
  <c r="AH716" i="20"/>
  <c r="BE671" i="20"/>
  <c r="BD671" i="20"/>
  <c r="BC671" i="20"/>
  <c r="BE654" i="20"/>
  <c r="BD654" i="20"/>
  <c r="BC654" i="20"/>
  <c r="BE649" i="20"/>
  <c r="BD649" i="20"/>
  <c r="BC649" i="20"/>
  <c r="BE610" i="20"/>
  <c r="BD610" i="20"/>
  <c r="BC610" i="20"/>
  <c r="BE495" i="20"/>
  <c r="BD495" i="20"/>
  <c r="BC495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127" i="20"/>
  <c r="BD127" i="20"/>
  <c r="BE127" i="20"/>
  <c r="BC128" i="20"/>
  <c r="BD128" i="20"/>
  <c r="BE128" i="20"/>
  <c r="BC466" i="20"/>
  <c r="BD466" i="20"/>
  <c r="BE466" i="20"/>
  <c r="BC131" i="20"/>
  <c r="BD131" i="20"/>
  <c r="BE131" i="20"/>
  <c r="BC134" i="20"/>
  <c r="BD134" i="20"/>
  <c r="BE134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1" i="20"/>
  <c r="BD151" i="20"/>
  <c r="BE151" i="20"/>
  <c r="BC156" i="20"/>
  <c r="BD156" i="20"/>
  <c r="BE156" i="20"/>
  <c r="BC157" i="20"/>
  <c r="BD157" i="20"/>
  <c r="BE157" i="20"/>
  <c r="BC160" i="20"/>
  <c r="BD160" i="20"/>
  <c r="BE160" i="20"/>
  <c r="BC161" i="20"/>
  <c r="BD161" i="20"/>
  <c r="BE161" i="20"/>
  <c r="BC163" i="20"/>
  <c r="BD163" i="20"/>
  <c r="BE163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384" i="20"/>
  <c r="BD384" i="20"/>
  <c r="BE384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80" i="20"/>
  <c r="BD580" i="20"/>
  <c r="BE580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2" i="20"/>
  <c r="BD282" i="20"/>
  <c r="BE282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143" i="20"/>
  <c r="BD143" i="20"/>
  <c r="BE143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488" i="20"/>
  <c r="BD488" i="20"/>
  <c r="BE488" i="20"/>
  <c r="BC385" i="20"/>
  <c r="BD385" i="20"/>
  <c r="BE385" i="20"/>
  <c r="BC415" i="20"/>
  <c r="BD415" i="20"/>
  <c r="BE415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481" i="20"/>
  <c r="BD481" i="20"/>
  <c r="BE481" i="20"/>
  <c r="BC482" i="20"/>
  <c r="BD482" i="20"/>
  <c r="BE482" i="20"/>
  <c r="BC120" i="20"/>
  <c r="BD120" i="20"/>
  <c r="BE120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4" i="20"/>
  <c r="BD514" i="20"/>
  <c r="BE514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574" i="20"/>
  <c r="BD574" i="20"/>
  <c r="BE574" i="20"/>
  <c r="BC576" i="20"/>
  <c r="BD576" i="20"/>
  <c r="BE576" i="20"/>
  <c r="BC578" i="20"/>
  <c r="BD578" i="20"/>
  <c r="BE578" i="20"/>
  <c r="BC579" i="20"/>
  <c r="BD579" i="20"/>
  <c r="BE579" i="20"/>
  <c r="BC209" i="20"/>
  <c r="BD209" i="20"/>
  <c r="BE20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608" i="20"/>
  <c r="BD608" i="20"/>
  <c r="BE608" i="20"/>
  <c r="BC609" i="20"/>
  <c r="BD609" i="20"/>
  <c r="BE609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3" i="20"/>
  <c r="BD653" i="20"/>
  <c r="BE653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27" i="20"/>
  <c r="AH208" i="20"/>
  <c r="AH39" i="20"/>
  <c r="AH572" i="20"/>
  <c r="AH381" i="20"/>
  <c r="AH696" i="20"/>
  <c r="AH425" i="20"/>
  <c r="AH423" i="20"/>
  <c r="AH365" i="20"/>
  <c r="AH480" i="20"/>
  <c r="AH658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9" i="20"/>
  <c r="AH543" i="20"/>
  <c r="AH302" i="20"/>
  <c r="AH292" i="20"/>
  <c r="AH243" i="20"/>
  <c r="AH218" i="20"/>
  <c r="AH608" i="20"/>
  <c r="AH385" i="20"/>
  <c r="AH23" i="20"/>
  <c r="AH271" i="20"/>
  <c r="AH386" i="20"/>
  <c r="AH282" i="20"/>
  <c r="AH257" i="20"/>
  <c r="AH80" i="20"/>
  <c r="AH305" i="20"/>
  <c r="AH300" i="20"/>
  <c r="AH91" i="20"/>
  <c r="AH164" i="20"/>
  <c r="AH715" i="20"/>
  <c r="AH134" i="20"/>
  <c r="AH176" i="20"/>
  <c r="AH210" i="20"/>
  <c r="AH74" i="20"/>
  <c r="AH353" i="20"/>
  <c r="AH346" i="20"/>
  <c r="AH16" i="20"/>
  <c r="AH428" i="20"/>
  <c r="AH364" i="20"/>
  <c r="AH374" i="20"/>
  <c r="AH344" i="20"/>
  <c r="AH309" i="20"/>
  <c r="AH354" i="20"/>
  <c r="AH596" i="20"/>
  <c r="AH376" i="20"/>
  <c r="AH355" i="20"/>
  <c r="AH429" i="20"/>
  <c r="AH390" i="20"/>
  <c r="AH248" i="20"/>
  <c r="AH294" i="20"/>
  <c r="AH87" i="20"/>
  <c r="AH230" i="20"/>
  <c r="AH64" i="20"/>
  <c r="AH717" i="20"/>
  <c r="AH622" i="20"/>
  <c r="AH363" i="20"/>
  <c r="AH338" i="20"/>
  <c r="AH336" i="20"/>
  <c r="AH563" i="20"/>
  <c r="AH624" i="20"/>
  <c r="AH766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<sst xmlns="http://schemas.openxmlformats.org/spreadsheetml/2006/main" count="33582" uniqueCount="8601">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</sst>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2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0" fontId="39" fillId="0" borderId="14" xfId="0" applyFont="1" applyBorder="1" applyAlignment="1">
      <alignment horizontal="center" vertical="top" wrapText="1"/>
    </xf>
    <xf numFmtId="166" fontId="35" fillId="21" borderId="0" xfId="0" applyNumberFormat="1" applyFont="1" applyFill="1" applyAlignment="1">
      <alignment horizontal="center" vertical="center"/>
    </xf>
    <xf numFmtId="166" fontId="36" fillId="11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166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166" fontId="35" fillId="0" borderId="0" xfId="0" applyNumberFormat="1" applyFont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7" t="s">
        <v>101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6" t="s">
        <v>197</v>
      </c>
      <c r="P51" s="306"/>
      <c r="Q51" s="306"/>
      <c r="R51" s="306"/>
      <c r="S51" s="306"/>
      <c r="T51" s="306"/>
      <c r="U51" s="306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1" priority="5" stopIfTrue="1"/>
  </conditionalFormatting>
  <conditionalFormatting sqref="A3:A128">
    <cfRule type="duplicateValues" dxfId="300" priority="4" stopIfTrue="1"/>
  </conditionalFormatting>
  <conditionalFormatting sqref="A3:A626">
    <cfRule type="duplicateValues" dxfId="299" priority="1" stopIfTrue="1"/>
  </conditionalFormatting>
  <conditionalFormatting sqref="B2684">
    <cfRule type="duplicateValues" dxfId="298" priority="3" stopIfTrue="1"/>
  </conditionalFormatting>
  <conditionalFormatting sqref="C689">
    <cfRule type="duplicateValues" dxfId="29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BI173" activePane="bottomRight" state="frozen"/>
      <selection pane="topRight"/>
      <selection pane="bottomLeft"/>
      <selection pane="bottomRight" activeCell="BM30" sqref="BM30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0" t="s">
        <v>4369</v>
      </c>
      <c r="B8" s="301"/>
      <c r="C8" s="301"/>
      <c r="D8" s="301"/>
      <c r="E8" s="301"/>
      <c r="F8" s="301"/>
      <c r="G8" s="301"/>
      <c r="H8" s="301"/>
      <c r="I8" s="301"/>
      <c r="J8" s="302"/>
      <c r="K8" s="301"/>
      <c r="L8" s="301"/>
      <c r="M8" s="301"/>
      <c r="N8" s="301"/>
      <c r="O8" s="303"/>
      <c r="P8" s="296" t="s">
        <v>4370</v>
      </c>
      <c r="Q8" s="296"/>
      <c r="R8" s="296"/>
      <c r="S8" s="296"/>
      <c r="T8" s="296"/>
      <c r="U8" s="297"/>
      <c r="V8" s="296"/>
      <c r="W8" s="296"/>
      <c r="X8" s="298"/>
      <c r="Y8" s="297"/>
      <c r="Z8" s="296"/>
      <c r="AA8" s="299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4" t="s">
        <v>4372</v>
      </c>
      <c r="BC8" s="305"/>
      <c r="BD8" s="294"/>
      <c r="BE8" s="295"/>
      <c r="BF8" s="295"/>
      <c r="BG8" s="295"/>
      <c r="BH8" s="295"/>
      <c r="BI8" s="295"/>
      <c r="BJ8" s="295"/>
      <c r="BK8" s="295"/>
      <c r="BL8" s="295"/>
      <c r="BM8" s="295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 x14ac:dyDescent="0.25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 x14ac:dyDescent="0.25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6" t="s">
        <v>4461</v>
      </c>
      <c r="BM13" s="239"/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 x14ac:dyDescent="0.25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 x14ac:dyDescent="0.25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9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6" t="s">
        <v>4461</v>
      </c>
      <c r="BM21" s="237"/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 x14ac:dyDescent="0.25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customHeight="1" x14ac:dyDescent="0.25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customHeight="1" x14ac:dyDescent="0.25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 x14ac:dyDescent="0.25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 x14ac:dyDescent="0.2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 x14ac:dyDescent="0.25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customHeight="1" x14ac:dyDescent="0.25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customHeight="1" x14ac:dyDescent="0.25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 x14ac:dyDescent="0.25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customHeight="1" x14ac:dyDescent="0.25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 x14ac:dyDescent="0.25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 x14ac:dyDescent="0.25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 x14ac:dyDescent="0.25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 x14ac:dyDescent="0.25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 x14ac:dyDescent="0.25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 x14ac:dyDescent="0.25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 x14ac:dyDescent="0.25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customHeight="1" x14ac:dyDescent="0.25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 x14ac:dyDescent="0.25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customHeight="1" x14ac:dyDescent="0.25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customHeight="1" x14ac:dyDescent="0.25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 x14ac:dyDescent="0.25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 x14ac:dyDescent="0.25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ref="BC101:BC120" si="9">IF(AY101-KD101=0,"",AY101-O101)</f>
        <v>99</v>
      </c>
      <c r="BD101" s="103" t="str">
        <f t="shared" ref="BD101:BD120" si="10">IF(AND(AI101&lt;&gt;"SIM",AI101="UH"),"AA","INDENIZAÇÃO")</f>
        <v>INDENIZAÇÃO</v>
      </c>
      <c r="BE101" s="103" t="str">
        <f t="shared" ref="BE101:BE120" si="11"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6" t="s">
        <v>4461</v>
      </c>
      <c r="BM101" s="239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9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9"/>
        <v/>
      </c>
      <c r="BD103" s="103" t="str">
        <f t="shared" si="10"/>
        <v>INDENIZAÇÃO</v>
      </c>
      <c r="BE103" s="103" t="str">
        <f t="shared" si="11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 x14ac:dyDescent="0.25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 x14ac:dyDescent="0.25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 x14ac:dyDescent="0.25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6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9"/>
        <v/>
      </c>
      <c r="BD119" s="103" t="str">
        <f t="shared" si="10"/>
        <v>INDENIZAÇÃO</v>
      </c>
      <c r="BE119" s="103" t="str">
        <f t="shared" si="11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customHeight="1" x14ac:dyDescent="0.25">
      <c r="A120" s="103">
        <v>111</v>
      </c>
      <c r="B120" s="103" t="s">
        <v>4431</v>
      </c>
      <c r="C120" s="103" t="s">
        <v>4350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42" t="s">
        <v>4343</v>
      </c>
      <c r="J120" s="149" t="s">
        <v>4904</v>
      </c>
      <c r="K120" s="149" t="s">
        <v>4432</v>
      </c>
      <c r="L120" s="149" t="s">
        <v>4905</v>
      </c>
      <c r="M120" s="103" t="s">
        <v>4333</v>
      </c>
      <c r="N120" s="103" t="s">
        <v>4459</v>
      </c>
      <c r="O120" s="105">
        <v>46086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4904</v>
      </c>
      <c r="AC120" s="149" t="s">
        <v>4432</v>
      </c>
      <c r="AD120" s="149" t="s">
        <v>4905</v>
      </c>
      <c r="AE120" s="165" t="s">
        <v>4343</v>
      </c>
      <c r="AF120" s="165" t="s">
        <v>4333</v>
      </c>
      <c r="AG120" s="208">
        <v>173624.01</v>
      </c>
      <c r="AH120" s="208">
        <v>173624.01</v>
      </c>
      <c r="AI120" s="165" t="s">
        <v>4336</v>
      </c>
      <c r="AJ120" s="104" t="s">
        <v>4438</v>
      </c>
      <c r="AK120" s="103">
        <v>151549560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4338</v>
      </c>
      <c r="AR120" s="103" t="s">
        <v>4338</v>
      </c>
      <c r="AS120" s="143" t="s">
        <v>4338</v>
      </c>
      <c r="AT120" s="143" t="s">
        <v>4338</v>
      </c>
      <c r="AU120" s="105">
        <v>46140</v>
      </c>
      <c r="AV120" s="143" t="s">
        <v>4338</v>
      </c>
      <c r="AW120" s="143" t="s">
        <v>4338</v>
      </c>
      <c r="AX120" s="105">
        <v>46147</v>
      </c>
      <c r="AY120" s="106">
        <v>46147</v>
      </c>
      <c r="AZ120" s="174" t="s">
        <v>4453</v>
      </c>
      <c r="BA120" s="174" t="s">
        <v>4454</v>
      </c>
      <c r="BB120" s="112" t="s">
        <v>4338</v>
      </c>
      <c r="BC120" s="220">
        <f t="shared" si="9"/>
        <v>61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12" t="s">
        <v>4338</v>
      </c>
      <c r="BJ120" s="112" t="s">
        <v>4338</v>
      </c>
      <c r="BK120" s="105">
        <v>46195</v>
      </c>
      <c r="BL120" s="112" t="s">
        <v>4338</v>
      </c>
      <c r="BM120" s="262" t="s">
        <v>4453</v>
      </c>
    </row>
    <row r="121" spans="1:67" s="232" customFormat="1" ht="29.25" customHeight="1" x14ac:dyDescent="0.25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5795</v>
      </c>
      <c r="G121" s="103" t="s">
        <v>4330</v>
      </c>
      <c r="H121" s="103" t="s">
        <v>4331</v>
      </c>
      <c r="I121" s="142" t="s">
        <v>4343</v>
      </c>
      <c r="J121" s="149" t="s">
        <v>5796</v>
      </c>
      <c r="K121" s="149" t="s">
        <v>4934</v>
      </c>
      <c r="L121" s="149" t="s">
        <v>5797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5796</v>
      </c>
      <c r="AC121" s="149" t="s">
        <v>4934</v>
      </c>
      <c r="AD121" s="149" t="s">
        <v>5797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7" t="s">
        <v>5798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311">
        <v>46220</v>
      </c>
      <c r="AZ121" s="109" t="s">
        <v>4453</v>
      </c>
      <c r="BA121" s="107" t="s">
        <v>4454</v>
      </c>
      <c r="BB121" s="136" t="s">
        <v>4338</v>
      </c>
      <c r="BC121" s="220">
        <f>IF(AY121-KD121=0,"",AY121-O121)</f>
        <v>78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customHeight="1" x14ac:dyDescent="0.25">
      <c r="A122" s="165">
        <v>113</v>
      </c>
      <c r="B122" s="103" t="s">
        <v>4431</v>
      </c>
      <c r="C122" s="103" t="s">
        <v>4439</v>
      </c>
      <c r="D122" s="103">
        <v>1</v>
      </c>
      <c r="E122" s="103" t="s">
        <v>4432</v>
      </c>
      <c r="F122" s="104" t="s">
        <v>4912</v>
      </c>
      <c r="G122" s="103" t="s">
        <v>4330</v>
      </c>
      <c r="H122" s="103" t="s">
        <v>4331</v>
      </c>
      <c r="I122" s="103" t="s">
        <v>4343</v>
      </c>
      <c r="J122" s="149" t="s">
        <v>4913</v>
      </c>
      <c r="K122" s="149" t="s">
        <v>4914</v>
      </c>
      <c r="L122" s="149" t="s">
        <v>4915</v>
      </c>
      <c r="M122" s="103" t="s">
        <v>4333</v>
      </c>
      <c r="N122" s="103" t="s">
        <v>4459</v>
      </c>
      <c r="O122" s="105">
        <v>46129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4913</v>
      </c>
      <c r="AC122" s="149" t="s">
        <v>4914</v>
      </c>
      <c r="AD122" s="149" t="s">
        <v>4915</v>
      </c>
      <c r="AE122" s="103" t="s">
        <v>4343</v>
      </c>
      <c r="AF122" s="103" t="s">
        <v>4333</v>
      </c>
      <c r="AG122" s="194">
        <v>39497.07</v>
      </c>
      <c r="AH122" s="194">
        <v>60000</v>
      </c>
      <c r="AI122" s="103" t="s">
        <v>4336</v>
      </c>
      <c r="AJ122" s="104" t="s">
        <v>4438</v>
      </c>
      <c r="AK122" s="103">
        <v>153979535</v>
      </c>
      <c r="AL122" s="103" t="s">
        <v>4338</v>
      </c>
      <c r="AM122" s="103" t="s">
        <v>4338</v>
      </c>
      <c r="AN122" s="103" t="s">
        <v>4339</v>
      </c>
      <c r="AO122" s="112"/>
      <c r="AP122" s="277" t="s">
        <v>4916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311">
        <v>46223</v>
      </c>
      <c r="AZ122" s="109" t="s">
        <v>4453</v>
      </c>
      <c r="BA122" s="107" t="s">
        <v>4454</v>
      </c>
      <c r="BB122" s="136" t="s">
        <v>4338</v>
      </c>
      <c r="BC122" s="220">
        <f>IF(AY122-KD122=0,"",AY122-O122)</f>
        <v>94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customHeight="1" x14ac:dyDescent="0.25">
      <c r="A123" s="165">
        <v>114</v>
      </c>
      <c r="B123" s="103" t="s">
        <v>4431</v>
      </c>
      <c r="C123" s="103" t="s">
        <v>4439</v>
      </c>
      <c r="D123" s="103">
        <v>1</v>
      </c>
      <c r="E123" s="103" t="s">
        <v>4432</v>
      </c>
      <c r="F123" s="104" t="s">
        <v>5011</v>
      </c>
      <c r="G123" s="112" t="s">
        <v>4330</v>
      </c>
      <c r="H123" s="112" t="s">
        <v>4331</v>
      </c>
      <c r="I123" s="112" t="s">
        <v>4343</v>
      </c>
      <c r="J123" s="150" t="s">
        <v>5012</v>
      </c>
      <c r="K123" s="150" t="s">
        <v>5013</v>
      </c>
      <c r="L123" s="150" t="s">
        <v>5014</v>
      </c>
      <c r="M123" s="112" t="s">
        <v>4333</v>
      </c>
      <c r="N123" s="112" t="s">
        <v>4334</v>
      </c>
      <c r="O123" s="108">
        <v>46127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50" t="s">
        <v>5012</v>
      </c>
      <c r="AC123" s="150" t="s">
        <v>5013</v>
      </c>
      <c r="AD123" s="150" t="s">
        <v>5014</v>
      </c>
      <c r="AE123" s="112" t="s">
        <v>4343</v>
      </c>
      <c r="AF123" s="112" t="s">
        <v>4333</v>
      </c>
      <c r="AG123" s="194">
        <v>182371.02</v>
      </c>
      <c r="AH123" s="194">
        <v>182371.02</v>
      </c>
      <c r="AI123" s="103" t="s">
        <v>4447</v>
      </c>
      <c r="AJ123" s="104" t="s">
        <v>4438</v>
      </c>
      <c r="AK123" s="103">
        <v>153979063</v>
      </c>
      <c r="AL123" s="103" t="s">
        <v>4338</v>
      </c>
      <c r="AM123" s="103" t="s">
        <v>4338</v>
      </c>
      <c r="AN123" s="103" t="s">
        <v>4339</v>
      </c>
      <c r="AO123" s="112"/>
      <c r="AP123" s="277" t="s">
        <v>5015</v>
      </c>
      <c r="AQ123" s="259" t="s">
        <v>4338</v>
      </c>
      <c r="AR123" s="112" t="s">
        <v>4338</v>
      </c>
      <c r="AS123" s="112" t="s">
        <v>4338</v>
      </c>
      <c r="AT123" s="112" t="s">
        <v>4338</v>
      </c>
      <c r="AU123" s="105">
        <v>46216</v>
      </c>
      <c r="AV123" s="259" t="s">
        <v>4338</v>
      </c>
      <c r="AW123" s="259" t="s">
        <v>4338</v>
      </c>
      <c r="AX123" s="105">
        <v>46223</v>
      </c>
      <c r="AY123" s="311">
        <v>46223</v>
      </c>
      <c r="AZ123" s="109" t="s">
        <v>4453</v>
      </c>
      <c r="BA123" s="107" t="s">
        <v>4454</v>
      </c>
      <c r="BB123" s="136" t="s">
        <v>4338</v>
      </c>
      <c r="BC123" s="220">
        <f>IF(AY123-KD123=0,"",AY123-O123)</f>
        <v>96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 x14ac:dyDescent="0.25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5787</v>
      </c>
      <c r="G125" s="103" t="s">
        <v>4330</v>
      </c>
      <c r="H125" s="103" t="s">
        <v>4331</v>
      </c>
      <c r="I125" s="142" t="s">
        <v>4343</v>
      </c>
      <c r="J125" s="149" t="s">
        <v>6196</v>
      </c>
      <c r="K125" s="149" t="s">
        <v>6197</v>
      </c>
      <c r="L125" s="149" t="s">
        <v>6198</v>
      </c>
      <c r="M125" s="103" t="s">
        <v>4333</v>
      </c>
      <c r="N125" s="103" t="s">
        <v>4459</v>
      </c>
      <c r="O125" s="105">
        <v>46142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6196</v>
      </c>
      <c r="AC125" s="149" t="s">
        <v>6197</v>
      </c>
      <c r="AD125" s="149" t="s">
        <v>6198</v>
      </c>
      <c r="AE125" s="103" t="s">
        <v>4343</v>
      </c>
      <c r="AF125" s="103" t="s">
        <v>4333</v>
      </c>
      <c r="AG125" s="194">
        <v>65393.440000000002</v>
      </c>
      <c r="AH125" s="194">
        <v>65393.440000000002</v>
      </c>
      <c r="AI125" s="103" t="s">
        <v>4336</v>
      </c>
      <c r="AJ125" s="104" t="s">
        <v>4438</v>
      </c>
      <c r="AK125" s="103">
        <v>151550519</v>
      </c>
      <c r="AL125" s="103" t="s">
        <v>4338</v>
      </c>
      <c r="AM125" s="103" t="s">
        <v>4338</v>
      </c>
      <c r="AN125" s="103" t="s">
        <v>4339</v>
      </c>
      <c r="AO125" s="259"/>
      <c r="AP125" s="277" t="s">
        <v>6199</v>
      </c>
      <c r="AQ125" s="259" t="s">
        <v>4338</v>
      </c>
      <c r="AR125" s="112" t="s">
        <v>4338</v>
      </c>
      <c r="AS125" s="112" t="s">
        <v>4338</v>
      </c>
      <c r="AT125" s="112" t="s">
        <v>4338</v>
      </c>
      <c r="AU125" s="105">
        <v>46216</v>
      </c>
      <c r="AV125" s="259" t="s">
        <v>4338</v>
      </c>
      <c r="AW125" s="259" t="s">
        <v>4338</v>
      </c>
      <c r="AX125" s="105">
        <v>46223</v>
      </c>
      <c r="AY125" s="311">
        <v>46223</v>
      </c>
      <c r="AZ125" s="109" t="s">
        <v>4453</v>
      </c>
      <c r="BA125" s="107" t="s">
        <v>4454</v>
      </c>
      <c r="BB125" s="136" t="s">
        <v>4338</v>
      </c>
      <c r="BC125" s="220">
        <f>IF(AY125-KD125=0,"",AY125-O125)</f>
        <v>81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customHeight="1" x14ac:dyDescent="0.25">
      <c r="A127" s="103">
        <v>118</v>
      </c>
      <c r="B127" s="103" t="s">
        <v>4431</v>
      </c>
      <c r="C127" s="103" t="s">
        <v>4350</v>
      </c>
      <c r="D127" s="103">
        <v>1</v>
      </c>
      <c r="E127" s="103" t="s">
        <v>4432</v>
      </c>
      <c r="F127" s="104" t="s">
        <v>4931</v>
      </c>
      <c r="G127" s="103" t="s">
        <v>4330</v>
      </c>
      <c r="H127" s="103" t="s">
        <v>4331</v>
      </c>
      <c r="I127" s="142" t="s">
        <v>4343</v>
      </c>
      <c r="J127" s="149" t="s">
        <v>4936</v>
      </c>
      <c r="K127" s="149" t="s">
        <v>4937</v>
      </c>
      <c r="L127" s="149" t="s">
        <v>4938</v>
      </c>
      <c r="M127" s="103" t="s">
        <v>4333</v>
      </c>
      <c r="N127" s="103" t="s">
        <v>4459</v>
      </c>
      <c r="O127" s="105">
        <v>46086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4936</v>
      </c>
      <c r="AC127" s="149" t="s">
        <v>4937</v>
      </c>
      <c r="AD127" s="149" t="s">
        <v>4938</v>
      </c>
      <c r="AE127" s="103" t="s">
        <v>4343</v>
      </c>
      <c r="AF127" s="103" t="s">
        <v>4333</v>
      </c>
      <c r="AG127" s="194">
        <v>201636.55</v>
      </c>
      <c r="AH127" s="194">
        <v>201636.55</v>
      </c>
      <c r="AI127" s="103" t="s">
        <v>4447</v>
      </c>
      <c r="AJ127" s="104" t="s">
        <v>4438</v>
      </c>
      <c r="AK127" s="103">
        <v>150959152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4939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46128</v>
      </c>
      <c r="AV127" s="103" t="s">
        <v>4338</v>
      </c>
      <c r="AW127" s="103" t="s">
        <v>4338</v>
      </c>
      <c r="AX127" s="105">
        <v>46139</v>
      </c>
      <c r="AY127" s="106">
        <v>46139</v>
      </c>
      <c r="AZ127" s="106" t="s">
        <v>4453</v>
      </c>
      <c r="BA127" s="107" t="s">
        <v>4454</v>
      </c>
      <c r="BB127" s="136" t="s">
        <v>4338</v>
      </c>
      <c r="BC127" s="220">
        <f>IF(AY127-KD127=0,"",AY127-O127)</f>
        <v>53</v>
      </c>
      <c r="BD127" s="103" t="str">
        <f>IF(AND(AI127&lt;&gt;"SIM",AI127="UH"),"AA","INDENIZAÇÃO")</f>
        <v>INDENIZAÇÃO</v>
      </c>
      <c r="BE127" s="103" t="str">
        <f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12" t="s">
        <v>4338</v>
      </c>
      <c r="BJ127" s="112" t="s">
        <v>4338</v>
      </c>
      <c r="BK127" s="105">
        <v>46195</v>
      </c>
      <c r="BL127" s="112" t="s">
        <v>4338</v>
      </c>
      <c r="BM127" s="262" t="s">
        <v>4453</v>
      </c>
    </row>
    <row r="128" spans="1:67" s="232" customFormat="1" ht="29.25" customHeight="1" x14ac:dyDescent="0.25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4940</v>
      </c>
      <c r="G128" s="103" t="s">
        <v>4330</v>
      </c>
      <c r="H128" s="103" t="s">
        <v>4331</v>
      </c>
      <c r="I128" s="103" t="s">
        <v>4343</v>
      </c>
      <c r="J128" s="149" t="s">
        <v>4941</v>
      </c>
      <c r="K128" s="149" t="s">
        <v>4942</v>
      </c>
      <c r="L128" s="149" t="s">
        <v>4943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4941</v>
      </c>
      <c r="AC128" s="149" t="s">
        <v>4942</v>
      </c>
      <c r="AD128" s="149" t="s">
        <v>4943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4944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>IF(AY128-KD128=0,"",AY128-O128)</f>
        <v>33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customHeight="1" x14ac:dyDescent="0.25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4940</v>
      </c>
      <c r="G129" s="103" t="s">
        <v>4330</v>
      </c>
      <c r="H129" s="103" t="s">
        <v>4352</v>
      </c>
      <c r="I129" s="142" t="s">
        <v>4343</v>
      </c>
      <c r="J129" s="149" t="s">
        <v>4945</v>
      </c>
      <c r="K129" s="149" t="s">
        <v>4946</v>
      </c>
      <c r="L129" s="149" t="s">
        <v>4947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4945</v>
      </c>
      <c r="AC129" s="149" t="s">
        <v>4946</v>
      </c>
      <c r="AD129" s="149" t="s">
        <v>4947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4948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>IF(AY129-KD129=0,"",AY129-O129)</f>
        <v>46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 x14ac:dyDescent="0.25">
      <c r="A130" s="165">
        <v>121</v>
      </c>
      <c r="B130" s="103" t="s">
        <v>4431</v>
      </c>
      <c r="C130" s="103" t="s">
        <v>4350</v>
      </c>
      <c r="D130" s="103">
        <v>1</v>
      </c>
      <c r="E130" s="103" t="s">
        <v>4432</v>
      </c>
      <c r="F130" s="104" t="s">
        <v>6200</v>
      </c>
      <c r="G130" s="103" t="s">
        <v>4330</v>
      </c>
      <c r="H130" s="103" t="s">
        <v>4331</v>
      </c>
      <c r="I130" s="142" t="s">
        <v>4343</v>
      </c>
      <c r="J130" s="149" t="s">
        <v>6201</v>
      </c>
      <c r="K130" s="149" t="s">
        <v>4934</v>
      </c>
      <c r="L130" s="149" t="s">
        <v>6202</v>
      </c>
      <c r="M130" s="103" t="s">
        <v>4333</v>
      </c>
      <c r="N130" s="103" t="s">
        <v>4459</v>
      </c>
      <c r="O130" s="105">
        <v>46142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6201</v>
      </c>
      <c r="AC130" s="149" t="s">
        <v>4934</v>
      </c>
      <c r="AD130" s="149" t="s">
        <v>6202</v>
      </c>
      <c r="AE130" s="103" t="s">
        <v>4343</v>
      </c>
      <c r="AF130" s="103" t="s">
        <v>4333</v>
      </c>
      <c r="AG130" s="194">
        <v>52579.99</v>
      </c>
      <c r="AH130" s="194">
        <v>60000</v>
      </c>
      <c r="AI130" s="103" t="s">
        <v>4447</v>
      </c>
      <c r="AJ130" s="104" t="s">
        <v>4438</v>
      </c>
      <c r="AK130" s="103">
        <v>150958482</v>
      </c>
      <c r="AL130" s="103" t="s">
        <v>4338</v>
      </c>
      <c r="AM130" s="103" t="s">
        <v>4338</v>
      </c>
      <c r="AN130" s="103" t="s">
        <v>4339</v>
      </c>
      <c r="AO130" s="259"/>
      <c r="AP130" s="277" t="s">
        <v>6203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46216</v>
      </c>
      <c r="AV130" s="259" t="s">
        <v>4338</v>
      </c>
      <c r="AW130" s="259" t="s">
        <v>4338</v>
      </c>
      <c r="AX130" s="105">
        <v>46223</v>
      </c>
      <c r="AY130" s="311">
        <v>46223</v>
      </c>
      <c r="AZ130" s="109" t="s">
        <v>4453</v>
      </c>
      <c r="BA130" s="107" t="s">
        <v>4454</v>
      </c>
      <c r="BB130" s="136" t="s">
        <v>4338</v>
      </c>
      <c r="BC130" s="220">
        <f>IF(AY130-KD130=0,"",AY130-O130)</f>
        <v>81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7" t="s">
        <v>4958</v>
      </c>
      <c r="AQ131" s="103" t="s">
        <v>4338</v>
      </c>
      <c r="AR131" s="103" t="s">
        <v>4338</v>
      </c>
      <c r="AS131" s="103" t="s">
        <v>4338</v>
      </c>
      <c r="AT131" s="29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 x14ac:dyDescent="0.25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4960</v>
      </c>
      <c r="G132" s="103" t="s">
        <v>4330</v>
      </c>
      <c r="H132" s="103" t="s">
        <v>4331</v>
      </c>
      <c r="I132" s="103" t="s">
        <v>4343</v>
      </c>
      <c r="J132" s="149" t="s">
        <v>4961</v>
      </c>
      <c r="K132" s="149" t="s">
        <v>4962</v>
      </c>
      <c r="L132" s="149" t="s">
        <v>4963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4961</v>
      </c>
      <c r="AC132" s="149" t="s">
        <v>4962</v>
      </c>
      <c r="AD132" s="149" t="s">
        <v>4963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>IF(AY132-KD132=0,"",AY132-O132)</f>
        <v>45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4965</v>
      </c>
      <c r="G134" s="103" t="s">
        <v>4330</v>
      </c>
      <c r="H134" s="103" t="s">
        <v>4331</v>
      </c>
      <c r="I134" s="142" t="s">
        <v>4343</v>
      </c>
      <c r="J134" s="114" t="s">
        <v>4970</v>
      </c>
      <c r="K134" s="149" t="s">
        <v>4971</v>
      </c>
      <c r="L134" s="149" t="s">
        <v>4972</v>
      </c>
      <c r="M134" s="103" t="s">
        <v>4333</v>
      </c>
      <c r="N134" s="103" t="s">
        <v>4459</v>
      </c>
      <c r="O134" s="105">
        <v>46038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4970</v>
      </c>
      <c r="AC134" s="114" t="s">
        <v>4971</v>
      </c>
      <c r="AD134" s="114" t="s">
        <v>4972</v>
      </c>
      <c r="AE134" s="103" t="s">
        <v>4343</v>
      </c>
      <c r="AF134" s="103" t="s">
        <v>4333</v>
      </c>
      <c r="AG134" s="194">
        <v>6138.42</v>
      </c>
      <c r="AH134" s="194">
        <f>AG134+30000</f>
        <v>36138.42</v>
      </c>
      <c r="AI134" s="103" t="s">
        <v>4336</v>
      </c>
      <c r="AJ134" s="104" t="s">
        <v>4438</v>
      </c>
      <c r="AK134" s="103">
        <v>147990558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4973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46071</v>
      </c>
      <c r="AV134" s="195" t="s">
        <v>4338</v>
      </c>
      <c r="AW134" s="195" t="s">
        <v>4338</v>
      </c>
      <c r="AX134" s="105">
        <v>46101</v>
      </c>
      <c r="AY134" s="106">
        <v>46101</v>
      </c>
      <c r="AZ134" s="106" t="s">
        <v>4453</v>
      </c>
      <c r="BA134" s="107" t="s">
        <v>4454</v>
      </c>
      <c r="BB134" s="136" t="s">
        <v>4338</v>
      </c>
      <c r="BC134" s="220">
        <f>IF(AY134-KD134=0,"",AY134-O134)</f>
        <v>63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03" t="s">
        <v>4338</v>
      </c>
      <c r="BJ134" s="103" t="s">
        <v>4338</v>
      </c>
      <c r="BK134" s="105">
        <v>46182</v>
      </c>
      <c r="BL134" s="103" t="s">
        <v>4338</v>
      </c>
      <c r="BM134" s="258" t="s">
        <v>4453</v>
      </c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4974</v>
      </c>
      <c r="G136" s="103" t="s">
        <v>4330</v>
      </c>
      <c r="H136" s="103" t="s">
        <v>4331</v>
      </c>
      <c r="I136" s="142" t="s">
        <v>4343</v>
      </c>
      <c r="J136" s="114" t="s">
        <v>4978</v>
      </c>
      <c r="K136" s="149" t="s">
        <v>4979</v>
      </c>
      <c r="L136" s="149" t="s">
        <v>4980</v>
      </c>
      <c r="M136" s="103" t="s">
        <v>4333</v>
      </c>
      <c r="N136" s="103" t="s">
        <v>4459</v>
      </c>
      <c r="O136" s="105">
        <v>46064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14" t="s">
        <v>4978</v>
      </c>
      <c r="AC136" s="149" t="s">
        <v>4979</v>
      </c>
      <c r="AD136" s="149" t="s">
        <v>4980</v>
      </c>
      <c r="AE136" s="103" t="s">
        <v>4343</v>
      </c>
      <c r="AF136" s="103" t="s">
        <v>4333</v>
      </c>
      <c r="AG136" s="194">
        <v>41613.47</v>
      </c>
      <c r="AH136" s="194">
        <v>60000</v>
      </c>
      <c r="AI136" s="103" t="s">
        <v>4336</v>
      </c>
      <c r="AJ136" s="104" t="s">
        <v>4438</v>
      </c>
      <c r="AK136" s="103">
        <v>150009526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4981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46111</v>
      </c>
      <c r="AV136" s="103" t="s">
        <v>4338</v>
      </c>
      <c r="AW136" s="103" t="s">
        <v>4338</v>
      </c>
      <c r="AX136" s="105">
        <v>46114</v>
      </c>
      <c r="AY136" s="106">
        <v>46114</v>
      </c>
      <c r="AZ136" s="106" t="s">
        <v>4453</v>
      </c>
      <c r="BA136" s="107" t="s">
        <v>4454</v>
      </c>
      <c r="BB136" s="136" t="s">
        <v>4338</v>
      </c>
      <c r="BC136" s="220">
        <f>IF(AY136-KD136=0,"",AY136-O136)</f>
        <v>50</v>
      </c>
      <c r="BD136" s="103" t="str">
        <f>IF(AND(AI136&lt;&gt;"SIM",AI136="UH"),"AA","INDENIZAÇÃO")</f>
        <v>INDENIZAÇÃO</v>
      </c>
      <c r="BE136" s="103" t="str">
        <f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03" t="s">
        <v>4338</v>
      </c>
      <c r="BJ136" s="103" t="s">
        <v>4338</v>
      </c>
      <c r="BK136" s="105">
        <v>46182</v>
      </c>
      <c r="BL136" s="103" t="s">
        <v>4338</v>
      </c>
      <c r="BM136" s="258" t="s">
        <v>4453</v>
      </c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4989</v>
      </c>
      <c r="G138" s="103" t="s">
        <v>4330</v>
      </c>
      <c r="H138" s="103" t="s">
        <v>4331</v>
      </c>
      <c r="I138" s="142" t="s">
        <v>4343</v>
      </c>
      <c r="J138" s="114" t="s">
        <v>4990</v>
      </c>
      <c r="K138" s="149" t="s">
        <v>4991</v>
      </c>
      <c r="L138" s="149" t="s">
        <v>4992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4990</v>
      </c>
      <c r="AC138" s="139" t="s">
        <v>4991</v>
      </c>
      <c r="AD138" s="139" t="s">
        <v>4992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4993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>IF(AY138-KD138=0,"",AY138-O138)</f>
        <v>102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4995</v>
      </c>
      <c r="K139" s="149" t="s">
        <v>4996</v>
      </c>
      <c r="L139" s="149" t="s">
        <v>4997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4995</v>
      </c>
      <c r="AC139" s="139" t="s">
        <v>4996</v>
      </c>
      <c r="AD139" s="139" t="s">
        <v>4997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4998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>IF(AY139-KD139=0,"",AY139-O139)</f>
        <v>63</v>
      </c>
      <c r="BD139" s="103" t="str">
        <f>IF(AND(AI139&lt;&gt;"SIM",AI139="UH"),"AA","INDENIZAÇÃO")</f>
        <v>INDENIZAÇÃO</v>
      </c>
      <c r="BE139" s="103" t="str">
        <f>IF(AND(AY139&lt;&gt;"AGUARDANDO",AY139&lt;&gt;"",N139="AUXÍLIO ALUGUEL ATÉ INDENIZAÇÃO"),"SIM","NÃO")</f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customHeight="1" x14ac:dyDescent="0.25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4994</v>
      </c>
      <c r="G140" s="103" t="s">
        <v>4330</v>
      </c>
      <c r="H140" s="103" t="s">
        <v>4331</v>
      </c>
      <c r="I140" s="103" t="s">
        <v>4343</v>
      </c>
      <c r="J140" s="149" t="s">
        <v>4999</v>
      </c>
      <c r="K140" s="149" t="s">
        <v>5000</v>
      </c>
      <c r="L140" s="149" t="s">
        <v>5001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4999</v>
      </c>
      <c r="AC140" s="149" t="s">
        <v>5000</v>
      </c>
      <c r="AD140" s="149" t="s">
        <v>5001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5002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>IF(AY140-KD140=0,"",AY140-O140)</f>
        <v>40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>IF(AY141-KD141=0,"",AY141-O141)</f>
        <v/>
      </c>
      <c r="BD141" s="103" t="str">
        <f>IF(AND(AI141&lt;&gt;"SIM",AI141="UH"),"AA","INDENIZAÇÃO")</f>
        <v>AA</v>
      </c>
      <c r="BE141" s="103" t="str">
        <f>IF(AND(AY141&lt;&gt;"AGUARDANDO",AY141&lt;&gt;"",N141="AUXÍLIO ALUGUEL ATÉ INDENIZAÇÃO"),"SIM","NÃO")</f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5003</v>
      </c>
      <c r="G142" s="103" t="s">
        <v>4330</v>
      </c>
      <c r="H142" s="103" t="s">
        <v>4331</v>
      </c>
      <c r="I142" s="142" t="s">
        <v>4343</v>
      </c>
      <c r="J142" s="114" t="s">
        <v>5007</v>
      </c>
      <c r="K142" s="149" t="s">
        <v>5008</v>
      </c>
      <c r="L142" s="149" t="s">
        <v>5009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5007</v>
      </c>
      <c r="AC142" s="139" t="s">
        <v>5008</v>
      </c>
      <c r="AD142" s="139" t="s">
        <v>5009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5010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>IF(AY142-KD142=0,"",AY142-O142)</f>
        <v>76</v>
      </c>
      <c r="BD142" s="103" t="str">
        <f>IF(AND(AI142&lt;&gt;"SIM",AI142="UH"),"AA","INDENIZAÇÃO")</f>
        <v>INDENIZAÇÃO</v>
      </c>
      <c r="BE142" s="103" t="str">
        <f>IF(AND(AY142&lt;&gt;"AGUARDANDO",AY142&lt;&gt;"",N142="AUXÍLIO ALUGUEL ATÉ INDENIZAÇÃO"),"SIM","NÃO")</f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customHeight="1" x14ac:dyDescent="0.25">
      <c r="A143" s="103">
        <v>134</v>
      </c>
      <c r="B143" s="103" t="s">
        <v>4431</v>
      </c>
      <c r="C143" s="103" t="s">
        <v>4359</v>
      </c>
      <c r="D143" s="103">
        <v>1</v>
      </c>
      <c r="E143" s="103" t="s">
        <v>4432</v>
      </c>
      <c r="F143" s="104" t="s">
        <v>7804</v>
      </c>
      <c r="G143" s="103" t="s">
        <v>4351</v>
      </c>
      <c r="H143" s="103" t="s">
        <v>4351</v>
      </c>
      <c r="I143" s="153" t="s">
        <v>4332</v>
      </c>
      <c r="J143" s="149" t="s">
        <v>7805</v>
      </c>
      <c r="K143" s="149" t="s">
        <v>7806</v>
      </c>
      <c r="L143" s="149" t="s">
        <v>7807</v>
      </c>
      <c r="M143" s="103" t="s">
        <v>4333</v>
      </c>
      <c r="N143" s="103" t="s">
        <v>4459</v>
      </c>
      <c r="O143" s="105">
        <v>46076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7805</v>
      </c>
      <c r="AC143" s="149" t="s">
        <v>7806</v>
      </c>
      <c r="AD143" s="149" t="s">
        <v>7807</v>
      </c>
      <c r="AE143" s="153" t="s">
        <v>4332</v>
      </c>
      <c r="AF143" s="103" t="s">
        <v>4333</v>
      </c>
      <c r="AG143" s="194">
        <v>2131.8000000000002</v>
      </c>
      <c r="AH143" s="194">
        <v>2131.8000000000002</v>
      </c>
      <c r="AI143" s="103" t="s">
        <v>4336</v>
      </c>
      <c r="AJ143" s="104" t="s">
        <v>4438</v>
      </c>
      <c r="AK143" s="103">
        <v>151574569</v>
      </c>
      <c r="AL143" s="103" t="s">
        <v>4338</v>
      </c>
      <c r="AM143" s="103" t="s">
        <v>4338</v>
      </c>
      <c r="AN143" s="103" t="s">
        <v>4339</v>
      </c>
      <c r="AO143" s="103"/>
      <c r="AP143" s="277" t="s">
        <v>7808</v>
      </c>
      <c r="AQ143" s="103" t="s">
        <v>4338</v>
      </c>
      <c r="AR143" s="103" t="s">
        <v>4338</v>
      </c>
      <c r="AS143" s="112" t="s">
        <v>4338</v>
      </c>
      <c r="AT143" s="112" t="s">
        <v>4338</v>
      </c>
      <c r="AU143" s="105">
        <v>46216</v>
      </c>
      <c r="AV143" s="259" t="s">
        <v>4338</v>
      </c>
      <c r="AW143" s="259" t="s">
        <v>4338</v>
      </c>
      <c r="AX143" s="105">
        <v>46223</v>
      </c>
      <c r="AY143" s="311">
        <v>46223</v>
      </c>
      <c r="AZ143" s="109" t="s">
        <v>4453</v>
      </c>
      <c r="BA143" s="107" t="s">
        <v>4454</v>
      </c>
      <c r="BB143" s="136" t="s">
        <v>4338</v>
      </c>
      <c r="BC143" s="220">
        <f>IF(AY143-KD143=0,"",AY143-O143)</f>
        <v>147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5016</v>
      </c>
      <c r="G144" s="103" t="s">
        <v>4330</v>
      </c>
      <c r="H144" s="103" t="s">
        <v>4331</v>
      </c>
      <c r="I144" s="142" t="s">
        <v>4343</v>
      </c>
      <c r="J144" s="114" t="s">
        <v>5017</v>
      </c>
      <c r="K144" s="149" t="s">
        <v>5018</v>
      </c>
      <c r="L144" s="149" t="s">
        <v>5019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5017</v>
      </c>
      <c r="AC144" s="139" t="s">
        <v>5018</v>
      </c>
      <c r="AD144" s="139" t="s">
        <v>5019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5020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>IF(AY144-KD144=0,"",AY144-O144)</f>
        <v>58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>IF(AY145-KD145=0,"",AY145-O145)</f>
        <v/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>IF(AY146-KD146=0,"",AY146-O146)</f>
        <v/>
      </c>
      <c r="BD146" s="103" t="str">
        <f>IF(AND(AI146&lt;&gt;"SIM",AI146="UH"),"AA","INDENIZAÇÃO")</f>
        <v>AA</v>
      </c>
      <c r="BE146" s="103" t="str">
        <f>IF(AND(AY146&lt;&gt;"AGUARDANDO",AY146&lt;&gt;"",N146="AUXÍLIO ALUGUEL ATÉ INDENIZAÇÃO"),"SIM","NÃO")</f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hidden="1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>IF(AY147-KD147=0,"",AY147-O147)</f>
        <v/>
      </c>
      <c r="BD147" s="103" t="str">
        <f>IF(AND(AI147&lt;&gt;"SIM",AI147="UH"),"AA","INDENIZAÇÃO")</f>
        <v>INDENIZAÇÃO</v>
      </c>
      <c r="BE147" s="103" t="str">
        <f>IF(AND(AY147&lt;&gt;"AGUARDANDO",AY147&lt;&gt;"",N147="AUXÍLIO ALUGUEL ATÉ INDENIZAÇÃO"),"SIM","NÃO")</f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 x14ac:dyDescent="0.25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5037</v>
      </c>
      <c r="G148" s="103" t="s">
        <v>4330</v>
      </c>
      <c r="H148" s="103" t="s">
        <v>4331</v>
      </c>
      <c r="I148" s="103" t="s">
        <v>4440</v>
      </c>
      <c r="J148" s="149" t="s">
        <v>5038</v>
      </c>
      <c r="K148" s="149" t="s">
        <v>5039</v>
      </c>
      <c r="L148" s="149" t="s">
        <v>5040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5041</v>
      </c>
      <c r="AC148" s="149" t="s">
        <v>5042</v>
      </c>
      <c r="AD148" s="149" t="s">
        <v>5043</v>
      </c>
      <c r="AE148" s="142" t="s">
        <v>4332</v>
      </c>
      <c r="AF148" s="142" t="s">
        <v>5044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5045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>IF(AY148-KD148=0,"",AY148-O148)</f>
        <v>36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5037</v>
      </c>
      <c r="G149" s="103" t="s">
        <v>4330</v>
      </c>
      <c r="H149" s="103" t="s">
        <v>4331</v>
      </c>
      <c r="I149" s="142" t="s">
        <v>4343</v>
      </c>
      <c r="J149" s="114" t="s">
        <v>5046</v>
      </c>
      <c r="K149" s="149" t="s">
        <v>5047</v>
      </c>
      <c r="L149" s="149" t="s">
        <v>5048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5046</v>
      </c>
      <c r="AC149" s="149" t="s">
        <v>5047</v>
      </c>
      <c r="AD149" s="149" t="s">
        <v>5048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>IF(AY149-KD149=0,"",AY149-O149)</f>
        <v>150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6" t="s">
        <v>4461</v>
      </c>
      <c r="BM149" s="239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>IF(AY150-KD150=0,"",AY150-O150)</f>
        <v/>
      </c>
      <c r="BD150" s="103" t="str">
        <f>IF(AND(AI150&lt;&gt;"SIM",AI150="UH"),"AA","INDENIZAÇÃO")</f>
        <v>AA</v>
      </c>
      <c r="BE150" s="103" t="str">
        <f>IF(AND(AY150&lt;&gt;"AGUARDANDO",AY150&lt;&gt;"",N150="AUXÍLIO ALUGUEL ATÉ INDENIZAÇÃO"),"SIM","NÃO")</f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4343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4459</v>
      </c>
      <c r="O151" s="105">
        <v>46080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14" t="s">
        <v>5055</v>
      </c>
      <c r="AC151" s="149" t="s">
        <v>5056</v>
      </c>
      <c r="AD151" s="149" t="s">
        <v>5057</v>
      </c>
      <c r="AE151" s="103" t="s">
        <v>4343</v>
      </c>
      <c r="AF151" s="103" t="s">
        <v>4333</v>
      </c>
      <c r="AG151" s="194">
        <v>72417.86</v>
      </c>
      <c r="AH151" s="194">
        <v>72417.86</v>
      </c>
      <c r="AI151" s="103" t="s">
        <v>4336</v>
      </c>
      <c r="AJ151" s="104" t="s">
        <v>4438</v>
      </c>
      <c r="AK151" s="103">
        <v>150959269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5058</v>
      </c>
      <c r="AQ151" s="103" t="s">
        <v>4338</v>
      </c>
      <c r="AR151" s="103" t="s">
        <v>4338</v>
      </c>
      <c r="AS151" s="143" t="s">
        <v>4338</v>
      </c>
      <c r="AT151" s="103" t="s">
        <v>4338</v>
      </c>
      <c r="AU151" s="105">
        <v>46127</v>
      </c>
      <c r="AV151" s="103" t="s">
        <v>4338</v>
      </c>
      <c r="AW151" s="103" t="s">
        <v>4338</v>
      </c>
      <c r="AX151" s="105">
        <v>46140</v>
      </c>
      <c r="AY151" s="106">
        <v>46140</v>
      </c>
      <c r="AZ151" s="106" t="s">
        <v>4453</v>
      </c>
      <c r="BA151" s="107" t="s">
        <v>4454</v>
      </c>
      <c r="BB151" s="136" t="s">
        <v>4338</v>
      </c>
      <c r="BC151" s="220">
        <f>IF(AY151-KD151=0,"",AY151-O151)</f>
        <v>60</v>
      </c>
      <c r="BD151" s="103" t="str">
        <f>IF(AND(AI151&lt;&gt;"SIM",AI151="UH"),"AA","INDENIZAÇÃO")</f>
        <v>INDENIZAÇÃO</v>
      </c>
      <c r="BE151" s="103" t="str">
        <f>IF(AND(AY151&lt;&gt;"AGUARDANDO",AY151&lt;&gt;"",N151="AUXÍLIO ALUGUEL ATÉ INDENIZAÇÃO"),"SIM","NÃO")</f>
        <v>NÃO</v>
      </c>
      <c r="BF151" s="112" t="s">
        <v>4357</v>
      </c>
      <c r="BG151" s="112" t="s">
        <v>4357</v>
      </c>
      <c r="BH151" s="112" t="s">
        <v>4357</v>
      </c>
      <c r="BI151" s="112" t="s">
        <v>4338</v>
      </c>
      <c r="BJ151" s="112" t="s">
        <v>4338</v>
      </c>
      <c r="BK151" s="105">
        <v>46195</v>
      </c>
      <c r="BL151" s="112" t="s">
        <v>4338</v>
      </c>
      <c r="BM151" s="262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customHeight="1" x14ac:dyDescent="0.25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5054</v>
      </c>
      <c r="G153" s="103" t="s">
        <v>4330</v>
      </c>
      <c r="H153" s="103" t="s">
        <v>4331</v>
      </c>
      <c r="I153" s="142" t="s">
        <v>4343</v>
      </c>
      <c r="J153" s="149" t="s">
        <v>5062</v>
      </c>
      <c r="K153" s="149" t="s">
        <v>4432</v>
      </c>
      <c r="L153" s="149" t="s">
        <v>5063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5062</v>
      </c>
      <c r="AC153" s="149" t="s">
        <v>4432</v>
      </c>
      <c r="AD153" s="149" t="s">
        <v>5063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5064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 x14ac:dyDescent="0.25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03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>IF(AY155-KD155=0,"",AY155-O155)</f>
        <v>45</v>
      </c>
      <c r="BD155" s="103" t="str">
        <f>IF(AND(AI155&lt;&gt;"SIM",AI155="UH"),"AA","INDENIZAÇÃO")</f>
        <v>INDENIZAÇÃO</v>
      </c>
      <c r="BE155" s="103" t="str">
        <f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customHeight="1" x14ac:dyDescent="0.25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5074</v>
      </c>
      <c r="G156" s="103" t="s">
        <v>4330</v>
      </c>
      <c r="H156" s="103" t="s">
        <v>4331</v>
      </c>
      <c r="I156" s="103" t="s">
        <v>4343</v>
      </c>
      <c r="J156" s="149" t="s">
        <v>5075</v>
      </c>
      <c r="K156" s="149" t="s">
        <v>5076</v>
      </c>
      <c r="L156" s="149" t="s">
        <v>5077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5075</v>
      </c>
      <c r="AC156" s="149" t="s">
        <v>5076</v>
      </c>
      <c r="AD156" s="149" t="s">
        <v>5077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9" t="s">
        <v>5078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>IF(AY156-KD156=0,"",AY156-O156)</f>
        <v>77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6" t="s">
        <v>4461</v>
      </c>
      <c r="BM156" s="239"/>
      <c r="BN156" s="231"/>
    </row>
    <row r="157" spans="1:68" s="232" customFormat="1" ht="29.25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5079</v>
      </c>
      <c r="G157" s="103" t="s">
        <v>4330</v>
      </c>
      <c r="H157" s="103" t="s">
        <v>4331</v>
      </c>
      <c r="I157" s="142" t="s">
        <v>4343</v>
      </c>
      <c r="J157" s="114" t="s">
        <v>5080</v>
      </c>
      <c r="K157" s="149" t="s">
        <v>5081</v>
      </c>
      <c r="L157" s="149" t="s">
        <v>5082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5080</v>
      </c>
      <c r="AC157" s="139" t="s">
        <v>5081</v>
      </c>
      <c r="AD157" s="139" t="s">
        <v>5082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5083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98" t="s">
        <v>4338</v>
      </c>
      <c r="AW157" s="98" t="s">
        <v>4338</v>
      </c>
      <c r="AX157" s="280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>IF(AY157-KD157=0,"",AY157-O157)</f>
        <v>55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customHeight="1" x14ac:dyDescent="0.25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5079</v>
      </c>
      <c r="G158" s="103" t="s">
        <v>4330</v>
      </c>
      <c r="H158" s="103" t="s">
        <v>4342</v>
      </c>
      <c r="I158" s="153" t="s">
        <v>4332</v>
      </c>
      <c r="J158" s="149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5084</v>
      </c>
      <c r="AC158" s="149" t="s">
        <v>5085</v>
      </c>
      <c r="AD158" s="149" t="s">
        <v>5086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>IF(AY158-KD158=0,"",AY158-O158)</f>
        <v>45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customHeight="1" x14ac:dyDescent="0.25">
      <c r="A159" s="165">
        <v>150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5088</v>
      </c>
      <c r="G159" s="103" t="s">
        <v>4330</v>
      </c>
      <c r="H159" s="103" t="s">
        <v>4352</v>
      </c>
      <c r="I159" s="98" t="s">
        <v>4343</v>
      </c>
      <c r="J159" s="149" t="s">
        <v>5089</v>
      </c>
      <c r="K159" s="149" t="s">
        <v>4934</v>
      </c>
      <c r="L159" s="149" t="s">
        <v>5090</v>
      </c>
      <c r="M159" s="103" t="s">
        <v>4333</v>
      </c>
      <c r="N159" s="103" t="s">
        <v>4334</v>
      </c>
      <c r="O159" s="105">
        <v>46142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5089</v>
      </c>
      <c r="AC159" s="149" t="s">
        <v>4934</v>
      </c>
      <c r="AD159" s="149" t="s">
        <v>5090</v>
      </c>
      <c r="AE159" s="103" t="s">
        <v>4343</v>
      </c>
      <c r="AF159" s="103" t="s">
        <v>4333</v>
      </c>
      <c r="AG159" s="194">
        <v>42375.040000000001</v>
      </c>
      <c r="AH159" s="194">
        <v>60000</v>
      </c>
      <c r="AI159" s="103" t="s">
        <v>4336</v>
      </c>
      <c r="AJ159" s="104" t="s">
        <v>4438</v>
      </c>
      <c r="AK159" s="103">
        <v>153977497</v>
      </c>
      <c r="AL159" s="103" t="s">
        <v>4338</v>
      </c>
      <c r="AM159" s="103" t="s">
        <v>4338</v>
      </c>
      <c r="AN159" s="103" t="s">
        <v>5091</v>
      </c>
      <c r="AO159" s="112"/>
      <c r="AP159" s="171" t="s">
        <v>5092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46189</v>
      </c>
      <c r="AV159" s="103" t="s">
        <v>4338</v>
      </c>
      <c r="AW159" s="103" t="s">
        <v>4338</v>
      </c>
      <c r="AX159" s="105">
        <v>46195</v>
      </c>
      <c r="AY159" s="106">
        <v>46195</v>
      </c>
      <c r="AZ159" s="106" t="s">
        <v>4453</v>
      </c>
      <c r="BA159" s="107" t="s">
        <v>4330</v>
      </c>
      <c r="BB159" s="112" t="s">
        <v>4338</v>
      </c>
      <c r="BC159" s="220">
        <f>IF(AY159-KD159=0,"",AY159-O159)</f>
        <v>53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12" t="s">
        <v>4357</v>
      </c>
      <c r="BG159" s="112" t="s">
        <v>4357</v>
      </c>
      <c r="BH159" s="112" t="s">
        <v>4357</v>
      </c>
      <c r="BI159" s="103" t="s">
        <v>4338</v>
      </c>
      <c r="BJ159" s="103" t="s">
        <v>4338</v>
      </c>
      <c r="BK159" s="105">
        <v>46224</v>
      </c>
      <c r="BL159" s="276" t="s">
        <v>4461</v>
      </c>
      <c r="BM159" s="239"/>
      <c r="BN159" s="231"/>
      <c r="BO159" s="231"/>
    </row>
    <row r="160" spans="1:68" s="232" customFormat="1" ht="29.25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5088</v>
      </c>
      <c r="G160" s="103" t="s">
        <v>4330</v>
      </c>
      <c r="H160" s="103" t="s">
        <v>4331</v>
      </c>
      <c r="I160" s="142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>IF(AY160-KD160=0,"",AY160-O160)</f>
        <v>76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>IF(AY161-KD161=0,"",AY161-O161)</f>
        <v/>
      </c>
      <c r="BD161" s="103" t="str">
        <f>IF(AND(AI161&lt;&gt;"SIM",AI161="UH"),"AA","INDENIZAÇÃO")</f>
        <v>AA</v>
      </c>
      <c r="BE161" s="103" t="str">
        <f>IF(AND(AY161&lt;&gt;"AGUARDANDO",AY161&lt;&gt;"",N161="AUXÍLIO ALUGUEL ATÉ INDENIZAÇÃO"),"SIM","NÃO")</f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5097</v>
      </c>
      <c r="G162" s="103" t="s">
        <v>4330</v>
      </c>
      <c r="H162" s="103" t="s">
        <v>4331</v>
      </c>
      <c r="I162" s="142" t="s">
        <v>4343</v>
      </c>
      <c r="J162" s="114" t="s">
        <v>5101</v>
      </c>
      <c r="K162" s="149" t="s">
        <v>5102</v>
      </c>
      <c r="L162" s="149" t="s">
        <v>5103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5101</v>
      </c>
      <c r="AC162" s="149" t="s">
        <v>5102</v>
      </c>
      <c r="AD162" s="149" t="s">
        <v>5103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5104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>IF(AY162-KD162=0,"",AY162-O162)</f>
        <v>144</v>
      </c>
      <c r="BD162" s="103" t="str">
        <f>IF(AND(AI162&lt;&gt;"SIM",AI162="UH"),"AA","INDENIZAÇÃO")</f>
        <v>INDENIZAÇÃO</v>
      </c>
      <c r="BE162" s="103" t="str">
        <f>IF(AND(AY162&lt;&gt;"AGUARDANDO",AY162&lt;&gt;"",N162="AUXÍLIO ALUGUEL ATÉ INDENIZAÇÃO"),"SIM","NÃO")</f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6" t="s">
        <v>4461</v>
      </c>
      <c r="BM162" s="237"/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>IF(AY163-KD163=0,"",AY163-O163)</f>
        <v/>
      </c>
      <c r="BD163" s="103" t="str">
        <f>IF(AND(AI163&lt;&gt;"SIM",AI163="UH"),"AA","INDENIZAÇÃO")</f>
        <v>AA</v>
      </c>
      <c r="BE163" s="103" t="str">
        <f>IF(AND(AY163&lt;&gt;"AGUARDANDO",AY163&lt;&gt;"",N163="AUXÍLIO ALUGUEL ATÉ INDENIZAÇÃO"),"SIM","NÃO")</f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 x14ac:dyDescent="0.2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4342</v>
      </c>
      <c r="I164" s="153" t="s">
        <v>4332</v>
      </c>
      <c r="J164" s="114" t="s">
        <v>5110</v>
      </c>
      <c r="K164" s="149" t="s">
        <v>5111</v>
      </c>
      <c r="L164" s="149" t="s">
        <v>5112</v>
      </c>
      <c r="M164" s="103" t="s">
        <v>4333</v>
      </c>
      <c r="N164" s="103" t="s">
        <v>4459</v>
      </c>
      <c r="O164" s="105">
        <v>46038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5"/>
      <c r="AB164" s="114" t="s">
        <v>5110</v>
      </c>
      <c r="AC164" s="104" t="s">
        <v>5111</v>
      </c>
      <c r="AD164" s="139" t="s">
        <v>5112</v>
      </c>
      <c r="AE164" s="153" t="s">
        <v>4332</v>
      </c>
      <c r="AF164" s="103" t="s">
        <v>4333</v>
      </c>
      <c r="AG164" s="194">
        <v>10959.7</v>
      </c>
      <c r="AH164" s="194">
        <f>AG164+30000</f>
        <v>40959.699999999997</v>
      </c>
      <c r="AI164" s="103" t="s">
        <v>4336</v>
      </c>
      <c r="AJ164" s="104" t="s">
        <v>4438</v>
      </c>
      <c r="AK164" s="103">
        <v>147993852</v>
      </c>
      <c r="AL164" s="103" t="s">
        <v>4338</v>
      </c>
      <c r="AM164" s="103" t="s">
        <v>4338</v>
      </c>
      <c r="AN164" s="103" t="s">
        <v>4339</v>
      </c>
      <c r="AO164" s="170"/>
      <c r="AP164" s="171" t="s">
        <v>5113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46098</v>
      </c>
      <c r="AV164" s="103" t="s">
        <v>4338</v>
      </c>
      <c r="AW164" s="103" t="s">
        <v>4338</v>
      </c>
      <c r="AX164" s="105">
        <v>46114</v>
      </c>
      <c r="AY164" s="106">
        <v>46114</v>
      </c>
      <c r="AZ164" s="106" t="s">
        <v>4453</v>
      </c>
      <c r="BA164" s="107" t="s">
        <v>4454</v>
      </c>
      <c r="BB164" s="136" t="s">
        <v>4338</v>
      </c>
      <c r="BC164" s="220">
        <f>IF(AY164-KD164=0,"",AY164-O164)</f>
        <v>76</v>
      </c>
      <c r="BD164" s="103" t="str">
        <f>IF(AND(AI164&lt;&gt;"SIM",AI164="UH"),"AA","INDENIZAÇÃO")</f>
        <v>INDENIZAÇÃO</v>
      </c>
      <c r="BE164" s="103" t="str">
        <f>IF(AND(AY164&lt;&gt;"AGUARDANDO",AY164&lt;&gt;"",N164="AUXÍLIO ALUGUEL ATÉ INDENIZAÇÃO"),"SIM","NÃO")</f>
        <v>NÃO</v>
      </c>
      <c r="BF164" s="140" t="s">
        <v>4357</v>
      </c>
      <c r="BG164" s="140" t="s">
        <v>4357</v>
      </c>
      <c r="BH164" s="140" t="s">
        <v>4357</v>
      </c>
      <c r="BI164" s="103" t="s">
        <v>4338</v>
      </c>
      <c r="BJ164" s="103" t="s">
        <v>4338</v>
      </c>
      <c r="BK164" s="105">
        <v>46182</v>
      </c>
      <c r="BL164" s="103" t="s">
        <v>4338</v>
      </c>
      <c r="BM164" s="258" t="s">
        <v>4453</v>
      </c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>IF(AY169-KD169=0,"",AY169-O169)</f>
        <v/>
      </c>
      <c r="BD169" s="103" t="str">
        <f>IF(AND(AI169&lt;&gt;"SIM",AI169="UH"),"AA","INDENIZAÇÃO")</f>
        <v>INDENIZAÇÃO</v>
      </c>
      <c r="BE169" s="103" t="str">
        <f>IF(AND(AY169&lt;&gt;"AGUARDANDO",AY169&lt;&gt;"",N169="AUXÍLIO ALUGUEL ATÉ INDENIZAÇÃO"),"SIM","NÃO")</f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 x14ac:dyDescent="0.25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5137</v>
      </c>
      <c r="G170" s="103" t="s">
        <v>4330</v>
      </c>
      <c r="H170" s="103" t="s">
        <v>4352</v>
      </c>
      <c r="I170" s="103" t="s">
        <v>4343</v>
      </c>
      <c r="J170" s="149" t="s">
        <v>5138</v>
      </c>
      <c r="K170" s="149" t="s">
        <v>5139</v>
      </c>
      <c r="L170" s="149" t="s">
        <v>5140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5138</v>
      </c>
      <c r="AC170" s="149" t="s">
        <v>5139</v>
      </c>
      <c r="AD170" s="149" t="s">
        <v>5140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5141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283" t="s">
        <v>4454</v>
      </c>
      <c r="BB170" s="284" t="s">
        <v>4338</v>
      </c>
      <c r="BC170" s="220">
        <f>IF(AY170-KD170=0,"",AY170-O170)</f>
        <v>30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99" t="s">
        <v>4357</v>
      </c>
      <c r="BG170" s="112" t="s">
        <v>4357</v>
      </c>
      <c r="BH170" s="112" t="s">
        <v>4357</v>
      </c>
      <c r="BI170" s="99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>IF(AY171-KD171=0,"",AY171-O171)</f>
        <v/>
      </c>
      <c r="BD171" s="103" t="str">
        <f>IF(AND(AI171&lt;&gt;"SIM",AI171="UH"),"AA","INDENIZAÇÃO")</f>
        <v>INDENIZAÇÃO</v>
      </c>
      <c r="BE171" s="103" t="str">
        <f>IF(AND(AY171&lt;&gt;"AGUARDANDO",AY171&lt;&gt;"",N171="AUXÍLIO ALUGUEL ATÉ INDENIZAÇÃO"),"SIM","NÃO")</f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5142</v>
      </c>
      <c r="G172" s="103" t="s">
        <v>4330</v>
      </c>
      <c r="H172" s="103" t="s">
        <v>4331</v>
      </c>
      <c r="I172" s="142" t="s">
        <v>4343</v>
      </c>
      <c r="J172" s="114" t="s">
        <v>5147</v>
      </c>
      <c r="K172" s="104" t="s">
        <v>5148</v>
      </c>
      <c r="L172" s="114" t="s">
        <v>5149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5147</v>
      </c>
      <c r="AC172" s="104" t="s">
        <v>5148</v>
      </c>
      <c r="AD172" s="114" t="s">
        <v>5149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5150</v>
      </c>
      <c r="AQ172" s="103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57">
        <v>46057</v>
      </c>
      <c r="AZ172" s="106" t="s">
        <v>4453</v>
      </c>
      <c r="BA172" s="107" t="s">
        <v>4454</v>
      </c>
      <c r="BB172" s="136" t="s">
        <v>4338</v>
      </c>
      <c r="BC172" s="220">
        <f>IF(AY172-KD172=0,"",AY172-O172)</f>
        <v>56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</row>
    <row r="173" spans="1:68" s="232" customFormat="1" ht="29.25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5151</v>
      </c>
      <c r="G173" s="103" t="s">
        <v>4330</v>
      </c>
      <c r="H173" s="103" t="s">
        <v>4331</v>
      </c>
      <c r="I173" s="142" t="s">
        <v>4343</v>
      </c>
      <c r="J173" s="149" t="s">
        <v>5152</v>
      </c>
      <c r="K173" s="149" t="s">
        <v>5153</v>
      </c>
      <c r="L173" s="149" t="s">
        <v>5154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5152</v>
      </c>
      <c r="AC173" s="104" t="s">
        <v>5153</v>
      </c>
      <c r="AD173" s="104" t="s">
        <v>5154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5155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>IF(AY173-KD173=0,"",AY173-O173)</f>
        <v>40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>IF(AY174-KD174=0,"",AY174-O174)</f>
        <v/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9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14" t="s">
        <v>5166</v>
      </c>
      <c r="K176" s="149" t="s">
        <v>5167</v>
      </c>
      <c r="L176" s="149" t="s">
        <v>5168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5166</v>
      </c>
      <c r="AC176" s="104" t="s">
        <v>5167</v>
      </c>
      <c r="AD176" s="139" t="s">
        <v>5168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5169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>IF(AY176-KD176=0,"",AY176-O176)</f>
        <v>28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customHeight="1" x14ac:dyDescent="0.25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5170</v>
      </c>
      <c r="G177" s="103" t="s">
        <v>4330</v>
      </c>
      <c r="H177" s="103" t="s">
        <v>4331</v>
      </c>
      <c r="I177" s="103" t="s">
        <v>4343</v>
      </c>
      <c r="J177" s="149" t="s">
        <v>5171</v>
      </c>
      <c r="K177" s="149" t="s">
        <v>5172</v>
      </c>
      <c r="L177" s="149" t="s">
        <v>5173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5171</v>
      </c>
      <c r="AC177" s="149" t="s">
        <v>5172</v>
      </c>
      <c r="AD177" s="149" t="s">
        <v>5173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5174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>IF(AY177-KD177=0,"",AY177-O177)</f>
        <v>45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customHeight="1" x14ac:dyDescent="0.25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5175</v>
      </c>
      <c r="G178" s="103" t="s">
        <v>4497</v>
      </c>
      <c r="H178" s="103" t="s">
        <v>4331</v>
      </c>
      <c r="I178" s="103" t="s">
        <v>4343</v>
      </c>
      <c r="J178" s="149" t="s">
        <v>5176</v>
      </c>
      <c r="K178" s="149" t="s">
        <v>5177</v>
      </c>
      <c r="L178" s="149" t="s">
        <v>5178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5176</v>
      </c>
      <c r="AC178" s="149" t="s">
        <v>5177</v>
      </c>
      <c r="AD178" s="149" t="s">
        <v>5178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5179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>IF(AY178-KD178=0,"",AY178-O178)</f>
        <v>59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customHeight="1" x14ac:dyDescent="0.25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5180</v>
      </c>
      <c r="G179" s="103" t="s">
        <v>4330</v>
      </c>
      <c r="H179" s="103" t="s">
        <v>4331</v>
      </c>
      <c r="I179" s="103" t="s">
        <v>4343</v>
      </c>
      <c r="J179" s="149" t="s">
        <v>5181</v>
      </c>
      <c r="K179" s="149" t="s">
        <v>5182</v>
      </c>
      <c r="L179" s="149" t="s">
        <v>5183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5181</v>
      </c>
      <c r="AC179" s="149" t="s">
        <v>5182</v>
      </c>
      <c r="AD179" s="149" t="s">
        <v>5183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5184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98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>IF(AY179-KD179=0,"",AY179-O179)</f>
        <v>48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>IF(AY180-KD180=0,"",AY180-O180)</f>
        <v/>
      </c>
      <c r="BD180" s="103" t="str">
        <f>IF(AND(AI180&lt;&gt;"SIM",AI180="UH"),"AA","INDENIZAÇÃO")</f>
        <v>AA</v>
      </c>
      <c r="BE180" s="103" t="str">
        <f>IF(AND(AY180&lt;&gt;"AGUARDANDO",AY180&lt;&gt;"",N180="AUXÍLIO ALUGUEL ATÉ INDENIZAÇÃO"),"SIM","NÃO")</f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 x14ac:dyDescent="0.25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4351</v>
      </c>
      <c r="H182" s="103" t="s">
        <v>4351</v>
      </c>
      <c r="I182" s="153" t="s">
        <v>4332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5191</v>
      </c>
      <c r="AC182" s="149" t="s">
        <v>5192</v>
      </c>
      <c r="AD182" s="149" t="s">
        <v>5194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9" t="s">
        <v>5195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>IF(AY182-KD182=0,"",AY182-O182)</f>
        <v>70</v>
      </c>
      <c r="BD182" s="103" t="str">
        <f>IF(AND(AI182&lt;&gt;"SIM",AI182="UH"),"AA","INDENIZAÇÃO")</f>
        <v>INDENIZAÇÃO</v>
      </c>
      <c r="BE182" s="103" t="str">
        <f>IF(AND(AY182&lt;&gt;"AGUARDANDO",AY182&lt;&gt;"",N182="AUXÍLIO ALUGUEL ATÉ INDENIZAÇÃO"),"SIM","NÃO")</f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6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 x14ac:dyDescent="0.25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5196</v>
      </c>
      <c r="G183" s="103" t="s">
        <v>4330</v>
      </c>
      <c r="H183" s="103" t="s">
        <v>4331</v>
      </c>
      <c r="I183" s="98" t="s">
        <v>4343</v>
      </c>
      <c r="J183" s="149" t="s">
        <v>5197</v>
      </c>
      <c r="K183" s="149" t="s">
        <v>5198</v>
      </c>
      <c r="L183" s="149" t="s">
        <v>5199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5197</v>
      </c>
      <c r="AC183" s="149" t="s">
        <v>5198</v>
      </c>
      <c r="AD183" s="149" t="s">
        <v>5199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5200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>IF(AY183-KD183=0,"",AY183-O183)</f>
        <v>48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 x14ac:dyDescent="0.25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5201</v>
      </c>
      <c r="G184" s="103" t="s">
        <v>4330</v>
      </c>
      <c r="H184" s="103" t="s">
        <v>4331</v>
      </c>
      <c r="I184" s="103" t="s">
        <v>4343</v>
      </c>
      <c r="J184" s="149" t="s">
        <v>5202</v>
      </c>
      <c r="K184" s="149" t="s">
        <v>5203</v>
      </c>
      <c r="L184" s="149" t="s">
        <v>5204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5202</v>
      </c>
      <c r="AC184" s="149" t="s">
        <v>5203</v>
      </c>
      <c r="AD184" s="149" t="s">
        <v>5204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5205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>IF(AY184-KD184=0,"",AY184-O184)</f>
        <v>48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customHeight="1" x14ac:dyDescent="0.25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5206</v>
      </c>
      <c r="G185" s="103" t="s">
        <v>4330</v>
      </c>
      <c r="H185" s="103" t="s">
        <v>4331</v>
      </c>
      <c r="I185" s="103" t="s">
        <v>4343</v>
      </c>
      <c r="J185" s="149" t="s">
        <v>5207</v>
      </c>
      <c r="K185" s="149" t="s">
        <v>5208</v>
      </c>
      <c r="L185" s="149" t="s">
        <v>5209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5207</v>
      </c>
      <c r="AC185" s="149" t="s">
        <v>5208</v>
      </c>
      <c r="AD185" s="149" t="s">
        <v>5209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5210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>IF(AY185-KD185=0,"",AY185-O185)</f>
        <v>48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82"/>
      <c r="AX187" s="109"/>
      <c r="AY187" s="157"/>
      <c r="AZ187" s="157"/>
      <c r="BA187" s="107" t="s">
        <v>4330</v>
      </c>
      <c r="BB187" s="112"/>
      <c r="BC187" s="220" t="str">
        <f>IF(AY187-KD187=0,"",AY187-O187)</f>
        <v/>
      </c>
      <c r="BD187" s="103" t="str">
        <f>IF(AND(AI187&lt;&gt;"SIM",AI187="UH"),"AA","INDENIZAÇÃO")</f>
        <v>INDENIZAÇÃO</v>
      </c>
      <c r="BE187" s="103" t="str">
        <f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>IF(AY188-KD188=0,"",AY188-O188)</f>
        <v/>
      </c>
      <c r="BD188" s="103" t="str">
        <f>IF(AND(AI188&lt;&gt;"SIM",AI188="UH"),"AA","INDENIZAÇÃO")</f>
        <v>AA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 x14ac:dyDescent="0.25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5232</v>
      </c>
      <c r="G191" s="103" t="s">
        <v>4330</v>
      </c>
      <c r="H191" s="103" t="s">
        <v>4331</v>
      </c>
      <c r="I191" s="142" t="s">
        <v>4343</v>
      </c>
      <c r="J191" s="149" t="s">
        <v>5233</v>
      </c>
      <c r="K191" s="149" t="s">
        <v>5234</v>
      </c>
      <c r="L191" s="149" t="s">
        <v>5235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5233</v>
      </c>
      <c r="AC191" s="104" t="s">
        <v>5234</v>
      </c>
      <c r="AD191" s="104" t="s">
        <v>5235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5236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>IF(AY191-KD191=0,"",AY191-O191)</f>
        <v>42</v>
      </c>
      <c r="BD191" s="103" t="str">
        <f>IF(AND(AI191&lt;&gt;"SIM",AI191="UH"),"AA","INDENIZAÇÃO")</f>
        <v>INDENIZAÇÃO</v>
      </c>
      <c r="BE191" s="103" t="str">
        <f>IF(AND(AY191&lt;&gt;"AGUARDANDO",AY191&lt;&gt;"",N191="AUXÍLIO ALUGUEL ATÉ INDENIZAÇÃO"),"SIM","NÃO")</f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 x14ac:dyDescent="0.25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5232</v>
      </c>
      <c r="G192" s="103" t="s">
        <v>4330</v>
      </c>
      <c r="H192" s="103" t="s">
        <v>4331</v>
      </c>
      <c r="I192" s="142" t="s">
        <v>4343</v>
      </c>
      <c r="J192" s="149" t="s">
        <v>5237</v>
      </c>
      <c r="K192" s="149" t="s">
        <v>4432</v>
      </c>
      <c r="L192" s="149" t="s">
        <v>5238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5237</v>
      </c>
      <c r="AC192" s="104" t="s">
        <v>4432</v>
      </c>
      <c r="AD192" s="104" t="s">
        <v>5238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5239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>IF(AY192-KD192=0,"",AY192-O192)</f>
        <v>76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5240</v>
      </c>
      <c r="G193" s="103" t="s">
        <v>4330</v>
      </c>
      <c r="H193" s="103" t="s">
        <v>4331</v>
      </c>
      <c r="I193" s="142" t="s">
        <v>4440</v>
      </c>
      <c r="J193" s="114" t="s">
        <v>5241</v>
      </c>
      <c r="K193" s="149" t="s">
        <v>4432</v>
      </c>
      <c r="L193" s="149" t="s">
        <v>5242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5243</v>
      </c>
      <c r="AC193" s="104" t="s">
        <v>5244</v>
      </c>
      <c r="AD193" s="104" t="s">
        <v>5245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5246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>IF(AY193-KD193=0,"",AY193-O193)</f>
        <v>45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customHeight="1" x14ac:dyDescent="0.25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5240</v>
      </c>
      <c r="G194" s="103" t="s">
        <v>4330</v>
      </c>
      <c r="H194" s="103" t="s">
        <v>4331</v>
      </c>
      <c r="I194" s="142" t="s">
        <v>4343</v>
      </c>
      <c r="J194" s="149" t="s">
        <v>5247</v>
      </c>
      <c r="K194" s="149" t="s">
        <v>5248</v>
      </c>
      <c r="L194" s="149" t="s">
        <v>5249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5247</v>
      </c>
      <c r="AC194" s="104" t="s">
        <v>5248</v>
      </c>
      <c r="AD194" s="104" t="s">
        <v>5249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5250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>IF(AY194-KD194=0,"",AY194-O194)</f>
        <v>63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5251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>IF(AY195-KD195=0,"",AY195-O195)</f>
        <v>35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>IF(AY196-KD196=0,"",AY196-O196)</f>
        <v/>
      </c>
      <c r="BD196" s="103" t="str">
        <f>IF(AND(AI196&lt;&gt;"SIM",AI196="UH"),"AA","INDENIZAÇÃO")</f>
        <v>INDENIZAÇÃO</v>
      </c>
      <c r="BE196" s="103" t="str">
        <f>IF(AND(AY196&lt;&gt;"AGUARDANDO",AY196&lt;&gt;"",N196="AUXÍLIO ALUGUEL ATÉ INDENIZAÇÃO"),"SIM","NÃO")</f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72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>IF(AY197-KD197=0,"",AY197-O197)</f>
        <v/>
      </c>
      <c r="BD197" s="103" t="str">
        <f>IF(AND(AI197&lt;&gt;"SIM",AI197="UH"),"AA","INDENIZAÇÃO")</f>
        <v>AA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 x14ac:dyDescent="0.25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5263</v>
      </c>
      <c r="G199" s="103" t="s">
        <v>4330</v>
      </c>
      <c r="H199" s="103" t="s">
        <v>4331</v>
      </c>
      <c r="I199" s="142" t="s">
        <v>4343</v>
      </c>
      <c r="J199" s="149" t="s">
        <v>5267</v>
      </c>
      <c r="K199" s="149" t="s">
        <v>5268</v>
      </c>
      <c r="L199" s="149" t="s">
        <v>5269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5267</v>
      </c>
      <c r="AC199" s="104" t="s">
        <v>5268</v>
      </c>
      <c r="AD199" s="104" t="s">
        <v>5269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5270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>IF(AY199-KD199=0,"",AY199-O199)</f>
        <v>63</v>
      </c>
      <c r="BD199" s="103" t="str">
        <f>IF(AND(AI199&lt;&gt;"SIM",AI199="UH"),"AA","INDENIZAÇÃO")</f>
        <v>INDENIZAÇÃO</v>
      </c>
      <c r="BE199" s="103" t="str">
        <f>IF(AND(AY199&lt;&gt;"AGUARDANDO",AY199&lt;&gt;"",N199="AUXÍLIO ALUGUEL ATÉ INDENIZAÇÃO"),"SIM","NÃO")</f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5271</v>
      </c>
      <c r="G200" s="103" t="s">
        <v>4330</v>
      </c>
      <c r="H200" s="103" t="s">
        <v>4331</v>
      </c>
      <c r="I200" s="142" t="s">
        <v>4343</v>
      </c>
      <c r="J200" s="149" t="s">
        <v>5272</v>
      </c>
      <c r="K200" s="149" t="s">
        <v>5273</v>
      </c>
      <c r="L200" s="149" t="s">
        <v>5274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5272</v>
      </c>
      <c r="AC200" s="104" t="s">
        <v>5273</v>
      </c>
      <c r="AD200" s="104" t="s">
        <v>5274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5275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>IF(AY200-KD200=0,"",AY200-O200)</f>
        <v>42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>IF(AY201-KD201=0,"",AY201-O201)</f>
        <v/>
      </c>
      <c r="BD201" s="103" t="str">
        <f>IF(AND(AI201&lt;&gt;"SIM",AI201="UH"),"AA","INDENIZAÇÃO")</f>
        <v>AA</v>
      </c>
      <c r="BE201" s="103" t="str">
        <f>IF(AND(AY201&lt;&gt;"AGUARDANDO",AY201&lt;&gt;"",N201="AUXÍLIO ALUGUEL ATÉ INDENIZAÇÃO"),"SIM","NÃO")</f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5279</v>
      </c>
      <c r="G203" s="103" t="s">
        <v>4330</v>
      </c>
      <c r="H203" s="103" t="s">
        <v>4331</v>
      </c>
      <c r="I203" s="142" t="s">
        <v>4343</v>
      </c>
      <c r="J203" s="149" t="s">
        <v>5283</v>
      </c>
      <c r="K203" s="149" t="s">
        <v>4432</v>
      </c>
      <c r="L203" s="149" t="s">
        <v>5284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5283</v>
      </c>
      <c r="AC203" s="149" t="s">
        <v>4432</v>
      </c>
      <c r="AD203" s="149" t="s">
        <v>5284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5285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>IF(AY203-KD203=0,"",AY203-O203)</f>
        <v>117</v>
      </c>
      <c r="BD203" s="103" t="str">
        <f>IF(AND(AI203&lt;&gt;"SIM",AI203="UH"),"AA","INDENIZAÇÃO")</f>
        <v>INDENIZAÇÃO</v>
      </c>
      <c r="BE203" s="103" t="str">
        <f>IF(AND(AY203&lt;&gt;"AGUARDANDO",AY203&lt;&gt;"",N203="AUXÍLIO ALUGUEL ATÉ INDENIZAÇÃO"),"SIM","NÃO")</f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6" t="s">
        <v>4461</v>
      </c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>IF(AY204-KD204=0,"",AY204-O204)</f>
        <v/>
      </c>
      <c r="BD204" s="103" t="str">
        <f>IF(AND(AI204&lt;&gt;"SIM",AI204="UH"),"AA","INDENIZAÇÃO")</f>
        <v>AA</v>
      </c>
      <c r="BE204" s="103" t="str">
        <f>IF(AND(AY204&lt;&gt;"AGUARDANDO",AY204&lt;&gt;"",N204="AUXÍLIO ALUGUEL ATÉ INDENIZAÇÃO"),"SIM","NÃO")</f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80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 x14ac:dyDescent="0.25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5295</v>
      </c>
      <c r="G207" s="103" t="s">
        <v>4330</v>
      </c>
      <c r="H207" s="103" t="s">
        <v>4331</v>
      </c>
      <c r="I207" s="142" t="s">
        <v>4440</v>
      </c>
      <c r="J207" s="149" t="s">
        <v>5299</v>
      </c>
      <c r="K207" s="149" t="s">
        <v>4432</v>
      </c>
      <c r="L207" s="149" t="s">
        <v>5300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5301</v>
      </c>
      <c r="AC207" s="139" t="s">
        <v>5302</v>
      </c>
      <c r="AD207" s="223" t="s">
        <v>5303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>IF(AY207-KD207=0,"",AY207-O207)</f>
        <v>74</v>
      </c>
      <c r="BD207" s="103" t="str">
        <f>IF(AND(AI207&lt;&gt;"SIM",AI207="UH"),"AA","INDENIZAÇÃO")</f>
        <v>INDENIZAÇÃO</v>
      </c>
      <c r="BE207" s="103" t="str">
        <f>IF(AND(AY207&lt;&gt;"AGUARDANDO",AY207&lt;&gt;"",N207="AUXÍLIO ALUGUEL ATÉ INDENIZAÇÃO"),"SIM","NÃO")</f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6" t="s">
        <v>4461</v>
      </c>
      <c r="BM207" s="239"/>
    </row>
    <row r="208" spans="1:68" s="232" customFormat="1" ht="29.25" customHeight="1" x14ac:dyDescent="0.25">
      <c r="A208" s="165">
        <v>199</v>
      </c>
      <c r="B208" s="103" t="s">
        <v>4431</v>
      </c>
      <c r="C208" s="103" t="s">
        <v>5294</v>
      </c>
      <c r="D208" s="103">
        <v>1</v>
      </c>
      <c r="E208" s="103" t="s">
        <v>4432</v>
      </c>
      <c r="F208" s="104" t="s">
        <v>5305</v>
      </c>
      <c r="G208" s="103" t="s">
        <v>4330</v>
      </c>
      <c r="H208" s="103" t="s">
        <v>4331</v>
      </c>
      <c r="I208" s="142" t="s">
        <v>4343</v>
      </c>
      <c r="J208" s="149" t="s">
        <v>5306</v>
      </c>
      <c r="K208" s="149" t="s">
        <v>5307</v>
      </c>
      <c r="L208" s="149" t="s">
        <v>5308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5306</v>
      </c>
      <c r="AC208" s="173" t="s">
        <v>5307</v>
      </c>
      <c r="AD208" s="173" t="s">
        <v>5308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5309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>IF(AY208-KD208=0,"",AY208-O208)</f>
        <v>42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5305</v>
      </c>
      <c r="G209" s="103" t="s">
        <v>4330</v>
      </c>
      <c r="H209" s="103" t="s">
        <v>4331</v>
      </c>
      <c r="I209" s="142" t="s">
        <v>4440</v>
      </c>
      <c r="J209" s="149" t="s">
        <v>5310</v>
      </c>
      <c r="K209" s="149" t="s">
        <v>5311</v>
      </c>
      <c r="L209" s="149" t="s">
        <v>5312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5313</v>
      </c>
      <c r="AB209" s="149" t="s">
        <v>5314</v>
      </c>
      <c r="AC209" s="104" t="s">
        <v>5315</v>
      </c>
      <c r="AD209" s="104" t="s">
        <v>5316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5317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>IF(AY209-KD209=0,"",AY209-O209)</f>
        <v>102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6" t="s">
        <v>4461</v>
      </c>
      <c r="BM209" s="237"/>
    </row>
    <row r="210" spans="1:67" s="232" customFormat="1" ht="29.25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5318</v>
      </c>
      <c r="G210" s="103" t="s">
        <v>4330</v>
      </c>
      <c r="H210" s="103" t="s">
        <v>4331</v>
      </c>
      <c r="I210" s="142" t="s">
        <v>4343</v>
      </c>
      <c r="J210" s="149" t="s">
        <v>5319</v>
      </c>
      <c r="K210" s="149" t="s">
        <v>4432</v>
      </c>
      <c r="L210" s="149" t="s">
        <v>5320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5319</v>
      </c>
      <c r="AC210" s="104" t="s">
        <v>4432</v>
      </c>
      <c r="AD210" s="104" t="s">
        <v>5320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5321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>IF(AY210-KD210=0,"",AY210-O210)</f>
        <v>28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>IF(AY211-KD211=0,"",AY211-O211)</f>
        <v/>
      </c>
      <c r="BD211" s="103" t="str">
        <f>IF(AND(AI211&lt;&gt;"SIM",AI211="UH"),"AA","INDENIZAÇÃO")</f>
        <v>AA</v>
      </c>
      <c r="BE211" s="103" t="str">
        <f>IF(AND(AY211&lt;&gt;"AGUARDANDO",AY211&lt;&gt;"",N211="AUXÍLIO ALUGUEL ATÉ INDENIZAÇÃO"),"SIM","NÃO")</f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5325</v>
      </c>
      <c r="G213" s="103" t="s">
        <v>4330</v>
      </c>
      <c r="H213" s="103" t="s">
        <v>4331</v>
      </c>
      <c r="I213" s="142" t="s">
        <v>4343</v>
      </c>
      <c r="J213" s="149" t="s">
        <v>5329</v>
      </c>
      <c r="K213" s="149" t="s">
        <v>5330</v>
      </c>
      <c r="L213" s="149" t="s">
        <v>5331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5329</v>
      </c>
      <c r="AC213" s="104" t="s">
        <v>5330</v>
      </c>
      <c r="AD213" s="104" t="s">
        <v>5331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5332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>IF(AY213-KD213=0,"",AY213-O213)</f>
        <v>56</v>
      </c>
      <c r="BD213" s="103" t="str">
        <f>IF(AND(AI213&lt;&gt;"SIM",AI213="UH"),"AA","INDENIZAÇÃO")</f>
        <v>INDENIZAÇÃO</v>
      </c>
      <c r="BE213" s="103" t="str">
        <f>IF(AND(AY213&lt;&gt;"AGUARDANDO",AY213&lt;&gt;"",N213="AUXÍLIO ALUGUEL ATÉ INDENIZAÇÃO"),"SIM","NÃO")</f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6" t="s">
        <v>4461</v>
      </c>
      <c r="BM213" s="237"/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>IF(AY214-KD214=0,"",AY214-O214)</f>
        <v/>
      </c>
      <c r="BD214" s="103" t="str">
        <f>IF(AND(AI214&lt;&gt;"SIM",AI214="UH"),"AA","INDENIZAÇÃO")</f>
        <v>AA</v>
      </c>
      <c r="BE214" s="103" t="str">
        <f>IF(AND(AY214&lt;&gt;"AGUARDANDO",AY214&lt;&gt;"",N214="AUXÍLIO ALUGUEL ATÉ INDENIZAÇÃO"),"SIM","NÃO")</f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 x14ac:dyDescent="0.25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5337</v>
      </c>
      <c r="G215" s="103" t="s">
        <v>4330</v>
      </c>
      <c r="H215" s="103" t="s">
        <v>4331</v>
      </c>
      <c r="I215" s="142" t="s">
        <v>4343</v>
      </c>
      <c r="J215" s="149" t="s">
        <v>5338</v>
      </c>
      <c r="K215" s="149" t="s">
        <v>5339</v>
      </c>
      <c r="L215" s="149" t="s">
        <v>5340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5338</v>
      </c>
      <c r="AC215" s="104" t="s">
        <v>5339</v>
      </c>
      <c r="AD215" s="104" t="s">
        <v>5340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5341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>IF(AY215-KD215=0,"",AY215-O215)</f>
        <v>69</v>
      </c>
      <c r="BD215" s="103" t="str">
        <f>IF(AND(AI215&lt;&gt;"SIM",AI215="UH"),"AA","INDENIZAÇÃO")</f>
        <v>INDENIZAÇÃO</v>
      </c>
      <c r="BE215" s="103" t="str">
        <f>IF(AND(AY215&lt;&gt;"AGUARDANDO",AY215&lt;&gt;"",N215="AUXÍLIO ALUGUEL ATÉ INDENIZAÇÃO"),"SIM","NÃO")</f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6" t="s">
        <v>4461</v>
      </c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>IF(AY216-KD216=0,"",AY216-O216)</f>
        <v/>
      </c>
      <c r="BD216" s="103" t="str">
        <f>IF(AND(AI216&lt;&gt;"SIM",AI216="UH"),"AA","INDENIZAÇÃO")</f>
        <v>AA</v>
      </c>
      <c r="BE216" s="103" t="str">
        <f>IF(AND(AY216&lt;&gt;"AGUARDANDO",AY216&lt;&gt;"",N216="AUXÍLIO ALUGUEL ATÉ INDENIZAÇÃO"),"SIM","NÃO")</f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5350</v>
      </c>
      <c r="G218" s="103" t="s">
        <v>4330</v>
      </c>
      <c r="H218" s="103" t="s">
        <v>4331</v>
      </c>
      <c r="I218" s="142" t="s">
        <v>4343</v>
      </c>
      <c r="J218" s="149" t="s">
        <v>5351</v>
      </c>
      <c r="K218" s="149" t="s">
        <v>5352</v>
      </c>
      <c r="L218" s="149" t="s">
        <v>5353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5351</v>
      </c>
      <c r="AC218" s="104" t="s">
        <v>5352</v>
      </c>
      <c r="AD218" s="104" t="s">
        <v>5353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5354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>IF(AY218-KD218=0,"",AY218-O218)</f>
        <v>77</v>
      </c>
      <c r="BD218" s="103" t="str">
        <f>IF(AND(AI218&lt;&gt;"SIM",AI218="UH"),"AA","INDENIZAÇÃO")</f>
        <v>INDENIZAÇÃO</v>
      </c>
      <c r="BE218" s="103" t="str">
        <f>IF(AND(AY218&lt;&gt;"AGUARDANDO",AY218&lt;&gt;"",N218="AUXÍLIO ALUGUEL ATÉ INDENIZAÇÃO"),"SIM","NÃO")</f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6" t="s">
        <v>4461</v>
      </c>
      <c r="BM218" s="239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>IF(AY219-KD219=0,"",AY219-O219)</f>
        <v/>
      </c>
      <c r="BD219" s="103" t="str">
        <f>IF(AND(AI219&lt;&gt;"SIM",AI219="UH"),"AA","INDENIZAÇÃO")</f>
        <v>AA</v>
      </c>
      <c r="BE219" s="103" t="str">
        <f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5363</v>
      </c>
      <c r="G222" s="103" t="s">
        <v>4330</v>
      </c>
      <c r="H222" s="103" t="s">
        <v>4331</v>
      </c>
      <c r="I222" s="142" t="s">
        <v>4343</v>
      </c>
      <c r="J222" s="149" t="s">
        <v>5367</v>
      </c>
      <c r="K222" s="149" t="s">
        <v>5368</v>
      </c>
      <c r="L222" s="149" t="s">
        <v>5369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5367</v>
      </c>
      <c r="AC222" s="104" t="s">
        <v>5368</v>
      </c>
      <c r="AD222" s="104" t="s">
        <v>5369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5370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>IF(AY222-KD222=0,"",AY222-O222)</f>
        <v>94</v>
      </c>
      <c r="BD222" s="103" t="str">
        <f>IF(AND(AI222&lt;&gt;"SIM",AI222="UH"),"AA","INDENIZAÇÃO")</f>
        <v>INDENIZAÇÃO</v>
      </c>
      <c r="BE222" s="103" t="str">
        <f>IF(AND(AY222&lt;&gt;"AGUARDANDO",AY222&lt;&gt;"",N222="AUXÍLIO ALUGUEL ATÉ INDENIZAÇÃO"),"SIM","NÃO")</f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6" t="s">
        <v>4461</v>
      </c>
      <c r="BM222" s="239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>IF(AY223-KD223=0,"",AY223-O223)</f>
        <v/>
      </c>
      <c r="BD223" s="103" t="str">
        <f>IF(AND(AI223&lt;&gt;"SIM",AI223="UH"),"AA","INDENIZAÇÃO")</f>
        <v>AA</v>
      </c>
      <c r="BE223" s="103" t="str">
        <f>IF(AND(AY223&lt;&gt;"AGUARDANDO",AY223&lt;&gt;"",N223="AUXÍLIO ALUGUEL ATÉ INDENIZAÇÃO"),"SIM","NÃO")</f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5375</v>
      </c>
      <c r="G224" s="103" t="s">
        <v>4330</v>
      </c>
      <c r="H224" s="103" t="s">
        <v>4331</v>
      </c>
      <c r="I224" s="142" t="s">
        <v>4343</v>
      </c>
      <c r="J224" s="149" t="s">
        <v>5376</v>
      </c>
      <c r="K224" s="149" t="s">
        <v>5377</v>
      </c>
      <c r="L224" s="149" t="s">
        <v>5378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5376</v>
      </c>
      <c r="AC224" s="104" t="s">
        <v>5377</v>
      </c>
      <c r="AD224" s="104" t="s">
        <v>5378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5379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>IF(AY224-KD224=0,"",AY224-O224)</f>
        <v>101</v>
      </c>
      <c r="BD224" s="103" t="str">
        <f>IF(AND(AI224&lt;&gt;"SIM",AI224="UH"),"AA","INDENIZAÇÃO")</f>
        <v>INDENIZAÇÃO</v>
      </c>
      <c r="BE224" s="103" t="str">
        <f>IF(AND(AY224&lt;&gt;"AGUARDANDO",AY224&lt;&gt;"",N224="AUXÍLIO ALUGUEL ATÉ INDENIZAÇÃO"),"SIM","NÃO")</f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6" t="s">
        <v>4461</v>
      </c>
      <c r="BM224" s="239"/>
    </row>
    <row r="225" spans="1:67" s="232" customFormat="1" ht="29.25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5380</v>
      </c>
      <c r="G225" s="103" t="s">
        <v>4330</v>
      </c>
      <c r="H225" s="103" t="s">
        <v>4331</v>
      </c>
      <c r="I225" s="142" t="s">
        <v>4343</v>
      </c>
      <c r="J225" s="149" t="s">
        <v>5381</v>
      </c>
      <c r="K225" s="149" t="s">
        <v>5382</v>
      </c>
      <c r="L225" s="149" t="s">
        <v>5383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5381</v>
      </c>
      <c r="AC225" s="149" t="s">
        <v>5382</v>
      </c>
      <c r="AD225" s="149" t="s">
        <v>5383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5384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>IF(AY225-KD225=0,"",AY225-O225)</f>
        <v>94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6" t="s">
        <v>4461</v>
      </c>
      <c r="BM225" s="239"/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>IF(AY226-KD226=0,"",AY226-O226)</f>
        <v/>
      </c>
      <c r="BD226" s="103" t="str">
        <f>IF(AND(AI226&lt;&gt;"SIM",AI226="UH"),"AA","INDENIZAÇÃO")</f>
        <v>AA</v>
      </c>
      <c r="BE226" s="103" t="str">
        <f>IF(AND(AY226&lt;&gt;"AGUARDANDO",AY226&lt;&gt;"",N226="AUXÍLIO ALUGUEL ATÉ INDENIZAÇÃO"),"SIM","NÃO")</f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5385</v>
      </c>
      <c r="G227" s="103" t="s">
        <v>4330</v>
      </c>
      <c r="H227" s="103" t="s">
        <v>4331</v>
      </c>
      <c r="I227" s="142" t="s">
        <v>4343</v>
      </c>
      <c r="J227" s="149" t="s">
        <v>5389</v>
      </c>
      <c r="K227" s="149" t="s">
        <v>5390</v>
      </c>
      <c r="L227" s="149" t="s">
        <v>5391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5389</v>
      </c>
      <c r="AC227" s="149" t="s">
        <v>5390</v>
      </c>
      <c r="AD227" s="149" t="s">
        <v>5391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5392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>IF(AY227-KD227=0,"",AY227-O227)</f>
        <v>96</v>
      </c>
      <c r="BD227" s="103" t="str">
        <f>IF(AND(AI227&lt;&gt;"SIM",AI227="UH"),"AA","INDENIZAÇÃO")</f>
        <v>INDENIZAÇÃO</v>
      </c>
      <c r="BE227" s="103" t="str">
        <f>IF(AND(AY227&lt;&gt;"AGUARDANDO",AY227&lt;&gt;"",N227="AUXÍLIO ALUGUEL ATÉ INDENIZAÇÃO"),"SIM","NÃO")</f>
        <v>NÃO</v>
      </c>
      <c r="BF227" s="250" t="s">
        <v>4357</v>
      </c>
      <c r="BG227" s="250" t="s">
        <v>4357</v>
      </c>
      <c r="BH227" s="250" t="s">
        <v>4357</v>
      </c>
      <c r="BI227" s="251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>IF(AY228-KD228=0,"",AY228-O228)</f>
        <v/>
      </c>
      <c r="BD228" s="103" t="str">
        <f>IF(AND(AI228&lt;&gt;"SIM",AI228="UH"),"AA","INDENIZAÇÃO")</f>
        <v>AA</v>
      </c>
      <c r="BE228" s="103" t="str">
        <f>IF(AND(AY228&lt;&gt;"AGUARDANDO",AY228&lt;&gt;"",N228="AUXÍLIO ALUGUEL ATÉ INDENIZAÇÃO"),"SIM","NÃO")</f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 x14ac:dyDescent="0.25">
      <c r="A230" s="165">
        <v>221</v>
      </c>
      <c r="B230" s="103" t="s">
        <v>4431</v>
      </c>
      <c r="C230" s="103" t="s">
        <v>5294</v>
      </c>
      <c r="D230" s="103">
        <v>1</v>
      </c>
      <c r="E230" s="103" t="s">
        <v>4432</v>
      </c>
      <c r="F230" s="104" t="s">
        <v>5401</v>
      </c>
      <c r="G230" s="103" t="s">
        <v>4351</v>
      </c>
      <c r="H230" s="103" t="s">
        <v>4331</v>
      </c>
      <c r="I230" s="153" t="s">
        <v>4332</v>
      </c>
      <c r="J230" s="149" t="s">
        <v>5402</v>
      </c>
      <c r="K230" s="149" t="s">
        <v>5403</v>
      </c>
      <c r="L230" s="149" t="s">
        <v>5404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5402</v>
      </c>
      <c r="AC230" s="104" t="s">
        <v>5403</v>
      </c>
      <c r="AD230" s="104" t="s">
        <v>5404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>IF(AY230-KD230=0,"",AY230-O230)</f>
        <v>42</v>
      </c>
      <c r="BD230" s="103" t="str">
        <f>IF(AND(AI230&lt;&gt;"SIM",AI230="UH"),"AA","INDENIZAÇÃO")</f>
        <v>INDENIZAÇÃO</v>
      </c>
      <c r="BE230" s="103" t="str">
        <f>IF(AND(AY230&lt;&gt;"AGUARDANDO",AY230&lt;&gt;"",N230="AUXÍLIO ALUGUEL ATÉ INDENIZAÇÃO"),"SIM","NÃO")</f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>IF(AY231-KD231=0,"",AY231-O231)</f>
        <v/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80"/>
      <c r="AV232" s="112"/>
      <c r="AW232" s="103"/>
      <c r="AX232" s="105"/>
      <c r="AY232" s="166"/>
      <c r="AZ232" s="105"/>
      <c r="BA232" s="103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80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80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>IF(AY235-KD235=0,"",AY235-O235)</f>
        <v/>
      </c>
      <c r="BD235" s="103" t="str">
        <f>IF(AND(AI235&lt;&gt;"SIM",AI235="UH"),"AA","INDENIZAÇÃO")</f>
        <v>AA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5434</v>
      </c>
      <c r="G237" s="103" t="s">
        <v>4330</v>
      </c>
      <c r="H237" s="103" t="s">
        <v>4331</v>
      </c>
      <c r="I237" s="142" t="s">
        <v>4343</v>
      </c>
      <c r="J237" s="149" t="s">
        <v>5435</v>
      </c>
      <c r="K237" s="149" t="s">
        <v>5436</v>
      </c>
      <c r="L237" s="149" t="s">
        <v>5437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5435</v>
      </c>
      <c r="AC237" s="104" t="s">
        <v>5436</v>
      </c>
      <c r="AD237" s="104" t="s">
        <v>5437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5438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>IF(AY237-KD237=0,"",AY237-O237)</f>
        <v>84</v>
      </c>
      <c r="BD237" s="103" t="str">
        <f>IF(AND(AI237&lt;&gt;"SIM",AI237="UH"),"AA","INDENIZAÇÃO")</f>
        <v>INDENIZAÇÃO</v>
      </c>
      <c r="BE237" s="103" t="str">
        <f>IF(AND(AY237&lt;&gt;"AGUARDANDO",AY237&lt;&gt;"",N237="AUXÍLIO ALUGUEL ATÉ INDENIZAÇÃO"),"SIM","NÃO")</f>
        <v>NÃO</v>
      </c>
      <c r="BF237" s="112" t="s">
        <v>4357</v>
      </c>
      <c r="BG237" s="112" t="s">
        <v>4357</v>
      </c>
      <c r="BH237" s="112" t="s">
        <v>4357</v>
      </c>
      <c r="BI237" s="109" t="s">
        <v>5393</v>
      </c>
      <c r="BJ237" s="109"/>
      <c r="BK237" s="109"/>
      <c r="BL237" s="109"/>
      <c r="BM237" s="239"/>
    </row>
    <row r="238" spans="1:67" s="232" customFormat="1" ht="29.25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5439</v>
      </c>
      <c r="G238" s="103" t="s">
        <v>4330</v>
      </c>
      <c r="H238" s="103" t="s">
        <v>4331</v>
      </c>
      <c r="I238" s="142" t="s">
        <v>4343</v>
      </c>
      <c r="J238" s="149" t="s">
        <v>5440</v>
      </c>
      <c r="K238" s="149" t="s">
        <v>5441</v>
      </c>
      <c r="L238" s="149" t="s">
        <v>5442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5440</v>
      </c>
      <c r="AC238" s="104" t="s">
        <v>5441</v>
      </c>
      <c r="AD238" s="104" t="s">
        <v>5442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5443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>IF(AY238-KD238=0,"",AY238-O238)</f>
        <v>101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12" t="s">
        <v>4357</v>
      </c>
      <c r="BG238" s="112" t="s">
        <v>4357</v>
      </c>
      <c r="BH238" s="112" t="s">
        <v>4357</v>
      </c>
      <c r="BI238" s="109" t="s">
        <v>5393</v>
      </c>
      <c r="BJ238" s="109"/>
      <c r="BK238" s="109"/>
      <c r="BL238" s="109"/>
      <c r="BM238" s="239"/>
      <c r="BN238" s="231"/>
      <c r="BO238" s="231"/>
    </row>
    <row r="239" spans="1:67" s="232" customFormat="1" ht="29.25" customHeight="1" x14ac:dyDescent="0.25">
      <c r="A239" s="103">
        <v>230</v>
      </c>
      <c r="B239" s="103" t="s">
        <v>4431</v>
      </c>
      <c r="C239" s="103" t="s">
        <v>5294</v>
      </c>
      <c r="D239" s="103">
        <v>1</v>
      </c>
      <c r="E239" s="103" t="s">
        <v>4432</v>
      </c>
      <c r="F239" s="104" t="s">
        <v>5444</v>
      </c>
      <c r="G239" s="103" t="s">
        <v>4330</v>
      </c>
      <c r="H239" s="103" t="s">
        <v>4331</v>
      </c>
      <c r="I239" s="142" t="s">
        <v>4343</v>
      </c>
      <c r="J239" s="149" t="s">
        <v>5445</v>
      </c>
      <c r="K239" s="149" t="s">
        <v>5446</v>
      </c>
      <c r="L239" s="149" t="s">
        <v>5447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5445</v>
      </c>
      <c r="AC239" s="149" t="s">
        <v>5446</v>
      </c>
      <c r="AD239" s="149" t="s">
        <v>5447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5448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>IF(AY239-KD239=0,"",AY239-O239)</f>
        <v>42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5449</v>
      </c>
      <c r="G240" s="103" t="s">
        <v>4330</v>
      </c>
      <c r="H240" s="103" t="s">
        <v>4331</v>
      </c>
      <c r="I240" s="142" t="s">
        <v>4343</v>
      </c>
      <c r="J240" s="149" t="s">
        <v>5450</v>
      </c>
      <c r="K240" s="149" t="s">
        <v>5451</v>
      </c>
      <c r="L240" s="149" t="s">
        <v>5452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5450</v>
      </c>
      <c r="AC240" s="104" t="s">
        <v>5451</v>
      </c>
      <c r="AD240" s="104" t="s">
        <v>5452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5453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>IF(AY240-KD240=0,"",AY240-O240)</f>
        <v>101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12" t="s">
        <v>4357</v>
      </c>
      <c r="BG240" s="112" t="s">
        <v>4357</v>
      </c>
      <c r="BH240" s="112" t="s">
        <v>4357</v>
      </c>
      <c r="BI240" s="109" t="s">
        <v>5393</v>
      </c>
      <c r="BJ240" s="109"/>
      <c r="BK240" s="109"/>
      <c r="BL240" s="109"/>
      <c r="BM240" s="239"/>
    </row>
    <row r="241" spans="1:107" s="232" customFormat="1" ht="29.25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5454</v>
      </c>
      <c r="G241" s="103" t="s">
        <v>4330</v>
      </c>
      <c r="H241" s="103" t="s">
        <v>4331</v>
      </c>
      <c r="I241" s="142" t="s">
        <v>4343</v>
      </c>
      <c r="J241" s="149" t="s">
        <v>5455</v>
      </c>
      <c r="K241" s="149" t="s">
        <v>5456</v>
      </c>
      <c r="L241" s="149" t="s">
        <v>5457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5455</v>
      </c>
      <c r="AC241" s="104" t="s">
        <v>5456</v>
      </c>
      <c r="AD241" s="104" t="s">
        <v>5457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5458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>IF(AY241-KD241=0,"",AY241-O241)</f>
        <v>25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5459</v>
      </c>
      <c r="G242" s="103" t="s">
        <v>4330</v>
      </c>
      <c r="H242" s="103" t="s">
        <v>4331</v>
      </c>
      <c r="I242" s="142" t="s">
        <v>4343</v>
      </c>
      <c r="J242" s="149" t="s">
        <v>5460</v>
      </c>
      <c r="K242" s="149" t="s">
        <v>5461</v>
      </c>
      <c r="L242" s="149" t="s">
        <v>5462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5460</v>
      </c>
      <c r="AC242" s="104" t="s">
        <v>5461</v>
      </c>
      <c r="AD242" s="104" t="s">
        <v>5462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5463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>IF(AY242-KD242=0,"",AY242-O242)</f>
        <v>63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12" t="s">
        <v>4357</v>
      </c>
      <c r="BG242" s="112" t="s">
        <v>4357</v>
      </c>
      <c r="BH242" s="112" t="s">
        <v>4357</v>
      </c>
      <c r="BI242" s="109" t="s">
        <v>5393</v>
      </c>
      <c r="BJ242" s="109"/>
      <c r="BK242" s="109"/>
      <c r="BL242" s="109"/>
      <c r="BM242" s="239"/>
    </row>
    <row r="243" spans="1:107" s="232" customFormat="1" ht="29.25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5464</v>
      </c>
      <c r="G243" s="103" t="s">
        <v>4330</v>
      </c>
      <c r="H243" s="103" t="s">
        <v>4331</v>
      </c>
      <c r="I243" s="142" t="s">
        <v>4343</v>
      </c>
      <c r="J243" s="149" t="s">
        <v>5465</v>
      </c>
      <c r="K243" s="149" t="s">
        <v>5466</v>
      </c>
      <c r="L243" s="149" t="s">
        <v>5467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5465</v>
      </c>
      <c r="AC243" s="104" t="s">
        <v>5466</v>
      </c>
      <c r="AD243" s="104" t="s">
        <v>5467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5468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>IF(AY243-KD243=0,"",AY243-O243)</f>
        <v>69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40" t="s">
        <v>4357</v>
      </c>
      <c r="BG243" s="140" t="s">
        <v>4357</v>
      </c>
      <c r="BH243" s="140" t="s">
        <v>4357</v>
      </c>
      <c r="BI243" s="154" t="s">
        <v>5393</v>
      </c>
      <c r="BJ243" s="154"/>
      <c r="BK243" s="154"/>
      <c r="BL243" s="154"/>
      <c r="BM243" s="237"/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>IF(AY244-KD244=0,"",AY244-O244)</f>
        <v/>
      </c>
      <c r="BD244" s="103" t="str">
        <f>IF(AND(AI244&lt;&gt;"SIM",AI244="UH"),"AA","INDENIZAÇÃO")</f>
        <v>AA</v>
      </c>
      <c r="BE244" s="103" t="str">
        <f>IF(AND(AY244&lt;&gt;"AGUARDANDO",AY244&lt;&gt;"",N244="AUXÍLIO ALUGUEL ATÉ INDENIZAÇÃO"),"SIM","NÃO")</f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5473</v>
      </c>
      <c r="G245" s="103" t="s">
        <v>4330</v>
      </c>
      <c r="H245" s="103" t="s">
        <v>4331</v>
      </c>
      <c r="I245" s="142" t="s">
        <v>4343</v>
      </c>
      <c r="J245" s="149" t="s">
        <v>5474</v>
      </c>
      <c r="K245" s="149" t="s">
        <v>5475</v>
      </c>
      <c r="L245" s="149" t="s">
        <v>5476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5474</v>
      </c>
      <c r="AC245" s="149" t="s">
        <v>5475</v>
      </c>
      <c r="AD245" s="149" t="s">
        <v>5476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5477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>IF(AY245-KD245=0,"",AY245-O245)</f>
        <v>23</v>
      </c>
      <c r="BD245" s="103" t="str">
        <f>IF(AND(AI245&lt;&gt;"SIM",AI245="UH"),"AA","INDENIZAÇÃO")</f>
        <v>INDENIZAÇÃO</v>
      </c>
      <c r="BE245" s="103" t="str">
        <f>IF(AND(AY245&lt;&gt;"AGUARDANDO",AY245&lt;&gt;"",N245="AUXÍLIO ALUGUEL ATÉ INDENIZAÇÃO"),"SIM","NÃO")</f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>IF(AY246-KD246=0,"",AY246-O246)</f>
        <v/>
      </c>
      <c r="BD246" s="103" t="str">
        <f>IF(AND(AI246&lt;&gt;"SIM",AI246="UH"),"AA","INDENIZAÇÃO")</f>
        <v>AA</v>
      </c>
      <c r="BE246" s="103" t="str">
        <f>IF(AND(AY246&lt;&gt;"AGUARDANDO",AY246&lt;&gt;"",N246="AUXÍLIO ALUGUEL ATÉ INDENIZAÇÃO"),"SIM","NÃO")</f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 x14ac:dyDescent="0.25">
      <c r="A248" s="165">
        <v>239</v>
      </c>
      <c r="B248" s="103" t="s">
        <v>4431</v>
      </c>
      <c r="C248" s="103" t="s">
        <v>5294</v>
      </c>
      <c r="D248" s="103">
        <v>1</v>
      </c>
      <c r="E248" s="103" t="s">
        <v>4432</v>
      </c>
      <c r="F248" s="104" t="s">
        <v>5485</v>
      </c>
      <c r="G248" s="103" t="s">
        <v>4330</v>
      </c>
      <c r="H248" s="103" t="s">
        <v>4331</v>
      </c>
      <c r="I248" s="142" t="s">
        <v>4343</v>
      </c>
      <c r="J248" s="114" t="s">
        <v>5486</v>
      </c>
      <c r="K248" s="149" t="s">
        <v>5487</v>
      </c>
      <c r="L248" s="149" t="s">
        <v>5488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5486</v>
      </c>
      <c r="AC248" s="104" t="s">
        <v>5487</v>
      </c>
      <c r="AD248" s="114" t="s">
        <v>5488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5489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>IF(AY248-KD248=0,"",AY248-O248)</f>
        <v>42</v>
      </c>
      <c r="BD248" s="103" t="str">
        <f>IF(AND(AI248&lt;&gt;"SIM",AI248="UH"),"AA","INDENIZAÇÃO")</f>
        <v>INDENIZAÇÃO</v>
      </c>
      <c r="BE248" s="103" t="str">
        <f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>IF(AY249-KD249=0,"",AY249-O249)</f>
        <v/>
      </c>
      <c r="BD249" s="103" t="str">
        <f>IF(AND(AI249&lt;&gt;"SIM",AI249="UH"),"AA","INDENIZAÇÃO")</f>
        <v>AA</v>
      </c>
      <c r="BE249" s="103" t="str">
        <f>IF(AND(AY249&lt;&gt;"AGUARDANDO",AY249&lt;&gt;"",N249="AUXÍLIO ALUGUEL ATÉ INDENIZAÇÃO"),"SIM","NÃO")</f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 x14ac:dyDescent="0.25">
      <c r="A251" s="103">
        <v>242</v>
      </c>
      <c r="B251" s="103" t="s">
        <v>4431</v>
      </c>
      <c r="C251" s="103" t="s">
        <v>5294</v>
      </c>
      <c r="D251" s="103">
        <v>1</v>
      </c>
      <c r="E251" s="103" t="s">
        <v>4432</v>
      </c>
      <c r="F251" s="104" t="s">
        <v>5498</v>
      </c>
      <c r="G251" s="103" t="s">
        <v>4330</v>
      </c>
      <c r="H251" s="103" t="s">
        <v>4331</v>
      </c>
      <c r="I251" s="142" t="s">
        <v>4343</v>
      </c>
      <c r="J251" s="114" t="s">
        <v>5499</v>
      </c>
      <c r="K251" s="149" t="s">
        <v>5500</v>
      </c>
      <c r="L251" s="149" t="s">
        <v>5501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5499</v>
      </c>
      <c r="AC251" s="104" t="s">
        <v>5500</v>
      </c>
      <c r="AD251" s="104" t="s">
        <v>5501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5502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>IF(AY251-KD251=0,"",AY251-O251)</f>
        <v>35</v>
      </c>
      <c r="BD251" s="103" t="str">
        <f>IF(AND(AI251&lt;&gt;"SIM",AI251="UH"),"AA","INDENIZAÇÃO")</f>
        <v>INDENIZAÇÃO</v>
      </c>
      <c r="BE251" s="103" t="str">
        <f>IF(AND(AY251&lt;&gt;"AGUARDANDO",AY251&lt;&gt;"",N251="AUXÍLIO ALUGUEL ATÉ INDENIZAÇÃO"),"SIM","NÃO")</f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>IF(AY252-KD252=0,"",AY252-O252)</f>
        <v/>
      </c>
      <c r="BD252" s="103" t="str">
        <f>IF(AND(AI252&lt;&gt;"SIM",AI252="UH"),"AA","INDENIZAÇÃO")</f>
        <v>AA</v>
      </c>
      <c r="BE252" s="103" t="str">
        <f>IF(AND(AY252&lt;&gt;"AGUARDANDO",AY252&lt;&gt;"",N252="AUXÍLIO ALUGUEL ATÉ INDENIZAÇÃO"),"SIM","NÃO")</f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>IF(AY257-KD257=0,"",AY257-O257)</f>
        <v/>
      </c>
      <c r="BD257" s="103" t="str">
        <f>IF(AND(AI257&lt;&gt;"SIM",AI257="UH"),"AA","INDENIZAÇÃO")</f>
        <v>INDENIZAÇÃO</v>
      </c>
      <c r="BE257" s="103" t="str">
        <f>IF(AND(AY257&lt;&gt;"AGUARDANDO",AY257&lt;&gt;"",N257="AUXÍLIO ALUGUEL ATÉ INDENIZAÇÃO"),"SIM","NÃO")</f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>IF(AY258-KD258=0,"",AY258-O258)</f>
        <v/>
      </c>
      <c r="BD258" s="103" t="str">
        <f>IF(AND(AI258&lt;&gt;"SIM",AI258="UH"),"AA","INDENIZAÇÃO")</f>
        <v>AA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 x14ac:dyDescent="0.25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5546</v>
      </c>
      <c r="G264" s="103" t="s">
        <v>4351</v>
      </c>
      <c r="H264" s="103" t="s">
        <v>4351</v>
      </c>
      <c r="I264" s="153" t="s">
        <v>4332</v>
      </c>
      <c r="J264" s="149" t="s">
        <v>5547</v>
      </c>
      <c r="K264" s="149" t="s">
        <v>5548</v>
      </c>
      <c r="L264" s="149" t="s">
        <v>5549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5547</v>
      </c>
      <c r="AC264" s="104" t="s">
        <v>5548</v>
      </c>
      <c r="AD264" s="104" t="s">
        <v>5549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5550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>IF(AY264-KD264=0,"",AY264-O264)</f>
        <v>21</v>
      </c>
      <c r="BD264" s="103" t="str">
        <f>IF(AND(AI264&lt;&gt;"SIM",AI264="UH"),"AA","INDENIZAÇÃO")</f>
        <v>INDENIZAÇÃO</v>
      </c>
      <c r="BE264" s="103" t="str">
        <f>IF(AND(AY264&lt;&gt;"AGUARDANDO",AY264&lt;&gt;"",N264="AUXÍLIO ALUGUEL ATÉ INDENIZAÇÃO"),"SIM","NÃO")</f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5546</v>
      </c>
      <c r="G265" s="103" t="s">
        <v>4330</v>
      </c>
      <c r="H265" s="103" t="s">
        <v>4331</v>
      </c>
      <c r="I265" s="142" t="s">
        <v>4343</v>
      </c>
      <c r="J265" s="149" t="s">
        <v>5551</v>
      </c>
      <c r="K265" s="149" t="s">
        <v>5552</v>
      </c>
      <c r="L265" s="149" t="s">
        <v>5553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5551</v>
      </c>
      <c r="AC265" s="104" t="s">
        <v>5552</v>
      </c>
      <c r="AD265" s="104" t="s">
        <v>5553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5554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>IF(AY265-KD265=0,"",AY265-O265)</f>
        <v>137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250" t="s">
        <v>4357</v>
      </c>
      <c r="BG265" s="250" t="s">
        <v>4357</v>
      </c>
      <c r="BH265" s="250" t="s">
        <v>4357</v>
      </c>
      <c r="BI265" s="251" t="s">
        <v>5393</v>
      </c>
      <c r="BJ265" s="154"/>
      <c r="BK265" s="154"/>
      <c r="BL265" s="154"/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>IF(AY266-KD266=0,"",AY266-O266)</f>
        <v/>
      </c>
      <c r="BD266" s="103" t="str">
        <f>IF(AND(AI266&lt;&gt;"SIM",AI266="UH"),"AA","INDENIZAÇÃO")</f>
        <v>AA</v>
      </c>
      <c r="BE266" s="103" t="str">
        <f>IF(AND(AY266&lt;&gt;"AGUARDANDO",AY266&lt;&gt;"",N266="AUXÍLIO ALUGUEL ATÉ INDENIZAÇÃO"),"SIM","NÃO")</f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5555</v>
      </c>
      <c r="G267" s="103" t="s">
        <v>4330</v>
      </c>
      <c r="H267" s="103" t="s">
        <v>4352</v>
      </c>
      <c r="I267" s="142" t="s">
        <v>4343</v>
      </c>
      <c r="J267" s="114" t="s">
        <v>5559</v>
      </c>
      <c r="K267" s="149" t="s">
        <v>5560</v>
      </c>
      <c r="L267" s="149" t="s">
        <v>5561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5559</v>
      </c>
      <c r="AC267" s="149" t="s">
        <v>5560</v>
      </c>
      <c r="AD267" s="149" t="s">
        <v>5561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5562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>IF(AY267-KD267=0,"",AY267-O267)</f>
        <v>46</v>
      </c>
      <c r="BD267" s="103" t="str">
        <f>IF(AND(AI267&lt;&gt;"SIM",AI267="UH"),"AA","INDENIZAÇÃO")</f>
        <v>INDENIZAÇÃO</v>
      </c>
      <c r="BE267" s="103" t="str">
        <f>IF(AND(AY267&lt;&gt;"AGUARDANDO",AY267&lt;&gt;"",N267="AUXÍLIO ALUGUEL ATÉ INDENIZAÇÃO"),"SIM","NÃO")</f>
        <v>NÃO</v>
      </c>
      <c r="BF267" s="112" t="s">
        <v>4357</v>
      </c>
      <c r="BG267" s="112" t="s">
        <v>4357</v>
      </c>
      <c r="BH267" s="112" t="s">
        <v>4357</v>
      </c>
      <c r="BI267" s="109" t="s">
        <v>5393</v>
      </c>
      <c r="BJ267" s="109"/>
      <c r="BK267" s="109"/>
      <c r="BL267" s="109"/>
      <c r="BM267" s="239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>IF(AY268-KD268=0,"",AY268-O268)</f>
        <v/>
      </c>
      <c r="BD268" s="103" t="str">
        <f>IF(AND(AI268&lt;&gt;"SIM",AI268="UH"),"AA","INDENIZAÇÃO")</f>
        <v>AA</v>
      </c>
      <c r="BE268" s="103" t="str">
        <f>IF(AND(AY268&lt;&gt;"AGUARDANDO",AY268&lt;&gt;"",N268="AUXÍLIO ALUGUEL ATÉ INDENIZAÇÃO"),"SIM","NÃO")</f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5563</v>
      </c>
      <c r="G269" s="103" t="s">
        <v>4330</v>
      </c>
      <c r="H269" s="103" t="s">
        <v>4331</v>
      </c>
      <c r="I269" s="142" t="s">
        <v>4343</v>
      </c>
      <c r="J269" s="114" t="s">
        <v>5567</v>
      </c>
      <c r="K269" s="149" t="s">
        <v>5568</v>
      </c>
      <c r="L269" s="149" t="s">
        <v>5569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5567</v>
      </c>
      <c r="AC269" s="139" t="s">
        <v>5568</v>
      </c>
      <c r="AD269" s="139" t="s">
        <v>5569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5570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>IF(AY269-KD269=0,"",AY269-O269)</f>
        <v>63</v>
      </c>
      <c r="BD269" s="103" t="str">
        <f>IF(AND(AI269&lt;&gt;"SIM",AI269="UH"),"AA","INDENIZAÇÃO")</f>
        <v>INDENIZAÇÃO</v>
      </c>
      <c r="BE269" s="103" t="str">
        <f>IF(AND(AY269&lt;&gt;"AGUARDANDO",AY269&lt;&gt;"",N269="AUXÍLIO ALUGUEL ATÉ INDENIZAÇÃO"),"SIM","NÃO")</f>
        <v>NÃO</v>
      </c>
      <c r="BF269" s="112" t="s">
        <v>4357</v>
      </c>
      <c r="BG269" s="112" t="s">
        <v>4357</v>
      </c>
      <c r="BH269" s="112" t="s">
        <v>4357</v>
      </c>
      <c r="BI269" s="109" t="s">
        <v>5393</v>
      </c>
      <c r="BJ269" s="109"/>
      <c r="BK269" s="109"/>
      <c r="BL269" s="109"/>
      <c r="BM269" s="239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>IF(AY270-KD270=0,"",AY270-O270)</f>
        <v/>
      </c>
      <c r="BD270" s="103" t="str">
        <f>IF(AND(AI270&lt;&gt;"SIM",AI270="UH"),"AA","INDENIZAÇÃO")</f>
        <v>AA</v>
      </c>
      <c r="BE270" s="103" t="str">
        <f>IF(AND(AY270&lt;&gt;"AGUARDANDO",AY270&lt;&gt;"",N270="AUXÍLIO ALUGUEL ATÉ INDENIZAÇÃO"),"SIM","NÃO")</f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5571</v>
      </c>
      <c r="G271" s="103" t="s">
        <v>4330</v>
      </c>
      <c r="H271" s="103" t="s">
        <v>4331</v>
      </c>
      <c r="I271" s="142" t="s">
        <v>4343</v>
      </c>
      <c r="J271" s="149" t="s">
        <v>5574</v>
      </c>
      <c r="K271" s="149" t="s">
        <v>5575</v>
      </c>
      <c r="L271" s="149" t="s">
        <v>5576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5574</v>
      </c>
      <c r="AC271" s="104" t="s">
        <v>5575</v>
      </c>
      <c r="AD271" s="104" t="s">
        <v>5576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5577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>IF(AY271-KD271=0,"",AY271-O271)</f>
        <v>137</v>
      </c>
      <c r="BD271" s="103" t="str">
        <f>IF(AND(AI271&lt;&gt;"SIM",AI271="UH"),"AA","INDENIZAÇÃO")</f>
        <v>INDENIZAÇÃO</v>
      </c>
      <c r="BE271" s="103" t="str">
        <f>IF(AND(AY271&lt;&gt;"AGUARDANDO",AY271&lt;&gt;"",N271="AUXÍLIO ALUGUEL ATÉ INDENIZAÇÃO"),"SIM","NÃO")</f>
        <v>NÃO</v>
      </c>
      <c r="BF271" s="250" t="s">
        <v>4357</v>
      </c>
      <c r="BG271" s="250" t="s">
        <v>4357</v>
      </c>
      <c r="BH271" s="250" t="s">
        <v>4357</v>
      </c>
      <c r="BI271" s="251" t="s">
        <v>5393</v>
      </c>
      <c r="BJ271" s="154"/>
      <c r="BK271" s="154"/>
      <c r="BL271" s="154"/>
      <c r="BM271" s="237"/>
      <c r="BN271" s="231"/>
    </row>
    <row r="272" spans="1:107" s="232" customFormat="1" ht="29.25" customHeight="1" x14ac:dyDescent="0.25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5578</v>
      </c>
      <c r="G272" s="103" t="s">
        <v>4330</v>
      </c>
      <c r="H272" s="103" t="s">
        <v>4331</v>
      </c>
      <c r="I272" s="142" t="s">
        <v>4343</v>
      </c>
      <c r="J272" s="114" t="s">
        <v>5579</v>
      </c>
      <c r="K272" s="149" t="s">
        <v>5580</v>
      </c>
      <c r="L272" s="149" t="s">
        <v>5581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5579</v>
      </c>
      <c r="AC272" s="104" t="s">
        <v>5580</v>
      </c>
      <c r="AD272" s="139" t="s">
        <v>5581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5582</v>
      </c>
      <c r="AQ272" s="103" t="s">
        <v>4338</v>
      </c>
      <c r="AR272" s="103" t="s">
        <v>4338</v>
      </c>
      <c r="AS272" s="143" t="s">
        <v>4338</v>
      </c>
      <c r="AT272" s="98" t="s">
        <v>4338</v>
      </c>
      <c r="AU272" s="280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>IF(AY272-KD272=0,"",AY272-O272)</f>
        <v>70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>IF(AY273-KD273=0,"",AY273-O273)</f>
        <v/>
      </c>
      <c r="BD273" s="103" t="str">
        <f>IF(AND(AI273&lt;&gt;"SIM",AI273="UH"),"AA","INDENIZAÇÃO")</f>
        <v>AA</v>
      </c>
      <c r="BE273" s="103" t="str">
        <f>IF(AND(AY273&lt;&gt;"AGUARDANDO",AY273&lt;&gt;"",N273="AUXÍLIO ALUGUEL ATÉ INDENIZAÇÃO"),"SIM","NÃO")</f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>IF(AY274-KD274=0,"",AY274-O274)</f>
        <v/>
      </c>
      <c r="BD274" s="103" t="str">
        <f>IF(AND(AI274&lt;&gt;"SIM",AI274="UH"),"AA","INDENIZAÇÃO")</f>
        <v>INDENIZAÇÃO</v>
      </c>
      <c r="BE274" s="103" t="str">
        <f>IF(AND(AY274&lt;&gt;"AGUARDANDO",AY274&lt;&gt;"",N274="AUXÍLIO ALUGUEL ATÉ INDENIZAÇÃO"),"SIM","NÃO")</f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>IF(AY275-KD275=0,"",AY275-O275)</f>
        <v/>
      </c>
      <c r="BD275" s="103" t="str">
        <f>IF(AND(AI275&lt;&gt;"SIM",AI275="UH"),"AA","INDENIZAÇÃO")</f>
        <v>AA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5590</v>
      </c>
      <c r="G276" s="103" t="s">
        <v>4330</v>
      </c>
      <c r="H276" s="103" t="s">
        <v>4331</v>
      </c>
      <c r="I276" s="142" t="s">
        <v>4343</v>
      </c>
      <c r="J276" s="114" t="s">
        <v>5594</v>
      </c>
      <c r="K276" s="149" t="s">
        <v>4432</v>
      </c>
      <c r="L276" s="149" t="s">
        <v>5595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5594</v>
      </c>
      <c r="AC276" s="104" t="s">
        <v>4432</v>
      </c>
      <c r="AD276" s="139" t="s">
        <v>5595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5596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>IF(AY276-KD276=0,"",AY276-O276)</f>
        <v>63</v>
      </c>
      <c r="BD276" s="103" t="str">
        <f>IF(AND(AI276&lt;&gt;"SIM",AI276="UH"),"AA","INDENIZAÇÃO")</f>
        <v>INDENIZAÇÃO</v>
      </c>
      <c r="BE276" s="103" t="str">
        <f>IF(AND(AY276&lt;&gt;"AGUARDANDO",AY276&lt;&gt;"",N276="AUXÍLIO ALUGUEL ATÉ INDENIZAÇÃO"),"SIM","NÃO")</f>
        <v>NÃO</v>
      </c>
      <c r="BF276" s="112" t="s">
        <v>4357</v>
      </c>
      <c r="BG276" s="112" t="s">
        <v>4357</v>
      </c>
      <c r="BH276" s="112" t="s">
        <v>4357</v>
      </c>
      <c r="BI276" s="109" t="s">
        <v>5393</v>
      </c>
      <c r="BJ276" s="109"/>
      <c r="BK276" s="109"/>
      <c r="BL276" s="109"/>
      <c r="BM276" s="239"/>
      <c r="BN276" s="231"/>
      <c r="BO276" s="231"/>
    </row>
    <row r="277" spans="1:67" s="232" customFormat="1" ht="29.25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5597</v>
      </c>
      <c r="G277" s="103" t="s">
        <v>4330</v>
      </c>
      <c r="H277" s="103" t="s">
        <v>4331</v>
      </c>
      <c r="I277" s="142" t="s">
        <v>4343</v>
      </c>
      <c r="J277" s="114" t="s">
        <v>5598</v>
      </c>
      <c r="K277" s="149" t="s">
        <v>4432</v>
      </c>
      <c r="L277" s="149" t="s">
        <v>5599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5598</v>
      </c>
      <c r="AC277" s="104" t="s">
        <v>4432</v>
      </c>
      <c r="AD277" s="139" t="s">
        <v>5599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>IF(AY277-KD277=0,"",AY277-O277)</f>
        <v>63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80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>IF(AY278-KD278=0,"",AY278-O278)</f>
        <v/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 x14ac:dyDescent="0.25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5601</v>
      </c>
      <c r="G279" s="103" t="s">
        <v>4330</v>
      </c>
      <c r="H279" s="103" t="s">
        <v>4331</v>
      </c>
      <c r="I279" s="142" t="s">
        <v>4343</v>
      </c>
      <c r="J279" s="114" t="s">
        <v>5604</v>
      </c>
      <c r="K279" s="149" t="s">
        <v>5605</v>
      </c>
      <c r="L279" s="149" t="s">
        <v>5606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5604</v>
      </c>
      <c r="AC279" s="139" t="s">
        <v>5605</v>
      </c>
      <c r="AD279" s="139" t="s">
        <v>5606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5607</v>
      </c>
      <c r="AQ279" s="103" t="s">
        <v>4338</v>
      </c>
      <c r="AR279" s="103" t="s">
        <v>4338</v>
      </c>
      <c r="AS279" s="143" t="s">
        <v>4338</v>
      </c>
      <c r="AT279" s="98" t="s">
        <v>4338</v>
      </c>
      <c r="AU279" s="280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>IF(AY279-KD279=0,"",AY279-O279)</f>
        <v>63</v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12" t="s">
        <v>4357</v>
      </c>
      <c r="BG279" s="112" t="s">
        <v>4357</v>
      </c>
      <c r="BH279" s="112" t="s">
        <v>4357</v>
      </c>
      <c r="BI279" s="109" t="s">
        <v>5393</v>
      </c>
      <c r="BJ279" s="109"/>
      <c r="BK279" s="109"/>
      <c r="BL279" s="109"/>
      <c r="BM279" s="239"/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>IF(AY280-KD280=0,"",AY280-O280)</f>
        <v/>
      </c>
      <c r="BD280" s="103" t="str">
        <f>IF(AND(AI280&lt;&gt;"SIM",AI280="UH"),"AA","INDENIZAÇÃO")</f>
        <v>AA</v>
      </c>
      <c r="BE280" s="103" t="str">
        <f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>IF(AY281-KD281=0,"",AY281-O281)</f>
        <v/>
      </c>
      <c r="BD281" s="103" t="str">
        <f>IF(AND(AI281&lt;&gt;"SIM",AI281="UH"),"AA","INDENIZAÇÃO")</f>
        <v>AA</v>
      </c>
      <c r="BE281" s="103" t="str">
        <f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5611</v>
      </c>
      <c r="G282" s="103" t="s">
        <v>4330</v>
      </c>
      <c r="H282" s="103" t="s">
        <v>4331</v>
      </c>
      <c r="I282" s="142" t="s">
        <v>4343</v>
      </c>
      <c r="J282" s="149" t="s">
        <v>5614</v>
      </c>
      <c r="K282" s="149" t="s">
        <v>5615</v>
      </c>
      <c r="L282" s="149" t="s">
        <v>5616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5614</v>
      </c>
      <c r="AC282" s="104" t="s">
        <v>5615</v>
      </c>
      <c r="AD282" s="104" t="s">
        <v>5616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5617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106" t="s">
        <v>4453</v>
      </c>
      <c r="BA282" s="107" t="s">
        <v>4454</v>
      </c>
      <c r="BB282" s="136" t="s">
        <v>4338</v>
      </c>
      <c r="BC282" s="220">
        <f>IF(AY282-KD282=0,"",AY282-O282)</f>
        <v>69</v>
      </c>
      <c r="BD282" s="103" t="str">
        <f>IF(AND(AI282&lt;&gt;"SIM",AI282="UH"),"AA","INDENIZAÇÃO")</f>
        <v>INDENIZAÇÃO</v>
      </c>
      <c r="BE282" s="103" t="str">
        <f>IF(AND(AY282&lt;&gt;"AGUARDANDO",AY282&lt;&gt;"",N282="AUXÍLIO ALUGUEL ATÉ INDENIZAÇÃO"),"SIM","NÃO")</f>
        <v>NÃO</v>
      </c>
      <c r="BF282" s="140" t="s">
        <v>4357</v>
      </c>
      <c r="BG282" s="140" t="s">
        <v>4357</v>
      </c>
      <c r="BH282" s="140" t="s">
        <v>4357</v>
      </c>
      <c r="BI282" s="154" t="s">
        <v>5393</v>
      </c>
      <c r="BJ282" s="154"/>
      <c r="BK282" s="154"/>
      <c r="BL282" s="154"/>
      <c r="BM282" s="237"/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>IF(AY283-KD283=0,"",AY283-O283)</f>
        <v/>
      </c>
      <c r="BD283" s="103" t="str">
        <f>IF(AND(AI283&lt;&gt;"SIM",AI283="UH"),"AA","INDENIZAÇÃO")</f>
        <v>INDENIZAÇÃO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>IF(AY284-KD284=0,"",AY284-O284)</f>
        <v/>
      </c>
      <c r="BD284" s="103" t="str">
        <f>IF(AND(AI284&lt;&gt;"SIM",AI284="UH"),"AA","INDENIZAÇÃO")</f>
        <v>AA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5628</v>
      </c>
      <c r="G286" s="103" t="s">
        <v>4330</v>
      </c>
      <c r="H286" s="103" t="s">
        <v>4331</v>
      </c>
      <c r="I286" s="142" t="s">
        <v>4343</v>
      </c>
      <c r="J286" s="149" t="s">
        <v>5629</v>
      </c>
      <c r="K286" s="149" t="s">
        <v>5630</v>
      </c>
      <c r="L286" s="149" t="s">
        <v>5631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5629</v>
      </c>
      <c r="AC286" s="104" t="s">
        <v>5630</v>
      </c>
      <c r="AD286" s="104" t="s">
        <v>5631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5632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>IF(AY286-KD286=0,"",AY286-O286)</f>
        <v>97</v>
      </c>
      <c r="BD286" s="103" t="str">
        <f>IF(AND(AI286&lt;&gt;"SIM",AI286="UH"),"AA","INDENIZAÇÃO")</f>
        <v>INDENIZAÇÃO</v>
      </c>
      <c r="BE286" s="103" t="str">
        <f>IF(AND(AY286&lt;&gt;"AGUARDANDO",AY286&lt;&gt;"",N286="AUXÍLIO ALUGUEL ATÉ INDENIZAÇÃO"),"SIM","NÃO")</f>
        <v>NÃO</v>
      </c>
      <c r="BF286" s="140" t="s">
        <v>4357</v>
      </c>
      <c r="BG286" s="140" t="s">
        <v>4357</v>
      </c>
      <c r="BH286" s="140" t="s">
        <v>4357</v>
      </c>
      <c r="BI286" s="154" t="s">
        <v>5393</v>
      </c>
      <c r="BJ286" s="154"/>
      <c r="BK286" s="154"/>
      <c r="BL286" s="154"/>
      <c r="BM286" s="237"/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>IF(AY287-KD287=0,"",AY287-O287)</f>
        <v/>
      </c>
      <c r="BD287" s="103" t="str">
        <f>IF(AND(AI287&lt;&gt;"SIM",AI287="UH"),"AA","INDENIZAÇÃO")</f>
        <v>AA</v>
      </c>
      <c r="BE287" s="103" t="str">
        <f>IF(AND(AY287&lt;&gt;"AGUARDANDO",AY287&lt;&gt;"",N287="AUXÍLIO ALUGUEL ATÉ INDENIZAÇÃO"),"SIM","NÃO")</f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5636</v>
      </c>
      <c r="G288" s="103" t="s">
        <v>4330</v>
      </c>
      <c r="H288" s="103" t="s">
        <v>4331</v>
      </c>
      <c r="I288" s="142" t="s">
        <v>4343</v>
      </c>
      <c r="J288" s="149" t="s">
        <v>5637</v>
      </c>
      <c r="K288" s="149" t="s">
        <v>4432</v>
      </c>
      <c r="L288" s="149" t="s">
        <v>5638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5637</v>
      </c>
      <c r="AC288" s="104" t="s">
        <v>4432</v>
      </c>
      <c r="AD288" s="104" t="s">
        <v>5638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5639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>IF(AY288-KD288=0,"",AY288-O288)</f>
        <v>41</v>
      </c>
      <c r="BD288" s="103" t="str">
        <f>IF(AND(AI288&lt;&gt;"SIM",AI288="UH"),"AA","INDENIZAÇÃO")</f>
        <v>INDENIZAÇÃO</v>
      </c>
      <c r="BE288" s="103" t="str">
        <f>IF(AND(AY288&lt;&gt;"AGUARDANDO",AY288&lt;&gt;"",N288="AUXÍLIO ALUGUEL ATÉ INDENIZAÇÃO"),"SIM","NÃO")</f>
        <v>NÃO</v>
      </c>
      <c r="BF288" s="140" t="s">
        <v>4357</v>
      </c>
      <c r="BG288" s="140" t="s">
        <v>4357</v>
      </c>
      <c r="BH288" s="140" t="s">
        <v>4357</v>
      </c>
      <c r="BI288" s="154" t="s">
        <v>5393</v>
      </c>
      <c r="BJ288" s="154"/>
      <c r="BK288" s="154"/>
      <c r="BL288" s="154"/>
      <c r="BM288" s="237"/>
    </row>
    <row r="289" spans="1:75" s="232" customFormat="1" ht="29.25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5640</v>
      </c>
      <c r="G289" s="103" t="s">
        <v>4330</v>
      </c>
      <c r="H289" s="103" t="s">
        <v>4331</v>
      </c>
      <c r="I289" s="142" t="s">
        <v>4343</v>
      </c>
      <c r="J289" s="149" t="s">
        <v>5641</v>
      </c>
      <c r="K289" s="149" t="s">
        <v>5642</v>
      </c>
      <c r="L289" s="149" t="s">
        <v>5643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5641</v>
      </c>
      <c r="AC289" s="104" t="s">
        <v>5642</v>
      </c>
      <c r="AD289" s="104" t="s">
        <v>5643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5644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>IF(AY289-KD289=0,"",AY289-O289)</f>
        <v>35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>IF(AY290-KD290=0,"",AY290-O290)</f>
        <v/>
      </c>
      <c r="BD290" s="103" t="str">
        <f>IF(AND(AI290&lt;&gt;"SIM",AI290="UH"),"AA","INDENIZAÇÃO")</f>
        <v>AA</v>
      </c>
      <c r="BE290" s="103" t="str">
        <f>IF(AND(AY290&lt;&gt;"AGUARDANDO",AY290&lt;&gt;"",N290="AUXÍLIO ALUGUEL ATÉ INDENIZAÇÃO"),"SIM","NÃO")</f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 x14ac:dyDescent="0.25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5651</v>
      </c>
      <c r="G292" s="103" t="s">
        <v>4330</v>
      </c>
      <c r="H292" s="103" t="s">
        <v>4331</v>
      </c>
      <c r="I292" s="142" t="s">
        <v>4343</v>
      </c>
      <c r="J292" s="149" t="s">
        <v>5652</v>
      </c>
      <c r="K292" s="149" t="s">
        <v>5653</v>
      </c>
      <c r="L292" s="149" t="s">
        <v>5654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5652</v>
      </c>
      <c r="AC292" s="149" t="s">
        <v>5653</v>
      </c>
      <c r="AD292" s="149" t="s">
        <v>5654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5655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>IF(AY292-KD292=0,"",AY292-O292)</f>
        <v>42</v>
      </c>
      <c r="BD292" s="103" t="str">
        <f>IF(AND(AI292&lt;&gt;"SIM",AI292="UH"),"AA","INDENIZAÇÃO")</f>
        <v>INDENIZAÇÃO</v>
      </c>
      <c r="BE292" s="103" t="str">
        <f>IF(AND(AY292&lt;&gt;"AGUARDANDO",AY292&lt;&gt;"",N292="AUXÍLIO ALUGUEL ATÉ INDENIZAÇÃO"),"SIM","NÃO")</f>
        <v>NÃO</v>
      </c>
      <c r="BF292" s="140" t="s">
        <v>4357</v>
      </c>
      <c r="BG292" s="140" t="s">
        <v>4357</v>
      </c>
      <c r="BH292" s="140" t="s">
        <v>4357</v>
      </c>
      <c r="BI292" s="154" t="s">
        <v>5393</v>
      </c>
      <c r="BJ292" s="154"/>
      <c r="BK292" s="154"/>
      <c r="BL292" s="154"/>
      <c r="BM292" s="237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>IF(AY293-KD293=0,"",AY293-O293)</f>
        <v/>
      </c>
      <c r="BD293" s="103" t="str">
        <f>IF(AND(AI293&lt;&gt;"SIM",AI293="UH"),"AA","INDENIZAÇÃO")</f>
        <v>AA</v>
      </c>
      <c r="BE293" s="103" t="str">
        <f>IF(AND(AY293&lt;&gt;"AGUARDANDO",AY293&lt;&gt;"",N293="AUXÍLIO ALUGUEL ATÉ INDENIZAÇÃO"),"SIM","NÃO")</f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 x14ac:dyDescent="0.25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5660</v>
      </c>
      <c r="G294" s="103" t="s">
        <v>4330</v>
      </c>
      <c r="H294" s="103" t="s">
        <v>4331</v>
      </c>
      <c r="I294" s="142" t="s">
        <v>4343</v>
      </c>
      <c r="J294" s="149" t="s">
        <v>5661</v>
      </c>
      <c r="K294" s="149" t="s">
        <v>5662</v>
      </c>
      <c r="L294" s="149" t="s">
        <v>5663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5661</v>
      </c>
      <c r="AC294" s="104" t="s">
        <v>5662</v>
      </c>
      <c r="AD294" s="139" t="s">
        <v>5663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5664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>IF(AY294-KD294=0,"",AY294-O294)</f>
        <v>63</v>
      </c>
      <c r="BD294" s="103" t="str">
        <f>IF(AND(AI294&lt;&gt;"SIM",AI294="UH"),"AA","INDENIZAÇÃO")</f>
        <v>INDENIZAÇÃO</v>
      </c>
      <c r="BE294" s="103" t="str">
        <f>IF(AND(AY294&lt;&gt;"AGUARDANDO",AY294&lt;&gt;"",N294="AUXÍLIO ALUGUEL ATÉ INDENIZAÇÃO"),"SIM","NÃO")</f>
        <v>NÃO</v>
      </c>
      <c r="BF294" s="140" t="s">
        <v>4357</v>
      </c>
      <c r="BG294" s="140" t="s">
        <v>4357</v>
      </c>
      <c r="BH294" s="140" t="s">
        <v>4357</v>
      </c>
      <c r="BI294" s="154" t="s">
        <v>5393</v>
      </c>
      <c r="BJ294" s="154"/>
      <c r="BK294" s="154"/>
      <c r="BL294" s="154"/>
      <c r="BM294" s="237"/>
    </row>
    <row r="295" spans="1:75" s="232" customFormat="1" ht="29.25" customHeight="1" x14ac:dyDescent="0.25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5665</v>
      </c>
      <c r="G295" s="103" t="s">
        <v>4330</v>
      </c>
      <c r="H295" s="103" t="s">
        <v>4331</v>
      </c>
      <c r="I295" s="142" t="s">
        <v>4343</v>
      </c>
      <c r="J295" s="114" t="s">
        <v>5666</v>
      </c>
      <c r="K295" s="149" t="s">
        <v>5667</v>
      </c>
      <c r="L295" s="149" t="s">
        <v>5668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5666</v>
      </c>
      <c r="AC295" s="114" t="s">
        <v>5667</v>
      </c>
      <c r="AD295" s="114" t="s">
        <v>5668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5669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>IF(AY295-KD295=0,"",AY295-O295)</f>
        <v>14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40" t="s">
        <v>4357</v>
      </c>
      <c r="BG295" s="140" t="s">
        <v>4357</v>
      </c>
      <c r="BH295" s="140" t="s">
        <v>4357</v>
      </c>
      <c r="BI295" s="154" t="s">
        <v>5393</v>
      </c>
      <c r="BJ295" s="154"/>
      <c r="BK295" s="154"/>
      <c r="BL295" s="154"/>
      <c r="BM295" s="237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>IF(AY296-KD296=0,"",AY296-O296)</f>
        <v/>
      </c>
      <c r="BD296" s="103" t="str">
        <f>IF(AND(AI296&lt;&gt;"SIM",AI296="UH"),"AA","INDENIZAÇÃO")</f>
        <v>AA</v>
      </c>
      <c r="BE296" s="103" t="str">
        <f>IF(AND(AY296&lt;&gt;"AGUARDANDO",AY296&lt;&gt;"",N296="AUXÍLIO ALUGUEL ATÉ INDENIZAÇÃO"),"SIM","NÃO")</f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 x14ac:dyDescent="0.25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5682</v>
      </c>
      <c r="G299" s="143" t="s">
        <v>4330</v>
      </c>
      <c r="H299" s="143" t="s">
        <v>4331</v>
      </c>
      <c r="I299" s="152" t="s">
        <v>5683</v>
      </c>
      <c r="J299" s="149" t="s">
        <v>5684</v>
      </c>
      <c r="K299" s="169" t="s">
        <v>5685</v>
      </c>
      <c r="L299" s="169" t="s">
        <v>5686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5687</v>
      </c>
      <c r="AC299" s="144" t="s">
        <v>5688</v>
      </c>
      <c r="AD299" s="144" t="s">
        <v>5689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5690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>IF(AY299-KD299=0,"",AY299-O299)</f>
        <v>147</v>
      </c>
      <c r="BD299" s="103" t="str">
        <f>IF(AND(AI299&lt;&gt;"SIM",AI299="UH"),"AA","INDENIZAÇÃO")</f>
        <v>INDENIZAÇÃO</v>
      </c>
      <c r="BE299" s="103" t="str">
        <f>IF(AND(AY299&lt;&gt;"AGUARDANDO",AY299&lt;&gt;"",N299="AUXÍLIO ALUGUEL ATÉ INDENIZAÇÃO"),"SIM","NÃO")</f>
        <v>NÃO</v>
      </c>
      <c r="BF299" s="140" t="s">
        <v>4357</v>
      </c>
      <c r="BG299" s="140" t="s">
        <v>4357</v>
      </c>
      <c r="BH299" s="140" t="s">
        <v>4357</v>
      </c>
      <c r="BI299" s="154" t="s">
        <v>5393</v>
      </c>
      <c r="BJ299" s="154"/>
      <c r="BK299" s="154"/>
      <c r="BL299" s="154"/>
      <c r="BM299" s="237"/>
    </row>
    <row r="300" spans="1:75" s="232" customFormat="1" ht="29.25" customHeight="1" x14ac:dyDescent="0.25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5691</v>
      </c>
      <c r="G300" s="103" t="s">
        <v>4330</v>
      </c>
      <c r="H300" s="103" t="s">
        <v>4331</v>
      </c>
      <c r="I300" s="142" t="s">
        <v>4343</v>
      </c>
      <c r="J300" s="149" t="s">
        <v>5692</v>
      </c>
      <c r="K300" s="149" t="s">
        <v>5693</v>
      </c>
      <c r="L300" s="149" t="s">
        <v>5694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5692</v>
      </c>
      <c r="AC300" s="149" t="s">
        <v>5693</v>
      </c>
      <c r="AD300" s="149" t="s">
        <v>5694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>IF(AY300-KD300=0,"",AY300-O300)</f>
        <v>25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7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7" t="s">
        <v>4330</v>
      </c>
      <c r="BB301" s="112"/>
      <c r="BC301" s="220" t="e">
        <f>IF(AY301-KD301=0,"",AY301-O301)</f>
        <v>#VALUE!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customHeight="1" x14ac:dyDescent="0.25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5700</v>
      </c>
      <c r="G302" s="103" t="s">
        <v>4330</v>
      </c>
      <c r="H302" s="103" t="s">
        <v>4331</v>
      </c>
      <c r="I302" s="246" t="s">
        <v>4343</v>
      </c>
      <c r="J302" s="149" t="s">
        <v>5701</v>
      </c>
      <c r="K302" s="149" t="s">
        <v>5702</v>
      </c>
      <c r="L302" s="149" t="s">
        <v>5703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5704</v>
      </c>
      <c r="AB302" s="149" t="s">
        <v>5701</v>
      </c>
      <c r="AC302" s="149" t="s">
        <v>5702</v>
      </c>
      <c r="AD302" s="149" t="s">
        <v>5703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5705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>IF(AY302-KD302=0,"",AY302-O302)</f>
        <v>58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40" t="s">
        <v>4357</v>
      </c>
      <c r="BG302" s="140" t="s">
        <v>4357</v>
      </c>
      <c r="BH302" s="140" t="s">
        <v>4357</v>
      </c>
      <c r="BI302" s="154" t="s">
        <v>5393</v>
      </c>
      <c r="BJ302" s="154"/>
      <c r="BK302" s="154"/>
      <c r="BL302" s="154"/>
      <c r="BM302" s="237"/>
    </row>
    <row r="303" spans="1:75" s="232" customFormat="1" ht="29.25" customHeight="1" x14ac:dyDescent="0.25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142" t="s">
        <v>5683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5710</v>
      </c>
      <c r="AC303" s="149" t="s">
        <v>5711</v>
      </c>
      <c r="AD303" s="149" t="s">
        <v>5712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5713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>IF(AY303-KD303=0,"",AY303-O303)</f>
        <v>18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customHeight="1" x14ac:dyDescent="0.25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5714</v>
      </c>
      <c r="G304" s="103" t="s">
        <v>4351</v>
      </c>
      <c r="H304" s="103" t="s">
        <v>4351</v>
      </c>
      <c r="I304" s="153" t="s">
        <v>4332</v>
      </c>
      <c r="J304" s="149" t="s">
        <v>5715</v>
      </c>
      <c r="K304" s="149" t="s">
        <v>5716</v>
      </c>
      <c r="L304" s="149" t="s">
        <v>5717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5715</v>
      </c>
      <c r="AC304" s="149" t="s">
        <v>5716</v>
      </c>
      <c r="AD304" s="149" t="s">
        <v>5717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5718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>IF(AY304-KD304=0,"",AY304-O304)</f>
        <v>42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40" t="s">
        <v>4357</v>
      </c>
      <c r="BG304" s="140" t="s">
        <v>4357</v>
      </c>
      <c r="BH304" s="140" t="s">
        <v>4357</v>
      </c>
      <c r="BI304" s="154" t="s">
        <v>5393</v>
      </c>
      <c r="BJ304" s="154"/>
      <c r="BK304" s="154"/>
      <c r="BL304" s="154"/>
      <c r="BM304" s="237"/>
    </row>
    <row r="305" spans="1:65" s="232" customFormat="1" ht="29.25" customHeight="1" x14ac:dyDescent="0.25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5719</v>
      </c>
      <c r="G305" s="103" t="s">
        <v>4330</v>
      </c>
      <c r="H305" s="103" t="s">
        <v>4331</v>
      </c>
      <c r="I305" s="246" t="s">
        <v>4343</v>
      </c>
      <c r="J305" s="149" t="s">
        <v>5720</v>
      </c>
      <c r="K305" s="149" t="s">
        <v>5721</v>
      </c>
      <c r="L305" s="149" t="s">
        <v>5722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5720</v>
      </c>
      <c r="AC305" s="149" t="s">
        <v>5721</v>
      </c>
      <c r="AD305" s="149" t="s">
        <v>5722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5723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>IF(AY305-KD305=0,"",AY305-O305)</f>
        <v>25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customHeight="1" x14ac:dyDescent="0.25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5724</v>
      </c>
      <c r="G306" s="103" t="s">
        <v>4330</v>
      </c>
      <c r="H306" s="103" t="s">
        <v>4331</v>
      </c>
      <c r="I306" s="142" t="s">
        <v>4343</v>
      </c>
      <c r="J306" s="149" t="s">
        <v>5725</v>
      </c>
      <c r="K306" s="149" t="s">
        <v>5726</v>
      </c>
      <c r="L306" s="149" t="s">
        <v>5727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5725</v>
      </c>
      <c r="AC306" s="149" t="s">
        <v>5726</v>
      </c>
      <c r="AD306" s="149" t="s">
        <v>5727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5728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>IF(AY306-KD306=0,"",AY306-O306)</f>
        <v>14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40" t="s">
        <v>4357</v>
      </c>
      <c r="BG306" s="140" t="s">
        <v>4357</v>
      </c>
      <c r="BH306" s="140" t="s">
        <v>4357</v>
      </c>
      <c r="BI306" s="154" t="s">
        <v>5393</v>
      </c>
      <c r="BJ306" s="154"/>
      <c r="BK306" s="154"/>
      <c r="BL306" s="154"/>
      <c r="BM306" s="237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>IF(AY307-KD307=0,"",AY307-O307)</f>
        <v/>
      </c>
      <c r="BD307" s="103" t="str">
        <f>IF(AND(AI307&lt;&gt;"SIM",AI307="UH"),"AA","INDENIZAÇÃO")</f>
        <v>AA</v>
      </c>
      <c r="BE307" s="103" t="str">
        <f>IF(AND(AY307&lt;&gt;"AGUARDANDO",AY307&lt;&gt;"",N307="AUXÍLIO ALUGUEL ATÉ INDENIZAÇÃO"),"SIM","NÃO")</f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5733</v>
      </c>
      <c r="G308" s="103" t="s">
        <v>4330</v>
      </c>
      <c r="H308" s="103" t="s">
        <v>4331</v>
      </c>
      <c r="I308" s="142" t="s">
        <v>4343</v>
      </c>
      <c r="J308" s="149" t="s">
        <v>5734</v>
      </c>
      <c r="K308" s="149" t="s">
        <v>5735</v>
      </c>
      <c r="L308" s="149" t="s">
        <v>5736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5734</v>
      </c>
      <c r="AC308" s="104" t="s">
        <v>5735</v>
      </c>
      <c r="AD308" s="104" t="s">
        <v>5736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5737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>IF(AY308-KD308=0,"",AY308-O308)</f>
        <v>69</v>
      </c>
      <c r="BD308" s="103" t="str">
        <f>IF(AND(AI308&lt;&gt;"SIM",AI308="UH"),"AA","INDENIZAÇÃO")</f>
        <v>INDENIZAÇÃO</v>
      </c>
      <c r="BE308" s="103" t="str">
        <f>IF(AND(AY308&lt;&gt;"AGUARDANDO",AY308&lt;&gt;"",N308="AUXÍLIO ALUGUEL ATÉ INDENIZAÇÃO"),"SIM","NÃO")</f>
        <v>NÃO</v>
      </c>
      <c r="BF308" s="140" t="s">
        <v>4357</v>
      </c>
      <c r="BG308" s="140" t="s">
        <v>4357</v>
      </c>
      <c r="BH308" s="140" t="s">
        <v>4357</v>
      </c>
      <c r="BI308" s="154" t="s">
        <v>5393</v>
      </c>
      <c r="BJ308" s="154"/>
      <c r="BK308" s="154"/>
      <c r="BL308" s="154"/>
      <c r="BM308" s="237"/>
    </row>
    <row r="309" spans="1:65" s="232" customFormat="1" ht="29.25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5738</v>
      </c>
      <c r="G309" s="103" t="s">
        <v>4330</v>
      </c>
      <c r="H309" s="103" t="s">
        <v>4331</v>
      </c>
      <c r="I309" s="142" t="s">
        <v>4343</v>
      </c>
      <c r="J309" s="149" t="s">
        <v>5739</v>
      </c>
      <c r="K309" s="149" t="s">
        <v>5740</v>
      </c>
      <c r="L309" s="149" t="s">
        <v>5741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5739</v>
      </c>
      <c r="AC309" s="104" t="s">
        <v>5740</v>
      </c>
      <c r="AD309" s="104" t="s">
        <v>5741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5742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>IF(AY309-KD309=0,"",AY309-O309)</f>
        <v>23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customHeight="1" x14ac:dyDescent="0.25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5743</v>
      </c>
      <c r="G310" s="103" t="s">
        <v>4330</v>
      </c>
      <c r="H310" s="103" t="s">
        <v>4331</v>
      </c>
      <c r="I310" s="142" t="s">
        <v>4343</v>
      </c>
      <c r="J310" s="149" t="s">
        <v>5744</v>
      </c>
      <c r="K310" s="149" t="s">
        <v>5745</v>
      </c>
      <c r="L310" s="149" t="s">
        <v>5746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5744</v>
      </c>
      <c r="AC310" s="104" t="s">
        <v>4432</v>
      </c>
      <c r="AD310" s="104" t="s">
        <v>5746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5747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>IF(AY310-KD310=0,"",AY310-O310)</f>
        <v>38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customHeight="1" x14ac:dyDescent="0.25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5748</v>
      </c>
      <c r="G311" s="103" t="s">
        <v>4330</v>
      </c>
      <c r="H311" s="103" t="s">
        <v>4331</v>
      </c>
      <c r="I311" s="142" t="s">
        <v>4343</v>
      </c>
      <c r="J311" s="149" t="s">
        <v>5749</v>
      </c>
      <c r="K311" s="149" t="s">
        <v>5750</v>
      </c>
      <c r="L311" s="149" t="s">
        <v>5751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5749</v>
      </c>
      <c r="AC311" s="104" t="s">
        <v>5750</v>
      </c>
      <c r="AD311" s="104" t="s">
        <v>5751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5752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>IF(AY311-KD311=0,"",AY311-O311)</f>
        <v>35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>IF(AY312-KD312=0,"",AY312-O312)</f>
        <v/>
      </c>
      <c r="BD312" s="103" t="str">
        <f>IF(AND(AI312&lt;&gt;"SIM",AI312="UH"),"AA","INDENIZAÇÃO")</f>
        <v>AA</v>
      </c>
      <c r="BE312" s="103" t="str">
        <f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INDENIZAÇÃO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AA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 x14ac:dyDescent="0.25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5768</v>
      </c>
      <c r="G316" s="103" t="s">
        <v>4330</v>
      </c>
      <c r="H316" s="103" t="s">
        <v>4331</v>
      </c>
      <c r="I316" s="142" t="s">
        <v>4343</v>
      </c>
      <c r="J316" s="149" t="s">
        <v>5769</v>
      </c>
      <c r="K316" s="149" t="s">
        <v>5770</v>
      </c>
      <c r="L316" s="149" t="s">
        <v>5771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5769</v>
      </c>
      <c r="AC316" s="104" t="s">
        <v>5770</v>
      </c>
      <c r="AD316" s="104" t="s">
        <v>5771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5772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>IF(AY316-KD316=0,"",AY316-O316)</f>
        <v>63</v>
      </c>
      <c r="BD316" s="103" t="str">
        <f>IF(AND(AI316&lt;&gt;"SIM",AI316="UH"),"AA","INDENIZAÇÃO")</f>
        <v>INDENIZAÇÃO</v>
      </c>
      <c r="BE316" s="103" t="str">
        <f>IF(AND(AY316&lt;&gt;"AGUARDANDO",AY316&lt;&gt;"",N316="AUXÍLIO ALUGUEL ATÉ INDENIZAÇÃO"),"SIM","NÃO")</f>
        <v>NÃO</v>
      </c>
      <c r="BF316" s="140" t="s">
        <v>4357</v>
      </c>
      <c r="BG316" s="140" t="s">
        <v>4357</v>
      </c>
      <c r="BH316" s="140" t="s">
        <v>4357</v>
      </c>
      <c r="BI316" s="154" t="s">
        <v>5393</v>
      </c>
      <c r="BJ316" s="154"/>
      <c r="BK316" s="154"/>
      <c r="BL316" s="154"/>
      <c r="BM316" s="237"/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>IF(AY317-KD317=0,"",AY317-O317)</f>
        <v/>
      </c>
      <c r="BD317" s="103" t="str">
        <f>IF(AND(AI317&lt;&gt;"SIM",AI317="UH"),"AA","INDENIZAÇÃO")</f>
        <v>AA</v>
      </c>
      <c r="BE317" s="103" t="str">
        <f>IF(AND(AY317&lt;&gt;"AGUARDANDO",AY317&lt;&gt;"",N317="AUXÍLIO ALUGUEL ATÉ INDENIZAÇÃO"),"SIM","NÃO")</f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>IF(AY321-KD321=0,"",AY321-O321)</f>
        <v/>
      </c>
      <c r="BD321" s="103" t="str">
        <f>IF(AND(AI321&lt;&gt;"SIM",AI321="UH"),"AA","INDENIZAÇÃO")</f>
        <v>AA</v>
      </c>
      <c r="BE321" s="103" t="str">
        <f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 x14ac:dyDescent="0.25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5787</v>
      </c>
      <c r="G322" s="103" t="s">
        <v>4330</v>
      </c>
      <c r="H322" s="103" t="s">
        <v>4331</v>
      </c>
      <c r="I322" s="103" t="s">
        <v>4343</v>
      </c>
      <c r="J322" s="149" t="s">
        <v>5791</v>
      </c>
      <c r="K322" s="149" t="s">
        <v>5792</v>
      </c>
      <c r="L322" s="149" t="s">
        <v>5793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5791</v>
      </c>
      <c r="AC322" s="149" t="s">
        <v>5792</v>
      </c>
      <c r="AD322" s="149" t="s">
        <v>5793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5794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57">
        <v>46196</v>
      </c>
      <c r="AZ322" s="106" t="s">
        <v>4453</v>
      </c>
      <c r="BA322" s="107" t="s">
        <v>4454</v>
      </c>
      <c r="BB322" s="112" t="s">
        <v>4338</v>
      </c>
      <c r="BC322" s="220">
        <f>IF(AY322-KD322=0,"",AY322-O322)</f>
        <v>84</v>
      </c>
      <c r="BD322" s="103" t="str">
        <f>IF(AND(AI322&lt;&gt;"SIM",AI322="UH"),"AA","INDENIZAÇÃO")</f>
        <v>INDENIZAÇÃO</v>
      </c>
      <c r="BE322" s="103" t="str">
        <f>IF(AND(AY322&lt;&gt;"AGUARDANDO",AY322&lt;&gt;"",N322="AUXÍLIO ALUGUEL ATÉ INDENIZAÇÃO"),"SIM","NÃO")</f>
        <v>NÃO</v>
      </c>
      <c r="BF322" s="112" t="s">
        <v>4357</v>
      </c>
      <c r="BG322" s="112" t="s">
        <v>4357</v>
      </c>
      <c r="BH322" s="112" t="s">
        <v>4357</v>
      </c>
      <c r="BI322" s="109" t="s">
        <v>5393</v>
      </c>
      <c r="BJ322" s="109"/>
      <c r="BK322" s="109"/>
      <c r="BL322" s="109"/>
      <c r="BM322" s="239"/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7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>IF(AY323-KD323=0,"",AY323-O323)</f>
        <v>#VALUE!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>IF(AY324-KD324=0,"",AY324-O324)</f>
        <v/>
      </c>
      <c r="BD324" s="103" t="str">
        <f>IF(AND(AI324&lt;&gt;"SIM",AI324="UH"),"AA","INDENIZAÇÃO")</f>
        <v>AA</v>
      </c>
      <c r="BE324" s="103" t="str">
        <f>IF(AND(AY324&lt;&gt;"AGUARDANDO",AY324&lt;&gt;"",N324="AUXÍLIO ALUGUEL ATÉ INDENIZAÇÃO"),"SIM","NÃO")</f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 x14ac:dyDescent="0.25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5802</v>
      </c>
      <c r="G326" s="103" t="s">
        <v>4330</v>
      </c>
      <c r="H326" s="103" t="s">
        <v>4331</v>
      </c>
      <c r="I326" s="103" t="s">
        <v>4343</v>
      </c>
      <c r="J326" s="149" t="s">
        <v>5806</v>
      </c>
      <c r="K326" s="149" t="s">
        <v>5807</v>
      </c>
      <c r="L326" s="149" t="s">
        <v>5808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5806</v>
      </c>
      <c r="AC326" s="149" t="s">
        <v>5807</v>
      </c>
      <c r="AD326" s="149" t="s">
        <v>5808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5809</v>
      </c>
      <c r="AQ326" s="98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>IF(AY326-KD326=0,"",AY326-O326)</f>
        <v>48</v>
      </c>
      <c r="BD326" s="103" t="str">
        <f>IF(AND(AI326&lt;&gt;"SIM",AI326="UH"),"AA","INDENIZAÇÃO")</f>
        <v>INDENIZAÇÃO</v>
      </c>
      <c r="BE326" s="103" t="str">
        <f>IF(AND(AY326&lt;&gt;"AGUARDANDO",AY326&lt;&gt;"",N326="AUXÍLIO ALUGUEL ATÉ INDENIZAÇÃO"),"SIM","NÃO")</f>
        <v>NÃO</v>
      </c>
      <c r="BF326" s="112" t="s">
        <v>4357</v>
      </c>
      <c r="BG326" s="112" t="s">
        <v>4357</v>
      </c>
      <c r="BH326" s="112" t="s">
        <v>4357</v>
      </c>
      <c r="BI326" s="109" t="s">
        <v>5393</v>
      </c>
      <c r="BJ326" s="109"/>
      <c r="BK326" s="109"/>
      <c r="BL326" s="109"/>
      <c r="BM326" s="239"/>
    </row>
    <row r="327" spans="1:67" s="232" customFormat="1" ht="29.25" customHeight="1" x14ac:dyDescent="0.25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5810</v>
      </c>
      <c r="G327" s="103" t="s">
        <v>4330</v>
      </c>
      <c r="H327" s="103" t="s">
        <v>4331</v>
      </c>
      <c r="I327" s="142" t="s">
        <v>4343</v>
      </c>
      <c r="J327" s="149" t="s">
        <v>5811</v>
      </c>
      <c r="K327" s="149" t="s">
        <v>4432</v>
      </c>
      <c r="L327" s="149" t="s">
        <v>5812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5811</v>
      </c>
      <c r="AC327" s="149" t="s">
        <v>4432</v>
      </c>
      <c r="AD327" s="149" t="s">
        <v>5812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5813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>IF(AY327-KD327=0,"",AY327-O327)</f>
        <v>62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09" t="s">
        <v>5393</v>
      </c>
      <c r="BJ327" s="109"/>
      <c r="BK327" s="109"/>
      <c r="BL327" s="109"/>
      <c r="BM327" s="239"/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>IF(AY328-KD328=0,"",AY328-O328)</f>
        <v/>
      </c>
      <c r="BD328" s="103" t="str">
        <f>IF(AND(AI328&lt;&gt;"SIM",AI328="UH"),"AA","INDENIZAÇÃO")</f>
        <v>AA</v>
      </c>
      <c r="BE328" s="103" t="str">
        <f>IF(AND(AY328&lt;&gt;"AGUARDANDO",AY328&lt;&gt;"",N328="AUXÍLIO ALUGUEL ATÉ INDENIZAÇÃO"),"SIM","NÃO")</f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>IF(AY330-KD330=0,"",AY330-O330)</f>
        <v/>
      </c>
      <c r="BD330" s="103" t="str">
        <f>IF(AND(AI330&lt;&gt;"SIM",AI330="UH"),"AA","INDENIZAÇÃO")</f>
        <v>AA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5820</v>
      </c>
      <c r="G331" s="103" t="s">
        <v>4330</v>
      </c>
      <c r="H331" s="103" t="s">
        <v>4331</v>
      </c>
      <c r="I331" s="103" t="s">
        <v>4343</v>
      </c>
      <c r="J331" s="149" t="s">
        <v>5824</v>
      </c>
      <c r="K331" s="149" t="s">
        <v>5825</v>
      </c>
      <c r="L331" s="149" t="s">
        <v>5826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5824</v>
      </c>
      <c r="AC331" s="149" t="s">
        <v>5825</v>
      </c>
      <c r="AD331" s="149" t="s">
        <v>5826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5827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>IF(AY331-KD331=0,"",AY331-O331)</f>
        <v>71</v>
      </c>
      <c r="BD331" s="103" t="str">
        <f>IF(AND(AI331&lt;&gt;"SIM",AI331="UH"),"AA","INDENIZAÇÃO")</f>
        <v>INDENIZAÇÃO</v>
      </c>
      <c r="BE331" s="103" t="str">
        <f>IF(AND(AY331&lt;&gt;"AGUARDANDO",AY331&lt;&gt;"",N331="AUXÍLIO ALUGUEL ATÉ INDENIZAÇÃO"),"SIM","NÃO")</f>
        <v>NÃO</v>
      </c>
      <c r="BF331" s="250" t="s">
        <v>4357</v>
      </c>
      <c r="BG331" s="250" t="s">
        <v>4357</v>
      </c>
      <c r="BH331" s="250" t="s">
        <v>4357</v>
      </c>
      <c r="BI331" s="251" t="s">
        <v>5393</v>
      </c>
      <c r="BJ331" s="154"/>
      <c r="BK331" s="154"/>
      <c r="BL331" s="154"/>
      <c r="BM331" s="237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>IF(AY332-KD332=0,"",AY332-O332)</f>
        <v/>
      </c>
      <c r="BD332" s="103" t="str">
        <f>IF(AND(AI332&lt;&gt;"SIM",AI332="UH"),"AA","INDENIZAÇÃO")</f>
        <v>AA</v>
      </c>
      <c r="BE332" s="103" t="str">
        <f>IF(AND(AY332&lt;&gt;"AGUARDANDO",AY332&lt;&gt;"",N332="AUXÍLIO ALUGUEL ATÉ INDENIZAÇÃO"),"SIM","NÃO")</f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5828</v>
      </c>
      <c r="G333" s="103" t="s">
        <v>4351</v>
      </c>
      <c r="H333" s="103" t="s">
        <v>4351</v>
      </c>
      <c r="I333" s="153" t="s">
        <v>4332</v>
      </c>
      <c r="J333" s="149" t="s">
        <v>5832</v>
      </c>
      <c r="K333" s="149" t="s">
        <v>5833</v>
      </c>
      <c r="L333" s="149" t="s">
        <v>5834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5832</v>
      </c>
      <c r="AC333" s="149" t="s">
        <v>5833</v>
      </c>
      <c r="AD333" s="149" t="s">
        <v>5834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>IF(AY333-KD333=0,"",AY333-O333)</f>
        <v>49</v>
      </c>
      <c r="BD333" s="103" t="str">
        <f>IF(AND(AI333&lt;&gt;"SIM",AI333="UH"),"AA","INDENIZAÇÃO")</f>
        <v>INDENIZAÇÃO</v>
      </c>
      <c r="BE333" s="103" t="str">
        <f>IF(AND(AY333&lt;&gt;"AGUARDANDO",AY333&lt;&gt;"",N333="AUXÍLIO ALUGUEL ATÉ INDENIZAÇÃO"),"SIM","NÃO")</f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>IF(AY334-KD334=0,"",AY334-O334)</f>
        <v/>
      </c>
      <c r="BD334" s="103" t="str">
        <f>IF(AND(AI334&lt;&gt;"SIM",AI334="UH"),"AA","INDENIZAÇÃO")</f>
        <v>AA</v>
      </c>
      <c r="BE334" s="103" t="str">
        <f>IF(AND(AY334&lt;&gt;"AGUARDANDO",AY334&lt;&gt;"",N334="AUXÍLIO ALUGUEL ATÉ INDENIZAÇÃO"),"SIM","NÃO")</f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5844</v>
      </c>
      <c r="G336" s="103" t="s">
        <v>4330</v>
      </c>
      <c r="H336" s="103" t="s">
        <v>4331</v>
      </c>
      <c r="I336" s="142" t="s">
        <v>4343</v>
      </c>
      <c r="J336" s="149" t="s">
        <v>5845</v>
      </c>
      <c r="K336" s="149" t="s">
        <v>5846</v>
      </c>
      <c r="L336" s="149" t="s">
        <v>5847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5845</v>
      </c>
      <c r="AC336" s="149" t="s">
        <v>5846</v>
      </c>
      <c r="AD336" s="149" t="s">
        <v>5847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5848</v>
      </c>
      <c r="AQ336" s="98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>IF(AY336-KD336=0,"",AY336-O336)</f>
        <v>38</v>
      </c>
      <c r="BD336" s="103" t="str">
        <f>IF(AND(AI336&lt;&gt;"SIM",AI336="UH"),"AA","INDENIZAÇÃO")</f>
        <v>INDENIZAÇÃO</v>
      </c>
      <c r="BE336" s="103" t="str">
        <f>IF(AND(AY336&lt;&gt;"AGUARDANDO",AY336&lt;&gt;"",N336="AUXÍLIO ALUGUEL ATÉ INDENIZAÇÃO"),"SIM","NÃO")</f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>IF(AY337-KD337=0,"",AY337-O337)</f>
        <v/>
      </c>
      <c r="BD337" s="103" t="str">
        <f>IF(AND(AI337&lt;&gt;"SIM",AI337="UH"),"AA","INDENIZAÇÃO")</f>
        <v>AA</v>
      </c>
      <c r="BE337" s="103" t="str">
        <f>IF(AND(AY337&lt;&gt;"AGUARDANDO",AY337&lt;&gt;"",N337="AUXÍLIO ALUGUEL ATÉ INDENIZAÇÃO"),"SIM","NÃO")</f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5852</v>
      </c>
      <c r="G338" s="103" t="s">
        <v>4330</v>
      </c>
      <c r="H338" s="103" t="s">
        <v>4331</v>
      </c>
      <c r="I338" s="142" t="s">
        <v>4343</v>
      </c>
      <c r="J338" s="149" t="s">
        <v>5853</v>
      </c>
      <c r="K338" s="149" t="s">
        <v>5854</v>
      </c>
      <c r="L338" s="149" t="s">
        <v>5855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5853</v>
      </c>
      <c r="AC338" s="149" t="s">
        <v>5854</v>
      </c>
      <c r="AD338" s="149" t="s">
        <v>5855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5856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>IF(AY338-KD338=0,"",AY338-O338)</f>
        <v>77</v>
      </c>
      <c r="BD338" s="103" t="str">
        <f>IF(AND(AI338&lt;&gt;"SIM",AI338="UH"),"AA","INDENIZAÇÃO")</f>
        <v>INDENIZAÇÃO</v>
      </c>
      <c r="BE338" s="103" t="str">
        <f>IF(AND(AY338&lt;&gt;"AGUARDANDO",AY338&lt;&gt;"",N338="AUXÍLIO ALUGUEL ATÉ INDENIZAÇÃO"),"SIM","NÃO")</f>
        <v>NÃO</v>
      </c>
      <c r="BF338" s="140" t="s">
        <v>4357</v>
      </c>
      <c r="BG338" s="140" t="s">
        <v>4357</v>
      </c>
      <c r="BH338" s="140" t="s">
        <v>4357</v>
      </c>
      <c r="BI338" s="154" t="s">
        <v>5393</v>
      </c>
      <c r="BJ338" s="154"/>
      <c r="BK338" s="154"/>
      <c r="BL338" s="154"/>
      <c r="BM338" s="237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>IF(AY339-KD339=0,"",AY339-O339)</f>
        <v/>
      </c>
      <c r="BD339" s="103" t="str">
        <f>IF(AND(AI339&lt;&gt;"SIM",AI339="UH"),"AA","INDENIZAÇÃO")</f>
        <v>AA</v>
      </c>
      <c r="BE339" s="103" t="str">
        <f>IF(AND(AY339&lt;&gt;"AGUARDANDO",AY339&lt;&gt;"",N339="AUXÍLIO ALUGUEL ATÉ INDENIZAÇÃO"),"SIM","NÃO")</f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>IF(AY342-KD342=0,"",AY342-O342)</f>
        <v/>
      </c>
      <c r="BD342" s="103" t="str">
        <f>IF(AND(AI342&lt;&gt;"SIM",AI342="UH"),"AA","INDENIZAÇÃO")</f>
        <v>INDENIZAÇÃO</v>
      </c>
      <c r="BE342" s="103" t="str">
        <f>IF(AND(AY342&lt;&gt;"AGUARDANDO",AY342&lt;&gt;"",N342="AUXÍLIO ALUGUEL ATÉ INDENIZAÇÃO"),"SIM","NÃO")</f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>IF(AY343-KD343=0,"",AY343-O343)</f>
        <v/>
      </c>
      <c r="BD343" s="103" t="str">
        <f>IF(AND(AI343&lt;&gt;"SIM",AI343="UH"),"AA","INDENIZAÇÃO")</f>
        <v>AA</v>
      </c>
      <c r="BE343" s="103" t="str">
        <f>IF(AND(AY343&lt;&gt;"AGUARDANDO",AY343&lt;&gt;"",N343="AUXÍLIO ALUGUEL ATÉ INDENIZAÇÃO"),"SIM","NÃO")</f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5875</v>
      </c>
      <c r="G344" s="103" t="s">
        <v>4330</v>
      </c>
      <c r="H344" s="103" t="s">
        <v>4331</v>
      </c>
      <c r="I344" s="142" t="s">
        <v>4343</v>
      </c>
      <c r="J344" s="149" t="s">
        <v>5876</v>
      </c>
      <c r="K344" s="149" t="s">
        <v>5877</v>
      </c>
      <c r="L344" s="149" t="s">
        <v>5878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5876</v>
      </c>
      <c r="AC344" s="149" t="s">
        <v>5877</v>
      </c>
      <c r="AD344" s="149" t="s">
        <v>5878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5879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>IF(AY344-KD344=0,"",AY344-O344)</f>
        <v>23</v>
      </c>
      <c r="BD344" s="103" t="str">
        <f>IF(AND(AI344&lt;&gt;"SIM",AI344="UH"),"AA","INDENIZAÇÃO")</f>
        <v>INDENIZAÇÃO</v>
      </c>
      <c r="BE344" s="103" t="str">
        <f>IF(AND(AY344&lt;&gt;"AGUARDANDO",AY344&lt;&gt;"",N344="AUXÍLIO ALUGUEL ATÉ INDENIZAÇÃO"),"SIM","NÃO")</f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>IF(AY345-KD345=0,"",AY345-O345)</f>
        <v/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5883</v>
      </c>
      <c r="G346" s="103" t="s">
        <v>4330</v>
      </c>
      <c r="H346" s="103" t="s">
        <v>4331</v>
      </c>
      <c r="I346" s="142" t="s">
        <v>4343</v>
      </c>
      <c r="J346" s="149" t="s">
        <v>5884</v>
      </c>
      <c r="K346" s="149" t="s">
        <v>5885</v>
      </c>
      <c r="L346" s="149" t="s">
        <v>5886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5884</v>
      </c>
      <c r="AC346" s="149" t="s">
        <v>5885</v>
      </c>
      <c r="AD346" s="149" t="s">
        <v>5886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5887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>IF(AY346-KD346=0,"",AY346-O346)</f>
        <v>65</v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40" t="s">
        <v>4357</v>
      </c>
      <c r="BG346" s="140" t="s">
        <v>4357</v>
      </c>
      <c r="BH346" s="140" t="s">
        <v>4357</v>
      </c>
      <c r="BI346" s="154" t="s">
        <v>5393</v>
      </c>
      <c r="BJ346" s="154"/>
      <c r="BK346" s="154"/>
      <c r="BL346" s="154"/>
      <c r="BM346" s="237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>IF(AY347-KD347=0,"",AY347-O347)</f>
        <v/>
      </c>
      <c r="BD347" s="103" t="str">
        <f>IF(AND(AI347&lt;&gt;"SIM",AI347="UH"),"AA","INDENIZAÇÃO")</f>
        <v>AA</v>
      </c>
      <c r="BE347" s="103" t="str">
        <f>IF(AND(AY347&lt;&gt;"AGUARDANDO",AY347&lt;&gt;"",N347="AUXÍLIO ALUGUEL ATÉ INDENIZAÇÃO"),"SIM","NÃO")</f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INDENIZAÇÃO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AA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5907</v>
      </c>
      <c r="G353" s="103" t="s">
        <v>4330</v>
      </c>
      <c r="H353" s="103" t="s">
        <v>4331</v>
      </c>
      <c r="I353" s="142" t="s">
        <v>4343</v>
      </c>
      <c r="J353" s="149" t="s">
        <v>5908</v>
      </c>
      <c r="K353" s="149" t="s">
        <v>5909</v>
      </c>
      <c r="L353" s="149" t="s">
        <v>5910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5908</v>
      </c>
      <c r="AC353" s="149" t="s">
        <v>5909</v>
      </c>
      <c r="AD353" s="149" t="s">
        <v>5910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5911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>IF(AY353-KD353=0,"",AY353-O353)</f>
        <v>37</v>
      </c>
      <c r="BD353" s="103" t="str">
        <f>IF(AND(AI353&lt;&gt;"SIM",AI353="UH"),"AA","INDENIZAÇÃO")</f>
        <v>INDENIZAÇÃO</v>
      </c>
      <c r="BE353" s="103" t="str">
        <f>IF(AND(AY353&lt;&gt;"AGUARDANDO",AY353&lt;&gt;"",N353="AUXÍLIO ALUGUEL ATÉ INDENIZAÇÃO"),"SIM","NÃO")</f>
        <v>NÃO</v>
      </c>
      <c r="BF353" s="140" t="s">
        <v>4357</v>
      </c>
      <c r="BG353" s="140" t="s">
        <v>4357</v>
      </c>
      <c r="BH353" s="140" t="s">
        <v>4357</v>
      </c>
      <c r="BI353" s="154" t="s">
        <v>5393</v>
      </c>
      <c r="BJ353" s="154"/>
      <c r="BK353" s="154"/>
      <c r="BL353" s="154"/>
      <c r="BM353" s="237"/>
    </row>
    <row r="354" spans="1:67" s="232" customFormat="1" ht="29.25" customHeight="1" x14ac:dyDescent="0.25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5912</v>
      </c>
      <c r="G354" s="103" t="s">
        <v>4330</v>
      </c>
      <c r="H354" s="103" t="s">
        <v>4331</v>
      </c>
      <c r="I354" s="142" t="s">
        <v>4343</v>
      </c>
      <c r="J354" s="149" t="s">
        <v>5913</v>
      </c>
      <c r="K354" s="149" t="s">
        <v>5914</v>
      </c>
      <c r="L354" s="149" t="s">
        <v>5915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5913</v>
      </c>
      <c r="AC354" s="149" t="s">
        <v>4432</v>
      </c>
      <c r="AD354" s="149" t="s">
        <v>5915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5916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>IF(AY354-KD354=0,"",AY354-O354)</f>
        <v>64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5393</v>
      </c>
      <c r="BJ354" s="154"/>
      <c r="BK354" s="154"/>
      <c r="BL354" s="154"/>
      <c r="BM354" s="237"/>
    </row>
    <row r="355" spans="1:67" s="232" customFormat="1" ht="29.25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5917</v>
      </c>
      <c r="G355" s="103" t="s">
        <v>4330</v>
      </c>
      <c r="H355" s="103" t="s">
        <v>4331</v>
      </c>
      <c r="I355" s="142" t="s">
        <v>4343</v>
      </c>
      <c r="J355" s="149" t="s">
        <v>5918</v>
      </c>
      <c r="K355" s="149" t="s">
        <v>5919</v>
      </c>
      <c r="L355" s="149" t="s">
        <v>5920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5918</v>
      </c>
      <c r="AC355" s="149" t="s">
        <v>5919</v>
      </c>
      <c r="AD355" s="149" t="s">
        <v>5920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5921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>IF(AY355-KD355=0,"",AY355-O355)</f>
        <v>23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>IF(AY356-KD356=0,"",AY356-O356)</f>
        <v/>
      </c>
      <c r="BD356" s="103" t="str">
        <f>IF(AND(AI356&lt;&gt;"SIM",AI356="UH"),"AA","INDENIZAÇÃO")</f>
        <v>AA</v>
      </c>
      <c r="BE356" s="103" t="str">
        <f>IF(AND(AY356&lt;&gt;"AGUARDANDO",AY356&lt;&gt;"",N356="AUXÍLIO ALUGUEL ATÉ INDENIZAÇÃO"),"SIM","NÃO")</f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5930</v>
      </c>
      <c r="G358" s="103" t="s">
        <v>4330</v>
      </c>
      <c r="H358" s="103" t="s">
        <v>4331</v>
      </c>
      <c r="I358" s="142" t="s">
        <v>4440</v>
      </c>
      <c r="J358" s="149" t="s">
        <v>5931</v>
      </c>
      <c r="K358" s="149" t="s">
        <v>5932</v>
      </c>
      <c r="L358" s="149" t="s">
        <v>5933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5934</v>
      </c>
      <c r="AC358" s="149" t="s">
        <v>5935</v>
      </c>
      <c r="AD358" s="149" t="s">
        <v>5936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5937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>IF(AY358-KD358=0,"",AY358-O358)</f>
        <v>38</v>
      </c>
      <c r="BD358" s="103" t="str">
        <f>IF(AND(AI358&lt;&gt;"SIM",AI358="UH"),"AA","INDENIZAÇÃO")</f>
        <v>INDENIZAÇÃO</v>
      </c>
      <c r="BE358" s="103" t="str">
        <f>IF(AND(AY358&lt;&gt;"AGUARDANDO",AY358&lt;&gt;"",N358="AUXÍLIO ALUGUEL ATÉ INDENIZAÇÃO"),"SIM","NÃO")</f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>IF(AY359-KD359=0,"",AY359-O359)</f>
        <v/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5946</v>
      </c>
      <c r="G360" s="103" t="s">
        <v>4330</v>
      </c>
      <c r="H360" s="103" t="s">
        <v>4331</v>
      </c>
      <c r="I360" s="142" t="s">
        <v>4343</v>
      </c>
      <c r="J360" s="149" t="s">
        <v>5947</v>
      </c>
      <c r="K360" s="149" t="s">
        <v>5948</v>
      </c>
      <c r="L360" s="149" t="s">
        <v>5949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5947</v>
      </c>
      <c r="AC360" s="149" t="s">
        <v>5948</v>
      </c>
      <c r="AD360" s="149" t="s">
        <v>5949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5950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>IF(AY360-KD360=0,"",AY360-O360)</f>
        <v>55</v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5951</v>
      </c>
      <c r="G361" s="103" t="s">
        <v>4330</v>
      </c>
      <c r="H361" s="103" t="s">
        <v>4331</v>
      </c>
      <c r="I361" s="142" t="s">
        <v>4343</v>
      </c>
      <c r="J361" s="149" t="s">
        <v>5952</v>
      </c>
      <c r="K361" s="149" t="s">
        <v>5953</v>
      </c>
      <c r="L361" s="149" t="s">
        <v>5954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5952</v>
      </c>
      <c r="AC361" s="149" t="s">
        <v>5953</v>
      </c>
      <c r="AD361" s="149" t="s">
        <v>5954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5955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>IF(AY361-KD361=0,"",AY361-O361)</f>
        <v>23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>IF(AY362-KD362=0,"",AY362-O362)</f>
        <v/>
      </c>
      <c r="BD362" s="103" t="str">
        <f>IF(AND(AI362&lt;&gt;"SIM",AI362="UH"),"AA","INDENIZAÇÃO")</f>
        <v>AA</v>
      </c>
      <c r="BE362" s="103" t="str">
        <f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5960</v>
      </c>
      <c r="G363" s="103" t="s">
        <v>4330</v>
      </c>
      <c r="H363" s="103" t="s">
        <v>4331</v>
      </c>
      <c r="I363" s="142" t="s">
        <v>4343</v>
      </c>
      <c r="J363" s="149" t="s">
        <v>5961</v>
      </c>
      <c r="K363" s="149" t="s">
        <v>5962</v>
      </c>
      <c r="L363" s="149" t="s">
        <v>5963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5961</v>
      </c>
      <c r="AC363" s="149" t="s">
        <v>5962</v>
      </c>
      <c r="AD363" s="149" t="s">
        <v>5963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5964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>IF(AY363-KD363=0,"",AY363-O363)</f>
        <v>41</v>
      </c>
      <c r="BD363" s="103" t="str">
        <f>IF(AND(AI363&lt;&gt;"SIM",AI363="UH"),"AA","INDENIZAÇÃO")</f>
        <v>INDENIZAÇÃO</v>
      </c>
      <c r="BE363" s="103" t="str">
        <f>IF(AND(AY363&lt;&gt;"AGUARDANDO",AY363&lt;&gt;"",N363="AUXÍLIO ALUGUEL ATÉ INDENIZAÇÃO"),"SIM","NÃO")</f>
        <v>NÃO</v>
      </c>
      <c r="BF363" s="140" t="s">
        <v>4357</v>
      </c>
      <c r="BG363" s="140" t="s">
        <v>4357</v>
      </c>
      <c r="BH363" s="140" t="s">
        <v>4357</v>
      </c>
      <c r="BI363" s="154" t="s">
        <v>5393</v>
      </c>
      <c r="BJ363" s="154"/>
      <c r="BK363" s="154"/>
      <c r="BL363" s="154"/>
      <c r="BM363" s="237"/>
    </row>
    <row r="364" spans="1:67" s="232" customFormat="1" ht="29.25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5965</v>
      </c>
      <c r="G364" s="103" t="s">
        <v>4330</v>
      </c>
      <c r="H364" s="103" t="s">
        <v>4331</v>
      </c>
      <c r="I364" s="142" t="s">
        <v>4343</v>
      </c>
      <c r="J364" s="149" t="s">
        <v>5966</v>
      </c>
      <c r="K364" s="149" t="s">
        <v>5967</v>
      </c>
      <c r="L364" s="149" t="s">
        <v>5968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5966</v>
      </c>
      <c r="AC364" s="149" t="s">
        <v>5967</v>
      </c>
      <c r="AD364" s="149" t="s">
        <v>5968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5969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>IF(AY364-KD364=0,"",AY364-O364)</f>
        <v>23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5970</v>
      </c>
      <c r="G365" s="103" t="s">
        <v>4330</v>
      </c>
      <c r="H365" s="103" t="s">
        <v>4331</v>
      </c>
      <c r="I365" s="142" t="s">
        <v>4343</v>
      </c>
      <c r="J365" s="149" t="s">
        <v>5971</v>
      </c>
      <c r="K365" s="149" t="s">
        <v>5972</v>
      </c>
      <c r="L365" s="149" t="s">
        <v>5973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5971</v>
      </c>
      <c r="AC365" s="149" t="s">
        <v>5972</v>
      </c>
      <c r="AD365" s="149" t="s">
        <v>5973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5974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>IF(AY365-KD365=0,"",AY365-O365)</f>
        <v>94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12" t="s">
        <v>4357</v>
      </c>
      <c r="BG365" s="112" t="s">
        <v>4357</v>
      </c>
      <c r="BH365" s="112" t="s">
        <v>4357</v>
      </c>
      <c r="BI365" s="109" t="s">
        <v>5393</v>
      </c>
      <c r="BJ365" s="109"/>
      <c r="BK365" s="109"/>
      <c r="BL365" s="109"/>
      <c r="BM365" s="239"/>
    </row>
    <row r="366" spans="1:67" s="232" customFormat="1" ht="29.25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5975</v>
      </c>
      <c r="G366" s="103" t="s">
        <v>4330</v>
      </c>
      <c r="H366" s="103" t="s">
        <v>4331</v>
      </c>
      <c r="I366" s="142" t="s">
        <v>4343</v>
      </c>
      <c r="J366" s="149" t="s">
        <v>5976</v>
      </c>
      <c r="K366" s="149" t="s">
        <v>5977</v>
      </c>
      <c r="L366" s="149" t="s">
        <v>5978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5976</v>
      </c>
      <c r="AC366" s="149" t="s">
        <v>5977</v>
      </c>
      <c r="AD366" s="149" t="s">
        <v>5978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5979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98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>IF(AY366-KD366=0,"",AY366-O366)</f>
        <v>94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09" t="s">
        <v>5393</v>
      </c>
      <c r="BJ366" s="109"/>
      <c r="BK366" s="109"/>
      <c r="BL366" s="109"/>
      <c r="BM366" s="239"/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>IF(AY367-KD367=0,"",AY367-O367)</f>
        <v/>
      </c>
      <c r="BD367" s="103" t="str">
        <f>IF(AND(AI367&lt;&gt;"SIM",AI367="UH"),"AA","INDENIZAÇÃO")</f>
        <v>AA</v>
      </c>
      <c r="BE367" s="103" t="str">
        <f>IF(AND(AY367&lt;&gt;"AGUARDANDO",AY367&lt;&gt;"",N367="AUXÍLIO ALUGUEL ATÉ INDENIZAÇÃO"),"SIM","NÃO")</f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5988</v>
      </c>
      <c r="G369" s="103" t="s">
        <v>4330</v>
      </c>
      <c r="H369" s="103" t="s">
        <v>4352</v>
      </c>
      <c r="I369" s="142" t="s">
        <v>4343</v>
      </c>
      <c r="J369" s="149" t="s">
        <v>5989</v>
      </c>
      <c r="K369" s="149" t="s">
        <v>5990</v>
      </c>
      <c r="L369" s="149" t="s">
        <v>5991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5989</v>
      </c>
      <c r="AC369" s="149" t="s">
        <v>5990</v>
      </c>
      <c r="AD369" s="149" t="s">
        <v>5991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5992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>IF(AY369-KD369=0,"",AY369-O369)</f>
        <v>28</v>
      </c>
      <c r="BD369" s="103" t="str">
        <f>IF(AND(AI369&lt;&gt;"SIM",AI369="UH"),"AA","INDENIZAÇÃO")</f>
        <v>INDENIZAÇÃO</v>
      </c>
      <c r="BE369" s="103" t="str">
        <f>IF(AND(AY369&lt;&gt;"AGUARDANDO",AY369&lt;&gt;"",N369="AUXÍLIO ALUGUEL ATÉ INDENIZAÇÃO"),"SIM","NÃO")</f>
        <v>NÃO</v>
      </c>
      <c r="BF369" s="140" t="s">
        <v>4357</v>
      </c>
      <c r="BG369" s="140" t="s">
        <v>4357</v>
      </c>
      <c r="BH369" s="140" t="s">
        <v>4357</v>
      </c>
      <c r="BI369" s="154" t="s">
        <v>5393</v>
      </c>
      <c r="BJ369" s="154"/>
      <c r="BK369" s="154"/>
      <c r="BL369" s="154"/>
      <c r="BM369" s="237"/>
    </row>
    <row r="370" spans="1:67" s="232" customFormat="1" ht="29.25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5993</v>
      </c>
      <c r="G370" s="103" t="s">
        <v>4330</v>
      </c>
      <c r="H370" s="103" t="s">
        <v>4331</v>
      </c>
      <c r="I370" s="142" t="s">
        <v>4343</v>
      </c>
      <c r="J370" s="149" t="s">
        <v>5994</v>
      </c>
      <c r="K370" s="149" t="s">
        <v>5995</v>
      </c>
      <c r="L370" s="149" t="s">
        <v>5996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5994</v>
      </c>
      <c r="AC370" s="149" t="s">
        <v>5995</v>
      </c>
      <c r="AD370" s="149" t="s">
        <v>5996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5997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>IF(AY370-KD370=0,"",AY370-O370)</f>
        <v>115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customHeight="1" x14ac:dyDescent="0.25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5998</v>
      </c>
      <c r="G371" s="103" t="s">
        <v>4330</v>
      </c>
      <c r="H371" s="103" t="s">
        <v>4331</v>
      </c>
      <c r="I371" s="142" t="s">
        <v>4343</v>
      </c>
      <c r="J371" s="149" t="s">
        <v>5999</v>
      </c>
      <c r="K371" s="149" t="s">
        <v>6000</v>
      </c>
      <c r="L371" s="149" t="s">
        <v>6001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5999</v>
      </c>
      <c r="AC371" s="149" t="s">
        <v>6000</v>
      </c>
      <c r="AD371" s="149" t="s">
        <v>6001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>IF(AY371-KD371=0,"",AY371-O371)</f>
        <v>80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9" t="s">
        <v>5393</v>
      </c>
      <c r="BJ371" s="109"/>
      <c r="BK371" s="109"/>
      <c r="BL371" s="109"/>
      <c r="BM371" s="239"/>
      <c r="BN371" s="231"/>
      <c r="BO371" s="231"/>
    </row>
    <row r="372" spans="1:67" s="232" customFormat="1" ht="29.25" customHeight="1" x14ac:dyDescent="0.25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6003</v>
      </c>
      <c r="G372" s="103" t="s">
        <v>4330</v>
      </c>
      <c r="H372" s="103" t="s">
        <v>4331</v>
      </c>
      <c r="I372" s="142" t="s">
        <v>4343</v>
      </c>
      <c r="J372" s="149" t="s">
        <v>6004</v>
      </c>
      <c r="K372" s="149" t="s">
        <v>6005</v>
      </c>
      <c r="L372" s="149" t="s">
        <v>6006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6004</v>
      </c>
      <c r="AC372" s="149" t="s">
        <v>6005</v>
      </c>
      <c r="AD372" s="149" t="s">
        <v>6006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6007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>IF(AY372-KD372=0,"",AY372-O372)</f>
        <v>23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40" t="s">
        <v>4357</v>
      </c>
      <c r="BG372" s="140" t="s">
        <v>4357</v>
      </c>
      <c r="BH372" s="140" t="s">
        <v>4357</v>
      </c>
      <c r="BI372" s="154" t="s">
        <v>5393</v>
      </c>
      <c r="BJ372" s="154"/>
      <c r="BK372" s="154"/>
      <c r="BL372" s="154"/>
      <c r="BM372" s="237"/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>IF(AY373-KD373=0,"",AY373-O373)</f>
        <v/>
      </c>
      <c r="BD373" s="103" t="str">
        <f>IF(AND(AI373&lt;&gt;"SIM",AI373="UH"),"AA","INDENIZAÇÃO")</f>
        <v>AA</v>
      </c>
      <c r="BE373" s="103" t="str">
        <f>IF(AND(AY373&lt;&gt;"AGUARDANDO",AY373&lt;&gt;"",N373="AUXÍLIO ALUGUEL ATÉ INDENIZAÇÃO"),"SIM","NÃO")</f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 x14ac:dyDescent="0.25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6012</v>
      </c>
      <c r="G374" s="103" t="s">
        <v>4330</v>
      </c>
      <c r="H374" s="103" t="s">
        <v>4331</v>
      </c>
      <c r="I374" s="142" t="s">
        <v>4343</v>
      </c>
      <c r="J374" s="149" t="s">
        <v>6013</v>
      </c>
      <c r="K374" s="149" t="s">
        <v>6014</v>
      </c>
      <c r="L374" s="149" t="s">
        <v>6015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6013</v>
      </c>
      <c r="AC374" s="149" t="s">
        <v>6014</v>
      </c>
      <c r="AD374" s="149" t="s">
        <v>6015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6016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>IF(AY374-KD374=0,"",AY374-O374)</f>
        <v>61</v>
      </c>
      <c r="BD374" s="103" t="str">
        <f>IF(AND(AI374&lt;&gt;"SIM",AI374="UH"),"AA","INDENIZAÇÃO")</f>
        <v>INDENIZAÇÃO</v>
      </c>
      <c r="BE374" s="103" t="str">
        <f>IF(AND(AY374&lt;&gt;"AGUARDANDO",AY374&lt;&gt;"",N374="AUXÍLIO ALUGUEL ATÉ INDENIZAÇÃO"),"SIM","NÃO")</f>
        <v>NÃO</v>
      </c>
      <c r="BF374" s="140" t="s">
        <v>4357</v>
      </c>
      <c r="BG374" s="140" t="s">
        <v>4357</v>
      </c>
      <c r="BH374" s="140" t="s">
        <v>4357</v>
      </c>
      <c r="BI374" s="154" t="s">
        <v>5393</v>
      </c>
      <c r="BJ374" s="154"/>
      <c r="BK374" s="154"/>
      <c r="BL374" s="154"/>
      <c r="BM374" s="237"/>
    </row>
    <row r="375" spans="1:67" s="232" customFormat="1" ht="29.25" customHeight="1" x14ac:dyDescent="0.25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6017</v>
      </c>
      <c r="G375" s="103" t="s">
        <v>4330</v>
      </c>
      <c r="H375" s="103" t="s">
        <v>4331</v>
      </c>
      <c r="I375" s="142" t="s">
        <v>4343</v>
      </c>
      <c r="J375" s="149" t="s">
        <v>6018</v>
      </c>
      <c r="K375" s="149" t="s">
        <v>6019</v>
      </c>
      <c r="L375" s="149" t="s">
        <v>6020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6018</v>
      </c>
      <c r="AC375" s="149" t="s">
        <v>6019</v>
      </c>
      <c r="AD375" s="149" t="s">
        <v>6020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6021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>IF(AY375-KD375=0,"",AY375-O375)</f>
        <v>68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12" t="s">
        <v>4357</v>
      </c>
      <c r="BG375" s="112" t="s">
        <v>4357</v>
      </c>
      <c r="BH375" s="112" t="s">
        <v>4357</v>
      </c>
      <c r="BI375" s="109" t="s">
        <v>5393</v>
      </c>
      <c r="BJ375" s="109"/>
      <c r="BK375" s="109"/>
      <c r="BL375" s="109"/>
      <c r="BM375" s="239"/>
    </row>
    <row r="376" spans="1:67" s="232" customFormat="1" ht="29.25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6022</v>
      </c>
      <c r="G376" s="103" t="s">
        <v>4330</v>
      </c>
      <c r="H376" s="103" t="s">
        <v>4331</v>
      </c>
      <c r="I376" s="142" t="s">
        <v>4343</v>
      </c>
      <c r="J376" s="149" t="s">
        <v>6023</v>
      </c>
      <c r="K376" s="149" t="s">
        <v>6024</v>
      </c>
      <c r="L376" s="149" t="s">
        <v>6025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6023</v>
      </c>
      <c r="AC376" s="149" t="s">
        <v>6024</v>
      </c>
      <c r="AD376" s="149" t="s">
        <v>6025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6026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>IF(AY376-KD376=0,"",AY376-O376)</f>
        <v>23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>IF(AY377-KD377=0,"",AY377-O377)</f>
        <v/>
      </c>
      <c r="BD377" s="103" t="str">
        <f>IF(AND(AI377&lt;&gt;"SIM",AI377="UH"),"AA","INDENIZAÇÃO")</f>
        <v>AA</v>
      </c>
      <c r="BE377" s="103" t="str">
        <f>IF(AND(AY377&lt;&gt;"AGUARDANDO",AY377&lt;&gt;"",N377="AUXÍLIO ALUGUEL ATÉ INDENIZAÇÃO"),"SIM","NÃO")</f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INDENIZAÇÃO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6036</v>
      </c>
      <c r="G379" s="103" t="s">
        <v>4330</v>
      </c>
      <c r="H379" s="103" t="s">
        <v>4331</v>
      </c>
      <c r="I379" s="142" t="s">
        <v>4440</v>
      </c>
      <c r="J379" s="149" t="s">
        <v>6037</v>
      </c>
      <c r="K379" s="149" t="s">
        <v>6038</v>
      </c>
      <c r="L379" s="149" t="s">
        <v>6039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6040</v>
      </c>
      <c r="AC379" s="149">
        <v>50431772</v>
      </c>
      <c r="AD379" s="149" t="s">
        <v>6041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6042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>IF(AY379-KD379=0,"",AY379-O379)</f>
        <v>40</v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6043</v>
      </c>
      <c r="G380" s="103" t="s">
        <v>4330</v>
      </c>
      <c r="H380" s="103" t="s">
        <v>4331</v>
      </c>
      <c r="I380" s="142" t="s">
        <v>4343</v>
      </c>
      <c r="J380" s="149" t="s">
        <v>6044</v>
      </c>
      <c r="K380" s="149" t="s">
        <v>6045</v>
      </c>
      <c r="L380" s="149" t="s">
        <v>6046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6044</v>
      </c>
      <c r="AC380" s="149" t="s">
        <v>6045</v>
      </c>
      <c r="AD380" s="149" t="s">
        <v>6046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6047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>IF(AY380-KD380=0,"",AY380-O380)</f>
        <v>80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12" t="s">
        <v>4357</v>
      </c>
      <c r="BG380" s="112" t="s">
        <v>4357</v>
      </c>
      <c r="BH380" s="112" t="s">
        <v>4357</v>
      </c>
      <c r="BI380" s="109" t="s">
        <v>5393</v>
      </c>
      <c r="BJ380" s="109"/>
      <c r="BK380" s="109"/>
      <c r="BL380" s="109"/>
      <c r="BM380" s="239"/>
    </row>
    <row r="381" spans="1:67" s="232" customFormat="1" ht="29.25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6048</v>
      </c>
      <c r="G381" s="103" t="s">
        <v>4330</v>
      </c>
      <c r="H381" s="103" t="s">
        <v>4331</v>
      </c>
      <c r="I381" s="142" t="s">
        <v>4343</v>
      </c>
      <c r="J381" s="149" t="s">
        <v>6049</v>
      </c>
      <c r="K381" s="149" t="s">
        <v>6050</v>
      </c>
      <c r="L381" s="149" t="s">
        <v>6051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6049</v>
      </c>
      <c r="AC381" s="149" t="s">
        <v>6050</v>
      </c>
      <c r="AD381" s="149" t="s">
        <v>6052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6053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>IF(AY381-KD381=0,"",AY381-O381)</f>
        <v>37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40" t="s">
        <v>4357</v>
      </c>
      <c r="BG381" s="140" t="s">
        <v>4357</v>
      </c>
      <c r="BH381" s="140" t="s">
        <v>4357</v>
      </c>
      <c r="BI381" s="154" t="s">
        <v>5393</v>
      </c>
      <c r="BJ381" s="154"/>
      <c r="BK381" s="154"/>
      <c r="BL381" s="154"/>
      <c r="BM381" s="237"/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>IF(AY382-KD382=0,"",AY382-O382)</f>
        <v/>
      </c>
      <c r="BD382" s="103" t="str">
        <f>IF(AND(AI382&lt;&gt;"SIM",AI382="UH"),"AA","INDENIZAÇÃO")</f>
        <v>AA</v>
      </c>
      <c r="BE382" s="103" t="str">
        <f>IF(AND(AY382&lt;&gt;"AGUARDANDO",AY382&lt;&gt;"",N382="AUXÍLIO ALUGUEL ATÉ INDENIZAÇÃO"),"SIM","NÃO")</f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7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>IF(AY384-KD384=0,"",AY384-O384)</f>
        <v>#VALUE!</v>
      </c>
      <c r="BD384" s="103" t="str">
        <f>IF(AND(AI384&lt;&gt;"SIM",AI384="UH"),"AA","INDENIZAÇÃO")</f>
        <v>INDENIZAÇÃO</v>
      </c>
      <c r="BE384" s="103" t="str">
        <f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 x14ac:dyDescent="0.25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6067</v>
      </c>
      <c r="G385" s="103" t="s">
        <v>4330</v>
      </c>
      <c r="H385" s="103" t="s">
        <v>4331</v>
      </c>
      <c r="I385" s="142" t="s">
        <v>4343</v>
      </c>
      <c r="J385" s="149" t="s">
        <v>6068</v>
      </c>
      <c r="K385" s="149" t="s">
        <v>6069</v>
      </c>
      <c r="L385" s="149" t="s">
        <v>6070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6068</v>
      </c>
      <c r="AC385" s="149" t="s">
        <v>6069</v>
      </c>
      <c r="AD385" s="149" t="s">
        <v>6070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6071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>IF(AY385-KD385=0,"",AY385-O385)</f>
        <v>95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09" t="s">
        <v>5393</v>
      </c>
      <c r="BJ385" s="109"/>
      <c r="BK385" s="109"/>
      <c r="BL385" s="109"/>
      <c r="BM385" s="239"/>
    </row>
    <row r="386" spans="1:65" s="232" customFormat="1" ht="29.25" customHeight="1" x14ac:dyDescent="0.25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6072</v>
      </c>
      <c r="G386" s="103" t="s">
        <v>4330</v>
      </c>
      <c r="H386" s="103" t="s">
        <v>4331</v>
      </c>
      <c r="I386" s="142" t="s">
        <v>4343</v>
      </c>
      <c r="J386" s="149" t="s">
        <v>6073</v>
      </c>
      <c r="K386" s="149" t="s">
        <v>6074</v>
      </c>
      <c r="L386" s="149" t="s">
        <v>6075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6073</v>
      </c>
      <c r="AC386" s="149" t="s">
        <v>6074</v>
      </c>
      <c r="AD386" s="149" t="s">
        <v>6075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6076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>IF(AY386-KD386=0,"",AY386-O386)</f>
        <v>116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5393</v>
      </c>
      <c r="BJ386" s="109"/>
      <c r="BK386" s="109"/>
      <c r="BL386" s="109"/>
      <c r="BM386" s="239"/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7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09" t="s">
        <v>4453</v>
      </c>
      <c r="AX387" s="109"/>
      <c r="AY387" s="157"/>
      <c r="AZ387" s="157"/>
      <c r="BA387" s="109" t="s">
        <v>4330</v>
      </c>
      <c r="BB387" s="112"/>
      <c r="BC387" s="220" t="str">
        <f>IF(AY387-KD387=0,"",AY387-O387)</f>
        <v/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>IF(AY388-KD388=0,"",AY388-O388)</f>
        <v/>
      </c>
      <c r="BD388" s="103" t="str">
        <f>IF(AND(AI388&lt;&gt;"SIM",AI388="UH"),"AA","INDENIZAÇÃO")</f>
        <v>AA</v>
      </c>
      <c r="BE388" s="103" t="str">
        <f>IF(AND(AY388&lt;&gt;"AGUARDANDO",AY388&lt;&gt;"",N388="AUXÍLIO ALUGUEL ATÉ INDENIZAÇÃO"),"SIM","NÃO")</f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 x14ac:dyDescent="0.25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6085</v>
      </c>
      <c r="G389" s="103" t="s">
        <v>4330</v>
      </c>
      <c r="H389" s="103" t="s">
        <v>4331</v>
      </c>
      <c r="I389" s="142" t="s">
        <v>4343</v>
      </c>
      <c r="J389" s="149" t="s">
        <v>6086</v>
      </c>
      <c r="K389" s="149" t="s">
        <v>6087</v>
      </c>
      <c r="L389" s="149" t="s">
        <v>6088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6086</v>
      </c>
      <c r="AC389" s="149" t="s">
        <v>6087</v>
      </c>
      <c r="AD389" s="149" t="s">
        <v>6088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6089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>IF(AY389-KD389=0,"",AY389-O389)</f>
        <v>65</v>
      </c>
      <c r="BD389" s="103" t="str">
        <f>IF(AND(AI389&lt;&gt;"SIM",AI389="UH"),"AA","INDENIZAÇÃO")</f>
        <v>INDENIZAÇÃO</v>
      </c>
      <c r="BE389" s="103" t="str">
        <f>IF(AND(AY389&lt;&gt;"AGUARDANDO",AY389&lt;&gt;"",N389="AUXÍLIO ALUGUEL ATÉ INDENIZAÇÃO"),"SIM","NÃO")</f>
        <v>NÃO</v>
      </c>
      <c r="BF389" s="140" t="s">
        <v>4357</v>
      </c>
      <c r="BG389" s="140" t="s">
        <v>4357</v>
      </c>
      <c r="BH389" s="140" t="s">
        <v>4357</v>
      </c>
      <c r="BI389" s="154" t="s">
        <v>5393</v>
      </c>
      <c r="BJ389" s="154"/>
      <c r="BK389" s="154"/>
      <c r="BL389" s="154"/>
      <c r="BM389" s="237"/>
    </row>
    <row r="390" spans="1:65" s="232" customFormat="1" ht="29.25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6090</v>
      </c>
      <c r="G390" s="103" t="s">
        <v>4330</v>
      </c>
      <c r="H390" s="103" t="s">
        <v>4331</v>
      </c>
      <c r="I390" s="142" t="s">
        <v>4343</v>
      </c>
      <c r="J390" s="149" t="s">
        <v>6091</v>
      </c>
      <c r="K390" s="149" t="s">
        <v>6092</v>
      </c>
      <c r="L390" s="149" t="s">
        <v>6093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6091</v>
      </c>
      <c r="AC390" s="149" t="s">
        <v>6092</v>
      </c>
      <c r="AD390" s="149" t="s">
        <v>6093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6094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20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>IF(AY391-KD391=0,"",AY391-O391)</f>
        <v/>
      </c>
      <c r="BD391" s="103" t="str">
        <f>IF(AND(AI391&lt;&gt;"SIM",AI391="UH"),"AA","INDENIZAÇÃO")</f>
        <v>AA</v>
      </c>
      <c r="BE391" s="103" t="str">
        <f>IF(AND(AY391&lt;&gt;"AGUARDANDO",AY391&lt;&gt;"",N391="AUXÍLIO ALUGUEL ATÉ INDENIZAÇÃO"),"SIM","NÃO")</f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>IF(AY393-KD393=0,"",AY393-O393)</f>
        <v/>
      </c>
      <c r="BD393" s="103" t="str">
        <f>IF(AND(AI393&lt;&gt;"SIM",AI393="UH"),"AA","INDENIZAÇÃO")</f>
        <v>INDENIZAÇÃO</v>
      </c>
      <c r="BE393" s="103" t="str">
        <f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7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AA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>IF(AY396-KD396=0,"",AY396-O396)</f>
        <v/>
      </c>
      <c r="BD396" s="103" t="str">
        <f>IF(AND(AI396&lt;&gt;"SIM",AI396="UH"),"AA","INDENIZAÇÃO")</f>
        <v>INDENIZAÇÃO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customHeight="1" x14ac:dyDescent="0.25">
      <c r="A399" s="165">
        <v>389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6129</v>
      </c>
      <c r="G399" s="103" t="s">
        <v>4330</v>
      </c>
      <c r="H399" s="103" t="s">
        <v>4331</v>
      </c>
      <c r="I399" s="142" t="s">
        <v>4343</v>
      </c>
      <c r="J399" s="149" t="s">
        <v>6130</v>
      </c>
      <c r="K399" s="149">
        <v>33837673</v>
      </c>
      <c r="L399" s="149" t="s">
        <v>6131</v>
      </c>
      <c r="M399" s="103" t="s">
        <v>4333</v>
      </c>
      <c r="N399" s="103" t="s">
        <v>4459</v>
      </c>
      <c r="O399" s="105">
        <v>45996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3"/>
      <c r="AB399" s="149" t="s">
        <v>6130</v>
      </c>
      <c r="AC399" s="149">
        <v>33837673</v>
      </c>
      <c r="AD399" s="149" t="s">
        <v>6131</v>
      </c>
      <c r="AE399" s="103" t="s">
        <v>4343</v>
      </c>
      <c r="AF399" s="103" t="s">
        <v>4333</v>
      </c>
      <c r="AG399" s="194">
        <v>68165.39</v>
      </c>
      <c r="AH399" s="194">
        <v>68165.39</v>
      </c>
      <c r="AI399" s="103" t="s">
        <v>4336</v>
      </c>
      <c r="AJ399" s="104" t="s">
        <v>4438</v>
      </c>
      <c r="AK399" s="103">
        <v>147057729</v>
      </c>
      <c r="AL399" s="103" t="s">
        <v>4338</v>
      </c>
      <c r="AM399" s="103" t="s">
        <v>4338</v>
      </c>
      <c r="AN399" s="103" t="s">
        <v>4339</v>
      </c>
      <c r="AO399" s="103"/>
      <c r="AP399" s="171" t="s">
        <v>6132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46009</v>
      </c>
      <c r="AV399" s="112" t="s">
        <v>4338</v>
      </c>
      <c r="AW399" s="103" t="s">
        <v>4338</v>
      </c>
      <c r="AX399" s="111">
        <v>46021</v>
      </c>
      <c r="AY399" s="106">
        <v>46021</v>
      </c>
      <c r="AZ399" s="106" t="s">
        <v>4453</v>
      </c>
      <c r="BA399" s="107" t="s">
        <v>4454</v>
      </c>
      <c r="BB399" s="136" t="s">
        <v>4338</v>
      </c>
      <c r="BC399" s="220">
        <f>IF(AY399-KD399=0,"",AY399-O399)</f>
        <v>25</v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 t="s">
        <v>4357</v>
      </c>
      <c r="BG399" s="140" t="s">
        <v>4357</v>
      </c>
      <c r="BH399" s="140" t="s">
        <v>4357</v>
      </c>
      <c r="BI399" s="103" t="s">
        <v>4338</v>
      </c>
      <c r="BJ399" s="103" t="s">
        <v>4338</v>
      </c>
      <c r="BK399" s="105">
        <v>46205</v>
      </c>
      <c r="BL399" s="154" t="s">
        <v>4461</v>
      </c>
      <c r="BM399" s="237"/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>IF(AY400-KD400=0,"",AY400-O400)</f>
        <v/>
      </c>
      <c r="BD400" s="103" t="str">
        <f>IF(AND(AI400&lt;&gt;"SIM",AI400="UH"),"AA","INDENIZAÇÃO")</f>
        <v>AA</v>
      </c>
      <c r="BE400" s="103" t="str">
        <f>IF(AND(AY400&lt;&gt;"AGUARDANDO",AY400&lt;&gt;"",N400="AUXÍLIO ALUGUEL ATÉ INDENIZAÇÃO"),"SIM","NÃO")</f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7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09" t="s">
        <v>4453</v>
      </c>
      <c r="AX406" s="109"/>
      <c r="AY406" s="157"/>
      <c r="AZ406" s="157"/>
      <c r="BA406" s="109" t="s">
        <v>4330</v>
      </c>
      <c r="BB406" s="112"/>
      <c r="BC406" s="220" t="str">
        <f>IF(AY406-KD406=0,"",AY406-O406)</f>
        <v/>
      </c>
      <c r="BD406" s="103" t="str">
        <f>IF(AND(AI406&lt;&gt;"SIM",AI406="UH"),"AA","INDENIZAÇÃO")</f>
        <v>INDENIZAÇÃO</v>
      </c>
      <c r="BE406" s="103" t="str">
        <f>IF(AND(AY406&lt;&gt;"AGUARDANDO",AY406&lt;&gt;"",N406="AUXÍLIO ALUGUEL ATÉ INDENIZAÇÃO"),"SIM","NÃO")</f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7" t="s">
        <v>4453</v>
      </c>
      <c r="AU407" s="109"/>
      <c r="AV407" s="109"/>
      <c r="AW407" s="109"/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customHeight="1" x14ac:dyDescent="0.25">
      <c r="A410" s="103">
        <v>400</v>
      </c>
      <c r="B410" s="103" t="s">
        <v>4431</v>
      </c>
      <c r="C410" s="103" t="s">
        <v>4448</v>
      </c>
      <c r="D410" s="103">
        <v>1</v>
      </c>
      <c r="E410" s="103" t="s">
        <v>4432</v>
      </c>
      <c r="F410" s="104" t="s">
        <v>6178</v>
      </c>
      <c r="G410" s="103" t="s">
        <v>4330</v>
      </c>
      <c r="H410" s="103" t="s">
        <v>4352</v>
      </c>
      <c r="I410" s="142" t="s">
        <v>4343</v>
      </c>
      <c r="J410" s="149" t="s">
        <v>6179</v>
      </c>
      <c r="K410" s="149" t="s">
        <v>6180</v>
      </c>
      <c r="L410" s="149" t="s">
        <v>6181</v>
      </c>
      <c r="M410" s="103" t="s">
        <v>4333</v>
      </c>
      <c r="N410" s="103" t="s">
        <v>4459</v>
      </c>
      <c r="O410" s="105">
        <v>46045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3"/>
      <c r="AB410" s="149" t="s">
        <v>6179</v>
      </c>
      <c r="AC410" s="149" t="s">
        <v>6180</v>
      </c>
      <c r="AD410" s="149" t="s">
        <v>6181</v>
      </c>
      <c r="AE410" s="103" t="s">
        <v>4343</v>
      </c>
      <c r="AF410" s="112" t="s">
        <v>4333</v>
      </c>
      <c r="AG410" s="194">
        <v>103783.01</v>
      </c>
      <c r="AH410" s="194">
        <v>103783.01</v>
      </c>
      <c r="AI410" s="103" t="s">
        <v>4336</v>
      </c>
      <c r="AJ410" s="104" t="s">
        <v>4438</v>
      </c>
      <c r="AK410" s="103">
        <v>148265385</v>
      </c>
      <c r="AL410" s="103" t="s">
        <v>4338</v>
      </c>
      <c r="AM410" s="103" t="s">
        <v>4338</v>
      </c>
      <c r="AN410" s="103" t="s">
        <v>4339</v>
      </c>
      <c r="AO410" s="103"/>
      <c r="AP410" s="171" t="s">
        <v>6182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46125</v>
      </c>
      <c r="AV410" s="103" t="s">
        <v>4338</v>
      </c>
      <c r="AW410" s="103" t="s">
        <v>4338</v>
      </c>
      <c r="AX410" s="105">
        <v>46140</v>
      </c>
      <c r="AY410" s="106">
        <v>46140</v>
      </c>
      <c r="AZ410" s="106" t="s">
        <v>4453</v>
      </c>
      <c r="BA410" s="107" t="s">
        <v>4454</v>
      </c>
      <c r="BB410" s="136" t="s">
        <v>4338</v>
      </c>
      <c r="BC410" s="220">
        <f>IF(AY410-KD410=0,"",AY410-O410)</f>
        <v>95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09" t="s">
        <v>5393</v>
      </c>
      <c r="BJ410" s="109"/>
      <c r="BK410" s="109"/>
      <c r="BL410" s="109"/>
      <c r="BM410" s="239"/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82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7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>IF(AY415-KD415=0,"",AY415-O415)</f>
        <v>#VALUE!</v>
      </c>
      <c r="BD415" s="103" t="str">
        <f>IF(AND(AI415&lt;&gt;"SIM",AI415="UH"),"AA","INDENIZAÇÃO")</f>
        <v>INDENIZAÇÃO</v>
      </c>
      <c r="BE415" s="103" t="str">
        <f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310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7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>IF(AY416-KD416=0,"",AY416-O416)</f>
        <v>#VALUE!</v>
      </c>
      <c r="BD416" s="103" t="str">
        <f>IF(AND(AI416&lt;&gt;"SIM",AI416="UH"),"AA","INDENIZAÇÃO")</f>
        <v>INDENIZAÇÃO</v>
      </c>
      <c r="BE416" s="103" t="str">
        <f>IF(AND(AY416&lt;&gt;"AGUARDANDO",AY416&lt;&gt;"",N416="AUXÍLIO ALUGUEL ATÉ INDENIZAÇÃO"),"SIM","NÃO")</f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>IF(AY417-KD417=0,"",AY417-O417)</f>
        <v/>
      </c>
      <c r="BD417" s="103" t="str">
        <f>IF(AND(AI417&lt;&gt;"SIM",AI417="UH"),"AA","INDENIZAÇÃO")</f>
        <v>AA</v>
      </c>
      <c r="BE417" s="103" t="str">
        <f>IF(AND(AY417&lt;&gt;"AGUARDANDO",AY417&lt;&gt;"",N417="AUXÍLIO ALUGUEL ATÉ INDENIZAÇÃO"),"SIM","NÃO")</f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7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>IF(AY418-KD418=0,"",AY418-O418)</f>
        <v>#VALUE!</v>
      </c>
      <c r="BD418" s="103" t="str">
        <f>IF(AND(AI418&lt;&gt;"SIM",AI418="UH"),"AA","INDENIZAÇÃO")</f>
        <v>INDENIZAÇÃO</v>
      </c>
      <c r="BE418" s="103" t="str">
        <f>IF(AND(AY418&lt;&gt;"AGUARDANDO",AY418&lt;&gt;"",N418="AUXÍLIO ALUGUEL ATÉ INDENIZAÇÃO"),"SIM","NÃO")</f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7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>IF(AY421-KD421=0,"",AY421-O421)</f>
        <v>#VALUE!</v>
      </c>
      <c r="BD421" s="103" t="str">
        <f>IF(AND(AI421&lt;&gt;"SIM",AI421="UH"),"AA","INDENIZAÇÃO")</f>
        <v>INDENIZAÇÃO</v>
      </c>
      <c r="BE421" s="103" t="str">
        <f>IF(AND(AY421&lt;&gt;"AGUARDANDO",AY421&lt;&gt;"",N421="AUXÍLIO ALUGUEL ATÉ INDENIZAÇÃO"),"SIM","NÃO")</f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>IF(AY422-KD422=0,"",AY422-O422)</f>
        <v/>
      </c>
      <c r="BD422" s="103" t="str">
        <f>IF(AND(AI422&lt;&gt;"SIM",AI422="UH"),"AA","INDENIZAÇÃO")</f>
        <v>AA</v>
      </c>
      <c r="BE422" s="103" t="str">
        <f>IF(AND(AY422&lt;&gt;"AGUARDANDO",AY422&lt;&gt;"",N422="AUXÍLIO ALUGUEL ATÉ INDENIZAÇÃO"),"SIM","NÃO")</f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customHeight="1" x14ac:dyDescent="0.25">
      <c r="A423" s="165">
        <v>413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6228</v>
      </c>
      <c r="G423" s="103" t="s">
        <v>4330</v>
      </c>
      <c r="H423" s="103" t="s">
        <v>4342</v>
      </c>
      <c r="I423" s="153" t="s">
        <v>4332</v>
      </c>
      <c r="J423" s="149" t="s">
        <v>6229</v>
      </c>
      <c r="K423" s="149" t="s">
        <v>6230</v>
      </c>
      <c r="L423" s="149" t="s">
        <v>6231</v>
      </c>
      <c r="M423" s="103" t="s">
        <v>4333</v>
      </c>
      <c r="N423" s="103" t="s">
        <v>4459</v>
      </c>
      <c r="O423" s="105">
        <v>46066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6229</v>
      </c>
      <c r="AC423" s="149" t="s">
        <v>6230</v>
      </c>
      <c r="AD423" s="149" t="s">
        <v>6231</v>
      </c>
      <c r="AE423" s="153" t="s">
        <v>4332</v>
      </c>
      <c r="AF423" s="103" t="s">
        <v>4333</v>
      </c>
      <c r="AG423" s="194">
        <v>19667.93</v>
      </c>
      <c r="AH423" s="194">
        <f>AG423+30000</f>
        <v>49667.93</v>
      </c>
      <c r="AI423" s="103" t="s">
        <v>4447</v>
      </c>
      <c r="AJ423" s="104" t="s">
        <v>4438</v>
      </c>
      <c r="AK423" s="103">
        <v>150610340</v>
      </c>
      <c r="AL423" s="103" t="s">
        <v>4338</v>
      </c>
      <c r="AM423" s="103" t="s">
        <v>4338</v>
      </c>
      <c r="AN423" s="103" t="s">
        <v>4339</v>
      </c>
      <c r="AO423" s="103"/>
      <c r="AP423" s="171" t="s">
        <v>6232</v>
      </c>
      <c r="AQ423" s="103" t="s">
        <v>4338</v>
      </c>
      <c r="AR423" s="103" t="s">
        <v>4338</v>
      </c>
      <c r="AS423" s="103" t="s">
        <v>4338</v>
      </c>
      <c r="AT423" s="103" t="s">
        <v>4338</v>
      </c>
      <c r="AU423" s="105">
        <v>46127</v>
      </c>
      <c r="AV423" s="103" t="s">
        <v>4338</v>
      </c>
      <c r="AW423" s="103" t="s">
        <v>4338</v>
      </c>
      <c r="AX423" s="105">
        <v>46139</v>
      </c>
      <c r="AY423" s="106">
        <v>46139</v>
      </c>
      <c r="AZ423" s="106" t="s">
        <v>4453</v>
      </c>
      <c r="BA423" s="107" t="s">
        <v>4454</v>
      </c>
      <c r="BB423" s="136" t="s">
        <v>4338</v>
      </c>
      <c r="BC423" s="220">
        <f>IF(AY423-KD423=0,"",AY423-O423)</f>
        <v>73</v>
      </c>
      <c r="BD423" s="103" t="str">
        <f>IF(AND(AI423&lt;&gt;"SIM",AI423="UH"),"AA","INDENIZAÇÃO")</f>
        <v>INDENIZAÇÃO</v>
      </c>
      <c r="BE423" s="103" t="str">
        <f>IF(AND(AY423&lt;&gt;"AGUARDANDO",AY423&lt;&gt;"",N423="AUXÍLIO ALUGUEL ATÉ INDENIZAÇÃO"),"SIM","NÃO")</f>
        <v>NÃO</v>
      </c>
      <c r="BF423" s="112" t="s">
        <v>4357</v>
      </c>
      <c r="BG423" s="112" t="s">
        <v>4357</v>
      </c>
      <c r="BH423" s="112" t="s">
        <v>4357</v>
      </c>
      <c r="BI423" s="109" t="s">
        <v>5393</v>
      </c>
      <c r="BJ423" s="109"/>
      <c r="BK423" s="109"/>
      <c r="BL423" s="109"/>
      <c r="BM423" s="239"/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>IF(AY424-KD424=0,"",AY424-O424)</f>
        <v/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customHeight="1" x14ac:dyDescent="0.25">
      <c r="A425" s="165">
        <v>415</v>
      </c>
      <c r="B425" s="103" t="s">
        <v>4431</v>
      </c>
      <c r="C425" s="103" t="s">
        <v>4448</v>
      </c>
      <c r="D425" s="103">
        <v>1</v>
      </c>
      <c r="E425" s="103" t="s">
        <v>4432</v>
      </c>
      <c r="F425" s="104" t="s">
        <v>6236</v>
      </c>
      <c r="G425" s="103" t="s">
        <v>4330</v>
      </c>
      <c r="H425" s="103" t="s">
        <v>4331</v>
      </c>
      <c r="I425" s="142" t="s">
        <v>4343</v>
      </c>
      <c r="J425" s="149" t="s">
        <v>6237</v>
      </c>
      <c r="K425" s="149" t="s">
        <v>6238</v>
      </c>
      <c r="L425" s="149" t="s">
        <v>6239</v>
      </c>
      <c r="M425" s="103" t="s">
        <v>4333</v>
      </c>
      <c r="N425" s="103" t="s">
        <v>4459</v>
      </c>
      <c r="O425" s="105">
        <v>46048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6237</v>
      </c>
      <c r="AC425" s="149" t="s">
        <v>6238</v>
      </c>
      <c r="AD425" s="149" t="s">
        <v>6239</v>
      </c>
      <c r="AE425" s="103" t="s">
        <v>4343</v>
      </c>
      <c r="AF425" s="103" t="s">
        <v>4333</v>
      </c>
      <c r="AG425" s="194">
        <v>11043.71</v>
      </c>
      <c r="AH425" s="194">
        <f>AG425+30000</f>
        <v>41043.71</v>
      </c>
      <c r="AI425" s="103" t="s">
        <v>4447</v>
      </c>
      <c r="AJ425" s="104" t="s">
        <v>4438</v>
      </c>
      <c r="AK425" s="103">
        <v>150959451</v>
      </c>
      <c r="AL425" s="103" t="s">
        <v>4338</v>
      </c>
      <c r="AM425" s="103" t="s">
        <v>4338</v>
      </c>
      <c r="AN425" s="103" t="s">
        <v>4339</v>
      </c>
      <c r="AO425" s="103"/>
      <c r="AP425" s="171" t="s">
        <v>6240</v>
      </c>
      <c r="AQ425" s="103" t="s">
        <v>4338</v>
      </c>
      <c r="AR425" s="103" t="s">
        <v>4338</v>
      </c>
      <c r="AS425" s="103" t="s">
        <v>4338</v>
      </c>
      <c r="AT425" s="103" t="s">
        <v>4338</v>
      </c>
      <c r="AU425" s="105">
        <v>46127</v>
      </c>
      <c r="AV425" s="103" t="s">
        <v>4338</v>
      </c>
      <c r="AW425" s="103" t="s">
        <v>4338</v>
      </c>
      <c r="AX425" s="105">
        <v>46139</v>
      </c>
      <c r="AY425" s="106">
        <v>46139</v>
      </c>
      <c r="AZ425" s="106" t="s">
        <v>4453</v>
      </c>
      <c r="BA425" s="107" t="s">
        <v>4454</v>
      </c>
      <c r="BB425" s="136" t="s">
        <v>4338</v>
      </c>
      <c r="BC425" s="220">
        <f>IF(AY425-KD425=0,"",AY425-O425)</f>
        <v>91</v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12" t="s">
        <v>4357</v>
      </c>
      <c r="BG425" s="112" t="s">
        <v>4357</v>
      </c>
      <c r="BH425" s="112" t="s">
        <v>4357</v>
      </c>
      <c r="BI425" s="109" t="s">
        <v>5393</v>
      </c>
      <c r="BJ425" s="109"/>
      <c r="BK425" s="109"/>
      <c r="BL425" s="109"/>
      <c r="BM425" s="239"/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>IF(AY426-KD426=0,"",AY426-O426)</f>
        <v/>
      </c>
      <c r="BD426" s="103" t="str">
        <f>IF(AND(AI426&lt;&gt;"SIM",AI426="UH"),"AA","INDENIZAÇÃO")</f>
        <v>AA</v>
      </c>
      <c r="BE426" s="103" t="str">
        <f>IF(AND(AY426&lt;&gt;"AGUARDANDO",AY426&lt;&gt;"",N426="AUXÍLIO ALUGUEL ATÉ INDENIZAÇÃO"),"SIM","NÃO")</f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6244</v>
      </c>
      <c r="G427" s="103" t="s">
        <v>4330</v>
      </c>
      <c r="H427" s="103" t="s">
        <v>4331</v>
      </c>
      <c r="I427" s="142" t="s">
        <v>4440</v>
      </c>
      <c r="J427" s="149" t="s">
        <v>6245</v>
      </c>
      <c r="K427" s="149" t="s">
        <v>6246</v>
      </c>
      <c r="L427" s="149" t="s">
        <v>6247</v>
      </c>
      <c r="M427" s="103" t="s">
        <v>4333</v>
      </c>
      <c r="N427" s="103" t="s">
        <v>4345</v>
      </c>
      <c r="O427" s="105">
        <v>46111</v>
      </c>
      <c r="P427" s="105">
        <v>46002</v>
      </c>
      <c r="Q427" s="105" t="s">
        <v>4436</v>
      </c>
      <c r="R427" s="105">
        <v>45999</v>
      </c>
      <c r="S427" s="105">
        <v>46006</v>
      </c>
      <c r="T427" s="105">
        <v>46006</v>
      </c>
      <c r="U427" s="105">
        <v>46009</v>
      </c>
      <c r="V427" s="105" t="s">
        <v>4437</v>
      </c>
      <c r="W427" s="105" t="s">
        <v>4437</v>
      </c>
      <c r="X427" s="105">
        <v>46014</v>
      </c>
      <c r="Y427" s="105">
        <v>46017</v>
      </c>
      <c r="Z427" s="105"/>
      <c r="AA427" s="103"/>
      <c r="AB427" s="149" t="s">
        <v>6248</v>
      </c>
      <c r="AC427" s="149" t="s">
        <v>6249</v>
      </c>
      <c r="AD427" s="149" t="s">
        <v>6250</v>
      </c>
      <c r="AE427" s="142" t="s">
        <v>4332</v>
      </c>
      <c r="AF427" s="103" t="s">
        <v>4333</v>
      </c>
      <c r="AG427" s="194">
        <v>24255.09</v>
      </c>
      <c r="AH427" s="194">
        <v>24255.09</v>
      </c>
      <c r="AI427" s="103" t="s">
        <v>4447</v>
      </c>
      <c r="AJ427" s="104" t="s">
        <v>4438</v>
      </c>
      <c r="AK427" s="103">
        <v>150610433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6251</v>
      </c>
      <c r="AQ427" s="143" t="s">
        <v>4338</v>
      </c>
      <c r="AR427" s="143" t="s">
        <v>4338</v>
      </c>
      <c r="AS427" s="103" t="s">
        <v>4338</v>
      </c>
      <c r="AT427" s="103" t="s">
        <v>4338</v>
      </c>
      <c r="AU427" s="105">
        <v>46150</v>
      </c>
      <c r="AV427" s="103" t="s">
        <v>4338</v>
      </c>
      <c r="AW427" s="103" t="s">
        <v>4338</v>
      </c>
      <c r="AX427" s="105">
        <v>46161</v>
      </c>
      <c r="AY427" s="106">
        <v>46161</v>
      </c>
      <c r="AZ427" s="107" t="s">
        <v>4453</v>
      </c>
      <c r="BA427" s="107" t="s">
        <v>4454</v>
      </c>
      <c r="BB427" s="112" t="s">
        <v>4338</v>
      </c>
      <c r="BC427" s="220">
        <f>IF(AY427-KD427=0,"",AY427-O427)</f>
        <v>50</v>
      </c>
      <c r="BD427" s="103" t="str">
        <f>IF(AND(AI427&lt;&gt;"SIM",AI427="UH"),"AA","INDENIZAÇÃO")</f>
        <v>INDENIZAÇÃO</v>
      </c>
      <c r="BE427" s="103" t="str">
        <f>IF(AND(AY427&lt;&gt;"AGUARDANDO",AY427&lt;&gt;"",N427="AUXÍLIO ALUGUEL ATÉ INDENIZAÇÃO"),"SIM","NÃO")</f>
        <v>NÃO</v>
      </c>
      <c r="BF427" s="112" t="s">
        <v>4357</v>
      </c>
      <c r="BG427" s="112" t="s">
        <v>4357</v>
      </c>
      <c r="BH427" s="112" t="s">
        <v>4357</v>
      </c>
      <c r="BI427" s="109" t="s">
        <v>5393</v>
      </c>
      <c r="BJ427" s="109"/>
      <c r="BK427" s="109"/>
      <c r="BL427" s="109"/>
      <c r="BM427" s="239"/>
      <c r="BN427" s="231"/>
      <c r="BO427" s="231"/>
    </row>
    <row r="428" spans="1:107" s="232" customFormat="1" ht="29.25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6252</v>
      </c>
      <c r="G428" s="103" t="s">
        <v>4330</v>
      </c>
      <c r="H428" s="103" t="s">
        <v>4331</v>
      </c>
      <c r="I428" s="142" t="s">
        <v>4343</v>
      </c>
      <c r="J428" s="149" t="s">
        <v>6253</v>
      </c>
      <c r="K428" s="149" t="s">
        <v>4432</v>
      </c>
      <c r="L428" s="149" t="s">
        <v>6254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6253</v>
      </c>
      <c r="AC428" s="149" t="s">
        <v>4432</v>
      </c>
      <c r="AD428" s="149" t="s">
        <v>6254</v>
      </c>
      <c r="AE428" s="103" t="s">
        <v>4343</v>
      </c>
      <c r="AF428" s="103" t="s">
        <v>4333</v>
      </c>
      <c r="AG428" s="194">
        <v>24160.23</v>
      </c>
      <c r="AH428" s="194">
        <f>AG428+30000</f>
        <v>54160.229999999996</v>
      </c>
      <c r="AI428" s="103" t="s">
        <v>4336</v>
      </c>
      <c r="AJ428" s="104" t="s">
        <v>4438</v>
      </c>
      <c r="AK428" s="103">
        <v>147058442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6255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46020</v>
      </c>
      <c r="AV428" s="112" t="s">
        <v>4338</v>
      </c>
      <c r="AW428" s="103" t="s">
        <v>4338</v>
      </c>
      <c r="AX428" s="166">
        <v>46024</v>
      </c>
      <c r="AY428" s="106">
        <v>46024</v>
      </c>
      <c r="AZ428" s="157" t="s">
        <v>4453</v>
      </c>
      <c r="BA428" s="107" t="s">
        <v>4454</v>
      </c>
      <c r="BB428" s="136" t="s">
        <v>4338</v>
      </c>
      <c r="BC428" s="220">
        <f>IF(AY428-KD428=0,"",AY428-O428)</f>
        <v>23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6256</v>
      </c>
      <c r="G429" s="103" t="s">
        <v>4330</v>
      </c>
      <c r="H429" s="103" t="s">
        <v>4331</v>
      </c>
      <c r="I429" s="142" t="s">
        <v>4343</v>
      </c>
      <c r="J429" s="149" t="s">
        <v>6257</v>
      </c>
      <c r="K429" s="149" t="s">
        <v>6258</v>
      </c>
      <c r="L429" s="149" t="s">
        <v>6259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6257</v>
      </c>
      <c r="AC429" s="149" t="s">
        <v>6258</v>
      </c>
      <c r="AD429" s="149" t="s">
        <v>6259</v>
      </c>
      <c r="AE429" s="103" t="s">
        <v>4343</v>
      </c>
      <c r="AF429" s="103" t="s">
        <v>4333</v>
      </c>
      <c r="AG429" s="194">
        <v>22050.51</v>
      </c>
      <c r="AH429" s="194">
        <f>AG429+30000</f>
        <v>52050.509999999995</v>
      </c>
      <c r="AI429" s="103" t="s">
        <v>4336</v>
      </c>
      <c r="AJ429" s="104" t="s">
        <v>4438</v>
      </c>
      <c r="AK429" s="103">
        <v>147058948</v>
      </c>
      <c r="AL429" s="103" t="s">
        <v>4338</v>
      </c>
      <c r="AM429" s="103" t="s">
        <v>4338</v>
      </c>
      <c r="AN429" s="103" t="s">
        <v>4339</v>
      </c>
      <c r="AO429" s="112"/>
      <c r="AP429" s="171" t="s">
        <v>6260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46009</v>
      </c>
      <c r="AV429" s="112" t="s">
        <v>4338</v>
      </c>
      <c r="AW429" s="103" t="s">
        <v>4338</v>
      </c>
      <c r="AX429" s="111">
        <v>46021</v>
      </c>
      <c r="AY429" s="157">
        <v>46021</v>
      </c>
      <c r="AZ429" s="106" t="s">
        <v>4453</v>
      </c>
      <c r="BA429" s="107" t="s">
        <v>4454</v>
      </c>
      <c r="BB429" s="136" t="s">
        <v>4338</v>
      </c>
      <c r="BC429" s="220">
        <f>IF(AY429-KD429=0,"",AY429-O429)</f>
        <v>20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03" t="s">
        <v>4338</v>
      </c>
      <c r="BJ429" s="103" t="s">
        <v>4338</v>
      </c>
      <c r="BK429" s="105">
        <v>46205</v>
      </c>
      <c r="BL429" s="154" t="s">
        <v>4461</v>
      </c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>IF(AY430-KD430=0,"",AY430-O430)</f>
        <v/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AA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7" t="s">
        <v>4453</v>
      </c>
      <c r="AU433" s="106"/>
      <c r="AV433" s="109"/>
      <c r="AW433" s="107"/>
      <c r="AX433" s="107"/>
      <c r="AY433" s="157"/>
      <c r="AZ433" s="106"/>
      <c r="BA433" s="107" t="s">
        <v>4330</v>
      </c>
      <c r="BB433" s="136"/>
      <c r="BC433" s="220" t="str">
        <f>IF(AY433-KD433=0,"",AY433-O433)</f>
        <v/>
      </c>
      <c r="BD433" s="103" t="str">
        <f>IF(AND(AI433&lt;&gt;"SIM",AI433="UH"),"AA","INDENIZAÇÃO")</f>
        <v>INDENIZAÇÃO</v>
      </c>
      <c r="BE433" s="103" t="str">
        <f>IF(AND(AY433&lt;&gt;"AGUARDANDO",AY433&lt;&gt;"",N433="AUXÍLIO ALUGUEL ATÉ INDENIZAÇÃO"),"SIM","NÃO")</f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>IF(AY434-KD434=0,"",AY434-O434)</f>
        <v/>
      </c>
      <c r="BD434" s="103" t="str">
        <f>IF(AND(AI434&lt;&gt;"SIM",AI434="UH"),"AA","INDENIZAÇÃO")</f>
        <v>AA</v>
      </c>
      <c r="BE434" s="103" t="str">
        <f>IF(AND(AY434&lt;&gt;"AGUARDANDO",AY434&lt;&gt;"",N434="AUXÍLIO ALUGUEL ATÉ INDENIZAÇÃO"),"SIM","NÃO")</f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INDENIZAÇÃO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AA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71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6" t="s">
        <v>6316</v>
      </c>
      <c r="AW442" s="106"/>
      <c r="AX442" s="106"/>
      <c r="AY442" s="166"/>
      <c r="AZ442" s="106"/>
      <c r="BA442" s="107" t="s">
        <v>4330</v>
      </c>
      <c r="BB442" s="136"/>
      <c r="BC442" s="220" t="str">
        <f>IF(AY442-KD442=0,"",AY442-O442)</f>
        <v/>
      </c>
      <c r="BD442" s="103" t="str">
        <f>IF(AND(AI442&lt;&gt;"SIM",AI442="UH"),"AA","INDENIZAÇÃO")</f>
        <v>INDENIZAÇÃO</v>
      </c>
      <c r="BE442" s="103" t="str">
        <f>IF(AND(AY442&lt;&gt;"AGUARDANDO",AY442&lt;&gt;"",N442="AUXÍLIO ALUGUEL ATÉ INDENIZAÇÃO"),"SIM","NÃO")</f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6317</v>
      </c>
      <c r="G443" s="103" t="s">
        <v>4330</v>
      </c>
      <c r="H443" s="103" t="s">
        <v>4342</v>
      </c>
      <c r="I443" s="153" t="s">
        <v>4332</v>
      </c>
      <c r="J443" s="149" t="s">
        <v>6318</v>
      </c>
      <c r="K443" s="149" t="s">
        <v>6319</v>
      </c>
      <c r="L443" s="149" t="s">
        <v>6320</v>
      </c>
      <c r="M443" s="103" t="s">
        <v>4333</v>
      </c>
      <c r="N443" s="103" t="s">
        <v>4459</v>
      </c>
      <c r="O443" s="105">
        <v>46111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1" t="s">
        <v>6318</v>
      </c>
      <c r="AC443" s="149" t="s">
        <v>6319</v>
      </c>
      <c r="AD443" s="149" t="s">
        <v>6320</v>
      </c>
      <c r="AE443" s="153" t="s">
        <v>4332</v>
      </c>
      <c r="AF443" s="103" t="s">
        <v>4333</v>
      </c>
      <c r="AG443" s="194">
        <v>88066.78</v>
      </c>
      <c r="AH443" s="194">
        <v>88066.78</v>
      </c>
      <c r="AI443" s="103" t="s">
        <v>4336</v>
      </c>
      <c r="AJ443" s="104" t="s">
        <v>4438</v>
      </c>
      <c r="AK443" s="103">
        <v>150610887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6321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>IF(AY443-KD443=0,"",AY443-O443)</f>
        <v>50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12" t="s">
        <v>4357</v>
      </c>
      <c r="BG443" s="112" t="s">
        <v>4357</v>
      </c>
      <c r="BH443" s="112" t="s">
        <v>4357</v>
      </c>
      <c r="BI443" s="109" t="s">
        <v>5393</v>
      </c>
      <c r="BJ443" s="109"/>
      <c r="BK443" s="109"/>
      <c r="BL443" s="109"/>
      <c r="BM443" s="239"/>
    </row>
    <row r="444" spans="1:65" s="232" customFormat="1" ht="29.25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6322</v>
      </c>
      <c r="G444" s="103" t="s">
        <v>4330</v>
      </c>
      <c r="H444" s="103" t="s">
        <v>4352</v>
      </c>
      <c r="I444" s="246" t="s">
        <v>4343</v>
      </c>
      <c r="J444" s="149" t="s">
        <v>6323</v>
      </c>
      <c r="K444" s="149" t="s">
        <v>6324</v>
      </c>
      <c r="L444" s="149" t="s">
        <v>6325</v>
      </c>
      <c r="M444" s="103" t="s">
        <v>4333</v>
      </c>
      <c r="N444" s="103" t="s">
        <v>4459</v>
      </c>
      <c r="O444" s="105">
        <v>46045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6323</v>
      </c>
      <c r="AC444" s="149" t="s">
        <v>6324</v>
      </c>
      <c r="AD444" s="149" t="s">
        <v>6325</v>
      </c>
      <c r="AE444" s="103" t="s">
        <v>4343</v>
      </c>
      <c r="AF444" s="103" t="s">
        <v>4333</v>
      </c>
      <c r="AG444" s="194">
        <v>52681.2</v>
      </c>
      <c r="AH444" s="194">
        <v>60000</v>
      </c>
      <c r="AI444" s="103" t="s">
        <v>4336</v>
      </c>
      <c r="AJ444" s="104" t="s">
        <v>4438</v>
      </c>
      <c r="AK444" s="103">
        <v>148265516</v>
      </c>
      <c r="AL444" s="103" t="s">
        <v>4338</v>
      </c>
      <c r="AM444" s="103" t="s">
        <v>4338</v>
      </c>
      <c r="AN444" s="103" t="s">
        <v>4339</v>
      </c>
      <c r="AO444" s="103"/>
      <c r="AP444" s="171" t="s">
        <v>6326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>IF(AY444-KD444=0,"",AY444-O444)</f>
        <v>116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12" t="s">
        <v>4357</v>
      </c>
      <c r="BG444" s="112" t="s">
        <v>4357</v>
      </c>
      <c r="BH444" s="112" t="s">
        <v>4357</v>
      </c>
      <c r="BI444" s="109" t="s">
        <v>5393</v>
      </c>
      <c r="BJ444" s="109"/>
      <c r="BK444" s="109"/>
      <c r="BL444" s="109"/>
      <c r="BM444" s="239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4331</v>
      </c>
      <c r="I445" s="142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6328</v>
      </c>
      <c r="AC445" s="149" t="s">
        <v>6329</v>
      </c>
      <c r="AD445" s="149" t="s">
        <v>6330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>IF(AY445-KD445=0,"",AY445-O445)</f>
        <v/>
      </c>
      <c r="BD445" s="103" t="str">
        <f>IF(AND(AI445&lt;&gt;"SIM",AI445="UH"),"AA","INDENIZAÇÃO")</f>
        <v>AA</v>
      </c>
      <c r="BE445" s="103" t="str">
        <f>IF(AND(AY445&lt;&gt;"AGUARDANDO",AY445&lt;&gt;"",N445="AUXÍLIO ALUGUEL ATÉ INDENIZAÇÃO"),"SIM","NÃO")</f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6331</v>
      </c>
      <c r="G446" s="103" t="s">
        <v>4330</v>
      </c>
      <c r="H446" s="103" t="s">
        <v>4331</v>
      </c>
      <c r="I446" s="142" t="s">
        <v>4343</v>
      </c>
      <c r="J446" s="149" t="s">
        <v>6332</v>
      </c>
      <c r="K446" s="149" t="s">
        <v>6333</v>
      </c>
      <c r="L446" s="149" t="s">
        <v>6334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6332</v>
      </c>
      <c r="AC446" s="149" t="s">
        <v>6333</v>
      </c>
      <c r="AD446" s="149" t="s">
        <v>6334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6335</v>
      </c>
      <c r="G447" s="103" t="s">
        <v>4330</v>
      </c>
      <c r="H447" s="103" t="s">
        <v>4331</v>
      </c>
      <c r="I447" s="142" t="s">
        <v>4343</v>
      </c>
      <c r="J447" s="149" t="s">
        <v>6336</v>
      </c>
      <c r="K447" s="149" t="s">
        <v>6337</v>
      </c>
      <c r="L447" s="149" t="s">
        <v>6338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6336</v>
      </c>
      <c r="AC447" s="149" t="s">
        <v>6337</v>
      </c>
      <c r="AD447" s="149" t="s">
        <v>6338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6339</v>
      </c>
      <c r="G448" s="103" t="s">
        <v>4330</v>
      </c>
      <c r="H448" s="103" t="s">
        <v>4331</v>
      </c>
      <c r="I448" s="142" t="s">
        <v>4343</v>
      </c>
      <c r="J448" s="149" t="s">
        <v>6340</v>
      </c>
      <c r="K448" s="149" t="s">
        <v>6341</v>
      </c>
      <c r="L448" s="149" t="s">
        <v>6342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6340</v>
      </c>
      <c r="AC448" s="149" t="s">
        <v>6341</v>
      </c>
      <c r="AD448" s="149" t="s">
        <v>6342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6343</v>
      </c>
      <c r="G449" s="103" t="s">
        <v>4330</v>
      </c>
      <c r="H449" s="103" t="s">
        <v>4331</v>
      </c>
      <c r="I449" s="142" t="s">
        <v>4343</v>
      </c>
      <c r="J449" s="114" t="s">
        <v>6344</v>
      </c>
      <c r="K449" s="149" t="s">
        <v>6345</v>
      </c>
      <c r="L449" s="149" t="s">
        <v>6346</v>
      </c>
      <c r="M449" s="103" t="s">
        <v>4333</v>
      </c>
      <c r="N449" s="103" t="s">
        <v>4459</v>
      </c>
      <c r="O449" s="105">
        <v>46001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6344</v>
      </c>
      <c r="AC449" s="204" t="s">
        <v>6345</v>
      </c>
      <c r="AD449" s="204" t="s">
        <v>6346</v>
      </c>
      <c r="AE449" s="165" t="s">
        <v>4343</v>
      </c>
      <c r="AF449" s="165" t="s">
        <v>4333</v>
      </c>
      <c r="AG449" s="208">
        <v>57756.74</v>
      </c>
      <c r="AH449" s="208">
        <v>60000</v>
      </c>
      <c r="AI449" s="165" t="s">
        <v>4336</v>
      </c>
      <c r="AJ449" s="104" t="s">
        <v>4438</v>
      </c>
      <c r="AK449" s="103">
        <v>147059234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6347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8">
        <v>46024</v>
      </c>
      <c r="AV449" s="112" t="s">
        <v>4338</v>
      </c>
      <c r="AW449" s="103" t="s">
        <v>4338</v>
      </c>
      <c r="AX449" s="111">
        <v>46063</v>
      </c>
      <c r="AY449" s="157">
        <v>46063</v>
      </c>
      <c r="AZ449" s="106" t="s">
        <v>4453</v>
      </c>
      <c r="BA449" s="107" t="s">
        <v>4454</v>
      </c>
      <c r="BB449" s="136" t="s">
        <v>4338</v>
      </c>
      <c r="BC449" s="220">
        <f>IF(AY449-KD449=0,"",AY449-O449)</f>
        <v>62</v>
      </c>
      <c r="BD449" s="103" t="str">
        <f>IF(AND(AI449&lt;&gt;"SIM",AI449="UH"),"AA","INDENIZAÇÃO")</f>
        <v>INDENIZAÇÃO</v>
      </c>
      <c r="BE449" s="103" t="str">
        <f>IF(AND(AY449&lt;&gt;"AGUARDANDO",AY449&lt;&gt;"",N449="AUXÍLIO ALUGUEL ATÉ INDENIZAÇÃO"),"SIM","NÃO")</f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6348</v>
      </c>
      <c r="G450" s="103" t="s">
        <v>4330</v>
      </c>
      <c r="H450" s="103" t="s">
        <v>4331</v>
      </c>
      <c r="I450" s="142" t="s">
        <v>4343</v>
      </c>
      <c r="J450" s="114" t="s">
        <v>6349</v>
      </c>
      <c r="K450" s="149" t="s">
        <v>6350</v>
      </c>
      <c r="L450" s="149" t="s">
        <v>6351</v>
      </c>
      <c r="M450" s="103" t="s">
        <v>4333</v>
      </c>
      <c r="N450" s="103" t="s">
        <v>4459</v>
      </c>
      <c r="O450" s="105">
        <v>46077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6349</v>
      </c>
      <c r="AC450" s="149" t="s">
        <v>6350</v>
      </c>
      <c r="AD450" s="149" t="s">
        <v>6351</v>
      </c>
      <c r="AE450" s="103" t="s">
        <v>4343</v>
      </c>
      <c r="AF450" s="103" t="s">
        <v>4333</v>
      </c>
      <c r="AG450" s="194">
        <v>30689.66</v>
      </c>
      <c r="AH450" s="194">
        <v>60000</v>
      </c>
      <c r="AI450" s="103" t="s">
        <v>4336</v>
      </c>
      <c r="AJ450" s="104" t="s">
        <v>4438</v>
      </c>
      <c r="AK450" s="103">
        <v>150611129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6352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5">
        <v>46127</v>
      </c>
      <c r="AV450" s="103" t="s">
        <v>4338</v>
      </c>
      <c r="AW450" s="103" t="s">
        <v>4338</v>
      </c>
      <c r="AX450" s="105">
        <v>46154</v>
      </c>
      <c r="AY450" s="106">
        <v>46154</v>
      </c>
      <c r="AZ450" s="106" t="s">
        <v>4453</v>
      </c>
      <c r="BA450" s="107" t="s">
        <v>4454</v>
      </c>
      <c r="BB450" s="136" t="s">
        <v>4338</v>
      </c>
      <c r="BC450" s="220">
        <f>IF(AY450-KD450=0,"",AY450-O450)</f>
        <v>77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6354</v>
      </c>
      <c r="AC451" s="149" t="s">
        <v>6355</v>
      </c>
      <c r="AD451" s="149" t="s">
        <v>6356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>IF(AY451-KD451=0,"",AY451-O451)</f>
        <v/>
      </c>
      <c r="BD451" s="103" t="str">
        <f>IF(AND(AI451&lt;&gt;"SIM",AI451="UH"),"AA","INDENIZAÇÃO")</f>
        <v>AA</v>
      </c>
      <c r="BE451" s="103" t="str">
        <f>IF(AND(AY451&lt;&gt;"AGUARDANDO",AY451&lt;&gt;"",N451="AUXÍLIO ALUGUEL ATÉ INDENIZAÇÃO"),"SIM","NÃO")</f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6357</v>
      </c>
      <c r="G452" s="103" t="s">
        <v>4330</v>
      </c>
      <c r="H452" s="103" t="s">
        <v>4331</v>
      </c>
      <c r="I452" s="142" t="s">
        <v>4343</v>
      </c>
      <c r="J452" s="149" t="s">
        <v>6358</v>
      </c>
      <c r="K452" s="149" t="s">
        <v>6359</v>
      </c>
      <c r="L452" s="149" t="s">
        <v>6360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6358</v>
      </c>
      <c r="AC452" s="149" t="s">
        <v>6359</v>
      </c>
      <c r="AD452" s="149" t="s">
        <v>6360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6361</v>
      </c>
      <c r="G453" s="103" t="s">
        <v>4330</v>
      </c>
      <c r="H453" s="103" t="s">
        <v>4331</v>
      </c>
      <c r="I453" s="142" t="s">
        <v>4343</v>
      </c>
      <c r="J453" s="149" t="s">
        <v>6362</v>
      </c>
      <c r="K453" s="149" t="s">
        <v>6363</v>
      </c>
      <c r="L453" s="149" t="s">
        <v>6364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6362</v>
      </c>
      <c r="AC453" s="149" t="s">
        <v>6363</v>
      </c>
      <c r="AD453" s="149" t="s">
        <v>6364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6365</v>
      </c>
      <c r="G454" s="103" t="s">
        <v>4330</v>
      </c>
      <c r="H454" s="103" t="s">
        <v>4331</v>
      </c>
      <c r="I454" s="142" t="s">
        <v>4343</v>
      </c>
      <c r="J454" s="149" t="s">
        <v>6366</v>
      </c>
      <c r="K454" s="149" t="s">
        <v>6367</v>
      </c>
      <c r="L454" s="149" t="s">
        <v>6368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6366</v>
      </c>
      <c r="AC454" s="149" t="s">
        <v>6367</v>
      </c>
      <c r="AD454" s="149" t="s">
        <v>6368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6369</v>
      </c>
      <c r="G455" s="103" t="s">
        <v>4330</v>
      </c>
      <c r="H455" s="103" t="s">
        <v>4331</v>
      </c>
      <c r="I455" s="142" t="s">
        <v>4343</v>
      </c>
      <c r="J455" s="149" t="s">
        <v>6370</v>
      </c>
      <c r="K455" s="149" t="s">
        <v>6371</v>
      </c>
      <c r="L455" s="149" t="s">
        <v>6372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6370</v>
      </c>
      <c r="AC455" s="149" t="s">
        <v>6371</v>
      </c>
      <c r="AD455" s="149" t="s">
        <v>6372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6369</v>
      </c>
      <c r="G456" s="112" t="s">
        <v>4330</v>
      </c>
      <c r="H456" s="112" t="s">
        <v>4331</v>
      </c>
      <c r="I456" s="112" t="s">
        <v>4343</v>
      </c>
      <c r="J456" s="150" t="s">
        <v>6373</v>
      </c>
      <c r="K456" s="150" t="s">
        <v>6374</v>
      </c>
      <c r="L456" s="150" t="s">
        <v>6375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6373</v>
      </c>
      <c r="AC456" s="150" t="s">
        <v>6374</v>
      </c>
      <c r="AD456" s="150" t="s">
        <v>6375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6376</v>
      </c>
      <c r="AQ456" s="259" t="s">
        <v>4338</v>
      </c>
      <c r="AR456" s="112" t="s">
        <v>4338</v>
      </c>
      <c r="AS456" s="103" t="s">
        <v>4822</v>
      </c>
      <c r="AT456" s="107" t="s">
        <v>4453</v>
      </c>
      <c r="AU456" s="109"/>
      <c r="AV456" s="109"/>
      <c r="AW456" s="109"/>
      <c r="AX456" s="109"/>
      <c r="AY456" s="157"/>
      <c r="AZ456" s="157"/>
      <c r="BA456" s="107" t="s">
        <v>4330</v>
      </c>
      <c r="BB456" s="112"/>
      <c r="BC456" s="220" t="str">
        <f>IF(AY456-KD456=0,"",AY456-O456)</f>
        <v/>
      </c>
      <c r="BD456" s="103" t="str">
        <f>IF(AND(AI456&lt;&gt;"SIM",AI456="UH"),"AA","INDENIZAÇÃO")</f>
        <v>INDENIZAÇÃO</v>
      </c>
      <c r="BE456" s="103" t="str">
        <f>IF(AND(AY456&lt;&gt;"AGUARDANDO",AY456&lt;&gt;"",N456="AUXÍLIO ALUGUEL ATÉ INDENIZAÇÃO"),"SIM","NÃO")</f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6377</v>
      </c>
      <c r="G457" s="103" t="s">
        <v>4330</v>
      </c>
      <c r="H457" s="103" t="s">
        <v>4331</v>
      </c>
      <c r="I457" s="103" t="s">
        <v>4343</v>
      </c>
      <c r="J457" s="149" t="s">
        <v>6378</v>
      </c>
      <c r="K457" s="149" t="s">
        <v>6379</v>
      </c>
      <c r="L457" s="149" t="s">
        <v>6380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6378</v>
      </c>
      <c r="AC457" s="204" t="s">
        <v>6379</v>
      </c>
      <c r="AD457" s="204" t="s">
        <v>6380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6377</v>
      </c>
      <c r="G458" s="103" t="s">
        <v>4330</v>
      </c>
      <c r="H458" s="103" t="s">
        <v>4331</v>
      </c>
      <c r="I458" s="142" t="s">
        <v>4343</v>
      </c>
      <c r="J458" s="149" t="s">
        <v>6381</v>
      </c>
      <c r="K458" s="149" t="s">
        <v>6382</v>
      </c>
      <c r="L458" s="149" t="s">
        <v>6383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6381</v>
      </c>
      <c r="AC458" s="149" t="s">
        <v>6382</v>
      </c>
      <c r="AD458" s="149" t="s">
        <v>6383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6384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hidden="1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6384</v>
      </c>
      <c r="G460" s="103" t="s">
        <v>4330</v>
      </c>
      <c r="H460" s="103" t="s">
        <v>4331</v>
      </c>
      <c r="I460" s="142" t="s">
        <v>4343</v>
      </c>
      <c r="J460" s="149" t="s">
        <v>6385</v>
      </c>
      <c r="K460" s="149" t="s">
        <v>6386</v>
      </c>
      <c r="L460" s="149" t="s">
        <v>6387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6385</v>
      </c>
      <c r="AC460" s="204" t="s">
        <v>6386</v>
      </c>
      <c r="AD460" s="204" t="s">
        <v>6387</v>
      </c>
      <c r="AE460" s="165" t="s">
        <v>4343</v>
      </c>
      <c r="AF460" s="165" t="s">
        <v>4333</v>
      </c>
      <c r="AG460" s="208" t="s">
        <v>6388</v>
      </c>
      <c r="AH460" s="208" t="s">
        <v>6389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6390</v>
      </c>
      <c r="AQ460" s="143" t="s">
        <v>4338</v>
      </c>
      <c r="AR460" s="103" t="s">
        <v>4338</v>
      </c>
      <c r="AS460" s="103" t="s">
        <v>4822</v>
      </c>
      <c r="AT460" s="107" t="s">
        <v>4453</v>
      </c>
      <c r="AU460" s="106"/>
      <c r="AV460" s="109"/>
      <c r="AW460" s="107"/>
      <c r="AX460" s="106"/>
      <c r="AY460" s="157"/>
      <c r="AZ460" s="106"/>
      <c r="BA460" s="107" t="s">
        <v>4330</v>
      </c>
      <c r="BB460" s="136"/>
      <c r="BC460" s="220" t="str">
        <f>IF(AY460-KD460=0,"",AY460-O460)</f>
        <v/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6391</v>
      </c>
      <c r="G461" s="103" t="s">
        <v>4330</v>
      </c>
      <c r="H461" s="103" t="s">
        <v>4331</v>
      </c>
      <c r="I461" s="142" t="s">
        <v>4343</v>
      </c>
      <c r="J461" s="149" t="s">
        <v>6392</v>
      </c>
      <c r="K461" s="149" t="s">
        <v>6393</v>
      </c>
      <c r="L461" s="149" t="s">
        <v>6394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6395</v>
      </c>
      <c r="G462" s="103" t="s">
        <v>4330</v>
      </c>
      <c r="H462" s="103" t="s">
        <v>4331</v>
      </c>
      <c r="I462" s="142" t="s">
        <v>4343</v>
      </c>
      <c r="J462" s="149" t="s">
        <v>6396</v>
      </c>
      <c r="K462" s="149" t="s">
        <v>6397</v>
      </c>
      <c r="L462" s="149" t="s">
        <v>6398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6396</v>
      </c>
      <c r="AC462" s="149" t="s">
        <v>6397</v>
      </c>
      <c r="AD462" s="149" t="s">
        <v>6398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>IF(AY462-KD462=0,"",AY462-O462)</f>
        <v/>
      </c>
      <c r="BD462" s="103" t="str">
        <f>IF(AND(AI462&lt;&gt;"SIM",AI462="UH"),"AA","INDENIZAÇÃO")</f>
        <v>AA</v>
      </c>
      <c r="BE462" s="103" t="str">
        <f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6395</v>
      </c>
      <c r="G463" s="103" t="s">
        <v>4330</v>
      </c>
      <c r="H463" s="103" t="s">
        <v>4331</v>
      </c>
      <c r="I463" s="103" t="s">
        <v>4343</v>
      </c>
      <c r="J463" s="149" t="s">
        <v>6399</v>
      </c>
      <c r="K463" s="149" t="s">
        <v>6400</v>
      </c>
      <c r="L463" s="149" t="s">
        <v>6401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6399</v>
      </c>
      <c r="AC463" s="149" t="s">
        <v>6400</v>
      </c>
      <c r="AD463" s="149" t="s">
        <v>6401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>IF(AY463-KD463=0,"",AY463-O463)</f>
        <v/>
      </c>
      <c r="BD463" s="103" t="str">
        <f>IF(AND(AI463&lt;&gt;"SIM",AI463="UH"),"AA","INDENIZAÇÃO")</f>
        <v>INDENIZAÇÃO</v>
      </c>
      <c r="BE463" s="103" t="str">
        <f>IF(AND(AY463&lt;&gt;"AGUARDANDO",AY463&lt;&gt;"",N463="AUXÍLIO ALUGUEL ATÉ INDENIZAÇÃO"),"SIM","NÃO")</f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6402</v>
      </c>
      <c r="K464" s="149" t="s">
        <v>6403</v>
      </c>
      <c r="L464" s="149" t="s">
        <v>6404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6402</v>
      </c>
      <c r="AC464" s="204" t="s">
        <v>6403</v>
      </c>
      <c r="AD464" s="204" t="s">
        <v>6404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>IF(AY464-KD464=0,"",AY464-O464)</f>
        <v/>
      </c>
      <c r="BD464" s="103" t="str">
        <f>IF(AND(AI464&lt;&gt;"SIM",AI464="UH"),"AA","INDENIZAÇÃO")</f>
        <v>AA</v>
      </c>
      <c r="BE464" s="103" t="str">
        <f>IF(AND(AY464&lt;&gt;"AGUARDANDO",AY464&lt;&gt;"",N464="AUXÍLIO ALUGUEL ATÉ INDENIZAÇÃO"),"SIM","NÃO")</f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7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>IF(AY465-KD465=0,"",AY465-O465)</f>
        <v>#VALUE!</v>
      </c>
      <c r="BD465" s="103" t="str">
        <f>IF(AND(AI465&lt;&gt;"SIM",AI465="UH"),"AA","INDENIZAÇÃO")</f>
        <v>INDENIZAÇÃO</v>
      </c>
      <c r="BE465" s="103" t="str">
        <f>IF(AND(AY465&lt;&gt;"AGUARDANDO",AY465&lt;&gt;"",N465="AUXÍLIO ALUGUEL ATÉ INDENIZAÇÃO"),"SIM","NÃO")</f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6405</v>
      </c>
      <c r="G466" s="112" t="s">
        <v>4330</v>
      </c>
      <c r="H466" s="112" t="s">
        <v>4331</v>
      </c>
      <c r="I466" s="112" t="s">
        <v>4343</v>
      </c>
      <c r="J466" s="150" t="s">
        <v>6406</v>
      </c>
      <c r="K466" s="150" t="s">
        <v>6407</v>
      </c>
      <c r="L466" s="141" t="s">
        <v>6408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6406</v>
      </c>
      <c r="AC466" s="150" t="s">
        <v>6407</v>
      </c>
      <c r="AD466" s="141" t="s">
        <v>6408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7" t="s">
        <v>6409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>IF(AY466-KD466=0,"",AY466-O466)</f>
        <v>#VALUE!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42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6416</v>
      </c>
      <c r="AC467" s="149" t="s">
        <v>6417</v>
      </c>
      <c r="AD467" s="149" t="s">
        <v>6418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>IF(AY467-KD467=0,"",AY467-O467)</f>
        <v/>
      </c>
      <c r="BD467" s="103" t="str">
        <f>IF(AND(AI467&lt;&gt;"SIM",AI467="UH"),"AA","INDENIZAÇÃO")</f>
        <v>AA</v>
      </c>
      <c r="BE467" s="103" t="str">
        <f>IF(AND(AY467&lt;&gt;"AGUARDANDO",AY467&lt;&gt;"",N467="AUXÍLIO ALUGUEL ATÉ INDENIZAÇÃO"),"SIM","NÃO")</f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hidden="1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03" t="s">
        <v>4343</v>
      </c>
      <c r="J468" s="149" t="s">
        <v>6419</v>
      </c>
      <c r="K468" s="149" t="s">
        <v>6420</v>
      </c>
      <c r="L468" s="149" t="s">
        <v>6421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6419</v>
      </c>
      <c r="AC468" s="149" t="s">
        <v>6420</v>
      </c>
      <c r="AD468" s="149" t="s">
        <v>6421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6422</v>
      </c>
      <c r="AQ468" s="259" t="s">
        <v>4338</v>
      </c>
      <c r="AR468" s="112" t="s">
        <v>4338</v>
      </c>
      <c r="AS468" s="103" t="s">
        <v>4822</v>
      </c>
      <c r="AT468" s="107" t="s">
        <v>4453</v>
      </c>
      <c r="AU468" s="109"/>
      <c r="AV468" s="109"/>
      <c r="AW468" s="109"/>
      <c r="AX468" s="109"/>
      <c r="AY468" s="157"/>
      <c r="AZ468" s="157"/>
      <c r="BA468" s="107" t="s">
        <v>4330</v>
      </c>
      <c r="BB468" s="112"/>
      <c r="BC468" s="220" t="str">
        <f>IF(AY468-KD468=0,"",AY468-O468)</f>
        <v/>
      </c>
      <c r="BD468" s="103" t="str">
        <f>IF(AND(AI468&lt;&gt;"SIM",AI468="UH"),"AA","INDENIZAÇÃO")</f>
        <v>INDENIZAÇÃO</v>
      </c>
      <c r="BE468" s="103" t="str">
        <f>IF(AND(AY468&lt;&gt;"AGUARDANDO",AY468&lt;&gt;"",N468="AUXÍLIO ALUGUEL ATÉ INDENIZAÇÃO"),"SIM","NÃO")</f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6410</v>
      </c>
      <c r="G469" s="103" t="s">
        <v>4330</v>
      </c>
      <c r="H469" s="103" t="s">
        <v>4331</v>
      </c>
      <c r="I469" s="142" t="s">
        <v>4343</v>
      </c>
      <c r="J469" s="149" t="s">
        <v>6411</v>
      </c>
      <c r="K469" s="149" t="s">
        <v>6412</v>
      </c>
      <c r="L469" s="149" t="s">
        <v>6413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6411</v>
      </c>
      <c r="AC469" s="149" t="s">
        <v>6412</v>
      </c>
      <c r="AD469" s="149" t="s">
        <v>6413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7" t="s">
        <v>6414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>IF(AY470-KD470=0,"",AY470-O470)</f>
        <v/>
      </c>
      <c r="BD470" s="103" t="str">
        <f>IF(AND(AI470&lt;&gt;"SIM",AI470="UH"),"AA","INDENIZAÇÃO")</f>
        <v>AA</v>
      </c>
      <c r="BE470" s="103" t="str">
        <f>IF(AND(AY470&lt;&gt;"AGUARDANDO",AY470&lt;&gt;"",N470="AUXÍLIO ALUGUEL ATÉ INDENIZAÇÃO"),"SIM","NÃO")</f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6428</v>
      </c>
      <c r="G471" s="103" t="s">
        <v>4330</v>
      </c>
      <c r="H471" s="103" t="s">
        <v>4331</v>
      </c>
      <c r="I471" s="103" t="s">
        <v>4343</v>
      </c>
      <c r="J471" s="149" t="s">
        <v>6432</v>
      </c>
      <c r="K471" s="149" t="s">
        <v>6433</v>
      </c>
      <c r="L471" s="149" t="s">
        <v>6434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6435</v>
      </c>
      <c r="AB471" s="149" t="s">
        <v>6432</v>
      </c>
      <c r="AC471" s="149" t="s">
        <v>6433</v>
      </c>
      <c r="AD471" s="149" t="s">
        <v>6434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6436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6440</v>
      </c>
      <c r="G473" s="103" t="s">
        <v>4330</v>
      </c>
      <c r="H473" s="103" t="s">
        <v>4331</v>
      </c>
      <c r="I473" s="142" t="s">
        <v>4343</v>
      </c>
      <c r="J473" s="114" t="s">
        <v>6441</v>
      </c>
      <c r="K473" s="149" t="s">
        <v>6442</v>
      </c>
      <c r="L473" s="149" t="s">
        <v>6443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6441</v>
      </c>
      <c r="AC473" s="149" t="s">
        <v>6442</v>
      </c>
      <c r="AD473" s="149" t="s">
        <v>6443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>IF(AY473-KD473=0,"",AY473-O473)</f>
        <v/>
      </c>
      <c r="BD473" s="103" t="str">
        <f>IF(AND(AI473&lt;&gt;"SIM",AI473="UH"),"AA","INDENIZAÇÃO")</f>
        <v>AA</v>
      </c>
      <c r="BE473" s="103" t="str">
        <f>IF(AND(AY473&lt;&gt;"AGUARDANDO",AY473&lt;&gt;"",N473="AUXÍLIO ALUGUEL ATÉ INDENIZAÇÃO"),"SIM","NÃO")</f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hidden="1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6440</v>
      </c>
      <c r="G474" s="103" t="s">
        <v>4330</v>
      </c>
      <c r="H474" s="103" t="s">
        <v>4331</v>
      </c>
      <c r="I474" s="103" t="s">
        <v>4343</v>
      </c>
      <c r="J474" s="149" t="s">
        <v>6444</v>
      </c>
      <c r="K474" s="149" t="s">
        <v>6445</v>
      </c>
      <c r="L474" s="149" t="s">
        <v>6446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6444</v>
      </c>
      <c r="AC474" s="149" t="s">
        <v>6445</v>
      </c>
      <c r="AD474" s="149" t="s">
        <v>6446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6447</v>
      </c>
      <c r="AM474" s="103" t="s">
        <v>4338</v>
      </c>
      <c r="AN474" s="103" t="s">
        <v>4368</v>
      </c>
      <c r="AO474" s="112"/>
      <c r="AP474" s="171" t="s">
        <v>6448</v>
      </c>
      <c r="AQ474" s="273" t="s">
        <v>4338</v>
      </c>
      <c r="AR474" s="273" t="s">
        <v>4338</v>
      </c>
      <c r="AS474" s="103" t="s">
        <v>4822</v>
      </c>
      <c r="AT474" s="107" t="s">
        <v>4453</v>
      </c>
      <c r="AU474" s="109"/>
      <c r="AV474" s="109"/>
      <c r="AW474" s="109"/>
      <c r="AX474" s="109"/>
      <c r="AY474" s="157"/>
      <c r="AZ474" s="157"/>
      <c r="BA474" s="107" t="s">
        <v>4330</v>
      </c>
      <c r="BB474" s="112"/>
      <c r="BC474" s="220" t="str">
        <f>IF(AY474-KD474=0,"",AY474-O474)</f>
        <v/>
      </c>
      <c r="BD474" s="103" t="str">
        <f>IF(AND(AI474&lt;&gt;"SIM",AI474="UH"),"AA","INDENIZAÇÃO")</f>
        <v>INDENIZAÇÃO</v>
      </c>
      <c r="BE474" s="103" t="str">
        <f>IF(AND(AY474&lt;&gt;"AGUARDANDO",AY474&lt;&gt;"",N474="AUXÍLIO ALUGUEL ATÉ INDENIZAÇÃO"),"SIM","NÃO")</f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6449</v>
      </c>
      <c r="G475" s="103" t="s">
        <v>4330</v>
      </c>
      <c r="H475" s="103" t="s">
        <v>4331</v>
      </c>
      <c r="I475" s="142" t="s">
        <v>4343</v>
      </c>
      <c r="J475" s="149" t="s">
        <v>6450</v>
      </c>
      <c r="K475" s="149" t="s">
        <v>6451</v>
      </c>
      <c r="L475" s="149" t="s">
        <v>6452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6450</v>
      </c>
      <c r="AC475" s="149" t="s">
        <v>6453</v>
      </c>
      <c r="AD475" s="149" t="s">
        <v>6452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8"/>
      <c r="AQ475" s="99"/>
      <c r="AR475" s="99"/>
      <c r="AS475" s="269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6455</v>
      </c>
      <c r="AC476" s="149" t="s">
        <v>6456</v>
      </c>
      <c r="AD476" s="149" t="s">
        <v>6457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6458</v>
      </c>
      <c r="AQ476" s="165" t="s">
        <v>4822</v>
      </c>
      <c r="AR476" s="103" t="s">
        <v>4822</v>
      </c>
      <c r="AS476" s="103" t="s">
        <v>4822</v>
      </c>
      <c r="AT476" s="107" t="s">
        <v>4453</v>
      </c>
      <c r="AU476" s="109"/>
      <c r="AV476" s="109"/>
      <c r="AW476" s="109"/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6454</v>
      </c>
      <c r="G477" s="103" t="s">
        <v>4330</v>
      </c>
      <c r="H477" s="103" t="s">
        <v>4331</v>
      </c>
      <c r="I477" s="142" t="s">
        <v>4343</v>
      </c>
      <c r="J477" s="149" t="s">
        <v>6459</v>
      </c>
      <c r="K477" s="149" t="s">
        <v>6460</v>
      </c>
      <c r="L477" s="149" t="s">
        <v>6461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6459</v>
      </c>
      <c r="AC477" s="149" t="s">
        <v>6460</v>
      </c>
      <c r="AD477" s="149" t="s">
        <v>6461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8"/>
      <c r="AQ477" s="274"/>
      <c r="AR477" s="275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>IF(AY477-KD477=0,"",AY477-O477)</f>
        <v/>
      </c>
      <c r="BD477" s="103" t="str">
        <f>IF(AND(AI477&lt;&gt;"SIM",AI477="UH"),"AA","INDENIZAÇÃO")</f>
        <v>AA</v>
      </c>
      <c r="BE477" s="103" t="str">
        <f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6462</v>
      </c>
      <c r="G478" s="103" t="s">
        <v>4330</v>
      </c>
      <c r="H478" s="103" t="s">
        <v>4361</v>
      </c>
      <c r="I478" s="103" t="s">
        <v>4361</v>
      </c>
      <c r="J478" s="149" t="s">
        <v>6463</v>
      </c>
      <c r="K478" s="149" t="s">
        <v>6464</v>
      </c>
      <c r="L478" s="149" t="s">
        <v>6465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6463</v>
      </c>
      <c r="AC478" s="149" t="s">
        <v>6464</v>
      </c>
      <c r="AD478" s="149" t="s">
        <v>6465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6466</v>
      </c>
      <c r="G479" s="103" t="s">
        <v>4330</v>
      </c>
      <c r="H479" s="103" t="s">
        <v>4331</v>
      </c>
      <c r="I479" s="103" t="s">
        <v>4343</v>
      </c>
      <c r="J479" s="149" t="s">
        <v>6467</v>
      </c>
      <c r="K479" s="149" t="s">
        <v>6468</v>
      </c>
      <c r="L479" s="149" t="s">
        <v>6469</v>
      </c>
      <c r="M479" s="103" t="s">
        <v>4333</v>
      </c>
      <c r="N479" s="103" t="s">
        <v>4334</v>
      </c>
      <c r="O479" s="105">
        <v>46188</v>
      </c>
      <c r="P479" s="105" t="s">
        <v>6470</v>
      </c>
      <c r="Q479" s="105" t="s">
        <v>6470</v>
      </c>
      <c r="R479" s="105" t="s">
        <v>6470</v>
      </c>
      <c r="S479" s="105" t="s">
        <v>6470</v>
      </c>
      <c r="T479" s="105" t="s">
        <v>6470</v>
      </c>
      <c r="U479" s="105" t="s">
        <v>6470</v>
      </c>
      <c r="V479" s="105" t="s">
        <v>6470</v>
      </c>
      <c r="W479" s="105" t="s">
        <v>6470</v>
      </c>
      <c r="X479" s="105" t="s">
        <v>6470</v>
      </c>
      <c r="Y479" s="105" t="s">
        <v>6470</v>
      </c>
      <c r="Z479" s="105"/>
      <c r="AA479" s="105" t="s">
        <v>6470</v>
      </c>
      <c r="AB479" s="204" t="s">
        <v>6467</v>
      </c>
      <c r="AC479" s="204" t="s">
        <v>6468</v>
      </c>
      <c r="AD479" s="204" t="s">
        <v>6469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6471</v>
      </c>
      <c r="AQ479" s="103" t="s">
        <v>4338</v>
      </c>
      <c r="AR479" s="165" t="s">
        <v>4338</v>
      </c>
      <c r="AS479" s="103" t="s">
        <v>4822</v>
      </c>
      <c r="AT479" s="107" t="s">
        <v>4453</v>
      </c>
      <c r="AU479" s="109"/>
      <c r="AV479" s="109"/>
      <c r="AW479" s="109"/>
      <c r="AX479" s="109"/>
      <c r="AY479" s="157"/>
      <c r="AZ479" s="157"/>
      <c r="BA479" s="107" t="s">
        <v>4330</v>
      </c>
      <c r="BB479" s="112"/>
      <c r="BC479" s="220" t="str">
        <f>IF(AY479-KD479=0,"",AY479-O479)</f>
        <v/>
      </c>
      <c r="BD479" s="103" t="str">
        <f>IF(AND(AI479&lt;&gt;"SIM",AI479="UH"),"AA","INDENIZAÇÃO")</f>
        <v>INDENIZAÇÃO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customHeight="1" x14ac:dyDescent="0.25">
      <c r="A480" s="103">
        <v>470</v>
      </c>
      <c r="B480" s="103" t="s">
        <v>4431</v>
      </c>
      <c r="C480" s="103" t="s">
        <v>4448</v>
      </c>
      <c r="D480" s="103">
        <v>1</v>
      </c>
      <c r="E480" s="103" t="s">
        <v>4432</v>
      </c>
      <c r="F480" s="104" t="s">
        <v>6466</v>
      </c>
      <c r="G480" s="103" t="s">
        <v>4330</v>
      </c>
      <c r="H480" s="103" t="s">
        <v>4331</v>
      </c>
      <c r="I480" s="142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46064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6472</v>
      </c>
      <c r="AC480" s="149" t="s">
        <v>6473</v>
      </c>
      <c r="AD480" s="149" t="s">
        <v>6474</v>
      </c>
      <c r="AE480" s="103" t="s">
        <v>4343</v>
      </c>
      <c r="AF480" s="112" t="s">
        <v>4333</v>
      </c>
      <c r="AG480" s="194">
        <v>29415.63</v>
      </c>
      <c r="AH480" s="194">
        <f>AG480+30000</f>
        <v>59415.630000000005</v>
      </c>
      <c r="AI480" s="103" t="s">
        <v>4447</v>
      </c>
      <c r="AJ480" s="104" t="s">
        <v>4438</v>
      </c>
      <c r="AK480" s="103">
        <v>153413980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6475</v>
      </c>
      <c r="AQ480" s="103" t="s">
        <v>4338</v>
      </c>
      <c r="AR480" s="103" t="s">
        <v>4338</v>
      </c>
      <c r="AS480" s="103" t="s">
        <v>4338</v>
      </c>
      <c r="AT480" s="103" t="s">
        <v>4338</v>
      </c>
      <c r="AU480" s="105">
        <v>46153</v>
      </c>
      <c r="AV480" s="103" t="s">
        <v>4338</v>
      </c>
      <c r="AW480" s="103" t="s">
        <v>4338</v>
      </c>
      <c r="AX480" s="105">
        <v>46161</v>
      </c>
      <c r="AY480" s="106">
        <v>46161</v>
      </c>
      <c r="AZ480" s="106" t="s">
        <v>4453</v>
      </c>
      <c r="BA480" s="107" t="s">
        <v>4454</v>
      </c>
      <c r="BB480" s="112" t="s">
        <v>4338</v>
      </c>
      <c r="BC480" s="220">
        <f>IF(AY480-KD480=0,"",AY480-O480)</f>
        <v>97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12" t="s">
        <v>4357</v>
      </c>
      <c r="BG480" s="112" t="s">
        <v>4357</v>
      </c>
      <c r="BH480" s="112" t="s">
        <v>4357</v>
      </c>
      <c r="BI480" s="109" t="s">
        <v>5393</v>
      </c>
      <c r="BJ480" s="109"/>
      <c r="BK480" s="109"/>
      <c r="BL480" s="109"/>
      <c r="BM480" s="239"/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6476</v>
      </c>
      <c r="G481" s="103" t="s">
        <v>4330</v>
      </c>
      <c r="H481" s="103" t="s">
        <v>4331</v>
      </c>
      <c r="I481" s="103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46093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03" t="s">
        <v>4333</v>
      </c>
      <c r="AG481" s="194">
        <v>83679.75</v>
      </c>
      <c r="AH481" s="194">
        <v>83679.75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65" t="s">
        <v>4338</v>
      </c>
      <c r="AU481" s="105">
        <v>46128</v>
      </c>
      <c r="AV481" s="103" t="s">
        <v>4338</v>
      </c>
      <c r="AW481" s="165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>IF(AY481-KD481=0,"",AY481-O481)</f>
        <v>46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09" t="s">
        <v>5393</v>
      </c>
      <c r="BJ481" s="109"/>
      <c r="BK481" s="109"/>
      <c r="BL481" s="109"/>
      <c r="BM481" s="239"/>
    </row>
    <row r="482" spans="1:69" s="232" customFormat="1" ht="29.25" customHeight="1" x14ac:dyDescent="0.25">
      <c r="A482" s="103">
        <v>472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6476</v>
      </c>
      <c r="G482" s="103" t="s">
        <v>4330</v>
      </c>
      <c r="H482" s="103" t="s">
        <v>4342</v>
      </c>
      <c r="I482" s="153" t="s">
        <v>4332</v>
      </c>
      <c r="J482" s="149" t="s">
        <v>6481</v>
      </c>
      <c r="K482" s="149" t="s">
        <v>6482</v>
      </c>
      <c r="L482" s="149" t="s">
        <v>6483</v>
      </c>
      <c r="M482" s="103" t="s">
        <v>4333</v>
      </c>
      <c r="N482" s="103" t="s">
        <v>4459</v>
      </c>
      <c r="O482" s="105">
        <v>46059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6481</v>
      </c>
      <c r="AC482" s="149" t="s">
        <v>6482</v>
      </c>
      <c r="AD482" s="149" t="s">
        <v>6483</v>
      </c>
      <c r="AE482" s="153" t="s">
        <v>4332</v>
      </c>
      <c r="AF482" s="103" t="s">
        <v>4333</v>
      </c>
      <c r="AG482" s="194">
        <v>77783.350000000006</v>
      </c>
      <c r="AH482" s="194">
        <v>77783.350000000006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6484</v>
      </c>
      <c r="AQ482" s="103" t="s">
        <v>4338</v>
      </c>
      <c r="AR482" s="103" t="s">
        <v>4338</v>
      </c>
      <c r="AS482" s="103" t="s">
        <v>4338</v>
      </c>
      <c r="AT482" s="103" t="s">
        <v>4338</v>
      </c>
      <c r="AU482" s="105">
        <v>46128</v>
      </c>
      <c r="AV482" s="103" t="s">
        <v>4338</v>
      </c>
      <c r="AW482" s="103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>IF(AY482-KD482=0,"",AY482-O482)</f>
        <v>80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09" t="s">
        <v>5393</v>
      </c>
      <c r="BJ482" s="109"/>
      <c r="BK482" s="109"/>
      <c r="BL482" s="109"/>
      <c r="BM482" s="239"/>
    </row>
    <row r="483" spans="1:69" s="232" customFormat="1" ht="29.25" customHeight="1" x14ac:dyDescent="0.25">
      <c r="A483" s="165">
        <v>473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6485</v>
      </c>
      <c r="G483" s="103" t="s">
        <v>6486</v>
      </c>
      <c r="H483" s="103" t="s">
        <v>6486</v>
      </c>
      <c r="I483" s="151" t="s">
        <v>4332</v>
      </c>
      <c r="J483" s="149" t="s">
        <v>6487</v>
      </c>
      <c r="K483" s="149" t="s">
        <v>6488</v>
      </c>
      <c r="L483" s="149" t="s">
        <v>6489</v>
      </c>
      <c r="M483" s="103" t="s">
        <v>4333</v>
      </c>
      <c r="N483" s="103" t="s">
        <v>4459</v>
      </c>
      <c r="O483" s="105">
        <v>46076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6487</v>
      </c>
      <c r="AC483" s="149" t="s">
        <v>6488</v>
      </c>
      <c r="AD483" s="149" t="s">
        <v>6489</v>
      </c>
      <c r="AE483" s="153" t="s">
        <v>4332</v>
      </c>
      <c r="AF483" s="103" t="s">
        <v>4333</v>
      </c>
      <c r="AG483" s="194">
        <v>66126.44</v>
      </c>
      <c r="AH483" s="194">
        <v>66126.44</v>
      </c>
      <c r="AI483" s="103" t="s">
        <v>4336</v>
      </c>
      <c r="AJ483" s="104" t="s">
        <v>4438</v>
      </c>
      <c r="AK483" s="103">
        <v>148266044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6490</v>
      </c>
      <c r="AQ483" s="98" t="s">
        <v>4338</v>
      </c>
      <c r="AR483" s="103" t="s">
        <v>4338</v>
      </c>
      <c r="AS483" s="10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46182</v>
      </c>
      <c r="AY483" s="106">
        <v>46182</v>
      </c>
      <c r="AZ483" s="286" t="s">
        <v>4453</v>
      </c>
      <c r="BA483" s="287" t="s">
        <v>4454</v>
      </c>
      <c r="BB483" s="288" t="s">
        <v>4338</v>
      </c>
      <c r="BC483" s="220">
        <f>IF(AY483-KD483=0,"",AY483-O483)</f>
        <v>106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289" t="s">
        <v>4357</v>
      </c>
      <c r="BG483" s="250" t="s">
        <v>4357</v>
      </c>
      <c r="BH483" s="250" t="s">
        <v>4357</v>
      </c>
      <c r="BI483" s="290" t="s">
        <v>5393</v>
      </c>
      <c r="BJ483" s="154"/>
      <c r="BK483" s="154"/>
      <c r="BL483" s="154"/>
      <c r="BM483" s="237"/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6491</v>
      </c>
      <c r="G484" s="103" t="s">
        <v>4330</v>
      </c>
      <c r="H484" s="103" t="s">
        <v>4331</v>
      </c>
      <c r="I484" s="98" t="s">
        <v>4343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>IF(AY484-KD484=0,"",AY484-O484)</f>
        <v/>
      </c>
      <c r="BD484" s="103" t="str">
        <f>IF(AND(AI484&lt;&gt;"SIM",AI484="UH"),"AA","INDENIZAÇÃO")</f>
        <v>AA</v>
      </c>
      <c r="BE484" s="103" t="str">
        <f>IF(AND(AY484&lt;&gt;"AGUARDANDO",AY484&lt;&gt;"",N484="AUXÍLIO ALUGUEL ATÉ INDENIZAÇÃO"),"SIM","NÃO")</f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6495</v>
      </c>
      <c r="G485" s="103" t="s">
        <v>4330</v>
      </c>
      <c r="H485" s="103" t="s">
        <v>4331</v>
      </c>
      <c r="I485" s="103" t="s">
        <v>4343</v>
      </c>
      <c r="J485" s="149" t="s">
        <v>6496</v>
      </c>
      <c r="K485" s="149" t="s">
        <v>6497</v>
      </c>
      <c r="L485" s="149" t="s">
        <v>6498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6496</v>
      </c>
      <c r="AC485" s="149" t="s">
        <v>6497</v>
      </c>
      <c r="AD485" s="149" t="s">
        <v>6498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6499</v>
      </c>
      <c r="G486" s="103" t="s">
        <v>4330</v>
      </c>
      <c r="H486" s="103" t="s">
        <v>4331</v>
      </c>
      <c r="I486" s="103" t="s">
        <v>4343</v>
      </c>
      <c r="J486" s="149" t="s">
        <v>6500</v>
      </c>
      <c r="K486" s="149" t="s">
        <v>6501</v>
      </c>
      <c r="L486" s="149" t="s">
        <v>6502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6500</v>
      </c>
      <c r="AC486" s="149" t="s">
        <v>6501</v>
      </c>
      <c r="AD486" s="149" t="s">
        <v>6502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6503</v>
      </c>
      <c r="G487" s="103" t="s">
        <v>4330</v>
      </c>
      <c r="H487" s="103" t="s">
        <v>4331</v>
      </c>
      <c r="I487" s="103" t="s">
        <v>4343</v>
      </c>
      <c r="J487" s="149" t="s">
        <v>6504</v>
      </c>
      <c r="K487" s="149" t="s">
        <v>6505</v>
      </c>
      <c r="L487" s="149" t="s">
        <v>6506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6504</v>
      </c>
      <c r="AC487" s="149" t="s">
        <v>6505</v>
      </c>
      <c r="AD487" s="149" t="s">
        <v>6506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6423</v>
      </c>
      <c r="G488" s="103" t="s">
        <v>4330</v>
      </c>
      <c r="H488" s="103" t="s">
        <v>4331</v>
      </c>
      <c r="I488" s="142" t="s">
        <v>4343</v>
      </c>
      <c r="J488" s="149" t="s">
        <v>6424</v>
      </c>
      <c r="K488" s="149" t="s">
        <v>6425</v>
      </c>
      <c r="L488" s="149" t="s">
        <v>6426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6424</v>
      </c>
      <c r="AC488" s="149" t="s">
        <v>6425</v>
      </c>
      <c r="AD488" s="149" t="s">
        <v>6426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7" t="s">
        <v>6427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>IF(AY488-KD488=0,"",AY488-O488)</f>
        <v>#VALUE!</v>
      </c>
      <c r="BD488" s="103" t="str">
        <f>IF(AND(AI488&lt;&gt;"SIM",AI488="UH"),"AA","INDENIZAÇÃO")</f>
        <v>INDENIZAÇÃO</v>
      </c>
      <c r="BE488" s="103" t="str">
        <f>IF(AND(AY488&lt;&gt;"AGUARDANDO",AY488&lt;&gt;"",N488="AUXÍLIO ALUGUEL ATÉ INDENIZAÇÃO"),"SIM","NÃO")</f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4343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6513</v>
      </c>
      <c r="AC489" s="149" t="s">
        <v>6514</v>
      </c>
      <c r="AD489" s="149" t="s">
        <v>6515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>IF(AY489-KD489=0,"",AY489-O489)</f>
        <v/>
      </c>
      <c r="BD489" s="103" t="str">
        <f>IF(AND(AI489&lt;&gt;"SIM",AI489="UH"),"AA","INDENIZAÇÃO")</f>
        <v>AA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6516</v>
      </c>
      <c r="G490" s="103" t="s">
        <v>4330</v>
      </c>
      <c r="H490" s="103" t="s">
        <v>4331</v>
      </c>
      <c r="I490" s="103" t="s">
        <v>4343</v>
      </c>
      <c r="J490" s="149" t="s">
        <v>6517</v>
      </c>
      <c r="K490" s="149" t="s">
        <v>6518</v>
      </c>
      <c r="L490" s="149" t="s">
        <v>6519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6517</v>
      </c>
      <c r="AC490" s="149" t="s">
        <v>6518</v>
      </c>
      <c r="AD490" s="149" t="s">
        <v>6519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70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6520</v>
      </c>
      <c r="G491" s="103" t="s">
        <v>4330</v>
      </c>
      <c r="H491" s="103" t="s">
        <v>4331</v>
      </c>
      <c r="I491" s="142" t="s">
        <v>6521</v>
      </c>
      <c r="J491" s="149" t="s">
        <v>6522</v>
      </c>
      <c r="K491" s="149" t="s">
        <v>4432</v>
      </c>
      <c r="L491" s="149" t="s">
        <v>6523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6522</v>
      </c>
      <c r="AC491" s="149" t="s">
        <v>4432</v>
      </c>
      <c r="AD491" s="149" t="s">
        <v>6523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6524</v>
      </c>
      <c r="G492" s="103" t="s">
        <v>4330</v>
      </c>
      <c r="H492" s="103" t="s">
        <v>4331</v>
      </c>
      <c r="I492" s="142" t="s">
        <v>4343</v>
      </c>
      <c r="J492" s="149" t="s">
        <v>6525</v>
      </c>
      <c r="K492" s="149" t="s">
        <v>6526</v>
      </c>
      <c r="L492" s="149" t="s">
        <v>6527</v>
      </c>
      <c r="M492" s="103" t="s">
        <v>4333</v>
      </c>
      <c r="N492" s="103" t="s">
        <v>4459</v>
      </c>
      <c r="O492" s="105">
        <v>46076</v>
      </c>
      <c r="P492" s="105" t="s">
        <v>4356</v>
      </c>
      <c r="Q492" s="105" t="s">
        <v>4356</v>
      </c>
      <c r="R492" s="105" t="s">
        <v>4356</v>
      </c>
      <c r="S492" s="105" t="s">
        <v>4356</v>
      </c>
      <c r="T492" s="105" t="s">
        <v>4356</v>
      </c>
      <c r="U492" s="105" t="s">
        <v>4356</v>
      </c>
      <c r="V492" s="105" t="s">
        <v>4356</v>
      </c>
      <c r="W492" s="105" t="s">
        <v>4356</v>
      </c>
      <c r="X492" s="105" t="s">
        <v>4356</v>
      </c>
      <c r="Y492" s="105" t="s">
        <v>4356</v>
      </c>
      <c r="Z492" s="105"/>
      <c r="AA492" s="105"/>
      <c r="AB492" s="149" t="s">
        <v>6525</v>
      </c>
      <c r="AC492" s="149" t="s">
        <v>6526</v>
      </c>
      <c r="AD492" s="149" t="s">
        <v>6527</v>
      </c>
      <c r="AE492" s="103" t="s">
        <v>4343</v>
      </c>
      <c r="AF492" s="112" t="s">
        <v>4333</v>
      </c>
      <c r="AG492" s="194">
        <v>42817.58</v>
      </c>
      <c r="AH492" s="194">
        <v>60000</v>
      </c>
      <c r="AI492" s="103" t="s">
        <v>4447</v>
      </c>
      <c r="AJ492" s="104" t="s">
        <v>4438</v>
      </c>
      <c r="AK492" s="103">
        <v>150611783</v>
      </c>
      <c r="AL492" s="103" t="s">
        <v>4338</v>
      </c>
      <c r="AM492" s="103" t="s">
        <v>4338</v>
      </c>
      <c r="AN492" s="103" t="s">
        <v>4339</v>
      </c>
      <c r="AO492" s="112"/>
      <c r="AP492" s="171" t="s">
        <v>6528</v>
      </c>
      <c r="AQ492" s="103" t="s">
        <v>4338</v>
      </c>
      <c r="AR492" s="103" t="s">
        <v>4338</v>
      </c>
      <c r="AS492" s="103" t="s">
        <v>4338</v>
      </c>
      <c r="AT492" s="103" t="s">
        <v>4338</v>
      </c>
      <c r="AU492" s="105">
        <v>46118</v>
      </c>
      <c r="AV492" s="103" t="s">
        <v>4338</v>
      </c>
      <c r="AW492" s="103" t="s">
        <v>4338</v>
      </c>
      <c r="AX492" s="105">
        <v>46126</v>
      </c>
      <c r="AY492" s="106">
        <v>46126</v>
      </c>
      <c r="AZ492" s="106" t="s">
        <v>4453</v>
      </c>
      <c r="BA492" s="174" t="s">
        <v>4454</v>
      </c>
      <c r="BB492" s="136" t="s">
        <v>4338</v>
      </c>
      <c r="BC492" s="220">
        <f>IF(AY492-KD492=0,"",AY492-O492)</f>
        <v>50</v>
      </c>
      <c r="BD492" s="103" t="str">
        <f>IF(AND(AI492&lt;&gt;"SIM",AI492="UH"),"AA","INDENIZAÇÃO")</f>
        <v>INDENIZAÇÃO</v>
      </c>
      <c r="BE492" s="103" t="str">
        <f>IF(AND(AY492&lt;&gt;"AGUARDANDO",AY492&lt;&gt;"",N492="AUXÍLIO ALUGUEL ATÉ INDENIZAÇÃO"),"SIM","NÃO")</f>
        <v>NÃO</v>
      </c>
      <c r="BF492" s="140" t="s">
        <v>4357</v>
      </c>
      <c r="BG492" s="140" t="s">
        <v>4357</v>
      </c>
      <c r="BH492" s="140" t="s">
        <v>4357</v>
      </c>
      <c r="BI492" s="154" t="s">
        <v>5393</v>
      </c>
      <c r="BJ492" s="154"/>
      <c r="BK492" s="154"/>
      <c r="BL492" s="154"/>
      <c r="BM492" s="237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4432</v>
      </c>
      <c r="L493" s="149" t="s">
        <v>6531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6530</v>
      </c>
      <c r="AC493" s="149" t="s">
        <v>4432</v>
      </c>
      <c r="AD493" s="149" t="s">
        <v>6531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>IF(AY493-KD493=0,"",AY493-O493)</f>
        <v/>
      </c>
      <c r="BD493" s="103" t="str">
        <f>IF(AND(AI493&lt;&gt;"SIM",AI493="UH"),"AA","INDENIZAÇÃO")</f>
        <v>AA</v>
      </c>
      <c r="BE493" s="103" t="str">
        <f>IF(AND(AY493&lt;&gt;"AGUARDANDO",AY493&lt;&gt;"",N493="AUXÍLIO ALUGUEL ATÉ INDENIZAÇÃO"),"SIM","NÃO")</f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6532</v>
      </c>
      <c r="G494" s="103" t="s">
        <v>4330</v>
      </c>
      <c r="H494" s="103" t="s">
        <v>4331</v>
      </c>
      <c r="I494" s="142" t="s">
        <v>4343</v>
      </c>
      <c r="J494" s="149" t="s">
        <v>6533</v>
      </c>
      <c r="K494" s="149" t="s">
        <v>6534</v>
      </c>
      <c r="L494" s="149" t="s">
        <v>6535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6533</v>
      </c>
      <c r="AC494" s="149" t="s">
        <v>6534</v>
      </c>
      <c r="AD494" s="149" t="s">
        <v>6535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6536</v>
      </c>
      <c r="G495" s="103" t="s">
        <v>4330</v>
      </c>
      <c r="H495" s="103" t="s">
        <v>4331</v>
      </c>
      <c r="I495" s="142" t="s">
        <v>4343</v>
      </c>
      <c r="J495" s="149" t="s">
        <v>6537</v>
      </c>
      <c r="K495" s="149" t="s">
        <v>6538</v>
      </c>
      <c r="L495" s="149" t="s">
        <v>6539</v>
      </c>
      <c r="M495" s="103" t="s">
        <v>4333</v>
      </c>
      <c r="N495" s="103" t="s">
        <v>4459</v>
      </c>
      <c r="O495" s="105">
        <v>46097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5"/>
      <c r="AB495" s="204" t="s">
        <v>6537</v>
      </c>
      <c r="AC495" s="204" t="s">
        <v>6538</v>
      </c>
      <c r="AD495" s="204" t="s">
        <v>6539</v>
      </c>
      <c r="AE495" s="165" t="s">
        <v>4343</v>
      </c>
      <c r="AF495" s="165" t="s">
        <v>4333</v>
      </c>
      <c r="AG495" s="208">
        <v>60697.24</v>
      </c>
      <c r="AH495" s="208">
        <v>60697.24</v>
      </c>
      <c r="AI495" s="165" t="s">
        <v>4336</v>
      </c>
      <c r="AJ495" s="104" t="s">
        <v>4438</v>
      </c>
      <c r="AK495" s="103">
        <v>150997684</v>
      </c>
      <c r="AL495" s="142" t="s">
        <v>4338</v>
      </c>
      <c r="AM495" s="103" t="s">
        <v>4338</v>
      </c>
      <c r="AN495" s="103" t="s">
        <v>4339</v>
      </c>
      <c r="AO495" s="103"/>
      <c r="AP495" s="171" t="s">
        <v>6540</v>
      </c>
      <c r="AQ495" s="103" t="s">
        <v>4338</v>
      </c>
      <c r="AR495" s="103" t="s">
        <v>4338</v>
      </c>
      <c r="AS495" s="10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46157</v>
      </c>
      <c r="AY495" s="106">
        <v>46157</v>
      </c>
      <c r="AZ495" s="106" t="s">
        <v>4453</v>
      </c>
      <c r="BA495" s="107" t="s">
        <v>4454</v>
      </c>
      <c r="BB495" s="136" t="s">
        <v>4338</v>
      </c>
      <c r="BC495" s="220">
        <f>IF(AY495-KD495=0,"",AY495-O495)</f>
        <v>60</v>
      </c>
      <c r="BD495" s="103" t="str">
        <f>IF(AND(AI495&lt;&gt;"SIM",AI495="UH"),"AA","INDENIZAÇÃO")</f>
        <v>INDENIZAÇÃO</v>
      </c>
      <c r="BE495" s="103" t="str">
        <f>IF(AND(AY495&lt;&gt;"AGUARDANDO",AY495&lt;&gt;"",N495="AUXÍLIO ALUGUEL ATÉ INDENIZAÇÃO"),"SIM","NÃO")</f>
        <v>NÃO</v>
      </c>
      <c r="BF495" s="140" t="s">
        <v>4357</v>
      </c>
      <c r="BG495" s="140" t="s">
        <v>4357</v>
      </c>
      <c r="BH495" s="140" t="s">
        <v>4357</v>
      </c>
      <c r="BI495" s="154" t="s">
        <v>5393</v>
      </c>
      <c r="BJ495" s="154"/>
      <c r="BK495" s="154"/>
      <c r="BL495" s="154"/>
      <c r="BM495" s="237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6541</v>
      </c>
      <c r="G496" s="103" t="s">
        <v>4330</v>
      </c>
      <c r="H496" s="103" t="s">
        <v>4331</v>
      </c>
      <c r="I496" s="142" t="s">
        <v>4343</v>
      </c>
      <c r="J496" s="149" t="s">
        <v>6542</v>
      </c>
      <c r="K496" s="149" t="s">
        <v>6543</v>
      </c>
      <c r="L496" s="149" t="s">
        <v>6544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6542</v>
      </c>
      <c r="AC496" s="149" t="s">
        <v>6543</v>
      </c>
      <c r="AD496" s="149" t="s">
        <v>6544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>IF(AY496-KD496=0,"",AY496-O496)</f>
        <v/>
      </c>
      <c r="BD496" s="103" t="str">
        <f>IF(AND(AI496&lt;&gt;"SIM",AI496="UH"),"AA","INDENIZAÇÃO")</f>
        <v>AA</v>
      </c>
      <c r="BE496" s="103" t="str">
        <f>IF(AND(AY496&lt;&gt;"AGUARDANDO",AY496&lt;&gt;"",N496="AUXÍLIO ALUGUEL ATÉ INDENIZAÇÃO"),"SIM","NÃO")</f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/>
      <c r="L497" s="149" t="s">
        <v>6547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6549</v>
      </c>
      <c r="AC498" s="149" t="s">
        <v>6550</v>
      </c>
      <c r="AD498" s="149" t="s">
        <v>6551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6552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83"/>
      <c r="AX498" s="285"/>
      <c r="AY498" s="166"/>
      <c r="AZ498" s="106"/>
      <c r="BA498" s="107"/>
      <c r="BB498" s="136"/>
      <c r="BC498" s="220" t="str">
        <f>IF(AY498-KD498=0,"",AY498-O498)</f>
        <v/>
      </c>
      <c r="BD498" s="103" t="str">
        <f>IF(AND(AI498&lt;&gt;"SIM",AI498="UH"),"AA","INDENIZAÇÃO")</f>
        <v>INDENIZAÇÃO</v>
      </c>
      <c r="BE498" s="103" t="str">
        <f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6553</v>
      </c>
      <c r="G499" s="103" t="s">
        <v>4330</v>
      </c>
      <c r="H499" s="103" t="s">
        <v>4331</v>
      </c>
      <c r="I499" s="142" t="s">
        <v>4343</v>
      </c>
      <c r="J499" s="149" t="s">
        <v>6554</v>
      </c>
      <c r="K499" s="149" t="s">
        <v>6555</v>
      </c>
      <c r="L499" s="149" t="s">
        <v>6556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6554</v>
      </c>
      <c r="AC499" s="149" t="s">
        <v>6555</v>
      </c>
      <c r="AD499" s="149" t="s">
        <v>6556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>IF(AY499-KD499=0,"",AY499-O499)</f>
        <v/>
      </c>
      <c r="BD499" s="103" t="str">
        <f>IF(AND(AI499&lt;&gt;"SIM",AI499="UH"),"AA","INDENIZAÇÃO")</f>
        <v>AA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6557</v>
      </c>
      <c r="G500" s="103" t="s">
        <v>4330</v>
      </c>
      <c r="H500" s="103" t="s">
        <v>4331</v>
      </c>
      <c r="I500" s="142" t="s">
        <v>4343</v>
      </c>
      <c r="J500" s="149" t="s">
        <v>6558</v>
      </c>
      <c r="K500" s="149" t="s">
        <v>6559</v>
      </c>
      <c r="L500" s="149" t="s">
        <v>6560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6558</v>
      </c>
      <c r="AC500" s="149" t="s">
        <v>6559</v>
      </c>
      <c r="AD500" s="149" t="s">
        <v>6560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6561</v>
      </c>
      <c r="G501" s="103" t="s">
        <v>4330</v>
      </c>
      <c r="H501" s="103" t="s">
        <v>4331</v>
      </c>
      <c r="I501" s="142" t="s">
        <v>4343</v>
      </c>
      <c r="J501" s="149" t="s">
        <v>6562</v>
      </c>
      <c r="K501" s="149" t="s">
        <v>6563</v>
      </c>
      <c r="L501" s="149" t="s">
        <v>6564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6562</v>
      </c>
      <c r="AC501" s="149" t="s">
        <v>6563</v>
      </c>
      <c r="AD501" s="149" t="s">
        <v>6564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6565</v>
      </c>
      <c r="G502" s="103" t="s">
        <v>4330</v>
      </c>
      <c r="H502" s="103" t="s">
        <v>4331</v>
      </c>
      <c r="I502" s="142" t="s">
        <v>4343</v>
      </c>
      <c r="J502" s="149" t="s">
        <v>6566</v>
      </c>
      <c r="K502" s="149" t="s">
        <v>6567</v>
      </c>
      <c r="L502" s="149" t="s">
        <v>6568</v>
      </c>
      <c r="M502" s="103" t="s">
        <v>4333</v>
      </c>
      <c r="N502" s="103" t="s">
        <v>4459</v>
      </c>
      <c r="O502" s="105">
        <v>46059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5"/>
      <c r="AB502" s="149" t="s">
        <v>6566</v>
      </c>
      <c r="AC502" s="149" t="s">
        <v>6567</v>
      </c>
      <c r="AD502" s="149" t="s">
        <v>6568</v>
      </c>
      <c r="AE502" s="103" t="s">
        <v>4343</v>
      </c>
      <c r="AF502" s="103" t="s">
        <v>4333</v>
      </c>
      <c r="AG502" s="194">
        <v>40843.19</v>
      </c>
      <c r="AH502" s="194">
        <v>60000</v>
      </c>
      <c r="AI502" s="103" t="s">
        <v>4336</v>
      </c>
      <c r="AJ502" s="104" t="s">
        <v>4438</v>
      </c>
      <c r="AK502" s="103">
        <v>147059440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6569</v>
      </c>
      <c r="AQ502" s="103" t="s">
        <v>4338</v>
      </c>
      <c r="AR502" s="103" t="s">
        <v>4338</v>
      </c>
      <c r="AS502" s="103" t="s">
        <v>4338</v>
      </c>
      <c r="AT502" s="103" t="s">
        <v>4338</v>
      </c>
      <c r="AU502" s="105">
        <v>46128</v>
      </c>
      <c r="AV502" s="103" t="s">
        <v>4338</v>
      </c>
      <c r="AW502" s="103" t="s">
        <v>4338</v>
      </c>
      <c r="AX502" s="105">
        <v>46139</v>
      </c>
      <c r="AY502" s="106">
        <v>46139</v>
      </c>
      <c r="AZ502" s="106" t="s">
        <v>4453</v>
      </c>
      <c r="BA502" s="107" t="s">
        <v>4454</v>
      </c>
      <c r="BB502" s="136" t="s">
        <v>4338</v>
      </c>
      <c r="BC502" s="220">
        <f>IF(AY502-KD502=0,"",AY502-O502)</f>
        <v>80</v>
      </c>
      <c r="BD502" s="103" t="str">
        <f>IF(AND(AI502&lt;&gt;"SIM",AI502="UH"),"AA","INDENIZAÇÃO")</f>
        <v>INDENIZAÇÃO</v>
      </c>
      <c r="BE502" s="103" t="str">
        <f>IF(AND(AY502&lt;&gt;"AGUARDANDO",AY502&lt;&gt;"",N502="AUXÍLIO ALUGUEL ATÉ INDENIZAÇÃO"),"SIM","NÃO")</f>
        <v>NÃO</v>
      </c>
      <c r="BF502" s="112" t="s">
        <v>4357</v>
      </c>
      <c r="BG502" s="112" t="s">
        <v>4357</v>
      </c>
      <c r="BH502" s="112" t="s">
        <v>4357</v>
      </c>
      <c r="BI502" s="109" t="s">
        <v>5393</v>
      </c>
      <c r="BJ502" s="109"/>
      <c r="BK502" s="109"/>
      <c r="BL502" s="109"/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6570</v>
      </c>
      <c r="G503" s="103" t="s">
        <v>4330</v>
      </c>
      <c r="H503" s="103" t="s">
        <v>4331</v>
      </c>
      <c r="I503" s="142" t="s">
        <v>4343</v>
      </c>
      <c r="J503" s="149" t="s">
        <v>6571</v>
      </c>
      <c r="K503" s="149" t="s">
        <v>6572</v>
      </c>
      <c r="L503" s="149" t="s">
        <v>6573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6571</v>
      </c>
      <c r="AC503" s="149" t="s">
        <v>6572</v>
      </c>
      <c r="AD503" s="149" t="s">
        <v>6573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>IF(AY503-KD503=0,"",AY503-O503)</f>
        <v/>
      </c>
      <c r="BD503" s="103" t="str">
        <f>IF(AND(AI503&lt;&gt;"SIM",AI503="UH"),"AA","INDENIZAÇÃO")</f>
        <v>AA</v>
      </c>
      <c r="BE503" s="103" t="str">
        <f>IF(AND(AY503&lt;&gt;"AGUARDANDO",AY503&lt;&gt;"",N503="AUXÍLIO ALUGUEL ATÉ INDENIZAÇÃO"),"SIM","NÃO")</f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6574</v>
      </c>
      <c r="G504" s="103" t="s">
        <v>4330</v>
      </c>
      <c r="H504" s="103" t="s">
        <v>4331</v>
      </c>
      <c r="I504" s="142" t="s">
        <v>4343</v>
      </c>
      <c r="J504" s="149" t="s">
        <v>6575</v>
      </c>
      <c r="K504" s="149" t="s">
        <v>6576</v>
      </c>
      <c r="L504" s="149" t="s">
        <v>6577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6575</v>
      </c>
      <c r="AC504" s="149" t="s">
        <v>6576</v>
      </c>
      <c r="AD504" s="149" t="s">
        <v>6577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6578</v>
      </c>
      <c r="G505" s="103" t="s">
        <v>4330</v>
      </c>
      <c r="H505" s="103" t="s">
        <v>4331</v>
      </c>
      <c r="I505" s="142" t="s">
        <v>4343</v>
      </c>
      <c r="J505" s="149" t="s">
        <v>6579</v>
      </c>
      <c r="K505" s="149" t="s">
        <v>6580</v>
      </c>
      <c r="L505" s="149" t="s">
        <v>6581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6579</v>
      </c>
      <c r="AC505" s="204" t="s">
        <v>6580</v>
      </c>
      <c r="AD505" s="204" t="s">
        <v>6581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INDENIZAÇÃO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6582</v>
      </c>
      <c r="G506" s="103" t="s">
        <v>4330</v>
      </c>
      <c r="H506" s="103" t="s">
        <v>4331</v>
      </c>
      <c r="I506" s="142" t="s">
        <v>4343</v>
      </c>
      <c r="J506" s="149" t="s">
        <v>6583</v>
      </c>
      <c r="K506" s="149" t="s">
        <v>6584</v>
      </c>
      <c r="L506" s="149" t="s">
        <v>6585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6583</v>
      </c>
      <c r="AC506" s="149" t="s">
        <v>6584</v>
      </c>
      <c r="AD506" s="149" t="s">
        <v>6585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AA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6586</v>
      </c>
      <c r="G507" s="103" t="s">
        <v>4330</v>
      </c>
      <c r="H507" s="103" t="s">
        <v>4331</v>
      </c>
      <c r="I507" s="142" t="s">
        <v>4343</v>
      </c>
      <c r="J507" s="149" t="s">
        <v>6587</v>
      </c>
      <c r="K507" s="149" t="s">
        <v>6588</v>
      </c>
      <c r="L507" s="149" t="s">
        <v>6589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6587</v>
      </c>
      <c r="AC507" s="149" t="s">
        <v>6588</v>
      </c>
      <c r="AD507" s="149" t="s">
        <v>6589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6590</v>
      </c>
      <c r="G508" s="103" t="s">
        <v>4330</v>
      </c>
      <c r="H508" s="103" t="s">
        <v>4331</v>
      </c>
      <c r="I508" s="142" t="s">
        <v>4343</v>
      </c>
      <c r="J508" s="149" t="s">
        <v>6591</v>
      </c>
      <c r="K508" s="149" t="s">
        <v>6592</v>
      </c>
      <c r="L508" s="149" t="s">
        <v>6593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6591</v>
      </c>
      <c r="AC508" s="149" t="s">
        <v>6592</v>
      </c>
      <c r="AD508" s="149" t="s">
        <v>6593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6594</v>
      </c>
      <c r="G509" s="103" t="s">
        <v>4330</v>
      </c>
      <c r="H509" s="103" t="s">
        <v>4331</v>
      </c>
      <c r="I509" s="142" t="s">
        <v>4343</v>
      </c>
      <c r="J509" s="114" t="s">
        <v>6595</v>
      </c>
      <c r="K509" s="149" t="s">
        <v>6596</v>
      </c>
      <c r="L509" s="149" t="s">
        <v>6597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6595</v>
      </c>
      <c r="AC509" s="149" t="s">
        <v>6596</v>
      </c>
      <c r="AD509" s="149" t="s">
        <v>6597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6598</v>
      </c>
      <c r="G510" s="103" t="s">
        <v>4330</v>
      </c>
      <c r="H510" s="103" t="s">
        <v>4331</v>
      </c>
      <c r="I510" s="142" t="s">
        <v>4343</v>
      </c>
      <c r="J510" s="149" t="s">
        <v>6599</v>
      </c>
      <c r="K510" s="149" t="s">
        <v>6600</v>
      </c>
      <c r="L510" s="149" t="s">
        <v>6601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6599</v>
      </c>
      <c r="AC510" s="149" t="s">
        <v>6600</v>
      </c>
      <c r="AD510" s="149" t="s">
        <v>6601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6602</v>
      </c>
      <c r="G511" s="103" t="s">
        <v>4330</v>
      </c>
      <c r="H511" s="103" t="s">
        <v>4331</v>
      </c>
      <c r="I511" s="103" t="s">
        <v>4343</v>
      </c>
      <c r="J511" s="149" t="s">
        <v>6603</v>
      </c>
      <c r="K511" s="149" t="s">
        <v>6580</v>
      </c>
      <c r="L511" s="149" t="s">
        <v>6604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6603</v>
      </c>
      <c r="AC511" s="149" t="s">
        <v>6580</v>
      </c>
      <c r="AD511" s="149" t="s">
        <v>6604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6602</v>
      </c>
      <c r="G512" s="103" t="s">
        <v>4330</v>
      </c>
      <c r="H512" s="103" t="s">
        <v>4331</v>
      </c>
      <c r="I512" s="103" t="s">
        <v>4343</v>
      </c>
      <c r="J512" s="149" t="s">
        <v>6605</v>
      </c>
      <c r="K512" s="149" t="s">
        <v>6606</v>
      </c>
      <c r="L512" s="149" t="s">
        <v>6607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6608</v>
      </c>
      <c r="AC512" s="204" t="s">
        <v>6606</v>
      </c>
      <c r="AD512" s="204" t="s">
        <v>6607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6609</v>
      </c>
      <c r="G513" s="103" t="s">
        <v>4330</v>
      </c>
      <c r="H513" s="103" t="s">
        <v>4331</v>
      </c>
      <c r="I513" s="103" t="s">
        <v>4343</v>
      </c>
      <c r="J513" s="149" t="s">
        <v>6610</v>
      </c>
      <c r="K513" s="149" t="s">
        <v>4432</v>
      </c>
      <c r="L513" s="149" t="s">
        <v>6611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6610</v>
      </c>
      <c r="AC513" s="149" t="s">
        <v>4432</v>
      </c>
      <c r="AD513" s="149" t="s">
        <v>6611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6609</v>
      </c>
      <c r="G514" s="103" t="s">
        <v>4330</v>
      </c>
      <c r="H514" s="103" t="s">
        <v>4331</v>
      </c>
      <c r="I514" s="142" t="s">
        <v>5683</v>
      </c>
      <c r="J514" s="149" t="s">
        <v>6612</v>
      </c>
      <c r="K514" s="149" t="s">
        <v>6613</v>
      </c>
      <c r="L514" s="149" t="s">
        <v>6614</v>
      </c>
      <c r="M514" s="103" t="s">
        <v>4333</v>
      </c>
      <c r="N514" s="103" t="s">
        <v>4345</v>
      </c>
      <c r="O514" s="105">
        <v>46064</v>
      </c>
      <c r="P514" s="108">
        <v>46031</v>
      </c>
      <c r="Q514" s="105" t="s">
        <v>4436</v>
      </c>
      <c r="R514" s="108">
        <v>46030</v>
      </c>
      <c r="S514" s="108">
        <v>46031</v>
      </c>
      <c r="T514" s="108">
        <v>46036</v>
      </c>
      <c r="U514" s="108">
        <v>46045</v>
      </c>
      <c r="V514" s="108" t="s">
        <v>4437</v>
      </c>
      <c r="W514" s="108" t="s">
        <v>4437</v>
      </c>
      <c r="X514" s="105">
        <v>46055</v>
      </c>
      <c r="Y514" s="105" t="s">
        <v>4457</v>
      </c>
      <c r="Z514" s="105"/>
      <c r="AA514" s="103" t="s">
        <v>6615</v>
      </c>
      <c r="AB514" s="149" t="s">
        <v>6616</v>
      </c>
      <c r="AC514" s="149" t="s">
        <v>6617</v>
      </c>
      <c r="AD514" s="149" t="s">
        <v>6618</v>
      </c>
      <c r="AE514" s="142" t="s">
        <v>4332</v>
      </c>
      <c r="AF514" s="103" t="s">
        <v>4333</v>
      </c>
      <c r="AG514" s="194">
        <v>29437.08</v>
      </c>
      <c r="AH514" s="194">
        <v>29437.08</v>
      </c>
      <c r="AI514" s="103" t="s">
        <v>4336</v>
      </c>
      <c r="AJ514" s="104" t="s">
        <v>4438</v>
      </c>
      <c r="AK514" s="103">
        <v>150612303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6619</v>
      </c>
      <c r="AQ514" s="103" t="s">
        <v>4338</v>
      </c>
      <c r="AR514" s="103" t="s">
        <v>4338</v>
      </c>
      <c r="AS514" s="103" t="s">
        <v>4338</v>
      </c>
      <c r="AT514" s="103" t="s">
        <v>4338</v>
      </c>
      <c r="AU514" s="105">
        <v>46170</v>
      </c>
      <c r="AV514" s="103" t="s">
        <v>4338</v>
      </c>
      <c r="AW514" s="103" t="s">
        <v>4338</v>
      </c>
      <c r="AX514" s="105">
        <v>46182</v>
      </c>
      <c r="AY514" s="106">
        <v>46182</v>
      </c>
      <c r="AZ514" s="106" t="s">
        <v>4453</v>
      </c>
      <c r="BA514" s="107" t="s">
        <v>4454</v>
      </c>
      <c r="BB514" s="136" t="s">
        <v>4338</v>
      </c>
      <c r="BC514" s="220">
        <f>IF(AY514-KD514=0,"",AY514-O514)</f>
        <v>118</v>
      </c>
      <c r="BD514" s="103" t="str">
        <f>IF(AND(AI514&lt;&gt;"SIM",AI514="UH"),"AA","INDENIZAÇÃO")</f>
        <v>INDENIZAÇÃO</v>
      </c>
      <c r="BE514" s="103" t="str">
        <f>IF(AND(AY514&lt;&gt;"AGUARDANDO",AY514&lt;&gt;"",N514="AUXÍLIO ALUGUEL ATÉ INDENIZAÇÃO"),"SIM","NÃO")</f>
        <v>NÃO</v>
      </c>
      <c r="BF514" s="140" t="s">
        <v>4357</v>
      </c>
      <c r="BG514" s="140" t="s">
        <v>4357</v>
      </c>
      <c r="BH514" s="140" t="s">
        <v>4357</v>
      </c>
      <c r="BI514" s="154" t="s">
        <v>5393</v>
      </c>
      <c r="BJ514" s="154"/>
      <c r="BK514" s="154"/>
      <c r="BL514" s="154"/>
      <c r="BM514" s="237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6620</v>
      </c>
      <c r="G515" s="103" t="s">
        <v>4330</v>
      </c>
      <c r="H515" s="103" t="s">
        <v>4331</v>
      </c>
      <c r="I515" s="103" t="s">
        <v>4343</v>
      </c>
      <c r="J515" s="149" t="s">
        <v>6621</v>
      </c>
      <c r="K515" s="149" t="s">
        <v>4432</v>
      </c>
      <c r="L515" s="149" t="s">
        <v>6622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6621</v>
      </c>
      <c r="AC515" s="149" t="s">
        <v>4432</v>
      </c>
      <c r="AD515" s="149" t="s">
        <v>6622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>IF(AY515-KD515=0,"",AY515-O515)</f>
        <v/>
      </c>
      <c r="BD515" s="103" t="str">
        <f>IF(AND(AI515&lt;&gt;"SIM",AI515="UH"),"AA","INDENIZAÇÃO")</f>
        <v>AA</v>
      </c>
      <c r="BE515" s="103" t="str">
        <f>IF(AND(AY515&lt;&gt;"AGUARDANDO",AY515&lt;&gt;"",N515="AUXÍLIO ALUGUEL ATÉ INDENIZAÇÃO"),"SIM","NÃO")</f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6623</v>
      </c>
      <c r="G516" s="103" t="s">
        <v>4330</v>
      </c>
      <c r="H516" s="103" t="s">
        <v>4331</v>
      </c>
      <c r="I516" s="103" t="s">
        <v>4343</v>
      </c>
      <c r="J516" s="149" t="s">
        <v>6624</v>
      </c>
      <c r="K516" s="149" t="s">
        <v>6625</v>
      </c>
      <c r="L516" s="149" t="s">
        <v>6626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6624</v>
      </c>
      <c r="AC516" s="149" t="s">
        <v>6625</v>
      </c>
      <c r="AD516" s="149" t="s">
        <v>6626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6627</v>
      </c>
      <c r="G517" s="103" t="s">
        <v>4330</v>
      </c>
      <c r="H517" s="103" t="s">
        <v>4331</v>
      </c>
      <c r="I517" s="103" t="s">
        <v>4343</v>
      </c>
      <c r="J517" s="149" t="s">
        <v>6628</v>
      </c>
      <c r="K517" s="149" t="s">
        <v>6629</v>
      </c>
      <c r="L517" s="149" t="s">
        <v>6630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6628</v>
      </c>
      <c r="AC517" s="149" t="s">
        <v>6629</v>
      </c>
      <c r="AD517" s="149" t="s">
        <v>6630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6631</v>
      </c>
      <c r="G518" s="103" t="s">
        <v>4330</v>
      </c>
      <c r="H518" s="103" t="s">
        <v>4331</v>
      </c>
      <c r="I518" s="103" t="s">
        <v>4343</v>
      </c>
      <c r="J518" s="149" t="s">
        <v>6632</v>
      </c>
      <c r="K518" s="149" t="s">
        <v>6633</v>
      </c>
      <c r="L518" s="149" t="s">
        <v>6634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6632</v>
      </c>
      <c r="AC518" s="149" t="s">
        <v>6633</v>
      </c>
      <c r="AD518" s="149" t="s">
        <v>6634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6635</v>
      </c>
      <c r="G519" s="103" t="s">
        <v>4330</v>
      </c>
      <c r="H519" s="103" t="s">
        <v>4331</v>
      </c>
      <c r="I519" s="103" t="s">
        <v>4343</v>
      </c>
      <c r="J519" s="149" t="s">
        <v>6636</v>
      </c>
      <c r="K519" s="149" t="s">
        <v>6637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6636</v>
      </c>
      <c r="AC519" s="149" t="s">
        <v>6637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6638</v>
      </c>
      <c r="G520" s="103" t="s">
        <v>4330</v>
      </c>
      <c r="H520" s="103" t="s">
        <v>4331</v>
      </c>
      <c r="I520" s="103" t="s">
        <v>4343</v>
      </c>
      <c r="J520" s="149" t="s">
        <v>6639</v>
      </c>
      <c r="K520" s="149" t="s">
        <v>6640</v>
      </c>
      <c r="L520" s="149" t="s">
        <v>6641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6639</v>
      </c>
      <c r="AC520" s="149" t="s">
        <v>6640</v>
      </c>
      <c r="AD520" s="149" t="s">
        <v>6641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6642</v>
      </c>
      <c r="G521" s="103" t="s">
        <v>4330</v>
      </c>
      <c r="H521" s="103" t="s">
        <v>4331</v>
      </c>
      <c r="I521" s="103" t="s">
        <v>4343</v>
      </c>
      <c r="J521" s="149" t="s">
        <v>6643</v>
      </c>
      <c r="K521" s="149" t="s">
        <v>6644</v>
      </c>
      <c r="L521" s="149" t="s">
        <v>6645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6643</v>
      </c>
      <c r="AC521" s="149" t="s">
        <v>6644</v>
      </c>
      <c r="AD521" s="149" t="s">
        <v>6645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6646</v>
      </c>
      <c r="G522" s="103" t="s">
        <v>4330</v>
      </c>
      <c r="H522" s="103" t="s">
        <v>4331</v>
      </c>
      <c r="I522" s="103" t="s">
        <v>4343</v>
      </c>
      <c r="J522" s="149" t="s">
        <v>6647</v>
      </c>
      <c r="K522" s="149" t="s">
        <v>6648</v>
      </c>
      <c r="L522" s="149" t="s">
        <v>6649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6647</v>
      </c>
      <c r="AC522" s="149" t="s">
        <v>6648</v>
      </c>
      <c r="AD522" s="149" t="s">
        <v>6649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6650</v>
      </c>
      <c r="G523" s="103" t="s">
        <v>4330</v>
      </c>
      <c r="H523" s="103" t="s">
        <v>4331</v>
      </c>
      <c r="I523" s="103" t="s">
        <v>4343</v>
      </c>
      <c r="J523" s="149" t="s">
        <v>6651</v>
      </c>
      <c r="K523" s="149" t="s">
        <v>6652</v>
      </c>
      <c r="L523" s="149" t="s">
        <v>6653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6651</v>
      </c>
      <c r="AC523" s="149" t="s">
        <v>6652</v>
      </c>
      <c r="AD523" s="149" t="s">
        <v>6653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6654</v>
      </c>
      <c r="AQ523" s="103" t="s">
        <v>4338</v>
      </c>
      <c r="AR523" s="165" t="s">
        <v>4338</v>
      </c>
      <c r="AS523" s="103" t="s">
        <v>4822</v>
      </c>
      <c r="AT523" s="107" t="s">
        <v>4453</v>
      </c>
      <c r="AU523" s="109"/>
      <c r="AV523" s="109"/>
      <c r="AW523" s="109"/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6655</v>
      </c>
      <c r="G524" s="103" t="s">
        <v>4330</v>
      </c>
      <c r="H524" s="103" t="s">
        <v>4331</v>
      </c>
      <c r="I524" s="103" t="s">
        <v>4343</v>
      </c>
      <c r="J524" s="149" t="s">
        <v>6656</v>
      </c>
      <c r="K524" s="149" t="s">
        <v>6657</v>
      </c>
      <c r="L524" s="149" t="s">
        <v>6658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6656</v>
      </c>
      <c r="AC524" s="149" t="s">
        <v>6657</v>
      </c>
      <c r="AD524" s="149" t="s">
        <v>6658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>IF(AY524-KD524=0,"",AY524-O524)</f>
        <v/>
      </c>
      <c r="BD524" s="103" t="str">
        <f>IF(AND(AI524&lt;&gt;"SIM",AI524="UH"),"AA","INDENIZAÇÃO")</f>
        <v>AA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6659</v>
      </c>
      <c r="G525" s="103" t="s">
        <v>4330</v>
      </c>
      <c r="H525" s="103" t="s">
        <v>4331</v>
      </c>
      <c r="I525" s="103" t="s">
        <v>4343</v>
      </c>
      <c r="J525" s="149" t="s">
        <v>6660</v>
      </c>
      <c r="K525" s="149" t="s">
        <v>6661</v>
      </c>
      <c r="L525" s="149" t="s">
        <v>6662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6660</v>
      </c>
      <c r="AC525" s="149" t="s">
        <v>6661</v>
      </c>
      <c r="AD525" s="149" t="s">
        <v>6662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6663</v>
      </c>
      <c r="G526" s="103" t="s">
        <v>4330</v>
      </c>
      <c r="H526" s="103" t="s">
        <v>4331</v>
      </c>
      <c r="I526" s="103" t="s">
        <v>4343</v>
      </c>
      <c r="J526" s="149" t="s">
        <v>6664</v>
      </c>
      <c r="K526" s="149" t="s">
        <v>6665</v>
      </c>
      <c r="L526" s="149" t="s">
        <v>6666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6664</v>
      </c>
      <c r="AC526" s="149" t="s">
        <v>6665</v>
      </c>
      <c r="AD526" s="149" t="s">
        <v>6666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6667</v>
      </c>
      <c r="G527" s="103" t="s">
        <v>4330</v>
      </c>
      <c r="H527" s="103" t="s">
        <v>4331</v>
      </c>
      <c r="I527" s="103" t="s">
        <v>4343</v>
      </c>
      <c r="J527" s="149" t="s">
        <v>6668</v>
      </c>
      <c r="K527" s="149" t="s">
        <v>6669</v>
      </c>
      <c r="L527" s="149" t="s">
        <v>6670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6668</v>
      </c>
      <c r="AC527" s="149" t="s">
        <v>6669</v>
      </c>
      <c r="AD527" s="149" t="s">
        <v>6670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6671</v>
      </c>
      <c r="G528" s="103" t="s">
        <v>4330</v>
      </c>
      <c r="H528" s="103" t="s">
        <v>4331</v>
      </c>
      <c r="I528" s="103" t="s">
        <v>4343</v>
      </c>
      <c r="J528" s="149" t="s">
        <v>6672</v>
      </c>
      <c r="K528" s="149" t="s">
        <v>6673</v>
      </c>
      <c r="L528" s="149" t="s">
        <v>6674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6672</v>
      </c>
      <c r="AC528" s="149" t="s">
        <v>6673</v>
      </c>
      <c r="AD528" s="149" t="s">
        <v>6674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6675</v>
      </c>
      <c r="G529" s="103" t="s">
        <v>4330</v>
      </c>
      <c r="H529" s="103" t="s">
        <v>4331</v>
      </c>
      <c r="I529" s="103" t="s">
        <v>4343</v>
      </c>
      <c r="J529" s="149" t="s">
        <v>6676</v>
      </c>
      <c r="K529" s="149" t="s">
        <v>6677</v>
      </c>
      <c r="L529" s="149" t="s">
        <v>6678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6676</v>
      </c>
      <c r="AC529" s="149" t="s">
        <v>6677</v>
      </c>
      <c r="AD529" s="149" t="s">
        <v>6678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6679</v>
      </c>
      <c r="G530" s="103" t="s">
        <v>4330</v>
      </c>
      <c r="H530" s="103" t="s">
        <v>4331</v>
      </c>
      <c r="I530" s="103" t="s">
        <v>4343</v>
      </c>
      <c r="J530" s="149" t="s">
        <v>6680</v>
      </c>
      <c r="K530" s="149">
        <v>30.475688000000002</v>
      </c>
      <c r="L530" s="149" t="s">
        <v>6681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6680</v>
      </c>
      <c r="AC530" s="149">
        <v>30.475688000000002</v>
      </c>
      <c r="AD530" s="149" t="s">
        <v>6681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6682</v>
      </c>
      <c r="G531" s="103" t="s">
        <v>4330</v>
      </c>
      <c r="H531" s="103" t="s">
        <v>4331</v>
      </c>
      <c r="I531" s="103" t="s">
        <v>4343</v>
      </c>
      <c r="J531" s="149" t="s">
        <v>6683</v>
      </c>
      <c r="K531" s="149"/>
      <c r="L531" s="149" t="s">
        <v>6684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6685</v>
      </c>
      <c r="G532" s="103" t="s">
        <v>4330</v>
      </c>
      <c r="H532" s="103" t="s">
        <v>4331</v>
      </c>
      <c r="I532" s="103" t="s">
        <v>4343</v>
      </c>
      <c r="J532" s="149" t="s">
        <v>6686</v>
      </c>
      <c r="K532" s="149" t="s">
        <v>6687</v>
      </c>
      <c r="L532" s="149" t="s">
        <v>6688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6686</v>
      </c>
      <c r="AC532" s="149" t="s">
        <v>6687</v>
      </c>
      <c r="AD532" s="149" t="s">
        <v>6688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>IF(AY532-KD532=0,"",AY532-O532)</f>
        <v/>
      </c>
      <c r="BD532" s="103" t="str">
        <f>IF(AND(AI532&lt;&gt;"SIM",AI532="UH"),"AA","INDENIZAÇÃO")</f>
        <v>AA</v>
      </c>
      <c r="BE532" s="103" t="str">
        <f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6689</v>
      </c>
      <c r="G533" s="103" t="s">
        <v>4330</v>
      </c>
      <c r="H533" s="103" t="s">
        <v>4331</v>
      </c>
      <c r="I533" s="103" t="s">
        <v>4343</v>
      </c>
      <c r="J533" s="149" t="s">
        <v>6690</v>
      </c>
      <c r="K533" s="149" t="s">
        <v>6691</v>
      </c>
      <c r="L533" s="149" t="s">
        <v>6692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6690</v>
      </c>
      <c r="AC533" s="149" t="s">
        <v>6691</v>
      </c>
      <c r="AD533" s="149" t="s">
        <v>6692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6693</v>
      </c>
      <c r="G534" s="103" t="s">
        <v>4330</v>
      </c>
      <c r="H534" s="103" t="s">
        <v>4331</v>
      </c>
      <c r="I534" s="103" t="s">
        <v>4343</v>
      </c>
      <c r="J534" s="149" t="s">
        <v>6694</v>
      </c>
      <c r="K534" s="149" t="s">
        <v>6695</v>
      </c>
      <c r="L534" s="149" t="s">
        <v>6696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6694</v>
      </c>
      <c r="AC534" s="149" t="s">
        <v>6695</v>
      </c>
      <c r="AD534" s="149" t="s">
        <v>6696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6697</v>
      </c>
      <c r="G535" s="103" t="s">
        <v>4330</v>
      </c>
      <c r="H535" s="103" t="s">
        <v>4331</v>
      </c>
      <c r="I535" s="103" t="s">
        <v>4343</v>
      </c>
      <c r="J535" s="149" t="s">
        <v>6698</v>
      </c>
      <c r="K535" s="149" t="s">
        <v>6699</v>
      </c>
      <c r="L535" s="149" t="s">
        <v>6700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6698</v>
      </c>
      <c r="AC535" s="149" t="s">
        <v>6699</v>
      </c>
      <c r="AD535" s="149" t="s">
        <v>6700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customHeight="1" x14ac:dyDescent="0.25">
      <c r="A536" s="103">
        <v>526</v>
      </c>
      <c r="B536" s="103" t="s">
        <v>4431</v>
      </c>
      <c r="C536" s="103" t="s">
        <v>4448</v>
      </c>
      <c r="D536" s="103">
        <v>1</v>
      </c>
      <c r="E536" s="103" t="s">
        <v>4432</v>
      </c>
      <c r="F536" s="104" t="s">
        <v>6701</v>
      </c>
      <c r="G536" s="103" t="s">
        <v>4330</v>
      </c>
      <c r="H536" s="103" t="s">
        <v>4331</v>
      </c>
      <c r="I536" s="142" t="s">
        <v>4343</v>
      </c>
      <c r="J536" s="149" t="s">
        <v>6702</v>
      </c>
      <c r="K536" s="149" t="s">
        <v>6703</v>
      </c>
      <c r="L536" s="149" t="s">
        <v>6704</v>
      </c>
      <c r="M536" s="103" t="s">
        <v>4333</v>
      </c>
      <c r="N536" s="103" t="s">
        <v>4459</v>
      </c>
      <c r="O536" s="105">
        <v>45980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05"/>
      <c r="AB536" s="149" t="s">
        <v>6702</v>
      </c>
      <c r="AC536" s="149" t="s">
        <v>6703</v>
      </c>
      <c r="AD536" s="149" t="s">
        <v>6704</v>
      </c>
      <c r="AE536" s="103" t="s">
        <v>4343</v>
      </c>
      <c r="AF536" s="112" t="s">
        <v>4333</v>
      </c>
      <c r="AG536" s="194">
        <v>61026.98</v>
      </c>
      <c r="AH536" s="194">
        <v>61026.98</v>
      </c>
      <c r="AI536" s="103" t="s">
        <v>4336</v>
      </c>
      <c r="AJ536" s="104" t="s">
        <v>4438</v>
      </c>
      <c r="AK536" s="103">
        <v>146668756</v>
      </c>
      <c r="AL536" s="103" t="s">
        <v>4338</v>
      </c>
      <c r="AM536" s="103" t="s">
        <v>4338</v>
      </c>
      <c r="AN536" s="103" t="s">
        <v>4339</v>
      </c>
      <c r="AO536" s="112"/>
      <c r="AP536" s="171" t="s">
        <v>6705</v>
      </c>
      <c r="AQ536" s="103" t="s">
        <v>4338</v>
      </c>
      <c r="AR536" s="103" t="s">
        <v>4338</v>
      </c>
      <c r="AS536" s="103" t="s">
        <v>4338</v>
      </c>
      <c r="AT536" s="103" t="s">
        <v>4338</v>
      </c>
      <c r="AU536" s="108">
        <v>46024</v>
      </c>
      <c r="AV536" s="112" t="s">
        <v>4338</v>
      </c>
      <c r="AW536" s="103" t="s">
        <v>4338</v>
      </c>
      <c r="AX536" s="166">
        <v>46038</v>
      </c>
      <c r="AY536" s="157">
        <v>46038</v>
      </c>
      <c r="AZ536" s="106" t="s">
        <v>4453</v>
      </c>
      <c r="BA536" s="107" t="s">
        <v>4454</v>
      </c>
      <c r="BB536" s="136" t="s">
        <v>4338</v>
      </c>
      <c r="BC536" s="220">
        <f>IF(AY536-KD536=0,"",AY536-O536)</f>
        <v>58</v>
      </c>
      <c r="BD536" s="103" t="str">
        <f>IF(AND(AI536&lt;&gt;"SIM",AI536="UH"),"AA","INDENIZAÇÃO")</f>
        <v>INDENIZAÇÃO</v>
      </c>
      <c r="BE536" s="103" t="str">
        <f>IF(AND(AY536&lt;&gt;"AGUARDANDO",AY536&lt;&gt;"",N536="AUXÍLIO ALUGUEL ATÉ INDENIZAÇÃO"),"SIM","NÃO")</f>
        <v>NÃO</v>
      </c>
      <c r="BF536" s="140" t="s">
        <v>4357</v>
      </c>
      <c r="BG536" s="140" t="s">
        <v>4357</v>
      </c>
      <c r="BH536" s="140" t="s">
        <v>4357</v>
      </c>
      <c r="BI536" s="154" t="s">
        <v>5393</v>
      </c>
      <c r="BJ536" s="154"/>
      <c r="BK536" s="154"/>
      <c r="BL536" s="154"/>
      <c r="BM536" s="237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6701</v>
      </c>
      <c r="G537" s="103" t="s">
        <v>4330</v>
      </c>
      <c r="H537" s="103" t="s">
        <v>4331</v>
      </c>
      <c r="I537" s="103" t="s">
        <v>4343</v>
      </c>
      <c r="J537" s="149" t="s">
        <v>6706</v>
      </c>
      <c r="K537" s="149" t="s">
        <v>6707</v>
      </c>
      <c r="L537" s="149" t="s">
        <v>6708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6706</v>
      </c>
      <c r="AC537" s="149" t="s">
        <v>6707</v>
      </c>
      <c r="AD537" s="149" t="s">
        <v>6708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>IF(AY537-KD537=0,"",AY537-O537)</f>
        <v/>
      </c>
      <c r="BD537" s="103" t="str">
        <f>IF(AND(AI537&lt;&gt;"SIM",AI537="UH"),"AA","INDENIZAÇÃO")</f>
        <v>AA</v>
      </c>
      <c r="BE537" s="103" t="str">
        <f>IF(AND(AY537&lt;&gt;"AGUARDANDO",AY537&lt;&gt;"",N537="AUXÍLIO ALUGUEL ATÉ INDENIZAÇÃO"),"SIM","NÃO")</f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6709</v>
      </c>
      <c r="G538" s="103" t="s">
        <v>4330</v>
      </c>
      <c r="H538" s="103" t="s">
        <v>4331</v>
      </c>
      <c r="I538" s="142" t="s">
        <v>4343</v>
      </c>
      <c r="J538" s="149" t="s">
        <v>6710</v>
      </c>
      <c r="K538" s="149" t="s">
        <v>6711</v>
      </c>
      <c r="L538" s="149" t="s">
        <v>6712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6710</v>
      </c>
      <c r="AC538" s="149" t="s">
        <v>6711</v>
      </c>
      <c r="AD538" s="149" t="s">
        <v>6712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6709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6713</v>
      </c>
      <c r="G540" s="103" t="s">
        <v>4330</v>
      </c>
      <c r="H540" s="103" t="s">
        <v>4331</v>
      </c>
      <c r="I540" s="103" t="s">
        <v>4361</v>
      </c>
      <c r="J540" s="149" t="s">
        <v>6714</v>
      </c>
      <c r="K540" s="149" t="s">
        <v>6715</v>
      </c>
      <c r="L540" s="149" t="s">
        <v>6716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6714</v>
      </c>
      <c r="AC540" s="149" t="s">
        <v>6715</v>
      </c>
      <c r="AD540" s="149" t="s">
        <v>6716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6717</v>
      </c>
      <c r="G541" s="103" t="s">
        <v>4330</v>
      </c>
      <c r="H541" s="103" t="s">
        <v>4331</v>
      </c>
      <c r="I541" s="142" t="s">
        <v>4343</v>
      </c>
      <c r="J541" s="149" t="s">
        <v>6718</v>
      </c>
      <c r="K541" s="149" t="s">
        <v>4457</v>
      </c>
      <c r="L541" s="149" t="s">
        <v>6719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6718</v>
      </c>
      <c r="AC541" s="149" t="s">
        <v>4457</v>
      </c>
      <c r="AD541" s="149" t="s">
        <v>6719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6717</v>
      </c>
      <c r="G542" s="103" t="s">
        <v>4330</v>
      </c>
      <c r="H542" s="103" t="s">
        <v>4331</v>
      </c>
      <c r="I542" s="103" t="s">
        <v>4343</v>
      </c>
      <c r="J542" s="149" t="s">
        <v>6720</v>
      </c>
      <c r="K542" s="149" t="s">
        <v>6721</v>
      </c>
      <c r="L542" s="149" t="s">
        <v>6722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6720</v>
      </c>
      <c r="AC542" s="149" t="s">
        <v>6721</v>
      </c>
      <c r="AD542" s="149" t="s">
        <v>6722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6723</v>
      </c>
      <c r="G543" s="103" t="s">
        <v>4330</v>
      </c>
      <c r="H543" s="103" t="s">
        <v>4331</v>
      </c>
      <c r="I543" s="142" t="s">
        <v>4343</v>
      </c>
      <c r="J543" s="149" t="s">
        <v>6724</v>
      </c>
      <c r="K543" s="149" t="s">
        <v>6725</v>
      </c>
      <c r="L543" s="149" t="s">
        <v>6726</v>
      </c>
      <c r="M543" s="103" t="s">
        <v>4333</v>
      </c>
      <c r="N543" s="103" t="s">
        <v>4459</v>
      </c>
      <c r="O543" s="105">
        <v>46045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6724</v>
      </c>
      <c r="AC543" s="149" t="s">
        <v>6725</v>
      </c>
      <c r="AD543" s="149" t="s">
        <v>6726</v>
      </c>
      <c r="AE543" s="103" t="s">
        <v>4343</v>
      </c>
      <c r="AF543" s="112" t="s">
        <v>4333</v>
      </c>
      <c r="AG543" s="194">
        <v>22110.02</v>
      </c>
      <c r="AH543" s="194">
        <f>AG543+30000</f>
        <v>52110.020000000004</v>
      </c>
      <c r="AI543" s="103" t="s">
        <v>4336</v>
      </c>
      <c r="AJ543" s="104" t="s">
        <v>4438</v>
      </c>
      <c r="AK543" s="103">
        <v>148266193</v>
      </c>
      <c r="AL543" s="103" t="s">
        <v>4338</v>
      </c>
      <c r="AM543" s="103" t="s">
        <v>4338</v>
      </c>
      <c r="AN543" s="103" t="s">
        <v>4339</v>
      </c>
      <c r="AO543" s="112"/>
      <c r="AP543" s="171" t="s">
        <v>6727</v>
      </c>
      <c r="AQ543" s="103" t="s">
        <v>4338</v>
      </c>
      <c r="AR543" s="103" t="s">
        <v>4338</v>
      </c>
      <c r="AS543" s="103" t="s">
        <v>4338</v>
      </c>
      <c r="AT543" s="103" t="s">
        <v>4338</v>
      </c>
      <c r="AU543" s="105">
        <v>46118</v>
      </c>
      <c r="AV543" s="103" t="s">
        <v>4338</v>
      </c>
      <c r="AW543" s="103" t="s">
        <v>4338</v>
      </c>
      <c r="AX543" s="105">
        <v>46126</v>
      </c>
      <c r="AY543" s="106">
        <v>46126</v>
      </c>
      <c r="AZ543" s="106" t="s">
        <v>4453</v>
      </c>
      <c r="BA543" s="174" t="s">
        <v>4454</v>
      </c>
      <c r="BB543" s="136" t="s">
        <v>4338</v>
      </c>
      <c r="BC543" s="220">
        <f>IF(AY543-KD543=0,"",AY543-O543)</f>
        <v>81</v>
      </c>
      <c r="BD543" s="103" t="str">
        <f>IF(AND(AI543&lt;&gt;"SIM",AI543="UH"),"AA","INDENIZAÇÃO")</f>
        <v>INDENIZAÇÃO</v>
      </c>
      <c r="BE543" s="103" t="str">
        <f>IF(AND(AY543&lt;&gt;"AGUARDANDO",AY543&lt;&gt;"",N543="AUXÍLIO ALUGUEL ATÉ INDENIZAÇÃO"),"SIM","NÃO")</f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6723</v>
      </c>
      <c r="G544" s="103" t="s">
        <v>4330</v>
      </c>
      <c r="H544" s="103" t="s">
        <v>4331</v>
      </c>
      <c r="I544" s="103" t="s">
        <v>4343</v>
      </c>
      <c r="J544" s="149" t="s">
        <v>6728</v>
      </c>
      <c r="K544" s="149" t="s">
        <v>6729</v>
      </c>
      <c r="L544" s="149" t="s">
        <v>6730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6728</v>
      </c>
      <c r="AC544" s="149" t="s">
        <v>6729</v>
      </c>
      <c r="AD544" s="149" t="s">
        <v>6730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>IF(AY544-KD544=0,"",AY544-O544)</f>
        <v/>
      </c>
      <c r="BD544" s="103" t="str">
        <f>IF(AND(AI544&lt;&gt;"SIM",AI544="UH"),"AA","INDENIZAÇÃO")</f>
        <v>AA</v>
      </c>
      <c r="BE544" s="103" t="str">
        <f>IF(AND(AY544&lt;&gt;"AGUARDANDO",AY544&lt;&gt;"",N544="AUXÍLIO ALUGUEL ATÉ INDENIZAÇÃO"),"SIM","NÃO")</f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6731</v>
      </c>
      <c r="G545" s="103" t="s">
        <v>4330</v>
      </c>
      <c r="H545" s="103" t="s">
        <v>4331</v>
      </c>
      <c r="I545" s="103" t="s">
        <v>4343</v>
      </c>
      <c r="J545" s="149" t="s">
        <v>6732</v>
      </c>
      <c r="K545" s="149" t="s">
        <v>6733</v>
      </c>
      <c r="L545" s="149" t="s">
        <v>6734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6732</v>
      </c>
      <c r="AC545" s="149" t="s">
        <v>6733</v>
      </c>
      <c r="AD545" s="149" t="s">
        <v>6734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6735</v>
      </c>
      <c r="G546" s="103" t="s">
        <v>4330</v>
      </c>
      <c r="H546" s="103" t="s">
        <v>4331</v>
      </c>
      <c r="I546" s="103" t="s">
        <v>4343</v>
      </c>
      <c r="J546" s="149" t="s">
        <v>6736</v>
      </c>
      <c r="K546" s="149" t="s">
        <v>6737</v>
      </c>
      <c r="L546" s="149" t="s">
        <v>6738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6736</v>
      </c>
      <c r="AC546" s="149" t="s">
        <v>6737</v>
      </c>
      <c r="AD546" s="149" t="s">
        <v>6738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6735</v>
      </c>
      <c r="G547" s="103" t="s">
        <v>4330</v>
      </c>
      <c r="H547" s="103" t="s">
        <v>4331</v>
      </c>
      <c r="I547" s="103" t="s">
        <v>4343</v>
      </c>
      <c r="J547" s="149" t="s">
        <v>6739</v>
      </c>
      <c r="K547" s="149" t="s">
        <v>6740</v>
      </c>
      <c r="L547" s="149" t="s">
        <v>6741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6739</v>
      </c>
      <c r="AC547" s="149" t="s">
        <v>6740</v>
      </c>
      <c r="AD547" s="149" t="s">
        <v>6741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6742</v>
      </c>
      <c r="G548" s="103" t="s">
        <v>4330</v>
      </c>
      <c r="H548" s="103" t="s">
        <v>4331</v>
      </c>
      <c r="I548" s="142" t="s">
        <v>4343</v>
      </c>
      <c r="J548" s="149" t="s">
        <v>6743</v>
      </c>
      <c r="K548" s="149" t="s">
        <v>6744</v>
      </c>
      <c r="L548" s="149" t="s">
        <v>6745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6743</v>
      </c>
      <c r="AC548" s="149" t="s">
        <v>6744</v>
      </c>
      <c r="AD548" s="149" t="s">
        <v>6745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6742</v>
      </c>
      <c r="G549" s="103" t="s">
        <v>4330</v>
      </c>
      <c r="H549" s="103" t="s">
        <v>4331</v>
      </c>
      <c r="I549" s="103" t="s">
        <v>4343</v>
      </c>
      <c r="J549" s="149" t="s">
        <v>6746</v>
      </c>
      <c r="K549" s="149" t="s">
        <v>6747</v>
      </c>
      <c r="L549" s="149" t="s">
        <v>6748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6746</v>
      </c>
      <c r="AC549" s="149" t="s">
        <v>6747</v>
      </c>
      <c r="AD549" s="149" t="s">
        <v>6748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6749</v>
      </c>
      <c r="G550" s="103" t="s">
        <v>4330</v>
      </c>
      <c r="H550" s="103" t="s">
        <v>4331</v>
      </c>
      <c r="I550" s="103" t="s">
        <v>4343</v>
      </c>
      <c r="J550" s="149" t="s">
        <v>6750</v>
      </c>
      <c r="K550" s="149" t="s">
        <v>6751</v>
      </c>
      <c r="L550" s="149" t="s">
        <v>6752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6750</v>
      </c>
      <c r="AC550" s="149" t="s">
        <v>6751</v>
      </c>
      <c r="AD550" s="149" t="s">
        <v>6752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>IF(AY550-KD550=0,"",AY550-O550)</f>
        <v/>
      </c>
      <c r="BD550" s="103" t="str">
        <f>IF(AND(AI550&lt;&gt;"SIM",AI550="UH"),"AA","INDENIZAÇÃO")</f>
        <v>AA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6749</v>
      </c>
      <c r="G551" s="103" t="s">
        <v>4330</v>
      </c>
      <c r="H551" s="103" t="s">
        <v>4331</v>
      </c>
      <c r="I551" s="103" t="s">
        <v>4343</v>
      </c>
      <c r="J551" s="149" t="s">
        <v>6753</v>
      </c>
      <c r="K551" s="149" t="s">
        <v>6754</v>
      </c>
      <c r="L551" s="149" t="s">
        <v>6755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6756</v>
      </c>
      <c r="AB551" s="149" t="s">
        <v>6753</v>
      </c>
      <c r="AC551" s="149" t="s">
        <v>6754</v>
      </c>
      <c r="AD551" s="149" t="s">
        <v>6755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6757</v>
      </c>
      <c r="AQ551" s="165" t="s">
        <v>4822</v>
      </c>
      <c r="AR551" s="103" t="s">
        <v>4822</v>
      </c>
      <c r="AS551" s="103" t="s">
        <v>4822</v>
      </c>
      <c r="AT551" s="107" t="s">
        <v>4453</v>
      </c>
      <c r="AU551" s="109"/>
      <c r="AV551" s="109"/>
      <c r="AW551" s="109"/>
      <c r="AX551" s="109"/>
      <c r="AY551" s="157"/>
      <c r="AZ551" s="157"/>
      <c r="BA551" s="107" t="s">
        <v>4330</v>
      </c>
      <c r="BB551" s="112"/>
      <c r="BC551" s="220" t="str">
        <f>IF(AY551-KD551=0,"",AY551-O551)</f>
        <v/>
      </c>
      <c r="BD551" s="103" t="str">
        <f>IF(AND(AI551&lt;&gt;"SIM",AI551="UH"),"AA","INDENIZAÇÃO")</f>
        <v>INDENIZAÇÃO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6758</v>
      </c>
      <c r="K552" s="149" t="s">
        <v>6759</v>
      </c>
      <c r="L552" s="149" t="s">
        <v>6760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6758</v>
      </c>
      <c r="AC552" s="149" t="s">
        <v>6759</v>
      </c>
      <c r="AD552" s="149" t="s">
        <v>6760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>IF(AY552-KD552=0,"",AY552-O552)</f>
        <v/>
      </c>
      <c r="BD552" s="103" t="str">
        <f>IF(AND(AI552&lt;&gt;"SIM",AI552="UH"),"AA","INDENIZAÇÃO")</f>
        <v>AA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6507</v>
      </c>
      <c r="G553" s="112" t="s">
        <v>4330</v>
      </c>
      <c r="H553" s="112" t="s">
        <v>4331</v>
      </c>
      <c r="I553" s="142" t="s">
        <v>4343</v>
      </c>
      <c r="J553" s="150" t="s">
        <v>6508</v>
      </c>
      <c r="K553" s="141" t="s">
        <v>6509</v>
      </c>
      <c r="L553" s="141" t="s">
        <v>6510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6508</v>
      </c>
      <c r="AC553" s="141" t="s">
        <v>6509</v>
      </c>
      <c r="AD553" s="141" t="s">
        <v>6510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7" t="s">
        <v>6511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>IF(AY553-KD553=0,"",AY553-O553)</f>
        <v>#VALUE!</v>
      </c>
      <c r="BD553" s="103" t="str">
        <f>IF(AND(AI553&lt;&gt;"SIM",AI553="UH"),"AA","INDENIZAÇÃO")</f>
        <v>INDENIZAÇÃO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6765</v>
      </c>
      <c r="G554" s="103" t="s">
        <v>4330</v>
      </c>
      <c r="H554" s="103" t="s">
        <v>4331</v>
      </c>
      <c r="I554" s="103" t="s">
        <v>4343</v>
      </c>
      <c r="J554" s="149" t="s">
        <v>6766</v>
      </c>
      <c r="K554" s="149" t="s">
        <v>6767</v>
      </c>
      <c r="L554" s="149" t="s">
        <v>6768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6766</v>
      </c>
      <c r="AC554" s="149" t="s">
        <v>6767</v>
      </c>
      <c r="AD554" s="149" t="s">
        <v>6768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6765</v>
      </c>
      <c r="G555" s="103" t="s">
        <v>4330</v>
      </c>
      <c r="H555" s="103" t="s">
        <v>4331</v>
      </c>
      <c r="I555" s="142" t="s">
        <v>4343</v>
      </c>
      <c r="J555" s="149" t="s">
        <v>6769</v>
      </c>
      <c r="K555" s="149" t="s">
        <v>6770</v>
      </c>
      <c r="L555" s="149" t="s">
        <v>6771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6769</v>
      </c>
      <c r="AC555" s="149" t="s">
        <v>6770</v>
      </c>
      <c r="AD555" s="149" t="s">
        <v>6771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6772</v>
      </c>
      <c r="G556" s="103" t="s">
        <v>4330</v>
      </c>
      <c r="H556" s="103" t="s">
        <v>4331</v>
      </c>
      <c r="I556" s="142" t="s">
        <v>4343</v>
      </c>
      <c r="J556" s="149" t="s">
        <v>6773</v>
      </c>
      <c r="K556" s="149" t="s">
        <v>6774</v>
      </c>
      <c r="L556" s="149" t="s">
        <v>6775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6773</v>
      </c>
      <c r="AC556" s="149" t="s">
        <v>6774</v>
      </c>
      <c r="AD556" s="149" t="s">
        <v>6775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6772</v>
      </c>
      <c r="G557" s="103" t="s">
        <v>4330</v>
      </c>
      <c r="H557" s="103" t="s">
        <v>4331</v>
      </c>
      <c r="I557" s="103" t="s">
        <v>4343</v>
      </c>
      <c r="J557" s="149" t="s">
        <v>6776</v>
      </c>
      <c r="K557" s="149" t="s">
        <v>6777</v>
      </c>
      <c r="L557" s="149" t="s">
        <v>6778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6776</v>
      </c>
      <c r="AC557" s="149" t="s">
        <v>6777</v>
      </c>
      <c r="AD557" s="149" t="s">
        <v>6778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6779</v>
      </c>
      <c r="G558" s="103" t="s">
        <v>4330</v>
      </c>
      <c r="H558" s="103" t="s">
        <v>4331</v>
      </c>
      <c r="I558" s="103" t="s">
        <v>4343</v>
      </c>
      <c r="J558" s="149" t="s">
        <v>6780</v>
      </c>
      <c r="K558" s="149" t="s">
        <v>6781</v>
      </c>
      <c r="L558" s="149" t="s">
        <v>6782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6780</v>
      </c>
      <c r="AC558" s="149" t="s">
        <v>6781</v>
      </c>
      <c r="AD558" s="149" t="s">
        <v>6782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6783</v>
      </c>
      <c r="G559" s="103" t="s">
        <v>4330</v>
      </c>
      <c r="H559" s="103" t="s">
        <v>4331</v>
      </c>
      <c r="I559" s="103" t="s">
        <v>4343</v>
      </c>
      <c r="J559" s="149" t="s">
        <v>6784</v>
      </c>
      <c r="K559" s="149" t="s">
        <v>6785</v>
      </c>
      <c r="L559" s="149" t="s">
        <v>6786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6784</v>
      </c>
      <c r="AC559" s="149" t="s">
        <v>6785</v>
      </c>
      <c r="AD559" s="149" t="s">
        <v>6786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6787</v>
      </c>
      <c r="G560" s="103" t="s">
        <v>4330</v>
      </c>
      <c r="H560" s="103" t="s">
        <v>4331</v>
      </c>
      <c r="I560" s="142" t="s">
        <v>4343</v>
      </c>
      <c r="J560" s="149" t="s">
        <v>6788</v>
      </c>
      <c r="K560" s="149" t="s">
        <v>6789</v>
      </c>
      <c r="L560" s="149" t="s">
        <v>6790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6788</v>
      </c>
      <c r="AC560" s="149" t="s">
        <v>6789</v>
      </c>
      <c r="AD560" s="149" t="s">
        <v>6790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6787</v>
      </c>
      <c r="G561" s="103" t="s">
        <v>4330</v>
      </c>
      <c r="H561" s="103" t="s">
        <v>4331</v>
      </c>
      <c r="I561" s="103" t="s">
        <v>4343</v>
      </c>
      <c r="J561" s="149" t="s">
        <v>6791</v>
      </c>
      <c r="K561" s="149" t="s">
        <v>6792</v>
      </c>
      <c r="L561" s="149" t="s">
        <v>6793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6791</v>
      </c>
      <c r="AC561" s="149" t="s">
        <v>6792</v>
      </c>
      <c r="AD561" s="149" t="s">
        <v>6793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6794</v>
      </c>
      <c r="G562" s="103" t="s">
        <v>4330</v>
      </c>
      <c r="H562" s="103" t="s">
        <v>4331</v>
      </c>
      <c r="I562" s="103" t="s">
        <v>4343</v>
      </c>
      <c r="J562" s="149" t="s">
        <v>6795</v>
      </c>
      <c r="K562" s="149" t="s">
        <v>6796</v>
      </c>
      <c r="L562" s="149" t="s">
        <v>6797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6795</v>
      </c>
      <c r="AC562" s="149" t="s">
        <v>6796</v>
      </c>
      <c r="AD562" s="149" t="s">
        <v>6797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6219</v>
      </c>
      <c r="G563" s="103" t="s">
        <v>4330</v>
      </c>
      <c r="H563" s="103" t="s">
        <v>4331</v>
      </c>
      <c r="I563" s="142" t="s">
        <v>4343</v>
      </c>
      <c r="J563" s="149" t="s">
        <v>6798</v>
      </c>
      <c r="K563" s="149" t="s">
        <v>6799</v>
      </c>
      <c r="L563" s="149" t="s">
        <v>6800</v>
      </c>
      <c r="M563" s="103" t="s">
        <v>4333</v>
      </c>
      <c r="N563" s="103" t="s">
        <v>4459</v>
      </c>
      <c r="O563" s="105">
        <v>45996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49" t="s">
        <v>6798</v>
      </c>
      <c r="AC563" s="149" t="s">
        <v>6799</v>
      </c>
      <c r="AD563" s="149" t="s">
        <v>6800</v>
      </c>
      <c r="AE563" s="103" t="s">
        <v>4343</v>
      </c>
      <c r="AF563" s="103" t="s">
        <v>4333</v>
      </c>
      <c r="AG563" s="194">
        <v>21477.18</v>
      </c>
      <c r="AH563" s="194">
        <f>AG563+30000</f>
        <v>51477.18</v>
      </c>
      <c r="AI563" s="103" t="s">
        <v>4336</v>
      </c>
      <c r="AJ563" s="104" t="s">
        <v>4438</v>
      </c>
      <c r="AK563" s="103">
        <v>146670420</v>
      </c>
      <c r="AL563" s="103" t="s">
        <v>4338</v>
      </c>
      <c r="AM563" s="103" t="s">
        <v>4338</v>
      </c>
      <c r="AN563" s="103" t="s">
        <v>4339</v>
      </c>
      <c r="AO563" s="112"/>
      <c r="AP563" s="171" t="s">
        <v>6801</v>
      </c>
      <c r="AQ563" s="103" t="s">
        <v>4338</v>
      </c>
      <c r="AR563" s="103" t="s">
        <v>4338</v>
      </c>
      <c r="AS563" s="103" t="s">
        <v>4338</v>
      </c>
      <c r="AT563" s="103" t="s">
        <v>4338</v>
      </c>
      <c r="AU563" s="105">
        <v>46020</v>
      </c>
      <c r="AV563" s="112" t="s">
        <v>4338</v>
      </c>
      <c r="AW563" s="103" t="s">
        <v>4338</v>
      </c>
      <c r="AX563" s="166">
        <v>46027</v>
      </c>
      <c r="AY563" s="106">
        <v>46027</v>
      </c>
      <c r="AZ563" s="157" t="s">
        <v>4453</v>
      </c>
      <c r="BA563" s="107" t="s">
        <v>4454</v>
      </c>
      <c r="BB563" s="136" t="s">
        <v>4338</v>
      </c>
      <c r="BC563" s="220">
        <f>IF(AY563-KD563=0,"",AY563-O563)</f>
        <v>31</v>
      </c>
      <c r="BD563" s="103" t="str">
        <f>IF(AND(AI563&lt;&gt;"SIM",AI563="UH"),"AA","INDENIZAÇÃO")</f>
        <v>INDENIZAÇÃO</v>
      </c>
      <c r="BE563" s="103" t="str">
        <f>IF(AND(AY563&lt;&gt;"AGUARDANDO",AY563&lt;&gt;"",N563="AUXÍLIO ALUGUEL ATÉ INDENIZAÇÃO"),"SIM","NÃO")</f>
        <v>NÃO</v>
      </c>
      <c r="BF563" s="140" t="s">
        <v>4357</v>
      </c>
      <c r="BG563" s="140" t="s">
        <v>4357</v>
      </c>
      <c r="BH563" s="140" t="s">
        <v>4357</v>
      </c>
      <c r="BI563" s="154" t="s">
        <v>5393</v>
      </c>
      <c r="BJ563" s="154"/>
      <c r="BK563" s="154"/>
      <c r="BL563" s="154"/>
      <c r="BM563" s="237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6761</v>
      </c>
      <c r="G564" s="103" t="s">
        <v>4330</v>
      </c>
      <c r="H564" s="103" t="s">
        <v>4331</v>
      </c>
      <c r="I564" s="142" t="s">
        <v>4343</v>
      </c>
      <c r="J564" s="149" t="s">
        <v>6762</v>
      </c>
      <c r="K564" s="149" t="s">
        <v>4432</v>
      </c>
      <c r="L564" s="149" t="s">
        <v>6763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6762</v>
      </c>
      <c r="AC564" s="149" t="s">
        <v>4432</v>
      </c>
      <c r="AD564" s="149" t="s">
        <v>6763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7" t="s">
        <v>6764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>IF(AY564-KD564=0,"",AY564-O564)</f>
        <v>#VALUE!</v>
      </c>
      <c r="BD564" s="103" t="str">
        <f>IF(AND(AI564&lt;&gt;"SIM",AI564="UH"),"AA","INDENIZAÇÃO")</f>
        <v>INDENIZAÇÃO</v>
      </c>
      <c r="BE564" s="103" t="str">
        <f>IF(AND(AY564&lt;&gt;"AGUARDANDO",AY564&lt;&gt;"",N564="AUXÍLIO ALUGUEL ATÉ INDENIZAÇÃO"),"SIM","NÃO")</f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6809</v>
      </c>
      <c r="G565" s="103" t="s">
        <v>4330</v>
      </c>
      <c r="H565" s="103" t="s">
        <v>4331</v>
      </c>
      <c r="I565" s="103" t="s">
        <v>4343</v>
      </c>
      <c r="J565" s="149" t="s">
        <v>6810</v>
      </c>
      <c r="K565" s="149" t="s">
        <v>6811</v>
      </c>
      <c r="L565" s="149" t="s">
        <v>6812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6810</v>
      </c>
      <c r="AC565" s="149" t="s">
        <v>6811</v>
      </c>
      <c r="AD565" s="149" t="s">
        <v>6812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>IF(AY565-KD565=0,"",AY565-O565)</f>
        <v/>
      </c>
      <c r="BD565" s="103" t="str">
        <f>IF(AND(AI565&lt;&gt;"SIM",AI565="UH"),"AA","INDENIZAÇÃO")</f>
        <v>AA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6809</v>
      </c>
      <c r="G566" s="103" t="s">
        <v>4330</v>
      </c>
      <c r="H566" s="103" t="s">
        <v>4331</v>
      </c>
      <c r="I566" s="142" t="s">
        <v>4343</v>
      </c>
      <c r="J566" s="149" t="s">
        <v>6813</v>
      </c>
      <c r="K566" s="149" t="s">
        <v>6814</v>
      </c>
      <c r="L566" s="149" t="s">
        <v>6815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6813</v>
      </c>
      <c r="AC566" s="149" t="s">
        <v>6814</v>
      </c>
      <c r="AD566" s="149" t="s">
        <v>6815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6816</v>
      </c>
      <c r="G567" s="103" t="s">
        <v>4330</v>
      </c>
      <c r="H567" s="103" t="s">
        <v>4331</v>
      </c>
      <c r="I567" s="103" t="s">
        <v>4343</v>
      </c>
      <c r="J567" s="149" t="s">
        <v>6817</v>
      </c>
      <c r="K567" s="149" t="s">
        <v>6818</v>
      </c>
      <c r="L567" s="149" t="s">
        <v>6819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6817</v>
      </c>
      <c r="AC567" s="149" t="s">
        <v>6818</v>
      </c>
      <c r="AD567" s="149" t="s">
        <v>6819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6820</v>
      </c>
      <c r="G568" s="103" t="s">
        <v>4330</v>
      </c>
      <c r="H568" s="103" t="s">
        <v>4331</v>
      </c>
      <c r="I568" s="103" t="s">
        <v>4343</v>
      </c>
      <c r="J568" s="149" t="s">
        <v>6821</v>
      </c>
      <c r="K568" s="149" t="s">
        <v>6822</v>
      </c>
      <c r="L568" s="149" t="s">
        <v>6823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6821</v>
      </c>
      <c r="AC568" s="149" t="s">
        <v>6822</v>
      </c>
      <c r="AD568" s="149" t="s">
        <v>6823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6824</v>
      </c>
      <c r="G569" s="103" t="s">
        <v>4330</v>
      </c>
      <c r="H569" s="103" t="s">
        <v>4331</v>
      </c>
      <c r="I569" s="103" t="s">
        <v>4343</v>
      </c>
      <c r="J569" s="149" t="s">
        <v>6825</v>
      </c>
      <c r="K569" s="149" t="s">
        <v>4432</v>
      </c>
      <c r="L569" s="149" t="s">
        <v>6826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6825</v>
      </c>
      <c r="AC569" s="149" t="s">
        <v>4432</v>
      </c>
      <c r="AD569" s="149" t="s">
        <v>6826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6827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6828</v>
      </c>
      <c r="L570" s="149" t="s">
        <v>6829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6828</v>
      </c>
      <c r="AD570" s="149" t="s">
        <v>6829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6830</v>
      </c>
      <c r="G571" s="103" t="s">
        <v>4330</v>
      </c>
      <c r="H571" s="103" t="s">
        <v>4331</v>
      </c>
      <c r="I571" s="103" t="s">
        <v>4343</v>
      </c>
      <c r="J571" s="149" t="s">
        <v>6831</v>
      </c>
      <c r="K571" s="149" t="s">
        <v>6832</v>
      </c>
      <c r="L571" s="149" t="s">
        <v>6833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6831</v>
      </c>
      <c r="AC571" s="149" t="s">
        <v>6832</v>
      </c>
      <c r="AD571" s="149" t="s">
        <v>6833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6830</v>
      </c>
      <c r="G572" s="103" t="s">
        <v>4330</v>
      </c>
      <c r="H572" s="103" t="s">
        <v>4331</v>
      </c>
      <c r="I572" s="142" t="s">
        <v>4343</v>
      </c>
      <c r="J572" s="150" t="s">
        <v>6834</v>
      </c>
      <c r="K572" s="149" t="s">
        <v>6835</v>
      </c>
      <c r="L572" s="149" t="s">
        <v>6836</v>
      </c>
      <c r="M572" s="103" t="s">
        <v>4333</v>
      </c>
      <c r="N572" s="103" t="s">
        <v>4459</v>
      </c>
      <c r="O572" s="105">
        <v>46077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5"/>
      <c r="AB572" s="149" t="s">
        <v>6834</v>
      </c>
      <c r="AC572" s="149" t="s">
        <v>6835</v>
      </c>
      <c r="AD572" s="149" t="s">
        <v>6836</v>
      </c>
      <c r="AE572" s="103" t="s">
        <v>4343</v>
      </c>
      <c r="AF572" s="103" t="s">
        <v>4333</v>
      </c>
      <c r="AG572" s="194">
        <v>13868.89</v>
      </c>
      <c r="AH572" s="194">
        <f>AG572+30000</f>
        <v>43868.89</v>
      </c>
      <c r="AI572" s="103" t="s">
        <v>4336</v>
      </c>
      <c r="AJ572" s="104" t="s">
        <v>4438</v>
      </c>
      <c r="AK572" s="103">
        <v>150959517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6837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46182</v>
      </c>
      <c r="AY572" s="106">
        <v>46182</v>
      </c>
      <c r="AZ572" s="260" t="s">
        <v>4453</v>
      </c>
      <c r="BA572" s="245" t="s">
        <v>4454</v>
      </c>
      <c r="BB572" s="249" t="s">
        <v>4338</v>
      </c>
      <c r="BC572" s="220">
        <f>IF(AY572-KD572=0,"",AY572-O572)</f>
        <v>105</v>
      </c>
      <c r="BD572" s="103" t="str">
        <f>IF(AND(AI572&lt;&gt;"SIM",AI572="UH"),"AA","INDENIZAÇÃO")</f>
        <v>INDENIZAÇÃO</v>
      </c>
      <c r="BE572" s="103" t="str">
        <f>IF(AND(AY572&lt;&gt;"AGUARDANDO",AY572&lt;&gt;"",N572="AUXÍLIO ALUGUEL ATÉ INDENIZAÇÃO"),"SIM","NÃO")</f>
        <v>NÃO</v>
      </c>
      <c r="BF572" s="250" t="s">
        <v>4357</v>
      </c>
      <c r="BG572" s="250" t="s">
        <v>4357</v>
      </c>
      <c r="BH572" s="250" t="s">
        <v>4357</v>
      </c>
      <c r="BI572" s="251" t="s">
        <v>5393</v>
      </c>
      <c r="BJ572" s="154"/>
      <c r="BK572" s="154"/>
      <c r="BL572" s="154"/>
      <c r="BM572" s="237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6838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4457</v>
      </c>
      <c r="L573" s="149" t="s">
        <v>6840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6839</v>
      </c>
      <c r="AC573" s="149" t="s">
        <v>4457</v>
      </c>
      <c r="AD573" s="149" t="s">
        <v>6840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>IF(AY573-KD573=0,"",AY573-O573)</f>
        <v/>
      </c>
      <c r="BD573" s="103" t="str">
        <f>IF(AND(AI573&lt;&gt;"SIM",AI573="UH"),"AA","INDENIZAÇÃO")</f>
        <v>AA</v>
      </c>
      <c r="BE573" s="103" t="str">
        <f>IF(AND(AY573&lt;&gt;"AGUARDANDO",AY573&lt;&gt;"",N573="AUXÍLIO ALUGUEL ATÉ INDENIZAÇÃO"),"SIM","NÃO")</f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customHeight="1" x14ac:dyDescent="0.25">
      <c r="A574" s="165">
        <v>564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6841</v>
      </c>
      <c r="G574" s="103" t="s">
        <v>4330</v>
      </c>
      <c r="H574" s="103" t="s">
        <v>4331</v>
      </c>
      <c r="I574" s="142" t="s">
        <v>4343</v>
      </c>
      <c r="J574" s="149" t="s">
        <v>6842</v>
      </c>
      <c r="K574" s="149" t="s">
        <v>6843</v>
      </c>
      <c r="L574" s="149" t="s">
        <v>6844</v>
      </c>
      <c r="M574" s="103" t="s">
        <v>4333</v>
      </c>
      <c r="N574" s="103" t="s">
        <v>4459</v>
      </c>
      <c r="O574" s="108">
        <v>46076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05"/>
      <c r="AB574" s="149" t="s">
        <v>6842</v>
      </c>
      <c r="AC574" s="149" t="s">
        <v>6843</v>
      </c>
      <c r="AD574" s="149" t="s">
        <v>6844</v>
      </c>
      <c r="AE574" s="103" t="s">
        <v>4343</v>
      </c>
      <c r="AF574" s="103" t="s">
        <v>4333</v>
      </c>
      <c r="AG574" s="194">
        <v>26148.19</v>
      </c>
      <c r="AH574" s="194">
        <v>56148.19</v>
      </c>
      <c r="AI574" s="103" t="s">
        <v>4336</v>
      </c>
      <c r="AJ574" s="104" t="s">
        <v>4438</v>
      </c>
      <c r="AK574" s="103">
        <v>150959625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6845</v>
      </c>
      <c r="AQ574" s="103" t="s">
        <v>4338</v>
      </c>
      <c r="AR574" s="103" t="s">
        <v>4338</v>
      </c>
      <c r="AS574" s="103" t="s">
        <v>4338</v>
      </c>
      <c r="AT574" s="103" t="s">
        <v>4338</v>
      </c>
      <c r="AU574" s="105">
        <v>46118</v>
      </c>
      <c r="AV574" s="103" t="s">
        <v>4338</v>
      </c>
      <c r="AW574" s="103" t="s">
        <v>4338</v>
      </c>
      <c r="AX574" s="105">
        <v>46126</v>
      </c>
      <c r="AY574" s="106">
        <v>46126</v>
      </c>
      <c r="AZ574" s="106" t="s">
        <v>4453</v>
      </c>
      <c r="BA574" s="107" t="s">
        <v>4454</v>
      </c>
      <c r="BB574" s="136" t="s">
        <v>4338</v>
      </c>
      <c r="BC574" s="220">
        <f>IF(AY574-KD574=0,"",AY574-O574)</f>
        <v>50</v>
      </c>
      <c r="BD574" s="103" t="str">
        <f>IF(AND(AI574&lt;&gt;"SIM",AI574="UH"),"AA","INDENIZAÇÃO")</f>
        <v>INDENIZAÇÃO</v>
      </c>
      <c r="BE574" s="103" t="str">
        <f>IF(AND(AY574&lt;&gt;"AGUARDANDO",AY574&lt;&gt;"",N574="AUXÍLIO ALUGUEL ATÉ INDENIZAÇÃO"),"SIM","NÃO")</f>
        <v>NÃO</v>
      </c>
      <c r="BF574" s="112" t="s">
        <v>4357</v>
      </c>
      <c r="BG574" s="112" t="s">
        <v>4357</v>
      </c>
      <c r="BH574" s="112" t="s">
        <v>4357</v>
      </c>
      <c r="BI574" s="109" t="s">
        <v>5393</v>
      </c>
      <c r="BJ574" s="109"/>
      <c r="BK574" s="109"/>
      <c r="BL574" s="109"/>
      <c r="BM574" s="239"/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6841</v>
      </c>
      <c r="G575" s="103" t="s">
        <v>4330</v>
      </c>
      <c r="H575" s="103" t="s">
        <v>4331</v>
      </c>
      <c r="I575" s="142" t="s">
        <v>4343</v>
      </c>
      <c r="J575" s="149" t="s">
        <v>6846</v>
      </c>
      <c r="K575" s="149" t="s">
        <v>6847</v>
      </c>
      <c r="L575" s="149" t="s">
        <v>6848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6853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14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6862</v>
      </c>
      <c r="AC579" s="149" t="s">
        <v>6863</v>
      </c>
      <c r="AD579" s="149" t="s">
        <v>6864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4351</v>
      </c>
      <c r="H580" s="103" t="s">
        <v>6486</v>
      </c>
      <c r="I580" s="153" t="s">
        <v>4332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4459</v>
      </c>
      <c r="O580" s="105">
        <v>46066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6866</v>
      </c>
      <c r="AC580" s="204" t="s">
        <v>6867</v>
      </c>
      <c r="AD580" s="204" t="s">
        <v>6868</v>
      </c>
      <c r="AE580" s="218" t="s">
        <v>4332</v>
      </c>
      <c r="AF580" s="165" t="s">
        <v>4333</v>
      </c>
      <c r="AG580" s="208">
        <v>25687.49</v>
      </c>
      <c r="AH580" s="208">
        <v>25687.49</v>
      </c>
      <c r="AI580" s="165" t="s">
        <v>4336</v>
      </c>
      <c r="AJ580" s="104" t="s">
        <v>4438</v>
      </c>
      <c r="AK580" s="103">
        <v>150614018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6869</v>
      </c>
      <c r="AQ580" s="112" t="s">
        <v>4338</v>
      </c>
      <c r="AR580" s="112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46170</v>
      </c>
      <c r="AY580" s="106">
        <v>46170</v>
      </c>
      <c r="AZ580" s="106" t="s">
        <v>4453</v>
      </c>
      <c r="BA580" s="245" t="s">
        <v>4454</v>
      </c>
      <c r="BB580" s="249" t="s">
        <v>4338</v>
      </c>
      <c r="BC580" s="220">
        <f>IF(AY580-KD580=0,"",AY580-O580)</f>
        <v>104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250" t="s">
        <v>4357</v>
      </c>
      <c r="BG580" s="250" t="s">
        <v>4357</v>
      </c>
      <c r="BH580" s="250" t="s">
        <v>4357</v>
      </c>
      <c r="BI580" s="251" t="s">
        <v>5393</v>
      </c>
      <c r="BJ580" s="154"/>
      <c r="BK580" s="154"/>
      <c r="BL580" s="154"/>
      <c r="BM580" s="237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6870</v>
      </c>
      <c r="G581" s="103" t="s">
        <v>4330</v>
      </c>
      <c r="H581" s="103" t="s">
        <v>4331</v>
      </c>
      <c r="I581" s="246" t="s">
        <v>4343</v>
      </c>
      <c r="J581" s="149" t="s">
        <v>6871</v>
      </c>
      <c r="K581" s="149" t="s">
        <v>6872</v>
      </c>
      <c r="L581" s="149" t="s">
        <v>6873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6871</v>
      </c>
      <c r="AC581" s="149" t="s">
        <v>6872</v>
      </c>
      <c r="AD581" s="149" t="s">
        <v>6873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6874</v>
      </c>
      <c r="G582" s="103" t="s">
        <v>4330</v>
      </c>
      <c r="H582" s="103" t="s">
        <v>4331</v>
      </c>
      <c r="I582" s="246" t="s">
        <v>4343</v>
      </c>
      <c r="J582" s="149" t="s">
        <v>6875</v>
      </c>
      <c r="K582" s="149" t="s">
        <v>6876</v>
      </c>
      <c r="L582" s="149" t="s">
        <v>6877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103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103" t="s">
        <v>4343</v>
      </c>
      <c r="J584" s="114" t="s">
        <v>6883</v>
      </c>
      <c r="K584" s="149" t="s">
        <v>4457</v>
      </c>
      <c r="L584" s="149" t="s">
        <v>6884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6883</v>
      </c>
      <c r="AC584" s="149" t="s">
        <v>4457</v>
      </c>
      <c r="AD584" s="149" t="s">
        <v>6884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6885</v>
      </c>
      <c r="G585" s="103" t="s">
        <v>4330</v>
      </c>
      <c r="H585" s="103" t="s">
        <v>4331</v>
      </c>
      <c r="I585" s="103" t="s">
        <v>4343</v>
      </c>
      <c r="J585" s="114" t="s">
        <v>6886</v>
      </c>
      <c r="K585" s="149" t="s">
        <v>4457</v>
      </c>
      <c r="L585" s="149" t="s">
        <v>6887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6886</v>
      </c>
      <c r="AC585" s="149" t="s">
        <v>4457</v>
      </c>
      <c r="AD585" s="149" t="s">
        <v>6887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6888</v>
      </c>
      <c r="G586" s="103" t="s">
        <v>4330</v>
      </c>
      <c r="H586" s="103" t="s">
        <v>4331</v>
      </c>
      <c r="I586" s="142" t="s">
        <v>4343</v>
      </c>
      <c r="J586" s="114" t="s">
        <v>6889</v>
      </c>
      <c r="K586" s="149" t="s">
        <v>6890</v>
      </c>
      <c r="L586" s="149" t="s">
        <v>6891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6889</v>
      </c>
      <c r="AC586" s="149" t="s">
        <v>6890</v>
      </c>
      <c r="AD586" s="149" t="s">
        <v>6891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6802</v>
      </c>
      <c r="K587" s="149" t="s">
        <v>6803</v>
      </c>
      <c r="L587" s="149" t="s">
        <v>6804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6805</v>
      </c>
      <c r="AC587" s="149" t="s">
        <v>6806</v>
      </c>
      <c r="AD587" s="149" t="s">
        <v>6807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7" t="s">
        <v>6808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6897</v>
      </c>
      <c r="G588" s="103" t="s">
        <v>4330</v>
      </c>
      <c r="H588" s="103" t="s">
        <v>4331</v>
      </c>
      <c r="I588" s="142" t="s">
        <v>4343</v>
      </c>
      <c r="J588" s="114" t="s">
        <v>6898</v>
      </c>
      <c r="K588" s="149" t="s">
        <v>6899</v>
      </c>
      <c r="L588" s="149" t="s">
        <v>6900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6898</v>
      </c>
      <c r="AC588" s="149" t="s">
        <v>6899</v>
      </c>
      <c r="AD588" s="149" t="s">
        <v>6900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6901</v>
      </c>
      <c r="G589" s="103" t="s">
        <v>4330</v>
      </c>
      <c r="H589" s="103" t="s">
        <v>4331</v>
      </c>
      <c r="I589" s="142" t="s">
        <v>4343</v>
      </c>
      <c r="J589" s="149" t="s">
        <v>6902</v>
      </c>
      <c r="K589" s="149" t="s">
        <v>6903</v>
      </c>
      <c r="L589" s="149" t="s">
        <v>6904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6902</v>
      </c>
      <c r="AC589" s="149" t="s">
        <v>6903</v>
      </c>
      <c r="AD589" s="149" t="s">
        <v>6904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6905</v>
      </c>
      <c r="G590" s="103" t="s">
        <v>4330</v>
      </c>
      <c r="H590" s="103" t="s">
        <v>4331</v>
      </c>
      <c r="I590" s="142" t="s">
        <v>4343</v>
      </c>
      <c r="J590" s="114" t="s">
        <v>6906</v>
      </c>
      <c r="K590" s="149" t="s">
        <v>6907</v>
      </c>
      <c r="L590" s="149" t="s">
        <v>6908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6906</v>
      </c>
      <c r="AC590" s="149" t="s">
        <v>6907</v>
      </c>
      <c r="AD590" s="149" t="s">
        <v>6908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6909</v>
      </c>
      <c r="G591" s="103" t="s">
        <v>4330</v>
      </c>
      <c r="H591" s="103" t="s">
        <v>4331</v>
      </c>
      <c r="I591" s="142" t="s">
        <v>4343</v>
      </c>
      <c r="J591" s="114" t="s">
        <v>6910</v>
      </c>
      <c r="K591" s="149" t="s">
        <v>6911</v>
      </c>
      <c r="L591" s="149" t="s">
        <v>6912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6910</v>
      </c>
      <c r="AC591" s="149" t="s">
        <v>6911</v>
      </c>
      <c r="AD591" s="149" t="s">
        <v>6912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6913</v>
      </c>
      <c r="G592" s="103" t="s">
        <v>4330</v>
      </c>
      <c r="H592" s="103" t="s">
        <v>4331</v>
      </c>
      <c r="I592" s="142" t="s">
        <v>4343</v>
      </c>
      <c r="J592" s="114" t="s">
        <v>6914</v>
      </c>
      <c r="K592" s="149"/>
      <c r="L592" s="149" t="s">
        <v>6915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6916</v>
      </c>
      <c r="G593" s="103" t="s">
        <v>4330</v>
      </c>
      <c r="H593" s="103" t="s">
        <v>4331</v>
      </c>
      <c r="I593" s="142" t="s">
        <v>4343</v>
      </c>
      <c r="J593" s="149" t="s">
        <v>6917</v>
      </c>
      <c r="K593" s="149" t="s">
        <v>6918</v>
      </c>
      <c r="L593" s="149" t="s">
        <v>6919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6917</v>
      </c>
      <c r="AC593" s="149" t="s">
        <v>6918</v>
      </c>
      <c r="AD593" s="149" t="s">
        <v>6919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6920</v>
      </c>
      <c r="G594" s="103" t="s">
        <v>4330</v>
      </c>
      <c r="H594" s="103" t="s">
        <v>4331</v>
      </c>
      <c r="I594" s="142" t="s">
        <v>4343</v>
      </c>
      <c r="J594" s="149" t="s">
        <v>6921</v>
      </c>
      <c r="K594" s="149" t="s">
        <v>6922</v>
      </c>
      <c r="L594" s="149" t="s">
        <v>6923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6921</v>
      </c>
      <c r="AC594" s="204" t="s">
        <v>6922</v>
      </c>
      <c r="AD594" s="204" t="s">
        <v>6923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6924</v>
      </c>
      <c r="AQ594" s="143" t="s">
        <v>4338</v>
      </c>
      <c r="AR594" s="103" t="s">
        <v>4338</v>
      </c>
      <c r="AS594" s="103" t="s">
        <v>4822</v>
      </c>
      <c r="AT594" s="107" t="s">
        <v>4453</v>
      </c>
      <c r="AU594" s="106"/>
      <c r="AV594" s="109"/>
      <c r="AW594" s="107"/>
      <c r="AX594" s="106"/>
      <c r="AY594" s="157"/>
      <c r="AZ594" s="106"/>
      <c r="BA594" s="107" t="s">
        <v>4330</v>
      </c>
      <c r="BB594" s="136"/>
      <c r="BC594" s="220" t="str">
        <f>IF(AY594-KD594=0,"",AY594-O594)</f>
        <v/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6925</v>
      </c>
      <c r="G595" s="103" t="s">
        <v>4330</v>
      </c>
      <c r="H595" s="103" t="s">
        <v>4331</v>
      </c>
      <c r="I595" s="142" t="s">
        <v>4343</v>
      </c>
      <c r="J595" s="149" t="s">
        <v>6926</v>
      </c>
      <c r="K595" s="149" t="s">
        <v>6927</v>
      </c>
      <c r="L595" s="149" t="s">
        <v>6928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6926</v>
      </c>
      <c r="AC595" s="149" t="s">
        <v>6927</v>
      </c>
      <c r="AD595" s="149" t="s">
        <v>6928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>IF(AY595-KD595=0,"",AY595-O595)</f>
        <v/>
      </c>
      <c r="BD595" s="103" t="str">
        <f>IF(AND(AI595&lt;&gt;"SIM",AI595="UH"),"AA","INDENIZAÇÃO")</f>
        <v>AA</v>
      </c>
      <c r="BE595" s="103" t="str">
        <f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6929</v>
      </c>
      <c r="G596" s="103" t="s">
        <v>4330</v>
      </c>
      <c r="H596" s="103" t="s">
        <v>4331</v>
      </c>
      <c r="I596" s="142" t="s">
        <v>4343</v>
      </c>
      <c r="J596" s="149" t="s">
        <v>6930</v>
      </c>
      <c r="K596" s="149" t="s">
        <v>6931</v>
      </c>
      <c r="L596" s="149" t="s">
        <v>6932</v>
      </c>
      <c r="M596" s="103" t="s">
        <v>4333</v>
      </c>
      <c r="N596" s="103" t="s">
        <v>4459</v>
      </c>
      <c r="O596" s="105">
        <v>46001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5"/>
      <c r="AB596" s="149" t="s">
        <v>6930</v>
      </c>
      <c r="AC596" s="149" t="s">
        <v>6931</v>
      </c>
      <c r="AD596" s="149" t="s">
        <v>6932</v>
      </c>
      <c r="AE596" s="103" t="s">
        <v>4343</v>
      </c>
      <c r="AF596" s="103" t="s">
        <v>4333</v>
      </c>
      <c r="AG596" s="194">
        <v>28530.17</v>
      </c>
      <c r="AH596" s="194">
        <f>AG596+30000</f>
        <v>58530.17</v>
      </c>
      <c r="AI596" s="103" t="s">
        <v>4336</v>
      </c>
      <c r="AJ596" s="104" t="s">
        <v>4438</v>
      </c>
      <c r="AK596" s="103">
        <v>146670504</v>
      </c>
      <c r="AL596" s="103" t="s">
        <v>4338</v>
      </c>
      <c r="AM596" s="103" t="s">
        <v>4338</v>
      </c>
      <c r="AN596" s="103" t="s">
        <v>4339</v>
      </c>
      <c r="AO596" s="112"/>
      <c r="AP596" s="171" t="s">
        <v>6933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8">
        <v>46017</v>
      </c>
      <c r="AV596" s="112" t="s">
        <v>4338</v>
      </c>
      <c r="AW596" s="103" t="s">
        <v>4338</v>
      </c>
      <c r="AX596" s="166">
        <v>46024</v>
      </c>
      <c r="AY596" s="106">
        <v>46024</v>
      </c>
      <c r="AZ596" s="157" t="s">
        <v>4453</v>
      </c>
      <c r="BA596" s="107" t="s">
        <v>4454</v>
      </c>
      <c r="BB596" s="136" t="s">
        <v>4338</v>
      </c>
      <c r="BC596" s="220">
        <f>IF(AY596-KD596=0,"",AY596-O596)</f>
        <v>23</v>
      </c>
      <c r="BD596" s="103" t="str">
        <f>IF(AND(AI596&lt;&gt;"SIM",AI596="UH"),"AA","INDENIZAÇÃO")</f>
        <v>INDENIZAÇÃO</v>
      </c>
      <c r="BE596" s="103" t="str">
        <f>IF(AND(AY596&lt;&gt;"AGUARDANDO",AY596&lt;&gt;"",N596="AUXÍLIO ALUGUEL ATÉ INDENIZAÇÃO"),"SIM","NÃO")</f>
        <v>NÃO</v>
      </c>
      <c r="BF596" s="140" t="s">
        <v>4357</v>
      </c>
      <c r="BG596" s="140" t="s">
        <v>4357</v>
      </c>
      <c r="BH596" s="140" t="s">
        <v>4357</v>
      </c>
      <c r="BI596" s="154" t="s">
        <v>5393</v>
      </c>
      <c r="BJ596" s="154"/>
      <c r="BK596" s="154"/>
      <c r="BL596" s="154"/>
      <c r="BM596" s="237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6934</v>
      </c>
      <c r="G597" s="103" t="s">
        <v>4330</v>
      </c>
      <c r="H597" s="103" t="s">
        <v>4331</v>
      </c>
      <c r="I597" s="142" t="s">
        <v>4343</v>
      </c>
      <c r="J597" s="150" t="s">
        <v>6935</v>
      </c>
      <c r="K597" s="149" t="s">
        <v>6936</v>
      </c>
      <c r="L597" s="149" t="s">
        <v>6937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6935</v>
      </c>
      <c r="AC597" s="149" t="s">
        <v>6936</v>
      </c>
      <c r="AD597" s="149" t="s">
        <v>6937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>IF(AY597-KD597=0,"",AY597-O597)</f>
        <v/>
      </c>
      <c r="BD597" s="103" t="str">
        <f>IF(AND(AI597&lt;&gt;"SIM",AI597="UH"),"AA","INDENIZAÇÃO")</f>
        <v>AA</v>
      </c>
      <c r="BE597" s="103" t="str">
        <f>IF(AND(AY597&lt;&gt;"AGUARDANDO",AY597&lt;&gt;"",N597="AUXÍLIO ALUGUEL ATÉ INDENIZAÇÃO"),"SIM","NÃO")</f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6938</v>
      </c>
      <c r="G598" s="103" t="s">
        <v>4330</v>
      </c>
      <c r="H598" s="103" t="s">
        <v>4331</v>
      </c>
      <c r="I598" s="142" t="s">
        <v>4343</v>
      </c>
      <c r="J598" s="114" t="s">
        <v>6939</v>
      </c>
      <c r="K598" s="149" t="s">
        <v>6940</v>
      </c>
      <c r="L598" s="149" t="s">
        <v>6941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6939</v>
      </c>
      <c r="AC598" s="149" t="s">
        <v>6940</v>
      </c>
      <c r="AD598" s="149" t="s">
        <v>6941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>IF(AY598-KD598=0,"",AY598-O598)</f>
        <v/>
      </c>
      <c r="BD598" s="103" t="str">
        <f>IF(AND(AI598&lt;&gt;"SIM",AI598="UH"),"AA","INDENIZAÇÃO")</f>
        <v>AA</v>
      </c>
      <c r="BE598" s="103" t="str">
        <f>IF(AND(AY598&lt;&gt;"AGUARDANDO",AY598&lt;&gt;"",N598="AUXÍLIO ALUGUEL ATÉ INDENIZAÇÃO"),"SIM","NÃO")</f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6942</v>
      </c>
      <c r="G599" s="103" t="s">
        <v>4330</v>
      </c>
      <c r="H599" s="103" t="s">
        <v>4331</v>
      </c>
      <c r="I599" s="142" t="s">
        <v>4343</v>
      </c>
      <c r="J599" s="149" t="s">
        <v>6943</v>
      </c>
      <c r="K599" s="149" t="s">
        <v>6944</v>
      </c>
      <c r="L599" s="149" t="s">
        <v>6945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6943</v>
      </c>
      <c r="AC599" s="149" t="s">
        <v>6944</v>
      </c>
      <c r="AD599" s="149" t="s">
        <v>6945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>IF(AY599-KD599=0,"",AY599-O599)</f>
        <v/>
      </c>
      <c r="BD599" s="103" t="str">
        <f>IF(AND(AI599&lt;&gt;"SIM",AI599="UH"),"AA","INDENIZAÇÃO")</f>
        <v>AA</v>
      </c>
      <c r="BE599" s="103" t="str">
        <f>IF(AND(AY599&lt;&gt;"AGUARDANDO",AY599&lt;&gt;"",N599="AUXÍLIO ALUGUEL ATÉ INDENIZAÇÃO"),"SIM","NÃO")</f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6946</v>
      </c>
      <c r="G600" s="103" t="s">
        <v>4330</v>
      </c>
      <c r="H600" s="103" t="s">
        <v>4331</v>
      </c>
      <c r="I600" s="142" t="s">
        <v>4343</v>
      </c>
      <c r="J600" s="149" t="s">
        <v>6947</v>
      </c>
      <c r="K600" s="149" t="s">
        <v>6948</v>
      </c>
      <c r="L600" s="149" t="s">
        <v>6949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6947</v>
      </c>
      <c r="AC600" s="149" t="s">
        <v>6948</v>
      </c>
      <c r="AD600" s="149" t="s">
        <v>6949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>IF(AY600-KD600=0,"",AY600-O600)</f>
        <v/>
      </c>
      <c r="BD600" s="103" t="str">
        <f>IF(AND(AI600&lt;&gt;"SIM",AI600="UH"),"AA","INDENIZAÇÃO")</f>
        <v>AA</v>
      </c>
      <c r="BE600" s="103" t="str">
        <f>IF(AND(AY600&lt;&gt;"AGUARDANDO",AY600&lt;&gt;"",N600="AUXÍLIO ALUGUEL ATÉ INDENIZAÇÃO"),"SIM","NÃO")</f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6950</v>
      </c>
      <c r="G601" s="103" t="s">
        <v>4330</v>
      </c>
      <c r="H601" s="103" t="s">
        <v>4331</v>
      </c>
      <c r="I601" s="142" t="s">
        <v>4343</v>
      </c>
      <c r="J601" s="149" t="s">
        <v>6951</v>
      </c>
      <c r="K601" s="149" t="s">
        <v>6952</v>
      </c>
      <c r="L601" s="149" t="s">
        <v>6953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6951</v>
      </c>
      <c r="AC601" s="149" t="s">
        <v>6952</v>
      </c>
      <c r="AD601" s="149" t="s">
        <v>6953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>IF(AY601-KD601=0,"",AY601-O601)</f>
        <v/>
      </c>
      <c r="BD601" s="103" t="str">
        <f>IF(AND(AI601&lt;&gt;"SIM",AI601="UH"),"AA","INDENIZAÇÃO")</f>
        <v>AA</v>
      </c>
      <c r="BE601" s="103" t="str">
        <f>IF(AND(AY601&lt;&gt;"AGUARDANDO",AY601&lt;&gt;"",N601="AUXÍLIO ALUGUEL ATÉ INDENIZAÇÃO"),"SIM","NÃO")</f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6954</v>
      </c>
      <c r="G602" s="103" t="s">
        <v>4330</v>
      </c>
      <c r="H602" s="103" t="s">
        <v>4331</v>
      </c>
      <c r="I602" s="142" t="s">
        <v>4343</v>
      </c>
      <c r="J602" s="149" t="s">
        <v>6955</v>
      </c>
      <c r="K602" s="149" t="s">
        <v>6956</v>
      </c>
      <c r="L602" s="149" t="s">
        <v>6957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6955</v>
      </c>
      <c r="AC602" s="149" t="s">
        <v>6956</v>
      </c>
      <c r="AD602" s="149" t="s">
        <v>6957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>IF(AY602-KD602=0,"",AY602-O602)</f>
        <v/>
      </c>
      <c r="BD602" s="103" t="str">
        <f>IF(AND(AI602&lt;&gt;"SIM",AI602="UH"),"AA","INDENIZAÇÃO")</f>
        <v>AA</v>
      </c>
      <c r="BE602" s="103" t="str">
        <f>IF(AND(AY602&lt;&gt;"AGUARDANDO",AY602&lt;&gt;"",N602="AUXÍLIO ALUGUEL ATÉ INDENIZAÇÃO"),"SIM","NÃO")</f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6958</v>
      </c>
      <c r="G603" s="103" t="s">
        <v>4330</v>
      </c>
      <c r="H603" s="103" t="s">
        <v>4331</v>
      </c>
      <c r="I603" s="142" t="s">
        <v>4343</v>
      </c>
      <c r="J603" s="149" t="s">
        <v>6959</v>
      </c>
      <c r="K603" s="149" t="s">
        <v>6960</v>
      </c>
      <c r="L603" s="149" t="s">
        <v>6961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6959</v>
      </c>
      <c r="AC603" s="149" t="s">
        <v>6960</v>
      </c>
      <c r="AD603" s="149" t="s">
        <v>6961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>IF(AY603-KD603=0,"",AY603-O603)</f>
        <v/>
      </c>
      <c r="BD603" s="103" t="str">
        <f>IF(AND(AI603&lt;&gt;"SIM",AI603="UH"),"AA","INDENIZAÇÃO")</f>
        <v>AA</v>
      </c>
      <c r="BE603" s="103" t="str">
        <f>IF(AND(AY603&lt;&gt;"AGUARDANDO",AY603&lt;&gt;"",N603="AUXÍLIO ALUGUEL ATÉ INDENIZAÇÃO"),"SIM","NÃO")</f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6962</v>
      </c>
      <c r="G604" s="103" t="s">
        <v>4330</v>
      </c>
      <c r="H604" s="103" t="s">
        <v>4331</v>
      </c>
      <c r="I604" s="142" t="s">
        <v>4343</v>
      </c>
      <c r="J604" s="149" t="s">
        <v>6963</v>
      </c>
      <c r="K604" s="149" t="s">
        <v>6964</v>
      </c>
      <c r="L604" s="149" t="s">
        <v>6965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6966</v>
      </c>
      <c r="G605" s="103" t="s">
        <v>4330</v>
      </c>
      <c r="H605" s="103" t="s">
        <v>4331</v>
      </c>
      <c r="I605" s="142" t="s">
        <v>4343</v>
      </c>
      <c r="J605" s="149" t="s">
        <v>6967</v>
      </c>
      <c r="K605" s="149" t="s">
        <v>6968</v>
      </c>
      <c r="L605" s="149" t="s">
        <v>6969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6970</v>
      </c>
      <c r="G606" s="103" t="s">
        <v>4330</v>
      </c>
      <c r="H606" s="103" t="s">
        <v>4331</v>
      </c>
      <c r="I606" s="142" t="s">
        <v>4343</v>
      </c>
      <c r="J606" s="149" t="s">
        <v>6971</v>
      </c>
      <c r="K606" s="149" t="s">
        <v>6972</v>
      </c>
      <c r="L606" s="149" t="s">
        <v>6973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6971</v>
      </c>
      <c r="AC606" s="149" t="s">
        <v>6972</v>
      </c>
      <c r="AD606" s="149" t="s">
        <v>6973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6974</v>
      </c>
      <c r="G607" s="103" t="s">
        <v>4330</v>
      </c>
      <c r="H607" s="103" t="s">
        <v>4331</v>
      </c>
      <c r="I607" s="142" t="s">
        <v>4343</v>
      </c>
      <c r="J607" s="149" t="s">
        <v>6975</v>
      </c>
      <c r="K607" s="149" t="s">
        <v>6976</v>
      </c>
      <c r="L607" s="149" t="s">
        <v>6977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6978</v>
      </c>
      <c r="G608" s="112" t="s">
        <v>4341</v>
      </c>
      <c r="H608" s="103" t="s">
        <v>6486</v>
      </c>
      <c r="I608" s="153" t="s">
        <v>4332</v>
      </c>
      <c r="J608" s="149" t="s">
        <v>6979</v>
      </c>
      <c r="K608" s="149" t="s">
        <v>6980</v>
      </c>
      <c r="L608" s="149" t="s">
        <v>6981</v>
      </c>
      <c r="M608" s="103" t="s">
        <v>4333</v>
      </c>
      <c r="N608" s="103" t="s">
        <v>4459</v>
      </c>
      <c r="O608" s="105">
        <v>46045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6979</v>
      </c>
      <c r="AC608" s="149" t="s">
        <v>6980</v>
      </c>
      <c r="AD608" s="149" t="s">
        <v>6981</v>
      </c>
      <c r="AE608" s="153" t="s">
        <v>4332</v>
      </c>
      <c r="AF608" s="103" t="s">
        <v>4333</v>
      </c>
      <c r="AG608" s="194">
        <v>23244.14</v>
      </c>
      <c r="AH608" s="194">
        <f>AG608+30000</f>
        <v>53244.14</v>
      </c>
      <c r="AI608" s="103" t="s">
        <v>4336</v>
      </c>
      <c r="AJ608" s="104" t="s">
        <v>4438</v>
      </c>
      <c r="AK608" s="103">
        <v>146670595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6982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46127</v>
      </c>
      <c r="AV608" s="103" t="s">
        <v>4338</v>
      </c>
      <c r="AW608" s="103" t="s">
        <v>4338</v>
      </c>
      <c r="AX608" s="105">
        <v>46139</v>
      </c>
      <c r="AY608" s="106">
        <v>46139</v>
      </c>
      <c r="AZ608" s="106" t="s">
        <v>4453</v>
      </c>
      <c r="BA608" s="107" t="s">
        <v>4454</v>
      </c>
      <c r="BB608" s="136" t="s">
        <v>4338</v>
      </c>
      <c r="BC608" s="220">
        <f>IF(AY608-KD608=0,"",AY608-O608)</f>
        <v>94</v>
      </c>
      <c r="BD608" s="103" t="str">
        <f>IF(AND(AI608&lt;&gt;"SIM",AI608="UH"),"AA","INDENIZAÇÃO")</f>
        <v>INDENIZAÇÃO</v>
      </c>
      <c r="BE608" s="103" t="str">
        <f>IF(AND(AY608&lt;&gt;"AGUARDANDO",AY608&lt;&gt;"",N608="AUXÍLIO ALUGUEL ATÉ INDENIZAÇÃO"),"SIM","NÃO")</f>
        <v>NÃO</v>
      </c>
      <c r="BF608" s="140" t="s">
        <v>4357</v>
      </c>
      <c r="BG608" s="140" t="s">
        <v>4357</v>
      </c>
      <c r="BH608" s="140" t="s">
        <v>4357</v>
      </c>
      <c r="BI608" s="154" t="s">
        <v>5393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6983</v>
      </c>
      <c r="G609" s="98" t="s">
        <v>4330</v>
      </c>
      <c r="H609" s="103" t="s">
        <v>4331</v>
      </c>
      <c r="I609" s="246" t="s">
        <v>4343</v>
      </c>
      <c r="J609" s="149" t="s">
        <v>6984</v>
      </c>
      <c r="K609" s="149" t="s">
        <v>6985</v>
      </c>
      <c r="L609" s="149" t="s">
        <v>6986</v>
      </c>
      <c r="M609" s="103" t="s">
        <v>4333</v>
      </c>
      <c r="N609" s="103" t="s">
        <v>4459</v>
      </c>
      <c r="O609" s="105">
        <v>46045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6984</v>
      </c>
      <c r="AC609" s="149" t="s">
        <v>6985</v>
      </c>
      <c r="AD609" s="149" t="s">
        <v>6986</v>
      </c>
      <c r="AE609" s="103" t="s">
        <v>4343</v>
      </c>
      <c r="AF609" s="103" t="s">
        <v>4333</v>
      </c>
      <c r="AG609" s="194">
        <v>59568.93</v>
      </c>
      <c r="AH609" s="194">
        <v>60000</v>
      </c>
      <c r="AI609" s="103" t="s">
        <v>4336</v>
      </c>
      <c r="AJ609" s="104" t="s">
        <v>4438</v>
      </c>
      <c r="AK609" s="103">
        <v>146041017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6987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46084</v>
      </c>
      <c r="AV609" s="112" t="s">
        <v>4338</v>
      </c>
      <c r="AW609" s="112" t="s">
        <v>4338</v>
      </c>
      <c r="AX609" s="111">
        <v>46092</v>
      </c>
      <c r="AY609" s="106">
        <v>46092</v>
      </c>
      <c r="AZ609" s="157" t="s">
        <v>4453</v>
      </c>
      <c r="BA609" s="107" t="s">
        <v>4454</v>
      </c>
      <c r="BB609" s="136" t="s">
        <v>4338</v>
      </c>
      <c r="BC609" s="220">
        <f>IF(AY609-KD609=0,"",AY609-O609)</f>
        <v>47</v>
      </c>
      <c r="BD609" s="103" t="str">
        <f>IF(AND(AI609&lt;&gt;"SIM",AI609="UH"),"AA","INDENIZAÇÃO")</f>
        <v>INDENIZAÇÃO</v>
      </c>
      <c r="BE609" s="103" t="str">
        <f>IF(AND(AY609&lt;&gt;"AGUARDANDO",AY609&lt;&gt;"",N609="AUXÍLIO ALUGUEL ATÉ INDENIZAÇÃO"),"SIM","NÃO")</f>
        <v>NÃO</v>
      </c>
      <c r="BF609" s="140" t="s">
        <v>4357</v>
      </c>
      <c r="BG609" s="140" t="s">
        <v>4357</v>
      </c>
      <c r="BH609" s="140" t="s">
        <v>4357</v>
      </c>
      <c r="BI609" s="154" t="s">
        <v>5393</v>
      </c>
      <c r="BJ609" s="154"/>
      <c r="BK609" s="154"/>
      <c r="BL609" s="154"/>
      <c r="BM609" s="237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6988</v>
      </c>
      <c r="G610" s="112" t="s">
        <v>4341</v>
      </c>
      <c r="H610" s="103" t="s">
        <v>6486</v>
      </c>
      <c r="I610" s="153" t="s">
        <v>4332</v>
      </c>
      <c r="J610" s="149" t="s">
        <v>6989</v>
      </c>
      <c r="K610" s="149" t="s">
        <v>6990</v>
      </c>
      <c r="L610" s="149" t="s">
        <v>6991</v>
      </c>
      <c r="M610" s="103" t="s">
        <v>4333</v>
      </c>
      <c r="N610" s="103" t="s">
        <v>4459</v>
      </c>
      <c r="O610" s="105">
        <v>46051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6989</v>
      </c>
      <c r="AC610" s="149" t="s">
        <v>6990</v>
      </c>
      <c r="AD610" s="149" t="s">
        <v>6991</v>
      </c>
      <c r="AE610" s="153" t="s">
        <v>4332</v>
      </c>
      <c r="AF610" s="103" t="s">
        <v>4333</v>
      </c>
      <c r="AG610" s="194">
        <v>23021.02</v>
      </c>
      <c r="AH610" s="194">
        <v>23021.02</v>
      </c>
      <c r="AI610" s="103" t="s">
        <v>4336</v>
      </c>
      <c r="AJ610" s="104" t="s">
        <v>4438</v>
      </c>
      <c r="AK610" s="103">
        <v>148267124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6992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46157</v>
      </c>
      <c r="AY610" s="106">
        <v>46157</v>
      </c>
      <c r="AZ610" s="106" t="s">
        <v>4453</v>
      </c>
      <c r="BA610" s="107" t="s">
        <v>4454</v>
      </c>
      <c r="BB610" s="136" t="s">
        <v>4338</v>
      </c>
      <c r="BC610" s="220">
        <f>IF(AY610-KD610=0,"",AY610-O610)</f>
        <v>106</v>
      </c>
      <c r="BD610" s="103" t="str">
        <f>IF(AND(AI610&lt;&gt;"SIM",AI610="UH"),"AA","INDENIZAÇÃO")</f>
        <v>INDENIZAÇÃO</v>
      </c>
      <c r="BE610" s="103" t="str">
        <f>IF(AND(AY610&lt;&gt;"AGUARDANDO",AY610&lt;&gt;"",N610="AUXÍLIO ALUGUEL ATÉ INDENIZAÇÃO"),"SIM","NÃO")</f>
        <v>NÃO</v>
      </c>
      <c r="BF610" s="140" t="s">
        <v>4357</v>
      </c>
      <c r="BG610" s="140" t="s">
        <v>4357</v>
      </c>
      <c r="BH610" s="140" t="s">
        <v>4357</v>
      </c>
      <c r="BI610" s="154" t="s">
        <v>5393</v>
      </c>
      <c r="BJ610" s="154"/>
      <c r="BK610" s="154"/>
      <c r="BL610" s="154"/>
      <c r="BM610" s="237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6993</v>
      </c>
      <c r="G611" s="98" t="s">
        <v>4330</v>
      </c>
      <c r="H611" s="103" t="s">
        <v>4331</v>
      </c>
      <c r="I611" s="246" t="s">
        <v>4343</v>
      </c>
      <c r="J611" s="149" t="s">
        <v>6994</v>
      </c>
      <c r="K611" s="149" t="s">
        <v>6995</v>
      </c>
      <c r="L611" s="149" t="s">
        <v>6996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6994</v>
      </c>
      <c r="AC611" s="149" t="s">
        <v>6995</v>
      </c>
      <c r="AD611" s="149" t="s">
        <v>6996</v>
      </c>
      <c r="AE611" s="103" t="s">
        <v>4343</v>
      </c>
      <c r="AF611" s="103" t="s">
        <v>4333</v>
      </c>
      <c r="AG611" s="194">
        <v>26293.73</v>
      </c>
      <c r="AH611" s="194">
        <v>56293.73</v>
      </c>
      <c r="AI611" s="103" t="s">
        <v>4336</v>
      </c>
      <c r="AJ611" s="104" t="s">
        <v>4438</v>
      </c>
      <c r="AK611" s="103">
        <v>150614301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6997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46127</v>
      </c>
      <c r="AV611" s="103" t="s">
        <v>4338</v>
      </c>
      <c r="AW611" s="165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>IF(AY611-KD611=0,"",AY611-O611)</f>
        <v>75</v>
      </c>
      <c r="BD611" s="103" t="str">
        <f>IF(AND(AI611&lt;&gt;"SIM",AI611="UH"),"AA","INDENIZAÇÃO")</f>
        <v>INDENIZAÇÃO</v>
      </c>
      <c r="BE611" s="103" t="str">
        <f>IF(AND(AY611&lt;&gt;"AGUARDANDO",AY611&lt;&gt;"",N611="AUXÍLIO ALUGUEL ATÉ INDENIZAÇÃO"),"SIM","NÃO")</f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6998</v>
      </c>
      <c r="G612" s="103" t="s">
        <v>4330</v>
      </c>
      <c r="H612" s="103" t="s">
        <v>4331</v>
      </c>
      <c r="I612" s="142" t="s">
        <v>4343</v>
      </c>
      <c r="J612" s="149" t="s">
        <v>6999</v>
      </c>
      <c r="K612" s="149" t="s">
        <v>7000</v>
      </c>
      <c r="L612" s="149" t="s">
        <v>7001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6999</v>
      </c>
      <c r="AC612" s="149" t="s">
        <v>7000</v>
      </c>
      <c r="AD612" s="149" t="s">
        <v>7001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>IF(AY612-KD612=0,"",AY612-O612)</f>
        <v/>
      </c>
      <c r="BD612" s="103" t="str">
        <f>IF(AND(AI612&lt;&gt;"SIM",AI612="UH"),"AA","INDENIZAÇÃO")</f>
        <v>AA</v>
      </c>
      <c r="BE612" s="103" t="str">
        <f>IF(AND(AY612&lt;&gt;"AGUARDANDO",AY612&lt;&gt;"",N612="AUXÍLIO ALUGUEL ATÉ INDENIZAÇÃO"),"SIM","NÃO")</f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7002</v>
      </c>
      <c r="G613" s="103" t="s">
        <v>4330</v>
      </c>
      <c r="H613" s="103" t="s">
        <v>4331</v>
      </c>
      <c r="I613" s="142" t="s">
        <v>7003</v>
      </c>
      <c r="J613" s="149" t="s">
        <v>7004</v>
      </c>
      <c r="K613" s="149" t="s">
        <v>7005</v>
      </c>
      <c r="L613" s="149" t="s">
        <v>7006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7004</v>
      </c>
      <c r="AC613" s="149" t="s">
        <v>7005</v>
      </c>
      <c r="AD613" s="149" t="s">
        <v>7006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>IF(AY613-KD613=0,"",AY613-O613)</f>
        <v/>
      </c>
      <c r="BD613" s="103" t="str">
        <f>IF(AND(AI613&lt;&gt;"SIM",AI613="UH"),"AA","INDENIZAÇÃO")</f>
        <v>AA</v>
      </c>
      <c r="BE613" s="103" t="str">
        <f>IF(AND(AY613&lt;&gt;"AGUARDANDO",AY613&lt;&gt;"",N613="AUXÍLIO ALUGUEL ATÉ INDENIZAÇÃO"),"SIM","NÃO")</f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7007</v>
      </c>
      <c r="G614" s="103" t="s">
        <v>4330</v>
      </c>
      <c r="H614" s="103" t="s">
        <v>4331</v>
      </c>
      <c r="I614" s="142" t="s">
        <v>4343</v>
      </c>
      <c r="J614" s="149" t="s">
        <v>7008</v>
      </c>
      <c r="K614" s="149" t="s">
        <v>7009</v>
      </c>
      <c r="L614" s="149" t="s">
        <v>7010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7008</v>
      </c>
      <c r="AC614" s="149" t="s">
        <v>7009</v>
      </c>
      <c r="AD614" s="149" t="s">
        <v>7010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>IF(AY614-KD614=0,"",AY614-O614)</f>
        <v/>
      </c>
      <c r="BD614" s="103" t="str">
        <f>IF(AND(AI614&lt;&gt;"SIM",AI614="UH"),"AA","INDENIZAÇÃO")</f>
        <v>AA</v>
      </c>
      <c r="BE614" s="103" t="str">
        <f>IF(AND(AY614&lt;&gt;"AGUARDANDO",AY614&lt;&gt;"",N614="AUXÍLIO ALUGUEL ATÉ INDENIZAÇÃO"),"SIM","NÃO")</f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7011</v>
      </c>
      <c r="G615" s="103" t="s">
        <v>4330</v>
      </c>
      <c r="H615" s="103" t="s">
        <v>4331</v>
      </c>
      <c r="I615" s="142" t="s">
        <v>7003</v>
      </c>
      <c r="J615" s="149" t="s">
        <v>7012</v>
      </c>
      <c r="K615" s="149" t="s">
        <v>7013</v>
      </c>
      <c r="L615" s="149" t="s">
        <v>7014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7012</v>
      </c>
      <c r="AC615" s="149" t="s">
        <v>7013</v>
      </c>
      <c r="AD615" s="149" t="s">
        <v>7014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>IF(AY615-KD615=0,"",AY615-O615)</f>
        <v/>
      </c>
      <c r="BD615" s="103" t="str">
        <f>IF(AND(AI615&lt;&gt;"SIM",AI615="UH"),"AA","INDENIZAÇÃO")</f>
        <v>AA</v>
      </c>
      <c r="BE615" s="103" t="str">
        <f>IF(AND(AY615&lt;&gt;"AGUARDANDO",AY615&lt;&gt;"",N615="AUXÍLIO ALUGUEL ATÉ INDENIZAÇÃO"),"SIM","NÃO")</f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7015</v>
      </c>
      <c r="G616" s="103" t="s">
        <v>4330</v>
      </c>
      <c r="H616" s="103" t="s">
        <v>4331</v>
      </c>
      <c r="I616" s="142" t="s">
        <v>4343</v>
      </c>
      <c r="J616" s="149" t="s">
        <v>7016</v>
      </c>
      <c r="K616" s="149" t="s">
        <v>7017</v>
      </c>
      <c r="L616" s="149" t="s">
        <v>7018</v>
      </c>
      <c r="M616" s="103" t="s">
        <v>4333</v>
      </c>
      <c r="N616" s="103" t="s">
        <v>4459</v>
      </c>
      <c r="O616" s="105">
        <v>45980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7016</v>
      </c>
      <c r="AC616" s="204" t="s">
        <v>7017</v>
      </c>
      <c r="AD616" s="204" t="s">
        <v>7018</v>
      </c>
      <c r="AE616" s="165" t="s">
        <v>4343</v>
      </c>
      <c r="AF616" s="165" t="s">
        <v>4333</v>
      </c>
      <c r="AG616" s="208">
        <v>30282.02</v>
      </c>
      <c r="AH616" s="208">
        <v>60000</v>
      </c>
      <c r="AI616" s="165" t="s">
        <v>4336</v>
      </c>
      <c r="AJ616" s="104" t="s">
        <v>4438</v>
      </c>
      <c r="AK616" s="103">
        <v>146670767</v>
      </c>
      <c r="AL616" s="103" t="s">
        <v>4338</v>
      </c>
      <c r="AM616" s="103" t="s">
        <v>4338</v>
      </c>
      <c r="AN616" s="103" t="s">
        <v>4339</v>
      </c>
      <c r="AO616" s="112"/>
      <c r="AP616" s="171" t="s">
        <v>7019</v>
      </c>
      <c r="AQ616" s="103" t="s">
        <v>4338</v>
      </c>
      <c r="AR616" s="103" t="s">
        <v>4338</v>
      </c>
      <c r="AS616" s="103" t="s">
        <v>4338</v>
      </c>
      <c r="AT616" s="103" t="s">
        <v>4338</v>
      </c>
      <c r="AU616" s="105">
        <v>46020</v>
      </c>
      <c r="AV616" s="112" t="s">
        <v>4338</v>
      </c>
      <c r="AW616" s="103" t="s">
        <v>4338</v>
      </c>
      <c r="AX616" s="166">
        <v>46024</v>
      </c>
      <c r="AY616" s="157">
        <v>46024</v>
      </c>
      <c r="AZ616" s="157" t="s">
        <v>4453</v>
      </c>
      <c r="BA616" s="107" t="s">
        <v>4454</v>
      </c>
      <c r="BB616" s="136" t="s">
        <v>4338</v>
      </c>
      <c r="BC616" s="220">
        <f>IF(AY616-KD616=0,"",AY616-O616)</f>
        <v>44</v>
      </c>
      <c r="BD616" s="103" t="str">
        <f>IF(AND(AI616&lt;&gt;"SIM",AI616="UH"),"AA","INDENIZAÇÃO")</f>
        <v>INDENIZAÇÃO</v>
      </c>
      <c r="BE616" s="103" t="str">
        <f>IF(AND(AY616&lt;&gt;"AGUARDANDO",AY616&lt;&gt;"",N616="AUXÍLIO ALUGUEL ATÉ INDENIZAÇÃO"),"SIM","NÃO")</f>
        <v>NÃO</v>
      </c>
      <c r="BF616" s="140" t="s">
        <v>4357</v>
      </c>
      <c r="BG616" s="140" t="s">
        <v>4357</v>
      </c>
      <c r="BH616" s="140" t="s">
        <v>4357</v>
      </c>
      <c r="BI616" s="154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7020</v>
      </c>
      <c r="G617" s="103" t="s">
        <v>4330</v>
      </c>
      <c r="H617" s="103" t="s">
        <v>4331</v>
      </c>
      <c r="I617" s="142" t="s">
        <v>4343</v>
      </c>
      <c r="J617" s="149" t="s">
        <v>7021</v>
      </c>
      <c r="K617" s="149" t="s">
        <v>7022</v>
      </c>
      <c r="L617" s="149" t="s">
        <v>7023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7021</v>
      </c>
      <c r="AC617" s="149" t="s">
        <v>7022</v>
      </c>
      <c r="AD617" s="149" t="s">
        <v>7023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>IF(AY617-KD617=0,"",AY617-O617)</f>
        <v/>
      </c>
      <c r="BD617" s="103" t="str">
        <f>IF(AND(AI617&lt;&gt;"SIM",AI617="UH"),"AA","INDENIZAÇÃO")</f>
        <v>AA</v>
      </c>
      <c r="BE617" s="103" t="str">
        <f>IF(AND(AY617&lt;&gt;"AGUARDANDO",AY617&lt;&gt;"",N617="AUXÍLIO ALUGUEL ATÉ INDENIZAÇÃO"),"SIM","NÃO")</f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7024</v>
      </c>
      <c r="G618" s="103" t="s">
        <v>4330</v>
      </c>
      <c r="H618" s="103" t="s">
        <v>4331</v>
      </c>
      <c r="I618" s="142" t="s">
        <v>4343</v>
      </c>
      <c r="J618" s="114" t="s">
        <v>7025</v>
      </c>
      <c r="K618" s="149" t="s">
        <v>7026</v>
      </c>
      <c r="L618" s="149" t="s">
        <v>7027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7025</v>
      </c>
      <c r="AC618" s="149" t="s">
        <v>7026</v>
      </c>
      <c r="AD618" s="149" t="s">
        <v>7027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>IF(AY618-KD618=0,"",AY618-O618)</f>
        <v/>
      </c>
      <c r="BD618" s="103" t="str">
        <f>IF(AND(AI618&lt;&gt;"SIM",AI618="UH"),"AA","INDENIZAÇÃO")</f>
        <v>AA</v>
      </c>
      <c r="BE618" s="103" t="str">
        <f>IF(AND(AY618&lt;&gt;"AGUARDANDO",AY618&lt;&gt;"",N618="AUXÍLIO ALUGUEL ATÉ INDENIZAÇÃO"),"SIM","NÃO")</f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7028</v>
      </c>
      <c r="G619" s="103" t="s">
        <v>4351</v>
      </c>
      <c r="H619" s="103" t="s">
        <v>4351</v>
      </c>
      <c r="I619" s="153" t="s">
        <v>4332</v>
      </c>
      <c r="J619" s="149" t="s">
        <v>7029</v>
      </c>
      <c r="K619" s="149" t="s">
        <v>7030</v>
      </c>
      <c r="L619" s="149" t="s">
        <v>7031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7029</v>
      </c>
      <c r="AC619" s="204" t="s">
        <v>7030</v>
      </c>
      <c r="AD619" s="204" t="s">
        <v>7031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>IF(AY619-KD619=0,"",AY619-O619)</f>
        <v/>
      </c>
      <c r="BD619" s="103" t="str">
        <f>IF(AND(AI619&lt;&gt;"SIM",AI619="UH"),"AA","INDENIZAÇÃO")</f>
        <v>INDENIZAÇÃO</v>
      </c>
      <c r="BE619" s="103" t="str">
        <f>IF(AND(AY619&lt;&gt;"AGUARDANDO",AY619&lt;&gt;"",N619="AUXÍLIO ALUGUEL ATÉ INDENIZAÇÃO"),"SIM","NÃO")</f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7032</v>
      </c>
      <c r="G620" s="103" t="s">
        <v>4330</v>
      </c>
      <c r="H620" s="103" t="s">
        <v>4331</v>
      </c>
      <c r="I620" s="246" t="s">
        <v>4343</v>
      </c>
      <c r="J620" s="149" t="s">
        <v>7033</v>
      </c>
      <c r="K620" s="149" t="s">
        <v>4457</v>
      </c>
      <c r="L620" s="149" t="s">
        <v>7034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7033</v>
      </c>
      <c r="AC620" s="149" t="s">
        <v>4457</v>
      </c>
      <c r="AD620" s="149" t="s">
        <v>7034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>IF(AY620-KD620=0,"",AY620-O620)</f>
        <v/>
      </c>
      <c r="BD620" s="103" t="str">
        <f>IF(AND(AI620&lt;&gt;"SIM",AI620="UH"),"AA","INDENIZAÇÃO")</f>
        <v>AA</v>
      </c>
      <c r="BE620" s="103" t="str">
        <f>IF(AND(AY620&lt;&gt;"AGUARDANDO",AY620&lt;&gt;"",N620="AUXÍLIO ALUGUEL ATÉ INDENIZAÇÃO"),"SIM","NÃO")</f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7035</v>
      </c>
      <c r="G621" s="103" t="s">
        <v>4330</v>
      </c>
      <c r="H621" s="103" t="s">
        <v>4331</v>
      </c>
      <c r="I621" s="142" t="s">
        <v>4343</v>
      </c>
      <c r="J621" s="149" t="s">
        <v>7036</v>
      </c>
      <c r="K621" s="149" t="s">
        <v>7037</v>
      </c>
      <c r="L621" s="149" t="s">
        <v>7038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7036</v>
      </c>
      <c r="AC621" s="149" t="s">
        <v>7037</v>
      </c>
      <c r="AD621" s="149" t="s">
        <v>7038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>IF(AY621-KD621=0,"",AY621-O621)</f>
        <v/>
      </c>
      <c r="BD621" s="103" t="str">
        <f>IF(AND(AI621&lt;&gt;"SIM",AI621="UH"),"AA","INDENIZAÇÃO")</f>
        <v>AA</v>
      </c>
      <c r="BE621" s="103" t="str">
        <f>IF(AND(AY621&lt;&gt;"AGUARDANDO",AY621&lt;&gt;"",N621="AUXÍLIO ALUGUEL ATÉ INDENIZAÇÃO"),"SIM","NÃO")</f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customHeight="1" x14ac:dyDescent="0.25">
      <c r="A622" s="165">
        <v>611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7039</v>
      </c>
      <c r="G622" s="103" t="s">
        <v>4330</v>
      </c>
      <c r="H622" s="103" t="s">
        <v>4331</v>
      </c>
      <c r="I622" s="142" t="s">
        <v>4343</v>
      </c>
      <c r="J622" s="149" t="s">
        <v>7040</v>
      </c>
      <c r="K622" s="149" t="s">
        <v>7041</v>
      </c>
      <c r="L622" s="149" t="s">
        <v>7042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7040</v>
      </c>
      <c r="AC622" s="204" t="s">
        <v>7041</v>
      </c>
      <c r="AD622" s="204" t="s">
        <v>7042</v>
      </c>
      <c r="AE622" s="165" t="s">
        <v>4343</v>
      </c>
      <c r="AF622" s="165" t="s">
        <v>4333</v>
      </c>
      <c r="AG622" s="208">
        <v>22842.9</v>
      </c>
      <c r="AH622" s="208">
        <f>AG622+30000</f>
        <v>52842.9</v>
      </c>
      <c r="AI622" s="165" t="s">
        <v>4336</v>
      </c>
      <c r="AJ622" s="104" t="s">
        <v>4438</v>
      </c>
      <c r="AK622" s="103">
        <v>146671194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7043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46009</v>
      </c>
      <c r="AV622" s="112" t="s">
        <v>4338</v>
      </c>
      <c r="AW622" s="103" t="s">
        <v>4338</v>
      </c>
      <c r="AX622" s="111">
        <v>46021</v>
      </c>
      <c r="AY622" s="106">
        <v>46021</v>
      </c>
      <c r="AZ622" s="157" t="s">
        <v>4453</v>
      </c>
      <c r="BA622" s="107" t="s">
        <v>4454</v>
      </c>
      <c r="BB622" s="136" t="s">
        <v>4338</v>
      </c>
      <c r="BC622" s="220">
        <f>IF(AY622-KD622=0,"",AY622-O622)</f>
        <v>41</v>
      </c>
      <c r="BD622" s="103" t="str">
        <f>IF(AND(AI622&lt;&gt;"SIM",AI622="UH"),"AA","INDENIZAÇÃO")</f>
        <v>INDENIZAÇÃO</v>
      </c>
      <c r="BE622" s="103" t="str">
        <f>IF(AND(AY622&lt;&gt;"AGUARDANDO",AY622&lt;&gt;"",N622="AUXÍLIO ALUGUEL ATÉ INDENIZAÇÃO"),"SIM","NÃO")</f>
        <v>NÃO</v>
      </c>
      <c r="BF622" s="140" t="s">
        <v>4357</v>
      </c>
      <c r="BG622" s="140" t="s">
        <v>4357</v>
      </c>
      <c r="BH622" s="140" t="s">
        <v>4357</v>
      </c>
      <c r="BI622" s="103" t="s">
        <v>4338</v>
      </c>
      <c r="BJ622" s="103" t="s">
        <v>4338</v>
      </c>
      <c r="BK622" s="105">
        <v>46205</v>
      </c>
      <c r="BL622" s="154" t="s">
        <v>4461</v>
      </c>
      <c r="BM622" s="237"/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7044</v>
      </c>
      <c r="G623" s="103" t="s">
        <v>4330</v>
      </c>
      <c r="H623" s="103" t="s">
        <v>4352</v>
      </c>
      <c r="I623" s="142" t="s">
        <v>4343</v>
      </c>
      <c r="J623" s="149" t="s">
        <v>7045</v>
      </c>
      <c r="K623" s="149" t="s">
        <v>4457</v>
      </c>
      <c r="L623" s="149" t="s">
        <v>7046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7045</v>
      </c>
      <c r="AC623" s="149" t="s">
        <v>4457</v>
      </c>
      <c r="AD623" s="149" t="s">
        <v>7046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>IF(AY623-KD623=0,"",AY623-O623)</f>
        <v/>
      </c>
      <c r="BD623" s="103" t="str">
        <f>IF(AND(AI623&lt;&gt;"SIM",AI623="UH"),"AA","INDENIZAÇÃO")</f>
        <v>AA</v>
      </c>
      <c r="BE623" s="103" t="str">
        <f>IF(AND(AY623&lt;&gt;"AGUARDANDO",AY623&lt;&gt;"",N623="AUXÍLIO ALUGUEL ATÉ INDENIZAÇÃO"),"SIM","NÃO")</f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7047</v>
      </c>
      <c r="G624" s="103" t="s">
        <v>4330</v>
      </c>
      <c r="H624" s="103" t="s">
        <v>4331</v>
      </c>
      <c r="I624" s="142" t="s">
        <v>4343</v>
      </c>
      <c r="J624" s="149" t="s">
        <v>7048</v>
      </c>
      <c r="K624" s="149" t="s">
        <v>7049</v>
      </c>
      <c r="L624" s="149" t="s">
        <v>7050</v>
      </c>
      <c r="M624" s="103" t="s">
        <v>4333</v>
      </c>
      <c r="N624" s="103" t="s">
        <v>4459</v>
      </c>
      <c r="O624" s="105">
        <v>45980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5"/>
      <c r="AB624" s="149" t="s">
        <v>7048</v>
      </c>
      <c r="AC624" s="149" t="s">
        <v>7049</v>
      </c>
      <c r="AD624" s="149" t="s">
        <v>7050</v>
      </c>
      <c r="AE624" s="103" t="s">
        <v>4343</v>
      </c>
      <c r="AF624" s="103" t="s">
        <v>4333</v>
      </c>
      <c r="AG624" s="194">
        <v>23178.12</v>
      </c>
      <c r="AH624" s="194">
        <f>AG624+30000</f>
        <v>53178.119999999995</v>
      </c>
      <c r="AI624" s="103" t="s">
        <v>4336</v>
      </c>
      <c r="AJ624" s="104" t="s">
        <v>4438</v>
      </c>
      <c r="AK624" s="103">
        <v>146671460</v>
      </c>
      <c r="AL624" s="103" t="s">
        <v>4338</v>
      </c>
      <c r="AM624" s="103" t="s">
        <v>4338</v>
      </c>
      <c r="AN624" s="103" t="s">
        <v>4339</v>
      </c>
      <c r="AO624" s="112"/>
      <c r="AP624" s="171" t="s">
        <v>7051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8">
        <v>46017</v>
      </c>
      <c r="AV624" s="112" t="s">
        <v>4338</v>
      </c>
      <c r="AW624" s="103" t="s">
        <v>4338</v>
      </c>
      <c r="AX624" s="166">
        <v>46024</v>
      </c>
      <c r="AY624" s="106">
        <v>46024</v>
      </c>
      <c r="AZ624" s="157" t="s">
        <v>4453</v>
      </c>
      <c r="BA624" s="107" t="s">
        <v>4454</v>
      </c>
      <c r="BB624" s="136" t="s">
        <v>4338</v>
      </c>
      <c r="BC624" s="220">
        <f>IF(AY624-KD624=0,"",AY624-O624)</f>
        <v>44</v>
      </c>
      <c r="BD624" s="103" t="str">
        <f>IF(AND(AI624&lt;&gt;"SIM",AI624="UH"),"AA","INDENIZAÇÃO")</f>
        <v>INDENIZAÇÃO</v>
      </c>
      <c r="BE624" s="103" t="str">
        <f>IF(AND(AY624&lt;&gt;"AGUARDANDO",AY624&lt;&gt;"",N624="AUXÍLIO ALUGUEL ATÉ INDENIZAÇÃO"),"SIM","NÃO")</f>
        <v>NÃO</v>
      </c>
      <c r="BF624" s="140" t="s">
        <v>4357</v>
      </c>
      <c r="BG624" s="140" t="s">
        <v>4357</v>
      </c>
      <c r="BH624" s="140" t="s">
        <v>4357</v>
      </c>
      <c r="BI624" s="154" t="s">
        <v>5393</v>
      </c>
      <c r="BJ624" s="154"/>
      <c r="BK624" s="154"/>
      <c r="BL624" s="154"/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7052</v>
      </c>
      <c r="G625" s="103" t="s">
        <v>4330</v>
      </c>
      <c r="H625" s="103" t="s">
        <v>4331</v>
      </c>
      <c r="I625" s="142" t="s">
        <v>4343</v>
      </c>
      <c r="J625" s="149" t="s">
        <v>7053</v>
      </c>
      <c r="K625" s="149" t="s">
        <v>7054</v>
      </c>
      <c r="L625" s="149" t="s">
        <v>7055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7053</v>
      </c>
      <c r="AC625" s="149" t="s">
        <v>7054</v>
      </c>
      <c r="AD625" s="149" t="s">
        <v>7055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>IF(AY625-KD625=0,"",AY625-O625)</f>
        <v/>
      </c>
      <c r="BD625" s="103" t="str">
        <f>IF(AND(AI625&lt;&gt;"SIM",AI625="UH"),"AA","INDENIZAÇÃO")</f>
        <v>AA</v>
      </c>
      <c r="BE625" s="103" t="str">
        <f>IF(AND(AY625&lt;&gt;"AGUARDANDO",AY625&lt;&gt;"",N625="AUXÍLIO ALUGUEL ATÉ INDENIZAÇÃO"),"SIM","NÃO")</f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7056</v>
      </c>
      <c r="G626" s="103" t="s">
        <v>4330</v>
      </c>
      <c r="H626" s="103" t="s">
        <v>4331</v>
      </c>
      <c r="I626" s="142" t="s">
        <v>4343</v>
      </c>
      <c r="J626" s="114" t="s">
        <v>7057</v>
      </c>
      <c r="K626" s="149" t="s">
        <v>7058</v>
      </c>
      <c r="L626" s="149" t="s">
        <v>7059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7057</v>
      </c>
      <c r="AC626" s="149" t="s">
        <v>7058</v>
      </c>
      <c r="AD626" s="149" t="s">
        <v>7059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>IF(AY626-KD626=0,"",AY626-O626)</f>
        <v/>
      </c>
      <c r="BD626" s="103" t="str">
        <f>IF(AND(AI626&lt;&gt;"SIM",AI626="UH"),"AA","INDENIZAÇÃO")</f>
        <v>AA</v>
      </c>
      <c r="BE626" s="103" t="str">
        <f>IF(AND(AY626&lt;&gt;"AGUARDANDO",AY626&lt;&gt;"",N626="AUXÍLIO ALUGUEL ATÉ INDENIZAÇÃO"),"SIM","NÃO")</f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7060</v>
      </c>
      <c r="G627" s="103" t="s">
        <v>4330</v>
      </c>
      <c r="H627" s="103" t="s">
        <v>4331</v>
      </c>
      <c r="I627" s="142" t="s">
        <v>4343</v>
      </c>
      <c r="J627" s="114" t="s">
        <v>7061</v>
      </c>
      <c r="K627" s="149" t="s">
        <v>4457</v>
      </c>
      <c r="L627" s="149" t="s">
        <v>7062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7061</v>
      </c>
      <c r="AC627" s="149" t="s">
        <v>4457</v>
      </c>
      <c r="AD627" s="149" t="s">
        <v>7062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>IF(AY627-KD627=0,"",AY627-O627)</f>
        <v/>
      </c>
      <c r="BD627" s="103" t="str">
        <f>IF(AND(AI627&lt;&gt;"SIM",AI627="UH"),"AA","INDENIZAÇÃO")</f>
        <v>AA</v>
      </c>
      <c r="BE627" s="103" t="str">
        <f>IF(AND(AY627&lt;&gt;"AGUARDANDO",AY627&lt;&gt;"",N627="AUXÍLIO ALUGUEL ATÉ INDENIZAÇÃO"),"SIM","NÃO")</f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customHeight="1" x14ac:dyDescent="0.25">
      <c r="A628" s="165">
        <v>617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7063</v>
      </c>
      <c r="G628" s="103" t="s">
        <v>4330</v>
      </c>
      <c r="H628" s="103" t="s">
        <v>4331</v>
      </c>
      <c r="I628" s="142" t="s">
        <v>4440</v>
      </c>
      <c r="J628" s="114" t="s">
        <v>7064</v>
      </c>
      <c r="K628" s="149" t="s">
        <v>7065</v>
      </c>
      <c r="L628" s="149" t="s">
        <v>7066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46002</v>
      </c>
      <c r="Z628" s="105"/>
      <c r="AA628" s="103"/>
      <c r="AB628" s="149" t="s">
        <v>7067</v>
      </c>
      <c r="AC628" s="149" t="s">
        <v>4432</v>
      </c>
      <c r="AD628" s="149" t="s">
        <v>7068</v>
      </c>
      <c r="AE628" s="142" t="s">
        <v>4332</v>
      </c>
      <c r="AF628" s="103" t="s">
        <v>4333</v>
      </c>
      <c r="AG628" s="194">
        <v>6316.23</v>
      </c>
      <c r="AH628" s="194">
        <v>6316.23</v>
      </c>
      <c r="AI628" s="103" t="s">
        <v>4336</v>
      </c>
      <c r="AJ628" s="104" t="s">
        <v>4438</v>
      </c>
      <c r="AK628" s="103">
        <v>146671536</v>
      </c>
      <c r="AL628" s="103" t="s">
        <v>4338</v>
      </c>
      <c r="AM628" s="103" t="s">
        <v>4338</v>
      </c>
      <c r="AN628" s="103" t="s">
        <v>4339</v>
      </c>
      <c r="AO628" s="112"/>
      <c r="AP628" s="171" t="s">
        <v>7069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8">
        <v>46017</v>
      </c>
      <c r="AV628" s="112" t="s">
        <v>4338</v>
      </c>
      <c r="AW628" s="103" t="s">
        <v>4338</v>
      </c>
      <c r="AX628" s="166">
        <v>46024</v>
      </c>
      <c r="AY628" s="106">
        <v>46024</v>
      </c>
      <c r="AZ628" s="157" t="s">
        <v>4453</v>
      </c>
      <c r="BA628" s="107" t="s">
        <v>4454</v>
      </c>
      <c r="BB628" s="136" t="s">
        <v>4338</v>
      </c>
      <c r="BC628" s="220">
        <f>IF(AY628-KD628=0,"",AY628-O628)</f>
        <v>44</v>
      </c>
      <c r="BD628" s="103" t="str">
        <f>IF(AND(AI628&lt;&gt;"SIM",AI628="UH"),"AA","INDENIZAÇÃO")</f>
        <v>INDENIZAÇÃO</v>
      </c>
      <c r="BE628" s="103" t="str">
        <f>IF(AND(AY628&lt;&gt;"AGUARDANDO",AY628&lt;&gt;"",N628="AUXÍLIO ALUGUEL ATÉ INDENIZAÇÃO"),"SIM","NÃO")</f>
        <v>NÃO</v>
      </c>
      <c r="BF628" s="140" t="s">
        <v>4357</v>
      </c>
      <c r="BG628" s="140" t="s">
        <v>4357</v>
      </c>
      <c r="BH628" s="140" t="s">
        <v>4357</v>
      </c>
      <c r="BI628" s="154" t="s">
        <v>5393</v>
      </c>
      <c r="BJ628" s="154"/>
      <c r="BK628" s="154"/>
      <c r="BL628" s="154"/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7070</v>
      </c>
      <c r="G629" s="103" t="s">
        <v>4330</v>
      </c>
      <c r="H629" s="103" t="s">
        <v>4331</v>
      </c>
      <c r="I629" s="142" t="s">
        <v>4343</v>
      </c>
      <c r="J629" s="149" t="s">
        <v>7071</v>
      </c>
      <c r="K629" s="149" t="s">
        <v>7072</v>
      </c>
      <c r="L629" s="149" t="s">
        <v>7073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7071</v>
      </c>
      <c r="AC629" s="149" t="s">
        <v>7072</v>
      </c>
      <c r="AD629" s="149" t="s">
        <v>7073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>IF(AY629-KD629=0,"",AY629-O629)</f>
        <v/>
      </c>
      <c r="BD629" s="103" t="str">
        <f>IF(AND(AI629&lt;&gt;"SIM",AI629="UH"),"AA","INDENIZAÇÃO")</f>
        <v>AA</v>
      </c>
      <c r="BE629" s="103" t="str">
        <f>IF(AND(AY629&lt;&gt;"AGUARDANDO",AY629&lt;&gt;"",N629="AUXÍLIO ALUGUEL ATÉ INDENIZAÇÃO"),"SIM","NÃO")</f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7074</v>
      </c>
      <c r="G630" s="103" t="s">
        <v>4330</v>
      </c>
      <c r="H630" s="103" t="s">
        <v>4331</v>
      </c>
      <c r="I630" s="142" t="s">
        <v>4343</v>
      </c>
      <c r="J630" s="149" t="s">
        <v>7075</v>
      </c>
      <c r="K630" s="149" t="s">
        <v>7076</v>
      </c>
      <c r="L630" s="149" t="s">
        <v>7077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7075</v>
      </c>
      <c r="AC630" s="149" t="s">
        <v>7076</v>
      </c>
      <c r="AD630" s="149" t="s">
        <v>7077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>IF(AY630-KD630=0,"",AY630-O630)</f>
        <v/>
      </c>
      <c r="BD630" s="103" t="str">
        <f>IF(AND(AI630&lt;&gt;"SIM",AI630="UH"),"AA","INDENIZAÇÃO")</f>
        <v>AA</v>
      </c>
      <c r="BE630" s="103" t="str">
        <f>IF(AND(AY630&lt;&gt;"AGUARDANDO",AY630&lt;&gt;"",N630="AUXÍLIO ALUGUEL ATÉ INDENIZAÇÃO"),"SIM","NÃO")</f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7078</v>
      </c>
      <c r="G631" s="103" t="s">
        <v>4330</v>
      </c>
      <c r="H631" s="103" t="s">
        <v>4331</v>
      </c>
      <c r="I631" s="142" t="s">
        <v>4343</v>
      </c>
      <c r="J631" s="149" t="s">
        <v>7079</v>
      </c>
      <c r="K631" s="149" t="s">
        <v>7080</v>
      </c>
      <c r="L631" s="149" t="s">
        <v>7081</v>
      </c>
      <c r="M631" s="103" t="s">
        <v>4333</v>
      </c>
      <c r="N631" s="103" t="s">
        <v>4459</v>
      </c>
      <c r="O631" s="105">
        <v>46001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05"/>
      <c r="AB631" s="204" t="s">
        <v>7079</v>
      </c>
      <c r="AC631" s="204" t="s">
        <v>7080</v>
      </c>
      <c r="AD631" s="204" t="s">
        <v>7081</v>
      </c>
      <c r="AE631" s="165" t="s">
        <v>4343</v>
      </c>
      <c r="AF631" s="165" t="s">
        <v>4333</v>
      </c>
      <c r="AG631" s="208">
        <v>41025.519999999997</v>
      </c>
      <c r="AH631" s="208">
        <v>60000</v>
      </c>
      <c r="AI631" s="165" t="s">
        <v>4336</v>
      </c>
      <c r="AJ631" s="104" t="s">
        <v>4438</v>
      </c>
      <c r="AK631" s="103">
        <v>146671616</v>
      </c>
      <c r="AL631" s="103" t="s">
        <v>4338</v>
      </c>
      <c r="AM631" s="103" t="s">
        <v>4338</v>
      </c>
      <c r="AN631" s="103" t="s">
        <v>4339</v>
      </c>
      <c r="AO631" s="176"/>
      <c r="AP631" s="171" t="s">
        <v>7082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46024</v>
      </c>
      <c r="AV631" s="112" t="s">
        <v>4338</v>
      </c>
      <c r="AW631" s="103" t="s">
        <v>4338</v>
      </c>
      <c r="AX631" s="166">
        <v>46038</v>
      </c>
      <c r="AY631" s="157">
        <v>46038</v>
      </c>
      <c r="AZ631" s="157" t="s">
        <v>4453</v>
      </c>
      <c r="BA631" s="107" t="s">
        <v>4454</v>
      </c>
      <c r="BB631" s="136" t="s">
        <v>4338</v>
      </c>
      <c r="BC631" s="220">
        <f>IF(AY631-KD631=0,"",AY631-O631)</f>
        <v>37</v>
      </c>
      <c r="BD631" s="103" t="str">
        <f>IF(AND(AI631&lt;&gt;"SIM",AI631="UH"),"AA","INDENIZAÇÃO")</f>
        <v>INDENIZAÇÃO</v>
      </c>
      <c r="BE631" s="103" t="str">
        <f>IF(AND(AY631&lt;&gt;"AGUARDANDO",AY631&lt;&gt;"",N631="AUXÍLIO ALUGUEL ATÉ INDENIZAÇÃO"),"SIM","NÃO")</f>
        <v>NÃO</v>
      </c>
      <c r="BF631" s="140" t="s">
        <v>4357</v>
      </c>
      <c r="BG631" s="140" t="s">
        <v>4357</v>
      </c>
      <c r="BH631" s="140" t="s">
        <v>4357</v>
      </c>
      <c r="BI631" s="154" t="s">
        <v>5393</v>
      </c>
      <c r="BJ631" s="154"/>
      <c r="BK631" s="154"/>
      <c r="BL631" s="154"/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7083</v>
      </c>
      <c r="G632" s="103" t="s">
        <v>4330</v>
      </c>
      <c r="H632" s="103" t="s">
        <v>4331</v>
      </c>
      <c r="I632" s="142" t="s">
        <v>4343</v>
      </c>
      <c r="J632" s="149" t="s">
        <v>7084</v>
      </c>
      <c r="K632" s="149" t="s">
        <v>7085</v>
      </c>
      <c r="L632" s="149" t="s">
        <v>7086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7084</v>
      </c>
      <c r="AC632" s="149" t="s">
        <v>7085</v>
      </c>
      <c r="AD632" s="149" t="s">
        <v>7086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>IF(AY632-KD632=0,"",AY632-O632)</f>
        <v/>
      </c>
      <c r="BD632" s="103" t="str">
        <f>IF(AND(AI632&lt;&gt;"SIM",AI632="UH"),"AA","INDENIZAÇÃO")</f>
        <v>AA</v>
      </c>
      <c r="BE632" s="103" t="str">
        <f>IF(AND(AY632&lt;&gt;"AGUARDANDO",AY632&lt;&gt;"",N632="AUXÍLIO ALUGUEL ATÉ INDENIZAÇÃO"),"SIM","NÃO")</f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7087</v>
      </c>
      <c r="G633" s="103" t="s">
        <v>4330</v>
      </c>
      <c r="H633" s="103" t="s">
        <v>4331</v>
      </c>
      <c r="I633" s="142" t="s">
        <v>4343</v>
      </c>
      <c r="J633" s="114" t="s">
        <v>7088</v>
      </c>
      <c r="K633" s="149" t="s">
        <v>7089</v>
      </c>
      <c r="L633" s="149" t="s">
        <v>7090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7088</v>
      </c>
      <c r="AC633" s="204" t="s">
        <v>7089</v>
      </c>
      <c r="AD633" s="204" t="s">
        <v>7090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>IF(AY633-KD633=0,"",AY633-O633)</f>
        <v/>
      </c>
      <c r="BD633" s="103" t="str">
        <f>IF(AND(AI633&lt;&gt;"SIM",AI633="UH"),"AA","INDENIZAÇÃO")</f>
        <v>AA</v>
      </c>
      <c r="BE633" s="103" t="str">
        <f>IF(AND(AY633&lt;&gt;"AGUARDANDO",AY633&lt;&gt;"",N633="AUXÍLIO ALUGUEL ATÉ INDENIZAÇÃO"),"SIM","NÃO")</f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7091</v>
      </c>
      <c r="G634" s="103" t="s">
        <v>4330</v>
      </c>
      <c r="H634" s="103" t="s">
        <v>4331</v>
      </c>
      <c r="I634" s="142" t="s">
        <v>4343</v>
      </c>
      <c r="J634" s="149" t="s">
        <v>7092</v>
      </c>
      <c r="K634" s="149" t="s">
        <v>7093</v>
      </c>
      <c r="L634" s="149" t="s">
        <v>7094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7092</v>
      </c>
      <c r="AC634" s="149" t="s">
        <v>7093</v>
      </c>
      <c r="AD634" s="149" t="s">
        <v>7094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>IF(AY634-KD634=0,"",AY634-O634)</f>
        <v/>
      </c>
      <c r="BD634" s="103" t="str">
        <f>IF(AND(AI634&lt;&gt;"SIM",AI634="UH"),"AA","INDENIZAÇÃO")</f>
        <v>AA</v>
      </c>
      <c r="BE634" s="103" t="str">
        <f>IF(AND(AY634&lt;&gt;"AGUARDANDO",AY634&lt;&gt;"",N634="AUXÍLIO ALUGUEL ATÉ INDENIZAÇÃO"),"SIM","NÃO")</f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 x14ac:dyDescent="0.25">
      <c r="A635" s="165">
        <v>624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7095</v>
      </c>
      <c r="G635" s="103" t="s">
        <v>4330</v>
      </c>
      <c r="H635" s="103" t="s">
        <v>4331</v>
      </c>
      <c r="I635" s="142" t="s">
        <v>4343</v>
      </c>
      <c r="J635" s="149" t="s">
        <v>7096</v>
      </c>
      <c r="K635" s="149" t="s">
        <v>4457</v>
      </c>
      <c r="L635" s="149" t="s">
        <v>7097</v>
      </c>
      <c r="M635" s="103" t="s">
        <v>4333</v>
      </c>
      <c r="N635" s="103" t="s">
        <v>4459</v>
      </c>
      <c r="O635" s="105">
        <v>46064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7096</v>
      </c>
      <c r="AC635" s="149" t="s">
        <v>4457</v>
      </c>
      <c r="AD635" s="149" t="s">
        <v>7097</v>
      </c>
      <c r="AE635" s="103" t="s">
        <v>4343</v>
      </c>
      <c r="AF635" s="103" t="s">
        <v>5044</v>
      </c>
      <c r="AG635" s="194">
        <v>19603.16</v>
      </c>
      <c r="AH635" s="194">
        <v>49603.16</v>
      </c>
      <c r="AI635" s="103" t="s">
        <v>4336</v>
      </c>
      <c r="AJ635" s="104" t="s">
        <v>4438</v>
      </c>
      <c r="AK635" s="103">
        <v>150614345</v>
      </c>
      <c r="AL635" s="103" t="s">
        <v>4338</v>
      </c>
      <c r="AM635" s="103" t="s">
        <v>4338</v>
      </c>
      <c r="AN635" s="103" t="s">
        <v>4339</v>
      </c>
      <c r="AO635" s="103"/>
      <c r="AP635" s="171" t="s">
        <v>7098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46111</v>
      </c>
      <c r="AV635" s="103" t="s">
        <v>4338</v>
      </c>
      <c r="AW635" s="103" t="s">
        <v>4338</v>
      </c>
      <c r="AX635" s="105">
        <v>46114</v>
      </c>
      <c r="AY635" s="106">
        <v>46114</v>
      </c>
      <c r="AZ635" s="106" t="s">
        <v>4453</v>
      </c>
      <c r="BA635" s="107" t="s">
        <v>4454</v>
      </c>
      <c r="BB635" s="136" t="s">
        <v>4338</v>
      </c>
      <c r="BC635" s="220">
        <f>IF(AY635-KD635=0,"",AY635-O635)</f>
        <v>50</v>
      </c>
      <c r="BD635" s="103" t="str">
        <f>IF(AND(AI635&lt;&gt;"SIM",AI635="UH"),"AA","INDENIZAÇÃO")</f>
        <v>INDENIZAÇÃO</v>
      </c>
      <c r="BE635" s="103" t="str">
        <f>IF(AND(AY635&lt;&gt;"AGUARDANDO",AY635&lt;&gt;"",N635="AUXÍLIO ALUGUEL ATÉ INDENIZAÇÃO"),"SIM","NÃO")</f>
        <v>NÃO</v>
      </c>
      <c r="BF635" s="140" t="s">
        <v>4357</v>
      </c>
      <c r="BG635" s="140" t="s">
        <v>4357</v>
      </c>
      <c r="BH635" s="140" t="s">
        <v>4357</v>
      </c>
      <c r="BI635" s="154" t="s">
        <v>5393</v>
      </c>
      <c r="BJ635" s="154"/>
      <c r="BK635" s="154"/>
      <c r="BL635" s="154"/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7099</v>
      </c>
      <c r="G636" s="103" t="s">
        <v>4330</v>
      </c>
      <c r="H636" s="103" t="s">
        <v>4331</v>
      </c>
      <c r="I636" s="142" t="s">
        <v>4343</v>
      </c>
      <c r="J636" s="149" t="s">
        <v>7100</v>
      </c>
      <c r="K636" s="149" t="s">
        <v>7101</v>
      </c>
      <c r="L636" s="149" t="s">
        <v>7102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7100</v>
      </c>
      <c r="AC636" s="149" t="s">
        <v>7101</v>
      </c>
      <c r="AD636" s="149" t="s">
        <v>7102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>IF(AY636-KD636=0,"",AY636-O636)</f>
        <v/>
      </c>
      <c r="BD636" s="103" t="str">
        <f>IF(AND(AI636&lt;&gt;"SIM",AI636="UH"),"AA","INDENIZAÇÃO")</f>
        <v>AA</v>
      </c>
      <c r="BE636" s="103" t="str">
        <f>IF(AND(AY636&lt;&gt;"AGUARDANDO",AY636&lt;&gt;"",N636="AUXÍLIO ALUGUEL ATÉ INDENIZAÇÃO"),"SIM","NÃO")</f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7103</v>
      </c>
      <c r="G637" s="103" t="s">
        <v>4330</v>
      </c>
      <c r="H637" s="103" t="s">
        <v>4331</v>
      </c>
      <c r="I637" s="142" t="s">
        <v>4343</v>
      </c>
      <c r="J637" s="149" t="s">
        <v>7104</v>
      </c>
      <c r="K637" s="149" t="s">
        <v>7105</v>
      </c>
      <c r="L637" s="149" t="s">
        <v>7106</v>
      </c>
      <c r="M637" s="103" t="s">
        <v>4333</v>
      </c>
      <c r="N637" s="103" t="s">
        <v>4459</v>
      </c>
      <c r="O637" s="105">
        <v>45980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5"/>
      <c r="AB637" s="204" t="s">
        <v>7104</v>
      </c>
      <c r="AC637" s="204" t="s">
        <v>7105</v>
      </c>
      <c r="AD637" s="204" t="s">
        <v>7106</v>
      </c>
      <c r="AE637" s="165" t="s">
        <v>4343</v>
      </c>
      <c r="AF637" s="165" t="s">
        <v>4333</v>
      </c>
      <c r="AG637" s="208">
        <v>47877.65</v>
      </c>
      <c r="AH637" s="208">
        <v>60000</v>
      </c>
      <c r="AI637" s="165" t="s">
        <v>4336</v>
      </c>
      <c r="AJ637" s="104" t="s">
        <v>4438</v>
      </c>
      <c r="AK637" s="103">
        <v>146672002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7107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46008</v>
      </c>
      <c r="AV637" s="112" t="s">
        <v>4338</v>
      </c>
      <c r="AW637" s="103" t="s">
        <v>4338</v>
      </c>
      <c r="AX637" s="111">
        <v>46049</v>
      </c>
      <c r="AY637" s="157">
        <v>46049</v>
      </c>
      <c r="AZ637" s="157" t="s">
        <v>4453</v>
      </c>
      <c r="BA637" s="107" t="s">
        <v>4454</v>
      </c>
      <c r="BB637" s="136" t="s">
        <v>4338</v>
      </c>
      <c r="BC637" s="220">
        <f>IF(AY637-KD637=0,"",AY637-O637)</f>
        <v>69</v>
      </c>
      <c r="BD637" s="103" t="str">
        <f>IF(AND(AI637&lt;&gt;"SIM",AI637="UH"),"AA","INDENIZAÇÃO")</f>
        <v>INDENIZAÇÃO</v>
      </c>
      <c r="BE637" s="103" t="str">
        <f>IF(AND(AY637&lt;&gt;"AGUARDANDO",AY637&lt;&gt;"",N637="AUXÍLIO ALUGUEL ATÉ INDENIZAÇÃO"),"SIM","NÃO")</f>
        <v>NÃO</v>
      </c>
      <c r="BF637" s="140" t="s">
        <v>4357</v>
      </c>
      <c r="BG637" s="140" t="s">
        <v>4357</v>
      </c>
      <c r="BH637" s="140" t="s">
        <v>4357</v>
      </c>
      <c r="BI637" s="154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7108</v>
      </c>
      <c r="G638" s="103" t="s">
        <v>4330</v>
      </c>
      <c r="H638" s="103" t="s">
        <v>4331</v>
      </c>
      <c r="I638" s="142" t="s">
        <v>4343</v>
      </c>
      <c r="J638" s="149" t="s">
        <v>7109</v>
      </c>
      <c r="K638" s="149" t="s">
        <v>7110</v>
      </c>
      <c r="L638" s="149" t="s">
        <v>7111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7109</v>
      </c>
      <c r="AC638" s="149" t="s">
        <v>7110</v>
      </c>
      <c r="AD638" s="149" t="s">
        <v>7111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>IF(AY638-KD638=0,"",AY638-O638)</f>
        <v/>
      </c>
      <c r="BD638" s="103" t="str">
        <f>IF(AND(AI638&lt;&gt;"SIM",AI638="UH"),"AA","INDENIZAÇÃO")</f>
        <v>AA</v>
      </c>
      <c r="BE638" s="103" t="str">
        <f>IF(AND(AY638&lt;&gt;"AGUARDANDO",AY638&lt;&gt;"",N638="AUXÍLIO ALUGUEL ATÉ INDENIZAÇÃO"),"SIM","NÃO")</f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7112</v>
      </c>
      <c r="G639" s="103" t="s">
        <v>4330</v>
      </c>
      <c r="H639" s="103" t="s">
        <v>4331</v>
      </c>
      <c r="I639" s="142" t="s">
        <v>4440</v>
      </c>
      <c r="J639" s="114" t="s">
        <v>7113</v>
      </c>
      <c r="K639" s="149" t="s">
        <v>7114</v>
      </c>
      <c r="L639" s="149" t="s">
        <v>7115</v>
      </c>
      <c r="M639" s="103" t="s">
        <v>4333</v>
      </c>
      <c r="N639" s="103" t="s">
        <v>4345</v>
      </c>
      <c r="O639" s="105">
        <v>45996</v>
      </c>
      <c r="P639" s="105">
        <v>46002</v>
      </c>
      <c r="Q639" s="105" t="s">
        <v>4436</v>
      </c>
      <c r="R639" s="105">
        <v>45999</v>
      </c>
      <c r="S639" s="105">
        <v>46006</v>
      </c>
      <c r="T639" s="105">
        <v>46006</v>
      </c>
      <c r="U639" s="105">
        <v>46009</v>
      </c>
      <c r="V639" s="105" t="s">
        <v>4437</v>
      </c>
      <c r="W639" s="105" t="s">
        <v>4437</v>
      </c>
      <c r="X639" s="105">
        <v>46014</v>
      </c>
      <c r="Y639" s="108">
        <v>46044</v>
      </c>
      <c r="Z639" s="108"/>
      <c r="AA639" s="112"/>
      <c r="AB639" s="204" t="s">
        <v>7116</v>
      </c>
      <c r="AC639" s="204" t="s">
        <v>7117</v>
      </c>
      <c r="AD639" s="204" t="s">
        <v>7118</v>
      </c>
      <c r="AE639" s="172" t="s">
        <v>4332</v>
      </c>
      <c r="AF639" s="195" t="s">
        <v>4333</v>
      </c>
      <c r="AG639" s="208">
        <v>60200.27</v>
      </c>
      <c r="AH639" s="208">
        <v>60200.27</v>
      </c>
      <c r="AI639" s="165" t="s">
        <v>4336</v>
      </c>
      <c r="AJ639" s="104" t="s">
        <v>4438</v>
      </c>
      <c r="AK639" s="103">
        <v>148267225</v>
      </c>
      <c r="AL639" s="103" t="s">
        <v>4338</v>
      </c>
      <c r="AM639" s="103" t="s">
        <v>4338</v>
      </c>
      <c r="AN639" s="103" t="s">
        <v>4339</v>
      </c>
      <c r="AO639" s="112"/>
      <c r="AP639" s="171" t="s">
        <v>7119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46118</v>
      </c>
      <c r="AV639" s="103" t="s">
        <v>4338</v>
      </c>
      <c r="AW639" s="103" t="s">
        <v>4338</v>
      </c>
      <c r="AX639" s="105">
        <v>46126</v>
      </c>
      <c r="AY639" s="106">
        <v>46126</v>
      </c>
      <c r="AZ639" s="106" t="s">
        <v>4453</v>
      </c>
      <c r="BA639" s="107" t="s">
        <v>4454</v>
      </c>
      <c r="BB639" s="136" t="s">
        <v>4338</v>
      </c>
      <c r="BC639" s="220">
        <f>IF(AY639-KD639=0,"",AY639-O639)</f>
        <v>130</v>
      </c>
      <c r="BD639" s="103" t="str">
        <f>IF(AND(AI639&lt;&gt;"SIM",AI639="UH"),"AA","INDENIZAÇÃO")</f>
        <v>INDENIZAÇÃO</v>
      </c>
      <c r="BE639" s="103" t="str">
        <f>IF(AND(AY639&lt;&gt;"AGUARDANDO",AY639&lt;&gt;"",N639="AUXÍLIO ALUGUEL ATÉ INDENIZAÇÃO"),"SIM","NÃO")</f>
        <v>NÃO</v>
      </c>
      <c r="BF639" s="112" t="s">
        <v>4357</v>
      </c>
      <c r="BG639" s="112" t="s">
        <v>4357</v>
      </c>
      <c r="BH639" s="112" t="s">
        <v>4357</v>
      </c>
      <c r="BI639" s="109" t="s">
        <v>5393</v>
      </c>
      <c r="BJ639" s="109"/>
      <c r="BK639" s="109"/>
      <c r="BL639" s="109"/>
      <c r="BM639" s="239"/>
    </row>
    <row r="640" spans="1:67" ht="30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7120</v>
      </c>
      <c r="G640" s="103" t="s">
        <v>4330</v>
      </c>
      <c r="H640" s="103" t="s">
        <v>4331</v>
      </c>
      <c r="I640" s="142" t="s">
        <v>4343</v>
      </c>
      <c r="J640" s="114" t="s">
        <v>7121</v>
      </c>
      <c r="K640" s="149" t="s">
        <v>7122</v>
      </c>
      <c r="L640" s="149" t="s">
        <v>7123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7121</v>
      </c>
      <c r="AC640" s="149" t="s">
        <v>7122</v>
      </c>
      <c r="AD640" s="149" t="s">
        <v>7123</v>
      </c>
      <c r="AE640" s="103" t="s">
        <v>4343</v>
      </c>
      <c r="AF640" s="103" t="s">
        <v>4333</v>
      </c>
      <c r="AG640" s="194">
        <v>34520.269999999997</v>
      </c>
      <c r="AH640" s="194">
        <v>60000</v>
      </c>
      <c r="AI640" s="103" t="s">
        <v>4336</v>
      </c>
      <c r="AJ640" s="104" t="s">
        <v>4438</v>
      </c>
      <c r="AK640" s="103">
        <v>146672083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7124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8">
        <v>46017</v>
      </c>
      <c r="AV640" s="112" t="s">
        <v>4338</v>
      </c>
      <c r="AW640" s="103" t="s">
        <v>4338</v>
      </c>
      <c r="AX640" s="166">
        <v>46024</v>
      </c>
      <c r="AY640" s="157">
        <v>46024</v>
      </c>
      <c r="AZ640" s="157" t="s">
        <v>4453</v>
      </c>
      <c r="BA640" s="174" t="s">
        <v>4454</v>
      </c>
      <c r="BB640" s="136" t="s">
        <v>4338</v>
      </c>
      <c r="BC640" s="220">
        <f>IF(AY640-KD640=0,"",AY640-O640)</f>
        <v>44</v>
      </c>
      <c r="BD640" s="103" t="str">
        <f>IF(AND(AI640&lt;&gt;"SIM",AI640="UH"),"AA","INDENIZAÇÃO")</f>
        <v>INDENIZAÇÃO</v>
      </c>
      <c r="BE640" s="103" t="str">
        <f>IF(AND(AY640&lt;&gt;"AGUARDANDO",AY640&lt;&gt;"",N640="AUXÍLIO ALUGUEL ATÉ INDENIZAÇÃO"),"SIM","NÃO")</f>
        <v>NÃO</v>
      </c>
      <c r="BF640" s="140" t="s">
        <v>4357</v>
      </c>
      <c r="BG640" s="140" t="s">
        <v>4357</v>
      </c>
      <c r="BH640" s="140" t="s">
        <v>4357</v>
      </c>
      <c r="BI640" s="154" t="s">
        <v>5393</v>
      </c>
      <c r="BJ640" s="154"/>
      <c r="BK640" s="154"/>
      <c r="BL640" s="154"/>
      <c r="BM640" s="237"/>
      <c r="BN640" s="231"/>
      <c r="BO640" s="231"/>
    </row>
    <row r="641" spans="1:66" ht="30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7125</v>
      </c>
      <c r="G641" s="103" t="s">
        <v>4330</v>
      </c>
      <c r="H641" s="103" t="s">
        <v>4331</v>
      </c>
      <c r="I641" s="142" t="s">
        <v>4343</v>
      </c>
      <c r="J641" s="149" t="s">
        <v>7126</v>
      </c>
      <c r="K641" s="149" t="s">
        <v>7127</v>
      </c>
      <c r="L641" s="149" t="s">
        <v>7128</v>
      </c>
      <c r="M641" s="103" t="s">
        <v>4333</v>
      </c>
      <c r="N641" s="103" t="s">
        <v>4459</v>
      </c>
      <c r="O641" s="105">
        <v>46001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05"/>
      <c r="AB641" s="149" t="s">
        <v>7126</v>
      </c>
      <c r="AC641" s="149" t="s">
        <v>7127</v>
      </c>
      <c r="AD641" s="149" t="s">
        <v>7128</v>
      </c>
      <c r="AE641" s="103" t="s">
        <v>4343</v>
      </c>
      <c r="AF641" s="103" t="s">
        <v>4333</v>
      </c>
      <c r="AG641" s="194">
        <v>106038.77</v>
      </c>
      <c r="AH641" s="194">
        <v>106038.77</v>
      </c>
      <c r="AI641" s="103" t="s">
        <v>4336</v>
      </c>
      <c r="AJ641" s="104" t="s">
        <v>4438</v>
      </c>
      <c r="AK641" s="103">
        <v>147998553</v>
      </c>
      <c r="AL641" s="103" t="s">
        <v>4338</v>
      </c>
      <c r="AM641" s="103" t="s">
        <v>4338</v>
      </c>
      <c r="AN641" s="103" t="s">
        <v>4339</v>
      </c>
      <c r="AO641" s="103"/>
      <c r="AP641" s="171" t="s">
        <v>7129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46021</v>
      </c>
      <c r="AV641" s="103" t="s">
        <v>4338</v>
      </c>
      <c r="AW641" s="103" t="s">
        <v>4338</v>
      </c>
      <c r="AX641" s="105">
        <v>46105</v>
      </c>
      <c r="AY641" s="157">
        <v>46105</v>
      </c>
      <c r="AZ641" s="157" t="s">
        <v>4453</v>
      </c>
      <c r="BA641" s="174" t="s">
        <v>4454</v>
      </c>
      <c r="BB641" s="136" t="s">
        <v>4338</v>
      </c>
      <c r="BC641" s="220">
        <f>IF(AY641-KD641=0,"",AY641-O641)</f>
        <v>104</v>
      </c>
      <c r="BD641" s="103" t="str">
        <f>IF(AND(AI641&lt;&gt;"SIM",AI641="UH"),"AA","INDENIZAÇÃO")</f>
        <v>INDENIZAÇÃO</v>
      </c>
      <c r="BE641" s="103" t="str">
        <f>IF(AND(AY641&lt;&gt;"AGUARDANDO",AY641&lt;&gt;"",N641="AUXÍLIO ALUGUEL ATÉ INDENIZAÇÃO"),"SIM","NÃO")</f>
        <v>NÃO</v>
      </c>
      <c r="BF641" s="140" t="s">
        <v>4357</v>
      </c>
      <c r="BG641" s="140" t="s">
        <v>4357</v>
      </c>
      <c r="BH641" s="140" t="s">
        <v>4357</v>
      </c>
      <c r="BI641" s="154" t="s">
        <v>5393</v>
      </c>
      <c r="BJ641" s="154"/>
      <c r="BK641" s="154"/>
      <c r="BL641" s="154"/>
      <c r="BM641" s="237"/>
      <c r="BN641" s="231"/>
    </row>
    <row r="642" spans="1:66" ht="30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7130</v>
      </c>
      <c r="G642" s="103" t="s">
        <v>4330</v>
      </c>
      <c r="H642" s="103" t="s">
        <v>4331</v>
      </c>
      <c r="I642" s="142" t="s">
        <v>4343</v>
      </c>
      <c r="J642" s="149" t="s">
        <v>7131</v>
      </c>
      <c r="K642" s="149" t="s">
        <v>7132</v>
      </c>
      <c r="L642" s="149" t="s">
        <v>7133</v>
      </c>
      <c r="M642" s="103" t="s">
        <v>4333</v>
      </c>
      <c r="N642" s="103" t="s">
        <v>4459</v>
      </c>
      <c r="O642" s="105">
        <v>46001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7131</v>
      </c>
      <c r="AC642" s="149" t="s">
        <v>7132</v>
      </c>
      <c r="AD642" s="149" t="s">
        <v>7133</v>
      </c>
      <c r="AE642" s="103" t="s">
        <v>4343</v>
      </c>
      <c r="AF642" s="103" t="s">
        <v>4333</v>
      </c>
      <c r="AG642" s="194">
        <v>50410.89</v>
      </c>
      <c r="AH642" s="194">
        <v>60000</v>
      </c>
      <c r="AI642" s="103" t="s">
        <v>4336</v>
      </c>
      <c r="AJ642" s="104" t="s">
        <v>4438</v>
      </c>
      <c r="AK642" s="103">
        <v>147998835</v>
      </c>
      <c r="AL642" s="103" t="s">
        <v>4338</v>
      </c>
      <c r="AM642" s="103" t="s">
        <v>4338</v>
      </c>
      <c r="AN642" s="103" t="s">
        <v>4339</v>
      </c>
      <c r="AO642" s="103"/>
      <c r="AP642" s="171" t="s">
        <v>7134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46021</v>
      </c>
      <c r="AV642" s="112" t="s">
        <v>4338</v>
      </c>
      <c r="AW642" s="103" t="s">
        <v>4338</v>
      </c>
      <c r="AX642" s="111">
        <v>46041</v>
      </c>
      <c r="AY642" s="157">
        <v>46041</v>
      </c>
      <c r="AZ642" s="157" t="s">
        <v>4453</v>
      </c>
      <c r="BA642" s="174" t="s">
        <v>4454</v>
      </c>
      <c r="BB642" s="136" t="s">
        <v>4338</v>
      </c>
      <c r="BC642" s="220">
        <f>IF(AY642-KD642=0,"",AY642-O642)</f>
        <v>40</v>
      </c>
      <c r="BD642" s="103" t="str">
        <f>IF(AND(AI642&lt;&gt;"SIM",AI642="UH"),"AA","INDENIZAÇÃO")</f>
        <v>INDENIZAÇÃO</v>
      </c>
      <c r="BE642" s="103" t="str">
        <f>IF(AND(AY642&lt;&gt;"AGUARDANDO",AY642&lt;&gt;"",N642="AUXÍLIO ALUGUEL ATÉ INDENIZAÇÃO"),"SIM","NÃO")</f>
        <v>NÃO</v>
      </c>
      <c r="BF642" s="140" t="s">
        <v>4357</v>
      </c>
      <c r="BG642" s="140" t="s">
        <v>4357</v>
      </c>
      <c r="BH642" s="140" t="s">
        <v>4357</v>
      </c>
      <c r="BI642" s="154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7135</v>
      </c>
      <c r="G643" s="103" t="s">
        <v>4330</v>
      </c>
      <c r="H643" s="103" t="s">
        <v>4331</v>
      </c>
      <c r="I643" s="142" t="s">
        <v>4343</v>
      </c>
      <c r="J643" s="149" t="s">
        <v>7136</v>
      </c>
      <c r="K643" s="149" t="s">
        <v>7137</v>
      </c>
      <c r="L643" s="149" t="s">
        <v>7138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7136</v>
      </c>
      <c r="AC643" s="149" t="s">
        <v>7137</v>
      </c>
      <c r="AD643" s="149" t="s">
        <v>7138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>IF(AY643-KD643=0,"",AY643-O643)</f>
        <v/>
      </c>
      <c r="BD643" s="103" t="str">
        <f>IF(AND(AI643&lt;&gt;"SIM",AI643="UH"),"AA","INDENIZAÇÃO")</f>
        <v>AA</v>
      </c>
      <c r="BE643" s="103" t="str">
        <f>IF(AND(AY643&lt;&gt;"AGUARDANDO",AY643&lt;&gt;"",N643="AUXÍLIO ALUGUEL ATÉ INDENIZAÇÃO"),"SIM","NÃO")</f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7139</v>
      </c>
      <c r="G644" s="103" t="s">
        <v>4330</v>
      </c>
      <c r="H644" s="103" t="s">
        <v>4331</v>
      </c>
      <c r="I644" s="142" t="s">
        <v>4343</v>
      </c>
      <c r="J644" s="149" t="s">
        <v>7140</v>
      </c>
      <c r="K644" s="149" t="s">
        <v>7141</v>
      </c>
      <c r="L644" s="149" t="s">
        <v>7142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7140</v>
      </c>
      <c r="AC644" s="149" t="s">
        <v>7141</v>
      </c>
      <c r="AD644" s="149" t="s">
        <v>7142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>IF(AY644-KD644=0,"",AY644-O644)</f>
        <v/>
      </c>
      <c r="BD644" s="103" t="str">
        <f>IF(AND(AI644&lt;&gt;"SIM",AI644="UH"),"AA","INDENIZAÇÃO")</f>
        <v>AA</v>
      </c>
      <c r="BE644" s="103" t="str">
        <f>IF(AND(AY644&lt;&gt;"AGUARDANDO",AY644&lt;&gt;"",N644="AUXÍLIO ALUGUEL ATÉ INDENIZAÇÃO"),"SIM","NÃO")</f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7143</v>
      </c>
      <c r="G645" s="103" t="s">
        <v>4330</v>
      </c>
      <c r="H645" s="103" t="s">
        <v>4331</v>
      </c>
      <c r="I645" s="142" t="s">
        <v>4343</v>
      </c>
      <c r="J645" s="149" t="s">
        <v>7144</v>
      </c>
      <c r="K645" s="149" t="s">
        <v>7145</v>
      </c>
      <c r="L645" s="149" t="s">
        <v>7146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7144</v>
      </c>
      <c r="AC645" s="149" t="s">
        <v>7145</v>
      </c>
      <c r="AD645" s="149" t="s">
        <v>7146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>IF(AY645-KD645=0,"",AY645-O645)</f>
        <v/>
      </c>
      <c r="BD645" s="103" t="str">
        <f>IF(AND(AI645&lt;&gt;"SIM",AI645="UH"),"AA","INDENIZAÇÃO")</f>
        <v>AA</v>
      </c>
      <c r="BE645" s="103" t="str">
        <f>IF(AND(AY645&lt;&gt;"AGUARDANDO",AY645&lt;&gt;"",N645="AUXÍLIO ALUGUEL ATÉ INDENIZAÇÃO"),"SIM","NÃO")</f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7147</v>
      </c>
      <c r="G646" s="103" t="s">
        <v>4330</v>
      </c>
      <c r="H646" s="103" t="s">
        <v>4331</v>
      </c>
      <c r="I646" s="142" t="s">
        <v>4343</v>
      </c>
      <c r="J646" s="149" t="s">
        <v>7148</v>
      </c>
      <c r="K646" s="149" t="s">
        <v>7149</v>
      </c>
      <c r="L646" s="149" t="s">
        <v>7150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7148</v>
      </c>
      <c r="AC646" s="149" t="s">
        <v>7149</v>
      </c>
      <c r="AD646" s="149" t="s">
        <v>7150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>IF(AY646-KD646=0,"",AY646-O646)</f>
        <v/>
      </c>
      <c r="BD646" s="103" t="str">
        <f>IF(AND(AI646&lt;&gt;"SIM",AI646="UH"),"AA","INDENIZAÇÃO")</f>
        <v>AA</v>
      </c>
      <c r="BE646" s="103" t="str">
        <f>IF(AND(AY646&lt;&gt;"AGUARDANDO",AY646&lt;&gt;"",N646="AUXÍLIO ALUGUEL ATÉ INDENIZAÇÃO"),"SIM","NÃO")</f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7151</v>
      </c>
      <c r="G647" s="103" t="s">
        <v>4330</v>
      </c>
      <c r="H647" s="103" t="s">
        <v>4331</v>
      </c>
      <c r="I647" s="142" t="s">
        <v>4343</v>
      </c>
      <c r="J647" s="149" t="s">
        <v>7152</v>
      </c>
      <c r="K647" s="149" t="s">
        <v>7153</v>
      </c>
      <c r="L647" s="149" t="s">
        <v>7154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7152</v>
      </c>
      <c r="AC647" s="149" t="s">
        <v>7153</v>
      </c>
      <c r="AD647" s="149" t="s">
        <v>7154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>IF(AY647-KD647=0,"",AY647-O647)</f>
        <v/>
      </c>
      <c r="BD647" s="103" t="str">
        <f>IF(AND(AI647&lt;&gt;"SIM",AI647="UH"),"AA","INDENIZAÇÃO")</f>
        <v>AA</v>
      </c>
      <c r="BE647" s="103" t="str">
        <f>IF(AND(AY647&lt;&gt;"AGUARDANDO",AY647&lt;&gt;"",N647="AUXÍLIO ALUGUEL ATÉ INDENIZAÇÃO"),"SIM","NÃO")</f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7155</v>
      </c>
      <c r="G648" s="103" t="s">
        <v>4330</v>
      </c>
      <c r="H648" s="103" t="s">
        <v>4331</v>
      </c>
      <c r="I648" s="142" t="s">
        <v>4343</v>
      </c>
      <c r="J648" s="149" t="s">
        <v>7156</v>
      </c>
      <c r="K648" s="149" t="s">
        <v>7157</v>
      </c>
      <c r="L648" s="149" t="s">
        <v>7158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7156</v>
      </c>
      <c r="AC648" s="149" t="s">
        <v>7157</v>
      </c>
      <c r="AD648" s="149" t="s">
        <v>7158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>IF(AY648-KD648=0,"",AY648-O648)</f>
        <v/>
      </c>
      <c r="BD648" s="103" t="str">
        <f>IF(AND(AI648&lt;&gt;"SIM",AI648="UH"),"AA","INDENIZAÇÃO")</f>
        <v>AA</v>
      </c>
      <c r="BE648" s="103" t="str">
        <f>IF(AND(AY648&lt;&gt;"AGUARDANDO",AY648&lt;&gt;"",N648="AUXÍLIO ALUGUEL ATÉ INDENIZAÇÃO"),"SIM","NÃO")</f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7159</v>
      </c>
      <c r="G649" s="112" t="s">
        <v>4341</v>
      </c>
      <c r="H649" s="103" t="s">
        <v>4351</v>
      </c>
      <c r="I649" s="153" t="s">
        <v>4332</v>
      </c>
      <c r="J649" s="149" t="s">
        <v>7160</v>
      </c>
      <c r="K649" s="149" t="s">
        <v>7161</v>
      </c>
      <c r="L649" s="149" t="s">
        <v>7162</v>
      </c>
      <c r="M649" s="103" t="s">
        <v>4333</v>
      </c>
      <c r="N649" s="103" t="s">
        <v>4459</v>
      </c>
      <c r="O649" s="105">
        <v>46106</v>
      </c>
      <c r="P649" s="105" t="s">
        <v>4356</v>
      </c>
      <c r="Q649" s="105" t="s">
        <v>4356</v>
      </c>
      <c r="R649" s="105" t="s">
        <v>4356</v>
      </c>
      <c r="S649" s="105" t="s">
        <v>4356</v>
      </c>
      <c r="T649" s="105" t="s">
        <v>4356</v>
      </c>
      <c r="U649" s="105" t="s">
        <v>4356</v>
      </c>
      <c r="V649" s="105" t="s">
        <v>4356</v>
      </c>
      <c r="W649" s="105" t="s">
        <v>4356</v>
      </c>
      <c r="X649" s="105" t="s">
        <v>4356</v>
      </c>
      <c r="Y649" s="105" t="s">
        <v>4356</v>
      </c>
      <c r="Z649" s="105"/>
      <c r="AA649" s="105"/>
      <c r="AB649" s="149" t="s">
        <v>7160</v>
      </c>
      <c r="AC649" s="149" t="s">
        <v>7161</v>
      </c>
      <c r="AD649" s="149" t="s">
        <v>7162</v>
      </c>
      <c r="AE649" s="153" t="s">
        <v>4332</v>
      </c>
      <c r="AF649" s="103" t="s">
        <v>4333</v>
      </c>
      <c r="AG649" s="194">
        <v>9923.85</v>
      </c>
      <c r="AH649" s="194">
        <v>9923.85</v>
      </c>
      <c r="AI649" s="103" t="s">
        <v>4336</v>
      </c>
      <c r="AJ649" s="104" t="s">
        <v>4438</v>
      </c>
      <c r="AK649" s="103">
        <v>151380424</v>
      </c>
      <c r="AL649" s="142" t="s">
        <v>4338</v>
      </c>
      <c r="AM649" s="103" t="s">
        <v>4338</v>
      </c>
      <c r="AN649" s="103" t="s">
        <v>4339</v>
      </c>
      <c r="AO649" s="103"/>
      <c r="AP649" s="171" t="s">
        <v>7163</v>
      </c>
      <c r="AQ649" s="224" t="s">
        <v>4338</v>
      </c>
      <c r="AR649" s="143" t="s">
        <v>4338</v>
      </c>
      <c r="AS649" s="103" t="s">
        <v>4338</v>
      </c>
      <c r="AT649" s="103" t="s">
        <v>4338</v>
      </c>
      <c r="AU649" s="105">
        <v>46150</v>
      </c>
      <c r="AV649" s="103" t="s">
        <v>4338</v>
      </c>
      <c r="AW649" s="103" t="s">
        <v>4338</v>
      </c>
      <c r="AX649" s="105">
        <v>46157</v>
      </c>
      <c r="AY649" s="106">
        <v>46157</v>
      </c>
      <c r="AZ649" s="106" t="s">
        <v>4453</v>
      </c>
      <c r="BA649" s="174" t="s">
        <v>4454</v>
      </c>
      <c r="BB649" s="136" t="s">
        <v>4338</v>
      </c>
      <c r="BC649" s="220">
        <f>IF(AY649-KD649=0,"",AY649-O649)</f>
        <v>51</v>
      </c>
      <c r="BD649" s="103" t="str">
        <f>IF(AND(AI649&lt;&gt;"SIM",AI649="UH"),"AA","INDENIZAÇÃO")</f>
        <v>INDENIZAÇÃO</v>
      </c>
      <c r="BE649" s="103" t="str">
        <f>IF(AND(AY649&lt;&gt;"AGUARDANDO",AY649&lt;&gt;"",N649="AUXÍLIO ALUGUEL ATÉ INDENIZAÇÃO"),"SIM","NÃO")</f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7164</v>
      </c>
      <c r="G650" s="98" t="s">
        <v>4330</v>
      </c>
      <c r="H650" s="103" t="s">
        <v>4331</v>
      </c>
      <c r="I650" s="246" t="s">
        <v>4343</v>
      </c>
      <c r="J650" s="149" t="s">
        <v>7165</v>
      </c>
      <c r="K650" s="149" t="s">
        <v>7166</v>
      </c>
      <c r="L650" s="149" t="s">
        <v>7167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7165</v>
      </c>
      <c r="AC650" s="149" t="s">
        <v>7166</v>
      </c>
      <c r="AD650" s="149" t="s">
        <v>7167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>IF(AY650-KD650=0,"",AY650-O650)</f>
        <v/>
      </c>
      <c r="BD650" s="103" t="str">
        <f>IF(AND(AI650&lt;&gt;"SIM",AI650="UH"),"AA","INDENIZAÇÃO")</f>
        <v>AA</v>
      </c>
      <c r="BE650" s="103" t="str">
        <f>IF(AND(AY650&lt;&gt;"AGUARDANDO",AY650&lt;&gt;"",N650="AUXÍLIO ALUGUEL ATÉ INDENIZAÇÃO"),"SIM","NÃO")</f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7168</v>
      </c>
      <c r="G651" s="103" t="s">
        <v>4330</v>
      </c>
      <c r="H651" s="103" t="s">
        <v>4331</v>
      </c>
      <c r="I651" s="142" t="s">
        <v>4343</v>
      </c>
      <c r="J651" s="149" t="s">
        <v>7169</v>
      </c>
      <c r="K651" s="149" t="s">
        <v>7170</v>
      </c>
      <c r="L651" s="149" t="s">
        <v>7171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7169</v>
      </c>
      <c r="AC651" s="149" t="s">
        <v>7170</v>
      </c>
      <c r="AD651" s="149" t="s">
        <v>7171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>IF(AY651-KD651=0,"",AY651-O651)</f>
        <v/>
      </c>
      <c r="BD651" s="103" t="str">
        <f>IF(AND(AI651&lt;&gt;"SIM",AI651="UH"),"AA","INDENIZAÇÃO")</f>
        <v>AA</v>
      </c>
      <c r="BE651" s="103" t="str">
        <f>IF(AND(AY651&lt;&gt;"AGUARDANDO",AY651&lt;&gt;"",N651="AUXÍLIO ALUGUEL ATÉ INDENIZAÇÃO"),"SIM","NÃO")</f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7172</v>
      </c>
      <c r="G652" s="103" t="s">
        <v>4330</v>
      </c>
      <c r="H652" s="103" t="s">
        <v>4331</v>
      </c>
      <c r="I652" s="142" t="s">
        <v>7003</v>
      </c>
      <c r="J652" s="149" t="s">
        <v>7173</v>
      </c>
      <c r="K652" s="149" t="s">
        <v>7174</v>
      </c>
      <c r="L652" s="149" t="s">
        <v>7175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7173</v>
      </c>
      <c r="AC652" s="149" t="s">
        <v>7174</v>
      </c>
      <c r="AD652" s="149" t="s">
        <v>7175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>IF(AY652-KD652=0,"",AY652-O652)</f>
        <v/>
      </c>
      <c r="BD652" s="103" t="str">
        <f>IF(AND(AI652&lt;&gt;"SIM",AI652="UH"),"AA","INDENIZAÇÃO")</f>
        <v>AA</v>
      </c>
      <c r="BE652" s="103" t="str">
        <f>IF(AND(AY652&lt;&gt;"AGUARDANDO",AY652&lt;&gt;"",N652="AUXÍLIO ALUGUEL ATÉ INDENIZAÇÃO"),"SIM","NÃO")</f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7176</v>
      </c>
      <c r="G653" s="103" t="s">
        <v>4330</v>
      </c>
      <c r="H653" s="103" t="s">
        <v>4331</v>
      </c>
      <c r="I653" s="142" t="s">
        <v>4440</v>
      </c>
      <c r="J653" s="149" t="s">
        <v>7177</v>
      </c>
      <c r="K653" s="149" t="s">
        <v>7178</v>
      </c>
      <c r="L653" s="149" t="s">
        <v>7179</v>
      </c>
      <c r="M653" s="103" t="s">
        <v>4333</v>
      </c>
      <c r="N653" s="103" t="s">
        <v>4345</v>
      </c>
      <c r="O653" s="105">
        <v>46094</v>
      </c>
      <c r="P653" s="105">
        <v>46217</v>
      </c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49" t="s">
        <v>7180</v>
      </c>
      <c r="AC653" s="149" t="s">
        <v>7181</v>
      </c>
      <c r="AD653" s="149" t="s">
        <v>7182</v>
      </c>
      <c r="AE653" s="142" t="s">
        <v>4332</v>
      </c>
      <c r="AF653" s="142" t="s">
        <v>4343</v>
      </c>
      <c r="AG653" s="194">
        <v>117246.92</v>
      </c>
      <c r="AH653" s="194">
        <v>117246.92</v>
      </c>
      <c r="AI653" s="103" t="s">
        <v>4447</v>
      </c>
      <c r="AJ653" s="104" t="s">
        <v>4438</v>
      </c>
      <c r="AK653" s="103">
        <v>151553351</v>
      </c>
      <c r="AL653" s="142" t="s">
        <v>4338</v>
      </c>
      <c r="AM653" s="103" t="s">
        <v>4338</v>
      </c>
      <c r="AN653" s="103" t="s">
        <v>4339</v>
      </c>
      <c r="AO653" s="112"/>
      <c r="AP653" s="171" t="s">
        <v>7183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46170</v>
      </c>
      <c r="AV653" s="103" t="s">
        <v>4338</v>
      </c>
      <c r="AW653" s="103" t="s">
        <v>4338</v>
      </c>
      <c r="AX653" s="105">
        <v>46182</v>
      </c>
      <c r="AY653" s="106">
        <v>46179</v>
      </c>
      <c r="AZ653" s="106" t="s">
        <v>4453</v>
      </c>
      <c r="BA653" s="107" t="s">
        <v>4454</v>
      </c>
      <c r="BB653" s="112" t="s">
        <v>4338</v>
      </c>
      <c r="BC653" s="220">
        <f>IF(AY653-KD653=0,"",AY653-O653)</f>
        <v>85</v>
      </c>
      <c r="BD653" s="103" t="str">
        <f>IF(AND(AI653&lt;&gt;"SIM",AI653="UH"),"AA","INDENIZAÇÃO")</f>
        <v>INDENIZAÇÃO</v>
      </c>
      <c r="BE653" s="103" t="str">
        <f>IF(AND(AY653&lt;&gt;"AGUARDANDO",AY653&lt;&gt;"",N653="AUXÍLIO ALUGUEL ATÉ INDENIZAÇÃO"),"SIM","NÃO")</f>
        <v>NÃO</v>
      </c>
      <c r="BF653" s="112" t="s">
        <v>4357</v>
      </c>
      <c r="BG653" s="112" t="s">
        <v>4357</v>
      </c>
      <c r="BH653" s="112" t="s">
        <v>4357</v>
      </c>
      <c r="BI653" s="154" t="s">
        <v>5393</v>
      </c>
      <c r="BJ653" s="109"/>
      <c r="BK653" s="109"/>
      <c r="BL653" s="109"/>
      <c r="BM653" s="239"/>
    </row>
    <row r="654" spans="1:66" ht="30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7184</v>
      </c>
      <c r="G654" s="103" t="s">
        <v>4330</v>
      </c>
      <c r="H654" s="103" t="s">
        <v>4331</v>
      </c>
      <c r="I654" s="142" t="s">
        <v>4343</v>
      </c>
      <c r="J654" s="149" t="s">
        <v>7185</v>
      </c>
      <c r="K654" s="149" t="s">
        <v>7186</v>
      </c>
      <c r="L654" s="149" t="s">
        <v>7187</v>
      </c>
      <c r="M654" s="103" t="s">
        <v>4333</v>
      </c>
      <c r="N654" s="103" t="s">
        <v>4459</v>
      </c>
      <c r="O654" s="105">
        <v>46106</v>
      </c>
      <c r="P654" s="105" t="s">
        <v>4356</v>
      </c>
      <c r="Q654" s="105" t="s">
        <v>4356</v>
      </c>
      <c r="R654" s="105" t="s">
        <v>4356</v>
      </c>
      <c r="S654" s="105" t="s">
        <v>4356</v>
      </c>
      <c r="T654" s="105" t="s">
        <v>4356</v>
      </c>
      <c r="U654" s="105" t="s">
        <v>4356</v>
      </c>
      <c r="V654" s="105" t="s">
        <v>4356</v>
      </c>
      <c r="W654" s="105" t="s">
        <v>4356</v>
      </c>
      <c r="X654" s="105" t="s">
        <v>4356</v>
      </c>
      <c r="Y654" s="105" t="s">
        <v>4356</v>
      </c>
      <c r="Z654" s="105"/>
      <c r="AA654" s="105"/>
      <c r="AB654" s="149" t="s">
        <v>7185</v>
      </c>
      <c r="AC654" s="149" t="s">
        <v>7186</v>
      </c>
      <c r="AD654" s="149" t="s">
        <v>7187</v>
      </c>
      <c r="AE654" s="165" t="s">
        <v>4343</v>
      </c>
      <c r="AF654" s="165" t="s">
        <v>4333</v>
      </c>
      <c r="AG654" s="208">
        <v>208913.76</v>
      </c>
      <c r="AH654" s="208">
        <v>208913.76</v>
      </c>
      <c r="AI654" s="165" t="s">
        <v>4447</v>
      </c>
      <c r="AJ654" s="104" t="s">
        <v>4438</v>
      </c>
      <c r="AK654" s="103">
        <v>153362453</v>
      </c>
      <c r="AL654" s="142" t="s">
        <v>4338</v>
      </c>
      <c r="AM654" s="103" t="s">
        <v>4338</v>
      </c>
      <c r="AN654" s="103" t="s">
        <v>4339</v>
      </c>
      <c r="AO654" s="103"/>
      <c r="AP654" s="171" t="s">
        <v>7188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46153</v>
      </c>
      <c r="AV654" s="103" t="s">
        <v>4338</v>
      </c>
      <c r="AW654" s="103" t="s">
        <v>4338</v>
      </c>
      <c r="AX654" s="105">
        <v>46157</v>
      </c>
      <c r="AY654" s="106">
        <v>46157</v>
      </c>
      <c r="AZ654" s="106" t="s">
        <v>4453</v>
      </c>
      <c r="BA654" s="174" t="s">
        <v>4454</v>
      </c>
      <c r="BB654" s="136" t="s">
        <v>4338</v>
      </c>
      <c r="BC654" s="220">
        <f>IF(AY654-KD654=0,"",AY654-O654)</f>
        <v>51</v>
      </c>
      <c r="BD654" s="103" t="str">
        <f>IF(AND(AI654&lt;&gt;"SIM",AI654="UH"),"AA","INDENIZAÇÃO")</f>
        <v>INDENIZAÇÃO</v>
      </c>
      <c r="BE654" s="103" t="str">
        <f>IF(AND(AY654&lt;&gt;"AGUARDANDO",AY654&lt;&gt;"",N654="AUXÍLIO ALUGUEL ATÉ INDENIZAÇÃO"),"SIM","NÃO")</f>
        <v>NÃO</v>
      </c>
      <c r="BF654" s="140" t="s">
        <v>4357</v>
      </c>
      <c r="BG654" s="140" t="s">
        <v>4357</v>
      </c>
      <c r="BH654" s="140" t="s">
        <v>4357</v>
      </c>
      <c r="BI654" s="154" t="s">
        <v>5393</v>
      </c>
      <c r="BJ654" s="154"/>
      <c r="BK654" s="154"/>
      <c r="BL654" s="154"/>
      <c r="BM654" s="237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7189</v>
      </c>
      <c r="G655" s="103" t="s">
        <v>4330</v>
      </c>
      <c r="H655" s="103" t="s">
        <v>4331</v>
      </c>
      <c r="I655" s="142" t="s">
        <v>4343</v>
      </c>
      <c r="J655" s="149" t="s">
        <v>7190</v>
      </c>
      <c r="K655" s="149" t="s">
        <v>7191</v>
      </c>
      <c r="L655" s="149" t="s">
        <v>7192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7190</v>
      </c>
      <c r="AC655" s="149" t="s">
        <v>7191</v>
      </c>
      <c r="AD655" s="149" t="s">
        <v>7192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>IF(AY655-KD655=0,"",AY655-O655)</f>
        <v/>
      </c>
      <c r="BD655" s="103" t="str">
        <f>IF(AND(AI655&lt;&gt;"SIM",AI655="UH"),"AA","INDENIZAÇÃO")</f>
        <v>AA</v>
      </c>
      <c r="BE655" s="103" t="str">
        <f>IF(AND(AY655&lt;&gt;"AGUARDANDO",AY655&lt;&gt;"",N655="AUXÍLIO ALUGUEL ATÉ INDENIZAÇÃO"),"SIM","NÃO")</f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7193</v>
      </c>
      <c r="G656" s="103" t="s">
        <v>4330</v>
      </c>
      <c r="H656" s="103" t="s">
        <v>4331</v>
      </c>
      <c r="I656" s="142" t="s">
        <v>4440</v>
      </c>
      <c r="J656" s="149" t="s">
        <v>7194</v>
      </c>
      <c r="K656" s="149" t="s">
        <v>6580</v>
      </c>
      <c r="L656" s="149" t="s">
        <v>7195</v>
      </c>
      <c r="M656" s="103" t="s">
        <v>4333</v>
      </c>
      <c r="N656" s="103" t="s">
        <v>4345</v>
      </c>
      <c r="O656" s="105">
        <v>46079</v>
      </c>
      <c r="P656" s="105">
        <v>46002</v>
      </c>
      <c r="Q656" s="105" t="s">
        <v>4436</v>
      </c>
      <c r="R656" s="105">
        <v>45999</v>
      </c>
      <c r="S656" s="105">
        <v>46006</v>
      </c>
      <c r="T656" s="105">
        <v>46006</v>
      </c>
      <c r="U656" s="105">
        <v>46009</v>
      </c>
      <c r="V656" s="105" t="s">
        <v>4437</v>
      </c>
      <c r="W656" s="105" t="s">
        <v>4437</v>
      </c>
      <c r="X656" s="105">
        <v>46014</v>
      </c>
      <c r="Y656" s="105">
        <v>46020</v>
      </c>
      <c r="Z656" s="105"/>
      <c r="AA656" s="103"/>
      <c r="AB656" s="149" t="s">
        <v>7196</v>
      </c>
      <c r="AC656" s="149" t="s">
        <v>7197</v>
      </c>
      <c r="AD656" s="149" t="s">
        <v>7198</v>
      </c>
      <c r="AE656" s="142" t="s">
        <v>4332</v>
      </c>
      <c r="AF656" s="103" t="s">
        <v>4333</v>
      </c>
      <c r="AG656" s="194">
        <v>24631.83</v>
      </c>
      <c r="AH656" s="194">
        <v>24631.83</v>
      </c>
      <c r="AI656" s="103" t="s">
        <v>4336</v>
      </c>
      <c r="AJ656" s="104" t="s">
        <v>4438</v>
      </c>
      <c r="AK656" s="103">
        <v>150959722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7199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46210</v>
      </c>
      <c r="AY656" s="106">
        <v>46210</v>
      </c>
      <c r="AZ656" s="276" t="s">
        <v>4453</v>
      </c>
      <c r="BA656" s="107" t="s">
        <v>4454</v>
      </c>
      <c r="BB656" s="136" t="s">
        <v>4338</v>
      </c>
      <c r="BC656" s="220">
        <f>IF(AY656-KD656=0,"",AY656-O656)</f>
        <v>131</v>
      </c>
      <c r="BD656" s="103" t="str">
        <f>IF(AND(AI656&lt;&gt;"SIM",AI656="UH"),"AA","INDENIZAÇÃO")</f>
        <v>INDENIZAÇÃO</v>
      </c>
      <c r="BE656" s="103" t="str">
        <f>IF(AND(AY656&lt;&gt;"AGUARDANDO",AY656&lt;&gt;"",N656="AUXÍLIO ALUGUEL ATÉ INDENIZAÇÃO"),"SIM","NÃO")</f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7200</v>
      </c>
      <c r="G657" s="103" t="s">
        <v>4330</v>
      </c>
      <c r="H657" s="103" t="s">
        <v>4331</v>
      </c>
      <c r="I657" s="142" t="s">
        <v>4343</v>
      </c>
      <c r="J657" s="149" t="s">
        <v>7201</v>
      </c>
      <c r="K657" s="149" t="s">
        <v>7202</v>
      </c>
      <c r="L657" s="149" t="s">
        <v>7203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7201</v>
      </c>
      <c r="AC657" s="149" t="s">
        <v>7202</v>
      </c>
      <c r="AD657" s="149" t="s">
        <v>7203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>IF(AY657-KD657=0,"",AY657-O657)</f>
        <v/>
      </c>
      <c r="BD657" s="103" t="str">
        <f>IF(AND(AI657&lt;&gt;"SIM",AI657="UH"),"AA","INDENIZAÇÃO")</f>
        <v>INDENIZAÇÃO</v>
      </c>
      <c r="BE657" s="103" t="str">
        <f>IF(AND(AY657&lt;&gt;"AGUARDANDO",AY657&lt;&gt;"",N657="AUXÍLIO ALUGUEL ATÉ INDENIZAÇÃO"),"SIM","NÃO")</f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customHeight="1" x14ac:dyDescent="0.25">
      <c r="A658" s="165">
        <v>647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7204</v>
      </c>
      <c r="G658" s="103" t="s">
        <v>4330</v>
      </c>
      <c r="H658" s="103" t="s">
        <v>4331</v>
      </c>
      <c r="I658" s="142" t="s">
        <v>4343</v>
      </c>
      <c r="J658" s="149" t="s">
        <v>7205</v>
      </c>
      <c r="K658" s="149" t="s">
        <v>7206</v>
      </c>
      <c r="L658" s="149" t="s">
        <v>7207</v>
      </c>
      <c r="M658" s="103" t="s">
        <v>4333</v>
      </c>
      <c r="N658" s="103" t="s">
        <v>4459</v>
      </c>
      <c r="O658" s="105">
        <v>46002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7205</v>
      </c>
      <c r="AC658" s="149" t="s">
        <v>7206</v>
      </c>
      <c r="AD658" s="149" t="s">
        <v>7207</v>
      </c>
      <c r="AE658" s="103" t="s">
        <v>4343</v>
      </c>
      <c r="AF658" s="103" t="s">
        <v>4333</v>
      </c>
      <c r="AG658" s="194">
        <v>25529.98</v>
      </c>
      <c r="AH658" s="194">
        <f>AG658+30000</f>
        <v>55529.979999999996</v>
      </c>
      <c r="AI658" s="103" t="s">
        <v>4336</v>
      </c>
      <c r="AJ658" s="104" t="s">
        <v>4438</v>
      </c>
      <c r="AK658" s="103">
        <v>150614435</v>
      </c>
      <c r="AL658" s="103" t="s">
        <v>4338</v>
      </c>
      <c r="AM658" s="103" t="s">
        <v>4338</v>
      </c>
      <c r="AN658" s="103" t="s">
        <v>4339</v>
      </c>
      <c r="AO658" s="103"/>
      <c r="AP658" s="171" t="s">
        <v>7208</v>
      </c>
      <c r="AQ658" s="103" t="s">
        <v>4338</v>
      </c>
      <c r="AR658" s="103" t="s">
        <v>4338</v>
      </c>
      <c r="AS658" s="103" t="s">
        <v>4338</v>
      </c>
      <c r="AT658" s="103" t="s">
        <v>4338</v>
      </c>
      <c r="AU658" s="105">
        <v>46128</v>
      </c>
      <c r="AV658" s="103" t="s">
        <v>4338</v>
      </c>
      <c r="AW658" s="103" t="s">
        <v>4338</v>
      </c>
      <c r="AX658" s="105">
        <v>46139</v>
      </c>
      <c r="AY658" s="106">
        <v>46139</v>
      </c>
      <c r="AZ658" s="106" t="s">
        <v>4453</v>
      </c>
      <c r="BA658" s="174" t="s">
        <v>4454</v>
      </c>
      <c r="BB658" s="136" t="s">
        <v>4338</v>
      </c>
      <c r="BC658" s="220">
        <f>IF(AY658-KD658=0,"",AY658-O658)</f>
        <v>137</v>
      </c>
      <c r="BD658" s="103" t="str">
        <f>IF(AND(AI658&lt;&gt;"SIM",AI658="UH"),"AA","INDENIZAÇÃO")</f>
        <v>INDENIZAÇÃO</v>
      </c>
      <c r="BE658" s="103" t="str">
        <f>IF(AND(AY658&lt;&gt;"AGUARDANDO",AY658&lt;&gt;"",N658="AUXÍLIO ALUGUEL ATÉ INDENIZAÇÃO"),"SIM","NÃO")</f>
        <v>NÃO</v>
      </c>
      <c r="BF658" s="112" t="s">
        <v>4357</v>
      </c>
      <c r="BG658" s="112" t="s">
        <v>4357</v>
      </c>
      <c r="BH658" s="112" t="s">
        <v>4357</v>
      </c>
      <c r="BI658" s="109" t="s">
        <v>5393</v>
      </c>
      <c r="BJ658" s="109"/>
      <c r="BK658" s="109"/>
      <c r="BL658" s="109"/>
      <c r="BM658" s="239"/>
      <c r="BN658" s="231"/>
    </row>
    <row r="659" spans="1:69" ht="30" customHeight="1" x14ac:dyDescent="0.25">
      <c r="A659" s="165">
        <v>648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7209</v>
      </c>
      <c r="G659" s="103" t="s">
        <v>4330</v>
      </c>
      <c r="H659" s="103" t="s">
        <v>4331</v>
      </c>
      <c r="I659" s="142" t="s">
        <v>4343</v>
      </c>
      <c r="J659" s="149" t="s">
        <v>7210</v>
      </c>
      <c r="K659" s="149" t="s">
        <v>7211</v>
      </c>
      <c r="L659" s="149" t="s">
        <v>7212</v>
      </c>
      <c r="M659" s="103" t="s">
        <v>4333</v>
      </c>
      <c r="N659" s="103" t="s">
        <v>4459</v>
      </c>
      <c r="O659" s="105">
        <v>46045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05"/>
      <c r="AB659" s="149" t="s">
        <v>7210</v>
      </c>
      <c r="AC659" s="149" t="s">
        <v>7211</v>
      </c>
      <c r="AD659" s="149" t="s">
        <v>7212</v>
      </c>
      <c r="AE659" s="103" t="s">
        <v>4343</v>
      </c>
      <c r="AF659" s="103" t="s">
        <v>4333</v>
      </c>
      <c r="AG659" s="194">
        <v>1249.72</v>
      </c>
      <c r="AH659" s="194">
        <f>AG659+30000</f>
        <v>31249.72</v>
      </c>
      <c r="AI659" s="103" t="s">
        <v>4336</v>
      </c>
      <c r="AJ659" s="104" t="s">
        <v>4438</v>
      </c>
      <c r="AK659" s="103">
        <v>148267354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7213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46084</v>
      </c>
      <c r="AV659" s="112" t="s">
        <v>4338</v>
      </c>
      <c r="AW659" s="112" t="s">
        <v>4338</v>
      </c>
      <c r="AX659" s="111">
        <v>46092</v>
      </c>
      <c r="AY659" s="157">
        <v>46092</v>
      </c>
      <c r="AZ659" s="157" t="s">
        <v>4453</v>
      </c>
      <c r="BA659" s="174" t="s">
        <v>4454</v>
      </c>
      <c r="BB659" s="136" t="s">
        <v>4338</v>
      </c>
      <c r="BC659" s="220">
        <f>IF(AY659-KD659=0,"",AY659-O659)</f>
        <v>47</v>
      </c>
      <c r="BD659" s="103" t="str">
        <f>IF(AND(AI659&lt;&gt;"SIM",AI659="UH"),"AA","INDENIZAÇÃO")</f>
        <v>INDENIZAÇÃO</v>
      </c>
      <c r="BE659" s="103" t="str">
        <f>IF(AND(AY659&lt;&gt;"AGUARDANDO",AY659&lt;&gt;"",N659="AUXÍLIO ALUGUEL ATÉ INDENIZAÇÃO"),"SIM","NÃO")</f>
        <v>NÃO</v>
      </c>
      <c r="BF659" s="140" t="s">
        <v>4357</v>
      </c>
      <c r="BG659" s="140" t="s">
        <v>4357</v>
      </c>
      <c r="BH659" s="140" t="s">
        <v>4357</v>
      </c>
      <c r="BI659" s="154" t="s">
        <v>5393</v>
      </c>
      <c r="BJ659" s="154"/>
      <c r="BK659" s="154"/>
      <c r="BL659" s="154"/>
      <c r="BM659" s="237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7214</v>
      </c>
      <c r="G660" s="103" t="s">
        <v>4330</v>
      </c>
      <c r="H660" s="103" t="s">
        <v>4331</v>
      </c>
      <c r="I660" s="142" t="s">
        <v>4343</v>
      </c>
      <c r="J660" s="114" t="s">
        <v>7215</v>
      </c>
      <c r="K660" s="149" t="s">
        <v>7216</v>
      </c>
      <c r="L660" s="149" t="s">
        <v>7217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7215</v>
      </c>
      <c r="AC660" s="149" t="s">
        <v>7216</v>
      </c>
      <c r="AD660" s="149" t="s">
        <v>7217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>IF(AY660-KD660=0,"",AY660-O660)</f>
        <v/>
      </c>
      <c r="BD660" s="103" t="str">
        <f>IF(AND(AI660&lt;&gt;"SIM",AI660="UH"),"AA","INDENIZAÇÃO")</f>
        <v>AA</v>
      </c>
      <c r="BE660" s="103" t="str">
        <f>IF(AND(AY660&lt;&gt;"AGUARDANDO",AY660&lt;&gt;"",N660="AUXÍLIO ALUGUEL ATÉ INDENIZAÇÃO"),"SIM","NÃO")</f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7218</v>
      </c>
      <c r="G661" s="103" t="s">
        <v>4330</v>
      </c>
      <c r="H661" s="103" t="s">
        <v>4331</v>
      </c>
      <c r="I661" s="142" t="s">
        <v>4343</v>
      </c>
      <c r="J661" s="114" t="s">
        <v>7219</v>
      </c>
      <c r="K661" s="149" t="s">
        <v>7220</v>
      </c>
      <c r="L661" s="149" t="s">
        <v>7221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7219</v>
      </c>
      <c r="AC661" s="149" t="s">
        <v>7220</v>
      </c>
      <c r="AD661" s="149" t="s">
        <v>7221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>IF(AY661-KD661=0,"",AY661-O661)</f>
        <v/>
      </c>
      <c r="BD661" s="103" t="str">
        <f>IF(AND(AI661&lt;&gt;"SIM",AI661="UH"),"AA","INDENIZAÇÃO")</f>
        <v>AA</v>
      </c>
      <c r="BE661" s="103" t="str">
        <f>IF(AND(AY661&lt;&gt;"AGUARDANDO",AY661&lt;&gt;"",N661="AUXÍLIO ALUGUEL ATÉ INDENIZAÇÃO"),"SIM","NÃO")</f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7222</v>
      </c>
      <c r="G662" s="103" t="s">
        <v>4330</v>
      </c>
      <c r="H662" s="103" t="s">
        <v>4331</v>
      </c>
      <c r="I662" s="142" t="s">
        <v>4343</v>
      </c>
      <c r="J662" s="149" t="s">
        <v>7223</v>
      </c>
      <c r="K662" s="149" t="s">
        <v>4457</v>
      </c>
      <c r="L662" s="149" t="s">
        <v>7224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7223</v>
      </c>
      <c r="AC662" s="149" t="s">
        <v>4457</v>
      </c>
      <c r="AD662" s="149" t="s">
        <v>7224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>IF(AY662-KD662=0,"",AY662-O662)</f>
        <v/>
      </c>
      <c r="BD662" s="103" t="str">
        <f>IF(AND(AI662&lt;&gt;"SIM",AI662="UH"),"AA","INDENIZAÇÃO")</f>
        <v>INDENIZAÇÃO</v>
      </c>
      <c r="BE662" s="103" t="str">
        <f>IF(AND(AY662&lt;&gt;"AGUARDANDO",AY662&lt;&gt;"",N662="AUXÍLIO ALUGUEL ATÉ INDENIZAÇÃO"),"SIM","NÃO")</f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7225</v>
      </c>
      <c r="G663" s="103" t="s">
        <v>4330</v>
      </c>
      <c r="H663" s="103" t="s">
        <v>4331</v>
      </c>
      <c r="I663" s="142" t="s">
        <v>4440</v>
      </c>
      <c r="J663" s="149" t="s">
        <v>7226</v>
      </c>
      <c r="K663" s="149" t="s">
        <v>7227</v>
      </c>
      <c r="L663" s="149" t="s">
        <v>7228</v>
      </c>
      <c r="M663" s="103" t="s">
        <v>4333</v>
      </c>
      <c r="N663" s="103" t="s">
        <v>4345</v>
      </c>
      <c r="O663" s="105">
        <v>46093</v>
      </c>
      <c r="P663" s="105">
        <v>46058</v>
      </c>
      <c r="Q663" s="108" t="s">
        <v>4436</v>
      </c>
      <c r="R663" s="105">
        <v>46058</v>
      </c>
      <c r="S663" s="105">
        <v>46058</v>
      </c>
      <c r="T663" s="105">
        <v>46059</v>
      </c>
      <c r="U663" s="105">
        <v>46063</v>
      </c>
      <c r="V663" s="105" t="s">
        <v>4437</v>
      </c>
      <c r="W663" s="105" t="s">
        <v>4437</v>
      </c>
      <c r="X663" s="108">
        <v>46073</v>
      </c>
      <c r="Y663" s="105" t="s">
        <v>4457</v>
      </c>
      <c r="Z663" s="105"/>
      <c r="AA663" s="103" t="s">
        <v>6159</v>
      </c>
      <c r="AB663" s="149" t="s">
        <v>7229</v>
      </c>
      <c r="AC663" s="149" t="s">
        <v>7230</v>
      </c>
      <c r="AD663" s="149" t="s">
        <v>7231</v>
      </c>
      <c r="AE663" s="142" t="s">
        <v>4332</v>
      </c>
      <c r="AF663" s="103" t="s">
        <v>4333</v>
      </c>
      <c r="AG663" s="194">
        <v>12254.75</v>
      </c>
      <c r="AH663" s="194">
        <v>12254.75</v>
      </c>
      <c r="AI663" s="103" t="s">
        <v>4336</v>
      </c>
      <c r="AJ663" s="104" t="s">
        <v>4438</v>
      </c>
      <c r="AK663" s="103">
        <v>154260453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7232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46170</v>
      </c>
      <c r="AV663" s="103" t="s">
        <v>4338</v>
      </c>
      <c r="AW663" s="103" t="s">
        <v>4338</v>
      </c>
      <c r="AX663" s="105">
        <v>46182</v>
      </c>
      <c r="AY663" s="106">
        <v>46182</v>
      </c>
      <c r="AZ663" s="106" t="s">
        <v>4453</v>
      </c>
      <c r="BA663" s="107" t="s">
        <v>4454</v>
      </c>
      <c r="BB663" s="136" t="s">
        <v>4338</v>
      </c>
      <c r="BC663" s="220">
        <f>IF(AY663-KD663=0,"",AY663-O663)</f>
        <v>89</v>
      </c>
      <c r="BD663" s="103" t="str">
        <f>IF(AND(AI663&lt;&gt;"SIM",AI663="UH"),"AA","INDENIZAÇÃO")</f>
        <v>INDENIZAÇÃO</v>
      </c>
      <c r="BE663" s="103" t="str">
        <f>IF(AND(AY663&lt;&gt;"AGUARDANDO",AY663&lt;&gt;"",N663="AUXÍLIO ALUGUEL ATÉ INDENIZAÇÃO"),"SIM","NÃO")</f>
        <v>NÃO</v>
      </c>
      <c r="BF663" s="140" t="s">
        <v>4357</v>
      </c>
      <c r="BG663" s="140" t="s">
        <v>4357</v>
      </c>
      <c r="BH663" s="140" t="s">
        <v>4357</v>
      </c>
      <c r="BI663" s="154" t="s">
        <v>5393</v>
      </c>
      <c r="BJ663" s="154"/>
      <c r="BK663" s="154"/>
      <c r="BL663" s="154"/>
      <c r="BM663" s="237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7233</v>
      </c>
      <c r="G664" s="103" t="s">
        <v>4330</v>
      </c>
      <c r="H664" s="103" t="s">
        <v>4331</v>
      </c>
      <c r="I664" s="142" t="s">
        <v>4343</v>
      </c>
      <c r="J664" s="149" t="s">
        <v>7234</v>
      </c>
      <c r="K664" s="149" t="s">
        <v>7235</v>
      </c>
      <c r="L664" s="149" t="s">
        <v>7236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7234</v>
      </c>
      <c r="AC664" s="149" t="s">
        <v>7235</v>
      </c>
      <c r="AD664" s="149" t="s">
        <v>7236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>IF(AY664-KD664=0,"",AY664-O664)</f>
        <v/>
      </c>
      <c r="BD664" s="103" t="str">
        <f>IF(AND(AI664&lt;&gt;"SIM",AI664="UH"),"AA","INDENIZAÇÃO")</f>
        <v>AA</v>
      </c>
      <c r="BE664" s="103" t="str">
        <f>IF(AND(AY664&lt;&gt;"AGUARDANDO",AY664&lt;&gt;"",N664="AUXÍLIO ALUGUEL ATÉ INDENIZAÇÃO"),"SIM","NÃO")</f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7237</v>
      </c>
      <c r="G665" s="103" t="s">
        <v>4330</v>
      </c>
      <c r="H665" s="103" t="s">
        <v>4331</v>
      </c>
      <c r="I665" s="142" t="s">
        <v>4343</v>
      </c>
      <c r="J665" s="149" t="s">
        <v>7238</v>
      </c>
      <c r="K665" s="149" t="s">
        <v>7239</v>
      </c>
      <c r="L665" s="149" t="s">
        <v>7240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7238</v>
      </c>
      <c r="AC665" s="149" t="s">
        <v>7239</v>
      </c>
      <c r="AD665" s="149" t="s">
        <v>7240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>IF(AY665-KD665=0,"",AY665-O665)</f>
        <v/>
      </c>
      <c r="BD665" s="103" t="str">
        <f>IF(AND(AI665&lt;&gt;"SIM",AI665="UH"),"AA","INDENIZAÇÃO")</f>
        <v>AA</v>
      </c>
      <c r="BE665" s="103" t="str">
        <f>IF(AND(AY665&lt;&gt;"AGUARDANDO",AY665&lt;&gt;"",N665="AUXÍLIO ALUGUEL ATÉ INDENIZAÇÃO"),"SIM","NÃO")</f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7241</v>
      </c>
      <c r="G666" s="103" t="s">
        <v>4330</v>
      </c>
      <c r="H666" s="103" t="s">
        <v>4331</v>
      </c>
      <c r="I666" s="142" t="s">
        <v>4343</v>
      </c>
      <c r="J666" s="149" t="s">
        <v>7242</v>
      </c>
      <c r="K666" s="149" t="s">
        <v>7243</v>
      </c>
      <c r="L666" s="149" t="s">
        <v>7244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7245</v>
      </c>
      <c r="AB666" s="149" t="s">
        <v>7242</v>
      </c>
      <c r="AC666" s="149" t="s">
        <v>7243</v>
      </c>
      <c r="AD666" s="149" t="s">
        <v>7244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>IF(AY666-KD666=0,"",AY666-O666)</f>
        <v/>
      </c>
      <c r="BD666" s="103" t="str">
        <f>IF(AND(AI666&lt;&gt;"SIM",AI666="UH"),"AA","INDENIZAÇÃO")</f>
        <v>AA</v>
      </c>
      <c r="BE666" s="103" t="str">
        <f>IF(AND(AY666&lt;&gt;"AGUARDANDO",AY666&lt;&gt;"",N666="AUXÍLIO ALUGUEL ATÉ INDENIZAÇÃO"),"SIM","NÃO")</f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7246</v>
      </c>
      <c r="G667" s="103" t="s">
        <v>4330</v>
      </c>
      <c r="H667" s="103" t="s">
        <v>4331</v>
      </c>
      <c r="I667" s="142" t="s">
        <v>4343</v>
      </c>
      <c r="J667" s="149" t="s">
        <v>7247</v>
      </c>
      <c r="K667" s="149" t="s">
        <v>7248</v>
      </c>
      <c r="L667" s="149" t="s">
        <v>7249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7247</v>
      </c>
      <c r="AC667" s="149" t="s">
        <v>7248</v>
      </c>
      <c r="AD667" s="149" t="s">
        <v>7249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>IF(AY667-KD667=0,"",AY667-O667)</f>
        <v/>
      </c>
      <c r="BD667" s="103" t="str">
        <f>IF(AND(AI667&lt;&gt;"SIM",AI667="UH"),"AA","INDENIZAÇÃO")</f>
        <v>AA</v>
      </c>
      <c r="BE667" s="103" t="str">
        <f>IF(AND(AY667&lt;&gt;"AGUARDANDO",AY667&lt;&gt;"",N667="AUXÍLIO ALUGUEL ATÉ INDENIZAÇÃO"),"SIM","NÃO")</f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7250</v>
      </c>
      <c r="G668" s="103" t="s">
        <v>4330</v>
      </c>
      <c r="H668" s="103" t="s">
        <v>4331</v>
      </c>
      <c r="I668" s="142" t="s">
        <v>4343</v>
      </c>
      <c r="J668" s="149" t="s">
        <v>7251</v>
      </c>
      <c r="K668" s="149" t="s">
        <v>4457</v>
      </c>
      <c r="L668" s="149" t="s">
        <v>7252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7251</v>
      </c>
      <c r="AC668" s="149" t="s">
        <v>4457</v>
      </c>
      <c r="AD668" s="149" t="s">
        <v>7252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>IF(AY668-KD668=0,"",AY668-O668)</f>
        <v/>
      </c>
      <c r="BD668" s="103" t="str">
        <f>IF(AND(AI668&lt;&gt;"SIM",AI668="UH"),"AA","INDENIZAÇÃO")</f>
        <v>AA</v>
      </c>
      <c r="BE668" s="103" t="str">
        <f>IF(AND(AY668&lt;&gt;"AGUARDANDO",AY668&lt;&gt;"",N668="AUXÍLIO ALUGUEL ATÉ INDENIZAÇÃO"),"SIM","NÃO")</f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7253</v>
      </c>
      <c r="G669" s="103" t="s">
        <v>4330</v>
      </c>
      <c r="H669" s="103" t="s">
        <v>4331</v>
      </c>
      <c r="I669" s="142" t="s">
        <v>4343</v>
      </c>
      <c r="J669" s="149" t="s">
        <v>7254</v>
      </c>
      <c r="K669" s="149" t="s">
        <v>7255</v>
      </c>
      <c r="L669" s="149" t="s">
        <v>7256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7257</v>
      </c>
      <c r="AB669" s="149" t="s">
        <v>7254</v>
      </c>
      <c r="AC669" s="149" t="s">
        <v>7255</v>
      </c>
      <c r="AD669" s="149" t="s">
        <v>7256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>IF(AY669-KD669=0,"",AY669-O669)</f>
        <v/>
      </c>
      <c r="BD669" s="103" t="str">
        <f>IF(AND(AI669&lt;&gt;"SIM",AI669="UH"),"AA","INDENIZAÇÃO")</f>
        <v>AA</v>
      </c>
      <c r="BE669" s="103" t="str">
        <f>IF(AND(AY669&lt;&gt;"AGUARDANDO",AY669&lt;&gt;"",N669="AUXÍLIO ALUGUEL ATÉ INDENIZAÇÃO"),"SIM","NÃO")</f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7258</v>
      </c>
      <c r="G670" s="103" t="s">
        <v>4330</v>
      </c>
      <c r="H670" s="103" t="s">
        <v>4331</v>
      </c>
      <c r="I670" s="142" t="s">
        <v>4343</v>
      </c>
      <c r="J670" s="149" t="s">
        <v>7259</v>
      </c>
      <c r="K670" s="149" t="s">
        <v>7260</v>
      </c>
      <c r="L670" s="149" t="s">
        <v>7261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7259</v>
      </c>
      <c r="AC670" s="149" t="s">
        <v>7260</v>
      </c>
      <c r="AD670" s="149" t="s">
        <v>7261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>IF(AY670-KD670=0,"",AY670-O670)</f>
        <v/>
      </c>
      <c r="BD670" s="103" t="str">
        <f>IF(AND(AI670&lt;&gt;"SIM",AI670="UH"),"AA","INDENIZAÇÃO")</f>
        <v>AA</v>
      </c>
      <c r="BE670" s="103" t="str">
        <f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 x14ac:dyDescent="0.25">
      <c r="A671" s="165">
        <v>660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7262</v>
      </c>
      <c r="G671" s="103" t="s">
        <v>4330</v>
      </c>
      <c r="H671" s="103" t="s">
        <v>4331</v>
      </c>
      <c r="I671" s="103" t="s">
        <v>4343</v>
      </c>
      <c r="J671" s="149" t="s">
        <v>7263</v>
      </c>
      <c r="K671" s="175" t="s">
        <v>6580</v>
      </c>
      <c r="L671" s="149" t="s">
        <v>7264</v>
      </c>
      <c r="M671" s="103" t="s">
        <v>4333</v>
      </c>
      <c r="N671" s="103" t="s">
        <v>4459</v>
      </c>
      <c r="O671" s="105">
        <v>46093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5"/>
      <c r="AB671" s="204" t="s">
        <v>7263</v>
      </c>
      <c r="AC671" s="263" t="s">
        <v>6580</v>
      </c>
      <c r="AD671" s="204" t="s">
        <v>7264</v>
      </c>
      <c r="AE671" s="165" t="s">
        <v>4343</v>
      </c>
      <c r="AF671" s="165" t="s">
        <v>4333</v>
      </c>
      <c r="AG671" s="208">
        <v>9643.0400000000009</v>
      </c>
      <c r="AH671" s="208">
        <v>39643.040000000001</v>
      </c>
      <c r="AI671" s="165" t="s">
        <v>4447</v>
      </c>
      <c r="AJ671" s="104" t="s">
        <v>4438</v>
      </c>
      <c r="AK671" s="103">
        <v>151553826</v>
      </c>
      <c r="AL671" s="142" t="s">
        <v>4338</v>
      </c>
      <c r="AM671" s="103" t="s">
        <v>4338</v>
      </c>
      <c r="AN671" s="103" t="s">
        <v>4339</v>
      </c>
      <c r="AO671" s="112"/>
      <c r="AP671" s="171" t="s">
        <v>7265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46150</v>
      </c>
      <c r="AV671" s="103" t="s">
        <v>4338</v>
      </c>
      <c r="AW671" s="103" t="s">
        <v>4338</v>
      </c>
      <c r="AX671" s="105">
        <v>46157</v>
      </c>
      <c r="AY671" s="106">
        <v>46157</v>
      </c>
      <c r="AZ671" s="106" t="s">
        <v>4453</v>
      </c>
      <c r="BA671" s="107" t="s">
        <v>4454</v>
      </c>
      <c r="BB671" s="136" t="s">
        <v>4338</v>
      </c>
      <c r="BC671" s="220">
        <f>IF(AY671-KD671=0,"",AY671-O671)</f>
        <v>64</v>
      </c>
      <c r="BD671" s="103" t="str">
        <f>IF(AND(AI671&lt;&gt;"SIM",AI671="UH"),"AA","INDENIZAÇÃO")</f>
        <v>INDENIZAÇÃO</v>
      </c>
      <c r="BE671" s="103" t="str">
        <f>IF(AND(AY671&lt;&gt;"AGUARDANDO",AY671&lt;&gt;"",N671="AUXÍLIO ALUGUEL ATÉ INDENIZAÇÃO"),"SIM","NÃO")</f>
        <v>NÃO</v>
      </c>
      <c r="BF671" s="140" t="s">
        <v>4357</v>
      </c>
      <c r="BG671" s="140" t="s">
        <v>4357</v>
      </c>
      <c r="BH671" s="140" t="s">
        <v>4357</v>
      </c>
      <c r="BI671" s="154" t="s">
        <v>5393</v>
      </c>
      <c r="BJ671" s="154"/>
      <c r="BK671" s="154"/>
      <c r="BL671" s="154"/>
      <c r="BM671" s="237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7266</v>
      </c>
      <c r="G672" s="103" t="s">
        <v>4330</v>
      </c>
      <c r="H672" s="103" t="s">
        <v>4331</v>
      </c>
      <c r="I672" s="142" t="s">
        <v>4343</v>
      </c>
      <c r="J672" s="149" t="s">
        <v>7267</v>
      </c>
      <c r="K672" s="149" t="s">
        <v>7268</v>
      </c>
      <c r="L672" s="149" t="s">
        <v>7269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7267</v>
      </c>
      <c r="AC672" s="149" t="s">
        <v>7268</v>
      </c>
      <c r="AD672" s="149" t="s">
        <v>7269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>IF(AY672-KD672=0,"",AY672-O672)</f>
        <v/>
      </c>
      <c r="BD672" s="103" t="str">
        <f>IF(AND(AI672&lt;&gt;"SIM",AI672="UH"),"AA","INDENIZAÇÃO")</f>
        <v>AA</v>
      </c>
      <c r="BE672" s="103" t="str">
        <f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7270</v>
      </c>
      <c r="G673" s="103" t="s">
        <v>4330</v>
      </c>
      <c r="H673" s="103" t="s">
        <v>4331</v>
      </c>
      <c r="I673" s="142" t="s">
        <v>4343</v>
      </c>
      <c r="J673" s="149" t="s">
        <v>7271</v>
      </c>
      <c r="K673" s="149" t="s">
        <v>7272</v>
      </c>
      <c r="L673" s="149" t="s">
        <v>7273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7271</v>
      </c>
      <c r="AC673" s="149" t="s">
        <v>7272</v>
      </c>
      <c r="AD673" s="149" t="s">
        <v>7273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>IF(AY673-KD673=0,"",AY673-O673)</f>
        <v/>
      </c>
      <c r="BD673" s="103" t="str">
        <f>IF(AND(AI673&lt;&gt;"SIM",AI673="UH"),"AA","INDENIZAÇÃO")</f>
        <v>AA</v>
      </c>
      <c r="BE673" s="103" t="str">
        <f>IF(AND(AY673&lt;&gt;"AGUARDANDO",AY673&lt;&gt;"",N673="AUXÍLIO ALUGUEL ATÉ INDENIZAÇÃO"),"SIM","NÃO")</f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7274</v>
      </c>
      <c r="G674" s="103" t="s">
        <v>4330</v>
      </c>
      <c r="H674" s="103" t="s">
        <v>4331</v>
      </c>
      <c r="I674" s="142" t="s">
        <v>4343</v>
      </c>
      <c r="J674" s="150" t="s">
        <v>7275</v>
      </c>
      <c r="K674" s="149" t="s">
        <v>7276</v>
      </c>
      <c r="L674" s="149" t="s">
        <v>7277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7275</v>
      </c>
      <c r="AC674" s="149" t="s">
        <v>7276</v>
      </c>
      <c r="AD674" s="149" t="s">
        <v>7277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>IF(AY674-KD674=0,"",AY674-O674)</f>
        <v/>
      </c>
      <c r="BD674" s="103" t="str">
        <f>IF(AND(AI674&lt;&gt;"SIM",AI674="UH"),"AA","INDENIZAÇÃO")</f>
        <v>AA</v>
      </c>
      <c r="BE674" s="103" t="str">
        <f>IF(AND(AY674&lt;&gt;"AGUARDANDO",AY674&lt;&gt;"",N674="AUXÍLIO ALUGUEL ATÉ INDENIZAÇÃO"),"SIM","NÃO")</f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7278</v>
      </c>
      <c r="G675" s="103" t="s">
        <v>4330</v>
      </c>
      <c r="H675" s="103" t="s">
        <v>4331</v>
      </c>
      <c r="I675" s="142" t="s">
        <v>4343</v>
      </c>
      <c r="J675" s="150" t="s">
        <v>7279</v>
      </c>
      <c r="K675" s="149" t="s">
        <v>7280</v>
      </c>
      <c r="L675" s="149" t="s">
        <v>7281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7279</v>
      </c>
      <c r="AC675" s="149" t="s">
        <v>7280</v>
      </c>
      <c r="AD675" s="149" t="s">
        <v>7281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>IF(AY675-KD675=0,"",AY675-O675)</f>
        <v/>
      </c>
      <c r="BD675" s="103" t="str">
        <f>IF(AND(AI675&lt;&gt;"SIM",AI675="UH"),"AA","INDENIZAÇÃO")</f>
        <v>AA</v>
      </c>
      <c r="BE675" s="103" t="str">
        <f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7282</v>
      </c>
      <c r="G676" s="103" t="s">
        <v>4330</v>
      </c>
      <c r="H676" s="103" t="s">
        <v>4331</v>
      </c>
      <c r="I676" s="142" t="s">
        <v>4343</v>
      </c>
      <c r="J676" s="150" t="s">
        <v>7283</v>
      </c>
      <c r="K676" s="149" t="s">
        <v>4457</v>
      </c>
      <c r="L676" s="149" t="s">
        <v>7284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7283</v>
      </c>
      <c r="AC676" s="149" t="s">
        <v>4457</v>
      </c>
      <c r="AD676" s="149" t="s">
        <v>7284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>IF(AY676-KD676=0,"",AY676-O676)</f>
        <v/>
      </c>
      <c r="BD676" s="103" t="str">
        <f>IF(AND(AI676&lt;&gt;"SIM",AI676="UH"),"AA","INDENIZAÇÃO")</f>
        <v>AA</v>
      </c>
      <c r="BE676" s="103" t="str">
        <f>IF(AND(AY676&lt;&gt;"AGUARDANDO",AY676&lt;&gt;"",N676="AUXÍLIO ALUGUEL ATÉ INDENIZAÇÃO"),"SIM","NÃO")</f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7285</v>
      </c>
      <c r="G677" s="103" t="s">
        <v>4330</v>
      </c>
      <c r="H677" s="103" t="s">
        <v>4331</v>
      </c>
      <c r="I677" s="142" t="s">
        <v>4343</v>
      </c>
      <c r="J677" s="150" t="s">
        <v>7286</v>
      </c>
      <c r="K677" s="149" t="s">
        <v>7287</v>
      </c>
      <c r="L677" s="149" t="s">
        <v>7288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7286</v>
      </c>
      <c r="AC677" s="149" t="s">
        <v>7287</v>
      </c>
      <c r="AD677" s="149" t="s">
        <v>7288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>IF(AY677-KD677=0,"",AY677-O677)</f>
        <v/>
      </c>
      <c r="BD677" s="103" t="str">
        <f>IF(AND(AI677&lt;&gt;"SIM",AI677="UH"),"AA","INDENIZAÇÃO")</f>
        <v>AA</v>
      </c>
      <c r="BE677" s="103" t="str">
        <f>IF(AND(AY677&lt;&gt;"AGUARDANDO",AY677&lt;&gt;"",N677="AUXÍLIO ALUGUEL ATÉ INDENIZAÇÃO"),"SIM","NÃO")</f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7289</v>
      </c>
      <c r="G678" s="103" t="s">
        <v>4330</v>
      </c>
      <c r="H678" s="103" t="s">
        <v>4331</v>
      </c>
      <c r="I678" s="142" t="s">
        <v>4343</v>
      </c>
      <c r="J678" s="150" t="s">
        <v>7290</v>
      </c>
      <c r="K678" s="149" t="s">
        <v>7291</v>
      </c>
      <c r="L678" s="149" t="s">
        <v>7292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7290</v>
      </c>
      <c r="AC678" s="149" t="s">
        <v>7291</v>
      </c>
      <c r="AD678" s="149" t="s">
        <v>7292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>IF(AY678-KD678=0,"",AY678-O678)</f>
        <v/>
      </c>
      <c r="BD678" s="103" t="str">
        <f>IF(AND(AI678&lt;&gt;"SIM",AI678="UH"),"AA","INDENIZAÇÃO")</f>
        <v>AA</v>
      </c>
      <c r="BE678" s="103" t="str">
        <f>IF(AND(AY678&lt;&gt;"AGUARDANDO",AY678&lt;&gt;"",N678="AUXÍLIO ALUGUEL ATÉ INDENIZAÇÃO"),"SIM","NÃO")</f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7293</v>
      </c>
      <c r="G679" s="103" t="s">
        <v>4330</v>
      </c>
      <c r="H679" s="103" t="s">
        <v>4352</v>
      </c>
      <c r="I679" s="142" t="s">
        <v>4343</v>
      </c>
      <c r="J679" s="149" t="s">
        <v>7294</v>
      </c>
      <c r="K679" s="149" t="s">
        <v>7295</v>
      </c>
      <c r="L679" s="149" t="s">
        <v>7296</v>
      </c>
      <c r="M679" s="103" t="s">
        <v>4333</v>
      </c>
      <c r="N679" s="103" t="s">
        <v>4459</v>
      </c>
      <c r="O679" s="105">
        <v>45980</v>
      </c>
      <c r="P679" s="105" t="s">
        <v>4356</v>
      </c>
      <c r="Q679" s="105" t="s">
        <v>4356</v>
      </c>
      <c r="R679" s="105" t="s">
        <v>4356</v>
      </c>
      <c r="S679" s="105" t="s">
        <v>4356</v>
      </c>
      <c r="T679" s="105" t="s">
        <v>4356</v>
      </c>
      <c r="U679" s="105" t="s">
        <v>4356</v>
      </c>
      <c r="V679" s="105" t="s">
        <v>4356</v>
      </c>
      <c r="W679" s="105" t="s">
        <v>4356</v>
      </c>
      <c r="X679" s="105" t="s">
        <v>4356</v>
      </c>
      <c r="Y679" s="105" t="s">
        <v>4356</v>
      </c>
      <c r="Z679" s="105"/>
      <c r="AA679" s="105"/>
      <c r="AB679" s="149" t="s">
        <v>7294</v>
      </c>
      <c r="AC679" s="149" t="s">
        <v>7295</v>
      </c>
      <c r="AD679" s="149" t="s">
        <v>7296</v>
      </c>
      <c r="AE679" s="103" t="s">
        <v>4343</v>
      </c>
      <c r="AF679" s="103" t="s">
        <v>4333</v>
      </c>
      <c r="AG679" s="194">
        <v>46615.76</v>
      </c>
      <c r="AH679" s="194">
        <v>60000</v>
      </c>
      <c r="AI679" s="103" t="s">
        <v>4336</v>
      </c>
      <c r="AJ679" s="104" t="s">
        <v>4438</v>
      </c>
      <c r="AK679" s="103">
        <v>146672713</v>
      </c>
      <c r="AL679" s="103" t="s">
        <v>4338</v>
      </c>
      <c r="AM679" s="103" t="s">
        <v>4338</v>
      </c>
      <c r="AN679" s="103" t="s">
        <v>4339</v>
      </c>
      <c r="AO679" s="112"/>
      <c r="AP679" s="171" t="s">
        <v>7297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46021</v>
      </c>
      <c r="AV679" s="112" t="s">
        <v>4338</v>
      </c>
      <c r="AW679" s="103" t="s">
        <v>4338</v>
      </c>
      <c r="AX679" s="111">
        <v>46041</v>
      </c>
      <c r="AY679" s="157">
        <v>46041</v>
      </c>
      <c r="AZ679" s="157" t="s">
        <v>4453</v>
      </c>
      <c r="BA679" s="174" t="s">
        <v>4454</v>
      </c>
      <c r="BB679" s="136" t="s">
        <v>4338</v>
      </c>
      <c r="BC679" s="220">
        <f>IF(AY679-KD679=0,"",AY679-O679)</f>
        <v>61</v>
      </c>
      <c r="BD679" s="103" t="str">
        <f>IF(AND(AI679&lt;&gt;"SIM",AI679="UH"),"AA","INDENIZAÇÃO")</f>
        <v>INDENIZAÇÃO</v>
      </c>
      <c r="BE679" s="103" t="str">
        <f>IF(AND(AY679&lt;&gt;"AGUARDANDO",AY679&lt;&gt;"",N679="AUXÍLIO ALUGUEL ATÉ INDENIZAÇÃO"),"SIM","NÃO")</f>
        <v>NÃO</v>
      </c>
      <c r="BF679" s="140" t="s">
        <v>4357</v>
      </c>
      <c r="BG679" s="140" t="s">
        <v>4357</v>
      </c>
      <c r="BH679" s="140" t="s">
        <v>4357</v>
      </c>
      <c r="BI679" s="154" t="s">
        <v>5393</v>
      </c>
      <c r="BJ679" s="154"/>
      <c r="BK679" s="154"/>
      <c r="BL679" s="154"/>
      <c r="BM679" s="237"/>
      <c r="BN679" s="231"/>
    </row>
    <row r="680" spans="1:66" ht="30" customHeight="1" x14ac:dyDescent="0.25">
      <c r="A680" s="103">
        <v>669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7298</v>
      </c>
      <c r="G680" s="103" t="s">
        <v>4330</v>
      </c>
      <c r="H680" s="103" t="s">
        <v>4331</v>
      </c>
      <c r="I680" s="142" t="s">
        <v>4343</v>
      </c>
      <c r="J680" s="149" t="s">
        <v>7299</v>
      </c>
      <c r="K680" s="149" t="s">
        <v>7300</v>
      </c>
      <c r="L680" s="149" t="s">
        <v>7301</v>
      </c>
      <c r="M680" s="103" t="s">
        <v>4333</v>
      </c>
      <c r="N680" s="103" t="s">
        <v>4459</v>
      </c>
      <c r="O680" s="105">
        <v>46001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05"/>
      <c r="AB680" s="149" t="s">
        <v>7302</v>
      </c>
      <c r="AC680" s="149" t="s">
        <v>7300</v>
      </c>
      <c r="AD680" s="149" t="s">
        <v>7301</v>
      </c>
      <c r="AE680" s="103" t="s">
        <v>4343</v>
      </c>
      <c r="AF680" s="103" t="s">
        <v>4333</v>
      </c>
      <c r="AG680" s="194">
        <v>31783.47</v>
      </c>
      <c r="AH680" s="194">
        <v>60000</v>
      </c>
      <c r="AI680" s="103" t="s">
        <v>4336</v>
      </c>
      <c r="AJ680" s="104" t="s">
        <v>4438</v>
      </c>
      <c r="AK680" s="103">
        <v>146672782</v>
      </c>
      <c r="AL680" s="103" t="s">
        <v>4338</v>
      </c>
      <c r="AM680" s="103" t="s">
        <v>4338</v>
      </c>
      <c r="AN680" s="103" t="s">
        <v>4339</v>
      </c>
      <c r="AO680" s="112"/>
      <c r="AP680" s="171" t="s">
        <v>7303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8">
        <v>46024</v>
      </c>
      <c r="AV680" s="112" t="s">
        <v>4338</v>
      </c>
      <c r="AW680" s="103" t="s">
        <v>4338</v>
      </c>
      <c r="AX680" s="166">
        <v>46038</v>
      </c>
      <c r="AY680" s="157">
        <v>46038</v>
      </c>
      <c r="AZ680" s="157" t="s">
        <v>4453</v>
      </c>
      <c r="BA680" s="107" t="s">
        <v>4454</v>
      </c>
      <c r="BB680" s="136" t="s">
        <v>4338</v>
      </c>
      <c r="BC680" s="220">
        <f>IF(AY680-KD680=0,"",AY680-O680)</f>
        <v>37</v>
      </c>
      <c r="BD680" s="103" t="str">
        <f>IF(AND(AI680&lt;&gt;"SIM",AI680="UH"),"AA","INDENIZAÇÃO")</f>
        <v>INDENIZAÇÃO</v>
      </c>
      <c r="BE680" s="103" t="str">
        <f>IF(AND(AY680&lt;&gt;"AGUARDANDO",AY680&lt;&gt;"",N680="AUXÍLIO ALUGUEL ATÉ INDENIZAÇÃO"),"SIM","NÃO")</f>
        <v>NÃO</v>
      </c>
      <c r="BF680" s="140" t="s">
        <v>4357</v>
      </c>
      <c r="BG680" s="140" t="s">
        <v>4357</v>
      </c>
      <c r="BH680" s="140" t="s">
        <v>4357</v>
      </c>
      <c r="BI680" s="154" t="s">
        <v>5393</v>
      </c>
      <c r="BJ680" s="154"/>
      <c r="BK680" s="154"/>
      <c r="BL680" s="154"/>
      <c r="BM680" s="237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7304</v>
      </c>
      <c r="G681" s="103" t="s">
        <v>4330</v>
      </c>
      <c r="H681" s="103" t="s">
        <v>4331</v>
      </c>
      <c r="I681" s="142" t="s">
        <v>4343</v>
      </c>
      <c r="J681" s="149" t="s">
        <v>7305</v>
      </c>
      <c r="K681" s="149" t="s">
        <v>7306</v>
      </c>
      <c r="L681" s="149" t="s">
        <v>7307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7305</v>
      </c>
      <c r="AC681" s="149" t="s">
        <v>7306</v>
      </c>
      <c r="AD681" s="149" t="s">
        <v>7307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>IF(AY681-KD681=0,"",AY681-O681)</f>
        <v/>
      </c>
      <c r="BD681" s="103" t="str">
        <f>IF(AND(AI681&lt;&gt;"SIM",AI681="UH"),"AA","INDENIZAÇÃO")</f>
        <v>AA</v>
      </c>
      <c r="BE681" s="103" t="str">
        <f>IF(AND(AY681&lt;&gt;"AGUARDANDO",AY681&lt;&gt;"",N681="AUXÍLIO ALUGUEL ATÉ INDENIZAÇÃO"),"SIM","NÃO")</f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7308</v>
      </c>
      <c r="G682" s="103" t="s">
        <v>4330</v>
      </c>
      <c r="H682" s="103" t="s">
        <v>4331</v>
      </c>
      <c r="I682" s="142" t="s">
        <v>4343</v>
      </c>
      <c r="J682" s="149" t="s">
        <v>7302</v>
      </c>
      <c r="K682" s="149" t="s">
        <v>7309</v>
      </c>
      <c r="L682" s="149" t="s">
        <v>7310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7302</v>
      </c>
      <c r="AC682" s="149" t="s">
        <v>7309</v>
      </c>
      <c r="AD682" s="149" t="s">
        <v>7310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>IF(AY682-KD682=0,"",AY682-O682)</f>
        <v/>
      </c>
      <c r="BD682" s="103" t="str">
        <f>IF(AND(AI682&lt;&gt;"SIM",AI682="UH"),"AA","INDENIZAÇÃO")</f>
        <v>AA</v>
      </c>
      <c r="BE682" s="103" t="str">
        <f>IF(AND(AY682&lt;&gt;"AGUARDANDO",AY682&lt;&gt;"",N682="AUXÍLIO ALUGUEL ATÉ INDENIZAÇÃO"),"SIM","NÃO")</f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7311</v>
      </c>
      <c r="G683" s="103" t="s">
        <v>4330</v>
      </c>
      <c r="H683" s="103" t="s">
        <v>4331</v>
      </c>
      <c r="I683" s="142" t="s">
        <v>4343</v>
      </c>
      <c r="J683" s="149" t="s">
        <v>7312</v>
      </c>
      <c r="K683" s="149" t="s">
        <v>7313</v>
      </c>
      <c r="L683" s="149" t="s">
        <v>7314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7312</v>
      </c>
      <c r="AC683" s="149" t="s">
        <v>7313</v>
      </c>
      <c r="AD683" s="149" t="s">
        <v>7314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>IF(AY683-KD683=0,"",AY683-O683)</f>
        <v/>
      </c>
      <c r="BD683" s="103" t="str">
        <f>IF(AND(AI683&lt;&gt;"SIM",AI683="UH"),"AA","INDENIZAÇÃO")</f>
        <v>AA</v>
      </c>
      <c r="BE683" s="103" t="str">
        <f>IF(AND(AY683&lt;&gt;"AGUARDANDO",AY683&lt;&gt;"",N683="AUXÍLIO ALUGUEL ATÉ INDENIZAÇÃO"),"SIM","NÃO")</f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7315</v>
      </c>
      <c r="G684" s="103" t="s">
        <v>4330</v>
      </c>
      <c r="H684" s="103" t="s">
        <v>4331</v>
      </c>
      <c r="I684" s="142" t="s">
        <v>7003</v>
      </c>
      <c r="J684" s="149" t="s">
        <v>7316</v>
      </c>
      <c r="K684" s="149" t="s">
        <v>7317</v>
      </c>
      <c r="L684" s="149" t="s">
        <v>7318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7316</v>
      </c>
      <c r="AC684" s="149" t="s">
        <v>7317</v>
      </c>
      <c r="AD684" s="149" t="s">
        <v>7318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>IF(AY684-KD684=0,"",AY684-O684)</f>
        <v/>
      </c>
      <c r="BD684" s="103" t="str">
        <f>IF(AND(AI684&lt;&gt;"SIM",AI684="UH"),"AA","INDENIZAÇÃO")</f>
        <v>AA</v>
      </c>
      <c r="BE684" s="103" t="str">
        <f>IF(AND(AY684&lt;&gt;"AGUARDANDO",AY684&lt;&gt;"",N684="AUXÍLIO ALUGUEL ATÉ INDENIZAÇÃO"),"SIM","NÃO")</f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7319</v>
      </c>
      <c r="G685" s="103" t="s">
        <v>4330</v>
      </c>
      <c r="H685" s="103" t="s">
        <v>4331</v>
      </c>
      <c r="I685" s="142" t="s">
        <v>4343</v>
      </c>
      <c r="J685" s="149" t="s">
        <v>7320</v>
      </c>
      <c r="K685" s="149" t="s">
        <v>7321</v>
      </c>
      <c r="L685" s="149" t="s">
        <v>7322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7320</v>
      </c>
      <c r="AC685" s="149" t="s">
        <v>7321</v>
      </c>
      <c r="AD685" s="149" t="s">
        <v>7322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>IF(AY685-KD685=0,"",AY685-O685)</f>
        <v/>
      </c>
      <c r="BD685" s="103" t="str">
        <f>IF(AND(AI685&lt;&gt;"SIM",AI685="UH"),"AA","INDENIZAÇÃO")</f>
        <v>AA</v>
      </c>
      <c r="BE685" s="103" t="str">
        <f>IF(AND(AY685&lt;&gt;"AGUARDANDO",AY685&lt;&gt;"",N685="AUXÍLIO ALUGUEL ATÉ INDENIZAÇÃO"),"SIM","NÃO")</f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7323</v>
      </c>
      <c r="G686" s="103" t="s">
        <v>4330</v>
      </c>
      <c r="H686" s="103" t="s">
        <v>4331</v>
      </c>
      <c r="I686" s="142" t="s">
        <v>4343</v>
      </c>
      <c r="J686" s="149" t="s">
        <v>7324</v>
      </c>
      <c r="K686" s="149" t="s">
        <v>7325</v>
      </c>
      <c r="L686" s="149" t="s">
        <v>7326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7324</v>
      </c>
      <c r="AC686" s="149" t="s">
        <v>7325</v>
      </c>
      <c r="AD686" s="149" t="s">
        <v>7326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>IF(AY686-KD686=0,"",AY686-O686)</f>
        <v/>
      </c>
      <c r="BD686" s="103" t="str">
        <f>IF(AND(AI686&lt;&gt;"SIM",AI686="UH"),"AA","INDENIZAÇÃO")</f>
        <v>AA</v>
      </c>
      <c r="BE686" s="103" t="str">
        <f>IF(AND(AY686&lt;&gt;"AGUARDANDO",AY686&lt;&gt;"",N686="AUXÍLIO ALUGUEL ATÉ INDENIZAÇÃO"),"SIM","NÃO")</f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7327</v>
      </c>
      <c r="G687" s="103" t="s">
        <v>4330</v>
      </c>
      <c r="H687" s="103" t="s">
        <v>4331</v>
      </c>
      <c r="I687" s="142" t="s">
        <v>4343</v>
      </c>
      <c r="J687" s="149" t="s">
        <v>7328</v>
      </c>
      <c r="K687" s="149" t="s">
        <v>7329</v>
      </c>
      <c r="L687" s="149" t="s">
        <v>7330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7328</v>
      </c>
      <c r="AC687" s="149" t="s">
        <v>7329</v>
      </c>
      <c r="AD687" s="149" t="s">
        <v>7330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>IF(AY687-KD687=0,"",AY687-O687)</f>
        <v/>
      </c>
      <c r="BD687" s="103" t="str">
        <f>IF(AND(AI687&lt;&gt;"SIM",AI687="UH"),"AA","INDENIZAÇÃO")</f>
        <v>AA</v>
      </c>
      <c r="BE687" s="103" t="str">
        <f>IF(AND(AY687&lt;&gt;"AGUARDANDO",AY687&lt;&gt;"",N687="AUXÍLIO ALUGUEL ATÉ INDENIZAÇÃO"),"SIM","NÃO")</f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7331</v>
      </c>
      <c r="G688" s="103" t="s">
        <v>4330</v>
      </c>
      <c r="H688" s="103" t="s">
        <v>4331</v>
      </c>
      <c r="I688" s="142" t="s">
        <v>4343</v>
      </c>
      <c r="J688" s="149" t="s">
        <v>7332</v>
      </c>
      <c r="K688" s="149" t="s">
        <v>7333</v>
      </c>
      <c r="L688" s="149" t="s">
        <v>7334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7332</v>
      </c>
      <c r="AC688" s="149" t="s">
        <v>7333</v>
      </c>
      <c r="AD688" s="149" t="s">
        <v>7334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>IF(AY688-KD688=0,"",AY688-O688)</f>
        <v/>
      </c>
      <c r="BD688" s="103" t="str">
        <f>IF(AND(AI688&lt;&gt;"SIM",AI688="UH"),"AA","INDENIZAÇÃO")</f>
        <v>AA</v>
      </c>
      <c r="BE688" s="103" t="str">
        <f>IF(AND(AY688&lt;&gt;"AGUARDANDO",AY688&lt;&gt;"",N688="AUXÍLIO ALUGUEL ATÉ INDENIZAÇÃO"),"SIM","NÃO")</f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7335</v>
      </c>
      <c r="G689" s="103" t="s">
        <v>4330</v>
      </c>
      <c r="H689" s="103" t="s">
        <v>4331</v>
      </c>
      <c r="I689" s="142" t="s">
        <v>4343</v>
      </c>
      <c r="J689" s="114" t="s">
        <v>7336</v>
      </c>
      <c r="K689" s="149" t="s">
        <v>7337</v>
      </c>
      <c r="L689" s="149" t="s">
        <v>7338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7336</v>
      </c>
      <c r="AC689" s="149" t="s">
        <v>7337</v>
      </c>
      <c r="AD689" s="149" t="s">
        <v>7338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>IF(AY689-KD689=0,"",AY689-O689)</f>
        <v/>
      </c>
      <c r="BD689" s="103" t="str">
        <f>IF(AND(AI689&lt;&gt;"SIM",AI689="UH"),"AA","INDENIZAÇÃO")</f>
        <v>AA</v>
      </c>
      <c r="BE689" s="103" t="str">
        <f>IF(AND(AY689&lt;&gt;"AGUARDANDO",AY689&lt;&gt;"",N689="AUXÍLIO ALUGUEL ATÉ INDENIZAÇÃO"),"SIM","NÃO")</f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7339</v>
      </c>
      <c r="G690" s="103" t="s">
        <v>4330</v>
      </c>
      <c r="H690" s="103" t="s">
        <v>4331</v>
      </c>
      <c r="I690" s="142" t="s">
        <v>4343</v>
      </c>
      <c r="J690" s="114" t="s">
        <v>7340</v>
      </c>
      <c r="K690" s="149" t="s">
        <v>7341</v>
      </c>
      <c r="L690" s="149" t="s">
        <v>7342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7340</v>
      </c>
      <c r="AC690" s="149" t="s">
        <v>7341</v>
      </c>
      <c r="AD690" s="149" t="s">
        <v>7342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>IF(AY690-KD690=0,"",AY690-O690)</f>
        <v/>
      </c>
      <c r="BD690" s="103" t="str">
        <f>IF(AND(AI690&lt;&gt;"SIM",AI690="UH"),"AA","INDENIZAÇÃO")</f>
        <v>AA</v>
      </c>
      <c r="BE690" s="103" t="str">
        <f>IF(AND(AY690&lt;&gt;"AGUARDANDO",AY690&lt;&gt;"",N690="AUXÍLIO ALUGUEL ATÉ INDENIZAÇÃO"),"SIM","NÃO")</f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7343</v>
      </c>
      <c r="G691" s="103" t="s">
        <v>4330</v>
      </c>
      <c r="H691" s="103" t="s">
        <v>4331</v>
      </c>
      <c r="I691" s="142" t="s">
        <v>4343</v>
      </c>
      <c r="J691" s="149" t="s">
        <v>7344</v>
      </c>
      <c r="K691" s="149" t="s">
        <v>7345</v>
      </c>
      <c r="L691" s="149" t="s">
        <v>7346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7344</v>
      </c>
      <c r="AC691" s="149" t="s">
        <v>7345</v>
      </c>
      <c r="AD691" s="149" t="s">
        <v>7346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>IF(AY691-KD691=0,"",AY691-O691)</f>
        <v/>
      </c>
      <c r="BD691" s="103" t="str">
        <f>IF(AND(AI691&lt;&gt;"SIM",AI691="UH"),"AA","INDENIZAÇÃO")</f>
        <v>AA</v>
      </c>
      <c r="BE691" s="103" t="str">
        <f>IF(AND(AY691&lt;&gt;"AGUARDANDO",AY691&lt;&gt;"",N691="AUXÍLIO ALUGUEL ATÉ INDENIZAÇÃO"),"SIM","NÃO")</f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7347</v>
      </c>
      <c r="G692" s="103" t="s">
        <v>4330</v>
      </c>
      <c r="H692" s="103" t="s">
        <v>4331</v>
      </c>
      <c r="I692" s="142" t="s">
        <v>4343</v>
      </c>
      <c r="J692" s="149" t="s">
        <v>7348</v>
      </c>
      <c r="K692" s="149" t="s">
        <v>7349</v>
      </c>
      <c r="L692" s="149" t="s">
        <v>7350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7348</v>
      </c>
      <c r="AC692" s="149" t="s">
        <v>7349</v>
      </c>
      <c r="AD692" s="149" t="s">
        <v>7350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>IF(AY692-KD692=0,"",AY692-O692)</f>
        <v/>
      </c>
      <c r="BD692" s="103" t="str">
        <f>IF(AND(AI692&lt;&gt;"SIM",AI692="UH"),"AA","INDENIZAÇÃO")</f>
        <v>AA</v>
      </c>
      <c r="BE692" s="103" t="str">
        <f>IF(AND(AY692&lt;&gt;"AGUARDANDO",AY692&lt;&gt;"",N692="AUXÍLIO ALUGUEL ATÉ INDENIZAÇÃO"),"SIM","NÃO")</f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7351</v>
      </c>
      <c r="G693" s="103" t="s">
        <v>4330</v>
      </c>
      <c r="H693" s="103" t="s">
        <v>4331</v>
      </c>
      <c r="I693" s="142" t="s">
        <v>4343</v>
      </c>
      <c r="J693" s="149" t="s">
        <v>7352</v>
      </c>
      <c r="K693" s="149" t="s">
        <v>7353</v>
      </c>
      <c r="L693" s="149" t="s">
        <v>7354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7352</v>
      </c>
      <c r="AC693" s="149" t="s">
        <v>7353</v>
      </c>
      <c r="AD693" s="149" t="s">
        <v>7354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>IF(AY693-KD693=0,"",AY693-O693)</f>
        <v/>
      </c>
      <c r="BD693" s="103" t="str">
        <f>IF(AND(AI693&lt;&gt;"SIM",AI693="UH"),"AA","INDENIZAÇÃO")</f>
        <v>AA</v>
      </c>
      <c r="BE693" s="103" t="str">
        <f>IF(AND(AY693&lt;&gt;"AGUARDANDO",AY693&lt;&gt;"",N693="AUXÍLIO ALUGUEL ATÉ INDENIZAÇÃO"),"SIM","NÃO")</f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7355</v>
      </c>
      <c r="G694" s="103" t="s">
        <v>4330</v>
      </c>
      <c r="H694" s="103" t="s">
        <v>4331</v>
      </c>
      <c r="I694" s="142" t="s">
        <v>4343</v>
      </c>
      <c r="J694" s="149" t="s">
        <v>7356</v>
      </c>
      <c r="K694" s="149" t="s">
        <v>7357</v>
      </c>
      <c r="L694" s="149" t="s">
        <v>7358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7356</v>
      </c>
      <c r="AC694" s="149" t="s">
        <v>7357</v>
      </c>
      <c r="AD694" s="149" t="s">
        <v>7358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>IF(AY694-KD694=0,"",AY694-O694)</f>
        <v/>
      </c>
      <c r="BD694" s="103" t="str">
        <f>IF(AND(AI694&lt;&gt;"SIM",AI694="UH"),"AA","INDENIZAÇÃO")</f>
        <v>AA</v>
      </c>
      <c r="BE694" s="103" t="str">
        <f>IF(AND(AY694&lt;&gt;"AGUARDANDO",AY694&lt;&gt;"",N694="AUXÍLIO ALUGUEL ATÉ INDENIZAÇÃO"),"SIM","NÃO")</f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7359</v>
      </c>
      <c r="G695" s="103" t="s">
        <v>4330</v>
      </c>
      <c r="H695" s="103" t="s">
        <v>4331</v>
      </c>
      <c r="I695" s="142" t="s">
        <v>4343</v>
      </c>
      <c r="J695" s="149" t="s">
        <v>7360</v>
      </c>
      <c r="K695" s="149" t="s">
        <v>4457</v>
      </c>
      <c r="L695" s="149" t="s">
        <v>7361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7360</v>
      </c>
      <c r="AC695" s="149" t="s">
        <v>4457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>IF(AY695-KD695=0,"",AY695-O695)</f>
        <v/>
      </c>
      <c r="BD695" s="103" t="str">
        <f>IF(AND(AI695&lt;&gt;"SIM",AI695="UH"),"AA","INDENIZAÇÃO")</f>
        <v>AA</v>
      </c>
      <c r="BE695" s="103" t="str">
        <f>IF(AND(AY695&lt;&gt;"AGUARDANDO",AY695&lt;&gt;"",N695="AUXÍLIO ALUGUEL ATÉ INDENIZAÇÃO"),"SIM","NÃO")</f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 x14ac:dyDescent="0.25">
      <c r="A696" s="165">
        <v>685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7364</v>
      </c>
      <c r="L696" s="149" t="s">
        <v>7365</v>
      </c>
      <c r="M696" s="103" t="s">
        <v>4333</v>
      </c>
      <c r="N696" s="103" t="s">
        <v>4459</v>
      </c>
      <c r="O696" s="105">
        <v>46077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05"/>
      <c r="AB696" s="149" t="s">
        <v>7366</v>
      </c>
      <c r="AC696" s="149" t="s">
        <v>7364</v>
      </c>
      <c r="AD696" s="149" t="s">
        <v>7365</v>
      </c>
      <c r="AE696" s="103" t="s">
        <v>4343</v>
      </c>
      <c r="AF696" s="103" t="s">
        <v>4333</v>
      </c>
      <c r="AG696" s="194">
        <v>2812.4</v>
      </c>
      <c r="AH696" s="194">
        <f>AG696+30000</f>
        <v>32812.400000000001</v>
      </c>
      <c r="AI696" s="103" t="s">
        <v>4336</v>
      </c>
      <c r="AJ696" s="104" t="s">
        <v>4438</v>
      </c>
      <c r="AK696" s="103">
        <v>150959865</v>
      </c>
      <c r="AL696" s="103" t="s">
        <v>4338</v>
      </c>
      <c r="AM696" s="103" t="s">
        <v>4338</v>
      </c>
      <c r="AN696" s="103" t="s">
        <v>4339</v>
      </c>
      <c r="AO696" s="112"/>
      <c r="AP696" s="171" t="s">
        <v>7367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46127</v>
      </c>
      <c r="AV696" s="103" t="s">
        <v>4338</v>
      </c>
      <c r="AW696" s="103" t="s">
        <v>4338</v>
      </c>
      <c r="AX696" s="105">
        <v>46139</v>
      </c>
      <c r="AY696" s="106">
        <v>46139</v>
      </c>
      <c r="AZ696" s="106" t="s">
        <v>4453</v>
      </c>
      <c r="BA696" s="174" t="s">
        <v>4454</v>
      </c>
      <c r="BB696" s="136" t="s">
        <v>4338</v>
      </c>
      <c r="BC696" s="220">
        <f>IF(AY696-KD696=0,"",AY696-O696)</f>
        <v>62</v>
      </c>
      <c r="BD696" s="103" t="str">
        <f>IF(AND(AI696&lt;&gt;"SIM",AI696="UH"),"AA","INDENIZAÇÃO")</f>
        <v>INDENIZAÇÃO</v>
      </c>
      <c r="BE696" s="103" t="str">
        <f>IF(AND(AY696&lt;&gt;"AGUARDANDO",AY696&lt;&gt;"",N696="AUXÍLIO ALUGUEL ATÉ INDENIZAÇÃO"),"SIM","NÃO")</f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7368</v>
      </c>
      <c r="G697" s="103" t="s">
        <v>4330</v>
      </c>
      <c r="H697" s="103" t="s">
        <v>4331</v>
      </c>
      <c r="I697" s="142" t="s">
        <v>4343</v>
      </c>
      <c r="J697" s="149" t="s">
        <v>7369</v>
      </c>
      <c r="K697" s="149" t="s">
        <v>7370</v>
      </c>
      <c r="L697" s="149" t="s">
        <v>7371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7369</v>
      </c>
      <c r="AC697" s="149" t="s">
        <v>7370</v>
      </c>
      <c r="AD697" s="149" t="s">
        <v>7371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>IF(AY697-KD697=0,"",AY697-O697)</f>
        <v/>
      </c>
      <c r="BD697" s="103" t="str">
        <f>IF(AND(AI697&lt;&gt;"SIM",AI697="UH"),"AA","INDENIZAÇÃO")</f>
        <v>AA</v>
      </c>
      <c r="BE697" s="103" t="str">
        <f>IF(AND(AY697&lt;&gt;"AGUARDANDO",AY697&lt;&gt;"",N697="AUXÍLIO ALUGUEL ATÉ INDENIZAÇÃO"),"SIM","NÃO")</f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7372</v>
      </c>
      <c r="G698" s="103" t="s">
        <v>4330</v>
      </c>
      <c r="H698" s="103" t="s">
        <v>4331</v>
      </c>
      <c r="I698" s="142" t="s">
        <v>4343</v>
      </c>
      <c r="J698" s="149" t="s">
        <v>7373</v>
      </c>
      <c r="K698" s="149" t="s">
        <v>4457</v>
      </c>
      <c r="L698" s="149" t="s">
        <v>7374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7373</v>
      </c>
      <c r="AC698" s="149" t="s">
        <v>4457</v>
      </c>
      <c r="AD698" s="149" t="s">
        <v>7374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>IF(AY698-KD698=0,"",AY698-O698)</f>
        <v/>
      </c>
      <c r="BD698" s="103" t="str">
        <f>IF(AND(AI698&lt;&gt;"SIM",AI698="UH"),"AA","INDENIZAÇÃO")</f>
        <v>AA</v>
      </c>
      <c r="BE698" s="103" t="str">
        <f>IF(AND(AY698&lt;&gt;"AGUARDANDO",AY698&lt;&gt;"",N698="AUXÍLIO ALUGUEL ATÉ INDENIZAÇÃO"),"SIM","NÃO")</f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7375</v>
      </c>
      <c r="G699" s="103" t="s">
        <v>4330</v>
      </c>
      <c r="H699" s="103" t="s">
        <v>4331</v>
      </c>
      <c r="I699" s="142" t="s">
        <v>4343</v>
      </c>
      <c r="J699" s="149" t="s">
        <v>7376</v>
      </c>
      <c r="K699" s="149" t="s">
        <v>7377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7376</v>
      </c>
      <c r="AC699" s="149" t="s">
        <v>7377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>IF(AY699-KD699=0,"",AY699-O699)</f>
        <v/>
      </c>
      <c r="BD699" s="103" t="str">
        <f>IF(AND(AI699&lt;&gt;"SIM",AI699="UH"),"AA","INDENIZAÇÃO")</f>
        <v>AA</v>
      </c>
      <c r="BE699" s="103" t="str">
        <f>IF(AND(AY699&lt;&gt;"AGUARDANDO",AY699&lt;&gt;"",N699="AUXÍLIO ALUGUEL ATÉ INDENIZAÇÃO"),"SIM","NÃO")</f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7378</v>
      </c>
      <c r="G700" s="103" t="s">
        <v>4330</v>
      </c>
      <c r="H700" s="103" t="s">
        <v>4331</v>
      </c>
      <c r="I700" s="142" t="s">
        <v>4343</v>
      </c>
      <c r="J700" s="149" t="s">
        <v>7379</v>
      </c>
      <c r="K700" s="149" t="s">
        <v>4457</v>
      </c>
      <c r="L700" s="149" t="s">
        <v>7380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7379</v>
      </c>
      <c r="AC700" s="149" t="s">
        <v>4457</v>
      </c>
      <c r="AD700" s="149" t="s">
        <v>7380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>IF(AY700-KD700=0,"",AY700-O700)</f>
        <v/>
      </c>
      <c r="BD700" s="103" t="str">
        <f>IF(AND(AI700&lt;&gt;"SIM",AI700="UH"),"AA","INDENIZAÇÃO")</f>
        <v>AA</v>
      </c>
      <c r="BE700" s="103" t="str">
        <f>IF(AND(AY700&lt;&gt;"AGUARDANDO",AY700&lt;&gt;"",N700="AUXÍLIO ALUGUEL ATÉ INDENIZAÇÃO"),"SIM","NÃO")</f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7381</v>
      </c>
      <c r="G701" s="103" t="s">
        <v>4330</v>
      </c>
      <c r="H701" s="103" t="s">
        <v>4331</v>
      </c>
      <c r="I701" s="142" t="s">
        <v>4343</v>
      </c>
      <c r="J701" s="149" t="s">
        <v>7382</v>
      </c>
      <c r="K701" s="149" t="s">
        <v>7383</v>
      </c>
      <c r="L701" s="149" t="s">
        <v>7384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7382</v>
      </c>
      <c r="AC701" s="149" t="s">
        <v>7383</v>
      </c>
      <c r="AD701" s="149" t="s">
        <v>7384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>IF(AY701-KD701=0,"",AY701-O701)</f>
        <v/>
      </c>
      <c r="BD701" s="103" t="str">
        <f>IF(AND(AI701&lt;&gt;"SIM",AI701="UH"),"AA","INDENIZAÇÃO")</f>
        <v>AA</v>
      </c>
      <c r="BE701" s="103" t="str">
        <f>IF(AND(AY701&lt;&gt;"AGUARDANDO",AY701&lt;&gt;"",N701="AUXÍLIO ALUGUEL ATÉ INDENIZAÇÃO"),"SIM","NÃO")</f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7385</v>
      </c>
      <c r="G702" s="103" t="s">
        <v>4330</v>
      </c>
      <c r="H702" s="103" t="s">
        <v>4331</v>
      </c>
      <c r="I702" s="142" t="s">
        <v>4343</v>
      </c>
      <c r="J702" s="149" t="s">
        <v>7386</v>
      </c>
      <c r="K702" s="149" t="s">
        <v>4457</v>
      </c>
      <c r="L702" s="149" t="s">
        <v>7387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7386</v>
      </c>
      <c r="AC702" s="149" t="s">
        <v>4457</v>
      </c>
      <c r="AD702" s="149" t="s">
        <v>7387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>IF(AY702-KD702=0,"",AY702-O702)</f>
        <v/>
      </c>
      <c r="BD702" s="103" t="str">
        <f>IF(AND(AI702&lt;&gt;"SIM",AI702="UH"),"AA","INDENIZAÇÃO")</f>
        <v>AA</v>
      </c>
      <c r="BE702" s="103" t="str">
        <f>IF(AND(AY702&lt;&gt;"AGUARDANDO",AY702&lt;&gt;"",N702="AUXÍLIO ALUGUEL ATÉ INDENIZAÇÃO"),"SIM","NÃO")</f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7388</v>
      </c>
      <c r="G703" s="103" t="s">
        <v>4330</v>
      </c>
      <c r="H703" s="103" t="s">
        <v>4331</v>
      </c>
      <c r="I703" s="142" t="s">
        <v>4343</v>
      </c>
      <c r="J703" s="149" t="s">
        <v>7389</v>
      </c>
      <c r="K703" s="149" t="s">
        <v>7390</v>
      </c>
      <c r="L703" s="149" t="s">
        <v>7391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7389</v>
      </c>
      <c r="AC703" s="149" t="s">
        <v>7390</v>
      </c>
      <c r="AD703" s="149" t="s">
        <v>7391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>IF(AY703-KD703=0,"",AY703-O703)</f>
        <v/>
      </c>
      <c r="BD703" s="103" t="str">
        <f>IF(AND(AI703&lt;&gt;"SIM",AI703="UH"),"AA","INDENIZAÇÃO")</f>
        <v>AA</v>
      </c>
      <c r="BE703" s="103" t="str">
        <f>IF(AND(AY703&lt;&gt;"AGUARDANDO",AY703&lt;&gt;"",N703="AUXÍLIO ALUGUEL ATÉ INDENIZAÇÃO"),"SIM","NÃO")</f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7392</v>
      </c>
      <c r="G704" s="103" t="s">
        <v>4330</v>
      </c>
      <c r="H704" s="103" t="s">
        <v>4331</v>
      </c>
      <c r="I704" s="142" t="s">
        <v>4343</v>
      </c>
      <c r="J704" s="149" t="s">
        <v>7393</v>
      </c>
      <c r="K704" s="149" t="s">
        <v>7394</v>
      </c>
      <c r="L704" s="149" t="s">
        <v>7395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7393</v>
      </c>
      <c r="AC704" s="149" t="s">
        <v>7394</v>
      </c>
      <c r="AD704" s="149" t="s">
        <v>7395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>IF(AY704-KD704=0,"",AY704-O704)</f>
        <v/>
      </c>
      <c r="BD704" s="103" t="str">
        <f>IF(AND(AI704&lt;&gt;"SIM",AI704="UH"),"AA","INDENIZAÇÃO")</f>
        <v>AA</v>
      </c>
      <c r="BE704" s="103" t="str">
        <f>IF(AND(AY704&lt;&gt;"AGUARDANDO",AY704&lt;&gt;"",N704="AUXÍLIO ALUGUEL ATÉ INDENIZAÇÃO"),"SIM","NÃO")</f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7396</v>
      </c>
      <c r="G705" s="103" t="s">
        <v>4330</v>
      </c>
      <c r="H705" s="103" t="s">
        <v>4331</v>
      </c>
      <c r="I705" s="142" t="s">
        <v>4343</v>
      </c>
      <c r="J705" s="149" t="s">
        <v>7397</v>
      </c>
      <c r="K705" s="149" t="s">
        <v>7398</v>
      </c>
      <c r="L705" s="149" t="s">
        <v>7399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7397</v>
      </c>
      <c r="AC705" s="149" t="s">
        <v>7398</v>
      </c>
      <c r="AD705" s="149" t="s">
        <v>7399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>IF(AY705-KD705=0,"",AY705-O705)</f>
        <v/>
      </c>
      <c r="BD705" s="103" t="str">
        <f>IF(AND(AI705&lt;&gt;"SIM",AI705="UH"),"AA","INDENIZAÇÃO")</f>
        <v>AA</v>
      </c>
      <c r="BE705" s="103" t="str">
        <f>IF(AND(AY705&lt;&gt;"AGUARDANDO",AY705&lt;&gt;"",N705="AUXÍLIO ALUGUEL ATÉ INDENIZAÇÃO"),"SIM","NÃO")</f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7400</v>
      </c>
      <c r="G706" s="103" t="s">
        <v>4330</v>
      </c>
      <c r="H706" s="103" t="s">
        <v>4331</v>
      </c>
      <c r="I706" s="142" t="s">
        <v>4343</v>
      </c>
      <c r="J706" s="149" t="s">
        <v>7401</v>
      </c>
      <c r="K706" s="149" t="s">
        <v>7402</v>
      </c>
      <c r="L706" s="149" t="s">
        <v>7403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7401</v>
      </c>
      <c r="AC706" s="149" t="s">
        <v>7402</v>
      </c>
      <c r="AD706" s="149" t="s">
        <v>7403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>IF(AY706-KD706=0,"",AY706-O706)</f>
        <v/>
      </c>
      <c r="BD706" s="103" t="str">
        <f>IF(AND(AI706&lt;&gt;"SIM",AI706="UH"),"AA","INDENIZAÇÃO")</f>
        <v>AA</v>
      </c>
      <c r="BE706" s="103" t="str">
        <f>IF(AND(AY706&lt;&gt;"AGUARDANDO",AY706&lt;&gt;"",N706="AUXÍLIO ALUGUEL ATÉ INDENIZAÇÃO"),"SIM","NÃO")</f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7404</v>
      </c>
      <c r="G707" s="103" t="s">
        <v>4330</v>
      </c>
      <c r="H707" s="103" t="s">
        <v>4331</v>
      </c>
      <c r="I707" s="142" t="s">
        <v>4343</v>
      </c>
      <c r="J707" s="149" t="s">
        <v>7405</v>
      </c>
      <c r="K707" s="149" t="s">
        <v>7406</v>
      </c>
      <c r="L707" s="149" t="s">
        <v>7407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7405</v>
      </c>
      <c r="AC707" s="149" t="s">
        <v>7406</v>
      </c>
      <c r="AD707" s="149" t="s">
        <v>7407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>IF(AY707-KD707=0,"",AY707-O707)</f>
        <v/>
      </c>
      <c r="BD707" s="103" t="str">
        <f>IF(AND(AI707&lt;&gt;"SIM",AI707="UH"),"AA","INDENIZAÇÃO")</f>
        <v>AA</v>
      </c>
      <c r="BE707" s="103" t="str">
        <f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7408</v>
      </c>
      <c r="G708" s="103" t="s">
        <v>4330</v>
      </c>
      <c r="H708" s="103" t="s">
        <v>4331</v>
      </c>
      <c r="I708" s="142" t="s">
        <v>4343</v>
      </c>
      <c r="J708" s="149" t="s">
        <v>7409</v>
      </c>
      <c r="K708" s="149" t="s">
        <v>7410</v>
      </c>
      <c r="L708" s="149" t="s">
        <v>7411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7409</v>
      </c>
      <c r="AC708" s="149" t="s">
        <v>7410</v>
      </c>
      <c r="AD708" s="149" t="s">
        <v>7411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>IF(AY708-KD708=0,"",AY708-O708)</f>
        <v/>
      </c>
      <c r="BD708" s="103" t="str">
        <f>IF(AND(AI708&lt;&gt;"SIM",AI708="UH"),"AA","INDENIZAÇÃO")</f>
        <v>AA</v>
      </c>
      <c r="BE708" s="103" t="str">
        <f>IF(AND(AY708&lt;&gt;"AGUARDANDO",AY708&lt;&gt;"",N708="AUXÍLIO ALUGUEL ATÉ INDENIZAÇÃO"),"SIM","NÃO")</f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7412</v>
      </c>
      <c r="G709" s="103" t="s">
        <v>4330</v>
      </c>
      <c r="H709" s="103" t="s">
        <v>4331</v>
      </c>
      <c r="I709" s="142" t="s">
        <v>4343</v>
      </c>
      <c r="J709" s="149" t="s">
        <v>7413</v>
      </c>
      <c r="K709" s="149" t="s">
        <v>7414</v>
      </c>
      <c r="L709" s="149" t="s">
        <v>7415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7413</v>
      </c>
      <c r="AC709" s="149" t="s">
        <v>7414</v>
      </c>
      <c r="AD709" s="149" t="s">
        <v>7415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>IF(AY709-KD709=0,"",AY709-O709)</f>
        <v/>
      </c>
      <c r="BD709" s="103" t="str">
        <f>IF(AND(AI709&lt;&gt;"SIM",AI709="UH"),"AA","INDENIZAÇÃO")</f>
        <v>AA</v>
      </c>
      <c r="BE709" s="103" t="str">
        <f>IF(AND(AY709&lt;&gt;"AGUARDANDO",AY709&lt;&gt;"",N709="AUXÍLIO ALUGUEL ATÉ INDENIZAÇÃO"),"SIM","NÃO")</f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7416</v>
      </c>
      <c r="G710" s="103" t="s">
        <v>4330</v>
      </c>
      <c r="H710" s="103" t="s">
        <v>4331</v>
      </c>
      <c r="I710" s="142" t="s">
        <v>4343</v>
      </c>
      <c r="J710" s="149" t="s">
        <v>7417</v>
      </c>
      <c r="K710" s="149" t="s">
        <v>7418</v>
      </c>
      <c r="L710" s="149" t="s">
        <v>7419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7417</v>
      </c>
      <c r="AC710" s="149" t="s">
        <v>7418</v>
      </c>
      <c r="AD710" s="149" t="s">
        <v>7419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>IF(AY710-KD710=0,"",AY710-O710)</f>
        <v/>
      </c>
      <c r="BD710" s="103" t="str">
        <f>IF(AND(AI710&lt;&gt;"SIM",AI710="UH"),"AA","INDENIZAÇÃO")</f>
        <v>AA</v>
      </c>
      <c r="BE710" s="103" t="str">
        <f>IF(AND(AY710&lt;&gt;"AGUARDANDO",AY710&lt;&gt;"",N710="AUXÍLIO ALUGUEL ATÉ INDENIZAÇÃO"),"SIM","NÃO")</f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7420</v>
      </c>
      <c r="G711" s="103" t="s">
        <v>4330</v>
      </c>
      <c r="H711" s="103" t="s">
        <v>4331</v>
      </c>
      <c r="I711" s="142" t="s">
        <v>4343</v>
      </c>
      <c r="J711" s="149" t="s">
        <v>7421</v>
      </c>
      <c r="K711" s="149" t="s">
        <v>4457</v>
      </c>
      <c r="L711" s="149" t="s">
        <v>7422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7421</v>
      </c>
      <c r="AC711" s="149" t="s">
        <v>4457</v>
      </c>
      <c r="AD711" s="149" t="s">
        <v>7422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>IF(AY711-KD711=0,"",AY711-O711)</f>
        <v/>
      </c>
      <c r="BD711" s="103" t="str">
        <f>IF(AND(AI711&lt;&gt;"SIM",AI711="UH"),"AA","INDENIZAÇÃO")</f>
        <v>AA</v>
      </c>
      <c r="BE711" s="103" t="str">
        <f>IF(AND(AY711&lt;&gt;"AGUARDANDO",AY711&lt;&gt;"",N711="AUXÍLIO ALUGUEL ATÉ INDENIZAÇÃO"),"SIM","NÃO")</f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7423</v>
      </c>
      <c r="G712" s="103" t="s">
        <v>4330</v>
      </c>
      <c r="H712" s="103" t="s">
        <v>4331</v>
      </c>
      <c r="I712" s="142" t="s">
        <v>4343</v>
      </c>
      <c r="J712" s="149" t="s">
        <v>7424</v>
      </c>
      <c r="K712" s="149" t="s">
        <v>7425</v>
      </c>
      <c r="L712" s="149" t="s">
        <v>7426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7424</v>
      </c>
      <c r="AC712" s="149" t="s">
        <v>7425</v>
      </c>
      <c r="AD712" s="149" t="s">
        <v>7426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>IF(AY712-KD712=0,"",AY712-O712)</f>
        <v/>
      </c>
      <c r="BD712" s="103" t="str">
        <f>IF(AND(AI712&lt;&gt;"SIM",AI712="UH"),"AA","INDENIZAÇÃO")</f>
        <v>AA</v>
      </c>
      <c r="BE712" s="103" t="str">
        <f>IF(AND(AY712&lt;&gt;"AGUARDANDO",AY712&lt;&gt;"",N712="AUXÍLIO ALUGUEL ATÉ INDENIZAÇÃO"),"SIM","NÃO")</f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7427</v>
      </c>
      <c r="G713" s="103" t="s">
        <v>4330</v>
      </c>
      <c r="H713" s="103" t="s">
        <v>4331</v>
      </c>
      <c r="I713" s="142" t="s">
        <v>4343</v>
      </c>
      <c r="J713" s="149" t="s">
        <v>7428</v>
      </c>
      <c r="K713" s="149" t="s">
        <v>7429</v>
      </c>
      <c r="L713" s="149" t="s">
        <v>7430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7428</v>
      </c>
      <c r="AC713" s="149" t="s">
        <v>7429</v>
      </c>
      <c r="AD713" s="149" t="s">
        <v>7430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>IF(AY713-KD713=0,"",AY713-O713)</f>
        <v/>
      </c>
      <c r="BD713" s="103" t="str">
        <f>IF(AND(AI713&lt;&gt;"SIM",AI713="UH"),"AA","INDENIZAÇÃO")</f>
        <v>AA</v>
      </c>
      <c r="BE713" s="103" t="str">
        <f>IF(AND(AY713&lt;&gt;"AGUARDANDO",AY713&lt;&gt;"",N713="AUXÍLIO ALUGUEL ATÉ INDENIZAÇÃO"),"SIM","NÃO")</f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7431</v>
      </c>
      <c r="G714" s="103" t="s">
        <v>4330</v>
      </c>
      <c r="H714" s="103" t="s">
        <v>4331</v>
      </c>
      <c r="I714" s="142" t="s">
        <v>4343</v>
      </c>
      <c r="J714" s="150" t="s">
        <v>7432</v>
      </c>
      <c r="K714" s="149" t="s">
        <v>7433</v>
      </c>
      <c r="L714" s="149" t="s">
        <v>7434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7432</v>
      </c>
      <c r="AC714" s="149" t="s">
        <v>7433</v>
      </c>
      <c r="AD714" s="149" t="s">
        <v>7434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>IF(AY714-KD714=0,"",AY714-O714)</f>
        <v/>
      </c>
      <c r="BD714" s="103" t="str">
        <f>IF(AND(AI714&lt;&gt;"SIM",AI714="UH"),"AA","INDENIZAÇÃO")</f>
        <v>AA</v>
      </c>
      <c r="BE714" s="103" t="str">
        <f>IF(AND(AY714&lt;&gt;"AGUARDANDO",AY714&lt;&gt;"",N714="AUXÍLIO ALUGUEL ATÉ INDENIZAÇÃO"),"SIM","NÃO")</f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7435</v>
      </c>
      <c r="G715" s="103" t="s">
        <v>4330</v>
      </c>
      <c r="H715" s="103" t="s">
        <v>4331</v>
      </c>
      <c r="I715" s="142" t="s">
        <v>4343</v>
      </c>
      <c r="J715" s="114" t="s">
        <v>7436</v>
      </c>
      <c r="K715" s="149" t="s">
        <v>7437</v>
      </c>
      <c r="L715" s="149" t="s">
        <v>7438</v>
      </c>
      <c r="M715" s="103" t="s">
        <v>4333</v>
      </c>
      <c r="N715" s="103" t="s">
        <v>4459</v>
      </c>
      <c r="O715" s="105">
        <v>46038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14" t="s">
        <v>7436</v>
      </c>
      <c r="AC715" s="149" t="s">
        <v>7437</v>
      </c>
      <c r="AD715" s="149" t="s">
        <v>7438</v>
      </c>
      <c r="AE715" s="103" t="s">
        <v>4343</v>
      </c>
      <c r="AF715" s="103" t="s">
        <v>4333</v>
      </c>
      <c r="AG715" s="194">
        <v>4137.6400000000003</v>
      </c>
      <c r="AH715" s="194">
        <f>AG715+30000</f>
        <v>34137.64</v>
      </c>
      <c r="AI715" s="103" t="s">
        <v>4336</v>
      </c>
      <c r="AJ715" s="104" t="s">
        <v>4438</v>
      </c>
      <c r="AK715" s="103">
        <v>148267454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7439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46084</v>
      </c>
      <c r="AV715" s="112" t="s">
        <v>4338</v>
      </c>
      <c r="AW715" s="112" t="s">
        <v>4338</v>
      </c>
      <c r="AX715" s="111">
        <v>46092</v>
      </c>
      <c r="AY715" s="157">
        <v>46092</v>
      </c>
      <c r="AZ715" s="157" t="s">
        <v>4453</v>
      </c>
      <c r="BA715" s="107" t="s">
        <v>4454</v>
      </c>
      <c r="BB715" s="136" t="s">
        <v>4338</v>
      </c>
      <c r="BC715" s="220">
        <f>IF(AY715-KD715=0,"",AY715-O715)</f>
        <v>54</v>
      </c>
      <c r="BD715" s="103" t="str">
        <f>IF(AND(AI715&lt;&gt;"SIM",AI715="UH"),"AA","INDENIZAÇÃO")</f>
        <v>INDENIZAÇÃO</v>
      </c>
      <c r="BE715" s="103" t="str">
        <f>IF(AND(AY715&lt;&gt;"AGUARDANDO",AY715&lt;&gt;"",N715="AUXÍLIO ALUGUEL ATÉ INDENIZAÇÃO"),"SIM","NÃO")</f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customHeight="1" x14ac:dyDescent="0.25">
      <c r="A716" s="103">
        <v>705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7440</v>
      </c>
      <c r="G716" s="103" t="s">
        <v>4330</v>
      </c>
      <c r="H716" s="103" t="s">
        <v>4331</v>
      </c>
      <c r="I716" s="142" t="s">
        <v>4343</v>
      </c>
      <c r="J716" s="149" t="s">
        <v>7441</v>
      </c>
      <c r="K716" s="149" t="s">
        <v>7442</v>
      </c>
      <c r="L716" s="149" t="s">
        <v>7443</v>
      </c>
      <c r="M716" s="103" t="s">
        <v>4333</v>
      </c>
      <c r="N716" s="103" t="s">
        <v>4459</v>
      </c>
      <c r="O716" s="105">
        <v>46086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7444</v>
      </c>
      <c r="AC716" s="149" t="s">
        <v>7442</v>
      </c>
      <c r="AD716" s="149" t="s">
        <v>7443</v>
      </c>
      <c r="AE716" s="103" t="s">
        <v>4343</v>
      </c>
      <c r="AF716" s="103" t="s">
        <v>4333</v>
      </c>
      <c r="AG716" s="194">
        <v>882.38</v>
      </c>
      <c r="AH716" s="194">
        <f>AG716+30000</f>
        <v>30882.38</v>
      </c>
      <c r="AI716" s="103" t="s">
        <v>4447</v>
      </c>
      <c r="AJ716" s="104" t="s">
        <v>4438</v>
      </c>
      <c r="AK716" s="103">
        <v>150959925</v>
      </c>
      <c r="AL716" s="103" t="s">
        <v>4338</v>
      </c>
      <c r="AM716" s="103" t="s">
        <v>4338</v>
      </c>
      <c r="AN716" s="103" t="s">
        <v>4339</v>
      </c>
      <c r="AO716" s="112"/>
      <c r="AP716" s="171" t="s">
        <v>7445</v>
      </c>
      <c r="AQ716" s="103" t="s">
        <v>4338</v>
      </c>
      <c r="AR716" s="103" t="s">
        <v>4338</v>
      </c>
      <c r="AS716" s="103" t="s">
        <v>4338</v>
      </c>
      <c r="AT716" s="103" t="s">
        <v>4338</v>
      </c>
      <c r="AU716" s="105">
        <v>46153</v>
      </c>
      <c r="AV716" s="103" t="s">
        <v>4338</v>
      </c>
      <c r="AW716" s="103" t="s">
        <v>4338</v>
      </c>
      <c r="AX716" s="105">
        <v>46157</v>
      </c>
      <c r="AY716" s="106">
        <v>46157</v>
      </c>
      <c r="AZ716" s="106" t="s">
        <v>4453</v>
      </c>
      <c r="BA716" s="174" t="s">
        <v>4454</v>
      </c>
      <c r="BB716" s="136" t="s">
        <v>4338</v>
      </c>
      <c r="BC716" s="220">
        <f>IF(AY716-KD716=0,"",AY716-O716)</f>
        <v>71</v>
      </c>
      <c r="BD716" s="103" t="str">
        <f>IF(AND(AI716&lt;&gt;"SIM",AI716="UH"),"AA","INDENIZAÇÃO")</f>
        <v>INDENIZAÇÃO</v>
      </c>
      <c r="BE716" s="103" t="str">
        <f>IF(AND(AY716&lt;&gt;"AGUARDANDO",AY716&lt;&gt;"",N716="AUXÍLIO ALUGUEL ATÉ INDENIZAÇÃO"),"SIM","NÃO")</f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customHeight="1" x14ac:dyDescent="0.25">
      <c r="A717" s="103">
        <v>706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7446</v>
      </c>
      <c r="G717" s="103" t="s">
        <v>4330</v>
      </c>
      <c r="H717" s="103" t="s">
        <v>4331</v>
      </c>
      <c r="I717" s="142" t="s">
        <v>4343</v>
      </c>
      <c r="J717" s="114" t="s">
        <v>7447</v>
      </c>
      <c r="K717" s="149" t="s">
        <v>7448</v>
      </c>
      <c r="L717" s="149" t="s">
        <v>7449</v>
      </c>
      <c r="M717" s="103" t="s">
        <v>4333</v>
      </c>
      <c r="N717" s="103" t="s">
        <v>4459</v>
      </c>
      <c r="O717" s="105">
        <v>45980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7450</v>
      </c>
      <c r="AC717" s="149" t="s">
        <v>7448</v>
      </c>
      <c r="AD717" s="149" t="s">
        <v>7449</v>
      </c>
      <c r="AE717" s="103" t="s">
        <v>4343</v>
      </c>
      <c r="AF717" s="103" t="s">
        <v>4333</v>
      </c>
      <c r="AG717" s="194">
        <v>4668.95</v>
      </c>
      <c r="AH717" s="194">
        <f>AG717+30000</f>
        <v>34668.949999999997</v>
      </c>
      <c r="AI717" s="103" t="s">
        <v>4336</v>
      </c>
      <c r="AJ717" s="104" t="s">
        <v>4438</v>
      </c>
      <c r="AK717" s="103">
        <v>146672839</v>
      </c>
      <c r="AL717" s="103" t="s">
        <v>4338</v>
      </c>
      <c r="AM717" s="103" t="s">
        <v>4338</v>
      </c>
      <c r="AN717" s="103" t="s">
        <v>4339</v>
      </c>
      <c r="AO717" s="112"/>
      <c r="AP717" s="171" t="s">
        <v>7451</v>
      </c>
      <c r="AQ717" s="103" t="s">
        <v>4338</v>
      </c>
      <c r="AR717" s="103" t="s">
        <v>4338</v>
      </c>
      <c r="AS717" s="103" t="s">
        <v>4338</v>
      </c>
      <c r="AT717" s="165" t="s">
        <v>4338</v>
      </c>
      <c r="AU717" s="105">
        <v>46008</v>
      </c>
      <c r="AV717" s="112" t="s">
        <v>4338</v>
      </c>
      <c r="AW717" s="103" t="s">
        <v>4338</v>
      </c>
      <c r="AX717" s="111">
        <v>46021</v>
      </c>
      <c r="AY717" s="106">
        <v>46021</v>
      </c>
      <c r="AZ717" s="157" t="s">
        <v>4453</v>
      </c>
      <c r="BA717" s="174" t="s">
        <v>4454</v>
      </c>
      <c r="BB717" s="136" t="s">
        <v>4338</v>
      </c>
      <c r="BC717" s="220">
        <f>IF(AY717-KD717=0,"",AY717-O717)</f>
        <v>41</v>
      </c>
      <c r="BD717" s="103" t="str">
        <f>IF(AND(AI717&lt;&gt;"SIM",AI717="UH"),"AA","INDENIZAÇÃO")</f>
        <v>INDENIZAÇÃO</v>
      </c>
      <c r="BE717" s="103" t="str">
        <f>IF(AND(AY717&lt;&gt;"AGUARDANDO",AY717&lt;&gt;"",N717="AUXÍLIO ALUGUEL ATÉ INDENIZAÇÃO"),"SIM","NÃO")</f>
        <v>NÃO</v>
      </c>
      <c r="BF717" s="140" t="s">
        <v>4357</v>
      </c>
      <c r="BG717" s="140" t="s">
        <v>4357</v>
      </c>
      <c r="BH717" s="140" t="s">
        <v>4357</v>
      </c>
      <c r="BI717" s="103" t="s">
        <v>4338</v>
      </c>
      <c r="BJ717" s="103" t="s">
        <v>4338</v>
      </c>
      <c r="BK717" s="105">
        <v>46205</v>
      </c>
      <c r="BL717" s="154" t="s">
        <v>4461</v>
      </c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7452</v>
      </c>
      <c r="G718" s="103" t="s">
        <v>4330</v>
      </c>
      <c r="H718" s="103" t="s">
        <v>4331</v>
      </c>
      <c r="I718" s="142" t="s">
        <v>4343</v>
      </c>
      <c r="J718" s="149" t="s">
        <v>7453</v>
      </c>
      <c r="K718" s="149" t="s">
        <v>7454</v>
      </c>
      <c r="L718" s="149" t="s">
        <v>7455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7453</v>
      </c>
      <c r="AC718" s="149" t="s">
        <v>7454</v>
      </c>
      <c r="AD718" s="149" t="s">
        <v>7455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>IF(AY718-KD718=0,"",AY718-O718)</f>
        <v/>
      </c>
      <c r="BD718" s="103" t="str">
        <f>IF(AND(AI718&lt;&gt;"SIM",AI718="UH"),"AA","INDENIZAÇÃO")</f>
        <v>AA</v>
      </c>
      <c r="BE718" s="103" t="str">
        <f>IF(AND(AY718&lt;&gt;"AGUARDANDO",AY718&lt;&gt;"",N718="AUXÍLIO ALUGUEL ATÉ INDENIZAÇÃO"),"SIM","NÃO")</f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7456</v>
      </c>
      <c r="G719" s="103" t="s">
        <v>4330</v>
      </c>
      <c r="H719" s="103" t="s">
        <v>4331</v>
      </c>
      <c r="I719" s="142" t="s">
        <v>4343</v>
      </c>
      <c r="J719" s="149" t="s">
        <v>7444</v>
      </c>
      <c r="K719" s="149" t="s">
        <v>7457</v>
      </c>
      <c r="L719" s="149" t="s">
        <v>7458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7444</v>
      </c>
      <c r="AC719" s="149" t="s">
        <v>7457</v>
      </c>
      <c r="AD719" s="149" t="s">
        <v>7458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>IF(AY719-KD719=0,"",AY719-O719)</f>
        <v/>
      </c>
      <c r="BD719" s="103" t="str">
        <f>IF(AND(AI719&lt;&gt;"SIM",AI719="UH"),"AA","INDENIZAÇÃO")</f>
        <v>AA</v>
      </c>
      <c r="BE719" s="103" t="str">
        <f>IF(AND(AY719&lt;&gt;"AGUARDANDO",AY719&lt;&gt;"",N719="AUXÍLIO ALUGUEL ATÉ INDENIZAÇÃO"),"SIM","NÃO")</f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7459</v>
      </c>
      <c r="G720" s="103" t="s">
        <v>4330</v>
      </c>
      <c r="H720" s="103" t="s">
        <v>4331</v>
      </c>
      <c r="I720" s="142" t="s">
        <v>4343</v>
      </c>
      <c r="J720" s="149" t="s">
        <v>7450</v>
      </c>
      <c r="K720" s="149" t="s">
        <v>7460</v>
      </c>
      <c r="L720" s="149" t="s">
        <v>7461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7450</v>
      </c>
      <c r="AC720" s="149" t="s">
        <v>7460</v>
      </c>
      <c r="AD720" s="149" t="s">
        <v>7461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>IF(AY720-KD720=0,"",AY720-O720)</f>
        <v/>
      </c>
      <c r="BD720" s="103" t="str">
        <f>IF(AND(AI720&lt;&gt;"SIM",AI720="UH"),"AA","INDENIZAÇÃO")</f>
        <v>AA</v>
      </c>
      <c r="BE720" s="103" t="str">
        <f>IF(AND(AY720&lt;&gt;"AGUARDANDO",AY720&lt;&gt;"",N720="AUXÍLIO ALUGUEL ATÉ INDENIZAÇÃO"),"SIM","NÃO")</f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7462</v>
      </c>
      <c r="G721" s="103" t="s">
        <v>4330</v>
      </c>
      <c r="H721" s="103" t="s">
        <v>4331</v>
      </c>
      <c r="I721" s="142" t="s">
        <v>4343</v>
      </c>
      <c r="J721" s="149" t="s">
        <v>7463</v>
      </c>
      <c r="K721" s="149" t="s">
        <v>7464</v>
      </c>
      <c r="L721" s="149" t="s">
        <v>7465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7463</v>
      </c>
      <c r="AC721" s="149" t="s">
        <v>7464</v>
      </c>
      <c r="AD721" s="149" t="s">
        <v>7465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>IF(AY721-KD721=0,"",AY721-O721)</f>
        <v/>
      </c>
      <c r="BD721" s="103" t="str">
        <f>IF(AND(AI721&lt;&gt;"SIM",AI721="UH"),"AA","INDENIZAÇÃO")</f>
        <v>AA</v>
      </c>
      <c r="BE721" s="103" t="str">
        <f>IF(AND(AY721&lt;&gt;"AGUARDANDO",AY721&lt;&gt;"",N721="AUXÍLIO ALUGUEL ATÉ INDENIZAÇÃO"),"SIM","NÃO")</f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7466</v>
      </c>
      <c r="G722" s="103" t="s">
        <v>4330</v>
      </c>
      <c r="H722" s="103" t="s">
        <v>4331</v>
      </c>
      <c r="I722" s="142" t="s">
        <v>4343</v>
      </c>
      <c r="J722" s="114" t="s">
        <v>7467</v>
      </c>
      <c r="K722" s="149" t="s">
        <v>7468</v>
      </c>
      <c r="L722" s="149" t="s">
        <v>7469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7467</v>
      </c>
      <c r="AC722" s="149" t="s">
        <v>7468</v>
      </c>
      <c r="AD722" s="149" t="s">
        <v>7469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>IF(AY722-KD722=0,"",AY722-O722)</f>
        <v/>
      </c>
      <c r="BD722" s="103" t="str">
        <f>IF(AND(AI722&lt;&gt;"SIM",AI722="UH"),"AA","INDENIZAÇÃO")</f>
        <v>AA</v>
      </c>
      <c r="BE722" s="103" t="str">
        <f>IF(AND(AY722&lt;&gt;"AGUARDANDO",AY722&lt;&gt;"",N722="AUXÍLIO ALUGUEL ATÉ INDENIZAÇÃO"),"SIM","NÃO")</f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customHeight="1" x14ac:dyDescent="0.25">
      <c r="A723" s="103">
        <v>712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7470</v>
      </c>
      <c r="G723" s="103" t="s">
        <v>4330</v>
      </c>
      <c r="H723" s="103" t="s">
        <v>4331</v>
      </c>
      <c r="I723" s="142" t="s">
        <v>4343</v>
      </c>
      <c r="J723" s="149" t="s">
        <v>7471</v>
      </c>
      <c r="K723" s="149" t="s">
        <v>7472</v>
      </c>
      <c r="L723" s="149" t="s">
        <v>7473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7471</v>
      </c>
      <c r="AC723" s="204" t="s">
        <v>7472</v>
      </c>
      <c r="AD723" s="204" t="s">
        <v>7473</v>
      </c>
      <c r="AE723" s="165" t="s">
        <v>4343</v>
      </c>
      <c r="AF723" s="165" t="s">
        <v>4333</v>
      </c>
      <c r="AG723" s="208">
        <v>42176.160000000003</v>
      </c>
      <c r="AH723" s="208">
        <v>60000</v>
      </c>
      <c r="AI723" s="165" t="s">
        <v>4336</v>
      </c>
      <c r="AJ723" s="104" t="s">
        <v>4438</v>
      </c>
      <c r="AK723" s="103">
        <v>146672914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7474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46056</v>
      </c>
      <c r="AV723" s="112" t="s">
        <v>4338</v>
      </c>
      <c r="AW723" s="103" t="s">
        <v>4338</v>
      </c>
      <c r="AX723" s="111">
        <v>46065</v>
      </c>
      <c r="AY723" s="157">
        <v>46065</v>
      </c>
      <c r="AZ723" s="157" t="s">
        <v>4453</v>
      </c>
      <c r="BA723" s="174" t="s">
        <v>4454</v>
      </c>
      <c r="BB723" s="136" t="s">
        <v>4338</v>
      </c>
      <c r="BC723" s="220">
        <f>IF(AY723-KD723=0,"",AY723-O723)</f>
        <v>85</v>
      </c>
      <c r="BD723" s="103" t="str">
        <f>IF(AND(AI723&lt;&gt;"SIM",AI723="UH"),"AA","INDENIZAÇÃO")</f>
        <v>INDENIZAÇÃO</v>
      </c>
      <c r="BE723" s="103" t="str">
        <f>IF(AND(AY723&lt;&gt;"AGUARDANDO",AY723&lt;&gt;"",N723="AUXÍLIO ALUGUEL ATÉ INDENIZAÇÃO"),"SIM","NÃO")</f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7475</v>
      </c>
      <c r="G724" s="103" t="s">
        <v>4330</v>
      </c>
      <c r="H724" s="103" t="s">
        <v>4331</v>
      </c>
      <c r="I724" s="142" t="s">
        <v>4343</v>
      </c>
      <c r="J724" s="149" t="s">
        <v>7476</v>
      </c>
      <c r="K724" s="149" t="s">
        <v>7477</v>
      </c>
      <c r="L724" s="149" t="s">
        <v>7478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7476</v>
      </c>
      <c r="AC724" s="149" t="s">
        <v>7477</v>
      </c>
      <c r="AD724" s="149" t="s">
        <v>7478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>IF(AY724-KD724=0,"",AY724-O724)</f>
        <v/>
      </c>
      <c r="BD724" s="103" t="str">
        <f>IF(AND(AI724&lt;&gt;"SIM",AI724="UH"),"AA","INDENIZAÇÃO")</f>
        <v>AA</v>
      </c>
      <c r="BE724" s="103" t="str">
        <f>IF(AND(AY724&lt;&gt;"AGUARDANDO",AY724&lt;&gt;"",N724="AUXÍLIO ALUGUEL ATÉ INDENIZAÇÃO"),"SIM","NÃO")</f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customHeight="1" x14ac:dyDescent="0.25">
      <c r="A725" s="165">
        <v>714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7479</v>
      </c>
      <c r="G725" s="103" t="s">
        <v>4330</v>
      </c>
      <c r="H725" s="103" t="s">
        <v>4331</v>
      </c>
      <c r="I725" s="142" t="s">
        <v>4343</v>
      </c>
      <c r="J725" s="149" t="s">
        <v>7480</v>
      </c>
      <c r="K725" s="149" t="s">
        <v>7481</v>
      </c>
      <c r="L725" s="149" t="s">
        <v>7482</v>
      </c>
      <c r="M725" s="103" t="s">
        <v>4333</v>
      </c>
      <c r="N725" s="103" t="s">
        <v>4459</v>
      </c>
      <c r="O725" s="105">
        <v>45980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7480</v>
      </c>
      <c r="AC725" s="204" t="s">
        <v>7481</v>
      </c>
      <c r="AD725" s="204" t="s">
        <v>7482</v>
      </c>
      <c r="AE725" s="165" t="s">
        <v>4343</v>
      </c>
      <c r="AF725" s="165" t="s">
        <v>4333</v>
      </c>
      <c r="AG725" s="208">
        <v>33820.92</v>
      </c>
      <c r="AH725" s="208">
        <v>60000</v>
      </c>
      <c r="AI725" s="165" t="s">
        <v>4336</v>
      </c>
      <c r="AJ725" s="104" t="s">
        <v>4438</v>
      </c>
      <c r="AK725" s="103">
        <v>146686404</v>
      </c>
      <c r="AL725" s="103" t="s">
        <v>4338</v>
      </c>
      <c r="AM725" s="103" t="s">
        <v>4338</v>
      </c>
      <c r="AN725" s="103" t="s">
        <v>4339</v>
      </c>
      <c r="AO725" s="112"/>
      <c r="AP725" s="171" t="s">
        <v>7483</v>
      </c>
      <c r="AQ725" s="103" t="s">
        <v>4338</v>
      </c>
      <c r="AR725" s="103" t="s">
        <v>4338</v>
      </c>
      <c r="AS725" s="103" t="s">
        <v>4338</v>
      </c>
      <c r="AT725" s="103" t="s">
        <v>4338</v>
      </c>
      <c r="AU725" s="105">
        <v>46021</v>
      </c>
      <c r="AV725" s="112" t="s">
        <v>4338</v>
      </c>
      <c r="AW725" s="103" t="s">
        <v>4338</v>
      </c>
      <c r="AX725" s="264">
        <v>46041</v>
      </c>
      <c r="AY725" s="157">
        <v>46041</v>
      </c>
      <c r="AZ725" s="157" t="s">
        <v>4453</v>
      </c>
      <c r="BA725" s="107" t="s">
        <v>4454</v>
      </c>
      <c r="BB725" s="136" t="s">
        <v>4338</v>
      </c>
      <c r="BC725" s="220">
        <f>IF(AY725-KD725=0,"",AY725-O725)</f>
        <v>61</v>
      </c>
      <c r="BD725" s="103" t="str">
        <f>IF(AND(AI725&lt;&gt;"SIM",AI725="UH"),"AA","INDENIZAÇÃO")</f>
        <v>INDENIZAÇÃO</v>
      </c>
      <c r="BE725" s="103" t="str">
        <f>IF(AND(AY725&lt;&gt;"AGUARDANDO",AY725&lt;&gt;"",N725="AUXÍLIO ALUGUEL ATÉ INDENIZAÇÃO"),"SIM","NÃO")</f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7484</v>
      </c>
      <c r="G726" s="103" t="s">
        <v>4330</v>
      </c>
      <c r="H726" s="103" t="s">
        <v>4331</v>
      </c>
      <c r="I726" s="142" t="s">
        <v>4343</v>
      </c>
      <c r="J726" s="149" t="s">
        <v>7485</v>
      </c>
      <c r="K726" s="149" t="s">
        <v>7486</v>
      </c>
      <c r="L726" s="149" t="s">
        <v>7487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7485</v>
      </c>
      <c r="AC726" s="149" t="s">
        <v>7486</v>
      </c>
      <c r="AD726" s="149" t="s">
        <v>7487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>IF(AY726-KD726=0,"",AY726-O726)</f>
        <v/>
      </c>
      <c r="BD726" s="103" t="str">
        <f>IF(AND(AI726&lt;&gt;"SIM",AI726="UH"),"AA","INDENIZAÇÃO")</f>
        <v>AA</v>
      </c>
      <c r="BE726" s="103" t="str">
        <f>IF(AND(AY726&lt;&gt;"AGUARDANDO",AY726&lt;&gt;"",N726="AUXÍLIO ALUGUEL ATÉ INDENIZAÇÃO"),"SIM","NÃO")</f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7488</v>
      </c>
      <c r="G727" s="103" t="s">
        <v>4330</v>
      </c>
      <c r="H727" s="103" t="s">
        <v>4331</v>
      </c>
      <c r="I727" s="142" t="s">
        <v>4343</v>
      </c>
      <c r="J727" s="114" t="s">
        <v>7489</v>
      </c>
      <c r="K727" s="149" t="s">
        <v>7490</v>
      </c>
      <c r="L727" s="149" t="s">
        <v>7491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7489</v>
      </c>
      <c r="AC727" s="149" t="s">
        <v>7490</v>
      </c>
      <c r="AD727" s="149" t="s">
        <v>7491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>IF(AY727-KD727=0,"",AY727-O727)</f>
        <v/>
      </c>
      <c r="BD727" s="103" t="str">
        <f>IF(AND(AI727&lt;&gt;"SIM",AI727="UH"),"AA","INDENIZAÇÃO")</f>
        <v>AA</v>
      </c>
      <c r="BE727" s="103" t="str">
        <f>IF(AND(AY727&lt;&gt;"AGUARDANDO",AY727&lt;&gt;"",N727="AUXÍLIO ALUGUEL ATÉ INDENIZAÇÃO"),"SIM","NÃO")</f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7492</v>
      </c>
      <c r="G728" s="103" t="s">
        <v>4330</v>
      </c>
      <c r="H728" s="103" t="s">
        <v>4331</v>
      </c>
      <c r="I728" s="142" t="s">
        <v>4343</v>
      </c>
      <c r="J728" s="114" t="s">
        <v>7493</v>
      </c>
      <c r="K728" s="149" t="s">
        <v>7494</v>
      </c>
      <c r="L728" s="149" t="s">
        <v>7495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7493</v>
      </c>
      <c r="AC728" s="149" t="s">
        <v>7494</v>
      </c>
      <c r="AD728" s="149" t="s">
        <v>7495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>IF(AY728-KD728=0,"",AY728-O728)</f>
        <v/>
      </c>
      <c r="BD728" s="103" t="str">
        <f>IF(AND(AI728&lt;&gt;"SIM",AI728="UH"),"AA","INDENIZAÇÃO")</f>
        <v>AA</v>
      </c>
      <c r="BE728" s="103" t="str">
        <f>IF(AND(AY728&lt;&gt;"AGUARDANDO",AY728&lt;&gt;"",N728="AUXÍLIO ALUGUEL ATÉ INDENIZAÇÃO"),"SIM","NÃO")</f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7496</v>
      </c>
      <c r="G729" s="103" t="s">
        <v>4330</v>
      </c>
      <c r="H729" s="103" t="s">
        <v>4331</v>
      </c>
      <c r="I729" s="142" t="s">
        <v>4343</v>
      </c>
      <c r="J729" s="114" t="s">
        <v>7497</v>
      </c>
      <c r="K729" s="149" t="s">
        <v>7498</v>
      </c>
      <c r="L729" s="149" t="s">
        <v>7499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7497</v>
      </c>
      <c r="AC729" s="149" t="s">
        <v>7498</v>
      </c>
      <c r="AD729" s="149" t="s">
        <v>7499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>IF(AY729-KD729=0,"",AY729-O729)</f>
        <v/>
      </c>
      <c r="BD729" s="103" t="str">
        <f>IF(AND(AI729&lt;&gt;"SIM",AI729="UH"),"AA","INDENIZAÇÃO")</f>
        <v>AA</v>
      </c>
      <c r="BE729" s="103" t="str">
        <f>IF(AND(AY729&lt;&gt;"AGUARDANDO",AY729&lt;&gt;"",N729="AUXÍLIO ALUGUEL ATÉ INDENIZAÇÃO"),"SIM","NÃO")</f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7500</v>
      </c>
      <c r="G730" s="103" t="s">
        <v>4330</v>
      </c>
      <c r="H730" s="103" t="s">
        <v>4331</v>
      </c>
      <c r="I730" s="142" t="s">
        <v>4343</v>
      </c>
      <c r="J730" s="114" t="s">
        <v>7501</v>
      </c>
      <c r="K730" s="149" t="s">
        <v>7502</v>
      </c>
      <c r="L730" s="149" t="s">
        <v>7503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7501</v>
      </c>
      <c r="AC730" s="149" t="s">
        <v>7502</v>
      </c>
      <c r="AD730" s="149" t="s">
        <v>7504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>IF(AY730-KD730=0,"",AY730-O730)</f>
        <v/>
      </c>
      <c r="BD730" s="103" t="str">
        <f>IF(AND(AI730&lt;&gt;"SIM",AI730="UH"),"AA","INDENIZAÇÃO")</f>
        <v>AA</v>
      </c>
      <c r="BE730" s="103" t="str">
        <f>IF(AND(AY730&lt;&gt;"AGUARDANDO",AY730&lt;&gt;"",N730="AUXÍLIO ALUGUEL ATÉ INDENIZAÇÃO"),"SIM","NÃO")</f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7505</v>
      </c>
      <c r="G731" s="103" t="s">
        <v>4330</v>
      </c>
      <c r="H731" s="103" t="s">
        <v>4331</v>
      </c>
      <c r="I731" s="142" t="s">
        <v>4343</v>
      </c>
      <c r="J731" s="114" t="s">
        <v>7506</v>
      </c>
      <c r="K731" s="149" t="s">
        <v>7507</v>
      </c>
      <c r="L731" s="149" t="s">
        <v>7508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7506</v>
      </c>
      <c r="AC731" s="149" t="s">
        <v>7507</v>
      </c>
      <c r="AD731" s="149" t="s">
        <v>7508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>IF(AY731-KD731=0,"",AY731-O731)</f>
        <v/>
      </c>
      <c r="BD731" s="103" t="str">
        <f>IF(AND(AI731&lt;&gt;"SIM",AI731="UH"),"AA","INDENIZAÇÃO")</f>
        <v>AA</v>
      </c>
      <c r="BE731" s="103" t="str">
        <f>IF(AND(AY731&lt;&gt;"AGUARDANDO",AY731&lt;&gt;"",N731="AUXÍLIO ALUGUEL ATÉ INDENIZAÇÃO"),"SIM","NÃO")</f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7509</v>
      </c>
      <c r="G732" s="103" t="s">
        <v>4330</v>
      </c>
      <c r="H732" s="103" t="s">
        <v>4331</v>
      </c>
      <c r="I732" s="142" t="s">
        <v>4343</v>
      </c>
      <c r="J732" s="114" t="s">
        <v>7510</v>
      </c>
      <c r="K732" s="149" t="s">
        <v>7511</v>
      </c>
      <c r="L732" s="149" t="s">
        <v>7512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7510</v>
      </c>
      <c r="AC732" s="149" t="s">
        <v>7511</v>
      </c>
      <c r="AD732" s="149" t="s">
        <v>7512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>IF(AY732-KD732=0,"",AY732-O732)</f>
        <v/>
      </c>
      <c r="BD732" s="103" t="str">
        <f>IF(AND(AI732&lt;&gt;"SIM",AI732="UH"),"AA","INDENIZAÇÃO")</f>
        <v>AA</v>
      </c>
      <c r="BE732" s="103" t="str">
        <f>IF(AND(AY732&lt;&gt;"AGUARDANDO",AY732&lt;&gt;"",N732="AUXÍLIO ALUGUEL ATÉ INDENIZAÇÃO"),"SIM","NÃO")</f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7513</v>
      </c>
      <c r="G733" s="103" t="s">
        <v>4330</v>
      </c>
      <c r="H733" s="103" t="s">
        <v>4331</v>
      </c>
      <c r="I733" s="142" t="s">
        <v>4343</v>
      </c>
      <c r="J733" s="149" t="s">
        <v>7514</v>
      </c>
      <c r="K733" s="149" t="s">
        <v>7515</v>
      </c>
      <c r="L733" s="149" t="s">
        <v>7516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7514</v>
      </c>
      <c r="AC733" s="149" t="s">
        <v>7515</v>
      </c>
      <c r="AD733" s="149" t="s">
        <v>7516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>IF(AY733-KD733=0,"",AY733-O733)</f>
        <v/>
      </c>
      <c r="BD733" s="103" t="str">
        <f>IF(AND(AI733&lt;&gt;"SIM",AI733="UH"),"AA","INDENIZAÇÃO")</f>
        <v>AA</v>
      </c>
      <c r="BE733" s="103" t="str">
        <f>IF(AND(AY733&lt;&gt;"AGUARDANDO",AY733&lt;&gt;"",N733="AUXÍLIO ALUGUEL ATÉ INDENIZAÇÃO"),"SIM","NÃO")</f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7517</v>
      </c>
      <c r="G734" s="103" t="s">
        <v>4330</v>
      </c>
      <c r="H734" s="103" t="s">
        <v>4331</v>
      </c>
      <c r="I734" s="142" t="s">
        <v>4343</v>
      </c>
      <c r="J734" s="114" t="s">
        <v>7518</v>
      </c>
      <c r="K734" s="149" t="s">
        <v>7519</v>
      </c>
      <c r="L734" s="149" t="s">
        <v>7520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7518</v>
      </c>
      <c r="AC734" s="149" t="s">
        <v>7519</v>
      </c>
      <c r="AD734" s="149" t="s">
        <v>7520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>IF(AY734-KD734=0,"",AY734-O734)</f>
        <v/>
      </c>
      <c r="BD734" s="103" t="str">
        <f>IF(AND(AI734&lt;&gt;"SIM",AI734="UH"),"AA","INDENIZAÇÃO")</f>
        <v>AA</v>
      </c>
      <c r="BE734" s="103" t="str">
        <f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7521</v>
      </c>
      <c r="G735" s="103" t="s">
        <v>4330</v>
      </c>
      <c r="H735" s="103" t="s">
        <v>4331</v>
      </c>
      <c r="I735" s="142" t="s">
        <v>4343</v>
      </c>
      <c r="J735" s="149" t="s">
        <v>7522</v>
      </c>
      <c r="K735" s="149" t="s">
        <v>4457</v>
      </c>
      <c r="L735" s="149" t="s">
        <v>7523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7522</v>
      </c>
      <c r="AC735" s="149" t="s">
        <v>4457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>IF(AY735-KD735=0,"",AY735-O735)</f>
        <v/>
      </c>
      <c r="BD735" s="103" t="str">
        <f>IF(AND(AI735&lt;&gt;"SIM",AI735="UH"),"AA","INDENIZAÇÃO")</f>
        <v>AA</v>
      </c>
      <c r="BE735" s="103" t="str">
        <f>IF(AND(AY735&lt;&gt;"AGUARDANDO",AY735&lt;&gt;"",N735="AUXÍLIO ALUGUEL ATÉ INDENIZAÇÃO"),"SIM","NÃO")</f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>IF(AY736-KD736=0,"",AY736-O736)</f>
        <v/>
      </c>
      <c r="BD736" s="103" t="str">
        <f>IF(AND(AI736&lt;&gt;"SIM",AI736="UH"),"AA","INDENIZAÇÃO")</f>
        <v>AA</v>
      </c>
      <c r="BE736" s="103" t="str">
        <f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49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>IF(AY737-KD737=0,"",AY737-O737)</f>
        <v/>
      </c>
      <c r="BD737" s="103" t="str">
        <f>IF(AND(AI737&lt;&gt;"SIM",AI737="UH"),"AA","INDENIZAÇÃO")</f>
        <v>AA</v>
      </c>
      <c r="BE737" s="103" t="str">
        <f>IF(AND(AY737&lt;&gt;"AGUARDANDO",AY737&lt;&gt;"",N737="AUXÍLIO ALUGUEL ATÉ INDENIZAÇÃO"),"SIM","NÃO")</f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14" t="s">
        <v>7533</v>
      </c>
      <c r="K738" s="149" t="s">
        <v>7534</v>
      </c>
      <c r="L738" s="149" t="s">
        <v>7535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7533</v>
      </c>
      <c r="AC738" s="149" t="s">
        <v>7534</v>
      </c>
      <c r="AD738" s="149" t="s">
        <v>7535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>IF(AY738-KD738=0,"",AY738-O738)</f>
        <v/>
      </c>
      <c r="BD738" s="103" t="str">
        <f>IF(AND(AI738&lt;&gt;"SIM",AI738="UH"),"AA","INDENIZAÇÃO")</f>
        <v>AA</v>
      </c>
      <c r="BE738" s="103" t="str">
        <f>IF(AND(AY738&lt;&gt;"AGUARDANDO",AY738&lt;&gt;"",N738="AUXÍLIO ALUGUEL ATÉ INDENIZAÇÃO"),"SIM","NÃO")</f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7536</v>
      </c>
      <c r="G739" s="103" t="s">
        <v>4330</v>
      </c>
      <c r="H739" s="103" t="s">
        <v>4331</v>
      </c>
      <c r="I739" s="142" t="s">
        <v>4343</v>
      </c>
      <c r="J739" s="149" t="s">
        <v>7537</v>
      </c>
      <c r="K739" s="149" t="s">
        <v>7538</v>
      </c>
      <c r="L739" s="149" t="s">
        <v>7539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7537</v>
      </c>
      <c r="AC739" s="149" t="s">
        <v>7538</v>
      </c>
      <c r="AD739" s="149" t="s">
        <v>7539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>IF(AY739-KD739=0,"",AY739-O739)</f>
        <v/>
      </c>
      <c r="BD739" s="103" t="str">
        <f>IF(AND(AI739&lt;&gt;"SIM",AI739="UH"),"AA","INDENIZAÇÃO")</f>
        <v>AA</v>
      </c>
      <c r="BE739" s="103" t="str">
        <f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7540</v>
      </c>
      <c r="G740" s="103" t="s">
        <v>4330</v>
      </c>
      <c r="H740" s="103" t="s">
        <v>4331</v>
      </c>
      <c r="I740" s="142" t="s">
        <v>4343</v>
      </c>
      <c r="J740" s="149" t="s">
        <v>7541</v>
      </c>
      <c r="K740" s="149" t="s">
        <v>7542</v>
      </c>
      <c r="L740" s="149" t="s">
        <v>7543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7541</v>
      </c>
      <c r="AC740" s="149" t="s">
        <v>7542</v>
      </c>
      <c r="AD740" s="149" t="s">
        <v>7543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>IF(AY740-KD740=0,"",AY740-O740)</f>
        <v/>
      </c>
      <c r="BD740" s="103" t="str">
        <f>IF(AND(AI740&lt;&gt;"SIM",AI740="UH"),"AA","INDENIZAÇÃO")</f>
        <v>AA</v>
      </c>
      <c r="BE740" s="103" t="str">
        <f>IF(AND(AY740&lt;&gt;"AGUARDANDO",AY740&lt;&gt;"",N740="AUXÍLIO ALUGUEL ATÉ INDENIZAÇÃO"),"SIM","NÃO")</f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7544</v>
      </c>
      <c r="G741" s="103" t="s">
        <v>4330</v>
      </c>
      <c r="H741" s="103" t="s">
        <v>4331</v>
      </c>
      <c r="I741" s="142" t="s">
        <v>4343</v>
      </c>
      <c r="J741" s="149" t="s">
        <v>7545</v>
      </c>
      <c r="K741" s="149" t="s">
        <v>7546</v>
      </c>
      <c r="L741" s="149" t="s">
        <v>7547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7545</v>
      </c>
      <c r="AC741" s="149" t="s">
        <v>7546</v>
      </c>
      <c r="AD741" s="149" t="s">
        <v>7547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>IF(AY741-KD741=0,"",AY741-O741)</f>
        <v/>
      </c>
      <c r="BD741" s="103" t="str">
        <f>IF(AND(AI741&lt;&gt;"SIM",AI741="UH"),"AA","INDENIZAÇÃO")</f>
        <v>AA</v>
      </c>
      <c r="BE741" s="103" t="str">
        <f>IF(AND(AY741&lt;&gt;"AGUARDANDO",AY741&lt;&gt;"",N741="AUXÍLIO ALUGUEL ATÉ INDENIZAÇÃO"),"SIM","NÃO")</f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7548</v>
      </c>
      <c r="G742" s="103" t="s">
        <v>4330</v>
      </c>
      <c r="H742" s="103" t="s">
        <v>4331</v>
      </c>
      <c r="I742" s="142" t="s">
        <v>4343</v>
      </c>
      <c r="J742" s="149" t="s">
        <v>7549</v>
      </c>
      <c r="K742" s="149" t="s">
        <v>7550</v>
      </c>
      <c r="L742" s="149" t="s">
        <v>7551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7549</v>
      </c>
      <c r="AC742" s="149" t="s">
        <v>7550</v>
      </c>
      <c r="AD742" s="149" t="s">
        <v>7551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>IF(AY742-KD742=0,"",AY742-O742)</f>
        <v/>
      </c>
      <c r="BD742" s="103" t="str">
        <f>IF(AND(AI742&lt;&gt;"SIM",AI742="UH"),"AA","INDENIZAÇÃO")</f>
        <v>AA</v>
      </c>
      <c r="BE742" s="103" t="str">
        <f>IF(AND(AY742&lt;&gt;"AGUARDANDO",AY742&lt;&gt;"",N742="AUXÍLIO ALUGUEL ATÉ INDENIZAÇÃO"),"SIM","NÃO")</f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7552</v>
      </c>
      <c r="G743" s="103" t="s">
        <v>4330</v>
      </c>
      <c r="H743" s="103" t="s">
        <v>4331</v>
      </c>
      <c r="I743" s="142" t="s">
        <v>4343</v>
      </c>
      <c r="J743" s="114" t="s">
        <v>7553</v>
      </c>
      <c r="K743" s="149" t="s">
        <v>7554</v>
      </c>
      <c r="L743" s="149" t="s">
        <v>7555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7553</v>
      </c>
      <c r="AC743" s="149" t="s">
        <v>7554</v>
      </c>
      <c r="AD743" s="149" t="s">
        <v>7555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>IF(AY743-KD743=0,"",AY743-O743)</f>
        <v/>
      </c>
      <c r="BD743" s="103" t="str">
        <f>IF(AND(AI743&lt;&gt;"SIM",AI743="UH"),"AA","INDENIZAÇÃO")</f>
        <v>AA</v>
      </c>
      <c r="BE743" s="103" t="str">
        <f>IF(AND(AY743&lt;&gt;"AGUARDANDO",AY743&lt;&gt;"",N743="AUXÍLIO ALUGUEL ATÉ INDENIZAÇÃO"),"SIM","NÃO")</f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7556</v>
      </c>
      <c r="G744" s="103" t="s">
        <v>4330</v>
      </c>
      <c r="H744" s="103" t="s">
        <v>4331</v>
      </c>
      <c r="I744" s="142" t="s">
        <v>4343</v>
      </c>
      <c r="J744" s="149" t="s">
        <v>7557</v>
      </c>
      <c r="K744" s="149" t="s">
        <v>7558</v>
      </c>
      <c r="L744" s="149" t="s">
        <v>7559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7557</v>
      </c>
      <c r="AC744" s="149" t="s">
        <v>7558</v>
      </c>
      <c r="AD744" s="149" t="s">
        <v>7559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>IF(AY744-KD744=0,"",AY744-O744)</f>
        <v/>
      </c>
      <c r="BD744" s="103" t="str">
        <f>IF(AND(AI744&lt;&gt;"SIM",AI744="UH"),"AA","INDENIZAÇÃO")</f>
        <v>AA</v>
      </c>
      <c r="BE744" s="103" t="str">
        <f>IF(AND(AY744&lt;&gt;"AGUARDANDO",AY744&lt;&gt;"",N744="AUXÍLIO ALUGUEL ATÉ INDENIZAÇÃO"),"SIM","NÃO")</f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7560</v>
      </c>
      <c r="G745" s="103" t="s">
        <v>4330</v>
      </c>
      <c r="H745" s="103" t="s">
        <v>4331</v>
      </c>
      <c r="I745" s="142" t="s">
        <v>4343</v>
      </c>
      <c r="J745" s="149" t="s">
        <v>7561</v>
      </c>
      <c r="K745" s="149" t="s">
        <v>7562</v>
      </c>
      <c r="L745" s="149" t="s">
        <v>7563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7561</v>
      </c>
      <c r="AC745" s="149" t="s">
        <v>7562</v>
      </c>
      <c r="AD745" s="149" t="s">
        <v>7563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>IF(AY745-KD745=0,"",AY745-O745)</f>
        <v/>
      </c>
      <c r="BD745" s="103" t="str">
        <f>IF(AND(AI745&lt;&gt;"SIM",AI745="UH"),"AA","INDENIZAÇÃO")</f>
        <v>AA</v>
      </c>
      <c r="BE745" s="103" t="str">
        <f>IF(AND(AY745&lt;&gt;"AGUARDANDO",AY745&lt;&gt;"",N745="AUXÍLIO ALUGUEL ATÉ INDENIZAÇÃO"),"SIM","NÃO")</f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7564</v>
      </c>
      <c r="G746" s="103" t="s">
        <v>4330</v>
      </c>
      <c r="H746" s="103" t="s">
        <v>4331</v>
      </c>
      <c r="I746" s="142" t="s">
        <v>4343</v>
      </c>
      <c r="J746" s="149" t="s">
        <v>7565</v>
      </c>
      <c r="K746" s="149" t="s">
        <v>7566</v>
      </c>
      <c r="L746" s="149" t="s">
        <v>7567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7568</v>
      </c>
      <c r="AB746" s="149" t="s">
        <v>7565</v>
      </c>
      <c r="AC746" s="149" t="s">
        <v>7566</v>
      </c>
      <c r="AD746" s="149" t="s">
        <v>7567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>IF(AY746-KD746=0,"",AY746-O746)</f>
        <v/>
      </c>
      <c r="BD746" s="103" t="str">
        <f>IF(AND(AI746&lt;&gt;"SIM",AI746="UH"),"AA","INDENIZAÇÃO")</f>
        <v>AA</v>
      </c>
      <c r="BE746" s="103" t="str">
        <f>IF(AND(AY746&lt;&gt;"AGUARDANDO",AY746&lt;&gt;"",N746="AUXÍLIO ALUGUEL ATÉ INDENIZAÇÃO"),"SIM","NÃO")</f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7569</v>
      </c>
      <c r="G747" s="103" t="s">
        <v>4330</v>
      </c>
      <c r="H747" s="103" t="s">
        <v>4331</v>
      </c>
      <c r="I747" s="142" t="s">
        <v>4343</v>
      </c>
      <c r="J747" s="149" t="s">
        <v>7570</v>
      </c>
      <c r="K747" s="149" t="s">
        <v>7571</v>
      </c>
      <c r="L747" s="149" t="s">
        <v>7572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7570</v>
      </c>
      <c r="AC747" s="149" t="s">
        <v>7571</v>
      </c>
      <c r="AD747" s="149" t="s">
        <v>7572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>IF(AY747-KD747=0,"",AY747-O747)</f>
        <v/>
      </c>
      <c r="BD747" s="103" t="str">
        <f>IF(AND(AI747&lt;&gt;"SIM",AI747="UH"),"AA","INDENIZAÇÃO")</f>
        <v>AA</v>
      </c>
      <c r="BE747" s="103" t="str">
        <f>IF(AND(AY747&lt;&gt;"AGUARDANDO",AY747&lt;&gt;"",N747="AUXÍLIO ALUGUEL ATÉ INDENIZAÇÃO"),"SIM","NÃO")</f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7573</v>
      </c>
      <c r="G748" s="103" t="s">
        <v>4330</v>
      </c>
      <c r="H748" s="103" t="s">
        <v>4331</v>
      </c>
      <c r="I748" s="142" t="s">
        <v>4343</v>
      </c>
      <c r="J748" s="149" t="s">
        <v>7574</v>
      </c>
      <c r="K748" s="149" t="s">
        <v>7575</v>
      </c>
      <c r="L748" s="149" t="s">
        <v>7576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7574</v>
      </c>
      <c r="AC748" s="149" t="s">
        <v>7575</v>
      </c>
      <c r="AD748" s="149" t="s">
        <v>7576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>IF(AY748-KD748=0,"",AY748-O748)</f>
        <v/>
      </c>
      <c r="BD748" s="103" t="str">
        <f>IF(AND(AI748&lt;&gt;"SIM",AI748="UH"),"AA","INDENIZAÇÃO")</f>
        <v>AA</v>
      </c>
      <c r="BE748" s="103" t="str">
        <f>IF(AND(AY748&lt;&gt;"AGUARDANDO",AY748&lt;&gt;"",N748="AUXÍLIO ALUGUEL ATÉ INDENIZAÇÃO"),"SIM","NÃO")</f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7577</v>
      </c>
      <c r="G749" s="103" t="s">
        <v>4330</v>
      </c>
      <c r="H749" s="103" t="s">
        <v>4331</v>
      </c>
      <c r="I749" s="142" t="s">
        <v>4343</v>
      </c>
      <c r="J749" s="114" t="s">
        <v>7578</v>
      </c>
      <c r="K749" s="149" t="s">
        <v>7579</v>
      </c>
      <c r="L749" s="149" t="s">
        <v>7580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7578</v>
      </c>
      <c r="AC749" s="149" t="s">
        <v>7579</v>
      </c>
      <c r="AD749" s="149" t="s">
        <v>7580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>IF(AY749-KD749=0,"",AY749-O749)</f>
        <v/>
      </c>
      <c r="BD749" s="103" t="str">
        <f>IF(AND(AI749&lt;&gt;"SIM",AI749="UH"),"AA","INDENIZAÇÃO")</f>
        <v>AA</v>
      </c>
      <c r="BE749" s="103" t="str">
        <f>IF(AND(AY749&lt;&gt;"AGUARDANDO",AY749&lt;&gt;"",N749="AUXÍLIO ALUGUEL ATÉ INDENIZAÇÃO"),"SIM","NÃO")</f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7581</v>
      </c>
      <c r="G750" s="103" t="s">
        <v>4330</v>
      </c>
      <c r="H750" s="103" t="s">
        <v>4331</v>
      </c>
      <c r="I750" s="142" t="s">
        <v>4343</v>
      </c>
      <c r="J750" s="114" t="s">
        <v>7582</v>
      </c>
      <c r="K750" s="149" t="s">
        <v>7583</v>
      </c>
      <c r="L750" s="149" t="s">
        <v>7584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7582</v>
      </c>
      <c r="AC750" s="149" t="s">
        <v>7583</v>
      </c>
      <c r="AD750" s="149" t="s">
        <v>7584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>IF(AY750-KD750=0,"",AY750-O750)</f>
        <v/>
      </c>
      <c r="BD750" s="103" t="str">
        <f>IF(AND(AI750&lt;&gt;"SIM",AI750="UH"),"AA","INDENIZAÇÃO")</f>
        <v>AA</v>
      </c>
      <c r="BE750" s="103" t="str">
        <f>IF(AND(AY750&lt;&gt;"AGUARDANDO",AY750&lt;&gt;"",N750="AUXÍLIO ALUGUEL ATÉ INDENIZAÇÃO"),"SIM","NÃO")</f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7585</v>
      </c>
      <c r="G751" s="103" t="s">
        <v>4330</v>
      </c>
      <c r="H751" s="103" t="s">
        <v>4331</v>
      </c>
      <c r="I751" s="142" t="s">
        <v>7003</v>
      </c>
      <c r="J751" s="149" t="s">
        <v>7586</v>
      </c>
      <c r="K751" s="149" t="s">
        <v>4457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7586</v>
      </c>
      <c r="AC751" s="149" t="s">
        <v>4457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>IF(AY751-KD751=0,"",AY751-O751)</f>
        <v/>
      </c>
      <c r="BD751" s="103" t="str">
        <f>IF(AND(AI751&lt;&gt;"SIM",AI751="UH"),"AA","INDENIZAÇÃO")</f>
        <v>AA</v>
      </c>
      <c r="BE751" s="103" t="str">
        <f>IF(AND(AY751&lt;&gt;"AGUARDANDO",AY751&lt;&gt;"",N751="AUXÍLIO ALUGUEL ATÉ INDENIZAÇÃO"),"SIM","NÃO")</f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49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>IF(AY752-KD752=0,"",AY752-O752)</f>
        <v/>
      </c>
      <c r="BD752" s="103" t="str">
        <f>IF(AND(AI752&lt;&gt;"SIM",AI752="UH"),"AA","INDENIZAÇÃO")</f>
        <v>AA</v>
      </c>
      <c r="BE752" s="103" t="str">
        <f>IF(AND(AY752&lt;&gt;"AGUARDANDO",AY752&lt;&gt;"",N752="AUXÍLIO ALUGUEL ATÉ INDENIZAÇÃO"),"SIM","NÃO")</f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49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>IF(AY753-KD753=0,"",AY753-O753)</f>
        <v/>
      </c>
      <c r="BD753" s="103" t="str">
        <f>IF(AND(AI753&lt;&gt;"SIM",AI753="UH"),"AA","INDENIZAÇÃO")</f>
        <v>AA</v>
      </c>
      <c r="BE753" s="103" t="str">
        <f>IF(AND(AY753&lt;&gt;"AGUARDANDO",AY753&lt;&gt;"",N753="AUXÍLIO ALUGUEL ATÉ INDENIZAÇÃO"),"SIM","NÃO")</f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4343</v>
      </c>
      <c r="J754" s="149" t="s">
        <v>7597</v>
      </c>
      <c r="K754" s="149" t="s">
        <v>7598</v>
      </c>
      <c r="L754" s="149" t="s">
        <v>7599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7597</v>
      </c>
      <c r="AC754" s="149" t="s">
        <v>7598</v>
      </c>
      <c r="AD754" s="149" t="s">
        <v>7599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>IF(AY754-KD754=0,"",AY754-O754)</f>
        <v/>
      </c>
      <c r="BD754" s="103" t="str">
        <f>IF(AND(AI754&lt;&gt;"SIM",AI754="UH"),"AA","INDENIZAÇÃO")</f>
        <v>AA</v>
      </c>
      <c r="BE754" s="103" t="str">
        <f>IF(AND(AY754&lt;&gt;"AGUARDANDO",AY754&lt;&gt;"",N754="AUXÍLIO ALUGUEL ATÉ INDENIZAÇÃO"),"SIM","NÃO")</f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7600</v>
      </c>
      <c r="G755" s="103" t="s">
        <v>4330</v>
      </c>
      <c r="H755" s="103" t="s">
        <v>4331</v>
      </c>
      <c r="I755" s="142" t="s">
        <v>4343</v>
      </c>
      <c r="J755" s="149" t="s">
        <v>7601</v>
      </c>
      <c r="K755" s="149" t="s">
        <v>7602</v>
      </c>
      <c r="L755" s="149" t="s">
        <v>7603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7601</v>
      </c>
      <c r="AC755" s="149" t="s">
        <v>7602</v>
      </c>
      <c r="AD755" s="149" t="s">
        <v>7603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>IF(AY755-KD755=0,"",AY755-O755)</f>
        <v/>
      </c>
      <c r="BD755" s="103" t="str">
        <f>IF(AND(AI755&lt;&gt;"SIM",AI755="UH"),"AA","INDENIZAÇÃO")</f>
        <v>AA</v>
      </c>
      <c r="BE755" s="103" t="str">
        <f>IF(AND(AY755&lt;&gt;"AGUARDANDO",AY755&lt;&gt;"",N755="AUXÍLIO ALUGUEL ATÉ INDENIZAÇÃO"),"SIM","NÃO")</f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7604</v>
      </c>
      <c r="G756" s="103" t="s">
        <v>4330</v>
      </c>
      <c r="H756" s="103" t="s">
        <v>4331</v>
      </c>
      <c r="I756" s="142" t="s">
        <v>4343</v>
      </c>
      <c r="J756" s="149" t="s">
        <v>7605</v>
      </c>
      <c r="K756" s="149" t="s">
        <v>7606</v>
      </c>
      <c r="L756" s="149" t="s">
        <v>7607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7605</v>
      </c>
      <c r="AC756" s="149" t="s">
        <v>7606</v>
      </c>
      <c r="AD756" s="149" t="s">
        <v>7607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>IF(AY756-KD756=0,"",AY756-O756)</f>
        <v/>
      </c>
      <c r="BD756" s="103" t="str">
        <f>IF(AND(AI756&lt;&gt;"SIM",AI756="UH"),"AA","INDENIZAÇÃO")</f>
        <v>AA</v>
      </c>
      <c r="BE756" s="103" t="str">
        <f>IF(AND(AY756&lt;&gt;"AGUARDANDO",AY756&lt;&gt;"",N756="AUXÍLIO ALUGUEL ATÉ INDENIZAÇÃO"),"SIM","NÃO")</f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7608</v>
      </c>
      <c r="G757" s="103" t="s">
        <v>4330</v>
      </c>
      <c r="H757" s="103" t="s">
        <v>4331</v>
      </c>
      <c r="I757" s="142" t="s">
        <v>4343</v>
      </c>
      <c r="J757" s="149" t="s">
        <v>7609</v>
      </c>
      <c r="K757" s="149" t="s">
        <v>7610</v>
      </c>
      <c r="L757" s="149" t="s">
        <v>7611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7609</v>
      </c>
      <c r="AC757" s="149" t="s">
        <v>7610</v>
      </c>
      <c r="AD757" s="149" t="s">
        <v>7611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>IF(AY757-KD757=0,"",AY757-O757)</f>
        <v/>
      </c>
      <c r="BD757" s="103" t="str">
        <f>IF(AND(AI757&lt;&gt;"SIM",AI757="UH"),"AA","INDENIZAÇÃO")</f>
        <v>AA</v>
      </c>
      <c r="BE757" s="103" t="str">
        <f>IF(AND(AY757&lt;&gt;"AGUARDANDO",AY757&lt;&gt;"",N757="AUXÍLIO ALUGUEL ATÉ INDENIZAÇÃO"),"SIM","NÃO")</f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7612</v>
      </c>
      <c r="G758" s="103" t="s">
        <v>4330</v>
      </c>
      <c r="H758" s="103" t="s">
        <v>4331</v>
      </c>
      <c r="I758" s="142" t="s">
        <v>4343</v>
      </c>
      <c r="J758" s="149" t="s">
        <v>7613</v>
      </c>
      <c r="K758" s="149" t="s">
        <v>7614</v>
      </c>
      <c r="L758" s="149" t="s">
        <v>7615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7613</v>
      </c>
      <c r="AC758" s="149" t="s">
        <v>7614</v>
      </c>
      <c r="AD758" s="149" t="s">
        <v>7615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>IF(AY758-KD758=0,"",AY758-O758)</f>
        <v/>
      </c>
      <c r="BD758" s="103" t="str">
        <f>IF(AND(AI758&lt;&gt;"SIM",AI758="UH"),"AA","INDENIZAÇÃO")</f>
        <v>AA</v>
      </c>
      <c r="BE758" s="103" t="str">
        <f>IF(AND(AY758&lt;&gt;"AGUARDANDO",AY758&lt;&gt;"",N758="AUXÍLIO ALUGUEL ATÉ INDENIZAÇÃO"),"SIM","NÃO")</f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7616</v>
      </c>
      <c r="G759" s="103" t="s">
        <v>4330</v>
      </c>
      <c r="H759" s="103" t="s">
        <v>4331</v>
      </c>
      <c r="I759" s="142" t="s">
        <v>4343</v>
      </c>
      <c r="J759" s="149" t="s">
        <v>7617</v>
      </c>
      <c r="K759" s="149" t="s">
        <v>7618</v>
      </c>
      <c r="L759" s="149" t="s">
        <v>7619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7617</v>
      </c>
      <c r="AC759" s="149" t="s">
        <v>7618</v>
      </c>
      <c r="AD759" s="149" t="s">
        <v>7619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>IF(AY759-KD759=0,"",AY759-O759)</f>
        <v/>
      </c>
      <c r="BD759" s="103" t="str">
        <f>IF(AND(AI759&lt;&gt;"SIM",AI759="UH"),"AA","INDENIZAÇÃO")</f>
        <v>AA</v>
      </c>
      <c r="BE759" s="103" t="str">
        <f>IF(AND(AY759&lt;&gt;"AGUARDANDO",AY759&lt;&gt;"",N759="AUXÍLIO ALUGUEL ATÉ INDENIZAÇÃO"),"SIM","NÃO")</f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7620</v>
      </c>
      <c r="G760" s="103" t="s">
        <v>4330</v>
      </c>
      <c r="H760" s="103" t="s">
        <v>4331</v>
      </c>
      <c r="I760" s="142" t="s">
        <v>4343</v>
      </c>
      <c r="J760" s="149" t="s">
        <v>7621</v>
      </c>
      <c r="K760" s="149" t="s">
        <v>7622</v>
      </c>
      <c r="L760" s="149" t="s">
        <v>7623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7621</v>
      </c>
      <c r="AC760" s="149" t="s">
        <v>7622</v>
      </c>
      <c r="AD760" s="149" t="s">
        <v>7623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>IF(AY760-KD760=0,"",AY760-O760)</f>
        <v/>
      </c>
      <c r="BD760" s="103" t="str">
        <f>IF(AND(AI760&lt;&gt;"SIM",AI760="UH"),"AA","INDENIZAÇÃO")</f>
        <v>AA</v>
      </c>
      <c r="BE760" s="103" t="str">
        <f>IF(AND(AY760&lt;&gt;"AGUARDANDO",AY760&lt;&gt;"",N760="AUXÍLIO ALUGUEL ATÉ INDENIZAÇÃO"),"SIM","NÃO")</f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7624</v>
      </c>
      <c r="G761" s="103" t="s">
        <v>4330</v>
      </c>
      <c r="H761" s="103" t="s">
        <v>4331</v>
      </c>
      <c r="I761" s="142" t="s">
        <v>4343</v>
      </c>
      <c r="J761" s="149" t="s">
        <v>7625</v>
      </c>
      <c r="K761" s="149" t="s">
        <v>7626</v>
      </c>
      <c r="L761" s="149" t="s">
        <v>7627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7625</v>
      </c>
      <c r="AC761" s="149" t="s">
        <v>7626</v>
      </c>
      <c r="AD761" s="149" t="s">
        <v>7627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>IF(AY761-KD761=0,"",AY761-O761)</f>
        <v/>
      </c>
      <c r="BD761" s="103" t="str">
        <f>IF(AND(AI761&lt;&gt;"SIM",AI761="UH"),"AA","INDENIZAÇÃO")</f>
        <v>AA</v>
      </c>
      <c r="BE761" s="103" t="str">
        <f>IF(AND(AY761&lt;&gt;"AGUARDANDO",AY761&lt;&gt;"",N761="AUXÍLIO ALUGUEL ATÉ INDENIZAÇÃO"),"SIM","NÃO")</f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7628</v>
      </c>
      <c r="G762" s="103" t="s">
        <v>4330</v>
      </c>
      <c r="H762" s="103" t="s">
        <v>4331</v>
      </c>
      <c r="I762" s="142" t="s">
        <v>4343</v>
      </c>
      <c r="J762" s="114" t="s">
        <v>7629</v>
      </c>
      <c r="K762" s="149" t="s">
        <v>7630</v>
      </c>
      <c r="L762" s="149" t="s">
        <v>7631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7629</v>
      </c>
      <c r="AC762" s="149" t="s">
        <v>7630</v>
      </c>
      <c r="AD762" s="149" t="s">
        <v>7631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>IF(AY762-KD762=0,"",AY762-O762)</f>
        <v/>
      </c>
      <c r="BD762" s="103" t="str">
        <f>IF(AND(AI762&lt;&gt;"SIM",AI762="UH"),"AA","INDENIZAÇÃO")</f>
        <v>AA</v>
      </c>
      <c r="BE762" s="103" t="str">
        <f>IF(AND(AY762&lt;&gt;"AGUARDANDO",AY762&lt;&gt;"",N762="AUXÍLIO ALUGUEL ATÉ INDENIZAÇÃO"),"SIM","NÃO")</f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7632</v>
      </c>
      <c r="G763" s="103" t="s">
        <v>4330</v>
      </c>
      <c r="H763" s="103" t="s">
        <v>4331</v>
      </c>
      <c r="I763" s="142" t="s">
        <v>4343</v>
      </c>
      <c r="J763" s="149" t="s">
        <v>7633</v>
      </c>
      <c r="K763" s="149" t="s">
        <v>7634</v>
      </c>
      <c r="L763" s="149" t="s">
        <v>7635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7633</v>
      </c>
      <c r="AC763" s="149" t="s">
        <v>7634</v>
      </c>
      <c r="AD763" s="149" t="s">
        <v>7635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>IF(AY763-KD763=0,"",AY763-O763)</f>
        <v/>
      </c>
      <c r="BD763" s="103" t="str">
        <f>IF(AND(AI763&lt;&gt;"SIM",AI763="UH"),"AA","INDENIZAÇÃO")</f>
        <v>AA</v>
      </c>
      <c r="BE763" s="103" t="str">
        <f>IF(AND(AY763&lt;&gt;"AGUARDANDO",AY763&lt;&gt;"",N763="AUXÍLIO ALUGUEL ATÉ INDENIZAÇÃO"),"SIM","NÃO")</f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7636</v>
      </c>
      <c r="G764" s="103" t="s">
        <v>4330</v>
      </c>
      <c r="H764" s="103" t="s">
        <v>4331</v>
      </c>
      <c r="I764" s="142" t="s">
        <v>4343</v>
      </c>
      <c r="J764" s="149" t="s">
        <v>7637</v>
      </c>
      <c r="K764" s="149" t="s">
        <v>7638</v>
      </c>
      <c r="L764" s="149" t="s">
        <v>7639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7637</v>
      </c>
      <c r="AC764" s="149" t="s">
        <v>7638</v>
      </c>
      <c r="AD764" s="149" t="s">
        <v>7639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>IF(AY764-KD764=0,"",AY764-O764)</f>
        <v/>
      </c>
      <c r="BD764" s="103" t="str">
        <f>IF(AND(AI764&lt;&gt;"SIM",AI764="UH"),"AA","INDENIZAÇÃO")</f>
        <v>AA</v>
      </c>
      <c r="BE764" s="103" t="str">
        <f>IF(AND(AY764&lt;&gt;"AGUARDANDO",AY764&lt;&gt;"",N764="AUXÍLIO ALUGUEL ATÉ INDENIZAÇÃO"),"SIM","NÃO")</f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7640</v>
      </c>
      <c r="G765" s="103" t="s">
        <v>4330</v>
      </c>
      <c r="H765" s="103" t="s">
        <v>4331</v>
      </c>
      <c r="I765" s="142" t="s">
        <v>4343</v>
      </c>
      <c r="J765" s="149" t="s">
        <v>7641</v>
      </c>
      <c r="K765" s="149" t="s">
        <v>7642</v>
      </c>
      <c r="L765" s="149" t="s">
        <v>7643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7641</v>
      </c>
      <c r="AC765" s="149" t="s">
        <v>7642</v>
      </c>
      <c r="AD765" s="149" t="s">
        <v>7643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>IF(AY765-KD765=0,"",AY765-O765)</f>
        <v/>
      </c>
      <c r="BD765" s="103" t="str">
        <f>IF(AND(AI765&lt;&gt;"SIM",AI765="UH"),"AA","INDENIZAÇÃO")</f>
        <v>AA</v>
      </c>
      <c r="BE765" s="103" t="str">
        <f>IF(AND(AY765&lt;&gt;"AGUARDANDO",AY765&lt;&gt;"",N765="AUXÍLIO ALUGUEL ATÉ INDENIZAÇÃO"),"SIM","NÃO")</f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customHeight="1" x14ac:dyDescent="0.25">
      <c r="A766" s="165">
        <v>755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96" t="s">
        <v>7644</v>
      </c>
      <c r="G766" s="103" t="s">
        <v>4330</v>
      </c>
      <c r="H766" s="103" t="s">
        <v>4331</v>
      </c>
      <c r="I766" s="142" t="s">
        <v>4343</v>
      </c>
      <c r="J766" s="149" t="s">
        <v>7645</v>
      </c>
      <c r="K766" s="149" t="s">
        <v>4457</v>
      </c>
      <c r="L766" s="149" t="s">
        <v>7646</v>
      </c>
      <c r="M766" s="103" t="s">
        <v>4333</v>
      </c>
      <c r="N766" s="103" t="s">
        <v>4459</v>
      </c>
      <c r="O766" s="105">
        <v>45996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 t="s">
        <v>4356</v>
      </c>
      <c r="AA766" s="105"/>
      <c r="AB766" s="204" t="s">
        <v>7645</v>
      </c>
      <c r="AC766" s="204" t="s">
        <v>4432</v>
      </c>
      <c r="AD766" s="204" t="s">
        <v>7646</v>
      </c>
      <c r="AE766" s="165" t="s">
        <v>4343</v>
      </c>
      <c r="AF766" s="165" t="s">
        <v>4333</v>
      </c>
      <c r="AG766" s="208">
        <v>10972.32</v>
      </c>
      <c r="AH766" s="208">
        <f>AG766+30000</f>
        <v>40972.32</v>
      </c>
      <c r="AI766" s="165" t="s">
        <v>4336</v>
      </c>
      <c r="AJ766" s="104" t="s">
        <v>4438</v>
      </c>
      <c r="AK766" s="103">
        <v>146686514</v>
      </c>
      <c r="AL766" s="103" t="s">
        <v>4338</v>
      </c>
      <c r="AM766" s="103" t="s">
        <v>4338</v>
      </c>
      <c r="AN766" s="103" t="s">
        <v>4339</v>
      </c>
      <c r="AP766" s="171" t="s">
        <v>7647</v>
      </c>
      <c r="AQ766" s="103" t="s">
        <v>4338</v>
      </c>
      <c r="AR766" s="103" t="s">
        <v>4338</v>
      </c>
      <c r="AS766" s="103" t="s">
        <v>4338</v>
      </c>
      <c r="AT766" s="103" t="s">
        <v>4338</v>
      </c>
      <c r="AU766" s="105">
        <v>46021</v>
      </c>
      <c r="AV766" s="112" t="s">
        <v>4338</v>
      </c>
      <c r="AW766" s="98" t="s">
        <v>4338</v>
      </c>
      <c r="AX766" s="264">
        <v>46041</v>
      </c>
      <c r="AY766" s="265">
        <v>46041</v>
      </c>
      <c r="AZ766" s="157" t="s">
        <v>4453</v>
      </c>
      <c r="BA766" s="107" t="s">
        <v>4454</v>
      </c>
      <c r="BB766" s="136" t="s">
        <v>4338</v>
      </c>
      <c r="BC766" s="220">
        <f>IF(AY766-KD766=0,"",AY766-O766)</f>
        <v>45</v>
      </c>
      <c r="BD766" s="103" t="str">
        <f>IF(AND(AI766&lt;&gt;"SIM",AI766="UH"),"AA","INDENIZAÇÃO")</f>
        <v>INDENIZAÇÃO</v>
      </c>
      <c r="BE766" s="103" t="str">
        <f>IF(AND(AY766&lt;&gt;"AGUARDANDO",AY766&lt;&gt;"",N766="AUXÍLIO ALUGUEL ATÉ INDENIZAÇÃO"),"SIM","NÃO")</f>
        <v>NÃO</v>
      </c>
      <c r="BF766" s="102" t="s">
        <v>4357</v>
      </c>
      <c r="BG766" s="102" t="s">
        <v>4357</v>
      </c>
      <c r="BH766" s="102" t="s">
        <v>4357</v>
      </c>
      <c r="BI766" s="266" t="s">
        <v>5393</v>
      </c>
      <c r="BJ766" s="266"/>
      <c r="BK766" s="266"/>
      <c r="BL766" s="266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7648</v>
      </c>
      <c r="G767" s="103" t="s">
        <v>4330</v>
      </c>
      <c r="H767" s="103" t="s">
        <v>4331</v>
      </c>
      <c r="I767" s="142" t="s">
        <v>4343</v>
      </c>
      <c r="J767" s="149" t="s">
        <v>7649</v>
      </c>
      <c r="K767" s="149" t="s">
        <v>4457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7649</v>
      </c>
      <c r="AC767" s="149" t="s">
        <v>4457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>IF(AY767-KD767=0,"",AY767-O767)</f>
        <v/>
      </c>
      <c r="BD767" s="103" t="str">
        <f>IF(AND(AI767&lt;&gt;"SIM",AI767="UH"),"AA","INDENIZAÇÃO")</f>
        <v>AA</v>
      </c>
      <c r="BE767" s="103" t="str">
        <f>IF(AND(AY767&lt;&gt;"AGUARDANDO",AY767&lt;&gt;"",N767="AUXÍLIO ALUGUEL ATÉ INDENIZAÇÃO"),"SIM","NÃO")</f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>IF(AY768-KD768=0,"",AY768-O768)</f>
        <v/>
      </c>
      <c r="BD768" s="103" t="str">
        <f>IF(AND(AI768&lt;&gt;"SIM",AI768="UH"),"AA","INDENIZAÇÃO")</f>
        <v>AA</v>
      </c>
      <c r="BE768" s="103" t="str">
        <f>IF(AND(AY768&lt;&gt;"AGUARDANDO",AY768&lt;&gt;"",N768="AUXÍLIO ALUGUEL ATÉ INDENIZAÇÃO"),"SIM","NÃO")</f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7657</v>
      </c>
      <c r="L769" s="149" t="s">
        <v>7658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7656</v>
      </c>
      <c r="AC769" s="149" t="s">
        <v>7657</v>
      </c>
      <c r="AD769" s="149" t="s">
        <v>7658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>IF(AY769-KD769=0,"",AY769-O769)</f>
        <v/>
      </c>
      <c r="BD769" s="103" t="str">
        <f>IF(AND(AI769&lt;&gt;"SIM",AI769="UH"),"AA","INDENIZAÇÃO")</f>
        <v>AA</v>
      </c>
      <c r="BE769" s="103" t="str">
        <f>IF(AND(AY769&lt;&gt;"AGUARDANDO",AY769&lt;&gt;"",N769="AUXÍLIO ALUGUEL ATÉ INDENIZAÇÃO"),"SIM","NÃO")</f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7661</v>
      </c>
      <c r="L770" s="149" t="s">
        <v>7662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7660</v>
      </c>
      <c r="AC770" s="149" t="s">
        <v>7661</v>
      </c>
      <c r="AD770" s="149" t="s">
        <v>7662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>IF(AY770-KD770=0,"",AY770-O770)</f>
        <v/>
      </c>
      <c r="BD770" s="103" t="str">
        <f>IF(AND(AI770&lt;&gt;"SIM",AI770="UH"),"AA","INDENIZAÇÃO")</f>
        <v>AA</v>
      </c>
      <c r="BE770" s="103" t="str">
        <f>IF(AND(AY770&lt;&gt;"AGUARDANDO",AY770&lt;&gt;"",N770="AUXÍLIO ALUGUEL ATÉ INDENIZAÇÃO"),"SIM","NÃO")</f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7663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>IF(AY771-KD771=0,"",AY771-O771)</f>
        <v/>
      </c>
      <c r="BD771" s="103" t="str">
        <f>IF(AND(AI771&lt;&gt;"SIM",AI771="UH"),"AA","INDENIZAÇÃO")</f>
        <v>AA</v>
      </c>
      <c r="BE771" s="103" t="str">
        <f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>IF(AY772-KD772=0,"",AY772-O772)</f>
        <v/>
      </c>
      <c r="BD772" s="103" t="str">
        <f>IF(AND(AI772&lt;&gt;"SIM",AI772="UH"),"AA","INDENIZAÇÃO")</f>
        <v>AA</v>
      </c>
      <c r="BE772" s="103" t="str">
        <f>IF(AND(AY772&lt;&gt;"AGUARDANDO",AY772&lt;&gt;"",N772="AUXÍLIO ALUGUEL ATÉ INDENIZAÇÃO"),"SIM","NÃO")</f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>IF(AY773-KD773=0,"",AY773-O773)</f>
        <v/>
      </c>
      <c r="BD773" s="103" t="str">
        <f>IF(AND(AI773&lt;&gt;"SIM",AI773="UH"),"AA","INDENIZAÇÃO")</f>
        <v>AA</v>
      </c>
      <c r="BE773" s="103" t="str">
        <f>IF(AND(AY773&lt;&gt;"AGUARDANDO",AY773&lt;&gt;"",N773="AUXÍLIO ALUGUEL ATÉ INDENIZAÇÃO"),"SIM","NÃO")</f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7675</v>
      </c>
      <c r="K774" s="149" t="s">
        <v>7676</v>
      </c>
      <c r="L774" s="149" t="s">
        <v>7677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7675</v>
      </c>
      <c r="AC774" s="149" t="s">
        <v>7676</v>
      </c>
      <c r="AD774" s="149" t="s">
        <v>7677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>IF(AY774-KD774=0,"",AY774-O774)</f>
        <v/>
      </c>
      <c r="BD774" s="103" t="str">
        <f>IF(AND(AI774&lt;&gt;"SIM",AI774="UH"),"AA","INDENIZAÇÃO")</f>
        <v>AA</v>
      </c>
      <c r="BE774" s="103" t="str">
        <f>IF(AND(AY774&lt;&gt;"AGUARDANDO",AY774&lt;&gt;"",N774="AUXÍLIO ALUGUEL ATÉ INDENIZAÇÃO"),"SIM","NÃO")</f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7678</v>
      </c>
      <c r="G775" s="103" t="s">
        <v>4330</v>
      </c>
      <c r="H775" s="103" t="s">
        <v>4331</v>
      </c>
      <c r="I775" s="142" t="s">
        <v>4343</v>
      </c>
      <c r="J775" s="149" t="s">
        <v>7679</v>
      </c>
      <c r="K775" s="149" t="s">
        <v>7680</v>
      </c>
      <c r="L775" s="149" t="s">
        <v>7681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7679</v>
      </c>
      <c r="AC775" s="149" t="s">
        <v>7680</v>
      </c>
      <c r="AD775" s="149" t="s">
        <v>7681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>IF(AY775-KD775=0,"",AY775-O775)</f>
        <v/>
      </c>
      <c r="BD775" s="103" t="str">
        <f>IF(AND(AI775&lt;&gt;"SIM",AI775="UH"),"AA","INDENIZAÇÃO")</f>
        <v>AA</v>
      </c>
      <c r="BE775" s="103" t="str">
        <f>IF(AND(AY775&lt;&gt;"AGUARDANDO",AY775&lt;&gt;"",N775="AUXÍLIO ALUGUEL ATÉ INDENIZAÇÃO"),"SIM","NÃO")</f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7682</v>
      </c>
      <c r="G776" s="103" t="s">
        <v>4330</v>
      </c>
      <c r="H776" s="103" t="s">
        <v>4331</v>
      </c>
      <c r="I776" s="142" t="s">
        <v>4343</v>
      </c>
      <c r="J776" s="149" t="s">
        <v>7683</v>
      </c>
      <c r="K776" s="149" t="s">
        <v>7684</v>
      </c>
      <c r="L776" s="149" t="s">
        <v>7685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7683</v>
      </c>
      <c r="AC776" s="149" t="s">
        <v>7684</v>
      </c>
      <c r="AD776" s="149" t="s">
        <v>7685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>IF(AY776-KD776=0,"",AY776-O776)</f>
        <v/>
      </c>
      <c r="BD776" s="103" t="str">
        <f>IF(AND(AI776&lt;&gt;"SIM",AI776="UH"),"AA","INDENIZAÇÃO")</f>
        <v>AA</v>
      </c>
      <c r="BE776" s="103" t="str">
        <f>IF(AND(AY776&lt;&gt;"AGUARDANDO",AY776&lt;&gt;"",N776="AUXÍLIO ALUGUEL ATÉ INDENIZAÇÃO"),"SIM","NÃO")</f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7686</v>
      </c>
      <c r="G777" s="103" t="s">
        <v>4330</v>
      </c>
      <c r="H777" s="103" t="s">
        <v>4331</v>
      </c>
      <c r="I777" s="142" t="s">
        <v>4343</v>
      </c>
      <c r="J777" s="149" t="s">
        <v>7687</v>
      </c>
      <c r="K777" s="149" t="s">
        <v>7688</v>
      </c>
      <c r="L777" s="149" t="s">
        <v>7689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7687</v>
      </c>
      <c r="AC777" s="149" t="s">
        <v>7688</v>
      </c>
      <c r="AD777" s="149" t="s">
        <v>7689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>IF(AY777-KD777=0,"",AY777-O777)</f>
        <v/>
      </c>
      <c r="BD777" s="103" t="str">
        <f>IF(AND(AI777&lt;&gt;"SIM",AI777="UH"),"AA","INDENIZAÇÃO")</f>
        <v>AA</v>
      </c>
      <c r="BE777" s="103" t="str">
        <f>IF(AND(AY777&lt;&gt;"AGUARDANDO",AY777&lt;&gt;"",N777="AUXÍLIO ALUGUEL ATÉ INDENIZAÇÃO"),"SIM","NÃO")</f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7690</v>
      </c>
      <c r="G778" s="103" t="s">
        <v>4330</v>
      </c>
      <c r="H778" s="103" t="s">
        <v>4331</v>
      </c>
      <c r="I778" s="142" t="s">
        <v>4343</v>
      </c>
      <c r="J778" s="149" t="s">
        <v>7691</v>
      </c>
      <c r="K778" s="149" t="s">
        <v>7692</v>
      </c>
      <c r="L778" s="149" t="s">
        <v>7693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7691</v>
      </c>
      <c r="AC778" s="149" t="s">
        <v>7692</v>
      </c>
      <c r="AD778" s="149" t="s">
        <v>7693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>IF(AY778-KD778=0,"",AY778-O778)</f>
        <v/>
      </c>
      <c r="BD778" s="103" t="str">
        <f>IF(AND(AI778&lt;&gt;"SIM",AI778="UH"),"AA","INDENIZAÇÃO")</f>
        <v>AA</v>
      </c>
      <c r="BE778" s="103" t="str">
        <f>IF(AND(AY778&lt;&gt;"AGUARDANDO",AY778&lt;&gt;"",N778="AUXÍLIO ALUGUEL ATÉ INDENIZAÇÃO"),"SIM","NÃO")</f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7694</v>
      </c>
      <c r="G779" s="103" t="s">
        <v>4330</v>
      </c>
      <c r="H779" s="103" t="s">
        <v>4331</v>
      </c>
      <c r="I779" s="142" t="s">
        <v>4343</v>
      </c>
      <c r="J779" s="149" t="s">
        <v>7695</v>
      </c>
      <c r="K779" s="149" t="s">
        <v>7696</v>
      </c>
      <c r="L779" s="149" t="s">
        <v>7697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7695</v>
      </c>
      <c r="AC779" s="149" t="s">
        <v>7696</v>
      </c>
      <c r="AD779" s="149" t="s">
        <v>7697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>IF(AY779-KD779=0,"",AY779-O779)</f>
        <v/>
      </c>
      <c r="BD779" s="103" t="str">
        <f>IF(AND(AI779&lt;&gt;"SIM",AI779="UH"),"AA","INDENIZAÇÃO")</f>
        <v>AA</v>
      </c>
      <c r="BE779" s="103" t="str">
        <f>IF(AND(AY779&lt;&gt;"AGUARDANDO",AY779&lt;&gt;"",N779="AUXÍLIO ALUGUEL ATÉ INDENIZAÇÃO"),"SIM","NÃO")</f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7698</v>
      </c>
      <c r="G780" s="103" t="s">
        <v>4330</v>
      </c>
      <c r="H780" s="103" t="s">
        <v>4331</v>
      </c>
      <c r="I780" s="142" t="s">
        <v>4343</v>
      </c>
      <c r="J780" s="149" t="s">
        <v>7699</v>
      </c>
      <c r="K780" s="149" t="s">
        <v>7700</v>
      </c>
      <c r="L780" s="149" t="s">
        <v>7701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7699</v>
      </c>
      <c r="AC780" s="149" t="s">
        <v>7700</v>
      </c>
      <c r="AD780" s="149" t="s">
        <v>7701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>IF(AY780-KD780=0,"",AY780-O780)</f>
        <v/>
      </c>
      <c r="BD780" s="103" t="str">
        <f>IF(AND(AI780&lt;&gt;"SIM",AI780="UH"),"AA","INDENIZAÇÃO")</f>
        <v>AA</v>
      </c>
      <c r="BE780" s="103" t="str">
        <f>IF(AND(AY780&lt;&gt;"AGUARDANDO",AY780&lt;&gt;"",N780="AUXÍLIO ALUGUEL ATÉ INDENIZAÇÃO"),"SIM","NÃO")</f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7702</v>
      </c>
      <c r="G781" s="103" t="s">
        <v>4330</v>
      </c>
      <c r="H781" s="103" t="s">
        <v>4331</v>
      </c>
      <c r="I781" s="142" t="s">
        <v>4343</v>
      </c>
      <c r="J781" s="149" t="s">
        <v>7703</v>
      </c>
      <c r="K781" s="149" t="s">
        <v>7704</v>
      </c>
      <c r="L781" s="149" t="s">
        <v>7705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7703</v>
      </c>
      <c r="AC781" s="149" t="s">
        <v>7704</v>
      </c>
      <c r="AD781" s="149" t="s">
        <v>7705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>IF(AY781-KD781=0,"",AY781-O781)</f>
        <v/>
      </c>
      <c r="BD781" s="103" t="str">
        <f>IF(AND(AI781&lt;&gt;"SIM",AI781="UH"),"AA","INDENIZAÇÃO")</f>
        <v>AA</v>
      </c>
      <c r="BE781" s="103" t="str">
        <f>IF(AND(AY781&lt;&gt;"AGUARDANDO",AY781&lt;&gt;"",N781="AUXÍLIO ALUGUEL ATÉ INDENIZAÇÃO"),"SIM","NÃO")</f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7706</v>
      </c>
      <c r="G782" s="103" t="s">
        <v>4330</v>
      </c>
      <c r="H782" s="103" t="s">
        <v>4331</v>
      </c>
      <c r="I782" s="142" t="s">
        <v>4343</v>
      </c>
      <c r="J782" s="149" t="s">
        <v>7707</v>
      </c>
      <c r="K782" s="149" t="s">
        <v>7708</v>
      </c>
      <c r="L782" s="149" t="s">
        <v>7709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7707</v>
      </c>
      <c r="AC782" s="149" t="s">
        <v>7708</v>
      </c>
      <c r="AD782" s="149" t="s">
        <v>7709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>IF(AY782-KD782=0,"",AY782-O782)</f>
        <v/>
      </c>
      <c r="BD782" s="103" t="str">
        <f>IF(AND(AI782&lt;&gt;"SIM",AI782="UH"),"AA","INDENIZAÇÃO")</f>
        <v>AA</v>
      </c>
      <c r="BE782" s="103" t="str">
        <f>IF(AND(AY782&lt;&gt;"AGUARDANDO",AY782&lt;&gt;"",N782="AUXÍLIO ALUGUEL ATÉ INDENIZAÇÃO"),"SIM","NÃO")</f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7710</v>
      </c>
      <c r="G783" s="103" t="s">
        <v>4330</v>
      </c>
      <c r="H783" s="103" t="s">
        <v>4331</v>
      </c>
      <c r="I783" s="142" t="s">
        <v>4343</v>
      </c>
      <c r="J783" s="149" t="s">
        <v>7711</v>
      </c>
      <c r="K783" s="149" t="s">
        <v>7712</v>
      </c>
      <c r="L783" s="149" t="s">
        <v>7713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7711</v>
      </c>
      <c r="AC783" s="149" t="s">
        <v>7712</v>
      </c>
      <c r="AD783" s="149" t="s">
        <v>7713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>IF(AY783-KD783=0,"",AY783-O783)</f>
        <v/>
      </c>
      <c r="BD783" s="103" t="str">
        <f>IF(AND(AI783&lt;&gt;"SIM",AI783="UH"),"AA","INDENIZAÇÃO")</f>
        <v>AA</v>
      </c>
      <c r="BE783" s="103" t="str">
        <f>IF(AND(AY783&lt;&gt;"AGUARDANDO",AY783&lt;&gt;"",N783="AUXÍLIO ALUGUEL ATÉ INDENIZAÇÃO"),"SIM","NÃO")</f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7714</v>
      </c>
      <c r="G784" s="103" t="s">
        <v>4330</v>
      </c>
      <c r="H784" s="103" t="s">
        <v>4331</v>
      </c>
      <c r="I784" s="142" t="s">
        <v>4343</v>
      </c>
      <c r="J784" s="149" t="s">
        <v>7715</v>
      </c>
      <c r="K784" s="149" t="s">
        <v>7716</v>
      </c>
      <c r="L784" s="149" t="s">
        <v>7717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7715</v>
      </c>
      <c r="AC784" s="149" t="s">
        <v>7716</v>
      </c>
      <c r="AD784" s="149" t="s">
        <v>7717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>IF(AY784-KD784=0,"",AY784-O784)</f>
        <v/>
      </c>
      <c r="BD784" s="103" t="str">
        <f>IF(AND(AI784&lt;&gt;"SIM",AI784="UH"),"AA","INDENIZAÇÃO")</f>
        <v>AA</v>
      </c>
      <c r="BE784" s="103" t="str">
        <f>IF(AND(AY784&lt;&gt;"AGUARDANDO",AY784&lt;&gt;"",N784="AUXÍLIO ALUGUEL ATÉ INDENIZAÇÃO"),"SIM","NÃO")</f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7718</v>
      </c>
      <c r="G785" s="103" t="s">
        <v>4330</v>
      </c>
      <c r="H785" s="103" t="s">
        <v>4331</v>
      </c>
      <c r="I785" s="142" t="s">
        <v>4343</v>
      </c>
      <c r="J785" s="149" t="s">
        <v>7719</v>
      </c>
      <c r="K785" s="149" t="s">
        <v>7720</v>
      </c>
      <c r="L785" s="149" t="s">
        <v>7721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7719</v>
      </c>
      <c r="AC785" s="149" t="s">
        <v>7720</v>
      </c>
      <c r="AD785" s="149" t="s">
        <v>7721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>IF(AY785-KD785=0,"",AY785-O785)</f>
        <v/>
      </c>
      <c r="BD785" s="103" t="str">
        <f>IF(AND(AI785&lt;&gt;"SIM",AI785="UH"),"AA","INDENIZAÇÃO")</f>
        <v>AA</v>
      </c>
      <c r="BE785" s="103" t="str">
        <f>IF(AND(AY785&lt;&gt;"AGUARDANDO",AY785&lt;&gt;"",N785="AUXÍLIO ALUGUEL ATÉ INDENIZAÇÃO"),"SIM","NÃO")</f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7722</v>
      </c>
      <c r="G786" s="103" t="s">
        <v>4330</v>
      </c>
      <c r="H786" s="103" t="s">
        <v>4331</v>
      </c>
      <c r="I786" s="142" t="s">
        <v>4343</v>
      </c>
      <c r="J786" s="149" t="s">
        <v>7723</v>
      </c>
      <c r="K786" s="149" t="s">
        <v>7724</v>
      </c>
      <c r="L786" s="149" t="s">
        <v>7725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7723</v>
      </c>
      <c r="AC786" s="149" t="s">
        <v>7724</v>
      </c>
      <c r="AD786" s="149" t="s">
        <v>7725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>IF(AY786-KD786=0,"",AY786-O786)</f>
        <v/>
      </c>
      <c r="BD786" s="103" t="str">
        <f>IF(AND(AI786&lt;&gt;"SIM",AI786="UH"),"AA","INDENIZAÇÃO")</f>
        <v>AA</v>
      </c>
      <c r="BE786" s="103" t="str">
        <f>IF(AND(AY786&lt;&gt;"AGUARDANDO",AY786&lt;&gt;"",N786="AUXÍLIO ALUGUEL ATÉ INDENIZAÇÃO"),"SIM","NÃO")</f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7726</v>
      </c>
      <c r="G787" s="103" t="s">
        <v>4330</v>
      </c>
      <c r="H787" s="103" t="s">
        <v>4331</v>
      </c>
      <c r="I787" s="142" t="s">
        <v>4343</v>
      </c>
      <c r="J787" s="149" t="s">
        <v>7727</v>
      </c>
      <c r="K787" s="149" t="s">
        <v>4432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7727</v>
      </c>
      <c r="AC787" s="149" t="s">
        <v>4432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>IF(AY787-KD787=0,"",AY787-O787)</f>
        <v/>
      </c>
      <c r="BD787" s="103" t="str">
        <f>IF(AND(AI787&lt;&gt;"SIM",AI787="UH"),"AA","INDENIZAÇÃO")</f>
        <v>AA</v>
      </c>
      <c r="BE787" s="103" t="str">
        <f>IF(AND(AY787&lt;&gt;"AGUARDANDO",AY787&lt;&gt;"",N787="AUXÍLIO ALUGUEL ATÉ INDENIZAÇÃO"),"SIM","NÃO")</f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customHeight="1" x14ac:dyDescent="0.25">
      <c r="A788" s="103">
        <v>777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7729</v>
      </c>
      <c r="G788" s="103" t="s">
        <v>4330</v>
      </c>
      <c r="H788" s="103" t="s">
        <v>4331</v>
      </c>
      <c r="I788" s="142" t="s">
        <v>4343</v>
      </c>
      <c r="J788" s="149" t="s">
        <v>7730</v>
      </c>
      <c r="K788" s="149" t="s">
        <v>7731</v>
      </c>
      <c r="L788" s="149" t="s">
        <v>7732</v>
      </c>
      <c r="M788" s="103" t="s">
        <v>4333</v>
      </c>
      <c r="N788" s="103" t="s">
        <v>4459</v>
      </c>
      <c r="O788" s="105">
        <v>46106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7730</v>
      </c>
      <c r="AC788" s="204" t="s">
        <v>7731</v>
      </c>
      <c r="AD788" s="204" t="s">
        <v>7732</v>
      </c>
      <c r="AE788" s="165" t="s">
        <v>4343</v>
      </c>
      <c r="AF788" s="172" t="s">
        <v>5044</v>
      </c>
      <c r="AG788" s="208">
        <v>27464.76</v>
      </c>
      <c r="AH788" s="208">
        <v>57464.76</v>
      </c>
      <c r="AI788" s="165" t="s">
        <v>4336</v>
      </c>
      <c r="AJ788" s="104" t="s">
        <v>4438</v>
      </c>
      <c r="AK788" s="103">
        <v>152697035</v>
      </c>
      <c r="AL788" s="142" t="s">
        <v>4338</v>
      </c>
      <c r="AM788" s="103" t="s">
        <v>4338</v>
      </c>
      <c r="AN788" s="103" t="s">
        <v>4339</v>
      </c>
      <c r="AO788" s="103"/>
      <c r="AP788" s="171" t="s">
        <v>7733</v>
      </c>
      <c r="AQ788" s="143" t="s">
        <v>4338</v>
      </c>
      <c r="AR788" s="143" t="s">
        <v>4338</v>
      </c>
      <c r="AS788" s="103" t="s">
        <v>4338</v>
      </c>
      <c r="AT788" s="103" t="s">
        <v>4338</v>
      </c>
      <c r="AU788" s="105">
        <v>46153</v>
      </c>
      <c r="AV788" s="103" t="s">
        <v>4338</v>
      </c>
      <c r="AW788" s="103" t="s">
        <v>4338</v>
      </c>
      <c r="AX788" s="105">
        <v>46157</v>
      </c>
      <c r="AY788" s="106">
        <v>46157</v>
      </c>
      <c r="AZ788" s="157" t="s">
        <v>4453</v>
      </c>
      <c r="BA788" s="107" t="s">
        <v>4454</v>
      </c>
      <c r="BB788" s="136" t="s">
        <v>4338</v>
      </c>
      <c r="BC788" s="220">
        <f>IF(AY788-KD788=0,"",AY788-O788)</f>
        <v>51</v>
      </c>
      <c r="BD788" s="103" t="str">
        <f>IF(AND(AI788&lt;&gt;"SIM",AI788="UH"),"AA","INDENIZAÇÃO")</f>
        <v>INDENIZAÇÃO</v>
      </c>
      <c r="BE788" s="103" t="str">
        <f>IF(AND(AY788&lt;&gt;"AGUARDANDO",AY788&lt;&gt;"",N788="AUXÍLIO ALUGUEL ATÉ INDENIZAÇÃO"),"SIM","NÃO")</f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7734</v>
      </c>
      <c r="G789" s="103" t="s">
        <v>4330</v>
      </c>
      <c r="H789" s="103" t="s">
        <v>4331</v>
      </c>
      <c r="I789" s="142" t="s">
        <v>4343</v>
      </c>
      <c r="J789" s="150" t="s">
        <v>7735</v>
      </c>
      <c r="K789" s="150" t="s">
        <v>7736</v>
      </c>
      <c r="L789" s="150" t="s">
        <v>7737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7735</v>
      </c>
      <c r="AC789" s="150" t="s">
        <v>7736</v>
      </c>
      <c r="AD789" s="150" t="s">
        <v>7737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>IF(AY789-KD789=0,"",AY789-O789)</f>
        <v/>
      </c>
      <c r="BD789" s="103" t="str">
        <f>IF(AND(AI789&lt;&gt;"SIM",AI789="UH"),"AA","INDENIZAÇÃO")</f>
        <v>AA</v>
      </c>
      <c r="BE789" s="103" t="str">
        <f>IF(AND(AY789&lt;&gt;"AGUARDANDO",AY789&lt;&gt;"",N789="AUXÍLIO ALUGUEL ATÉ INDENIZAÇÃO"),"SIM","NÃO")</f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7738</v>
      </c>
      <c r="G790" s="112" t="s">
        <v>4330</v>
      </c>
      <c r="H790" s="112" t="s">
        <v>4331</v>
      </c>
      <c r="I790" s="142" t="s">
        <v>4343</v>
      </c>
      <c r="J790" s="150" t="s">
        <v>7739</v>
      </c>
      <c r="K790" s="150" t="s">
        <v>7740</v>
      </c>
      <c r="L790" s="150" t="s">
        <v>7741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7739</v>
      </c>
      <c r="AC790" s="150" t="s">
        <v>7740</v>
      </c>
      <c r="AD790" s="150" t="s">
        <v>7741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>IF(AY790-KD790=0,"",AY790-O790)</f>
        <v/>
      </c>
      <c r="BD790" s="103" t="str">
        <f>IF(AND(AI790&lt;&gt;"SIM",AI790="UH"),"AA","INDENIZAÇÃO")</f>
        <v>AA</v>
      </c>
      <c r="BE790" s="103" t="str">
        <f>IF(AND(AY790&lt;&gt;"AGUARDANDO",AY790&lt;&gt;"",N790="AUXÍLIO ALUGUEL ATÉ INDENIZAÇÃO"),"SIM","NÃO")</f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7742</v>
      </c>
      <c r="G791" s="103" t="s">
        <v>4330</v>
      </c>
      <c r="H791" s="103" t="s">
        <v>4331</v>
      </c>
      <c r="I791" s="142" t="s">
        <v>4343</v>
      </c>
      <c r="J791" s="150" t="s">
        <v>7743</v>
      </c>
      <c r="K791" s="150" t="s">
        <v>7744</v>
      </c>
      <c r="L791" s="150" t="s">
        <v>7745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7743</v>
      </c>
      <c r="AC791" s="150" t="s">
        <v>7744</v>
      </c>
      <c r="AD791" s="150" t="s">
        <v>7745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>IF(AY791-KD791=0,"",AY791-O791)</f>
        <v/>
      </c>
      <c r="BD791" s="103" t="str">
        <f>IF(AND(AI791&lt;&gt;"SIM",AI791="UH"),"AA","INDENIZAÇÃO")</f>
        <v>AA</v>
      </c>
      <c r="BE791" s="103" t="str">
        <f>IF(AND(AY791&lt;&gt;"AGUARDANDO",AY791&lt;&gt;"",N791="AUXÍLIO ALUGUEL ATÉ INDENIZAÇÃO"),"SIM","NÃO")</f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7746</v>
      </c>
      <c r="G792" s="112" t="s">
        <v>4330</v>
      </c>
      <c r="H792" s="112" t="s">
        <v>4331</v>
      </c>
      <c r="I792" s="142" t="s">
        <v>4343</v>
      </c>
      <c r="J792" s="150" t="s">
        <v>7747</v>
      </c>
      <c r="K792" s="150" t="s">
        <v>7748</v>
      </c>
      <c r="L792" s="150" t="s">
        <v>7749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7747</v>
      </c>
      <c r="AC792" s="150" t="s">
        <v>7748</v>
      </c>
      <c r="AD792" s="150" t="s">
        <v>7749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>IF(AY792-KD792=0,"",AY792-O792)</f>
        <v/>
      </c>
      <c r="BD792" s="103" t="str">
        <f>IF(AND(AI792&lt;&gt;"SIM",AI792="UH"),"AA","INDENIZAÇÃO")</f>
        <v>AA</v>
      </c>
      <c r="BE792" s="103" t="str">
        <f>IF(AND(AY792&lt;&gt;"AGUARDANDO",AY792&lt;&gt;"",N792="AUXÍLIO ALUGUEL ATÉ INDENIZAÇÃO"),"SIM","NÃO")</f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7750</v>
      </c>
      <c r="G793" s="112" t="s">
        <v>4330</v>
      </c>
      <c r="H793" s="112" t="s">
        <v>4331</v>
      </c>
      <c r="I793" s="142" t="s">
        <v>4343</v>
      </c>
      <c r="J793" s="150" t="s">
        <v>7751</v>
      </c>
      <c r="K793" s="150" t="s">
        <v>7752</v>
      </c>
      <c r="L793" s="150" t="s">
        <v>7753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7751</v>
      </c>
      <c r="AC793" s="150" t="s">
        <v>7752</v>
      </c>
      <c r="AD793" s="150" t="s">
        <v>7753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>IF(AY793-KD793=0,"",AY793-O793)</f>
        <v/>
      </c>
      <c r="BD793" s="103" t="str">
        <f>IF(AND(AI793&lt;&gt;"SIM",AI793="UH"),"AA","INDENIZAÇÃO")</f>
        <v>AA</v>
      </c>
      <c r="BE793" s="103" t="str">
        <f>IF(AND(AY793&lt;&gt;"AGUARDANDO",AY793&lt;&gt;"",N793="AUXÍLIO ALUGUEL ATÉ INDENIZAÇÃO"),"SIM","NÃO")</f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7754</v>
      </c>
      <c r="G794" s="103" t="s">
        <v>4330</v>
      </c>
      <c r="H794" s="103" t="s">
        <v>4331</v>
      </c>
      <c r="I794" s="142" t="s">
        <v>4343</v>
      </c>
      <c r="J794" s="149" t="s">
        <v>7755</v>
      </c>
      <c r="K794" s="149" t="s">
        <v>7756</v>
      </c>
      <c r="L794" s="149" t="s">
        <v>7757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7755</v>
      </c>
      <c r="AC794" s="149" t="s">
        <v>7756</v>
      </c>
      <c r="AD794" s="149" t="s">
        <v>7757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>IF(AY794-KD794=0,"",AY794-O794)</f>
        <v/>
      </c>
      <c r="BD794" s="103" t="str">
        <f>IF(AND(AI794&lt;&gt;"SIM",AI794="UH"),"AA","INDENIZAÇÃO")</f>
        <v>AA</v>
      </c>
      <c r="BE794" s="103" t="str">
        <f>IF(AND(AY794&lt;&gt;"AGUARDANDO",AY794&lt;&gt;"",N794="AUXÍLIO ALUGUEL ATÉ INDENIZAÇÃO"),"SIM","NÃO")</f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7758</v>
      </c>
      <c r="G795" s="103" t="s">
        <v>4330</v>
      </c>
      <c r="H795" s="103" t="s">
        <v>4331</v>
      </c>
      <c r="I795" s="142" t="s">
        <v>4343</v>
      </c>
      <c r="J795" s="150" t="s">
        <v>7759</v>
      </c>
      <c r="K795" s="150" t="s">
        <v>7760</v>
      </c>
      <c r="L795" s="150" t="s">
        <v>7761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7759</v>
      </c>
      <c r="AC795" s="150" t="s">
        <v>7760</v>
      </c>
      <c r="AD795" s="150" t="s">
        <v>7761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>IF(AY795-KD795=0,"",AY795-O795)</f>
        <v/>
      </c>
      <c r="BD795" s="103" t="str">
        <f>IF(AND(AI795&lt;&gt;"SIM",AI795="UH"),"AA","INDENIZAÇÃO")</f>
        <v>AA</v>
      </c>
      <c r="BE795" s="103" t="str">
        <f>IF(AND(AY795&lt;&gt;"AGUARDANDO",AY795&lt;&gt;"",N795="AUXÍLIO ALUGUEL ATÉ INDENIZAÇÃO"),"SIM","NÃO")</f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7762</v>
      </c>
      <c r="G796" s="103" t="s">
        <v>4330</v>
      </c>
      <c r="H796" s="103" t="s">
        <v>4331</v>
      </c>
      <c r="I796" s="142" t="s">
        <v>4343</v>
      </c>
      <c r="J796" s="150" t="s">
        <v>7763</v>
      </c>
      <c r="K796" s="150" t="s">
        <v>7764</v>
      </c>
      <c r="L796" s="150" t="s">
        <v>7765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7763</v>
      </c>
      <c r="AC796" s="150" t="s">
        <v>7764</v>
      </c>
      <c r="AD796" s="150" t="s">
        <v>7765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>IF(AY796-KD796=0,"",AY796-O796)</f>
        <v/>
      </c>
      <c r="BD796" s="103" t="str">
        <f>IF(AND(AI796&lt;&gt;"SIM",AI796="UH"),"AA","INDENIZAÇÃO")</f>
        <v>AA</v>
      </c>
      <c r="BE796" s="103" t="str">
        <f>IF(AND(AY796&lt;&gt;"AGUARDANDO",AY796&lt;&gt;"",N796="AUXÍLIO ALUGUEL ATÉ INDENIZAÇÃO"),"SIM","NÃO")</f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7766</v>
      </c>
      <c r="G797" s="112" t="s">
        <v>4330</v>
      </c>
      <c r="H797" s="112" t="s">
        <v>4331</v>
      </c>
      <c r="I797" s="142" t="s">
        <v>4343</v>
      </c>
      <c r="J797" s="150" t="s">
        <v>7767</v>
      </c>
      <c r="K797" s="150" t="s">
        <v>4457</v>
      </c>
      <c r="L797" s="150" t="s">
        <v>7768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7767</v>
      </c>
      <c r="AC797" s="150" t="s">
        <v>4457</v>
      </c>
      <c r="AD797" s="150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>IF(AY797-KD797=0,"",AY797-O797)</f>
        <v/>
      </c>
      <c r="BD797" s="103" t="str">
        <f>IF(AND(AI797&lt;&gt;"SIM",AI797="UH"),"AA","INDENIZAÇÃO")</f>
        <v>AA</v>
      </c>
      <c r="BE797" s="103" t="str">
        <f>IF(AND(AY797&lt;&gt;"AGUARDANDO",AY797&lt;&gt;"",N797="AUXÍLIO ALUGUEL ATÉ INDENIZAÇÃO"),"SIM","NÃO")</f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>IF(AY798-KD798=0,"",AY798-O798)</f>
        <v/>
      </c>
      <c r="BD798" s="103" t="str">
        <f>IF(AND(AI798&lt;&gt;"SIM",AI798="UH"),"AA","INDENIZAÇÃO")</f>
        <v>AA</v>
      </c>
      <c r="BE798" s="103" t="str">
        <f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>IF(AY799-KD799=0,"",AY799-O799)</f>
        <v/>
      </c>
      <c r="BD799" s="103" t="str">
        <f>IF(AND(AI799&lt;&gt;"SIM",AI799="UH"),"AA","INDENIZAÇÃO")</f>
        <v>AA</v>
      </c>
      <c r="BE799" s="103" t="str">
        <f>IF(AND(AY799&lt;&gt;"AGUARDANDO",AY799&lt;&gt;"",N799="AUXÍLIO ALUGUEL ATÉ INDENIZAÇÃO"),"SIM","NÃO")</f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7779</v>
      </c>
      <c r="L800" s="150" t="s">
        <v>7780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7778</v>
      </c>
      <c r="AC800" s="150" t="s">
        <v>7779</v>
      </c>
      <c r="AD800" s="150" t="s">
        <v>7780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>IF(AY800-KD800=0,"",AY800-O800)</f>
        <v/>
      </c>
      <c r="BD800" s="103" t="str">
        <f>IF(AND(AI800&lt;&gt;"SIM",AI800="UH"),"AA","INDENIZAÇÃO")</f>
        <v>AA</v>
      </c>
      <c r="BE800" s="103" t="str">
        <f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7781</v>
      </c>
      <c r="G801" s="112" t="s">
        <v>4330</v>
      </c>
      <c r="H801" s="112" t="s">
        <v>4331</v>
      </c>
      <c r="I801" s="142" t="s">
        <v>4343</v>
      </c>
      <c r="J801" s="150" t="s">
        <v>7782</v>
      </c>
      <c r="K801" s="150" t="s">
        <v>7783</v>
      </c>
      <c r="L801" s="150" t="s">
        <v>7784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7782</v>
      </c>
      <c r="AC801" s="150" t="s">
        <v>7783</v>
      </c>
      <c r="AD801" s="150" t="s">
        <v>7784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>IF(AY801-KD801=0,"",AY801-O801)</f>
        <v/>
      </c>
      <c r="BD801" s="103" t="str">
        <f>IF(AND(AI801&lt;&gt;"SIM",AI801="UH"),"AA","INDENIZAÇÃO")</f>
        <v>AA</v>
      </c>
      <c r="BE801" s="103" t="str">
        <f>IF(AND(AY801&lt;&gt;"AGUARDANDO",AY801&lt;&gt;"",N801="AUXÍLIO ALUGUEL ATÉ INDENIZAÇÃO"),"SIM","NÃO")</f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7785</v>
      </c>
      <c r="G802" s="103" t="s">
        <v>4330</v>
      </c>
      <c r="H802" s="103" t="s">
        <v>4331</v>
      </c>
      <c r="I802" s="142" t="s">
        <v>4343</v>
      </c>
      <c r="J802" s="150" t="s">
        <v>7786</v>
      </c>
      <c r="K802" s="150" t="s">
        <v>7787</v>
      </c>
      <c r="L802" s="150" t="s">
        <v>7788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7786</v>
      </c>
      <c r="AC802" s="150" t="s">
        <v>7787</v>
      </c>
      <c r="AD802" s="150" t="s">
        <v>7788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>IF(AY802-KD802=0,"",AY802-O802)</f>
        <v/>
      </c>
      <c r="BD802" s="103" t="str">
        <f>IF(AND(AI802&lt;&gt;"SIM",AI802="UH"),"AA","INDENIZAÇÃO")</f>
        <v>AA</v>
      </c>
      <c r="BE802" s="103" t="str">
        <f>IF(AND(AY802&lt;&gt;"AGUARDANDO",AY802&lt;&gt;"",N802="AUXÍLIO ALUGUEL ATÉ INDENIZAÇÃO"),"SIM","NÃO")</f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7789</v>
      </c>
      <c r="G803" s="112" t="s">
        <v>4330</v>
      </c>
      <c r="H803" s="112" t="s">
        <v>4331</v>
      </c>
      <c r="I803" s="142" t="s">
        <v>4343</v>
      </c>
      <c r="J803" s="150" t="s">
        <v>7790</v>
      </c>
      <c r="K803" s="150" t="s">
        <v>7791</v>
      </c>
      <c r="L803" s="150" t="s">
        <v>7792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7790</v>
      </c>
      <c r="AC803" s="150" t="s">
        <v>7791</v>
      </c>
      <c r="AD803" s="150" t="s">
        <v>7792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>IF(AY803-KD803=0,"",AY803-O803)</f>
        <v/>
      </c>
      <c r="BD803" s="103" t="str">
        <f>IF(AND(AI803&lt;&gt;"SIM",AI803="UH"),"AA","INDENIZAÇÃO")</f>
        <v>AA</v>
      </c>
      <c r="BE803" s="103" t="str">
        <f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7793</v>
      </c>
      <c r="G804" s="103" t="s">
        <v>4330</v>
      </c>
      <c r="H804" s="103" t="s">
        <v>4331</v>
      </c>
      <c r="I804" s="142" t="s">
        <v>4343</v>
      </c>
      <c r="J804" s="150" t="s">
        <v>7794</v>
      </c>
      <c r="K804" s="150" t="s">
        <v>7795</v>
      </c>
      <c r="L804" s="150" t="s">
        <v>7796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7794</v>
      </c>
      <c r="AC804" s="150" t="s">
        <v>7795</v>
      </c>
      <c r="AD804" s="150" t="s">
        <v>7796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>IF(AY804-KD804=0,"",AY804-O804)</f>
        <v/>
      </c>
      <c r="BD804" s="103" t="str">
        <f>IF(AND(AI804&lt;&gt;"SIM",AI804="UH"),"AA","INDENIZAÇÃO")</f>
        <v>AA</v>
      </c>
      <c r="BE804" s="103" t="str">
        <f>IF(AND(AY804&lt;&gt;"AGUARDANDO",AY804&lt;&gt;"",N804="AUXÍLIO ALUGUEL ATÉ INDENIZAÇÃO"),"SIM","NÃO")</f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7797</v>
      </c>
      <c r="G805" s="112" t="s">
        <v>4330</v>
      </c>
      <c r="H805" s="112" t="s">
        <v>4331</v>
      </c>
      <c r="I805" s="142" t="s">
        <v>4343</v>
      </c>
      <c r="J805" s="150" t="s">
        <v>7798</v>
      </c>
      <c r="K805" s="150" t="s">
        <v>7799</v>
      </c>
      <c r="L805" s="150" t="s">
        <v>7800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7798</v>
      </c>
      <c r="AC805" s="150" t="s">
        <v>7799</v>
      </c>
      <c r="AD805" s="150" t="s">
        <v>7800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>IF(AY805-KD805=0,"",AY805-O805)</f>
        <v/>
      </c>
      <c r="BD805" s="103" t="str">
        <f>IF(AND(AI805&lt;&gt;"SIM",AI805="UH"),"AA","INDENIZAÇÃO")</f>
        <v>AA</v>
      </c>
      <c r="BE805" s="103" t="str">
        <f>IF(AND(AY805&lt;&gt;"AGUARDANDO",AY805&lt;&gt;"",N805="AUXÍLIO ALUGUEL ATÉ INDENIZAÇÃO"),"SIM","NÃO")</f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7801</v>
      </c>
      <c r="G806" s="103" t="s">
        <v>4330</v>
      </c>
      <c r="H806" s="103" t="s">
        <v>4331</v>
      </c>
      <c r="I806" s="142" t="s">
        <v>4343</v>
      </c>
      <c r="J806" s="150" t="s">
        <v>7802</v>
      </c>
      <c r="K806" s="150" t="s">
        <v>4457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7802</v>
      </c>
      <c r="AC806" s="150" t="s">
        <v>4457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>IF(AY806-KD806=0,"",AY806-O806)</f>
        <v/>
      </c>
      <c r="BD806" s="103" t="str">
        <f>IF(AND(AI806&lt;&gt;"SIM",AI806="UH"),"AA","INDENIZAÇÃO")</f>
        <v>AA</v>
      </c>
      <c r="BE806" s="103" t="str">
        <f>IF(AND(AY806&lt;&gt;"AGUARDANDO",AY806&lt;&gt;"",N806="AUXÍLIO ALUGUEL ATÉ INDENIZAÇÃO"),"SIM","NÃO")</f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6892</v>
      </c>
      <c r="G807" s="103" t="s">
        <v>4330</v>
      </c>
      <c r="H807" s="103" t="s">
        <v>4331</v>
      </c>
      <c r="I807" s="103" t="s">
        <v>4343</v>
      </c>
      <c r="J807" s="149" t="s">
        <v>6893</v>
      </c>
      <c r="K807" s="149" t="s">
        <v>6894</v>
      </c>
      <c r="L807" s="149" t="s">
        <v>6895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6893</v>
      </c>
      <c r="AC807" s="149" t="s">
        <v>6894</v>
      </c>
      <c r="AD807" s="149" t="s">
        <v>6895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7" t="s">
        <v>6896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>IF(AY807-KD807=0,"",AY807-O807)</f>
        <v>#VALUE!</v>
      </c>
      <c r="BD807" s="103" t="str">
        <f>IF(AND(AI807&lt;&gt;"SIM",AI807="UH"),"AA","INDENIZAÇÃO")</f>
        <v>INDENIZAÇÃO</v>
      </c>
      <c r="BE807" s="103" t="str">
        <f>IF(AND(AY807&lt;&gt;"AGUARDANDO",AY807&lt;&gt;"",N807="AUXÍLIO ALUGUEL ATÉ INDENIZAÇÃO"),"SIM","NÃO")</f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7809</v>
      </c>
      <c r="K808" s="149" t="s">
        <v>7810</v>
      </c>
      <c r="L808" s="149" t="s">
        <v>7811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7809</v>
      </c>
      <c r="AC808" s="149" t="s">
        <v>7810</v>
      </c>
      <c r="AD808" s="149" t="s">
        <v>7811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7" t="s">
        <v>7812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09" t="s">
        <v>4453</v>
      </c>
      <c r="AX808" s="109"/>
      <c r="AY808" s="157"/>
      <c r="AZ808" s="157"/>
      <c r="BA808" s="109" t="s">
        <v>4330</v>
      </c>
      <c r="BB808" s="136"/>
      <c r="BC808" s="220" t="str">
        <f t="shared" ref="BC808" si="12">IF(AY808-KD808=0,"",AY808-O808)</f>
        <v/>
      </c>
      <c r="BD808" s="103" t="str">
        <f t="shared" ref="BD808" si="13">IF(AND(AI808&lt;&gt;"SIM",AI808="UH"),"AA","INDENIZAÇÃO")</f>
        <v>INDENIZAÇÃO</v>
      </c>
      <c r="BE808" s="103" t="str">
        <f t="shared" ref="BE808" si="14">IF(AND(AY808&lt;&gt;"AGUARDANDO",AY808&lt;&gt;"",N808="AUXÍLIO ALUGUEL ATÉ INDENIZAÇÃO"),"SIM","NÃO")</f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15">IF(AY809-KD809=0,"",AY809-O809)</f>
        <v/>
      </c>
      <c r="BD809" s="103" t="str">
        <f t="shared" ref="BD809:BD863" si="16">IF(AND(AI809&lt;&gt;"SIM",AI809="UH"),"AA","INDENIZAÇÃO")</f>
        <v>INDENIZAÇÃO</v>
      </c>
      <c r="BE809" s="103" t="str">
        <f t="shared" ref="BE809:BE863" si="17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15"/>
        <v/>
      </c>
      <c r="BD810" s="103" t="str">
        <f t="shared" si="16"/>
        <v>INDENIZAÇÃO</v>
      </c>
      <c r="BE810" s="103" t="str">
        <f t="shared" si="17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15"/>
        <v/>
      </c>
      <c r="BD811" s="103" t="str">
        <f t="shared" si="16"/>
        <v>INDENIZAÇÃO</v>
      </c>
      <c r="BE811" s="103" t="str">
        <f t="shared" si="17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15"/>
        <v/>
      </c>
      <c r="BD812" s="103" t="str">
        <f t="shared" si="16"/>
        <v>INDENIZAÇÃO</v>
      </c>
      <c r="BE812" s="103" t="str">
        <f t="shared" si="17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15"/>
        <v/>
      </c>
      <c r="BD813" s="103" t="str">
        <f t="shared" si="16"/>
        <v>INDENIZAÇÃO</v>
      </c>
      <c r="BE813" s="103" t="str">
        <f t="shared" si="17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15"/>
        <v/>
      </c>
      <c r="BD814" s="103" t="str">
        <f t="shared" si="16"/>
        <v>INDENIZAÇÃO</v>
      </c>
      <c r="BE814" s="103" t="str">
        <f t="shared" si="17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15"/>
        <v/>
      </c>
      <c r="BD815" s="103" t="str">
        <f t="shared" si="16"/>
        <v>INDENIZAÇÃO</v>
      </c>
      <c r="BE815" s="103" t="str">
        <f t="shared" si="17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15"/>
        <v/>
      </c>
      <c r="BD816" s="103" t="str">
        <f t="shared" si="16"/>
        <v>INDENIZAÇÃO</v>
      </c>
      <c r="BE816" s="103" t="str">
        <f t="shared" si="17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15"/>
        <v/>
      </c>
      <c r="BD817" s="103" t="str">
        <f t="shared" si="16"/>
        <v>INDENIZAÇÃO</v>
      </c>
      <c r="BE817" s="103" t="str">
        <f t="shared" si="17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15"/>
        <v/>
      </c>
      <c r="BD818" s="103" t="str">
        <f t="shared" si="16"/>
        <v>INDENIZAÇÃO</v>
      </c>
      <c r="BE818" s="103" t="str">
        <f t="shared" si="17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15"/>
        <v/>
      </c>
      <c r="BD819" s="103" t="str">
        <f t="shared" si="16"/>
        <v>INDENIZAÇÃO</v>
      </c>
      <c r="BE819" s="103" t="str">
        <f t="shared" si="17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15"/>
        <v/>
      </c>
      <c r="BD820" s="103" t="str">
        <f t="shared" si="16"/>
        <v>INDENIZAÇÃO</v>
      </c>
      <c r="BE820" s="103" t="str">
        <f t="shared" si="17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15"/>
        <v/>
      </c>
      <c r="BD821" s="103" t="str">
        <f t="shared" si="16"/>
        <v>INDENIZAÇÃO</v>
      </c>
      <c r="BE821" s="103" t="str">
        <f t="shared" si="17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15"/>
        <v/>
      </c>
      <c r="BD822" s="103" t="str">
        <f t="shared" si="16"/>
        <v>INDENIZAÇÃO</v>
      </c>
      <c r="BE822" s="103" t="str">
        <f t="shared" si="17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15"/>
        <v/>
      </c>
      <c r="BD823" s="103" t="str">
        <f t="shared" si="16"/>
        <v>INDENIZAÇÃO</v>
      </c>
      <c r="BE823" s="103" t="str">
        <f t="shared" si="17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15"/>
        <v/>
      </c>
      <c r="BD824" s="103" t="str">
        <f t="shared" si="16"/>
        <v>INDENIZAÇÃO</v>
      </c>
      <c r="BE824" s="103" t="str">
        <f t="shared" si="17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15"/>
        <v/>
      </c>
      <c r="BD825" s="103" t="str">
        <f t="shared" si="16"/>
        <v>INDENIZAÇÃO</v>
      </c>
      <c r="BE825" s="103" t="str">
        <f t="shared" si="17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15"/>
        <v/>
      </c>
      <c r="BD826" s="103" t="str">
        <f t="shared" si="16"/>
        <v>INDENIZAÇÃO</v>
      </c>
      <c r="BE826" s="103" t="str">
        <f t="shared" si="17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15"/>
        <v/>
      </c>
      <c r="BD827" s="103" t="str">
        <f t="shared" si="16"/>
        <v>INDENIZAÇÃO</v>
      </c>
      <c r="BE827" s="103" t="str">
        <f t="shared" si="17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15"/>
        <v/>
      </c>
      <c r="BD828" s="103" t="str">
        <f t="shared" si="16"/>
        <v>INDENIZAÇÃO</v>
      </c>
      <c r="BE828" s="103" t="str">
        <f t="shared" si="17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15"/>
        <v/>
      </c>
      <c r="BD829" s="103" t="str">
        <f t="shared" si="16"/>
        <v>INDENIZAÇÃO</v>
      </c>
      <c r="BE829" s="103" t="str">
        <f t="shared" si="17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15"/>
        <v/>
      </c>
      <c r="BD830" s="103" t="str">
        <f t="shared" si="16"/>
        <v>INDENIZAÇÃO</v>
      </c>
      <c r="BE830" s="103" t="str">
        <f t="shared" si="17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15"/>
        <v/>
      </c>
      <c r="BD831" s="103" t="str">
        <f t="shared" si="16"/>
        <v>INDENIZAÇÃO</v>
      </c>
      <c r="BE831" s="103" t="str">
        <f t="shared" si="17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15"/>
        <v/>
      </c>
      <c r="BD832" s="103" t="str">
        <f t="shared" si="16"/>
        <v>INDENIZAÇÃO</v>
      </c>
      <c r="BE832" s="103" t="str">
        <f t="shared" si="17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15"/>
        <v/>
      </c>
      <c r="BD833" s="103" t="str">
        <f t="shared" si="16"/>
        <v>INDENIZAÇÃO</v>
      </c>
      <c r="BE833" s="103" t="str">
        <f t="shared" si="17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15"/>
        <v/>
      </c>
      <c r="BD834" s="103" t="str">
        <f t="shared" si="16"/>
        <v>INDENIZAÇÃO</v>
      </c>
      <c r="BE834" s="103" t="str">
        <f t="shared" si="17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15"/>
        <v/>
      </c>
      <c r="BD835" s="103" t="str">
        <f t="shared" si="16"/>
        <v>INDENIZAÇÃO</v>
      </c>
      <c r="BE835" s="103" t="str">
        <f t="shared" si="17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15"/>
        <v/>
      </c>
      <c r="BD836" s="103" t="str">
        <f t="shared" si="16"/>
        <v>INDENIZAÇÃO</v>
      </c>
      <c r="BE836" s="103" t="str">
        <f t="shared" si="17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15"/>
        <v/>
      </c>
      <c r="BD837" s="103" t="str">
        <f t="shared" si="16"/>
        <v>INDENIZAÇÃO</v>
      </c>
      <c r="BE837" s="103" t="str">
        <f t="shared" si="17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15"/>
        <v/>
      </c>
      <c r="BD838" s="103" t="str">
        <f t="shared" si="16"/>
        <v>INDENIZAÇÃO</v>
      </c>
      <c r="BE838" s="103" t="str">
        <f t="shared" si="17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15"/>
        <v/>
      </c>
      <c r="BD839" s="103" t="str">
        <f t="shared" si="16"/>
        <v>INDENIZAÇÃO</v>
      </c>
      <c r="BE839" s="103" t="str">
        <f t="shared" si="17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15"/>
        <v/>
      </c>
      <c r="BD840" s="103" t="str">
        <f t="shared" si="16"/>
        <v>INDENIZAÇÃO</v>
      </c>
      <c r="BE840" s="103" t="str">
        <f t="shared" si="17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15"/>
        <v/>
      </c>
      <c r="BD841" s="103" t="str">
        <f t="shared" si="16"/>
        <v>INDENIZAÇÃO</v>
      </c>
      <c r="BE841" s="103" t="str">
        <f t="shared" si="17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15"/>
        <v/>
      </c>
      <c r="BD842" s="103" t="str">
        <f t="shared" si="16"/>
        <v>INDENIZAÇÃO</v>
      </c>
      <c r="BE842" s="103" t="str">
        <f t="shared" si="17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15"/>
        <v/>
      </c>
      <c r="BD843" s="103" t="str">
        <f t="shared" si="16"/>
        <v>INDENIZAÇÃO</v>
      </c>
      <c r="BE843" s="103" t="str">
        <f t="shared" si="17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15"/>
        <v/>
      </c>
      <c r="BD844" s="103" t="str">
        <f t="shared" si="16"/>
        <v>INDENIZAÇÃO</v>
      </c>
      <c r="BE844" s="103" t="str">
        <f t="shared" si="17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15"/>
        <v/>
      </c>
      <c r="BD845" s="103" t="str">
        <f t="shared" si="16"/>
        <v>INDENIZAÇÃO</v>
      </c>
      <c r="BE845" s="103" t="str">
        <f t="shared" si="17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15"/>
        <v/>
      </c>
      <c r="BD846" s="103" t="str">
        <f t="shared" si="16"/>
        <v>INDENIZAÇÃO</v>
      </c>
      <c r="BE846" s="103" t="str">
        <f t="shared" si="17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15"/>
        <v/>
      </c>
      <c r="BD847" s="103" t="str">
        <f t="shared" si="16"/>
        <v>INDENIZAÇÃO</v>
      </c>
      <c r="BE847" s="103" t="str">
        <f t="shared" si="17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15"/>
        <v/>
      </c>
      <c r="BD848" s="103" t="str">
        <f t="shared" si="16"/>
        <v>INDENIZAÇÃO</v>
      </c>
      <c r="BE848" s="103" t="str">
        <f t="shared" si="17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15"/>
        <v/>
      </c>
      <c r="BD849" s="103" t="str">
        <f t="shared" si="16"/>
        <v>INDENIZAÇÃO</v>
      </c>
      <c r="BE849" s="103" t="str">
        <f t="shared" si="17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15"/>
        <v/>
      </c>
      <c r="BD850" s="103" t="str">
        <f t="shared" si="16"/>
        <v>INDENIZAÇÃO</v>
      </c>
      <c r="BE850" s="103" t="str">
        <f t="shared" si="17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15"/>
        <v/>
      </c>
      <c r="BD851" s="103" t="str">
        <f t="shared" si="16"/>
        <v>INDENIZAÇÃO</v>
      </c>
      <c r="BE851" s="103" t="str">
        <f t="shared" si="17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15"/>
        <v/>
      </c>
      <c r="BD852" s="103" t="str">
        <f t="shared" si="16"/>
        <v>INDENIZAÇÃO</v>
      </c>
      <c r="BE852" s="103" t="str">
        <f t="shared" si="17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15"/>
        <v/>
      </c>
      <c r="BD853" s="103" t="str">
        <f t="shared" si="16"/>
        <v>INDENIZAÇÃO</v>
      </c>
      <c r="BE853" s="103" t="str">
        <f t="shared" si="17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15"/>
        <v/>
      </c>
      <c r="BD854" s="103" t="str">
        <f t="shared" si="16"/>
        <v>INDENIZAÇÃO</v>
      </c>
      <c r="BE854" s="103" t="str">
        <f t="shared" si="17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15"/>
        <v/>
      </c>
      <c r="BD855" s="103" t="str">
        <f t="shared" si="16"/>
        <v>INDENIZAÇÃO</v>
      </c>
      <c r="BE855" s="103" t="str">
        <f t="shared" si="17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15"/>
        <v/>
      </c>
      <c r="BD856" s="103" t="str">
        <f t="shared" si="16"/>
        <v>INDENIZAÇÃO</v>
      </c>
      <c r="BE856" s="103" t="str">
        <f t="shared" si="17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15"/>
        <v/>
      </c>
      <c r="BD857" s="103" t="str">
        <f t="shared" si="16"/>
        <v>INDENIZAÇÃO</v>
      </c>
      <c r="BE857" s="103" t="str">
        <f t="shared" si="17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15"/>
        <v/>
      </c>
      <c r="BD858" s="103" t="str">
        <f t="shared" si="16"/>
        <v>INDENIZAÇÃO</v>
      </c>
      <c r="BE858" s="103" t="str">
        <f t="shared" si="17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15"/>
        <v/>
      </c>
      <c r="BD859" s="103" t="str">
        <f t="shared" si="16"/>
        <v>INDENIZAÇÃO</v>
      </c>
      <c r="BE859" s="103" t="str">
        <f t="shared" si="17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15"/>
        <v/>
      </c>
      <c r="BD860" s="103" t="str">
        <f t="shared" si="16"/>
        <v>INDENIZAÇÃO</v>
      </c>
      <c r="BE860" s="103" t="str">
        <f t="shared" si="17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15"/>
        <v/>
      </c>
      <c r="BD861" s="103" t="str">
        <f t="shared" si="16"/>
        <v>INDENIZAÇÃO</v>
      </c>
      <c r="BE861" s="103" t="str">
        <f t="shared" si="17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15"/>
        <v/>
      </c>
      <c r="BD862" s="103" t="str">
        <f t="shared" si="16"/>
        <v>INDENIZAÇÃO</v>
      </c>
      <c r="BE862" s="103" t="str">
        <f t="shared" si="17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15"/>
        <v/>
      </c>
      <c r="BD863" s="103" t="str">
        <f t="shared" si="16"/>
        <v>INDENIZAÇÃO</v>
      </c>
      <c r="BE863" s="103" t="str">
        <f t="shared" si="17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18">IF(AY864-KD864=0,"",AY864-O864)</f>
        <v/>
      </c>
      <c r="BD864" s="103" t="str">
        <f t="shared" ref="BD864:BD869" si="19">IF(AND(AI864&lt;&gt;"SIM",AI864="UH"),"AA","INDENIZAÇÃO")</f>
        <v>INDENIZAÇÃO</v>
      </c>
      <c r="BE864" s="103" t="str">
        <f t="shared" ref="BE864:BE869" si="20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18"/>
        <v/>
      </c>
      <c r="BD865" s="103" t="str">
        <f t="shared" si="19"/>
        <v>INDENIZAÇÃO</v>
      </c>
      <c r="BE865" s="103" t="str">
        <f t="shared" si="20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18"/>
        <v/>
      </c>
      <c r="BD866" s="103" t="str">
        <f t="shared" si="19"/>
        <v>INDENIZAÇÃO</v>
      </c>
      <c r="BE866" s="103" t="str">
        <f t="shared" si="20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18"/>
        <v/>
      </c>
      <c r="BD867" s="103" t="str">
        <f t="shared" si="19"/>
        <v>INDENIZAÇÃO</v>
      </c>
      <c r="BE867" s="103" t="str">
        <f t="shared" si="20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18"/>
        <v/>
      </c>
      <c r="BD868" s="103" t="str">
        <f t="shared" si="19"/>
        <v>INDENIZAÇÃO</v>
      </c>
      <c r="BE868" s="103" t="str">
        <f t="shared" si="20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18"/>
        <v/>
      </c>
      <c r="BD869" s="103" t="str">
        <f t="shared" si="19"/>
        <v>INDENIZAÇÃO</v>
      </c>
      <c r="BE869" s="103" t="str">
        <f t="shared" si="20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4">
      <filters>
        <filter val="FINALIZADO"/>
      </filters>
    </filterColumn>
    <filterColumn colId="49">
      <filters>
        <dateGroupItem year="2026" dateTimeGrouping="year"/>
        <dateGroupItem year="2025" dateTimeGrouping="year"/>
      </filters>
    </filterColumn>
    <sortState xmlns:xlrd2="http://schemas.microsoft.com/office/spreadsheetml/2017/richdata2" ref="B121:BM807">
      <sortCondition ref="AX9:AX983"/>
    </sortState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96" priority="1597"/>
    <cfRule type="duplicateValues" dxfId="295" priority="1601"/>
  </conditionalFormatting>
  <conditionalFormatting sqref="F875:F1048576 F1:F9 F716:F873">
    <cfRule type="duplicateValues" dxfId="294" priority="1607"/>
  </conditionalFormatting>
  <conditionalFormatting sqref="F875:F1048576 F1:F873">
    <cfRule type="duplicateValues" dxfId="293" priority="1187"/>
  </conditionalFormatting>
  <conditionalFormatting sqref="F875:F1048576 F716:F873">
    <cfRule type="duplicateValues" dxfId="292" priority="1605"/>
  </conditionalFormatting>
  <conditionalFormatting sqref="I695:I696">
    <cfRule type="containsText" dxfId="291" priority="340" operator="containsText" text="NÃO RESIDENTE">
      <formula>NOT(ISERROR(SEARCH("NÃO RESIDENTE",I695)))</formula>
    </cfRule>
  </conditionalFormatting>
  <conditionalFormatting sqref="J20">
    <cfRule type="duplicateValues" dxfId="290" priority="627"/>
  </conditionalFormatting>
  <conditionalFormatting sqref="J231:J232 J167">
    <cfRule type="duplicateValues" dxfId="289" priority="741"/>
  </conditionalFormatting>
  <conditionalFormatting sqref="J796:J808">
    <cfRule type="duplicateValues" dxfId="288" priority="3084"/>
  </conditionalFormatting>
  <conditionalFormatting sqref="J875:J1048576 J765 J570:J582 J1:J7 J9 J792:J793 J809:J873">
    <cfRule type="duplicateValues" dxfId="287" priority="1610"/>
  </conditionalFormatting>
  <conditionalFormatting sqref="J771:K773">
    <cfRule type="duplicateValues" dxfId="286" priority="345"/>
  </conditionalFormatting>
  <conditionalFormatting sqref="J766:L767">
    <cfRule type="duplicateValues" dxfId="285" priority="359"/>
  </conditionalFormatting>
  <conditionalFormatting sqref="J768:L768 J770:L770 J769 L769">
    <cfRule type="duplicateValues" dxfId="284" priority="353"/>
  </conditionalFormatting>
  <conditionalFormatting sqref="J794:L794">
    <cfRule type="duplicateValues" dxfId="283" priority="338"/>
  </conditionalFormatting>
  <conditionalFormatting sqref="J795:L795">
    <cfRule type="duplicateValues" dxfId="282" priority="337"/>
  </conditionalFormatting>
  <conditionalFormatting sqref="K769">
    <cfRule type="duplicateValues" dxfId="281" priority="350"/>
  </conditionalFormatting>
  <conditionalFormatting sqref="K792:L793">
    <cfRule type="duplicateValues" dxfId="280" priority="339"/>
  </conditionalFormatting>
  <conditionalFormatting sqref="K796:L796">
    <cfRule type="duplicateValues" dxfId="279" priority="335"/>
  </conditionalFormatting>
  <conditionalFormatting sqref="K797:L797">
    <cfRule type="duplicateValues" dxfId="278" priority="334"/>
  </conditionalFormatting>
  <conditionalFormatting sqref="K798:L798">
    <cfRule type="duplicateValues" dxfId="277" priority="333"/>
  </conditionalFormatting>
  <conditionalFormatting sqref="K799:L799">
    <cfRule type="duplicateValues" dxfId="276" priority="332"/>
  </conditionalFormatting>
  <conditionalFormatting sqref="K800:L800">
    <cfRule type="duplicateValues" dxfId="275" priority="331"/>
  </conditionalFormatting>
  <conditionalFormatting sqref="K801:L801">
    <cfRule type="duplicateValues" dxfId="274" priority="330"/>
  </conditionalFormatting>
  <conditionalFormatting sqref="K802:L802">
    <cfRule type="duplicateValues" dxfId="273" priority="329"/>
  </conditionalFormatting>
  <conditionalFormatting sqref="K803:L803">
    <cfRule type="duplicateValues" dxfId="272" priority="328"/>
  </conditionalFormatting>
  <conditionalFormatting sqref="K804:L804">
    <cfRule type="duplicateValues" dxfId="271" priority="327"/>
  </conditionalFormatting>
  <conditionalFormatting sqref="K805:L805">
    <cfRule type="duplicateValues" dxfId="270" priority="326"/>
  </conditionalFormatting>
  <conditionalFormatting sqref="K806:L806">
    <cfRule type="duplicateValues" dxfId="269" priority="325"/>
  </conditionalFormatting>
  <conditionalFormatting sqref="K807:L807">
    <cfRule type="duplicateValues" dxfId="268" priority="323"/>
  </conditionalFormatting>
  <conditionalFormatting sqref="K808:L808">
    <cfRule type="duplicateValues" dxfId="267" priority="322"/>
  </conditionalFormatting>
  <conditionalFormatting sqref="L20">
    <cfRule type="duplicateValues" dxfId="266" priority="626"/>
  </conditionalFormatting>
  <conditionalFormatting sqref="L395">
    <cfRule type="duplicateValues" dxfId="265" priority="184"/>
    <cfRule type="duplicateValues" dxfId="264" priority="183"/>
  </conditionalFormatting>
  <conditionalFormatting sqref="L499">
    <cfRule type="duplicateValues" dxfId="263" priority="181"/>
    <cfRule type="duplicateValues" dxfId="262" priority="182"/>
  </conditionalFormatting>
  <conditionalFormatting sqref="L771:L773">
    <cfRule type="duplicateValues" dxfId="261" priority="344"/>
  </conditionalFormatting>
  <conditionalFormatting sqref="AB20">
    <cfRule type="duplicateValues" dxfId="260" priority="171"/>
  </conditionalFormatting>
  <conditionalFormatting sqref="AB167">
    <cfRule type="duplicateValues" dxfId="259" priority="163"/>
  </conditionalFormatting>
  <conditionalFormatting sqref="AB570">
    <cfRule type="duplicateValues" dxfId="258" priority="153"/>
  </conditionalFormatting>
  <conditionalFormatting sqref="AB572">
    <cfRule type="duplicateValues" dxfId="257" priority="152"/>
  </conditionalFormatting>
  <conditionalFormatting sqref="AB573">
    <cfRule type="duplicateValues" dxfId="256" priority="151"/>
  </conditionalFormatting>
  <conditionalFormatting sqref="AB574">
    <cfRule type="duplicateValues" dxfId="255" priority="231"/>
  </conditionalFormatting>
  <conditionalFormatting sqref="AB575">
    <cfRule type="duplicateValues" dxfId="254" priority="1"/>
  </conditionalFormatting>
  <conditionalFormatting sqref="AB576:AB577">
    <cfRule type="duplicateValues" dxfId="253" priority="150"/>
  </conditionalFormatting>
  <conditionalFormatting sqref="AB578">
    <cfRule type="duplicateValues" dxfId="252" priority="149"/>
  </conditionalFormatting>
  <conditionalFormatting sqref="AB579">
    <cfRule type="duplicateValues" dxfId="251" priority="148"/>
  </conditionalFormatting>
  <conditionalFormatting sqref="AB581:AB582">
    <cfRule type="duplicateValues" dxfId="250" priority="147"/>
  </conditionalFormatting>
  <conditionalFormatting sqref="AB765">
    <cfRule type="duplicateValues" dxfId="249" priority="146"/>
  </conditionalFormatting>
  <conditionalFormatting sqref="AB767">
    <cfRule type="duplicateValues" dxfId="248" priority="145"/>
  </conditionalFormatting>
  <conditionalFormatting sqref="AB768:AB770">
    <cfRule type="duplicateValues" dxfId="247" priority="144"/>
  </conditionalFormatting>
  <conditionalFormatting sqref="AB771">
    <cfRule type="duplicateValues" dxfId="246" priority="143"/>
  </conditionalFormatting>
  <conditionalFormatting sqref="AB772:AB773">
    <cfRule type="duplicateValues" dxfId="245" priority="137"/>
  </conditionalFormatting>
  <conditionalFormatting sqref="AB792:AB793">
    <cfRule type="duplicateValues" dxfId="244" priority="134"/>
  </conditionalFormatting>
  <conditionalFormatting sqref="AB794">
    <cfRule type="duplicateValues" dxfId="243" priority="133"/>
  </conditionalFormatting>
  <conditionalFormatting sqref="AB795">
    <cfRule type="duplicateValues" dxfId="242" priority="129"/>
  </conditionalFormatting>
  <conditionalFormatting sqref="AB796:AB800">
    <cfRule type="duplicateValues" dxfId="241" priority="130"/>
  </conditionalFormatting>
  <conditionalFormatting sqref="AB801:AB806">
    <cfRule type="duplicateValues" dxfId="240" priority="122"/>
  </conditionalFormatting>
  <conditionalFormatting sqref="AC769">
    <cfRule type="duplicateValues" dxfId="239" priority="140"/>
  </conditionalFormatting>
  <conditionalFormatting sqref="AC771">
    <cfRule type="duplicateValues" dxfId="238" priority="139"/>
  </conditionalFormatting>
  <conditionalFormatting sqref="AC772:AC773">
    <cfRule type="duplicateValues" dxfId="237" priority="136"/>
  </conditionalFormatting>
  <conditionalFormatting sqref="AC767:AD767">
    <cfRule type="duplicateValues" dxfId="236" priority="142"/>
  </conditionalFormatting>
  <conditionalFormatting sqref="AC768:AD768 AC770:AD770 AD769">
    <cfRule type="duplicateValues" dxfId="235" priority="141"/>
  </conditionalFormatting>
  <conditionalFormatting sqref="AC792:AD793">
    <cfRule type="duplicateValues" dxfId="234" priority="132"/>
  </conditionalFormatting>
  <conditionalFormatting sqref="AC794:AD794">
    <cfRule type="duplicateValues" dxfId="233" priority="131"/>
  </conditionalFormatting>
  <conditionalFormatting sqref="AC795:AD795">
    <cfRule type="duplicateValues" dxfId="232" priority="128"/>
  </conditionalFormatting>
  <conditionalFormatting sqref="AC796:AD796">
    <cfRule type="duplicateValues" dxfId="231" priority="127"/>
  </conditionalFormatting>
  <conditionalFormatting sqref="AC797:AD797">
    <cfRule type="duplicateValues" dxfId="230" priority="126"/>
  </conditionalFormatting>
  <conditionalFormatting sqref="AC798:AD798">
    <cfRule type="duplicateValues" dxfId="229" priority="125"/>
  </conditionalFormatting>
  <conditionalFormatting sqref="AC799:AD799">
    <cfRule type="duplicateValues" dxfId="228" priority="124"/>
  </conditionalFormatting>
  <conditionalFormatting sqref="AC800:AD800">
    <cfRule type="duplicateValues" dxfId="227" priority="123"/>
  </conditionalFormatting>
  <conditionalFormatting sqref="AC801:AD801">
    <cfRule type="duplicateValues" dxfId="226" priority="121"/>
  </conditionalFormatting>
  <conditionalFormatting sqref="AC802:AD802">
    <cfRule type="duplicateValues" dxfId="225" priority="120"/>
  </conditionalFormatting>
  <conditionalFormatting sqref="AC803:AD803">
    <cfRule type="duplicateValues" dxfId="224" priority="119"/>
  </conditionalFormatting>
  <conditionalFormatting sqref="AC804:AD804">
    <cfRule type="duplicateValues" dxfId="223" priority="118"/>
  </conditionalFormatting>
  <conditionalFormatting sqref="AC805:AD805">
    <cfRule type="duplicateValues" dxfId="222" priority="117"/>
  </conditionalFormatting>
  <conditionalFormatting sqref="AC806:AD806">
    <cfRule type="duplicateValues" dxfId="221" priority="116"/>
  </conditionalFormatting>
  <conditionalFormatting sqref="AC875:AD1048576 AC1:AD9 AC807:AD873">
    <cfRule type="duplicateValues" dxfId="220" priority="1186"/>
  </conditionalFormatting>
  <conditionalFormatting sqref="AD20">
    <cfRule type="duplicateValues" dxfId="219" priority="170"/>
  </conditionalFormatting>
  <conditionalFormatting sqref="AD167">
    <cfRule type="duplicateValues" dxfId="218" priority="162"/>
  </conditionalFormatting>
  <conditionalFormatting sqref="AD499">
    <cfRule type="duplicateValues" dxfId="217" priority="155"/>
    <cfRule type="duplicateValues" dxfId="216" priority="154"/>
  </conditionalFormatting>
  <conditionalFormatting sqref="AD771">
    <cfRule type="duplicateValues" dxfId="215" priority="138"/>
  </conditionalFormatting>
  <conditionalFormatting sqref="AD772:AD773">
    <cfRule type="duplicateValues" dxfId="214" priority="135"/>
  </conditionalFormatting>
  <conditionalFormatting sqref="AD875:AD1048576 L167 AD1:AD9 AD807:AD873">
    <cfRule type="duplicateValues" dxfId="213" priority="740"/>
  </conditionalFormatting>
  <conditionalFormatting sqref="AE1:AF8 AE9 AE807:AF873 AE875:AF1048576">
    <cfRule type="containsText" dxfId="212" priority="1316" operator="containsText" text="NÃO RESIDENTE">
      <formula>NOT(ISERROR(SEARCH("NÃO RESIDENTE",AE1)))</formula>
    </cfRule>
  </conditionalFormatting>
  <conditionalFormatting sqref="AG8:AI8">
    <cfRule type="containsText" dxfId="211" priority="560" operator="containsText" text="NÃO RESIDENTE">
      <formula>NOT(ISERROR(SEARCH("NÃO RESIDENTE",AG8)))</formula>
    </cfRule>
  </conditionalFormatting>
  <conditionalFormatting sqref="AP10">
    <cfRule type="duplicateValues" dxfId="210" priority="746"/>
  </conditionalFormatting>
  <conditionalFormatting sqref="AP11">
    <cfRule type="duplicateValues" dxfId="209" priority="747"/>
  </conditionalFormatting>
  <conditionalFormatting sqref="AP12:AP137">
    <cfRule type="duplicateValues" dxfId="208" priority="1253"/>
  </conditionalFormatting>
  <conditionalFormatting sqref="AP14">
    <cfRule type="duplicateValues" dxfId="207" priority="435"/>
  </conditionalFormatting>
  <conditionalFormatting sqref="AP20">
    <cfRule type="duplicateValues" dxfId="206" priority="604"/>
  </conditionalFormatting>
  <conditionalFormatting sqref="AP22">
    <cfRule type="duplicateValues" dxfId="205" priority="419"/>
  </conditionalFormatting>
  <conditionalFormatting sqref="AP25">
    <cfRule type="duplicateValues" dxfId="204" priority="418"/>
  </conditionalFormatting>
  <conditionalFormatting sqref="AP30">
    <cfRule type="duplicateValues" dxfId="203" priority="603"/>
  </conditionalFormatting>
  <conditionalFormatting sqref="AP35:AP36">
    <cfRule type="duplicateValues" dxfId="202" priority="629"/>
  </conditionalFormatting>
  <conditionalFormatting sqref="AP37">
    <cfRule type="duplicateValues" dxfId="201" priority="602"/>
  </conditionalFormatting>
  <conditionalFormatting sqref="AP39">
    <cfRule type="duplicateValues" dxfId="200" priority="417"/>
  </conditionalFormatting>
  <conditionalFormatting sqref="AP42">
    <cfRule type="duplicateValues" dxfId="199" priority="600"/>
  </conditionalFormatting>
  <conditionalFormatting sqref="AP44">
    <cfRule type="duplicateValues" dxfId="198" priority="450"/>
  </conditionalFormatting>
  <conditionalFormatting sqref="AP49">
    <cfRule type="duplicateValues" dxfId="197" priority="303"/>
  </conditionalFormatting>
  <conditionalFormatting sqref="AP53">
    <cfRule type="duplicateValues" dxfId="196" priority="415"/>
  </conditionalFormatting>
  <conditionalFormatting sqref="AP61:AP62">
    <cfRule type="duplicateValues" dxfId="195" priority="1237"/>
  </conditionalFormatting>
  <conditionalFormatting sqref="AP63">
    <cfRule type="duplicateValues" dxfId="194" priority="1232"/>
  </conditionalFormatting>
  <conditionalFormatting sqref="AP64">
    <cfRule type="duplicateValues" dxfId="193" priority="1252"/>
  </conditionalFormatting>
  <conditionalFormatting sqref="AP66">
    <cfRule type="duplicateValues" dxfId="192" priority="640"/>
  </conditionalFormatting>
  <conditionalFormatting sqref="AP68:AP69">
    <cfRule type="duplicateValues" dxfId="191" priority="1251"/>
  </conditionalFormatting>
  <conditionalFormatting sqref="AP70">
    <cfRule type="duplicateValues" dxfId="190" priority="414"/>
  </conditionalFormatting>
  <conditionalFormatting sqref="AP72">
    <cfRule type="duplicateValues" dxfId="189" priority="638"/>
  </conditionalFormatting>
  <conditionalFormatting sqref="AP74">
    <cfRule type="duplicateValues" dxfId="188" priority="1200"/>
  </conditionalFormatting>
  <conditionalFormatting sqref="AP74:AP77">
    <cfRule type="duplicateValues" dxfId="187" priority="1236"/>
  </conditionalFormatting>
  <conditionalFormatting sqref="AP75">
    <cfRule type="duplicateValues" dxfId="186" priority="1201"/>
  </conditionalFormatting>
  <conditionalFormatting sqref="AP76">
    <cfRule type="duplicateValues" dxfId="185" priority="1202"/>
  </conditionalFormatting>
  <conditionalFormatting sqref="AP83">
    <cfRule type="duplicateValues" dxfId="184" priority="639"/>
  </conditionalFormatting>
  <conditionalFormatting sqref="AP84:AP100 AP102">
    <cfRule type="duplicateValues" dxfId="183" priority="1788"/>
  </conditionalFormatting>
  <conditionalFormatting sqref="AP101">
    <cfRule type="duplicateValues" dxfId="182" priority="3"/>
  </conditionalFormatting>
  <conditionalFormatting sqref="AP103">
    <cfRule type="duplicateValues" dxfId="181" priority="413"/>
  </conditionalFormatting>
  <conditionalFormatting sqref="AP104">
    <cfRule type="duplicateValues" dxfId="180" priority="745"/>
  </conditionalFormatting>
  <conditionalFormatting sqref="AP106">
    <cfRule type="duplicateValues" dxfId="179" priority="628"/>
  </conditionalFormatting>
  <conditionalFormatting sqref="AP107">
    <cfRule type="duplicateValues" dxfId="178" priority="412"/>
  </conditionalFormatting>
  <conditionalFormatting sqref="AP109">
    <cfRule type="duplicateValues" dxfId="177" priority="599"/>
  </conditionalFormatting>
  <conditionalFormatting sqref="AP110">
    <cfRule type="duplicateValues" dxfId="176" priority="631"/>
  </conditionalFormatting>
  <conditionalFormatting sqref="AP111">
    <cfRule type="duplicateValues" dxfId="175" priority="598"/>
  </conditionalFormatting>
  <conditionalFormatting sqref="AP113">
    <cfRule type="duplicateValues" dxfId="174" priority="1250"/>
  </conditionalFormatting>
  <conditionalFormatting sqref="AP114">
    <cfRule type="duplicateValues" dxfId="173" priority="597"/>
  </conditionalFormatting>
  <conditionalFormatting sqref="AP115:AP116">
    <cfRule type="duplicateValues" dxfId="172" priority="411"/>
  </conditionalFormatting>
  <conditionalFormatting sqref="AP118">
    <cfRule type="duplicateValues" dxfId="171" priority="410"/>
  </conditionalFormatting>
  <conditionalFormatting sqref="AP119">
    <cfRule type="duplicateValues" dxfId="170" priority="595"/>
    <cfRule type="duplicateValues" dxfId="169" priority="449"/>
  </conditionalFormatting>
  <conditionalFormatting sqref="AP120">
    <cfRule type="duplicateValues" dxfId="168" priority="14"/>
  </conditionalFormatting>
  <conditionalFormatting sqref="AP121:AP125">
    <cfRule type="duplicateValues" dxfId="167" priority="594"/>
  </conditionalFormatting>
  <conditionalFormatting sqref="AP123">
    <cfRule type="duplicateValues" dxfId="166" priority="1194"/>
    <cfRule type="duplicateValues" dxfId="165" priority="2073"/>
  </conditionalFormatting>
  <conditionalFormatting sqref="AP125">
    <cfRule type="duplicateValues" dxfId="164" priority="44"/>
    <cfRule type="duplicateValues" dxfId="163" priority="43"/>
  </conditionalFormatting>
  <conditionalFormatting sqref="AP126 AP128">
    <cfRule type="duplicateValues" dxfId="162" priority="630"/>
  </conditionalFormatting>
  <conditionalFormatting sqref="AP127">
    <cfRule type="duplicateValues" dxfId="161" priority="15"/>
  </conditionalFormatting>
  <conditionalFormatting sqref="AP129">
    <cfRule type="duplicateValues" dxfId="160" priority="408"/>
  </conditionalFormatting>
  <conditionalFormatting sqref="AP130">
    <cfRule type="duplicateValues" dxfId="159" priority="60"/>
  </conditionalFormatting>
  <conditionalFormatting sqref="AP131">
    <cfRule type="duplicateValues" dxfId="158" priority="61"/>
  </conditionalFormatting>
  <conditionalFormatting sqref="AP132">
    <cfRule type="duplicateValues" dxfId="157" priority="405"/>
  </conditionalFormatting>
  <conditionalFormatting sqref="AP133 AP135">
    <cfRule type="duplicateValues" dxfId="156" priority="321"/>
  </conditionalFormatting>
  <conditionalFormatting sqref="AP134">
    <cfRule type="duplicateValues" dxfId="155" priority="28"/>
  </conditionalFormatting>
  <conditionalFormatting sqref="AP148">
    <cfRule type="duplicateValues" dxfId="154" priority="13"/>
    <cfRule type="duplicateValues" dxfId="153" priority="12"/>
  </conditionalFormatting>
  <conditionalFormatting sqref="AP169">
    <cfRule type="duplicateValues" dxfId="152" priority="27"/>
    <cfRule type="duplicateValues" dxfId="151" priority="26"/>
  </conditionalFormatting>
  <conditionalFormatting sqref="AP171">
    <cfRule type="duplicateValues" dxfId="150" priority="16"/>
    <cfRule type="duplicateValues" dxfId="149" priority="17"/>
  </conditionalFormatting>
  <conditionalFormatting sqref="AP174">
    <cfRule type="duplicateValues" dxfId="148" priority="7"/>
    <cfRule type="duplicateValues" dxfId="147" priority="6"/>
  </conditionalFormatting>
  <conditionalFormatting sqref="AP187">
    <cfRule type="duplicateValues" dxfId="146" priority="19"/>
    <cfRule type="duplicateValues" dxfId="145" priority="18"/>
  </conditionalFormatting>
  <conditionalFormatting sqref="AP329">
    <cfRule type="duplicateValues" dxfId="144" priority="21"/>
    <cfRule type="duplicateValues" dxfId="143" priority="20"/>
  </conditionalFormatting>
  <conditionalFormatting sqref="AP407">
    <cfRule type="duplicateValues" dxfId="142" priority="4"/>
    <cfRule type="duplicateValues" dxfId="141" priority="5"/>
  </conditionalFormatting>
  <conditionalFormatting sqref="AP476">
    <cfRule type="duplicateValues" dxfId="140" priority="11"/>
    <cfRule type="duplicateValues" dxfId="139" priority="10"/>
  </conditionalFormatting>
  <conditionalFormatting sqref="AP479">
    <cfRule type="duplicateValues" dxfId="138" priority="24"/>
    <cfRule type="duplicateValues" dxfId="137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36" priority="1255"/>
  </conditionalFormatting>
  <conditionalFormatting sqref="AP492:AP1048576 AP1:AP490">
    <cfRule type="duplicateValues" dxfId="135" priority="1195"/>
    <cfRule type="duplicateValues" dxfId="134" priority="739"/>
  </conditionalFormatting>
  <conditionalFormatting sqref="AP523">
    <cfRule type="duplicateValues" dxfId="133" priority="22"/>
    <cfRule type="duplicateValues" dxfId="132" priority="23"/>
  </conditionalFormatting>
  <conditionalFormatting sqref="AP551">
    <cfRule type="duplicateValues" dxfId="131" priority="8"/>
    <cfRule type="duplicateValues" dxfId="130" priority="9"/>
  </conditionalFormatting>
  <conditionalFormatting sqref="AP940:AP1048576 AP1:AP9 AP78:AP81 AP40:AP41 AP65 AP16:AP19 AP67 AP73 AP21 AP31:AP35 AP117 AP23:AP24 AP26:AP29 AP54:AP60 AP43:AP52 AP70:AP71 AP121:AP122">
    <cfRule type="duplicateValues" dxfId="129" priority="1304"/>
  </conditionalFormatting>
  <conditionalFormatting sqref="AQ112">
    <cfRule type="duplicateValues" dxfId="128" priority="320"/>
  </conditionalFormatting>
  <conditionalFormatting sqref="AR112">
    <cfRule type="duplicateValues" dxfId="127" priority="319"/>
  </conditionalFormatting>
  <conditionalFormatting sqref="AS112">
    <cfRule type="duplicateValues" dxfId="126" priority="318"/>
  </conditionalFormatting>
  <conditionalFormatting sqref="AT112">
    <cfRule type="duplicateValues" dxfId="125" priority="317"/>
  </conditionalFormatting>
  <conditionalFormatting sqref="AU112">
    <cfRule type="duplicateValues" dxfId="124" priority="316"/>
  </conditionalFormatting>
  <conditionalFormatting sqref="AV112">
    <cfRule type="duplicateValues" dxfId="123" priority="315"/>
  </conditionalFormatting>
  <conditionalFormatting sqref="AV183:AW183">
    <cfRule type="cellIs" dxfId="122" priority="100" operator="between">
      <formula>36526</formula>
      <formula>402133</formula>
    </cfRule>
  </conditionalFormatting>
  <conditionalFormatting sqref="AV671:AW671">
    <cfRule type="cellIs" dxfId="121" priority="84" operator="between">
      <formula>36526</formula>
      <formula>402133</formula>
    </cfRule>
  </conditionalFormatting>
  <conditionalFormatting sqref="AV680:AW680">
    <cfRule type="cellIs" dxfId="120" priority="81" operator="between">
      <formula>36526</formula>
      <formula>402133</formula>
    </cfRule>
  </conditionalFormatting>
  <conditionalFormatting sqref="AV715:AW715">
    <cfRule type="cellIs" dxfId="119" priority="78" operator="between">
      <formula>36526</formula>
      <formula>402133</formula>
    </cfRule>
  </conditionalFormatting>
  <conditionalFormatting sqref="AW112">
    <cfRule type="duplicateValues" dxfId="118" priority="314"/>
  </conditionalFormatting>
  <conditionalFormatting sqref="AW458:AX458">
    <cfRule type="cellIs" dxfId="117" priority="610" operator="between">
      <formula>36526</formula>
      <formula>402133</formula>
    </cfRule>
  </conditionalFormatting>
  <conditionalFormatting sqref="AX112">
    <cfRule type="duplicateValues" dxfId="116" priority="313"/>
  </conditionalFormatting>
  <conditionalFormatting sqref="AY160:AY174 AY176:AY300 AY385:AY414 AY419:AY420 AY422:AY463 AY465 AY467:AY468 AY470:AY482 AY484:AY487 AY489:AY552 AY554:AY563 AY565:AY586 AY588:AY656 AY302:AY383 AY1:AY158">
    <cfRule type="cellIs" dxfId="115" priority="50" operator="between">
      <formula>36526</formula>
      <formula>402133</formula>
    </cfRule>
  </conditionalFormatting>
  <conditionalFormatting sqref="AY159">
    <cfRule type="cellIs" dxfId="114" priority="45" operator="greaterThan">
      <formula>43831</formula>
    </cfRule>
  </conditionalFormatting>
  <conditionalFormatting sqref="AY483">
    <cfRule type="cellIs" dxfId="113" priority="46" operator="greaterThan">
      <formula>43831</formula>
    </cfRule>
  </conditionalFormatting>
  <conditionalFormatting sqref="AY657:AY806 AV725:AW725 AY809:AY1048576">
    <cfRule type="cellIs" dxfId="112" priority="74" operator="between">
      <formula>36526</formula>
      <formula>402133</formula>
    </cfRule>
  </conditionalFormatting>
  <conditionalFormatting sqref="AY417:AZ417">
    <cfRule type="cellIs" dxfId="111" priority="33" operator="between">
      <formula>36526</formula>
      <formula>402133</formula>
    </cfRule>
  </conditionalFormatting>
  <conditionalFormatting sqref="AZ13">
    <cfRule type="cellIs" dxfId="110" priority="42" operator="between">
      <formula>36526</formula>
      <formula>402133</formula>
    </cfRule>
  </conditionalFormatting>
  <conditionalFormatting sqref="AZ35">
    <cfRule type="cellIs" dxfId="109" priority="570" operator="between">
      <formula>36526</formula>
      <formula>402133</formula>
    </cfRule>
  </conditionalFormatting>
  <conditionalFormatting sqref="AZ37">
    <cfRule type="cellIs" dxfId="108" priority="528" operator="between">
      <formula>36526</formula>
      <formula>402133</formula>
    </cfRule>
  </conditionalFormatting>
  <conditionalFormatting sqref="AZ42">
    <cfRule type="cellIs" dxfId="107" priority="526" operator="between">
      <formula>36526</formula>
      <formula>402133</formula>
    </cfRule>
  </conditionalFormatting>
  <conditionalFormatting sqref="AZ47">
    <cfRule type="cellIs" dxfId="106" priority="223" operator="between">
      <formula>36526</formula>
      <formula>402133</formula>
    </cfRule>
  </conditionalFormatting>
  <conditionalFormatting sqref="AZ50">
    <cfRule type="cellIs" dxfId="105" priority="107" operator="between">
      <formula>36526</formula>
      <formula>402133</formula>
    </cfRule>
  </conditionalFormatting>
  <conditionalFormatting sqref="AZ54">
    <cfRule type="cellIs" dxfId="104" priority="221" operator="between">
      <formula>36526</formula>
      <formula>402133</formula>
    </cfRule>
  </conditionalFormatting>
  <conditionalFormatting sqref="AZ101">
    <cfRule type="cellIs" dxfId="103" priority="41" operator="between">
      <formula>36526</formula>
      <formula>402133</formula>
    </cfRule>
  </conditionalFormatting>
  <conditionalFormatting sqref="AZ107">
    <cfRule type="cellIs" dxfId="102" priority="220" operator="between">
      <formula>36526</formula>
      <formula>402133</formula>
    </cfRule>
  </conditionalFormatting>
  <conditionalFormatting sqref="AZ114">
    <cfRule type="cellIs" dxfId="101" priority="219" operator="between">
      <formula>36526</formula>
      <formula>402133</formula>
    </cfRule>
  </conditionalFormatting>
  <conditionalFormatting sqref="AZ116">
    <cfRule type="cellIs" dxfId="100" priority="58" operator="between">
      <formula>36526</formula>
      <formula>402133</formula>
    </cfRule>
  </conditionalFormatting>
  <conditionalFormatting sqref="AZ128:AZ129">
    <cfRule type="cellIs" dxfId="99" priority="218" operator="between">
      <formula>36526</formula>
      <formula>402133</formula>
    </cfRule>
  </conditionalFormatting>
  <conditionalFormatting sqref="AZ134 AZ136">
    <cfRule type="cellIs" dxfId="98" priority="37" operator="between">
      <formula>36526</formula>
      <formula>402133</formula>
    </cfRule>
  </conditionalFormatting>
  <conditionalFormatting sqref="AZ139:AZ140">
    <cfRule type="cellIs" dxfId="97" priority="217" operator="between">
      <formula>36526</formula>
      <formula>402133</formula>
    </cfRule>
  </conditionalFormatting>
  <conditionalFormatting sqref="AZ144">
    <cfRule type="cellIs" dxfId="96" priority="105" operator="between">
      <formula>36526</formula>
      <formula>402133</formula>
    </cfRule>
  </conditionalFormatting>
  <conditionalFormatting sqref="AZ148">
    <cfRule type="cellIs" dxfId="95" priority="48" operator="between">
      <formula>36526</formula>
      <formula>402133</formula>
    </cfRule>
  </conditionalFormatting>
  <conditionalFormatting sqref="AZ150">
    <cfRule type="cellIs" dxfId="94" priority="216" operator="between">
      <formula>36526</formula>
      <formula>402133</formula>
    </cfRule>
  </conditionalFormatting>
  <conditionalFormatting sqref="AZ152:AZ156">
    <cfRule type="cellIs" dxfId="93" priority="57" operator="between">
      <formula>36526</formula>
      <formula>402133</formula>
    </cfRule>
  </conditionalFormatting>
  <conditionalFormatting sqref="AZ160">
    <cfRule type="cellIs" dxfId="92" priority="40" operator="between">
      <formula>36526</formula>
      <formula>402133</formula>
    </cfRule>
  </conditionalFormatting>
  <conditionalFormatting sqref="AZ162">
    <cfRule type="cellIs" dxfId="91" priority="56" operator="between">
      <formula>36526</formula>
      <formula>402133</formula>
    </cfRule>
  </conditionalFormatting>
  <conditionalFormatting sqref="AZ166">
    <cfRule type="cellIs" dxfId="90" priority="39" operator="between">
      <formula>36526</formula>
      <formula>402133</formula>
    </cfRule>
  </conditionalFormatting>
  <conditionalFormatting sqref="AZ170:AZ171">
    <cfRule type="cellIs" dxfId="89" priority="30" operator="between">
      <formula>36526</formula>
      <formula>402133</formula>
    </cfRule>
  </conditionalFormatting>
  <conditionalFormatting sqref="AZ173">
    <cfRule type="cellIs" dxfId="88" priority="519" operator="between">
      <formula>36526</formula>
      <formula>402133</formula>
    </cfRule>
  </conditionalFormatting>
  <conditionalFormatting sqref="AZ178:AZ180">
    <cfRule type="cellIs" dxfId="87" priority="103" operator="between">
      <formula>36526</formula>
      <formula>402133</formula>
    </cfRule>
  </conditionalFormatting>
  <conditionalFormatting sqref="AZ182">
    <cfRule type="cellIs" dxfId="86" priority="55" operator="between">
      <formula>36526</formula>
      <formula>402133</formula>
    </cfRule>
  </conditionalFormatting>
  <conditionalFormatting sqref="AZ184:AZ186">
    <cfRule type="cellIs" dxfId="85" priority="36" operator="between">
      <formula>36526</formula>
      <formula>402133</formula>
    </cfRule>
  </conditionalFormatting>
  <conditionalFormatting sqref="AZ207">
    <cfRule type="cellIs" dxfId="84" priority="97" operator="between">
      <formula>36526</formula>
      <formula>402133</formula>
    </cfRule>
  </conditionalFormatting>
  <conditionalFormatting sqref="AZ209">
    <cfRule type="cellIs" dxfId="83" priority="2" operator="between">
      <formula>36526</formula>
      <formula>402133</formula>
    </cfRule>
  </conditionalFormatting>
  <conditionalFormatting sqref="AZ219">
    <cfRule type="cellIs" dxfId="82" priority="202" operator="between">
      <formula>36526</formula>
      <formula>402133</formula>
    </cfRule>
  </conditionalFormatting>
  <conditionalFormatting sqref="AZ223">
    <cfRule type="cellIs" dxfId="81" priority="94" operator="between">
      <formula>36526</formula>
      <formula>402133</formula>
    </cfRule>
  </conditionalFormatting>
  <conditionalFormatting sqref="AZ227">
    <cfRule type="cellIs" dxfId="80" priority="54" operator="between">
      <formula>36526</formula>
      <formula>402133</formula>
    </cfRule>
  </conditionalFormatting>
  <conditionalFormatting sqref="AZ243:AZ244">
    <cfRule type="cellIs" dxfId="79" priority="199" operator="between">
      <formula>36526</formula>
      <formula>402133</formula>
    </cfRule>
  </conditionalFormatting>
  <conditionalFormatting sqref="AZ261">
    <cfRule type="cellIs" dxfId="78" priority="654" operator="between">
      <formula>36526</formula>
      <formula>402133</formula>
    </cfRule>
  </conditionalFormatting>
  <conditionalFormatting sqref="AZ265">
    <cfRule type="cellIs" dxfId="77" priority="53" operator="between">
      <formula>36526</formula>
      <formula>402133</formula>
    </cfRule>
  </conditionalFormatting>
  <conditionalFormatting sqref="AZ267">
    <cfRule type="cellIs" dxfId="76" priority="198" operator="between">
      <formula>36526</formula>
      <formula>402133</formula>
    </cfRule>
  </conditionalFormatting>
  <conditionalFormatting sqref="AZ269">
    <cfRule type="cellIs" dxfId="75" priority="197" operator="between">
      <formula>36526</formula>
      <formula>402133</formula>
    </cfRule>
  </conditionalFormatting>
  <conditionalFormatting sqref="AZ271">
    <cfRule type="cellIs" dxfId="74" priority="52" operator="between">
      <formula>36526</formula>
      <formula>402133</formula>
    </cfRule>
  </conditionalFormatting>
  <conditionalFormatting sqref="AZ276">
    <cfRule type="cellIs" dxfId="73" priority="196" operator="between">
      <formula>36526</formula>
      <formula>402133</formula>
    </cfRule>
  </conditionalFormatting>
  <conditionalFormatting sqref="AZ278">
    <cfRule type="cellIs" dxfId="72" priority="195" operator="between">
      <formula>36526</formula>
      <formula>402133</formula>
    </cfRule>
  </conditionalFormatting>
  <conditionalFormatting sqref="AZ282">
    <cfRule type="cellIs" dxfId="71" priority="650" operator="between">
      <formula>36526</formula>
      <formula>402133</formula>
    </cfRule>
  </conditionalFormatting>
  <conditionalFormatting sqref="AZ329">
    <cfRule type="cellIs" dxfId="70" priority="194" operator="between">
      <formula>36526</formula>
      <formula>402133</formula>
    </cfRule>
  </conditionalFormatting>
  <conditionalFormatting sqref="AZ332:AZ333">
    <cfRule type="cellIs" dxfId="69" priority="29" operator="between">
      <formula>36526</formula>
      <formula>402133</formula>
    </cfRule>
  </conditionalFormatting>
  <conditionalFormatting sqref="AZ336">
    <cfRule type="cellIs" dxfId="68" priority="507" operator="between">
      <formula>36526</formula>
      <formula>402133</formula>
    </cfRule>
  </conditionalFormatting>
  <conditionalFormatting sqref="AZ344">
    <cfRule type="cellIs" dxfId="67" priority="506" operator="between">
      <formula>36526</formula>
      <formula>402133</formula>
    </cfRule>
  </conditionalFormatting>
  <conditionalFormatting sqref="AZ350">
    <cfRule type="cellIs" dxfId="66" priority="501" operator="between">
      <formula>36526</formula>
      <formula>402133</formula>
    </cfRule>
  </conditionalFormatting>
  <conditionalFormatting sqref="AZ364">
    <cfRule type="cellIs" dxfId="65" priority="502" operator="between">
      <formula>36526</formula>
      <formula>402133</formula>
    </cfRule>
  </conditionalFormatting>
  <conditionalFormatting sqref="AZ367">
    <cfRule type="cellIs" dxfId="64" priority="192" operator="between">
      <formula>36526</formula>
      <formula>402133</formula>
    </cfRule>
  </conditionalFormatting>
  <conditionalFormatting sqref="AZ371:AZ372">
    <cfRule type="cellIs" dxfId="63" priority="191" operator="between">
      <formula>36526</formula>
      <formula>402133</formula>
    </cfRule>
  </conditionalFormatting>
  <conditionalFormatting sqref="AZ376">
    <cfRule type="cellIs" dxfId="62" priority="190" operator="between">
      <formula>36526</formula>
      <formula>402133</formula>
    </cfRule>
  </conditionalFormatting>
  <conditionalFormatting sqref="AZ381">
    <cfRule type="cellIs" dxfId="61" priority="189" operator="between">
      <formula>36526</formula>
      <formula>402133</formula>
    </cfRule>
  </conditionalFormatting>
  <conditionalFormatting sqref="AZ389">
    <cfRule type="cellIs" dxfId="60" priority="35" operator="between">
      <formula>36526</formula>
      <formula>402133</formula>
    </cfRule>
  </conditionalFormatting>
  <conditionalFormatting sqref="AZ408">
    <cfRule type="cellIs" dxfId="59" priority="34" operator="between">
      <formula>36526</formula>
      <formula>402133</formula>
    </cfRule>
  </conditionalFormatting>
  <conditionalFormatting sqref="AZ413:AZ414">
    <cfRule type="cellIs" dxfId="58" priority="188" operator="between">
      <formula>36526</formula>
      <formula>402133</formula>
    </cfRule>
  </conditionalFormatting>
  <conditionalFormatting sqref="AZ426:AZ427">
    <cfRule type="cellIs" dxfId="57" priority="187" operator="between">
      <formula>36526</formula>
      <formula>402133</formula>
    </cfRule>
  </conditionalFormatting>
  <conditionalFormatting sqref="AZ434">
    <cfRule type="cellIs" dxfId="56" priority="503" operator="between">
      <formula>36526</formula>
      <formula>402133</formula>
    </cfRule>
  </conditionalFormatting>
  <conditionalFormatting sqref="AZ489">
    <cfRule type="cellIs" dxfId="55" priority="32" operator="between">
      <formula>36526</formula>
      <formula>402133</formula>
    </cfRule>
  </conditionalFormatting>
  <conditionalFormatting sqref="AZ514">
    <cfRule type="cellIs" dxfId="54" priority="51" operator="between">
      <formula>36526</formula>
      <formula>402133</formula>
    </cfRule>
  </conditionalFormatting>
  <conditionalFormatting sqref="AZ565">
    <cfRule type="cellIs" dxfId="53" priority="31" operator="between">
      <formula>36526</formula>
      <formula>402133</formula>
    </cfRule>
  </conditionalFormatting>
  <conditionalFormatting sqref="AZ641:AZ642">
    <cfRule type="cellIs" dxfId="52" priority="88" operator="between">
      <formula>36526</formula>
      <formula>402133</formula>
    </cfRule>
  </conditionalFormatting>
  <conditionalFormatting sqref="AZ649">
    <cfRule type="cellIs" dxfId="51" priority="87" operator="between">
      <formula>36526</formula>
      <formula>402133</formula>
    </cfRule>
  </conditionalFormatting>
  <conditionalFormatting sqref="AZ654">
    <cfRule type="cellIs" dxfId="50" priority="86" operator="between">
      <formula>36526</formula>
      <formula>402133</formula>
    </cfRule>
  </conditionalFormatting>
  <conditionalFormatting sqref="AZ659">
    <cfRule type="cellIs" dxfId="49" priority="85" operator="between">
      <formula>36526</formula>
      <formula>402133</formula>
    </cfRule>
  </conditionalFormatting>
  <conditionalFormatting sqref="AZ679">
    <cfRule type="cellIs" dxfId="48" priority="83" operator="between">
      <formula>36526</formula>
      <formula>402133</formula>
    </cfRule>
  </conditionalFormatting>
  <conditionalFormatting sqref="AZ696">
    <cfRule type="cellIs" dxfId="47" priority="80" operator="between">
      <formula>36526</formula>
      <formula>402133</formula>
    </cfRule>
  </conditionalFormatting>
  <conditionalFormatting sqref="AZ716:AZ717">
    <cfRule type="cellIs" dxfId="46" priority="77" operator="between">
      <formula>36526</formula>
      <formula>402133</formula>
    </cfRule>
  </conditionalFormatting>
  <conditionalFormatting sqref="AZ723">
    <cfRule type="cellIs" dxfId="45" priority="76" operator="between">
      <formula>36526</formula>
      <formula>402133</formula>
    </cfRule>
  </conditionalFormatting>
  <conditionalFormatting sqref="BB875:BB1048576 BB1:BB873">
    <cfRule type="containsText" dxfId="44" priority="1398" operator="containsText" text="FINALIZADO">
      <formula>NOT(ISERROR(SEARCH("FINALIZADO",BB1)))</formula>
    </cfRule>
  </conditionalFormatting>
  <conditionalFormatting sqref="BD1:BD873">
    <cfRule type="cellIs" dxfId="43" priority="173" operator="equal">
      <formula>"AA"</formula>
    </cfRule>
    <cfRule type="cellIs" dxfId="42" priority="172" operator="equal">
      <formula>"INDENIZAÇÃO"</formula>
    </cfRule>
  </conditionalFormatting>
  <conditionalFormatting sqref="BD10:BD869">
    <cfRule type="cellIs" dxfId="41" priority="174" operator="equal">
      <formula>"FINALIZADO"</formula>
    </cfRule>
  </conditionalFormatting>
  <conditionalFormatting sqref="BD875:BD1048576">
    <cfRule type="cellIs" dxfId="40" priority="1372" operator="equal">
      <formula>"AA"</formula>
    </cfRule>
    <cfRule type="cellIs" dxfId="39" priority="1371" operator="equal">
      <formula>"INDENIZAÇÃO"</formula>
    </cfRule>
  </conditionalFormatting>
  <dataValidations count="11">
    <dataValidation allowBlank="1" showInputMessage="1" showErrorMessage="1" sqref="AO77 AO61:AO63 AO259:AO261 AO254 AS456:AT456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390:AY407 AY525:AY528 AA419 O618:O621 AT597 AO257 AQ455:AV455 AT600:AU600 AV419:AV428 AJ65:AK65 AV273:AV277 AW492:AW509 AQ337:AR342 AA42:AA45 AQ529:AY529 AS252:AT257 AT407:AT409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 AY673:AY678 AQ695:AQ696 AW578:AY578 AV280:AV285 AZ104:AZ105 AW272:AY272 AU278:AU285 AS273:AS276 AS396:AS405 AS433:AT433 AV550:AX551 AQ25:AZ25 AY603:AY605 AQ264:AS264 AS279:AS286 AA452:AA454 AY623 AQ22:AS22 AT534:AU534 AT542:AZ542 AW298 AS663:AV663 AO166:AO168 AY767:AY787 AQ131:AS131 AT271:AW271 AQ360:AR363 AT10:AY10 AQ10:AR10 AT523:AT524 AY662 AQ502:AU503 AY625:AY626 AT635:AU635 AT676:AU676 AS149:AS163 AU265:AU269 AQ583:AW583 AS717:AW717 AV675:AW675 AA446:AA448 AU472:AV473 AU262:AY262 AR260:AS263 AT485:AY485 AV292:AW297 AT207:AZ207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Q551:AT551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73:AT474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29:AV331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23:AS523 AQ584:AQ588 AQ663 AT22:AT24 AT227:AT234 AX580 AY359:AZ368 BK158:BK159 AU159 AS326:AW326 AV482 AQ38:AY39 AQ251:AZ251 O11:O376 AS201:AX202 AY273:AY275 AZ26:AZ53 AX40:AY53 AY228:AY238 BI176:BL176 AS26:AY37 AU222:AZ223 AT67:AX69 AQ492:AV493 AW470:AW482 AY539:AY541 AY648:AZ648 AV265:AW270 AS329:AS348 AS513:AV513 AW159:AX159 BJ211:BL211 AW327:AW357 BI209:BI211 BI88:BI94 BI99:BL99 BI133:BL134 BI139:BL139 BI142:BL142 BI149:BK149 BI172:BI174 AW807:AY807 BI358:BL358 BI303:BL303 BI200:BL200 BI195:BL195 AQ464 BI622:BK622 AU20:AU24 AU116:AU117 AT421:AT428 AX490:AX509 AV20:AW20 AV260:AY261 AW571:AY571 AT653:AX653 AY54:AZ68 AW185:AZ199 AW227:AX238 AX326:AX357 AW21 AY107:AZ115 AY566:AZ568 BJ136:BL136 BI164:BL165 AT293:AT300 AQ222:AR229 AT236:AT240 AS238:AS240 AQ267:AS267 AS291:AS302 AW102:AW103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AZ10:AZ24 BK24 BK39 BK46 BK48:BK49 BK53 BK69 BK113 BI106:BK106 BK126 BK128:BK129 BK132 BK138 BK140 BK144 BK151:BK156 BK199 BK194 BK182:BK185 BK177:BK179 BK170 AZ70:AZ99 AQ323:AS325 AW316:AX321 AT184:AZ184 BK332 AQ415:AQ419 AQ460:AV462 AQ457:AV458 AW160:AZ161 AY148:AZ158 BJ101:BK101 BI120:BK120 BI239:BK239 BI249:BK249 BI251:BK251 BI255:BK255 BI257:BK257 BI260:BK260 BI273:BK273 BI298:BK298 BI345:BK345 BI353:BK353 BI393:BK393 BI401:BK401 BI430:BK430 BI717:BK717 AS565:AZ565 AU150:AX158 AS407 AR588 AR595 AQ485:AQ490 AR486:AR490 AS489:AS490 AU490:AW490 AS656:AX656 AS183:AV183 AV185:AV197 AZ385:AZ407 AW390:AX405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T70:AT106 AX70:AY103 AT378:AT398 AU417:AU423 AV410:AV414 AU409:AU414 AU406:AX407 AY470:AY482 AQ113:AR118 AQ120:AR129 AR100:AR111 AU169:AX169 AQ168:AQ173 AZ101:AZ102 AT163:AY163 AS121:AT125 AT479:AV481 AQ119:AY119 AR133:AR135 AZ134 AS126:AY126 AY276:AZ357 AS133:AS147 AY162:AZ162 AU160:AV162 AS164:AX168 AS71:AS105 AU70:AV103 AT133:AT137 AR169 AT169:AT181 AS184:AS188 AT185:AU199 AQ400:AR407 AU385:AY389 AS406:AT406 AS467:AS470 AT468 AT475:AV477 AS594:AT594 AQ479:AS480 AZ136:AZ146 AY544:AY552 AT144:AY147 AU377:AU384 AV377:AV383 AS587:AY587 AV384:AY384 AW419:AY463 AU415:AY416 AV417:AY418 AX470:AX484 AU127:AZ132 AU170:AV175 AW170:AX174 AZ164:AZ183 AY164:AY174 AZ409:AZ491 AW409:AY414 AS464:AY465 AU466:AY469 AZ544:AZ564 AQ807:AV808 AW808 AA389:AA391 AT322:AX325 AU133:AY143 BC10:BC869 AU120:AZ125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73" r:id="rId1" display="146667845;" xr:uid="{2195CD71-5EAA-4A58-82BC-68502B00BF94}"/>
    <hyperlink ref="AK610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11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7813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7813</v>
      </c>
    </row>
    <row r="6" spans="1:5" ht="20.25" customHeight="1" x14ac:dyDescent="0.25">
      <c r="A6" s="241" t="s">
        <v>4431</v>
      </c>
      <c r="B6" s="241" t="s">
        <v>4350</v>
      </c>
      <c r="C6" s="256" t="s">
        <v>5795</v>
      </c>
      <c r="D6" s="242" t="s">
        <v>5796</v>
      </c>
      <c r="E6" s="243">
        <v>46220</v>
      </c>
    </row>
    <row r="7" spans="1:5" ht="20.25" customHeight="1" x14ac:dyDescent="0.25">
      <c r="A7" s="241" t="s">
        <v>4431</v>
      </c>
      <c r="B7" s="241" t="s">
        <v>4439</v>
      </c>
      <c r="C7" s="241" t="s">
        <v>4912</v>
      </c>
      <c r="D7" s="242" t="s">
        <v>4913</v>
      </c>
      <c r="E7" s="243">
        <v>46223</v>
      </c>
    </row>
    <row r="8" spans="1:5" ht="20.25" customHeight="1" x14ac:dyDescent="0.25">
      <c r="A8" s="241" t="s">
        <v>4431</v>
      </c>
      <c r="B8" s="241" t="s">
        <v>4439</v>
      </c>
      <c r="C8" s="241" t="s">
        <v>5011</v>
      </c>
      <c r="D8" s="278" t="s">
        <v>5012</v>
      </c>
      <c r="E8" s="243">
        <v>46223</v>
      </c>
    </row>
    <row r="9" spans="1:5" ht="20.25" customHeight="1" x14ac:dyDescent="0.25">
      <c r="A9" s="241" t="s">
        <v>4431</v>
      </c>
      <c r="B9" s="241" t="s">
        <v>4350</v>
      </c>
      <c r="C9" s="241" t="s">
        <v>5787</v>
      </c>
      <c r="D9" s="242" t="s">
        <v>6196</v>
      </c>
      <c r="E9" s="243">
        <v>46223</v>
      </c>
    </row>
    <row r="10" spans="1:5" ht="20.25" customHeight="1" x14ac:dyDescent="0.25">
      <c r="A10" s="241" t="s">
        <v>4431</v>
      </c>
      <c r="B10" s="241" t="s">
        <v>4350</v>
      </c>
      <c r="C10" s="241" t="s">
        <v>6200</v>
      </c>
      <c r="D10" s="242" t="s">
        <v>6201</v>
      </c>
      <c r="E10" s="243">
        <v>46223</v>
      </c>
    </row>
    <row r="11" spans="1:5" ht="20.25" customHeight="1" x14ac:dyDescent="0.25">
      <c r="A11" s="241" t="s">
        <v>4431</v>
      </c>
      <c r="B11" s="241" t="s">
        <v>4359</v>
      </c>
      <c r="C11" s="241" t="s">
        <v>7804</v>
      </c>
      <c r="D11" s="242" t="s">
        <v>7805</v>
      </c>
      <c r="E11" s="243">
        <v>46223</v>
      </c>
    </row>
    <row r="12" spans="1:5" ht="20.25" customHeight="1" x14ac:dyDescent="0.25">
      <c r="A12" s="241"/>
      <c r="B12" s="241"/>
      <c r="C12" s="241"/>
      <c r="D12" s="242"/>
      <c r="E12" s="243"/>
    </row>
    <row r="13" spans="1:5" ht="20.25" customHeight="1" x14ac:dyDescent="0.25">
      <c r="A13" s="241"/>
      <c r="B13" s="241"/>
      <c r="C13" s="241"/>
      <c r="D13" s="278"/>
      <c r="E13" s="243"/>
    </row>
    <row r="14" spans="1:5" ht="20.25" customHeight="1" x14ac:dyDescent="0.25">
      <c r="A14" s="241"/>
      <c r="B14" s="241"/>
      <c r="C14" s="241"/>
      <c r="D14" s="278"/>
      <c r="E14" s="243"/>
    </row>
    <row r="15" spans="1:5" ht="20.25" customHeight="1" x14ac:dyDescent="0.25">
      <c r="A15" s="241"/>
      <c r="B15" s="241"/>
      <c r="C15" s="241"/>
      <c r="D15" s="278"/>
      <c r="E15" s="243"/>
    </row>
    <row r="16" spans="1:5" ht="20.25" customHeight="1" x14ac:dyDescent="0.25">
      <c r="A16" s="241"/>
      <c r="B16" s="241"/>
      <c r="C16" s="241"/>
      <c r="D16" s="242"/>
      <c r="E16" s="243"/>
    </row>
    <row r="17" spans="1:5" ht="20.25" customHeight="1" x14ac:dyDescent="0.25">
      <c r="A17" s="241"/>
      <c r="B17" s="241"/>
      <c r="C17" s="241"/>
      <c r="D17" s="242"/>
      <c r="E17" s="243"/>
    </row>
    <row r="18" spans="1:5" ht="20.25" customHeight="1" x14ac:dyDescent="0.25">
      <c r="A18" s="241"/>
      <c r="B18" s="241"/>
      <c r="C18" s="241"/>
      <c r="D18" s="278"/>
      <c r="E18" s="243"/>
    </row>
    <row r="19" spans="1:5" ht="20.25" customHeight="1" x14ac:dyDescent="0.25">
      <c r="A19" s="241"/>
      <c r="B19" s="241"/>
      <c r="C19" s="241"/>
      <c r="D19" s="242"/>
      <c r="E19" s="243"/>
    </row>
    <row r="20" spans="1:5" ht="20.25" customHeight="1" x14ac:dyDescent="0.25">
      <c r="A20" s="241"/>
      <c r="B20" s="241"/>
      <c r="C20" s="241"/>
      <c r="D20" s="242"/>
      <c r="E20" s="243"/>
    </row>
    <row r="21" spans="1:5" ht="20.25" customHeight="1" x14ac:dyDescent="0.25">
      <c r="A21" s="241"/>
      <c r="B21" s="241"/>
      <c r="C21" s="241"/>
      <c r="D21" s="242"/>
      <c r="E21" s="243"/>
    </row>
    <row r="22" spans="1:5" ht="20.25" customHeight="1" x14ac:dyDescent="0.25">
      <c r="A22" s="241"/>
      <c r="B22" s="241"/>
      <c r="C22" s="241"/>
      <c r="D22" s="242"/>
      <c r="E22" s="243"/>
    </row>
    <row r="23" spans="1:5" ht="20.25" customHeight="1" x14ac:dyDescent="0.25">
      <c r="A23" s="241"/>
      <c r="B23" s="241"/>
      <c r="C23" s="241"/>
      <c r="D23" s="242"/>
      <c r="E23" s="243"/>
    </row>
    <row r="24" spans="1:5" ht="20.25" customHeight="1" x14ac:dyDescent="0.25">
      <c r="A24" s="241"/>
      <c r="B24" s="241"/>
      <c r="C24" s="241"/>
      <c r="D24" s="278"/>
      <c r="E24" s="243"/>
    </row>
    <row r="25" spans="1:5" ht="20.25" customHeight="1" x14ac:dyDescent="0.25">
      <c r="A25" s="128"/>
      <c r="B25" s="128"/>
      <c r="C25" s="128"/>
      <c r="D25" s="215"/>
      <c r="E25" s="216"/>
    </row>
    <row r="26" spans="1:5" ht="20.25" customHeight="1" x14ac:dyDescent="0.25">
      <c r="A26" s="120"/>
      <c r="B26" s="120"/>
      <c r="C26" s="120"/>
      <c r="D26" s="121"/>
      <c r="E26" s="213"/>
    </row>
    <row r="27" spans="1:5" ht="20.25" customHeight="1" x14ac:dyDescent="0.25">
      <c r="A27" s="120"/>
      <c r="B27" s="120"/>
      <c r="C27" s="120"/>
      <c r="D27" s="121"/>
      <c r="E27" s="213"/>
    </row>
    <row r="28" spans="1:5" ht="20.25" customHeight="1" x14ac:dyDescent="0.25">
      <c r="A28" s="120"/>
      <c r="B28" s="120"/>
      <c r="C28" s="120"/>
      <c r="D28" s="123"/>
      <c r="E28" s="213"/>
    </row>
    <row r="29" spans="1:5" ht="20.25" customHeight="1" x14ac:dyDescent="0.25">
      <c r="A29" s="120"/>
      <c r="B29" s="120"/>
      <c r="C29" s="120"/>
      <c r="D29" s="123"/>
      <c r="E29" s="213"/>
    </row>
    <row r="30" spans="1:5" ht="20.25" customHeight="1" x14ac:dyDescent="0.25">
      <c r="A30" s="120"/>
      <c r="B30" s="120"/>
      <c r="C30" s="120"/>
      <c r="D30" s="121"/>
      <c r="E30" s="213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7814</v>
      </c>
      <c r="B46" s="120"/>
      <c r="C46" s="120" t="s">
        <v>7815</v>
      </c>
      <c r="D46" s="120" t="s">
        <v>7816</v>
      </c>
      <c r="E46" s="105">
        <v>44961</v>
      </c>
    </row>
    <row r="47" spans="1:5" ht="20.25" customHeight="1" x14ac:dyDescent="0.25">
      <c r="A47" s="120" t="s">
        <v>7814</v>
      </c>
      <c r="B47" s="120"/>
      <c r="C47" s="120" t="s">
        <v>7817</v>
      </c>
      <c r="D47" s="120" t="s">
        <v>7818</v>
      </c>
      <c r="E47" s="105">
        <v>44923</v>
      </c>
    </row>
    <row r="48" spans="1:5" ht="20.25" customHeight="1" x14ac:dyDescent="0.25">
      <c r="A48" s="120" t="s">
        <v>7814</v>
      </c>
      <c r="B48" s="120"/>
      <c r="C48" s="120" t="s">
        <v>7819</v>
      </c>
      <c r="D48" s="120" t="s">
        <v>7820</v>
      </c>
      <c r="E48" s="119">
        <v>45013</v>
      </c>
    </row>
    <row r="49" spans="1:5" ht="20.25" customHeight="1" x14ac:dyDescent="0.25">
      <c r="A49" s="120" t="s">
        <v>7814</v>
      </c>
      <c r="B49" s="120"/>
      <c r="C49" s="120" t="s">
        <v>7821</v>
      </c>
      <c r="D49" s="120" t="s">
        <v>7822</v>
      </c>
      <c r="E49" s="108">
        <v>45148</v>
      </c>
    </row>
    <row r="50" spans="1:5" ht="20.25" customHeight="1" x14ac:dyDescent="0.25">
      <c r="A50" s="120" t="s">
        <v>7814</v>
      </c>
      <c r="B50" s="120"/>
      <c r="C50" s="120" t="s">
        <v>7823</v>
      </c>
      <c r="D50" s="120" t="s">
        <v>7824</v>
      </c>
      <c r="E50" s="107"/>
    </row>
    <row r="51" spans="1:5" ht="20.25" customHeight="1" x14ac:dyDescent="0.25">
      <c r="A51" s="120" t="s">
        <v>7814</v>
      </c>
      <c r="B51" s="120"/>
      <c r="C51" s="120" t="s">
        <v>7825</v>
      </c>
      <c r="D51" s="120" t="s">
        <v>7826</v>
      </c>
      <c r="E51" s="103"/>
    </row>
    <row r="52" spans="1:5" ht="20.25" customHeight="1" x14ac:dyDescent="0.25">
      <c r="A52" s="120" t="s">
        <v>7814</v>
      </c>
      <c r="B52" s="120"/>
      <c r="C52" s="120" t="s">
        <v>7827</v>
      </c>
      <c r="D52" s="120" t="s">
        <v>7828</v>
      </c>
      <c r="E52" s="107"/>
    </row>
    <row r="53" spans="1:5" ht="20.25" customHeight="1" x14ac:dyDescent="0.25">
      <c r="A53" s="120" t="s">
        <v>7814</v>
      </c>
      <c r="B53" s="120"/>
      <c r="C53" s="120" t="s">
        <v>7829</v>
      </c>
      <c r="D53" s="120" t="s">
        <v>7830</v>
      </c>
      <c r="E53" s="107"/>
    </row>
    <row r="54" spans="1:5" ht="20.25" customHeight="1" x14ac:dyDescent="0.25">
      <c r="A54" s="120" t="s">
        <v>7814</v>
      </c>
      <c r="B54" s="120"/>
      <c r="C54" s="120" t="s">
        <v>7831</v>
      </c>
      <c r="D54" s="120" t="s">
        <v>7832</v>
      </c>
      <c r="E54" s="103"/>
    </row>
    <row r="55" spans="1:5" ht="20.25" customHeight="1" x14ac:dyDescent="0.25">
      <c r="A55" s="120" t="s">
        <v>7814</v>
      </c>
      <c r="B55" s="120"/>
      <c r="C55" s="120" t="s">
        <v>7833</v>
      </c>
      <c r="D55" s="120" t="s">
        <v>7834</v>
      </c>
      <c r="E55" s="103"/>
    </row>
    <row r="56" spans="1:5" ht="20.25" customHeight="1" x14ac:dyDescent="0.25">
      <c r="A56" s="120" t="s">
        <v>7814</v>
      </c>
      <c r="B56" s="120"/>
      <c r="C56" s="120" t="s">
        <v>7835</v>
      </c>
      <c r="D56" s="120" t="s">
        <v>7836</v>
      </c>
      <c r="E56" s="109"/>
    </row>
    <row r="57" spans="1:5" ht="20.25" customHeight="1" x14ac:dyDescent="0.25">
      <c r="A57" s="120" t="s">
        <v>7814</v>
      </c>
      <c r="B57" s="120"/>
      <c r="C57" s="120" t="s">
        <v>7837</v>
      </c>
      <c r="D57" s="120" t="s">
        <v>7838</v>
      </c>
      <c r="E57" s="105">
        <v>45056</v>
      </c>
    </row>
    <row r="58" spans="1:5" ht="20.25" customHeight="1" x14ac:dyDescent="0.25">
      <c r="A58" s="120" t="s">
        <v>7814</v>
      </c>
      <c r="B58" s="120"/>
      <c r="C58" s="120" t="s">
        <v>7839</v>
      </c>
      <c r="D58" s="120" t="s">
        <v>7840</v>
      </c>
      <c r="E58" s="119">
        <v>45013</v>
      </c>
    </row>
    <row r="59" spans="1:5" ht="20.25" customHeight="1" x14ac:dyDescent="0.25">
      <c r="A59" s="120" t="s">
        <v>7814</v>
      </c>
      <c r="B59" s="120"/>
      <c r="C59" s="120" t="s">
        <v>7841</v>
      </c>
      <c r="D59" s="120" t="s">
        <v>7842</v>
      </c>
      <c r="E59" s="105">
        <v>45097</v>
      </c>
    </row>
    <row r="60" spans="1:5" ht="20.25" customHeight="1" x14ac:dyDescent="0.25">
      <c r="A60" s="120" t="s">
        <v>7814</v>
      </c>
      <c r="B60" s="120"/>
      <c r="C60" s="120" t="s">
        <v>7843</v>
      </c>
      <c r="D60" s="120" t="s">
        <v>7844</v>
      </c>
      <c r="E60" s="105">
        <v>44816</v>
      </c>
    </row>
    <row r="61" spans="1:5" ht="20.25" customHeight="1" x14ac:dyDescent="0.25">
      <c r="A61" s="120" t="s">
        <v>7814</v>
      </c>
      <c r="B61" s="120"/>
      <c r="C61" s="120" t="s">
        <v>7845</v>
      </c>
      <c r="D61" s="120" t="s">
        <v>7846</v>
      </c>
      <c r="E61" s="103"/>
    </row>
    <row r="62" spans="1:5" ht="20.25" customHeight="1" x14ac:dyDescent="0.25">
      <c r="A62" s="120" t="s">
        <v>7814</v>
      </c>
      <c r="B62" s="120"/>
      <c r="C62" s="120" t="s">
        <v>7847</v>
      </c>
      <c r="D62" s="120" t="s">
        <v>7848</v>
      </c>
      <c r="E62" s="103" t="s">
        <v>4357</v>
      </c>
    </row>
    <row r="63" spans="1:5" ht="20.25" customHeight="1" x14ac:dyDescent="0.25">
      <c r="A63" s="120" t="s">
        <v>7814</v>
      </c>
      <c r="B63" s="120"/>
      <c r="C63" s="120" t="s">
        <v>7849</v>
      </c>
      <c r="D63" s="120" t="s">
        <v>7850</v>
      </c>
      <c r="E63" s="103"/>
    </row>
    <row r="64" spans="1:5" ht="20.25" customHeight="1" x14ac:dyDescent="0.25">
      <c r="A64" s="120" t="s">
        <v>7814</v>
      </c>
      <c r="B64" s="120"/>
      <c r="C64" s="120" t="s">
        <v>7851</v>
      </c>
      <c r="D64" s="120" t="s">
        <v>7852</v>
      </c>
      <c r="E64" s="103"/>
    </row>
    <row r="65" spans="1:5" ht="20.25" customHeight="1" x14ac:dyDescent="0.25">
      <c r="A65" s="120" t="s">
        <v>7814</v>
      </c>
      <c r="B65" s="120"/>
      <c r="C65" s="120" t="s">
        <v>7853</v>
      </c>
      <c r="D65" s="120" t="s">
        <v>7854</v>
      </c>
      <c r="E65" s="105">
        <v>44877</v>
      </c>
    </row>
    <row r="66" spans="1:5" ht="20.25" customHeight="1" x14ac:dyDescent="0.25">
      <c r="A66" s="120" t="s">
        <v>7814</v>
      </c>
      <c r="B66" s="120"/>
      <c r="C66" s="120" t="s">
        <v>7855</v>
      </c>
      <c r="D66" s="120" t="s">
        <v>7856</v>
      </c>
      <c r="E66" s="105">
        <v>44876</v>
      </c>
    </row>
    <row r="67" spans="1:5" ht="20.25" customHeight="1" x14ac:dyDescent="0.25">
      <c r="A67" s="120" t="s">
        <v>7814</v>
      </c>
      <c r="B67" s="120"/>
      <c r="C67" s="120" t="s">
        <v>7857</v>
      </c>
      <c r="D67" s="120" t="s">
        <v>7858</v>
      </c>
      <c r="E67" s="105">
        <v>44910</v>
      </c>
    </row>
    <row r="68" spans="1:5" ht="20.25" customHeight="1" x14ac:dyDescent="0.25">
      <c r="A68" s="120" t="s">
        <v>7814</v>
      </c>
      <c r="B68" s="120"/>
      <c r="C68" s="120" t="s">
        <v>7859</v>
      </c>
      <c r="D68" s="120" t="s">
        <v>7860</v>
      </c>
      <c r="E68" s="108">
        <v>45148</v>
      </c>
    </row>
    <row r="69" spans="1:5" ht="20.25" customHeight="1" x14ac:dyDescent="0.25">
      <c r="A69" s="120" t="s">
        <v>7814</v>
      </c>
      <c r="B69" s="120"/>
      <c r="C69" s="120" t="s">
        <v>7861</v>
      </c>
      <c r="D69" s="120" t="s">
        <v>7862</v>
      </c>
      <c r="E69" s="108">
        <v>45065</v>
      </c>
    </row>
    <row r="70" spans="1:5" ht="20.25" customHeight="1" x14ac:dyDescent="0.25">
      <c r="A70" s="120" t="s">
        <v>7814</v>
      </c>
      <c r="B70" s="120"/>
      <c r="C70" s="120" t="s">
        <v>7863</v>
      </c>
      <c r="D70" s="120" t="s">
        <v>7864</v>
      </c>
      <c r="E70" s="108">
        <v>45049</v>
      </c>
    </row>
    <row r="71" spans="1:5" ht="20.25" customHeight="1" x14ac:dyDescent="0.25">
      <c r="A71" s="120" t="s">
        <v>7814</v>
      </c>
      <c r="B71" s="120"/>
      <c r="C71" s="120" t="s">
        <v>7865</v>
      </c>
      <c r="D71" s="120" t="s">
        <v>7866</v>
      </c>
      <c r="E71" s="108">
        <v>45065</v>
      </c>
    </row>
    <row r="72" spans="1:5" ht="20.25" customHeight="1" x14ac:dyDescent="0.25">
      <c r="A72" s="120" t="s">
        <v>7814</v>
      </c>
      <c r="B72" s="120"/>
      <c r="C72" s="120" t="s">
        <v>7867</v>
      </c>
      <c r="D72" s="120" t="s">
        <v>7868</v>
      </c>
      <c r="E72" s="105">
        <v>44922</v>
      </c>
    </row>
    <row r="73" spans="1:5" ht="20.25" customHeight="1" x14ac:dyDescent="0.25">
      <c r="A73" s="120" t="s">
        <v>7814</v>
      </c>
      <c r="B73" s="120"/>
      <c r="C73" s="120" t="s">
        <v>7869</v>
      </c>
      <c r="D73" s="120" t="s">
        <v>7870</v>
      </c>
      <c r="E73" s="105">
        <v>44961</v>
      </c>
    </row>
    <row r="74" spans="1:5" ht="20.25" customHeight="1" x14ac:dyDescent="0.25">
      <c r="A74" s="120" t="s">
        <v>7814</v>
      </c>
      <c r="B74" s="120"/>
      <c r="C74" s="120" t="s">
        <v>7871</v>
      </c>
      <c r="D74" s="120" t="s">
        <v>7872</v>
      </c>
      <c r="E74" s="103" t="s">
        <v>4357</v>
      </c>
    </row>
    <row r="75" spans="1:5" ht="20.25" customHeight="1" x14ac:dyDescent="0.25">
      <c r="A75" s="120" t="s">
        <v>7814</v>
      </c>
      <c r="B75" s="120"/>
      <c r="C75" s="120" t="s">
        <v>7873</v>
      </c>
      <c r="D75" s="120" t="s">
        <v>7874</v>
      </c>
      <c r="E75" s="108">
        <v>45049</v>
      </c>
    </row>
    <row r="76" spans="1:5" ht="20.25" customHeight="1" x14ac:dyDescent="0.25">
      <c r="A76" s="120" t="s">
        <v>7814</v>
      </c>
      <c r="B76" s="120"/>
      <c r="C76" s="122" t="s">
        <v>7875</v>
      </c>
      <c r="D76" s="123" t="s">
        <v>7876</v>
      </c>
      <c r="E76" s="103" t="s">
        <v>4357</v>
      </c>
    </row>
    <row r="77" spans="1:5" ht="20.25" customHeight="1" x14ac:dyDescent="0.25">
      <c r="A77" s="120" t="s">
        <v>7814</v>
      </c>
      <c r="B77" s="120"/>
      <c r="C77" s="122" t="s">
        <v>7877</v>
      </c>
      <c r="D77" s="124" t="s">
        <v>7878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7879</v>
      </c>
      <c r="E91" s="103" t="s">
        <v>4357</v>
      </c>
    </row>
    <row r="92" spans="3:5" ht="20.25" customHeight="1" x14ac:dyDescent="0.25">
      <c r="C92" s="97" t="s">
        <v>7880</v>
      </c>
      <c r="E92" s="103" t="s">
        <v>4357</v>
      </c>
    </row>
    <row r="93" spans="3:5" ht="20.25" customHeight="1" x14ac:dyDescent="0.25">
      <c r="C93" s="91" t="s">
        <v>7881</v>
      </c>
      <c r="E93" s="103" t="s">
        <v>4357</v>
      </c>
    </row>
    <row r="94" spans="3:5" ht="20.25" customHeight="1" x14ac:dyDescent="0.25">
      <c r="C94" s="91" t="s">
        <v>7882</v>
      </c>
      <c r="E94" s="103" t="s">
        <v>4357</v>
      </c>
    </row>
    <row r="95" spans="3:5" ht="20.25" customHeight="1" x14ac:dyDescent="0.25">
      <c r="C95" s="91" t="s">
        <v>7883</v>
      </c>
      <c r="E95" s="103" t="s">
        <v>4357</v>
      </c>
    </row>
    <row r="96" spans="3:5" ht="20.25" customHeight="1" x14ac:dyDescent="0.25">
      <c r="C96" s="91" t="s">
        <v>7884</v>
      </c>
      <c r="E96" s="103"/>
    </row>
    <row r="97" spans="3:5" ht="20.25" customHeight="1" x14ac:dyDescent="0.25">
      <c r="C97" s="91" t="s">
        <v>7885</v>
      </c>
      <c r="E97" s="103"/>
    </row>
    <row r="98" spans="3:5" ht="20.25" customHeight="1" x14ac:dyDescent="0.25">
      <c r="C98" s="91" t="s">
        <v>7886</v>
      </c>
      <c r="E98" s="119">
        <v>45013</v>
      </c>
    </row>
    <row r="99" spans="3:5" ht="20.25" customHeight="1" x14ac:dyDescent="0.25">
      <c r="C99" s="91" t="s">
        <v>7887</v>
      </c>
      <c r="E99" s="119">
        <v>45013</v>
      </c>
    </row>
    <row r="100" spans="3:5" ht="20.25" customHeight="1" x14ac:dyDescent="0.25">
      <c r="C100" s="91" t="s">
        <v>7888</v>
      </c>
      <c r="E100" s="103" t="s">
        <v>4357</v>
      </c>
    </row>
    <row r="101" spans="3:5" ht="20.25" customHeight="1" x14ac:dyDescent="0.25">
      <c r="C101" s="97" t="s">
        <v>7889</v>
      </c>
      <c r="E101" s="103" t="s">
        <v>4357</v>
      </c>
    </row>
    <row r="102" spans="3:5" ht="20.25" customHeight="1" x14ac:dyDescent="0.25">
      <c r="C102" s="91" t="s">
        <v>7890</v>
      </c>
      <c r="E102" s="105">
        <v>44853</v>
      </c>
    </row>
    <row r="103" spans="3:5" ht="20.25" customHeight="1" x14ac:dyDescent="0.25">
      <c r="C103" s="91" t="s">
        <v>7891</v>
      </c>
      <c r="E103" s="105">
        <v>44840</v>
      </c>
    </row>
    <row r="104" spans="3:5" ht="20.25" customHeight="1" x14ac:dyDescent="0.25">
      <c r="C104" s="91" t="s">
        <v>7892</v>
      </c>
      <c r="E104" s="105">
        <v>44840</v>
      </c>
    </row>
    <row r="105" spans="3:5" ht="20.25" customHeight="1" x14ac:dyDescent="0.25">
      <c r="C105" s="91" t="s">
        <v>7893</v>
      </c>
      <c r="E105" s="106"/>
    </row>
    <row r="106" spans="3:5" ht="20.25" customHeight="1" x14ac:dyDescent="0.25">
      <c r="C106" s="97" t="s">
        <v>7894</v>
      </c>
      <c r="E106" s="105">
        <v>44910</v>
      </c>
    </row>
    <row r="107" spans="3:5" ht="20.25" customHeight="1" x14ac:dyDescent="0.25">
      <c r="C107" s="91" t="s">
        <v>7895</v>
      </c>
      <c r="E107" s="105">
        <v>44961</v>
      </c>
    </row>
    <row r="108" spans="3:5" ht="20.25" customHeight="1" x14ac:dyDescent="0.25">
      <c r="C108" s="91" t="s">
        <v>7896</v>
      </c>
      <c r="E108" s="103" t="s">
        <v>4357</v>
      </c>
    </row>
    <row r="109" spans="3:5" ht="20.25" customHeight="1" x14ac:dyDescent="0.25">
      <c r="C109" s="91" t="s">
        <v>7897</v>
      </c>
      <c r="E109" s="103" t="s">
        <v>4357</v>
      </c>
    </row>
    <row r="110" spans="3:5" ht="20.25" customHeight="1" x14ac:dyDescent="0.25">
      <c r="C110" s="97" t="s">
        <v>7898</v>
      </c>
      <c r="E110" s="105">
        <v>44862</v>
      </c>
    </row>
    <row r="111" spans="3:5" ht="20.25" customHeight="1" x14ac:dyDescent="0.25">
      <c r="C111" s="91" t="s">
        <v>7899</v>
      </c>
      <c r="E111" s="105">
        <v>44877</v>
      </c>
    </row>
    <row r="112" spans="3:5" ht="20.25" customHeight="1" x14ac:dyDescent="0.25">
      <c r="C112" s="91" t="s">
        <v>7900</v>
      </c>
      <c r="E112" s="105">
        <v>44840</v>
      </c>
    </row>
    <row r="113" spans="3:5" ht="20.25" customHeight="1" x14ac:dyDescent="0.25">
      <c r="C113" s="97" t="s">
        <v>7901</v>
      </c>
      <c r="E113" s="103" t="s">
        <v>4357</v>
      </c>
    </row>
    <row r="114" spans="3:5" ht="20.25" customHeight="1" x14ac:dyDescent="0.25">
      <c r="C114" s="91" t="s">
        <v>7902</v>
      </c>
      <c r="E114" s="105">
        <v>44840</v>
      </c>
    </row>
    <row r="115" spans="3:5" ht="20.25" customHeight="1" x14ac:dyDescent="0.25">
      <c r="C115" s="91" t="s">
        <v>7903</v>
      </c>
      <c r="E115" s="103" t="s">
        <v>4357</v>
      </c>
    </row>
    <row r="116" spans="3:5" ht="20.25" customHeight="1" x14ac:dyDescent="0.25">
      <c r="C116" s="91" t="s">
        <v>7904</v>
      </c>
      <c r="E116" s="103" t="s">
        <v>4357</v>
      </c>
    </row>
    <row r="117" spans="3:5" ht="20.25" customHeight="1" x14ac:dyDescent="0.25">
      <c r="C117" s="91" t="s">
        <v>7905</v>
      </c>
      <c r="E117" s="105">
        <v>44840</v>
      </c>
    </row>
    <row r="118" spans="3:5" ht="20.25" customHeight="1" x14ac:dyDescent="0.25">
      <c r="C118" s="91" t="s">
        <v>7906</v>
      </c>
      <c r="E118" s="105">
        <v>44877</v>
      </c>
    </row>
    <row r="119" spans="3:5" ht="20.25" customHeight="1" x14ac:dyDescent="0.25">
      <c r="C119" s="91" t="s">
        <v>7907</v>
      </c>
      <c r="E119" s="105">
        <v>44890</v>
      </c>
    </row>
    <row r="120" spans="3:5" ht="20.25" customHeight="1" x14ac:dyDescent="0.25">
      <c r="C120" s="91" t="s">
        <v>7908</v>
      </c>
      <c r="E120" s="105">
        <v>45013</v>
      </c>
    </row>
    <row r="121" spans="3:5" ht="20.25" customHeight="1" x14ac:dyDescent="0.25">
      <c r="C121" s="91" t="s">
        <v>7909</v>
      </c>
      <c r="E121" s="105">
        <v>45013</v>
      </c>
    </row>
    <row r="122" spans="3:5" ht="20.25" customHeight="1" x14ac:dyDescent="0.25">
      <c r="C122" s="91" t="s">
        <v>7910</v>
      </c>
      <c r="E122" s="105"/>
    </row>
    <row r="123" spans="3:5" ht="20.25" customHeight="1" x14ac:dyDescent="0.25">
      <c r="C123" s="91" t="s">
        <v>7911</v>
      </c>
      <c r="E123" s="105"/>
    </row>
    <row r="124" spans="3:5" ht="20.25" customHeight="1" x14ac:dyDescent="0.25">
      <c r="C124" s="91" t="s">
        <v>7912</v>
      </c>
      <c r="E124" s="112"/>
    </row>
    <row r="125" spans="3:5" ht="20.25" customHeight="1" x14ac:dyDescent="0.25">
      <c r="C125" s="91" t="s">
        <v>7913</v>
      </c>
      <c r="E125" s="112"/>
    </row>
    <row r="126" spans="3:5" ht="20.25" customHeight="1" x14ac:dyDescent="0.25">
      <c r="C126" s="91" t="s">
        <v>7914</v>
      </c>
      <c r="E126" s="112"/>
    </row>
    <row r="127" spans="3:5" ht="20.25" customHeight="1" x14ac:dyDescent="0.25">
      <c r="C127" s="97" t="s">
        <v>7915</v>
      </c>
      <c r="E127" s="112"/>
    </row>
    <row r="128" spans="3:5" ht="20.25" customHeight="1" x14ac:dyDescent="0.25">
      <c r="C128" s="91" t="s">
        <v>7916</v>
      </c>
      <c r="E128" s="112"/>
    </row>
    <row r="129" spans="3:5" ht="20.25" customHeight="1" x14ac:dyDescent="0.25">
      <c r="C129" s="97" t="s">
        <v>7917</v>
      </c>
      <c r="E129" s="112"/>
    </row>
    <row r="130" spans="3:5" ht="20.25" customHeight="1" x14ac:dyDescent="0.25">
      <c r="C130" s="91" t="s">
        <v>7918</v>
      </c>
      <c r="E130" s="108">
        <v>45105</v>
      </c>
    </row>
    <row r="131" spans="3:5" ht="20.25" customHeight="1" x14ac:dyDescent="0.25">
      <c r="C131" s="91" t="s">
        <v>7919</v>
      </c>
      <c r="E131" s="109"/>
    </row>
    <row r="132" spans="3:5" ht="20.25" customHeight="1" x14ac:dyDescent="0.25">
      <c r="C132" s="91" t="s">
        <v>7920</v>
      </c>
      <c r="E132" s="112"/>
    </row>
    <row r="133" spans="3:5" ht="20.25" customHeight="1" x14ac:dyDescent="0.25">
      <c r="C133" s="91" t="s">
        <v>7921</v>
      </c>
      <c r="E133" s="112"/>
    </row>
    <row r="134" spans="3:5" ht="20.25" customHeight="1" x14ac:dyDescent="0.25">
      <c r="C134" s="91" t="s">
        <v>7922</v>
      </c>
      <c r="E134" s="112"/>
    </row>
    <row r="135" spans="3:5" ht="20.25" customHeight="1" x14ac:dyDescent="0.25">
      <c r="C135" s="91" t="s">
        <v>7923</v>
      </c>
      <c r="E135" s="108">
        <v>45105</v>
      </c>
    </row>
    <row r="136" spans="3:5" ht="20.25" customHeight="1" x14ac:dyDescent="0.25">
      <c r="C136" s="91" t="s">
        <v>7924</v>
      </c>
      <c r="E136" s="112"/>
    </row>
    <row r="137" spans="3:5" ht="20.25" customHeight="1" x14ac:dyDescent="0.25">
      <c r="C137" s="91" t="s">
        <v>7925</v>
      </c>
      <c r="E137" s="112"/>
    </row>
    <row r="138" spans="3:5" ht="20.25" customHeight="1" x14ac:dyDescent="0.25">
      <c r="C138" s="91" t="s">
        <v>7926</v>
      </c>
      <c r="E138" s="108">
        <v>45049</v>
      </c>
    </row>
    <row r="139" spans="3:5" ht="20.25" customHeight="1" x14ac:dyDescent="0.25">
      <c r="C139" s="91" t="s">
        <v>7927</v>
      </c>
      <c r="E139" s="112"/>
    </row>
    <row r="140" spans="3:5" ht="20.25" customHeight="1" x14ac:dyDescent="0.25">
      <c r="C140" s="91" t="s">
        <v>7928</v>
      </c>
      <c r="E140" s="112"/>
    </row>
    <row r="141" spans="3:5" ht="20.25" customHeight="1" x14ac:dyDescent="0.25">
      <c r="C141" s="91" t="s">
        <v>7929</v>
      </c>
      <c r="E141" s="112"/>
    </row>
    <row r="142" spans="3:5" ht="20.25" customHeight="1" x14ac:dyDescent="0.25">
      <c r="C142" s="91" t="s">
        <v>7930</v>
      </c>
      <c r="E142" s="112"/>
    </row>
    <row r="143" spans="3:5" ht="20.25" customHeight="1" x14ac:dyDescent="0.25">
      <c r="C143" s="91" t="s">
        <v>7931</v>
      </c>
      <c r="E143" s="112"/>
    </row>
    <row r="144" spans="3:5" ht="20.25" customHeight="1" x14ac:dyDescent="0.25">
      <c r="C144" s="91" t="s">
        <v>7932</v>
      </c>
      <c r="E144" s="105">
        <v>45056</v>
      </c>
    </row>
    <row r="145" spans="3:5" ht="20.25" customHeight="1" x14ac:dyDescent="0.25">
      <c r="C145" s="91" t="s">
        <v>7933</v>
      </c>
      <c r="E145" s="105">
        <v>45056</v>
      </c>
    </row>
    <row r="146" spans="3:5" ht="20.25" customHeight="1" x14ac:dyDescent="0.25">
      <c r="C146" s="90" t="s">
        <v>7934</v>
      </c>
      <c r="E146" s="105">
        <v>45056</v>
      </c>
    </row>
    <row r="147" spans="3:5" ht="20.25" customHeight="1" x14ac:dyDescent="0.25">
      <c r="C147" s="91" t="s">
        <v>7935</v>
      </c>
      <c r="E147" s="112"/>
    </row>
    <row r="148" spans="3:5" ht="20.25" customHeight="1" x14ac:dyDescent="0.25">
      <c r="C148" s="91" t="s">
        <v>7936</v>
      </c>
      <c r="E148" s="112"/>
    </row>
    <row r="149" spans="3:5" ht="20.25" customHeight="1" x14ac:dyDescent="0.25">
      <c r="C149" s="91" t="s">
        <v>7937</v>
      </c>
      <c r="E149" s="112"/>
    </row>
    <row r="150" spans="3:5" ht="20.25" customHeight="1" x14ac:dyDescent="0.25">
      <c r="C150" s="91" t="s">
        <v>7938</v>
      </c>
      <c r="E150" s="112"/>
    </row>
    <row r="151" spans="3:5" ht="20.25" customHeight="1" x14ac:dyDescent="0.25">
      <c r="C151" s="91" t="s">
        <v>7939</v>
      </c>
      <c r="E151" s="112"/>
    </row>
    <row r="152" spans="3:5" ht="20.25" customHeight="1" x14ac:dyDescent="0.25">
      <c r="C152" s="91" t="s">
        <v>7940</v>
      </c>
      <c r="E152" s="112"/>
    </row>
    <row r="153" spans="3:5" ht="20.25" customHeight="1" x14ac:dyDescent="0.25">
      <c r="C153" s="97" t="s">
        <v>7941</v>
      </c>
      <c r="E153" s="112"/>
    </row>
    <row r="154" spans="3:5" ht="20.25" customHeight="1" x14ac:dyDescent="0.25">
      <c r="C154" s="91" t="s">
        <v>7942</v>
      </c>
      <c r="E154" s="112"/>
    </row>
    <row r="155" spans="3:5" ht="20.25" customHeight="1" x14ac:dyDescent="0.25">
      <c r="C155" s="91" t="s">
        <v>7943</v>
      </c>
      <c r="E155" s="112"/>
    </row>
    <row r="156" spans="3:5" ht="20.25" customHeight="1" x14ac:dyDescent="0.25">
      <c r="C156" s="91" t="s">
        <v>7944</v>
      </c>
      <c r="E156" s="109"/>
    </row>
    <row r="157" spans="3:5" ht="20.25" customHeight="1" x14ac:dyDescent="0.25">
      <c r="C157" s="91" t="s">
        <v>7945</v>
      </c>
      <c r="E157" s="105">
        <v>45056</v>
      </c>
    </row>
    <row r="158" spans="3:5" ht="20.25" customHeight="1" x14ac:dyDescent="0.25">
      <c r="C158" s="91" t="s">
        <v>7946</v>
      </c>
      <c r="E158" s="108">
        <v>45148</v>
      </c>
    </row>
    <row r="159" spans="3:5" ht="20.25" customHeight="1" x14ac:dyDescent="0.25">
      <c r="C159" s="91" t="s">
        <v>7947</v>
      </c>
      <c r="E159" s="107"/>
    </row>
    <row r="160" spans="3:5" ht="20.25" customHeight="1" x14ac:dyDescent="0.25">
      <c r="C160" s="91" t="s">
        <v>7948</v>
      </c>
      <c r="E160" s="107"/>
    </row>
    <row r="161" spans="3:5" ht="20.25" customHeight="1" x14ac:dyDescent="0.25">
      <c r="C161" s="91" t="s">
        <v>7949</v>
      </c>
      <c r="E161" s="107"/>
    </row>
    <row r="162" spans="3:5" ht="20.25" customHeight="1" x14ac:dyDescent="0.25">
      <c r="C162" s="91" t="s">
        <v>7950</v>
      </c>
      <c r="E162" s="107"/>
    </row>
    <row r="163" spans="3:5" ht="20.25" customHeight="1" x14ac:dyDescent="0.25">
      <c r="C163" s="91" t="s">
        <v>7951</v>
      </c>
      <c r="E163" s="107"/>
    </row>
    <row r="164" spans="3:5" ht="20.25" customHeight="1" x14ac:dyDescent="0.25">
      <c r="C164" s="91" t="s">
        <v>7952</v>
      </c>
      <c r="E164" s="107"/>
    </row>
    <row r="165" spans="3:5" ht="20.25" customHeight="1" x14ac:dyDescent="0.25">
      <c r="C165" s="91" t="s">
        <v>7953</v>
      </c>
      <c r="E165" s="107"/>
    </row>
    <row r="166" spans="3:5" ht="20.25" customHeight="1" x14ac:dyDescent="0.25">
      <c r="C166" s="91" t="s">
        <v>7954</v>
      </c>
      <c r="E166" s="107"/>
    </row>
    <row r="167" spans="3:5" ht="20.25" customHeight="1" x14ac:dyDescent="0.25">
      <c r="C167" s="91" t="s">
        <v>7955</v>
      </c>
      <c r="E167" s="107"/>
    </row>
    <row r="168" spans="3:5" ht="20.25" customHeight="1" x14ac:dyDescent="0.25">
      <c r="C168" s="91" t="s">
        <v>7956</v>
      </c>
      <c r="E168" s="107"/>
    </row>
    <row r="169" spans="3:5" ht="20.25" customHeight="1" x14ac:dyDescent="0.25">
      <c r="C169" s="91" t="s">
        <v>7957</v>
      </c>
      <c r="E169" s="107"/>
    </row>
    <row r="170" spans="3:5" ht="20.25" customHeight="1" x14ac:dyDescent="0.25">
      <c r="C170" s="91" t="s">
        <v>7958</v>
      </c>
      <c r="E170" s="107"/>
    </row>
    <row r="171" spans="3:5" ht="20.25" customHeight="1" x14ac:dyDescent="0.25">
      <c r="C171" s="91" t="s">
        <v>7959</v>
      </c>
      <c r="E171" s="107"/>
    </row>
    <row r="172" spans="3:5" ht="20.25" customHeight="1" x14ac:dyDescent="0.25">
      <c r="C172" s="97" t="s">
        <v>7960</v>
      </c>
      <c r="E172" s="107"/>
    </row>
    <row r="173" spans="3:5" ht="20.25" customHeight="1" x14ac:dyDescent="0.25">
      <c r="C173" s="91" t="s">
        <v>7961</v>
      </c>
      <c r="E173" s="107"/>
    </row>
    <row r="174" spans="3:5" ht="20.25" customHeight="1" x14ac:dyDescent="0.25">
      <c r="C174" s="91" t="s">
        <v>7962</v>
      </c>
      <c r="E174" s="107"/>
    </row>
    <row r="175" spans="3:5" ht="20.25" customHeight="1" x14ac:dyDescent="0.25">
      <c r="C175" s="91" t="s">
        <v>7963</v>
      </c>
      <c r="E175" s="107"/>
    </row>
    <row r="176" spans="3:5" ht="20.25" customHeight="1" x14ac:dyDescent="0.25">
      <c r="C176" s="91" t="s">
        <v>7964</v>
      </c>
      <c r="E176" s="107"/>
    </row>
    <row r="177" spans="3:5" ht="20.25" customHeight="1" x14ac:dyDescent="0.25">
      <c r="C177" s="91" t="s">
        <v>7965</v>
      </c>
      <c r="E177" s="107"/>
    </row>
    <row r="178" spans="3:5" ht="20.25" customHeight="1" x14ac:dyDescent="0.25">
      <c r="C178" s="91" t="s">
        <v>7966</v>
      </c>
      <c r="E178" s="108">
        <v>45105</v>
      </c>
    </row>
    <row r="179" spans="3:5" ht="20.25" customHeight="1" x14ac:dyDescent="0.25">
      <c r="C179" s="91" t="s">
        <v>7967</v>
      </c>
      <c r="E179" s="105">
        <v>44992</v>
      </c>
    </row>
    <row r="180" spans="3:5" ht="20.25" customHeight="1" x14ac:dyDescent="0.25">
      <c r="C180" s="97" t="s">
        <v>7968</v>
      </c>
      <c r="E180" s="105">
        <v>45056</v>
      </c>
    </row>
    <row r="181" spans="3:5" ht="20.25" customHeight="1" x14ac:dyDescent="0.25">
      <c r="C181" s="91" t="s">
        <v>7969</v>
      </c>
      <c r="E181" s="105">
        <v>44992</v>
      </c>
    </row>
    <row r="182" spans="3:5" ht="20.25" customHeight="1" x14ac:dyDescent="0.25">
      <c r="C182" s="91" t="s">
        <v>7970</v>
      </c>
      <c r="E182" s="105">
        <v>45056</v>
      </c>
    </row>
    <row r="183" spans="3:5" ht="20.25" customHeight="1" x14ac:dyDescent="0.25">
      <c r="C183" s="91" t="s">
        <v>7971</v>
      </c>
      <c r="E183" s="111">
        <v>45111</v>
      </c>
    </row>
    <row r="184" spans="3:5" ht="20.25" customHeight="1" x14ac:dyDescent="0.25">
      <c r="C184" s="91" t="s">
        <v>7972</v>
      </c>
      <c r="E184" s="105">
        <v>45056</v>
      </c>
    </row>
    <row r="185" spans="3:5" ht="20.25" customHeight="1" x14ac:dyDescent="0.25">
      <c r="C185" s="97" t="s">
        <v>7973</v>
      </c>
      <c r="E185" s="107"/>
    </row>
    <row r="186" spans="3:5" ht="20.25" customHeight="1" x14ac:dyDescent="0.25">
      <c r="C186" s="91" t="s">
        <v>7974</v>
      </c>
      <c r="E186" s="107"/>
    </row>
    <row r="187" spans="3:5" ht="20.25" customHeight="1" x14ac:dyDescent="0.25">
      <c r="C187" s="91" t="s">
        <v>7975</v>
      </c>
      <c r="E187" s="105">
        <v>45056</v>
      </c>
    </row>
    <row r="188" spans="3:5" ht="20.25" customHeight="1" x14ac:dyDescent="0.25">
      <c r="C188" s="91" t="s">
        <v>7976</v>
      </c>
      <c r="E188" s="105">
        <v>45056</v>
      </c>
    </row>
    <row r="189" spans="3:5" ht="20.25" customHeight="1" x14ac:dyDescent="0.25">
      <c r="C189" s="91" t="s">
        <v>7977</v>
      </c>
      <c r="E189" s="105">
        <v>45056</v>
      </c>
    </row>
    <row r="190" spans="3:5" ht="20.25" customHeight="1" x14ac:dyDescent="0.25">
      <c r="C190" s="91" t="s">
        <v>7978</v>
      </c>
      <c r="E190" s="105">
        <v>45097</v>
      </c>
    </row>
    <row r="191" spans="3:5" ht="20.25" customHeight="1" x14ac:dyDescent="0.25">
      <c r="C191" s="91" t="s">
        <v>7979</v>
      </c>
      <c r="E191" s="111">
        <v>45111</v>
      </c>
    </row>
    <row r="192" spans="3:5" ht="20.25" customHeight="1" x14ac:dyDescent="0.25">
      <c r="C192" s="91" t="s">
        <v>7980</v>
      </c>
      <c r="E192" s="111">
        <v>45111</v>
      </c>
    </row>
    <row r="193" spans="3:5" ht="20.25" customHeight="1" x14ac:dyDescent="0.25">
      <c r="C193" s="91" t="s">
        <v>7981</v>
      </c>
      <c r="E193" s="111">
        <v>45111</v>
      </c>
    </row>
    <row r="194" spans="3:5" ht="20.25" customHeight="1" x14ac:dyDescent="0.25">
      <c r="C194" s="91" t="s">
        <v>7982</v>
      </c>
      <c r="E194" s="105">
        <v>45097</v>
      </c>
    </row>
    <row r="195" spans="3:5" ht="20.25" customHeight="1" x14ac:dyDescent="0.25">
      <c r="C195" s="91" t="s">
        <v>7983</v>
      </c>
      <c r="E195" s="111">
        <v>45111</v>
      </c>
    </row>
    <row r="196" spans="3:5" ht="20.25" customHeight="1" x14ac:dyDescent="0.25">
      <c r="C196" s="91" t="s">
        <v>7984</v>
      </c>
      <c r="E196" s="111">
        <v>45111</v>
      </c>
    </row>
    <row r="197" spans="3:5" ht="20.25" customHeight="1" x14ac:dyDescent="0.25">
      <c r="C197" s="91" t="s">
        <v>7985</v>
      </c>
      <c r="E197" s="105">
        <v>45097</v>
      </c>
    </row>
    <row r="198" spans="3:5" ht="20.25" customHeight="1" x14ac:dyDescent="0.25">
      <c r="C198" s="91" t="s">
        <v>7986</v>
      </c>
      <c r="E198" s="105">
        <v>45097</v>
      </c>
    </row>
    <row r="199" spans="3:5" ht="20.25" customHeight="1" x14ac:dyDescent="0.25">
      <c r="C199" s="91" t="s">
        <v>7987</v>
      </c>
      <c r="E199" s="105">
        <v>45097</v>
      </c>
    </row>
    <row r="200" spans="3:5" ht="20.25" customHeight="1" x14ac:dyDescent="0.25">
      <c r="C200" s="91" t="s">
        <v>7988</v>
      </c>
      <c r="E200" s="109"/>
    </row>
    <row r="201" spans="3:5" ht="20.25" customHeight="1" x14ac:dyDescent="0.25">
      <c r="C201" s="91" t="s">
        <v>7989</v>
      </c>
      <c r="E201" s="111">
        <v>45111</v>
      </c>
    </row>
    <row r="202" spans="3:5" ht="20.25" customHeight="1" x14ac:dyDescent="0.25">
      <c r="C202" s="91" t="s">
        <v>7990</v>
      </c>
      <c r="E202" s="105">
        <v>45097</v>
      </c>
    </row>
    <row r="203" spans="3:5" ht="20.25" customHeight="1" x14ac:dyDescent="0.25">
      <c r="C203" s="91" t="s">
        <v>7991</v>
      </c>
      <c r="E203" s="108">
        <v>45148</v>
      </c>
    </row>
    <row r="204" spans="3:5" ht="20.25" customHeight="1" x14ac:dyDescent="0.25">
      <c r="C204" s="91" t="s">
        <v>7992</v>
      </c>
      <c r="E204" s="111">
        <v>45111</v>
      </c>
    </row>
    <row r="205" spans="3:5" ht="20.25" customHeight="1" x14ac:dyDescent="0.25">
      <c r="C205" s="91" t="s">
        <v>7993</v>
      </c>
      <c r="E205" s="112"/>
    </row>
    <row r="206" spans="3:5" ht="20.25" customHeight="1" x14ac:dyDescent="0.25">
      <c r="C206" s="91" t="s">
        <v>7994</v>
      </c>
      <c r="E206" s="105">
        <v>44992</v>
      </c>
    </row>
    <row r="207" spans="3:5" ht="20.25" customHeight="1" x14ac:dyDescent="0.25">
      <c r="C207" s="91" t="s">
        <v>7995</v>
      </c>
      <c r="E207" s="105">
        <v>45097</v>
      </c>
    </row>
    <row r="208" spans="3:5" ht="20.25" customHeight="1" x14ac:dyDescent="0.25">
      <c r="C208" s="91" t="s">
        <v>7996</v>
      </c>
      <c r="E208" s="105">
        <v>45097</v>
      </c>
    </row>
    <row r="209" spans="3:5" ht="20.25" customHeight="1" x14ac:dyDescent="0.25">
      <c r="C209" s="91" t="s">
        <v>7997</v>
      </c>
      <c r="E209" s="105">
        <v>45097</v>
      </c>
    </row>
    <row r="210" spans="3:5" ht="20.25" customHeight="1" x14ac:dyDescent="0.25">
      <c r="C210" s="91" t="s">
        <v>7998</v>
      </c>
      <c r="E210" s="112"/>
    </row>
    <row r="211" spans="3:5" ht="20.25" customHeight="1" x14ac:dyDescent="0.25">
      <c r="C211" s="91" t="s">
        <v>7999</v>
      </c>
      <c r="E211" s="112"/>
    </row>
    <row r="212" spans="3:5" ht="20.25" customHeight="1" x14ac:dyDescent="0.25">
      <c r="C212" s="91" t="s">
        <v>8000</v>
      </c>
      <c r="E212" s="105">
        <v>45097</v>
      </c>
    </row>
    <row r="213" spans="3:5" ht="20.25" customHeight="1" x14ac:dyDescent="0.25">
      <c r="C213" s="91" t="s">
        <v>8001</v>
      </c>
      <c r="E213" s="105">
        <v>45097</v>
      </c>
    </row>
    <row r="214" spans="3:5" ht="20.25" customHeight="1" x14ac:dyDescent="0.25">
      <c r="C214" s="91" t="s">
        <v>8002</v>
      </c>
      <c r="E214" s="111">
        <v>45111</v>
      </c>
    </row>
    <row r="215" spans="3:5" ht="20.25" customHeight="1" x14ac:dyDescent="0.25">
      <c r="C215" s="91" t="s">
        <v>8003</v>
      </c>
      <c r="E215" s="105">
        <v>44961</v>
      </c>
    </row>
    <row r="216" spans="3:5" ht="20.25" customHeight="1" x14ac:dyDescent="0.25">
      <c r="C216" s="91" t="s">
        <v>8004</v>
      </c>
      <c r="E216" s="105">
        <v>45097</v>
      </c>
    </row>
    <row r="217" spans="3:5" ht="20.25" customHeight="1" x14ac:dyDescent="0.25">
      <c r="C217" s="91" t="s">
        <v>8005</v>
      </c>
      <c r="E217" s="108">
        <v>45148</v>
      </c>
    </row>
    <row r="218" spans="3:5" ht="20.25" customHeight="1" x14ac:dyDescent="0.25">
      <c r="C218" s="91" t="s">
        <v>8006</v>
      </c>
      <c r="E218" s="111">
        <v>45111</v>
      </c>
    </row>
    <row r="219" spans="3:5" ht="20.25" customHeight="1" x14ac:dyDescent="0.25">
      <c r="C219" s="91" t="s">
        <v>8007</v>
      </c>
      <c r="E219" s="112"/>
    </row>
    <row r="220" spans="3:5" ht="20.25" customHeight="1" x14ac:dyDescent="0.25">
      <c r="C220" s="91" t="s">
        <v>8008</v>
      </c>
      <c r="E220" s="112"/>
    </row>
    <row r="221" spans="3:5" ht="20.25" customHeight="1" x14ac:dyDescent="0.25">
      <c r="C221" s="91" t="s">
        <v>8009</v>
      </c>
      <c r="E221" s="112"/>
    </row>
    <row r="222" spans="3:5" ht="20.25" customHeight="1" x14ac:dyDescent="0.25">
      <c r="C222" s="91" t="s">
        <v>8010</v>
      </c>
      <c r="E222" s="105">
        <v>45097</v>
      </c>
    </row>
    <row r="223" spans="3:5" ht="20.25" customHeight="1" x14ac:dyDescent="0.25">
      <c r="C223" s="91" t="s">
        <v>8011</v>
      </c>
      <c r="E223" s="108">
        <v>45148</v>
      </c>
    </row>
    <row r="224" spans="3:5" ht="20.25" customHeight="1" x14ac:dyDescent="0.25">
      <c r="C224" s="91" t="s">
        <v>8012</v>
      </c>
      <c r="E224" s="111">
        <v>45111</v>
      </c>
    </row>
    <row r="225" spans="3:5" ht="20.25" customHeight="1" x14ac:dyDescent="0.25">
      <c r="C225" s="91" t="s">
        <v>8013</v>
      </c>
      <c r="E225" s="108">
        <v>45148</v>
      </c>
    </row>
    <row r="226" spans="3:5" ht="20.25" customHeight="1" x14ac:dyDescent="0.25">
      <c r="C226" s="91" t="s">
        <v>8014</v>
      </c>
      <c r="E226" s="108">
        <v>45148</v>
      </c>
    </row>
    <row r="227" spans="3:5" ht="20.25" customHeight="1" x14ac:dyDescent="0.25">
      <c r="C227" s="91" t="s">
        <v>8015</v>
      </c>
      <c r="E227" s="105">
        <v>45097</v>
      </c>
    </row>
    <row r="228" spans="3:5" ht="20.25" customHeight="1" x14ac:dyDescent="0.25">
      <c r="C228" s="91" t="s">
        <v>8016</v>
      </c>
      <c r="E228" s="112"/>
    </row>
    <row r="229" spans="3:5" ht="20.25" customHeight="1" x14ac:dyDescent="0.25">
      <c r="C229" s="91" t="s">
        <v>8017</v>
      </c>
      <c r="E229" s="111">
        <v>45111</v>
      </c>
    </row>
    <row r="230" spans="3:5" ht="20.25" customHeight="1" x14ac:dyDescent="0.25">
      <c r="C230" s="91" t="s">
        <v>8018</v>
      </c>
      <c r="E230" s="111">
        <v>45111</v>
      </c>
    </row>
    <row r="231" spans="3:5" ht="20.25" customHeight="1" x14ac:dyDescent="0.25">
      <c r="C231" s="91" t="s">
        <v>8019</v>
      </c>
      <c r="E231" s="105">
        <v>45097</v>
      </c>
    </row>
    <row r="232" spans="3:5" ht="20.25" customHeight="1" x14ac:dyDescent="0.25">
      <c r="C232" s="91" t="s">
        <v>8020</v>
      </c>
      <c r="E232" s="111">
        <v>45111</v>
      </c>
    </row>
    <row r="233" spans="3:5" ht="20.25" customHeight="1" x14ac:dyDescent="0.25">
      <c r="C233" s="91" t="s">
        <v>8021</v>
      </c>
      <c r="E233" s="111">
        <v>45111</v>
      </c>
    </row>
    <row r="234" spans="3:5" ht="20.25" customHeight="1" x14ac:dyDescent="0.25">
      <c r="C234" s="91" t="s">
        <v>8022</v>
      </c>
      <c r="E234" s="105">
        <v>45097</v>
      </c>
    </row>
    <row r="235" spans="3:5" ht="20.25" customHeight="1" x14ac:dyDescent="0.25">
      <c r="C235" s="91" t="s">
        <v>8023</v>
      </c>
      <c r="E235" s="105">
        <v>44992</v>
      </c>
    </row>
    <row r="236" spans="3:5" ht="20.25" customHeight="1" x14ac:dyDescent="0.25">
      <c r="C236" s="91" t="s">
        <v>8024</v>
      </c>
      <c r="E236" s="129"/>
    </row>
    <row r="237" spans="3:5" ht="20.25" customHeight="1" x14ac:dyDescent="0.25">
      <c r="C237" s="91" t="s">
        <v>8025</v>
      </c>
      <c r="E237" s="112"/>
    </row>
    <row r="238" spans="3:5" ht="20.25" customHeight="1" x14ac:dyDescent="0.25">
      <c r="C238" s="91" t="s">
        <v>8026</v>
      </c>
      <c r="E238" s="111">
        <v>45111</v>
      </c>
    </row>
    <row r="239" spans="3:5" ht="20.25" customHeight="1" x14ac:dyDescent="0.25">
      <c r="C239" s="91" t="s">
        <v>8027</v>
      </c>
      <c r="E239" s="112"/>
    </row>
    <row r="240" spans="3:5" ht="20.25" customHeight="1" x14ac:dyDescent="0.25">
      <c r="C240" s="91" t="s">
        <v>8028</v>
      </c>
      <c r="E240" s="109"/>
    </row>
    <row r="241" spans="3:5" ht="20.25" customHeight="1" x14ac:dyDescent="0.25">
      <c r="C241" s="91" t="s">
        <v>8029</v>
      </c>
      <c r="E241" s="112"/>
    </row>
    <row r="242" spans="3:5" ht="20.25" customHeight="1" x14ac:dyDescent="0.25">
      <c r="C242" s="91" t="s">
        <v>8030</v>
      </c>
      <c r="E242" s="112"/>
    </row>
    <row r="243" spans="3:5" ht="20.25" customHeight="1" x14ac:dyDescent="0.25">
      <c r="C243" s="91" t="s">
        <v>8031</v>
      </c>
      <c r="E243" s="108">
        <v>45105</v>
      </c>
    </row>
    <row r="244" spans="3:5" ht="20.25" customHeight="1" x14ac:dyDescent="0.25">
      <c r="C244" s="91" t="s">
        <v>8032</v>
      </c>
      <c r="E244" s="105">
        <v>44992</v>
      </c>
    </row>
    <row r="245" spans="3:5" ht="20.25" customHeight="1" x14ac:dyDescent="0.25">
      <c r="C245" s="91" t="s">
        <v>8033</v>
      </c>
      <c r="E245" s="108">
        <v>45148</v>
      </c>
    </row>
    <row r="246" spans="3:5" ht="20.25" customHeight="1" x14ac:dyDescent="0.25">
      <c r="C246" s="91" t="s">
        <v>8034</v>
      </c>
      <c r="E246" s="103"/>
    </row>
    <row r="247" spans="3:5" ht="20.25" customHeight="1" x14ac:dyDescent="0.25">
      <c r="C247" s="91" t="s">
        <v>8035</v>
      </c>
      <c r="E247" s="129"/>
    </row>
    <row r="248" spans="3:5" ht="20.25" customHeight="1" x14ac:dyDescent="0.25">
      <c r="C248" s="91" t="s">
        <v>8036</v>
      </c>
      <c r="E248" s="129"/>
    </row>
    <row r="249" spans="3:5" ht="20.25" customHeight="1" x14ac:dyDescent="0.25">
      <c r="C249" s="91" t="s">
        <v>8037</v>
      </c>
      <c r="E249" s="105">
        <v>45097</v>
      </c>
    </row>
    <row r="250" spans="3:5" ht="20.25" customHeight="1" x14ac:dyDescent="0.25">
      <c r="C250" s="91" t="s">
        <v>8038</v>
      </c>
      <c r="E250" s="108">
        <v>45105</v>
      </c>
    </row>
    <row r="251" spans="3:5" ht="20.25" customHeight="1" x14ac:dyDescent="0.25">
      <c r="C251" s="91" t="s">
        <v>8039</v>
      </c>
      <c r="E251" s="105">
        <v>45097</v>
      </c>
    </row>
    <row r="252" spans="3:5" ht="20.25" customHeight="1" x14ac:dyDescent="0.25">
      <c r="C252" s="91" t="s">
        <v>8040</v>
      </c>
      <c r="E252" s="105">
        <v>44992</v>
      </c>
    </row>
    <row r="253" spans="3:5" ht="20.25" customHeight="1" x14ac:dyDescent="0.25">
      <c r="C253" s="91" t="s">
        <v>8041</v>
      </c>
      <c r="E253" s="112"/>
    </row>
    <row r="254" spans="3:5" ht="20.25" customHeight="1" x14ac:dyDescent="0.25">
      <c r="C254" s="91" t="s">
        <v>8042</v>
      </c>
      <c r="E254" s="112"/>
    </row>
    <row r="255" spans="3:5" ht="20.25" customHeight="1" x14ac:dyDescent="0.25">
      <c r="C255" s="91" t="s">
        <v>8043</v>
      </c>
      <c r="E255" s="112"/>
    </row>
    <row r="256" spans="3:5" ht="20.25" customHeight="1" x14ac:dyDescent="0.25">
      <c r="C256" s="91" t="s">
        <v>8044</v>
      </c>
      <c r="E256" s="108">
        <v>45105</v>
      </c>
    </row>
    <row r="257" spans="3:5" ht="20.25" customHeight="1" x14ac:dyDescent="0.25">
      <c r="C257" s="91" t="s">
        <v>8045</v>
      </c>
      <c r="E257" s="108">
        <v>45105</v>
      </c>
    </row>
    <row r="258" spans="3:5" ht="20.25" customHeight="1" x14ac:dyDescent="0.25">
      <c r="C258" s="91" t="s">
        <v>8046</v>
      </c>
      <c r="E258" s="108">
        <v>45148</v>
      </c>
    </row>
    <row r="259" spans="3:5" ht="20.25" customHeight="1" x14ac:dyDescent="0.25">
      <c r="C259" s="91" t="s">
        <v>8047</v>
      </c>
      <c r="E259" s="108">
        <v>45148</v>
      </c>
    </row>
    <row r="260" spans="3:5" ht="20.25" customHeight="1" x14ac:dyDescent="0.25">
      <c r="C260" s="91" t="s">
        <v>8048</v>
      </c>
      <c r="E260" s="108">
        <v>45148</v>
      </c>
    </row>
    <row r="261" spans="3:5" ht="20.25" customHeight="1" x14ac:dyDescent="0.25">
      <c r="C261" s="91" t="s">
        <v>8049</v>
      </c>
      <c r="E261" s="129"/>
    </row>
    <row r="262" spans="3:5" ht="20.25" customHeight="1" x14ac:dyDescent="0.25">
      <c r="C262" s="91" t="s">
        <v>8050</v>
      </c>
      <c r="E262" s="112"/>
    </row>
    <row r="263" spans="3:5" ht="20.25" customHeight="1" x14ac:dyDescent="0.25">
      <c r="C263" s="91" t="s">
        <v>8051</v>
      </c>
      <c r="E263" s="112"/>
    </row>
    <row r="264" spans="3:5" ht="20.25" customHeight="1" x14ac:dyDescent="0.25">
      <c r="C264" s="91" t="s">
        <v>8052</v>
      </c>
      <c r="E264" s="112"/>
    </row>
    <row r="265" spans="3:5" ht="20.25" customHeight="1" x14ac:dyDescent="0.25">
      <c r="C265" s="91" t="s">
        <v>8053</v>
      </c>
      <c r="E265" s="112"/>
    </row>
    <row r="266" spans="3:5" ht="20.25" customHeight="1" x14ac:dyDescent="0.25">
      <c r="C266" s="91" t="s">
        <v>8054</v>
      </c>
      <c r="E266" s="112"/>
    </row>
    <row r="267" spans="3:5" ht="20.25" customHeight="1" x14ac:dyDescent="0.25">
      <c r="C267" s="91" t="s">
        <v>8055</v>
      </c>
      <c r="E267" s="112"/>
    </row>
    <row r="268" spans="3:5" ht="20.25" customHeight="1" x14ac:dyDescent="0.25">
      <c r="C268" s="91" t="s">
        <v>8056</v>
      </c>
      <c r="E268" s="112"/>
    </row>
    <row r="269" spans="3:5" ht="20.25" customHeight="1" x14ac:dyDescent="0.25">
      <c r="C269" s="91" t="s">
        <v>8057</v>
      </c>
      <c r="E269" s="103" t="s">
        <v>4357</v>
      </c>
    </row>
    <row r="270" spans="3:5" ht="20.25" customHeight="1" x14ac:dyDescent="0.25">
      <c r="C270" s="91" t="s">
        <v>8058</v>
      </c>
      <c r="E270" s="112"/>
    </row>
    <row r="271" spans="3:5" ht="20.25" customHeight="1" x14ac:dyDescent="0.25">
      <c r="C271" s="90" t="s">
        <v>8059</v>
      </c>
      <c r="E271" s="111">
        <v>45111</v>
      </c>
    </row>
    <row r="272" spans="3:5" ht="20.25" customHeight="1" x14ac:dyDescent="0.25">
      <c r="C272" s="91" t="s">
        <v>8060</v>
      </c>
      <c r="E272" s="111">
        <v>45111</v>
      </c>
    </row>
    <row r="273" spans="3:5" ht="20.25" customHeight="1" x14ac:dyDescent="0.25">
      <c r="C273" s="91" t="s">
        <v>8061</v>
      </c>
      <c r="E273" s="111">
        <v>45111</v>
      </c>
    </row>
    <row r="274" spans="3:5" ht="20.25" customHeight="1" x14ac:dyDescent="0.25">
      <c r="C274" s="91" t="s">
        <v>8062</v>
      </c>
      <c r="E274" s="112"/>
    </row>
    <row r="275" spans="3:5" ht="20.25" customHeight="1" x14ac:dyDescent="0.25">
      <c r="C275" s="91" t="s">
        <v>8063</v>
      </c>
      <c r="E275" s="105">
        <v>45097</v>
      </c>
    </row>
    <row r="276" spans="3:5" ht="20.25" customHeight="1" x14ac:dyDescent="0.25">
      <c r="C276" s="91" t="s">
        <v>8064</v>
      </c>
      <c r="E276" s="112"/>
    </row>
    <row r="277" spans="3:5" ht="20.25" customHeight="1" x14ac:dyDescent="0.25">
      <c r="C277" s="91" t="s">
        <v>8065</v>
      </c>
      <c r="E277" s="112"/>
    </row>
    <row r="278" spans="3:5" ht="20.25" customHeight="1" x14ac:dyDescent="0.25">
      <c r="C278" s="91" t="s">
        <v>8066</v>
      </c>
      <c r="E278" s="112"/>
    </row>
    <row r="279" spans="3:5" ht="20.25" customHeight="1" x14ac:dyDescent="0.25">
      <c r="C279" s="91" t="s">
        <v>8067</v>
      </c>
      <c r="E279" s="111">
        <v>45111</v>
      </c>
    </row>
    <row r="280" spans="3:5" ht="20.25" customHeight="1" x14ac:dyDescent="0.25">
      <c r="C280" s="91" t="s">
        <v>8068</v>
      </c>
      <c r="E280" s="111">
        <v>45111</v>
      </c>
    </row>
    <row r="281" spans="3:5" ht="20.25" customHeight="1" x14ac:dyDescent="0.25">
      <c r="C281" s="91" t="s">
        <v>8069</v>
      </c>
      <c r="E281" s="109"/>
    </row>
    <row r="282" spans="3:5" ht="20.25" customHeight="1" x14ac:dyDescent="0.25">
      <c r="C282" s="91" t="s">
        <v>8070</v>
      </c>
      <c r="E282" s="108" t="s">
        <v>4357</v>
      </c>
    </row>
    <row r="283" spans="3:5" ht="20.25" customHeight="1" x14ac:dyDescent="0.25">
      <c r="C283" s="91" t="s">
        <v>8071</v>
      </c>
      <c r="E283" s="112"/>
    </row>
    <row r="284" spans="3:5" ht="20.25" customHeight="1" x14ac:dyDescent="0.25">
      <c r="C284" s="91" t="s">
        <v>8072</v>
      </c>
      <c r="E284" s="111">
        <v>45111</v>
      </c>
    </row>
    <row r="285" spans="3:5" ht="20.25" customHeight="1" x14ac:dyDescent="0.25">
      <c r="C285" s="91" t="s">
        <v>8073</v>
      </c>
      <c r="E285" s="112"/>
    </row>
    <row r="286" spans="3:5" ht="20.25" customHeight="1" x14ac:dyDescent="0.25">
      <c r="C286" s="91" t="s">
        <v>8074</v>
      </c>
      <c r="E286" s="111">
        <v>45111</v>
      </c>
    </row>
    <row r="287" spans="3:5" ht="20.25" customHeight="1" x14ac:dyDescent="0.25">
      <c r="C287" s="91" t="s">
        <v>8075</v>
      </c>
      <c r="E287" s="112"/>
    </row>
    <row r="288" spans="3:5" ht="20.25" customHeight="1" x14ac:dyDescent="0.25">
      <c r="C288" s="91" t="s">
        <v>8076</v>
      </c>
      <c r="E288" s="112"/>
    </row>
    <row r="289" spans="3:5" ht="20.25" customHeight="1" x14ac:dyDescent="0.25">
      <c r="C289" s="91" t="s">
        <v>8077</v>
      </c>
      <c r="E289" s="108" t="s">
        <v>4357</v>
      </c>
    </row>
    <row r="290" spans="3:5" ht="20.25" customHeight="1" x14ac:dyDescent="0.25">
      <c r="C290" s="91" t="s">
        <v>8078</v>
      </c>
      <c r="E290" s="108" t="s">
        <v>4357</v>
      </c>
    </row>
    <row r="291" spans="3:5" ht="20.25" customHeight="1" x14ac:dyDescent="0.25">
      <c r="C291" s="91" t="s">
        <v>8079</v>
      </c>
      <c r="E291" s="108">
        <v>45105</v>
      </c>
    </row>
    <row r="292" spans="3:5" ht="20.25" customHeight="1" x14ac:dyDescent="0.25">
      <c r="C292" s="91" t="s">
        <v>8080</v>
      </c>
      <c r="E292" s="112"/>
    </row>
    <row r="293" spans="3:5" ht="20.25" customHeight="1" x14ac:dyDescent="0.25">
      <c r="C293" s="91" t="s">
        <v>8081</v>
      </c>
      <c r="E293" s="112"/>
    </row>
    <row r="294" spans="3:5" ht="20.25" customHeight="1" x14ac:dyDescent="0.25">
      <c r="C294" s="91" t="s">
        <v>8082</v>
      </c>
      <c r="E294" s="109"/>
    </row>
    <row r="295" spans="3:5" ht="20.25" customHeight="1" x14ac:dyDescent="0.25">
      <c r="C295" s="91" t="s">
        <v>8083</v>
      </c>
      <c r="E295" s="112"/>
    </row>
    <row r="296" spans="3:5" ht="20.25" customHeight="1" x14ac:dyDescent="0.25">
      <c r="C296" s="91" t="s">
        <v>8084</v>
      </c>
      <c r="E296" s="105">
        <v>44961</v>
      </c>
    </row>
    <row r="297" spans="3:5" ht="20.25" customHeight="1" x14ac:dyDescent="0.25">
      <c r="C297" s="91" t="s">
        <v>8085</v>
      </c>
      <c r="E297" s="112"/>
    </row>
    <row r="298" spans="3:5" ht="20.25" customHeight="1" x14ac:dyDescent="0.25">
      <c r="C298" s="91" t="s">
        <v>8086</v>
      </c>
      <c r="E298" s="112"/>
    </row>
    <row r="299" spans="3:5" ht="20.25" customHeight="1" x14ac:dyDescent="0.25">
      <c r="C299" s="91" t="s">
        <v>8087</v>
      </c>
      <c r="E299" s="112"/>
    </row>
    <row r="300" spans="3:5" ht="20.25" customHeight="1" x14ac:dyDescent="0.25">
      <c r="C300" s="91" t="s">
        <v>8088</v>
      </c>
      <c r="E300" s="108">
        <v>45148</v>
      </c>
    </row>
    <row r="301" spans="3:5" ht="20.25" customHeight="1" x14ac:dyDescent="0.25">
      <c r="C301" s="97" t="s">
        <v>8089</v>
      </c>
      <c r="E301" s="112"/>
    </row>
    <row r="302" spans="3:5" ht="20.25" customHeight="1" x14ac:dyDescent="0.25">
      <c r="C302" s="97" t="s">
        <v>8090</v>
      </c>
      <c r="E302" s="105">
        <v>45097</v>
      </c>
    </row>
    <row r="303" spans="3:5" ht="20.25" customHeight="1" x14ac:dyDescent="0.25">
      <c r="C303" s="91" t="s">
        <v>8091</v>
      </c>
      <c r="E303" s="108">
        <v>45105</v>
      </c>
    </row>
    <row r="304" spans="3:5" ht="20.25" customHeight="1" x14ac:dyDescent="0.25">
      <c r="C304" s="91" t="s">
        <v>8092</v>
      </c>
      <c r="E304" s="112"/>
    </row>
    <row r="305" spans="3:5" ht="20.25" customHeight="1" x14ac:dyDescent="0.25">
      <c r="C305" s="91" t="s">
        <v>8093</v>
      </c>
      <c r="E305" s="112"/>
    </row>
    <row r="306" spans="3:5" ht="20.25" customHeight="1" x14ac:dyDescent="0.25">
      <c r="C306" s="91" t="s">
        <v>8094</v>
      </c>
      <c r="E306" s="112"/>
    </row>
    <row r="307" spans="3:5" ht="20.25" customHeight="1" x14ac:dyDescent="0.25">
      <c r="C307" s="91" t="s">
        <v>8095</v>
      </c>
      <c r="E307" s="105">
        <v>45097</v>
      </c>
    </row>
    <row r="308" spans="3:5" ht="20.25" customHeight="1" x14ac:dyDescent="0.25">
      <c r="C308" s="91" t="s">
        <v>8096</v>
      </c>
      <c r="E308" s="112"/>
    </row>
    <row r="309" spans="3:5" ht="20.25" customHeight="1" x14ac:dyDescent="0.25">
      <c r="C309" s="91" t="s">
        <v>8097</v>
      </c>
      <c r="E309" s="112"/>
    </row>
    <row r="310" spans="3:5" ht="20.25" customHeight="1" x14ac:dyDescent="0.25">
      <c r="C310" s="91" t="s">
        <v>8098</v>
      </c>
      <c r="E310" s="112"/>
    </row>
    <row r="311" spans="3:5" ht="20.25" customHeight="1" x14ac:dyDescent="0.25">
      <c r="C311" s="91" t="s">
        <v>8099</v>
      </c>
      <c r="E311" s="112"/>
    </row>
    <row r="312" spans="3:5" ht="20.25" customHeight="1" x14ac:dyDescent="0.25">
      <c r="C312" s="97" t="s">
        <v>8100</v>
      </c>
      <c r="E312" s="112"/>
    </row>
    <row r="313" spans="3:5" ht="20.25" customHeight="1" x14ac:dyDescent="0.25">
      <c r="C313" s="91" t="s">
        <v>8101</v>
      </c>
      <c r="E313" s="112"/>
    </row>
    <row r="314" spans="3:5" ht="20.25" customHeight="1" x14ac:dyDescent="0.25">
      <c r="C314" s="91" t="s">
        <v>8102</v>
      </c>
      <c r="E314" s="112"/>
    </row>
    <row r="315" spans="3:5" ht="20.25" customHeight="1" x14ac:dyDescent="0.25">
      <c r="C315" s="97" t="s">
        <v>8103</v>
      </c>
      <c r="E315" s="112"/>
    </row>
    <row r="316" spans="3:5" ht="20.25" customHeight="1" x14ac:dyDescent="0.25">
      <c r="C316" s="91" t="s">
        <v>8104</v>
      </c>
      <c r="E316" s="112"/>
    </row>
    <row r="317" spans="3:5" ht="20.25" customHeight="1" x14ac:dyDescent="0.25">
      <c r="C317" s="91" t="s">
        <v>8105</v>
      </c>
      <c r="E317" s="112"/>
    </row>
    <row r="318" spans="3:5" ht="20.25" customHeight="1" x14ac:dyDescent="0.25">
      <c r="C318" s="91" t="s">
        <v>8106</v>
      </c>
      <c r="E318" s="111">
        <v>45111</v>
      </c>
    </row>
    <row r="319" spans="3:5" ht="20.25" customHeight="1" x14ac:dyDescent="0.25">
      <c r="C319" s="91" t="s">
        <v>8107</v>
      </c>
      <c r="E319" s="112"/>
    </row>
    <row r="320" spans="3:5" ht="20.25" customHeight="1" x14ac:dyDescent="0.25">
      <c r="C320" s="91" t="s">
        <v>8108</v>
      </c>
      <c r="E320" s="103" t="s">
        <v>4357</v>
      </c>
    </row>
    <row r="321" spans="3:5" ht="20.25" customHeight="1" x14ac:dyDescent="0.25">
      <c r="C321" s="91" t="s">
        <v>8109</v>
      </c>
      <c r="E321" s="112"/>
    </row>
    <row r="322" spans="3:5" ht="20.25" customHeight="1" x14ac:dyDescent="0.25">
      <c r="C322" s="91" t="s">
        <v>8110</v>
      </c>
      <c r="E322" s="112"/>
    </row>
    <row r="323" spans="3:5" ht="20.25" customHeight="1" x14ac:dyDescent="0.25">
      <c r="C323" s="91" t="s">
        <v>8111</v>
      </c>
      <c r="E323" s="112"/>
    </row>
    <row r="324" spans="3:5" ht="20.25" customHeight="1" x14ac:dyDescent="0.25">
      <c r="C324" s="91" t="s">
        <v>8112</v>
      </c>
      <c r="E324" s="112"/>
    </row>
    <row r="325" spans="3:5" ht="20.25" customHeight="1" x14ac:dyDescent="0.25">
      <c r="C325" s="91" t="s">
        <v>8113</v>
      </c>
      <c r="E325" s="112"/>
    </row>
    <row r="326" spans="3:5" ht="20.25" customHeight="1" x14ac:dyDescent="0.25">
      <c r="C326" s="91" t="s">
        <v>8114</v>
      </c>
      <c r="E326" s="112"/>
    </row>
    <row r="327" spans="3:5" ht="20.25" customHeight="1" x14ac:dyDescent="0.25">
      <c r="C327" s="91" t="s">
        <v>8115</v>
      </c>
      <c r="E327" s="112"/>
    </row>
    <row r="328" spans="3:5" ht="20.25" customHeight="1" x14ac:dyDescent="0.25">
      <c r="C328" s="97" t="s">
        <v>8116</v>
      </c>
      <c r="E328" s="112"/>
    </row>
    <row r="329" spans="3:5" ht="20.25" customHeight="1" x14ac:dyDescent="0.25">
      <c r="C329" s="91" t="s">
        <v>8117</v>
      </c>
      <c r="E329" s="112"/>
    </row>
    <row r="330" spans="3:5" ht="20.25" customHeight="1" x14ac:dyDescent="0.25">
      <c r="C330" s="91" t="s">
        <v>8118</v>
      </c>
      <c r="E330" s="112"/>
    </row>
    <row r="331" spans="3:5" ht="20.25" customHeight="1" x14ac:dyDescent="0.25">
      <c r="C331" s="91" t="s">
        <v>8119</v>
      </c>
      <c r="E331" s="112"/>
    </row>
    <row r="332" spans="3:5" ht="20.25" customHeight="1" x14ac:dyDescent="0.25">
      <c r="C332" s="91" t="s">
        <v>8120</v>
      </c>
      <c r="E332" s="112"/>
    </row>
    <row r="333" spans="3:5" ht="20.25" customHeight="1" x14ac:dyDescent="0.25">
      <c r="C333" s="91" t="s">
        <v>8121</v>
      </c>
      <c r="E333" s="112"/>
    </row>
    <row r="334" spans="3:5" ht="20.25" customHeight="1" x14ac:dyDescent="0.25">
      <c r="C334" s="91" t="s">
        <v>8122</v>
      </c>
      <c r="E334" s="112"/>
    </row>
    <row r="335" spans="3:5" ht="20.25" customHeight="1" x14ac:dyDescent="0.25">
      <c r="C335" s="97" t="s">
        <v>8123</v>
      </c>
      <c r="E335" s="112"/>
    </row>
    <row r="336" spans="3:5" ht="20.25" customHeight="1" x14ac:dyDescent="0.25">
      <c r="C336" s="97" t="s">
        <v>8124</v>
      </c>
      <c r="E336" s="112"/>
    </row>
    <row r="337" spans="3:5" ht="20.25" customHeight="1" x14ac:dyDescent="0.25">
      <c r="C337" s="91" t="s">
        <v>8125</v>
      </c>
      <c r="E337" s="112"/>
    </row>
    <row r="338" spans="3:5" ht="20.25" customHeight="1" x14ac:dyDescent="0.25">
      <c r="C338" s="91" t="s">
        <v>8126</v>
      </c>
      <c r="E338" s="112"/>
    </row>
    <row r="339" spans="3:5" ht="20.25" customHeight="1" x14ac:dyDescent="0.25">
      <c r="C339" s="91" t="s">
        <v>8127</v>
      </c>
      <c r="E339" s="112"/>
    </row>
    <row r="340" spans="3:5" ht="20.25" customHeight="1" x14ac:dyDescent="0.25">
      <c r="C340" s="91" t="s">
        <v>8128</v>
      </c>
      <c r="E340" s="112"/>
    </row>
    <row r="341" spans="3:5" ht="20.25" customHeight="1" x14ac:dyDescent="0.25">
      <c r="C341" s="91" t="s">
        <v>8129</v>
      </c>
      <c r="E341" s="112"/>
    </row>
    <row r="342" spans="3:5" ht="20.25" customHeight="1" x14ac:dyDescent="0.25">
      <c r="C342" s="91" t="s">
        <v>8130</v>
      </c>
      <c r="E342" s="112"/>
    </row>
    <row r="343" spans="3:5" ht="20.25" customHeight="1" x14ac:dyDescent="0.25">
      <c r="C343" s="91" t="s">
        <v>8131</v>
      </c>
      <c r="E343" s="112"/>
    </row>
    <row r="344" spans="3:5" ht="20.25" customHeight="1" x14ac:dyDescent="0.25">
      <c r="C344" s="91" t="s">
        <v>8132</v>
      </c>
      <c r="E344" s="112"/>
    </row>
    <row r="345" spans="3:5" ht="20.25" customHeight="1" x14ac:dyDescent="0.25">
      <c r="C345" s="97" t="s">
        <v>8133</v>
      </c>
      <c r="E345" s="112"/>
    </row>
    <row r="346" spans="3:5" ht="20.25" customHeight="1" x14ac:dyDescent="0.25">
      <c r="C346" s="97" t="s">
        <v>8134</v>
      </c>
      <c r="E346" s="112"/>
    </row>
    <row r="347" spans="3:5" ht="20.25" customHeight="1" x14ac:dyDescent="0.25">
      <c r="C347" s="91" t="s">
        <v>8135</v>
      </c>
      <c r="E347" s="112"/>
    </row>
    <row r="348" spans="3:5" ht="20.25" customHeight="1" x14ac:dyDescent="0.25">
      <c r="C348" s="91" t="s">
        <v>8136</v>
      </c>
      <c r="E348" s="108">
        <v>45148</v>
      </c>
    </row>
    <row r="349" spans="3:5" ht="20.25" customHeight="1" x14ac:dyDescent="0.25">
      <c r="C349" s="97" t="s">
        <v>8137</v>
      </c>
      <c r="E349" s="113"/>
    </row>
    <row r="350" spans="3:5" ht="20.25" customHeight="1" x14ac:dyDescent="0.25">
      <c r="C350" s="91" t="s">
        <v>8138</v>
      </c>
      <c r="E350" s="107"/>
    </row>
    <row r="351" spans="3:5" ht="20.25" customHeight="1" x14ac:dyDescent="0.25">
      <c r="C351" s="91" t="s">
        <v>8139</v>
      </c>
      <c r="E351" s="129"/>
    </row>
    <row r="352" spans="3:5" ht="20.25" customHeight="1" x14ac:dyDescent="0.25">
      <c r="C352" s="91" t="s">
        <v>8140</v>
      </c>
      <c r="E352" s="105">
        <v>44961</v>
      </c>
    </row>
    <row r="353" spans="3:5" ht="20.25" customHeight="1" x14ac:dyDescent="0.25">
      <c r="C353" s="91" t="s">
        <v>8141</v>
      </c>
      <c r="E353" s="105">
        <v>44992</v>
      </c>
    </row>
    <row r="354" spans="3:5" ht="20.25" customHeight="1" x14ac:dyDescent="0.25">
      <c r="C354" s="91" t="s">
        <v>8142</v>
      </c>
      <c r="E354" s="108">
        <v>45105</v>
      </c>
    </row>
    <row r="355" spans="3:5" ht="20.25" customHeight="1" x14ac:dyDescent="0.25">
      <c r="C355" s="91" t="s">
        <v>8143</v>
      </c>
      <c r="E355" s="105">
        <v>44961</v>
      </c>
    </row>
    <row r="356" spans="3:5" ht="20.25" customHeight="1" x14ac:dyDescent="0.25">
      <c r="C356" s="91" t="s">
        <v>8144</v>
      </c>
      <c r="E356" s="105">
        <v>44961</v>
      </c>
    </row>
    <row r="357" spans="3:5" ht="20.25" customHeight="1" x14ac:dyDescent="0.25">
      <c r="C357" s="91" t="s">
        <v>8145</v>
      </c>
      <c r="E357" s="112"/>
    </row>
    <row r="358" spans="3:5" ht="20.25" customHeight="1" x14ac:dyDescent="0.25">
      <c r="C358" s="91" t="s">
        <v>8146</v>
      </c>
      <c r="E358" s="105">
        <v>44992</v>
      </c>
    </row>
    <row r="359" spans="3:5" ht="20.25" customHeight="1" x14ac:dyDescent="0.25">
      <c r="C359" s="91" t="s">
        <v>8147</v>
      </c>
      <c r="E359" s="105">
        <v>44961</v>
      </c>
    </row>
    <row r="360" spans="3:5" ht="20.25" customHeight="1" x14ac:dyDescent="0.25">
      <c r="C360" s="91" t="s">
        <v>8148</v>
      </c>
      <c r="E360" s="105">
        <v>44961</v>
      </c>
    </row>
    <row r="361" spans="3:5" ht="20.25" customHeight="1" x14ac:dyDescent="0.25">
      <c r="C361" s="91" t="s">
        <v>8149</v>
      </c>
      <c r="E361" s="105">
        <v>44961</v>
      </c>
    </row>
    <row r="362" spans="3:5" ht="20.25" customHeight="1" x14ac:dyDescent="0.25">
      <c r="C362" s="91" t="s">
        <v>7815</v>
      </c>
      <c r="E362" s="105">
        <v>44961</v>
      </c>
    </row>
    <row r="363" spans="3:5" ht="20.25" customHeight="1" x14ac:dyDescent="0.25">
      <c r="C363" s="91" t="s">
        <v>7817</v>
      </c>
      <c r="E363" s="112"/>
    </row>
    <row r="364" spans="3:5" ht="20.25" customHeight="1" x14ac:dyDescent="0.25">
      <c r="C364" s="91" t="s">
        <v>7819</v>
      </c>
      <c r="E364" s="105">
        <v>44961</v>
      </c>
    </row>
    <row r="365" spans="3:5" ht="20.25" customHeight="1" x14ac:dyDescent="0.25">
      <c r="C365" s="91" t="s">
        <v>8150</v>
      </c>
      <c r="E365" s="112"/>
    </row>
    <row r="366" spans="3:5" ht="20.25" customHeight="1" x14ac:dyDescent="0.25">
      <c r="C366" s="91" t="s">
        <v>8151</v>
      </c>
      <c r="E366" s="112"/>
    </row>
    <row r="367" spans="3:5" ht="20.25" customHeight="1" x14ac:dyDescent="0.25">
      <c r="C367" s="91" t="s">
        <v>8152</v>
      </c>
      <c r="E367" s="108">
        <v>45106</v>
      </c>
    </row>
    <row r="368" spans="3:5" ht="20.25" customHeight="1" x14ac:dyDescent="0.25">
      <c r="C368" s="91" t="s">
        <v>8153</v>
      </c>
      <c r="E368" s="112"/>
    </row>
    <row r="369" spans="3:5" ht="20.25" customHeight="1" x14ac:dyDescent="0.25">
      <c r="C369" s="91" t="s">
        <v>8154</v>
      </c>
      <c r="E369" s="108">
        <v>45105</v>
      </c>
    </row>
    <row r="370" spans="3:5" ht="20.25" customHeight="1" x14ac:dyDescent="0.25">
      <c r="C370" s="91" t="s">
        <v>8155</v>
      </c>
      <c r="E370" s="108">
        <v>45148</v>
      </c>
    </row>
    <row r="371" spans="3:5" ht="20.25" customHeight="1" x14ac:dyDescent="0.25">
      <c r="C371" s="91" t="s">
        <v>8156</v>
      </c>
      <c r="E371" s="112"/>
    </row>
    <row r="372" spans="3:5" ht="20.25" customHeight="1" x14ac:dyDescent="0.25">
      <c r="C372" s="91" t="s">
        <v>8157</v>
      </c>
      <c r="E372" s="112"/>
    </row>
    <row r="373" spans="3:5" ht="20.25" customHeight="1" x14ac:dyDescent="0.25">
      <c r="C373" s="91" t="s">
        <v>8158</v>
      </c>
      <c r="E373" s="108">
        <v>45105</v>
      </c>
    </row>
    <row r="374" spans="3:5" ht="20.25" customHeight="1" x14ac:dyDescent="0.25">
      <c r="C374" s="91" t="s">
        <v>8159</v>
      </c>
      <c r="E374" s="103" t="s">
        <v>4357</v>
      </c>
    </row>
    <row r="375" spans="3:5" ht="20.25" customHeight="1" x14ac:dyDescent="0.25">
      <c r="C375" s="91" t="s">
        <v>8160</v>
      </c>
      <c r="E375" s="108">
        <v>45148</v>
      </c>
    </row>
    <row r="376" spans="3:5" ht="20.25" customHeight="1" x14ac:dyDescent="0.25">
      <c r="C376" s="91" t="s">
        <v>8161</v>
      </c>
      <c r="E376" s="112"/>
    </row>
    <row r="377" spans="3:5" ht="20.25" customHeight="1" x14ac:dyDescent="0.25">
      <c r="C377" s="97" t="s">
        <v>7821</v>
      </c>
      <c r="E377" s="129"/>
    </row>
    <row r="378" spans="3:5" ht="20.25" customHeight="1" x14ac:dyDescent="0.25">
      <c r="C378" s="91" t="s">
        <v>7823</v>
      </c>
      <c r="E378" s="108">
        <v>45148</v>
      </c>
    </row>
    <row r="379" spans="3:5" ht="20.25" customHeight="1" x14ac:dyDescent="0.25">
      <c r="C379" s="91" t="s">
        <v>8162</v>
      </c>
      <c r="E379" s="108">
        <v>45148</v>
      </c>
    </row>
    <row r="380" spans="3:5" ht="20.25" customHeight="1" x14ac:dyDescent="0.25">
      <c r="C380" s="91" t="s">
        <v>8163</v>
      </c>
      <c r="E380" s="108">
        <v>45148</v>
      </c>
    </row>
    <row r="381" spans="3:5" ht="20.25" customHeight="1" x14ac:dyDescent="0.25">
      <c r="C381" s="91" t="s">
        <v>8164</v>
      </c>
      <c r="E381" s="109"/>
    </row>
    <row r="382" spans="3:5" ht="20.25" customHeight="1" x14ac:dyDescent="0.25">
      <c r="C382" s="91" t="s">
        <v>8165</v>
      </c>
      <c r="E382" s="108">
        <v>45148</v>
      </c>
    </row>
    <row r="383" spans="3:5" ht="20.25" customHeight="1" x14ac:dyDescent="0.25">
      <c r="C383" s="91" t="s">
        <v>8166</v>
      </c>
      <c r="E383" s="108">
        <v>45148</v>
      </c>
    </row>
    <row r="384" spans="3:5" ht="20.25" customHeight="1" x14ac:dyDescent="0.25">
      <c r="C384" s="91" t="s">
        <v>8167</v>
      </c>
      <c r="E384" s="108">
        <v>45148</v>
      </c>
    </row>
    <row r="385" spans="3:5" ht="20.25" customHeight="1" x14ac:dyDescent="0.25">
      <c r="C385" s="91" t="s">
        <v>8168</v>
      </c>
      <c r="E385" s="108">
        <v>45105</v>
      </c>
    </row>
    <row r="386" spans="3:5" ht="20.25" customHeight="1" x14ac:dyDescent="0.25">
      <c r="C386" s="91" t="s">
        <v>8169</v>
      </c>
      <c r="E386" s="105">
        <v>44961</v>
      </c>
    </row>
    <row r="387" spans="3:5" ht="20.25" customHeight="1" x14ac:dyDescent="0.25">
      <c r="C387" s="91" t="s">
        <v>8170</v>
      </c>
      <c r="E387" s="105">
        <v>44961</v>
      </c>
    </row>
    <row r="388" spans="3:5" ht="20.25" customHeight="1" x14ac:dyDescent="0.25">
      <c r="C388" s="91" t="s">
        <v>8171</v>
      </c>
      <c r="E388" s="105">
        <v>44992</v>
      </c>
    </row>
    <row r="389" spans="3:5" ht="20.25" customHeight="1" x14ac:dyDescent="0.25">
      <c r="C389" s="91" t="s">
        <v>8172</v>
      </c>
      <c r="E389" s="105">
        <v>44992</v>
      </c>
    </row>
    <row r="390" spans="3:5" ht="20.25" customHeight="1" x14ac:dyDescent="0.25">
      <c r="C390" s="91" t="s">
        <v>8173</v>
      </c>
      <c r="E390" s="112"/>
    </row>
    <row r="391" spans="3:5" ht="20.25" customHeight="1" x14ac:dyDescent="0.25">
      <c r="C391" s="91" t="s">
        <v>8174</v>
      </c>
      <c r="E391" s="112"/>
    </row>
    <row r="392" spans="3:5" ht="20.25" customHeight="1" x14ac:dyDescent="0.25">
      <c r="C392" s="97" t="s">
        <v>8175</v>
      </c>
      <c r="E392" s="112"/>
    </row>
    <row r="393" spans="3:5" ht="20.25" customHeight="1" x14ac:dyDescent="0.25">
      <c r="C393" s="97" t="s">
        <v>8176</v>
      </c>
      <c r="E393" s="108">
        <v>45105</v>
      </c>
    </row>
    <row r="394" spans="3:5" ht="20.25" customHeight="1" x14ac:dyDescent="0.25">
      <c r="C394" s="91" t="s">
        <v>8177</v>
      </c>
      <c r="E394" s="105">
        <v>44961</v>
      </c>
    </row>
    <row r="395" spans="3:5" ht="20.25" customHeight="1" x14ac:dyDescent="0.25">
      <c r="C395" s="91" t="s">
        <v>8178</v>
      </c>
      <c r="E395" s="105">
        <v>44961</v>
      </c>
    </row>
    <row r="396" spans="3:5" ht="20.25" customHeight="1" x14ac:dyDescent="0.25">
      <c r="C396" s="91" t="s">
        <v>8179</v>
      </c>
      <c r="E396" s="108">
        <v>45105</v>
      </c>
    </row>
    <row r="397" spans="3:5" ht="20.25" customHeight="1" x14ac:dyDescent="0.25">
      <c r="C397" s="91" t="s">
        <v>8180</v>
      </c>
      <c r="E397" s="105">
        <v>44961</v>
      </c>
    </row>
    <row r="398" spans="3:5" ht="20.25" customHeight="1" x14ac:dyDescent="0.25">
      <c r="C398" s="91" t="s">
        <v>8181</v>
      </c>
      <c r="E398" s="108">
        <v>45105</v>
      </c>
    </row>
    <row r="399" spans="3:5" ht="20.25" customHeight="1" x14ac:dyDescent="0.25">
      <c r="C399" s="91" t="s">
        <v>8182</v>
      </c>
      <c r="E399" s="105">
        <v>44961</v>
      </c>
    </row>
    <row r="400" spans="3:5" ht="20.25" customHeight="1" x14ac:dyDescent="0.25">
      <c r="C400" s="91" t="s">
        <v>8183</v>
      </c>
      <c r="E400" s="112"/>
    </row>
    <row r="401" spans="3:5" ht="20.25" customHeight="1" x14ac:dyDescent="0.25">
      <c r="C401" s="91" t="s">
        <v>8184</v>
      </c>
      <c r="E401" s="112"/>
    </row>
    <row r="402" spans="3:5" ht="20.25" customHeight="1" x14ac:dyDescent="0.25">
      <c r="C402" s="91" t="s">
        <v>7825</v>
      </c>
      <c r="E402" s="105">
        <v>44992</v>
      </c>
    </row>
    <row r="403" spans="3:5" ht="20.25" customHeight="1" x14ac:dyDescent="0.25">
      <c r="C403" s="91" t="s">
        <v>8185</v>
      </c>
      <c r="E403" s="112"/>
    </row>
    <row r="404" spans="3:5" ht="20.25" customHeight="1" x14ac:dyDescent="0.25">
      <c r="C404" s="91" t="s">
        <v>8186</v>
      </c>
      <c r="E404" s="112"/>
    </row>
    <row r="405" spans="3:5" ht="20.25" customHeight="1" x14ac:dyDescent="0.25">
      <c r="C405" s="91" t="s">
        <v>8187</v>
      </c>
      <c r="E405" s="108">
        <v>45148</v>
      </c>
    </row>
    <row r="406" spans="3:5" ht="20.25" customHeight="1" x14ac:dyDescent="0.25">
      <c r="C406" s="91" t="s">
        <v>8188</v>
      </c>
      <c r="E406" s="105">
        <v>44889</v>
      </c>
    </row>
    <row r="407" spans="3:5" ht="20.25" customHeight="1" x14ac:dyDescent="0.25">
      <c r="C407" s="91" t="s">
        <v>8189</v>
      </c>
      <c r="E407" s="105">
        <v>44889</v>
      </c>
    </row>
    <row r="408" spans="3:5" ht="20.25" customHeight="1" x14ac:dyDescent="0.25">
      <c r="C408" s="91" t="s">
        <v>8190</v>
      </c>
      <c r="E408" s="105">
        <v>44992</v>
      </c>
    </row>
    <row r="409" spans="3:5" ht="20.25" customHeight="1" x14ac:dyDescent="0.25">
      <c r="C409" s="91" t="s">
        <v>8191</v>
      </c>
      <c r="E409" s="111">
        <v>45111</v>
      </c>
    </row>
    <row r="410" spans="3:5" ht="20.25" customHeight="1" x14ac:dyDescent="0.25">
      <c r="C410" s="91" t="s">
        <v>8192</v>
      </c>
      <c r="E410" s="103" t="s">
        <v>4357</v>
      </c>
    </row>
    <row r="411" spans="3:5" ht="20.25" customHeight="1" x14ac:dyDescent="0.25">
      <c r="C411" s="91" t="s">
        <v>8193</v>
      </c>
      <c r="E411" s="103" t="s">
        <v>4357</v>
      </c>
    </row>
    <row r="412" spans="3:5" ht="20.25" customHeight="1" x14ac:dyDescent="0.25">
      <c r="C412" s="91" t="s">
        <v>8194</v>
      </c>
      <c r="E412" s="103" t="s">
        <v>4357</v>
      </c>
    </row>
    <row r="413" spans="3:5" ht="20.25" customHeight="1" x14ac:dyDescent="0.25">
      <c r="C413" s="91" t="s">
        <v>8195</v>
      </c>
      <c r="E413" s="112"/>
    </row>
    <row r="414" spans="3:5" ht="20.25" customHeight="1" x14ac:dyDescent="0.25">
      <c r="C414" s="91" t="s">
        <v>8196</v>
      </c>
      <c r="E414" s="112"/>
    </row>
    <row r="415" spans="3:5" ht="20.25" customHeight="1" x14ac:dyDescent="0.25">
      <c r="C415" s="91" t="s">
        <v>8197</v>
      </c>
      <c r="E415" s="112"/>
    </row>
    <row r="416" spans="3:5" ht="20.25" customHeight="1" x14ac:dyDescent="0.25">
      <c r="C416" s="91" t="s">
        <v>8198</v>
      </c>
      <c r="E416" s="112"/>
    </row>
    <row r="417" spans="3:5" ht="20.25" customHeight="1" x14ac:dyDescent="0.25">
      <c r="C417" s="91" t="s">
        <v>8199</v>
      </c>
      <c r="E417" s="105">
        <v>44816</v>
      </c>
    </row>
    <row r="418" spans="3:5" ht="20.25" customHeight="1" x14ac:dyDescent="0.25">
      <c r="C418" s="91" t="s">
        <v>8200</v>
      </c>
      <c r="E418" s="105">
        <v>44910</v>
      </c>
    </row>
    <row r="419" spans="3:5" ht="20.25" customHeight="1" x14ac:dyDescent="0.25">
      <c r="C419" s="91" t="s">
        <v>8201</v>
      </c>
      <c r="E419" s="105">
        <v>44816</v>
      </c>
    </row>
    <row r="420" spans="3:5" ht="20.25" customHeight="1" x14ac:dyDescent="0.25">
      <c r="C420" s="91" t="s">
        <v>8202</v>
      </c>
      <c r="E420" s="103" t="s">
        <v>4357</v>
      </c>
    </row>
    <row r="421" spans="3:5" ht="20.25" customHeight="1" x14ac:dyDescent="0.25">
      <c r="C421" s="91" t="s">
        <v>8203</v>
      </c>
      <c r="E421" s="105">
        <v>44923</v>
      </c>
    </row>
    <row r="422" spans="3:5" ht="20.25" customHeight="1" x14ac:dyDescent="0.25">
      <c r="C422" s="91" t="s">
        <v>8204</v>
      </c>
      <c r="E422" s="103"/>
    </row>
    <row r="423" spans="3:5" ht="20.25" customHeight="1" x14ac:dyDescent="0.25">
      <c r="C423" s="91" t="s">
        <v>8205</v>
      </c>
      <c r="E423" s="105">
        <v>45013</v>
      </c>
    </row>
    <row r="424" spans="3:5" ht="20.25" customHeight="1" x14ac:dyDescent="0.25">
      <c r="C424" s="91" t="s">
        <v>8206</v>
      </c>
      <c r="E424" s="105">
        <v>44923</v>
      </c>
    </row>
    <row r="425" spans="3:5" ht="20.25" customHeight="1" x14ac:dyDescent="0.25">
      <c r="C425" s="91" t="s">
        <v>8207</v>
      </c>
      <c r="E425" s="105">
        <v>44923</v>
      </c>
    </row>
    <row r="426" spans="3:5" ht="20.25" customHeight="1" x14ac:dyDescent="0.25">
      <c r="C426" s="91" t="s">
        <v>8208</v>
      </c>
      <c r="E426" s="105">
        <v>44816</v>
      </c>
    </row>
    <row r="427" spans="3:5" ht="20.25" customHeight="1" x14ac:dyDescent="0.25">
      <c r="C427" s="91" t="s">
        <v>7827</v>
      </c>
      <c r="E427" s="103" t="s">
        <v>4357</v>
      </c>
    </row>
    <row r="428" spans="3:5" ht="20.25" customHeight="1" x14ac:dyDescent="0.25">
      <c r="C428" s="91" t="s">
        <v>8209</v>
      </c>
      <c r="E428" s="103" t="s">
        <v>4357</v>
      </c>
    </row>
    <row r="429" spans="3:5" ht="20.25" customHeight="1" x14ac:dyDescent="0.25">
      <c r="C429" s="91" t="s">
        <v>8210</v>
      </c>
      <c r="E429" s="105">
        <v>44816</v>
      </c>
    </row>
    <row r="430" spans="3:5" ht="20.25" customHeight="1" x14ac:dyDescent="0.25">
      <c r="C430" s="91" t="s">
        <v>8211</v>
      </c>
      <c r="E430" s="105">
        <v>44816</v>
      </c>
    </row>
    <row r="431" spans="3:5" ht="20.25" customHeight="1" x14ac:dyDescent="0.25">
      <c r="C431" s="91" t="s">
        <v>8212</v>
      </c>
      <c r="E431" s="105">
        <v>44816</v>
      </c>
    </row>
    <row r="432" spans="3:5" ht="20.25" customHeight="1" x14ac:dyDescent="0.25">
      <c r="C432" s="91" t="s">
        <v>8213</v>
      </c>
      <c r="E432" s="103" t="s">
        <v>4357</v>
      </c>
    </row>
    <row r="433" spans="3:5" ht="20.25" customHeight="1" x14ac:dyDescent="0.25">
      <c r="C433" s="91" t="s">
        <v>8214</v>
      </c>
      <c r="E433" s="119">
        <v>45034</v>
      </c>
    </row>
    <row r="434" spans="3:5" ht="20.25" customHeight="1" x14ac:dyDescent="0.25">
      <c r="C434" s="91" t="s">
        <v>8215</v>
      </c>
      <c r="E434" s="105">
        <v>44992</v>
      </c>
    </row>
    <row r="435" spans="3:5" ht="20.25" customHeight="1" x14ac:dyDescent="0.25">
      <c r="C435" s="91" t="s">
        <v>8216</v>
      </c>
      <c r="E435" s="105">
        <v>44992</v>
      </c>
    </row>
    <row r="436" spans="3:5" ht="20.25" customHeight="1" x14ac:dyDescent="0.25">
      <c r="C436" s="91" t="s">
        <v>8217</v>
      </c>
      <c r="E436" s="119">
        <v>45034</v>
      </c>
    </row>
    <row r="437" spans="3:5" ht="20.25" customHeight="1" x14ac:dyDescent="0.25">
      <c r="C437" s="91" t="s">
        <v>8218</v>
      </c>
      <c r="E437" s="103" t="s">
        <v>4357</v>
      </c>
    </row>
    <row r="438" spans="3:5" ht="20.25" customHeight="1" x14ac:dyDescent="0.25">
      <c r="C438" s="91" t="s">
        <v>8219</v>
      </c>
      <c r="E438" s="103" t="s">
        <v>4357</v>
      </c>
    </row>
    <row r="439" spans="3:5" ht="20.25" customHeight="1" x14ac:dyDescent="0.25">
      <c r="C439" s="91" t="s">
        <v>8220</v>
      </c>
      <c r="E439" s="103" t="s">
        <v>4357</v>
      </c>
    </row>
    <row r="440" spans="3:5" ht="20.25" customHeight="1" x14ac:dyDescent="0.25">
      <c r="C440" s="91" t="s">
        <v>8221</v>
      </c>
      <c r="E440" s="105">
        <v>44862</v>
      </c>
    </row>
    <row r="441" spans="3:5" ht="20.25" customHeight="1" x14ac:dyDescent="0.25">
      <c r="C441" s="97" t="s">
        <v>8222</v>
      </c>
      <c r="E441" s="103" t="s">
        <v>4357</v>
      </c>
    </row>
    <row r="442" spans="3:5" ht="20.25" customHeight="1" x14ac:dyDescent="0.25">
      <c r="C442" s="91" t="s">
        <v>8223</v>
      </c>
      <c r="E442" s="105">
        <v>44862</v>
      </c>
    </row>
    <row r="443" spans="3:5" ht="20.25" customHeight="1" x14ac:dyDescent="0.25">
      <c r="C443" s="91" t="s">
        <v>8224</v>
      </c>
      <c r="E443" s="119">
        <v>45040</v>
      </c>
    </row>
    <row r="444" spans="3:5" ht="20.25" customHeight="1" x14ac:dyDescent="0.25">
      <c r="C444" s="91" t="s">
        <v>8225</v>
      </c>
      <c r="E444" s="103" t="s">
        <v>4357</v>
      </c>
    </row>
    <row r="445" spans="3:5" ht="20.25" customHeight="1" x14ac:dyDescent="0.25">
      <c r="C445" s="91" t="s">
        <v>8226</v>
      </c>
      <c r="E445" s="103" t="s">
        <v>4357</v>
      </c>
    </row>
    <row r="446" spans="3:5" ht="20.25" customHeight="1" x14ac:dyDescent="0.25">
      <c r="C446" s="91" t="s">
        <v>8227</v>
      </c>
      <c r="E446" s="103" t="s">
        <v>4357</v>
      </c>
    </row>
    <row r="447" spans="3:5" ht="20.25" customHeight="1" x14ac:dyDescent="0.25">
      <c r="C447" s="91" t="s">
        <v>8228</v>
      </c>
      <c r="E447" s="103" t="s">
        <v>4357</v>
      </c>
    </row>
    <row r="448" spans="3:5" ht="20.25" customHeight="1" x14ac:dyDescent="0.25">
      <c r="C448" s="91" t="s">
        <v>8229</v>
      </c>
      <c r="E448" s="105">
        <v>44910</v>
      </c>
    </row>
    <row r="449" spans="3:5" ht="20.25" customHeight="1" x14ac:dyDescent="0.25">
      <c r="C449" s="91" t="s">
        <v>8230</v>
      </c>
      <c r="E449" s="119">
        <v>45034</v>
      </c>
    </row>
    <row r="450" spans="3:5" ht="20.25" customHeight="1" x14ac:dyDescent="0.25">
      <c r="C450" s="91" t="s">
        <v>8231</v>
      </c>
      <c r="E450" s="105">
        <v>44923</v>
      </c>
    </row>
    <row r="451" spans="3:5" ht="20.25" customHeight="1" x14ac:dyDescent="0.25">
      <c r="C451" s="91" t="s">
        <v>8232</v>
      </c>
      <c r="E451" s="105">
        <v>44816</v>
      </c>
    </row>
    <row r="452" spans="3:5" ht="20.25" customHeight="1" x14ac:dyDescent="0.25">
      <c r="C452" s="91" t="s">
        <v>8233</v>
      </c>
      <c r="E452" s="105">
        <v>44925</v>
      </c>
    </row>
    <row r="453" spans="3:5" ht="20.25" customHeight="1" x14ac:dyDescent="0.25">
      <c r="C453" s="91" t="s">
        <v>8234</v>
      </c>
      <c r="E453" s="105">
        <v>44816</v>
      </c>
    </row>
    <row r="454" spans="3:5" ht="20.25" customHeight="1" x14ac:dyDescent="0.25">
      <c r="C454" s="91" t="s">
        <v>8235</v>
      </c>
      <c r="E454" s="105">
        <v>44816</v>
      </c>
    </row>
    <row r="455" spans="3:5" ht="20.25" customHeight="1" x14ac:dyDescent="0.25">
      <c r="C455" s="91" t="s">
        <v>8236</v>
      </c>
      <c r="E455" s="105">
        <v>44816</v>
      </c>
    </row>
    <row r="456" spans="3:5" ht="20.25" customHeight="1" x14ac:dyDescent="0.25">
      <c r="C456" s="91" t="s">
        <v>8237</v>
      </c>
      <c r="E456" s="108">
        <v>45065</v>
      </c>
    </row>
    <row r="457" spans="3:5" ht="20.25" customHeight="1" x14ac:dyDescent="0.25">
      <c r="C457" s="91" t="s">
        <v>8238</v>
      </c>
      <c r="E457" s="108">
        <v>45148</v>
      </c>
    </row>
    <row r="458" spans="3:5" ht="20.25" customHeight="1" x14ac:dyDescent="0.25">
      <c r="C458" s="91" t="s">
        <v>8239</v>
      </c>
      <c r="E458" s="105">
        <v>44922</v>
      </c>
    </row>
    <row r="459" spans="3:5" ht="20.25" customHeight="1" x14ac:dyDescent="0.25">
      <c r="C459" s="91" t="s">
        <v>8240</v>
      </c>
      <c r="E459" s="105">
        <v>44910</v>
      </c>
    </row>
    <row r="460" spans="3:5" ht="20.25" customHeight="1" x14ac:dyDescent="0.25">
      <c r="C460" s="91" t="s">
        <v>8241</v>
      </c>
      <c r="E460" s="105">
        <v>44816</v>
      </c>
    </row>
    <row r="461" spans="3:5" ht="20.25" customHeight="1" x14ac:dyDescent="0.25">
      <c r="C461" s="91" t="s">
        <v>8242</v>
      </c>
      <c r="E461" s="105">
        <v>44816</v>
      </c>
    </row>
    <row r="462" spans="3:5" ht="20.25" customHeight="1" x14ac:dyDescent="0.25">
      <c r="C462" s="91" t="s">
        <v>8243</v>
      </c>
      <c r="E462" s="105">
        <v>44816</v>
      </c>
    </row>
    <row r="463" spans="3:5" ht="20.25" customHeight="1" x14ac:dyDescent="0.25">
      <c r="C463" s="91" t="s">
        <v>8244</v>
      </c>
      <c r="E463" s="105">
        <v>44816</v>
      </c>
    </row>
    <row r="464" spans="3:5" ht="20.25" customHeight="1" x14ac:dyDescent="0.25">
      <c r="C464" s="91" t="s">
        <v>8245</v>
      </c>
      <c r="E464" s="105">
        <v>44923</v>
      </c>
    </row>
    <row r="465" spans="3:5" ht="20.25" customHeight="1" x14ac:dyDescent="0.25">
      <c r="C465" s="91" t="s">
        <v>8246</v>
      </c>
      <c r="E465" s="112"/>
    </row>
    <row r="466" spans="3:5" ht="20.25" customHeight="1" x14ac:dyDescent="0.25">
      <c r="C466" s="91" t="s">
        <v>8247</v>
      </c>
      <c r="E466" s="130" t="s">
        <v>4357</v>
      </c>
    </row>
    <row r="467" spans="3:5" ht="20.25" customHeight="1" x14ac:dyDescent="0.25">
      <c r="C467" s="91" t="s">
        <v>8248</v>
      </c>
      <c r="E467" s="130" t="s">
        <v>4357</v>
      </c>
    </row>
    <row r="468" spans="3:5" ht="20.25" customHeight="1" x14ac:dyDescent="0.25">
      <c r="C468" s="91" t="s">
        <v>8249</v>
      </c>
      <c r="E468" s="119">
        <v>45013</v>
      </c>
    </row>
    <row r="469" spans="3:5" ht="20.25" customHeight="1" x14ac:dyDescent="0.25">
      <c r="C469" s="91" t="s">
        <v>8250</v>
      </c>
      <c r="E469" s="105">
        <v>44889</v>
      </c>
    </row>
    <row r="470" spans="3:5" ht="20.25" customHeight="1" x14ac:dyDescent="0.25">
      <c r="C470" s="91" t="s">
        <v>8251</v>
      </c>
      <c r="E470" s="106"/>
    </row>
    <row r="471" spans="3:5" ht="20.25" customHeight="1" x14ac:dyDescent="0.25">
      <c r="C471" s="91" t="s">
        <v>8252</v>
      </c>
      <c r="E471" s="105">
        <v>44877</v>
      </c>
    </row>
    <row r="472" spans="3:5" ht="20.25" customHeight="1" x14ac:dyDescent="0.25">
      <c r="C472" s="91" t="s">
        <v>8253</v>
      </c>
      <c r="E472" s="103" t="s">
        <v>4357</v>
      </c>
    </row>
    <row r="473" spans="3:5" ht="20.25" customHeight="1" x14ac:dyDescent="0.25">
      <c r="C473" s="91" t="s">
        <v>8254</v>
      </c>
      <c r="E473" s="103" t="s">
        <v>4357</v>
      </c>
    </row>
    <row r="474" spans="3:5" ht="20.25" customHeight="1" x14ac:dyDescent="0.25">
      <c r="C474" s="91" t="s">
        <v>8255</v>
      </c>
      <c r="E474" s="103" t="s">
        <v>4357</v>
      </c>
    </row>
    <row r="475" spans="3:5" ht="20.25" customHeight="1" x14ac:dyDescent="0.25">
      <c r="C475" s="91" t="s">
        <v>8256</v>
      </c>
      <c r="E475" s="103" t="s">
        <v>4357</v>
      </c>
    </row>
    <row r="476" spans="3:5" ht="20.25" customHeight="1" x14ac:dyDescent="0.25">
      <c r="C476" s="91" t="s">
        <v>8257</v>
      </c>
      <c r="E476" s="105">
        <v>44889</v>
      </c>
    </row>
    <row r="477" spans="3:5" ht="20.25" customHeight="1" x14ac:dyDescent="0.25">
      <c r="C477" s="91" t="s">
        <v>8258</v>
      </c>
      <c r="E477" s="105">
        <v>44862</v>
      </c>
    </row>
    <row r="478" spans="3:5" ht="20.25" customHeight="1" x14ac:dyDescent="0.25">
      <c r="C478" s="91" t="s">
        <v>8259</v>
      </c>
      <c r="E478" s="105">
        <v>44869</v>
      </c>
    </row>
    <row r="479" spans="3:5" ht="20.25" customHeight="1" x14ac:dyDescent="0.25">
      <c r="C479" s="91" t="s">
        <v>8260</v>
      </c>
      <c r="E479" s="103" t="s">
        <v>4357</v>
      </c>
    </row>
    <row r="480" spans="3:5" ht="20.25" customHeight="1" x14ac:dyDescent="0.25">
      <c r="C480" s="91" t="s">
        <v>8261</v>
      </c>
      <c r="E480" s="103" t="s">
        <v>4357</v>
      </c>
    </row>
    <row r="481" spans="3:5" ht="20.25" customHeight="1" x14ac:dyDescent="0.25">
      <c r="C481" s="91" t="s">
        <v>8262</v>
      </c>
      <c r="E481" s="103" t="s">
        <v>4357</v>
      </c>
    </row>
    <row r="482" spans="3:5" ht="20.25" customHeight="1" x14ac:dyDescent="0.25">
      <c r="C482" s="91" t="s">
        <v>8263</v>
      </c>
      <c r="E482" s="119">
        <v>45014</v>
      </c>
    </row>
    <row r="483" spans="3:5" ht="20.25" customHeight="1" x14ac:dyDescent="0.25">
      <c r="C483" s="91" t="s">
        <v>8264</v>
      </c>
      <c r="E483" s="108">
        <v>45065</v>
      </c>
    </row>
    <row r="484" spans="3:5" ht="20.25" customHeight="1" x14ac:dyDescent="0.25">
      <c r="C484" s="91" t="s">
        <v>8265</v>
      </c>
      <c r="E484" s="105">
        <v>45056</v>
      </c>
    </row>
    <row r="485" spans="3:5" ht="20.25" customHeight="1" x14ac:dyDescent="0.25">
      <c r="C485" s="91" t="s">
        <v>8266</v>
      </c>
      <c r="E485" s="108">
        <v>45049</v>
      </c>
    </row>
    <row r="486" spans="3:5" ht="20.25" customHeight="1" x14ac:dyDescent="0.25">
      <c r="C486" s="91" t="s">
        <v>8267</v>
      </c>
      <c r="E486" s="105">
        <v>45056</v>
      </c>
    </row>
    <row r="487" spans="3:5" ht="20.25" customHeight="1" x14ac:dyDescent="0.25">
      <c r="C487" s="91" t="s">
        <v>8268</v>
      </c>
      <c r="E487" s="103" t="s">
        <v>4357</v>
      </c>
    </row>
    <row r="488" spans="3:5" ht="20.25" customHeight="1" x14ac:dyDescent="0.25">
      <c r="C488" s="91" t="s">
        <v>8269</v>
      </c>
      <c r="E488" s="105">
        <v>44862</v>
      </c>
    </row>
    <row r="489" spans="3:5" ht="20.25" customHeight="1" x14ac:dyDescent="0.25">
      <c r="C489" s="91" t="s">
        <v>8270</v>
      </c>
      <c r="E489" s="105">
        <v>44910</v>
      </c>
    </row>
    <row r="490" spans="3:5" ht="20.25" customHeight="1" x14ac:dyDescent="0.25">
      <c r="C490" s="91" t="s">
        <v>8271</v>
      </c>
      <c r="E490" s="103" t="s">
        <v>4357</v>
      </c>
    </row>
    <row r="491" spans="3:5" ht="20.25" customHeight="1" x14ac:dyDescent="0.25">
      <c r="C491" s="91" t="s">
        <v>8272</v>
      </c>
      <c r="E491" s="103" t="s">
        <v>4357</v>
      </c>
    </row>
    <row r="492" spans="3:5" ht="20.25" customHeight="1" x14ac:dyDescent="0.25">
      <c r="C492" s="91" t="s">
        <v>8273</v>
      </c>
      <c r="E492" s="105">
        <v>44890</v>
      </c>
    </row>
    <row r="493" spans="3:5" ht="20.25" customHeight="1" x14ac:dyDescent="0.25">
      <c r="C493" s="91" t="s">
        <v>7829</v>
      </c>
      <c r="E493" s="105">
        <v>44869</v>
      </c>
    </row>
    <row r="494" spans="3:5" ht="20.25" customHeight="1" x14ac:dyDescent="0.25">
      <c r="C494" s="91" t="s">
        <v>8274</v>
      </c>
      <c r="E494" s="105">
        <v>44867</v>
      </c>
    </row>
    <row r="495" spans="3:5" ht="20.25" customHeight="1" x14ac:dyDescent="0.25">
      <c r="C495" s="91" t="s">
        <v>8275</v>
      </c>
      <c r="E495" s="103" t="s">
        <v>4357</v>
      </c>
    </row>
    <row r="496" spans="3:5" ht="20.25" customHeight="1" x14ac:dyDescent="0.25">
      <c r="C496" s="91" t="s">
        <v>8276</v>
      </c>
      <c r="E496" s="103" t="s">
        <v>4357</v>
      </c>
    </row>
    <row r="497" spans="3:5" ht="20.25" customHeight="1" x14ac:dyDescent="0.25">
      <c r="C497" s="97" t="s">
        <v>8277</v>
      </c>
      <c r="E497" s="103" t="s">
        <v>4357</v>
      </c>
    </row>
    <row r="498" spans="3:5" ht="20.25" customHeight="1" x14ac:dyDescent="0.25">
      <c r="C498" s="91" t="s">
        <v>8278</v>
      </c>
      <c r="E498" s="108">
        <v>45049</v>
      </c>
    </row>
    <row r="499" spans="3:5" ht="20.25" customHeight="1" x14ac:dyDescent="0.25">
      <c r="C499" s="91" t="s">
        <v>8279</v>
      </c>
      <c r="E499" s="105">
        <v>44923</v>
      </c>
    </row>
    <row r="500" spans="3:5" ht="20.25" customHeight="1" x14ac:dyDescent="0.25">
      <c r="C500" s="91" t="s">
        <v>8280</v>
      </c>
      <c r="E500" s="103" t="s">
        <v>4357</v>
      </c>
    </row>
    <row r="501" spans="3:5" ht="20.25" customHeight="1" x14ac:dyDescent="0.25">
      <c r="C501" s="91" t="s">
        <v>8281</v>
      </c>
      <c r="E501" s="105">
        <v>44877</v>
      </c>
    </row>
    <row r="502" spans="3:5" ht="20.25" customHeight="1" x14ac:dyDescent="0.25">
      <c r="C502" s="91" t="s">
        <v>8282</v>
      </c>
      <c r="E502" s="105">
        <v>44862</v>
      </c>
    </row>
    <row r="503" spans="3:5" ht="20.25" customHeight="1" x14ac:dyDescent="0.25">
      <c r="C503" s="97" t="s">
        <v>8283</v>
      </c>
      <c r="E503" s="105">
        <v>44862</v>
      </c>
    </row>
    <row r="504" spans="3:5" ht="20.25" customHeight="1" x14ac:dyDescent="0.25">
      <c r="C504" s="91" t="s">
        <v>8284</v>
      </c>
      <c r="E504" s="103" t="s">
        <v>4357</v>
      </c>
    </row>
    <row r="505" spans="3:5" ht="20.25" customHeight="1" x14ac:dyDescent="0.25">
      <c r="C505" s="91" t="s">
        <v>8285</v>
      </c>
      <c r="E505" s="105">
        <v>44889</v>
      </c>
    </row>
    <row r="506" spans="3:5" ht="20.25" customHeight="1" x14ac:dyDescent="0.25">
      <c r="C506" s="91" t="s">
        <v>8286</v>
      </c>
      <c r="E506" s="103" t="s">
        <v>4357</v>
      </c>
    </row>
    <row r="507" spans="3:5" ht="20.25" customHeight="1" x14ac:dyDescent="0.25">
      <c r="C507" s="91" t="s">
        <v>8287</v>
      </c>
      <c r="E507" s="103" t="s">
        <v>4357</v>
      </c>
    </row>
    <row r="508" spans="3:5" ht="20.25" customHeight="1" x14ac:dyDescent="0.25">
      <c r="C508" s="91" t="s">
        <v>8288</v>
      </c>
      <c r="E508" s="103" t="s">
        <v>4357</v>
      </c>
    </row>
    <row r="509" spans="3:5" ht="20.25" customHeight="1" x14ac:dyDescent="0.25">
      <c r="C509" s="91" t="s">
        <v>8289</v>
      </c>
      <c r="E509" s="105">
        <v>44862</v>
      </c>
    </row>
    <row r="510" spans="3:5" ht="20.25" customHeight="1" x14ac:dyDescent="0.25">
      <c r="C510" s="91" t="s">
        <v>8290</v>
      </c>
      <c r="E510" s="105">
        <v>44862</v>
      </c>
    </row>
    <row r="511" spans="3:5" ht="20.25" customHeight="1" x14ac:dyDescent="0.25">
      <c r="C511" s="91" t="s">
        <v>8291</v>
      </c>
      <c r="E511" s="105">
        <v>44889</v>
      </c>
    </row>
    <row r="512" spans="3:5" ht="20.25" customHeight="1" x14ac:dyDescent="0.25">
      <c r="C512" s="91" t="s">
        <v>7831</v>
      </c>
      <c r="E512" s="105">
        <v>44869</v>
      </c>
    </row>
    <row r="513" spans="3:5" ht="20.25" customHeight="1" x14ac:dyDescent="0.25">
      <c r="C513" s="91" t="s">
        <v>8292</v>
      </c>
      <c r="E513" s="110">
        <v>45013</v>
      </c>
    </row>
    <row r="514" spans="3:5" ht="20.25" customHeight="1" x14ac:dyDescent="0.25">
      <c r="C514" s="91" t="s">
        <v>8293</v>
      </c>
      <c r="E514" s="110">
        <v>45013</v>
      </c>
    </row>
    <row r="515" spans="3:5" ht="20.25" customHeight="1" x14ac:dyDescent="0.25">
      <c r="C515" s="91" t="s">
        <v>8294</v>
      </c>
      <c r="E515" s="105">
        <v>44816</v>
      </c>
    </row>
    <row r="516" spans="3:5" ht="20.25" customHeight="1" x14ac:dyDescent="0.25">
      <c r="C516" s="91" t="s">
        <v>8295</v>
      </c>
      <c r="E516" s="103" t="s">
        <v>4357</v>
      </c>
    </row>
    <row r="517" spans="3:5" ht="20.25" customHeight="1" x14ac:dyDescent="0.25">
      <c r="C517" s="91" t="s">
        <v>8296</v>
      </c>
      <c r="E517" s="103" t="s">
        <v>4357</v>
      </c>
    </row>
    <row r="518" spans="3:5" ht="20.25" customHeight="1" x14ac:dyDescent="0.25">
      <c r="C518" s="91" t="s">
        <v>8297</v>
      </c>
      <c r="E518" s="103" t="s">
        <v>4357</v>
      </c>
    </row>
    <row r="519" spans="3:5" ht="20.25" customHeight="1" x14ac:dyDescent="0.25">
      <c r="C519" s="91" t="s">
        <v>8298</v>
      </c>
      <c r="E519" s="103" t="s">
        <v>4357</v>
      </c>
    </row>
    <row r="520" spans="3:5" ht="20.25" customHeight="1" x14ac:dyDescent="0.25">
      <c r="C520" s="91" t="s">
        <v>7833</v>
      </c>
      <c r="E520" s="103" t="s">
        <v>4357</v>
      </c>
    </row>
    <row r="521" spans="3:5" ht="20.25" customHeight="1" x14ac:dyDescent="0.25">
      <c r="C521" s="91" t="s">
        <v>7835</v>
      </c>
      <c r="E521" s="103" t="s">
        <v>4357</v>
      </c>
    </row>
    <row r="522" spans="3:5" ht="20.25" customHeight="1" x14ac:dyDescent="0.25">
      <c r="C522" s="91" t="s">
        <v>8299</v>
      </c>
      <c r="E522" s="103" t="s">
        <v>4357</v>
      </c>
    </row>
    <row r="523" spans="3:5" ht="20.25" customHeight="1" x14ac:dyDescent="0.25">
      <c r="C523" s="91" t="s">
        <v>8300</v>
      </c>
      <c r="E523" s="103" t="s">
        <v>4357</v>
      </c>
    </row>
    <row r="524" spans="3:5" ht="20.25" customHeight="1" x14ac:dyDescent="0.25">
      <c r="C524" s="91" t="s">
        <v>8301</v>
      </c>
      <c r="E524" s="105">
        <v>44869</v>
      </c>
    </row>
    <row r="525" spans="3:5" ht="20.25" customHeight="1" x14ac:dyDescent="0.25">
      <c r="C525" s="91" t="s">
        <v>8302</v>
      </c>
      <c r="E525" s="105">
        <v>44862</v>
      </c>
    </row>
    <row r="526" spans="3:5" ht="20.25" customHeight="1" x14ac:dyDescent="0.25">
      <c r="C526" s="91" t="s">
        <v>7837</v>
      </c>
      <c r="E526" s="105">
        <v>44869</v>
      </c>
    </row>
    <row r="527" spans="3:5" ht="20.25" customHeight="1" x14ac:dyDescent="0.25">
      <c r="C527" s="91" t="s">
        <v>8303</v>
      </c>
      <c r="E527" s="103" t="s">
        <v>4357</v>
      </c>
    </row>
    <row r="528" spans="3:5" ht="20.25" customHeight="1" x14ac:dyDescent="0.25">
      <c r="C528" s="91" t="s">
        <v>8304</v>
      </c>
      <c r="E528" s="103" t="s">
        <v>4357</v>
      </c>
    </row>
    <row r="529" spans="3:5" ht="20.25" customHeight="1" x14ac:dyDescent="0.25">
      <c r="C529" s="91" t="s">
        <v>8305</v>
      </c>
      <c r="E529" s="103" t="s">
        <v>4357</v>
      </c>
    </row>
    <row r="530" spans="3:5" ht="20.25" customHeight="1" x14ac:dyDescent="0.25">
      <c r="C530" s="91" t="s">
        <v>8306</v>
      </c>
      <c r="E530" s="105">
        <v>44889</v>
      </c>
    </row>
    <row r="531" spans="3:5" ht="20.25" customHeight="1" x14ac:dyDescent="0.25">
      <c r="C531" s="91" t="s">
        <v>8307</v>
      </c>
      <c r="E531" s="105">
        <v>44910</v>
      </c>
    </row>
    <row r="532" spans="3:5" ht="20.25" customHeight="1" x14ac:dyDescent="0.25">
      <c r="C532" s="91" t="s">
        <v>8308</v>
      </c>
      <c r="E532" s="105">
        <v>44869</v>
      </c>
    </row>
    <row r="533" spans="3:5" ht="20.25" customHeight="1" x14ac:dyDescent="0.25">
      <c r="C533" s="91" t="s">
        <v>8309</v>
      </c>
      <c r="E533" s="105">
        <v>44889</v>
      </c>
    </row>
    <row r="534" spans="3:5" ht="20.25" customHeight="1" x14ac:dyDescent="0.25">
      <c r="C534" s="91" t="s">
        <v>8310</v>
      </c>
      <c r="E534" s="105">
        <v>44910</v>
      </c>
    </row>
    <row r="535" spans="3:5" ht="20.25" customHeight="1" x14ac:dyDescent="0.25">
      <c r="C535" s="91" t="s">
        <v>8311</v>
      </c>
      <c r="E535" s="105">
        <v>44889</v>
      </c>
    </row>
    <row r="536" spans="3:5" ht="20.25" customHeight="1" x14ac:dyDescent="0.25">
      <c r="C536" s="91" t="s">
        <v>8312</v>
      </c>
      <c r="E536" s="105">
        <v>44910</v>
      </c>
    </row>
    <row r="537" spans="3:5" ht="20.25" customHeight="1" x14ac:dyDescent="0.25">
      <c r="C537" s="91" t="s">
        <v>8313</v>
      </c>
      <c r="E537" s="105">
        <v>44877</v>
      </c>
    </row>
    <row r="538" spans="3:5" ht="20.25" customHeight="1" x14ac:dyDescent="0.25">
      <c r="C538" s="91" t="s">
        <v>8314</v>
      </c>
      <c r="E538" s="105">
        <v>44862</v>
      </c>
    </row>
    <row r="539" spans="3:5" ht="20.25" customHeight="1" x14ac:dyDescent="0.25">
      <c r="C539" s="91" t="s">
        <v>8315</v>
      </c>
      <c r="E539" s="103" t="s">
        <v>4357</v>
      </c>
    </row>
    <row r="540" spans="3:5" ht="20.25" customHeight="1" x14ac:dyDescent="0.25">
      <c r="C540" s="91" t="s">
        <v>8316</v>
      </c>
      <c r="E540" s="103" t="s">
        <v>4357</v>
      </c>
    </row>
    <row r="541" spans="3:5" ht="20.25" customHeight="1" x14ac:dyDescent="0.25">
      <c r="C541" s="91" t="s">
        <v>8317</v>
      </c>
      <c r="E541" s="103" t="s">
        <v>4357</v>
      </c>
    </row>
    <row r="542" spans="3:5" ht="20.25" customHeight="1" x14ac:dyDescent="0.25">
      <c r="C542" s="91" t="s">
        <v>8318</v>
      </c>
      <c r="E542" s="103" t="s">
        <v>4357</v>
      </c>
    </row>
    <row r="543" spans="3:5" ht="20.25" customHeight="1" x14ac:dyDescent="0.25">
      <c r="C543" s="91" t="s">
        <v>8319</v>
      </c>
      <c r="E543" s="105">
        <v>44816</v>
      </c>
    </row>
    <row r="544" spans="3:5" ht="20.25" customHeight="1" x14ac:dyDescent="0.25">
      <c r="C544" s="91" t="s">
        <v>8320</v>
      </c>
      <c r="E544" s="105">
        <v>44961</v>
      </c>
    </row>
    <row r="545" spans="3:5" ht="20.25" customHeight="1" x14ac:dyDescent="0.25">
      <c r="C545" s="91" t="s">
        <v>8321</v>
      </c>
      <c r="E545" s="103" t="s">
        <v>4357</v>
      </c>
    </row>
    <row r="546" spans="3:5" ht="20.25" customHeight="1" x14ac:dyDescent="0.25">
      <c r="C546" s="91" t="s">
        <v>8322</v>
      </c>
      <c r="E546" s="105">
        <v>44889</v>
      </c>
    </row>
    <row r="547" spans="3:5" ht="20.25" customHeight="1" x14ac:dyDescent="0.25">
      <c r="C547" s="91" t="s">
        <v>8323</v>
      </c>
      <c r="E547" s="105">
        <v>44816</v>
      </c>
    </row>
    <row r="548" spans="3:5" ht="20.25" customHeight="1" x14ac:dyDescent="0.25">
      <c r="C548" s="91" t="s">
        <v>8324</v>
      </c>
      <c r="E548" s="105">
        <v>44961</v>
      </c>
    </row>
    <row r="549" spans="3:5" ht="20.25" customHeight="1" x14ac:dyDescent="0.25">
      <c r="C549" s="91" t="s">
        <v>8325</v>
      </c>
      <c r="E549" s="105">
        <v>44910</v>
      </c>
    </row>
    <row r="550" spans="3:5" ht="20.25" customHeight="1" x14ac:dyDescent="0.25">
      <c r="C550" s="91" t="s">
        <v>8326</v>
      </c>
      <c r="E550" s="105">
        <v>44889</v>
      </c>
    </row>
    <row r="551" spans="3:5" ht="20.25" customHeight="1" x14ac:dyDescent="0.25">
      <c r="C551" s="95" t="s">
        <v>8327</v>
      </c>
      <c r="E551" s="105">
        <v>44816</v>
      </c>
    </row>
    <row r="552" spans="3:5" ht="20.25" customHeight="1" x14ac:dyDescent="0.25">
      <c r="C552" s="91" t="s">
        <v>8328</v>
      </c>
      <c r="E552" s="105">
        <v>44889</v>
      </c>
    </row>
    <row r="553" spans="3:5" ht="20.25" customHeight="1" x14ac:dyDescent="0.25">
      <c r="C553" s="91" t="s">
        <v>8329</v>
      </c>
      <c r="E553" s="105">
        <v>44816</v>
      </c>
    </row>
    <row r="554" spans="3:5" ht="20.25" customHeight="1" x14ac:dyDescent="0.25">
      <c r="C554" s="91" t="s">
        <v>8330</v>
      </c>
      <c r="E554" s="103" t="s">
        <v>4357</v>
      </c>
    </row>
    <row r="555" spans="3:5" ht="20.25" customHeight="1" x14ac:dyDescent="0.25">
      <c r="C555" s="91" t="s">
        <v>8331</v>
      </c>
      <c r="E555" s="103" t="s">
        <v>4357</v>
      </c>
    </row>
    <row r="556" spans="3:5" ht="20.25" customHeight="1" x14ac:dyDescent="0.25">
      <c r="C556" s="91" t="s">
        <v>7839</v>
      </c>
      <c r="E556" s="103" t="s">
        <v>4357</v>
      </c>
    </row>
    <row r="557" spans="3:5" ht="20.25" customHeight="1" x14ac:dyDescent="0.25">
      <c r="C557" s="91" t="s">
        <v>7841</v>
      </c>
      <c r="E557" s="105">
        <v>44889</v>
      </c>
    </row>
    <row r="558" spans="3:5" ht="20.25" customHeight="1" x14ac:dyDescent="0.25">
      <c r="C558" s="91" t="s">
        <v>8332</v>
      </c>
      <c r="E558" s="103" t="s">
        <v>4357</v>
      </c>
    </row>
    <row r="559" spans="3:5" ht="20.25" customHeight="1" x14ac:dyDescent="0.25">
      <c r="C559" s="91" t="s">
        <v>7843</v>
      </c>
      <c r="E559" s="103" t="s">
        <v>4357</v>
      </c>
    </row>
    <row r="560" spans="3:5" ht="20.25" customHeight="1" x14ac:dyDescent="0.25">
      <c r="C560" s="91" t="s">
        <v>8333</v>
      </c>
      <c r="E560" s="105">
        <v>44889</v>
      </c>
    </row>
    <row r="561" spans="3:5" ht="20.25" customHeight="1" x14ac:dyDescent="0.25">
      <c r="C561" s="91" t="s">
        <v>8334</v>
      </c>
      <c r="E561" s="105">
        <v>44889</v>
      </c>
    </row>
    <row r="562" spans="3:5" ht="20.25" customHeight="1" x14ac:dyDescent="0.25">
      <c r="C562" s="91" t="s">
        <v>8335</v>
      </c>
      <c r="E562" s="105"/>
    </row>
    <row r="563" spans="3:5" ht="20.25" customHeight="1" x14ac:dyDescent="0.25">
      <c r="C563" s="91" t="s">
        <v>8336</v>
      </c>
      <c r="E563" s="105">
        <v>45097</v>
      </c>
    </row>
    <row r="564" spans="3:5" ht="20.25" customHeight="1" x14ac:dyDescent="0.25">
      <c r="C564" s="91" t="s">
        <v>8337</v>
      </c>
      <c r="E564" s="105">
        <v>44910</v>
      </c>
    </row>
    <row r="565" spans="3:5" ht="20.25" customHeight="1" x14ac:dyDescent="0.25">
      <c r="C565" s="90" t="s">
        <v>8338</v>
      </c>
      <c r="E565" s="105">
        <v>44923</v>
      </c>
    </row>
    <row r="566" spans="3:5" ht="20.25" customHeight="1" x14ac:dyDescent="0.25">
      <c r="C566" s="91" t="s">
        <v>8339</v>
      </c>
      <c r="E566" s="105">
        <v>44923</v>
      </c>
    </row>
    <row r="567" spans="3:5" ht="20.25" customHeight="1" x14ac:dyDescent="0.25">
      <c r="C567" s="91" t="s">
        <v>8340</v>
      </c>
      <c r="E567" s="105">
        <v>44910</v>
      </c>
    </row>
    <row r="568" spans="3:5" ht="20.25" customHeight="1" x14ac:dyDescent="0.25">
      <c r="C568" s="91" t="s">
        <v>8341</v>
      </c>
      <c r="E568" s="105">
        <v>44910</v>
      </c>
    </row>
    <row r="569" spans="3:5" ht="20.25" customHeight="1" x14ac:dyDescent="0.25">
      <c r="C569" s="91" t="s">
        <v>8342</v>
      </c>
      <c r="E569" s="103" t="s">
        <v>4357</v>
      </c>
    </row>
    <row r="570" spans="3:5" ht="20.25" customHeight="1" x14ac:dyDescent="0.25">
      <c r="C570" s="91" t="s">
        <v>8343</v>
      </c>
      <c r="E570" s="105">
        <v>44923</v>
      </c>
    </row>
    <row r="571" spans="3:5" ht="20.25" customHeight="1" x14ac:dyDescent="0.25">
      <c r="C571" s="91" t="s">
        <v>8344</v>
      </c>
      <c r="E571" s="105">
        <v>44910</v>
      </c>
    </row>
    <row r="572" spans="3:5" ht="20.25" customHeight="1" x14ac:dyDescent="0.25">
      <c r="C572" s="91" t="s">
        <v>8345</v>
      </c>
      <c r="E572" s="105">
        <v>44923</v>
      </c>
    </row>
    <row r="573" spans="3:5" ht="20.25" customHeight="1" x14ac:dyDescent="0.25">
      <c r="C573" s="91" t="s">
        <v>8346</v>
      </c>
      <c r="E573" s="105">
        <v>44910</v>
      </c>
    </row>
    <row r="574" spans="3:5" ht="20.25" customHeight="1" x14ac:dyDescent="0.25">
      <c r="C574" s="91" t="s">
        <v>7845</v>
      </c>
      <c r="E574" s="105">
        <v>44910</v>
      </c>
    </row>
    <row r="575" spans="3:5" ht="20.25" customHeight="1" x14ac:dyDescent="0.25">
      <c r="C575" s="91" t="s">
        <v>7847</v>
      </c>
      <c r="E575" s="105">
        <v>44869</v>
      </c>
    </row>
    <row r="576" spans="3:5" ht="20.25" customHeight="1" x14ac:dyDescent="0.25">
      <c r="C576" s="91" t="s">
        <v>8347</v>
      </c>
      <c r="E576" s="105">
        <v>44869</v>
      </c>
    </row>
    <row r="577" spans="3:5" ht="20.25" customHeight="1" x14ac:dyDescent="0.25">
      <c r="C577" s="91" t="s">
        <v>8348</v>
      </c>
      <c r="E577" s="105">
        <v>44876</v>
      </c>
    </row>
    <row r="578" spans="3:5" ht="20.25" customHeight="1" x14ac:dyDescent="0.25">
      <c r="C578" s="90" t="s">
        <v>8349</v>
      </c>
      <c r="E578" s="103" t="s">
        <v>4357</v>
      </c>
    </row>
    <row r="579" spans="3:5" ht="20.25" customHeight="1" x14ac:dyDescent="0.25">
      <c r="C579" s="91" t="s">
        <v>8350</v>
      </c>
      <c r="E579" s="105">
        <v>44869</v>
      </c>
    </row>
    <row r="580" spans="3:5" ht="20.25" customHeight="1" x14ac:dyDescent="0.25">
      <c r="C580" s="91" t="s">
        <v>8351</v>
      </c>
      <c r="E580" s="103" t="s">
        <v>4357</v>
      </c>
    </row>
    <row r="581" spans="3:5" ht="20.25" customHeight="1" x14ac:dyDescent="0.25">
      <c r="C581" s="91" t="s">
        <v>8352</v>
      </c>
      <c r="E581" s="103" t="s">
        <v>4357</v>
      </c>
    </row>
    <row r="582" spans="3:5" ht="20.25" customHeight="1" x14ac:dyDescent="0.25">
      <c r="C582" s="91" t="s">
        <v>8353</v>
      </c>
      <c r="E582" s="103" t="s">
        <v>4357</v>
      </c>
    </row>
    <row r="583" spans="3:5" ht="20.25" customHeight="1" x14ac:dyDescent="0.25">
      <c r="C583" s="91" t="s">
        <v>7849</v>
      </c>
      <c r="E583" s="103" t="s">
        <v>4357</v>
      </c>
    </row>
    <row r="584" spans="3:5" ht="20.25" customHeight="1" x14ac:dyDescent="0.25">
      <c r="C584" s="91" t="s">
        <v>8354</v>
      </c>
      <c r="E584" s="103" t="s">
        <v>4357</v>
      </c>
    </row>
    <row r="585" spans="3:5" ht="20.25" customHeight="1" x14ac:dyDescent="0.25">
      <c r="C585" s="91" t="s">
        <v>8355</v>
      </c>
      <c r="E585" s="103" t="s">
        <v>4357</v>
      </c>
    </row>
    <row r="586" spans="3:5" ht="20.25" customHeight="1" x14ac:dyDescent="0.25">
      <c r="C586" s="91" t="s">
        <v>8356</v>
      </c>
      <c r="E586" s="103" t="s">
        <v>4357</v>
      </c>
    </row>
    <row r="587" spans="3:5" ht="20.25" customHeight="1" x14ac:dyDescent="0.25">
      <c r="C587" s="91" t="s">
        <v>8357</v>
      </c>
      <c r="E587" s="103" t="s">
        <v>4357</v>
      </c>
    </row>
    <row r="588" spans="3:5" ht="20.25" customHeight="1" x14ac:dyDescent="0.25">
      <c r="C588" s="91" t="s">
        <v>8358</v>
      </c>
      <c r="E588" s="103" t="s">
        <v>4357</v>
      </c>
    </row>
    <row r="589" spans="3:5" ht="20.25" customHeight="1" x14ac:dyDescent="0.25">
      <c r="C589" s="91" t="s">
        <v>8359</v>
      </c>
      <c r="E589" s="103" t="s">
        <v>4357</v>
      </c>
    </row>
    <row r="590" spans="3:5" ht="20.25" customHeight="1" x14ac:dyDescent="0.25">
      <c r="C590" s="91" t="s">
        <v>8360</v>
      </c>
      <c r="E590" s="103" t="s">
        <v>4357</v>
      </c>
    </row>
    <row r="591" spans="3:5" ht="20.25" customHeight="1" x14ac:dyDescent="0.25">
      <c r="C591" s="91" t="s">
        <v>8361</v>
      </c>
      <c r="E591" s="103" t="s">
        <v>4357</v>
      </c>
    </row>
    <row r="592" spans="3:5" ht="20.25" customHeight="1" x14ac:dyDescent="0.25">
      <c r="C592" s="91" t="s">
        <v>8362</v>
      </c>
      <c r="E592" s="103" t="s">
        <v>4357</v>
      </c>
    </row>
    <row r="593" spans="3:5" ht="20.25" customHeight="1" x14ac:dyDescent="0.25">
      <c r="C593" s="91" t="s">
        <v>8363</v>
      </c>
      <c r="E593" s="105">
        <v>44910</v>
      </c>
    </row>
    <row r="594" spans="3:5" ht="20.25" customHeight="1" x14ac:dyDescent="0.25">
      <c r="C594" s="91" t="s">
        <v>8364</v>
      </c>
      <c r="E594" s="103" t="s">
        <v>4357</v>
      </c>
    </row>
    <row r="595" spans="3:5" ht="20.25" customHeight="1" x14ac:dyDescent="0.25">
      <c r="C595" s="91" t="s">
        <v>8365</v>
      </c>
      <c r="E595" s="105">
        <v>44910</v>
      </c>
    </row>
    <row r="596" spans="3:5" ht="20.25" customHeight="1" x14ac:dyDescent="0.25">
      <c r="C596" s="91" t="s">
        <v>8366</v>
      </c>
      <c r="E596" s="103" t="s">
        <v>4357</v>
      </c>
    </row>
    <row r="597" spans="3:5" ht="20.25" customHeight="1" x14ac:dyDescent="0.25">
      <c r="C597" s="91" t="s">
        <v>8367</v>
      </c>
      <c r="E597" s="105">
        <v>44910</v>
      </c>
    </row>
    <row r="598" spans="3:5" ht="20.25" customHeight="1" x14ac:dyDescent="0.25">
      <c r="C598" s="91" t="s">
        <v>8368</v>
      </c>
      <c r="E598" s="103" t="s">
        <v>4357</v>
      </c>
    </row>
    <row r="599" spans="3:5" ht="20.25" customHeight="1" x14ac:dyDescent="0.25">
      <c r="C599" s="95" t="s">
        <v>8369</v>
      </c>
      <c r="E599" s="103" t="s">
        <v>4357</v>
      </c>
    </row>
    <row r="600" spans="3:5" ht="20.25" customHeight="1" x14ac:dyDescent="0.25">
      <c r="C600" s="91" t="s">
        <v>8370</v>
      </c>
      <c r="E600" s="103" t="s">
        <v>4357</v>
      </c>
    </row>
    <row r="601" spans="3:5" ht="20.25" customHeight="1" x14ac:dyDescent="0.25">
      <c r="C601" s="91" t="s">
        <v>8371</v>
      </c>
      <c r="E601" s="103" t="s">
        <v>4357</v>
      </c>
    </row>
    <row r="602" spans="3:5" ht="20.25" customHeight="1" x14ac:dyDescent="0.25">
      <c r="C602" s="91" t="s">
        <v>8372</v>
      </c>
      <c r="E602" s="108">
        <v>45065</v>
      </c>
    </row>
    <row r="603" spans="3:5" ht="20.25" customHeight="1" x14ac:dyDescent="0.25">
      <c r="C603" s="91" t="s">
        <v>8373</v>
      </c>
      <c r="E603" s="108">
        <v>45148</v>
      </c>
    </row>
    <row r="604" spans="3:5" ht="20.25" customHeight="1" x14ac:dyDescent="0.25">
      <c r="C604" s="91" t="s">
        <v>8374</v>
      </c>
      <c r="E604" s="105">
        <v>44910</v>
      </c>
    </row>
    <row r="605" spans="3:5" ht="20.25" customHeight="1" x14ac:dyDescent="0.25">
      <c r="C605" s="91" t="s">
        <v>8375</v>
      </c>
      <c r="E605" s="119">
        <v>45040</v>
      </c>
    </row>
    <row r="606" spans="3:5" ht="20.25" customHeight="1" x14ac:dyDescent="0.25">
      <c r="C606" s="91" t="s">
        <v>8376</v>
      </c>
      <c r="E606" s="103" t="s">
        <v>4357</v>
      </c>
    </row>
    <row r="607" spans="3:5" ht="20.25" customHeight="1" x14ac:dyDescent="0.25">
      <c r="C607" s="91" t="s">
        <v>8377</v>
      </c>
      <c r="E607" s="108">
        <v>45065</v>
      </c>
    </row>
    <row r="608" spans="3:5" ht="20.25" customHeight="1" x14ac:dyDescent="0.25">
      <c r="C608" s="91" t="s">
        <v>8378</v>
      </c>
      <c r="E608" s="103" t="s">
        <v>4357</v>
      </c>
    </row>
    <row r="609" spans="3:5" ht="20.25" customHeight="1" x14ac:dyDescent="0.25">
      <c r="C609" s="91" t="s">
        <v>8379</v>
      </c>
      <c r="E609" s="119">
        <v>45040</v>
      </c>
    </row>
    <row r="610" spans="3:5" ht="20.25" customHeight="1" x14ac:dyDescent="0.25">
      <c r="C610" s="91" t="s">
        <v>8380</v>
      </c>
      <c r="E610" s="105">
        <v>44923</v>
      </c>
    </row>
    <row r="611" spans="3:5" ht="20.25" customHeight="1" x14ac:dyDescent="0.25">
      <c r="C611" s="91" t="s">
        <v>8381</v>
      </c>
      <c r="E611" s="108">
        <v>45065</v>
      </c>
    </row>
    <row r="612" spans="3:5" ht="20.25" customHeight="1" x14ac:dyDescent="0.25">
      <c r="C612" s="91" t="s">
        <v>8382</v>
      </c>
      <c r="E612" s="103" t="s">
        <v>4357</v>
      </c>
    </row>
    <row r="613" spans="3:5" ht="20.25" customHeight="1" x14ac:dyDescent="0.25">
      <c r="C613" s="91" t="s">
        <v>8383</v>
      </c>
      <c r="E613" s="103" t="s">
        <v>4357</v>
      </c>
    </row>
    <row r="614" spans="3:5" ht="20.25" customHeight="1" x14ac:dyDescent="0.25">
      <c r="C614" s="91" t="s">
        <v>8384</v>
      </c>
      <c r="E614" s="105">
        <v>44910</v>
      </c>
    </row>
    <row r="615" spans="3:5" ht="20.25" customHeight="1" x14ac:dyDescent="0.25">
      <c r="C615" s="91" t="s">
        <v>8385</v>
      </c>
      <c r="E615" s="105">
        <v>44923</v>
      </c>
    </row>
    <row r="616" spans="3:5" ht="20.25" customHeight="1" x14ac:dyDescent="0.25">
      <c r="C616" s="91" t="s">
        <v>8386</v>
      </c>
      <c r="E616" s="105">
        <v>44910</v>
      </c>
    </row>
    <row r="617" spans="3:5" ht="20.25" customHeight="1" x14ac:dyDescent="0.25">
      <c r="C617" s="90" t="s">
        <v>8387</v>
      </c>
      <c r="E617" s="105">
        <v>44869</v>
      </c>
    </row>
    <row r="618" spans="3:5" ht="20.25" customHeight="1" x14ac:dyDescent="0.25">
      <c r="C618" s="91" t="s">
        <v>8388</v>
      </c>
      <c r="E618" s="105">
        <v>44910</v>
      </c>
    </row>
    <row r="619" spans="3:5" ht="20.25" customHeight="1" x14ac:dyDescent="0.25">
      <c r="C619" s="91" t="s">
        <v>8389</v>
      </c>
      <c r="E619" s="103"/>
    </row>
    <row r="620" spans="3:5" ht="20.25" customHeight="1" x14ac:dyDescent="0.25">
      <c r="C620" s="91" t="s">
        <v>8390</v>
      </c>
      <c r="E620" s="105">
        <v>44910</v>
      </c>
    </row>
    <row r="621" spans="3:5" ht="20.25" customHeight="1" x14ac:dyDescent="0.25">
      <c r="C621" s="91" t="s">
        <v>7851</v>
      </c>
      <c r="E621" s="103" t="s">
        <v>4357</v>
      </c>
    </row>
    <row r="622" spans="3:5" ht="20.25" customHeight="1" x14ac:dyDescent="0.25">
      <c r="C622" s="91" t="s">
        <v>8391</v>
      </c>
      <c r="E622" s="105">
        <v>44923</v>
      </c>
    </row>
    <row r="623" spans="3:5" ht="20.25" customHeight="1" x14ac:dyDescent="0.25">
      <c r="C623" s="91" t="s">
        <v>8392</v>
      </c>
      <c r="E623" s="105">
        <v>44910</v>
      </c>
    </row>
    <row r="624" spans="3:5" ht="20.25" customHeight="1" x14ac:dyDescent="0.25">
      <c r="C624" s="91" t="s">
        <v>8393</v>
      </c>
      <c r="E624" s="105">
        <v>44910</v>
      </c>
    </row>
    <row r="625" spans="3:5" ht="20.25" customHeight="1" x14ac:dyDescent="0.25">
      <c r="C625" s="91" t="s">
        <v>8394</v>
      </c>
      <c r="E625" s="103"/>
    </row>
    <row r="626" spans="3:5" ht="20.25" customHeight="1" x14ac:dyDescent="0.25">
      <c r="C626" s="91" t="s">
        <v>8395</v>
      </c>
      <c r="E626" s="112"/>
    </row>
    <row r="627" spans="3:5" ht="20.25" customHeight="1" x14ac:dyDescent="0.25">
      <c r="C627" s="91" t="s">
        <v>8396</v>
      </c>
      <c r="E627" s="112"/>
    </row>
    <row r="628" spans="3:5" ht="20.25" customHeight="1" x14ac:dyDescent="0.25">
      <c r="C628" s="91" t="s">
        <v>8397</v>
      </c>
      <c r="E628" s="112"/>
    </row>
    <row r="629" spans="3:5" ht="20.25" customHeight="1" x14ac:dyDescent="0.25">
      <c r="C629" s="91" t="s">
        <v>8398</v>
      </c>
      <c r="E629" s="112"/>
    </row>
    <row r="630" spans="3:5" ht="20.25" customHeight="1" x14ac:dyDescent="0.25">
      <c r="C630" s="91" t="s">
        <v>8399</v>
      </c>
      <c r="E630" s="112"/>
    </row>
    <row r="631" spans="3:5" ht="20.25" customHeight="1" x14ac:dyDescent="0.25">
      <c r="C631" s="91" t="s">
        <v>8400</v>
      </c>
      <c r="E631" s="112"/>
    </row>
    <row r="632" spans="3:5" ht="20.25" customHeight="1" x14ac:dyDescent="0.25">
      <c r="C632" s="91" t="s">
        <v>8401</v>
      </c>
      <c r="E632" s="112"/>
    </row>
    <row r="633" spans="3:5" ht="20.25" customHeight="1" x14ac:dyDescent="0.25">
      <c r="C633" s="91" t="s">
        <v>8402</v>
      </c>
      <c r="E633" s="112"/>
    </row>
    <row r="634" spans="3:5" ht="20.25" customHeight="1" x14ac:dyDescent="0.25">
      <c r="C634" s="91" t="s">
        <v>8403</v>
      </c>
      <c r="E634" s="112"/>
    </row>
    <row r="635" spans="3:5" ht="20.25" customHeight="1" x14ac:dyDescent="0.25">
      <c r="C635" s="91" t="s">
        <v>8404</v>
      </c>
      <c r="E635" s="112"/>
    </row>
    <row r="636" spans="3:5" ht="20.25" customHeight="1" x14ac:dyDescent="0.25">
      <c r="C636" s="95" t="s">
        <v>8405</v>
      </c>
      <c r="E636" s="112"/>
    </row>
    <row r="637" spans="3:5" ht="20.25" customHeight="1" x14ac:dyDescent="0.25">
      <c r="C637" s="91" t="s">
        <v>8406</v>
      </c>
      <c r="E637" s="112"/>
    </row>
    <row r="638" spans="3:5" ht="20.25" customHeight="1" x14ac:dyDescent="0.25">
      <c r="C638" s="91" t="s">
        <v>8407</v>
      </c>
      <c r="E638" s="112"/>
    </row>
    <row r="639" spans="3:5" ht="20.25" customHeight="1" x14ac:dyDescent="0.25">
      <c r="C639" s="95" t="s">
        <v>8408</v>
      </c>
      <c r="E639" s="112"/>
    </row>
    <row r="640" spans="3:5" ht="20.25" customHeight="1" x14ac:dyDescent="0.25">
      <c r="C640" s="91" t="s">
        <v>8409</v>
      </c>
      <c r="E640" s="112"/>
    </row>
    <row r="641" spans="3:5" ht="20.25" customHeight="1" x14ac:dyDescent="0.25">
      <c r="C641" s="91" t="s">
        <v>8410</v>
      </c>
      <c r="E641" s="112"/>
    </row>
    <row r="642" spans="3:5" ht="20.25" customHeight="1" x14ac:dyDescent="0.25">
      <c r="C642" s="91" t="s">
        <v>8411</v>
      </c>
      <c r="E642" s="112"/>
    </row>
    <row r="643" spans="3:5" ht="20.25" customHeight="1" x14ac:dyDescent="0.25">
      <c r="C643" s="91" t="s">
        <v>8412</v>
      </c>
      <c r="E643" s="112"/>
    </row>
    <row r="644" spans="3:5" ht="20.25" customHeight="1" x14ac:dyDescent="0.25">
      <c r="C644" s="95" t="s">
        <v>8413</v>
      </c>
      <c r="E644" s="112"/>
    </row>
    <row r="645" spans="3:5" ht="20.25" customHeight="1" x14ac:dyDescent="0.25">
      <c r="C645" s="91" t="s">
        <v>8414</v>
      </c>
      <c r="E645" s="112"/>
    </row>
    <row r="646" spans="3:5" ht="20.25" customHeight="1" x14ac:dyDescent="0.25">
      <c r="C646" s="91" t="s">
        <v>8415</v>
      </c>
      <c r="E646" s="112"/>
    </row>
    <row r="647" spans="3:5" ht="20.25" customHeight="1" x14ac:dyDescent="0.25">
      <c r="C647" s="97" t="s">
        <v>7853</v>
      </c>
      <c r="E647" s="112"/>
    </row>
    <row r="648" spans="3:5" ht="20.25" customHeight="1" x14ac:dyDescent="0.25">
      <c r="C648" s="95" t="s">
        <v>8416</v>
      </c>
      <c r="E648" s="103" t="s">
        <v>4357</v>
      </c>
    </row>
    <row r="649" spans="3:5" ht="20.25" customHeight="1" x14ac:dyDescent="0.25">
      <c r="C649" s="91" t="s">
        <v>8417</v>
      </c>
      <c r="E649" s="103" t="s">
        <v>4357</v>
      </c>
    </row>
    <row r="650" spans="3:5" ht="20.25" customHeight="1" x14ac:dyDescent="0.25">
      <c r="C650" s="91" t="s">
        <v>7855</v>
      </c>
      <c r="E650" s="103" t="s">
        <v>4357</v>
      </c>
    </row>
    <row r="651" spans="3:5" ht="20.25" customHeight="1" x14ac:dyDescent="0.25">
      <c r="C651" s="91" t="s">
        <v>7857</v>
      </c>
      <c r="E651" s="112" t="s">
        <v>4357</v>
      </c>
    </row>
    <row r="652" spans="3:5" ht="20.25" customHeight="1" x14ac:dyDescent="0.25">
      <c r="C652" s="91" t="s">
        <v>8418</v>
      </c>
      <c r="E652" s="112"/>
    </row>
    <row r="653" spans="3:5" ht="20.25" customHeight="1" x14ac:dyDescent="0.25">
      <c r="C653" s="91" t="s">
        <v>7859</v>
      </c>
      <c r="E653" s="112"/>
    </row>
    <row r="654" spans="3:5" ht="20.25" customHeight="1" x14ac:dyDescent="0.25">
      <c r="C654" s="91" t="s">
        <v>8419</v>
      </c>
      <c r="E654" s="112"/>
    </row>
    <row r="655" spans="3:5" ht="20.25" customHeight="1" x14ac:dyDescent="0.25">
      <c r="C655" s="91" t="s">
        <v>8420</v>
      </c>
      <c r="E655" s="112"/>
    </row>
    <row r="656" spans="3:5" ht="20.25" customHeight="1" x14ac:dyDescent="0.25">
      <c r="C656" s="91" t="s">
        <v>8421</v>
      </c>
      <c r="E656" s="112"/>
    </row>
    <row r="657" spans="3:5" ht="20.25" customHeight="1" x14ac:dyDescent="0.25">
      <c r="C657" s="91" t="s">
        <v>8422</v>
      </c>
      <c r="E657" s="112"/>
    </row>
    <row r="658" spans="3:5" ht="20.25" customHeight="1" x14ac:dyDescent="0.25">
      <c r="C658" s="91" t="s">
        <v>8423</v>
      </c>
      <c r="E658" s="112"/>
    </row>
    <row r="659" spans="3:5" ht="20.25" customHeight="1" x14ac:dyDescent="0.25">
      <c r="C659" s="91" t="s">
        <v>8424</v>
      </c>
      <c r="E659" s="112"/>
    </row>
    <row r="660" spans="3:5" ht="20.25" customHeight="1" x14ac:dyDescent="0.25">
      <c r="C660" s="91" t="s">
        <v>8425</v>
      </c>
      <c r="E660" s="112"/>
    </row>
    <row r="661" spans="3:5" ht="20.25" customHeight="1" x14ac:dyDescent="0.25">
      <c r="C661" s="91" t="s">
        <v>8426</v>
      </c>
      <c r="E661" s="112"/>
    </row>
    <row r="662" spans="3:5" ht="20.25" customHeight="1" x14ac:dyDescent="0.25">
      <c r="C662" s="91" t="s">
        <v>8427</v>
      </c>
      <c r="E662" s="112"/>
    </row>
    <row r="663" spans="3:5" ht="20.25" customHeight="1" x14ac:dyDescent="0.25">
      <c r="C663" s="91" t="s">
        <v>8428</v>
      </c>
      <c r="E663" s="112"/>
    </row>
    <row r="664" spans="3:5" ht="20.25" customHeight="1" x14ac:dyDescent="0.25">
      <c r="C664" s="91" t="s">
        <v>8429</v>
      </c>
      <c r="E664" s="112"/>
    </row>
    <row r="665" spans="3:5" ht="20.25" customHeight="1" x14ac:dyDescent="0.25">
      <c r="C665" s="91" t="s">
        <v>7861</v>
      </c>
      <c r="E665" s="112"/>
    </row>
    <row r="666" spans="3:5" ht="20.25" customHeight="1" x14ac:dyDescent="0.25">
      <c r="C666" s="91" t="s">
        <v>8430</v>
      </c>
      <c r="E666" s="112"/>
    </row>
    <row r="667" spans="3:5" ht="20.25" customHeight="1" x14ac:dyDescent="0.25">
      <c r="C667" s="91" t="s">
        <v>8431</v>
      </c>
      <c r="E667" s="119">
        <v>45040</v>
      </c>
    </row>
    <row r="668" spans="3:5" ht="20.25" customHeight="1" x14ac:dyDescent="0.25">
      <c r="C668" s="91" t="s">
        <v>8432</v>
      </c>
      <c r="E668" s="112"/>
    </row>
    <row r="669" spans="3:5" ht="20.25" customHeight="1" x14ac:dyDescent="0.25">
      <c r="C669" s="91" t="s">
        <v>8433</v>
      </c>
      <c r="E669" s="112"/>
    </row>
    <row r="670" spans="3:5" ht="20.25" customHeight="1" x14ac:dyDescent="0.25">
      <c r="C670" s="91" t="s">
        <v>8434</v>
      </c>
      <c r="E670" s="103"/>
    </row>
    <row r="671" spans="3:5" ht="20.25" customHeight="1" x14ac:dyDescent="0.25">
      <c r="C671" s="91" t="s">
        <v>8435</v>
      </c>
      <c r="E671" s="112"/>
    </row>
    <row r="672" spans="3:5" ht="20.25" customHeight="1" x14ac:dyDescent="0.25">
      <c r="C672" s="91" t="s">
        <v>8436</v>
      </c>
      <c r="E672" s="112"/>
    </row>
    <row r="673" spans="3:5" ht="20.25" customHeight="1" x14ac:dyDescent="0.25">
      <c r="C673" s="91" t="s">
        <v>8437</v>
      </c>
      <c r="E673" s="105">
        <v>44922</v>
      </c>
    </row>
    <row r="674" spans="3:5" ht="20.25" customHeight="1" x14ac:dyDescent="0.25">
      <c r="C674" s="91" t="s">
        <v>8438</v>
      </c>
      <c r="E674" s="112"/>
    </row>
    <row r="675" spans="3:5" ht="20.25" customHeight="1" x14ac:dyDescent="0.25">
      <c r="C675" s="91" t="s">
        <v>8439</v>
      </c>
      <c r="E675" s="112"/>
    </row>
    <row r="676" spans="3:5" ht="20.25" customHeight="1" x14ac:dyDescent="0.25">
      <c r="C676" s="91" t="s">
        <v>8440</v>
      </c>
      <c r="E676" s="112"/>
    </row>
    <row r="677" spans="3:5" ht="20.25" customHeight="1" x14ac:dyDescent="0.25">
      <c r="C677" s="91" t="s">
        <v>8441</v>
      </c>
      <c r="E677" s="112"/>
    </row>
    <row r="678" spans="3:5" ht="20.25" customHeight="1" x14ac:dyDescent="0.25">
      <c r="C678" s="91" t="s">
        <v>8442</v>
      </c>
      <c r="E678" s="112" t="s">
        <v>4357</v>
      </c>
    </row>
    <row r="679" spans="3:5" ht="20.25" customHeight="1" x14ac:dyDescent="0.25">
      <c r="C679" s="91" t="s">
        <v>8443</v>
      </c>
      <c r="E679" s="112" t="s">
        <v>4357</v>
      </c>
    </row>
    <row r="680" spans="3:5" ht="20.25" customHeight="1" x14ac:dyDescent="0.25">
      <c r="C680" s="91" t="s">
        <v>8444</v>
      </c>
      <c r="E680" s="112"/>
    </row>
    <row r="681" spans="3:5" ht="20.25" customHeight="1" x14ac:dyDescent="0.25">
      <c r="C681" s="91" t="s">
        <v>8445</v>
      </c>
      <c r="E681" s="112" t="s">
        <v>4357</v>
      </c>
    </row>
    <row r="682" spans="3:5" ht="20.25" customHeight="1" x14ac:dyDescent="0.25">
      <c r="C682" s="91" t="s">
        <v>8446</v>
      </c>
      <c r="E682" s="112"/>
    </row>
    <row r="683" spans="3:5" ht="20.25" customHeight="1" x14ac:dyDescent="0.25">
      <c r="C683" s="91" t="s">
        <v>8447</v>
      </c>
      <c r="E683" s="112"/>
    </row>
    <row r="684" spans="3:5" ht="20.25" customHeight="1" x14ac:dyDescent="0.25">
      <c r="C684" s="91" t="s">
        <v>8448</v>
      </c>
      <c r="E684" s="112"/>
    </row>
    <row r="685" spans="3:5" ht="20.25" customHeight="1" x14ac:dyDescent="0.25">
      <c r="C685" s="91" t="s">
        <v>8449</v>
      </c>
      <c r="E685" s="103" t="s">
        <v>4357</v>
      </c>
    </row>
    <row r="686" spans="3:5" ht="20.25" customHeight="1" x14ac:dyDescent="0.25">
      <c r="C686" s="91" t="s">
        <v>8450</v>
      </c>
      <c r="E686" s="119">
        <v>45040</v>
      </c>
    </row>
    <row r="687" spans="3:5" ht="20.25" customHeight="1" x14ac:dyDescent="0.25">
      <c r="C687" s="91" t="s">
        <v>8451</v>
      </c>
      <c r="E687" s="112"/>
    </row>
    <row r="688" spans="3:5" ht="20.25" customHeight="1" x14ac:dyDescent="0.25">
      <c r="C688" s="91" t="s">
        <v>8452</v>
      </c>
      <c r="E688" s="103" t="s">
        <v>4357</v>
      </c>
    </row>
    <row r="689" spans="3:5" ht="20.25" customHeight="1" x14ac:dyDescent="0.25">
      <c r="C689" s="91" t="s">
        <v>8453</v>
      </c>
      <c r="E689" s="108">
        <v>45148</v>
      </c>
    </row>
    <row r="690" spans="3:5" ht="20.25" customHeight="1" x14ac:dyDescent="0.25">
      <c r="C690" s="91" t="s">
        <v>8454</v>
      </c>
      <c r="E690" s="112"/>
    </row>
    <row r="691" spans="3:5" ht="20.25" customHeight="1" x14ac:dyDescent="0.25">
      <c r="C691" s="91" t="s">
        <v>8455</v>
      </c>
      <c r="E691" s="108">
        <v>45049</v>
      </c>
    </row>
    <row r="692" spans="3:5" ht="20.25" customHeight="1" x14ac:dyDescent="0.25">
      <c r="C692" s="91" t="s">
        <v>8456</v>
      </c>
      <c r="E692" s="103" t="s">
        <v>4357</v>
      </c>
    </row>
    <row r="693" spans="3:5" ht="20.25" customHeight="1" x14ac:dyDescent="0.25">
      <c r="C693" s="91" t="s">
        <v>8457</v>
      </c>
      <c r="E693" s="112" t="s">
        <v>4357</v>
      </c>
    </row>
    <row r="694" spans="3:5" ht="20.25" customHeight="1" x14ac:dyDescent="0.25">
      <c r="C694" s="91" t="s">
        <v>8458</v>
      </c>
      <c r="E694" s="112"/>
    </row>
    <row r="695" spans="3:5" ht="20.25" customHeight="1" x14ac:dyDescent="0.25">
      <c r="C695" s="91" t="s">
        <v>8459</v>
      </c>
      <c r="E695" s="112"/>
    </row>
    <row r="696" spans="3:5" ht="20.25" customHeight="1" x14ac:dyDescent="0.25">
      <c r="C696" s="91" t="s">
        <v>8460</v>
      </c>
      <c r="E696" s="108">
        <v>45049</v>
      </c>
    </row>
    <row r="697" spans="3:5" ht="20.25" customHeight="1" x14ac:dyDescent="0.25">
      <c r="C697" s="91" t="s">
        <v>8461</v>
      </c>
      <c r="E697" s="105">
        <v>45058</v>
      </c>
    </row>
    <row r="698" spans="3:5" ht="20.25" customHeight="1" x14ac:dyDescent="0.25">
      <c r="C698" s="91" t="s">
        <v>8462</v>
      </c>
      <c r="E698" s="112"/>
    </row>
    <row r="699" spans="3:5" ht="20.25" customHeight="1" x14ac:dyDescent="0.25">
      <c r="C699" s="91" t="s">
        <v>8463</v>
      </c>
      <c r="E699" s="119">
        <v>45040</v>
      </c>
    </row>
    <row r="700" spans="3:5" ht="20.25" customHeight="1" x14ac:dyDescent="0.25">
      <c r="C700" s="91" t="s">
        <v>8464</v>
      </c>
      <c r="E700" s="112"/>
    </row>
    <row r="701" spans="3:5" ht="20.25" customHeight="1" x14ac:dyDescent="0.25">
      <c r="C701" s="91" t="s">
        <v>8465</v>
      </c>
      <c r="E701" s="103" t="s">
        <v>4357</v>
      </c>
    </row>
    <row r="702" spans="3:5" ht="20.25" customHeight="1" x14ac:dyDescent="0.25">
      <c r="C702" s="91" t="s">
        <v>8466</v>
      </c>
      <c r="E702" s="112"/>
    </row>
    <row r="703" spans="3:5" ht="20.25" customHeight="1" x14ac:dyDescent="0.25">
      <c r="C703" s="91" t="s">
        <v>8467</v>
      </c>
      <c r="E703" s="112"/>
    </row>
    <row r="704" spans="3:5" ht="20.25" customHeight="1" x14ac:dyDescent="0.25">
      <c r="C704" s="91" t="s">
        <v>8468</v>
      </c>
      <c r="E704" s="112"/>
    </row>
    <row r="705" spans="3:5" ht="20.25" customHeight="1" x14ac:dyDescent="0.25">
      <c r="C705" s="91" t="s">
        <v>8469</v>
      </c>
      <c r="E705" s="103" t="s">
        <v>4357</v>
      </c>
    </row>
    <row r="706" spans="3:5" ht="20.25" customHeight="1" x14ac:dyDescent="0.25">
      <c r="C706" s="91" t="s">
        <v>8470</v>
      </c>
      <c r="E706" s="112"/>
    </row>
    <row r="707" spans="3:5" ht="20.25" customHeight="1" x14ac:dyDescent="0.25">
      <c r="C707" s="91" t="s">
        <v>8471</v>
      </c>
      <c r="E707" s="112"/>
    </row>
    <row r="708" spans="3:5" ht="20.25" customHeight="1" x14ac:dyDescent="0.25">
      <c r="C708" s="91" t="s">
        <v>8472</v>
      </c>
      <c r="E708" s="112"/>
    </row>
    <row r="709" spans="3:5" ht="20.25" customHeight="1" x14ac:dyDescent="0.25">
      <c r="C709" s="91" t="s">
        <v>8473</v>
      </c>
      <c r="E709" s="103" t="s">
        <v>4357</v>
      </c>
    </row>
    <row r="710" spans="3:5" ht="20.25" customHeight="1" x14ac:dyDescent="0.25">
      <c r="C710" s="91" t="s">
        <v>8474</v>
      </c>
      <c r="E710" s="103" t="s">
        <v>4357</v>
      </c>
    </row>
    <row r="711" spans="3:5" ht="20.25" customHeight="1" x14ac:dyDescent="0.25">
      <c r="C711" s="91" t="s">
        <v>8475</v>
      </c>
      <c r="E711" s="112"/>
    </row>
    <row r="712" spans="3:5" ht="20.25" customHeight="1" x14ac:dyDescent="0.25">
      <c r="C712" s="91" t="s">
        <v>8476</v>
      </c>
      <c r="E712" s="103" t="s">
        <v>4357</v>
      </c>
    </row>
    <row r="713" spans="3:5" ht="20.25" customHeight="1" x14ac:dyDescent="0.25">
      <c r="C713" s="91" t="s">
        <v>8477</v>
      </c>
      <c r="E713" s="112"/>
    </row>
    <row r="714" spans="3:5" ht="20.25" customHeight="1" x14ac:dyDescent="0.25">
      <c r="C714" s="91" t="s">
        <v>8478</v>
      </c>
      <c r="E714" s="112"/>
    </row>
    <row r="715" spans="3:5" ht="20.25" customHeight="1" x14ac:dyDescent="0.25">
      <c r="C715" s="91" t="s">
        <v>8479</v>
      </c>
      <c r="E715" s="103" t="s">
        <v>4357</v>
      </c>
    </row>
    <row r="716" spans="3:5" ht="20.25" customHeight="1" x14ac:dyDescent="0.25">
      <c r="C716" s="91" t="s">
        <v>8480</v>
      </c>
      <c r="E716" s="119">
        <v>45040</v>
      </c>
    </row>
    <row r="717" spans="3:5" ht="20.25" customHeight="1" x14ac:dyDescent="0.25">
      <c r="C717" s="91" t="s">
        <v>8481</v>
      </c>
      <c r="E717" s="112"/>
    </row>
    <row r="718" spans="3:5" ht="20.25" customHeight="1" x14ac:dyDescent="0.25">
      <c r="C718" s="91" t="s">
        <v>7863</v>
      </c>
      <c r="E718" s="103" t="s">
        <v>4357</v>
      </c>
    </row>
    <row r="719" spans="3:5" ht="20.25" customHeight="1" x14ac:dyDescent="0.25">
      <c r="C719" s="91" t="s">
        <v>8482</v>
      </c>
      <c r="E719" s="105">
        <v>44923</v>
      </c>
    </row>
    <row r="720" spans="3:5" ht="20.25" customHeight="1" x14ac:dyDescent="0.25">
      <c r="C720" s="91" t="s">
        <v>8483</v>
      </c>
      <c r="E720" s="112"/>
    </row>
    <row r="721" spans="3:5" ht="20.25" customHeight="1" x14ac:dyDescent="0.25">
      <c r="C721" s="91" t="s">
        <v>8484</v>
      </c>
      <c r="E721" s="105">
        <v>44877</v>
      </c>
    </row>
    <row r="722" spans="3:5" ht="20.25" customHeight="1" x14ac:dyDescent="0.25">
      <c r="C722" s="91" t="s">
        <v>8485</v>
      </c>
      <c r="E722" s="112"/>
    </row>
    <row r="723" spans="3:5" ht="20.25" customHeight="1" x14ac:dyDescent="0.25">
      <c r="C723" s="91" t="s">
        <v>8486</v>
      </c>
      <c r="E723" s="112"/>
    </row>
    <row r="724" spans="3:5" ht="20.25" customHeight="1" x14ac:dyDescent="0.25">
      <c r="C724" s="91" t="s">
        <v>8487</v>
      </c>
      <c r="E724" s="119">
        <v>45040</v>
      </c>
    </row>
    <row r="725" spans="3:5" ht="20.25" customHeight="1" x14ac:dyDescent="0.25">
      <c r="C725" s="91" t="s">
        <v>8488</v>
      </c>
      <c r="E725" s="103" t="s">
        <v>4357</v>
      </c>
    </row>
    <row r="726" spans="3:5" ht="20.25" customHeight="1" x14ac:dyDescent="0.25">
      <c r="C726" s="93" t="s">
        <v>8489</v>
      </c>
      <c r="E726" s="112"/>
    </row>
    <row r="727" spans="3:5" ht="20.25" customHeight="1" x14ac:dyDescent="0.25">
      <c r="C727" s="91" t="s">
        <v>7865</v>
      </c>
      <c r="E727" s="112"/>
    </row>
    <row r="728" spans="3:5" ht="20.25" customHeight="1" x14ac:dyDescent="0.25">
      <c r="C728" s="91" t="s">
        <v>8490</v>
      </c>
      <c r="E728" s="112"/>
    </row>
    <row r="729" spans="3:5" ht="20.25" customHeight="1" x14ac:dyDescent="0.25">
      <c r="C729" s="91" t="s">
        <v>8491</v>
      </c>
      <c r="E729" s="112"/>
    </row>
    <row r="730" spans="3:5" ht="20.25" customHeight="1" x14ac:dyDescent="0.25">
      <c r="C730" s="91" t="s">
        <v>7867</v>
      </c>
      <c r="E730" s="112"/>
    </row>
    <row r="731" spans="3:5" ht="20.25" customHeight="1" x14ac:dyDescent="0.25">
      <c r="C731" s="91" t="s">
        <v>8492</v>
      </c>
      <c r="E731" s="112"/>
    </row>
    <row r="732" spans="3:5" ht="20.25" customHeight="1" x14ac:dyDescent="0.25">
      <c r="C732" s="91" t="s">
        <v>8493</v>
      </c>
      <c r="E732" s="112"/>
    </row>
    <row r="733" spans="3:5" ht="20.25" customHeight="1" x14ac:dyDescent="0.25">
      <c r="C733" s="97" t="s">
        <v>7869</v>
      </c>
      <c r="E733" s="112"/>
    </row>
    <row r="734" spans="3:5" ht="20.25" customHeight="1" x14ac:dyDescent="0.25">
      <c r="C734" s="91" t="s">
        <v>8494</v>
      </c>
      <c r="E734" s="112"/>
    </row>
    <row r="735" spans="3:5" ht="20.25" customHeight="1" x14ac:dyDescent="0.25">
      <c r="C735" s="91" t="s">
        <v>8495</v>
      </c>
      <c r="E735" s="112"/>
    </row>
    <row r="736" spans="3:5" ht="20.25" customHeight="1" x14ac:dyDescent="0.25">
      <c r="C736" s="91" t="s">
        <v>8496</v>
      </c>
      <c r="E736" s="108">
        <v>45049</v>
      </c>
    </row>
    <row r="737" spans="3:5" ht="20.25" customHeight="1" x14ac:dyDescent="0.25">
      <c r="C737" s="91" t="s">
        <v>8497</v>
      </c>
      <c r="E737" s="119">
        <v>45040</v>
      </c>
    </row>
    <row r="738" spans="3:5" ht="20.25" customHeight="1" x14ac:dyDescent="0.25">
      <c r="C738" s="91" t="s">
        <v>8498</v>
      </c>
      <c r="E738" s="112"/>
    </row>
    <row r="739" spans="3:5" ht="20.25" customHeight="1" x14ac:dyDescent="0.25">
      <c r="C739" s="91" t="s">
        <v>8499</v>
      </c>
      <c r="E739" s="112"/>
    </row>
    <row r="740" spans="3:5" ht="20.25" customHeight="1" x14ac:dyDescent="0.25">
      <c r="C740" s="94" t="s">
        <v>8500</v>
      </c>
      <c r="E740" s="103" t="s">
        <v>4357</v>
      </c>
    </row>
    <row r="741" spans="3:5" ht="20.25" customHeight="1" x14ac:dyDescent="0.25">
      <c r="C741" s="91" t="s">
        <v>8501</v>
      </c>
      <c r="E741" s="112"/>
    </row>
    <row r="742" spans="3:5" ht="20.25" customHeight="1" x14ac:dyDescent="0.25">
      <c r="C742" s="91" t="s">
        <v>8502</v>
      </c>
      <c r="E742" s="112"/>
    </row>
    <row r="743" spans="3:5" ht="20.25" customHeight="1" x14ac:dyDescent="0.25">
      <c r="C743" s="91" t="s">
        <v>8503</v>
      </c>
      <c r="E743" s="112"/>
    </row>
    <row r="744" spans="3:5" ht="20.25" customHeight="1" x14ac:dyDescent="0.25">
      <c r="C744" s="91" t="s">
        <v>8504</v>
      </c>
      <c r="E744" s="112"/>
    </row>
    <row r="745" spans="3:5" ht="20.25" customHeight="1" x14ac:dyDescent="0.25">
      <c r="C745" s="91" t="s">
        <v>8505</v>
      </c>
      <c r="E745" s="112"/>
    </row>
    <row r="746" spans="3:5" ht="20.25" customHeight="1" x14ac:dyDescent="0.25">
      <c r="C746" s="91" t="s">
        <v>8506</v>
      </c>
      <c r="E746" s="112"/>
    </row>
    <row r="747" spans="3:5" ht="20.25" customHeight="1" x14ac:dyDescent="0.25">
      <c r="C747" s="91" t="s">
        <v>8507</v>
      </c>
      <c r="E747" s="103" t="s">
        <v>4357</v>
      </c>
    </row>
    <row r="748" spans="3:5" ht="20.25" customHeight="1" x14ac:dyDescent="0.25">
      <c r="C748" s="91" t="s">
        <v>8508</v>
      </c>
      <c r="E748" s="108">
        <v>45105</v>
      </c>
    </row>
    <row r="749" spans="3:5" ht="20.25" customHeight="1" x14ac:dyDescent="0.25">
      <c r="C749" s="91" t="s">
        <v>8509</v>
      </c>
      <c r="E749" s="119">
        <v>45040</v>
      </c>
    </row>
    <row r="750" spans="3:5" ht="20.25" customHeight="1" x14ac:dyDescent="0.25">
      <c r="C750" s="91" t="s">
        <v>8510</v>
      </c>
      <c r="E750" s="112"/>
    </row>
    <row r="751" spans="3:5" ht="20.25" customHeight="1" x14ac:dyDescent="0.25">
      <c r="C751" s="91" t="s">
        <v>8511</v>
      </c>
      <c r="E751" s="103" t="s">
        <v>4357</v>
      </c>
    </row>
    <row r="752" spans="3:5" ht="20.25" customHeight="1" x14ac:dyDescent="0.25">
      <c r="C752" s="91" t="s">
        <v>8512</v>
      </c>
      <c r="E752" s="103" t="s">
        <v>4357</v>
      </c>
    </row>
    <row r="753" spans="3:5" ht="20.25" customHeight="1" x14ac:dyDescent="0.25">
      <c r="C753" s="91" t="s">
        <v>8513</v>
      </c>
      <c r="E753" s="112"/>
    </row>
    <row r="754" spans="3:5" ht="20.25" customHeight="1" x14ac:dyDescent="0.25">
      <c r="C754" s="91" t="s">
        <v>8514</v>
      </c>
      <c r="E754" s="112"/>
    </row>
    <row r="755" spans="3:5" ht="20.25" customHeight="1" x14ac:dyDescent="0.25">
      <c r="C755" s="91" t="s">
        <v>8515</v>
      </c>
      <c r="E755" s="112"/>
    </row>
    <row r="756" spans="3:5" ht="20.25" customHeight="1" x14ac:dyDescent="0.25">
      <c r="C756" s="91" t="s">
        <v>8516</v>
      </c>
      <c r="E756" s="103" t="s">
        <v>4357</v>
      </c>
    </row>
    <row r="757" spans="3:5" ht="20.25" customHeight="1" x14ac:dyDescent="0.25">
      <c r="C757" s="91" t="s">
        <v>8517</v>
      </c>
      <c r="E757" s="112"/>
    </row>
    <row r="758" spans="3:5" ht="20.25" customHeight="1" x14ac:dyDescent="0.25">
      <c r="C758" s="91" t="s">
        <v>8518</v>
      </c>
      <c r="E758" s="105">
        <v>44910</v>
      </c>
    </row>
    <row r="759" spans="3:5" ht="20.25" customHeight="1" x14ac:dyDescent="0.25">
      <c r="C759" s="91" t="s">
        <v>8519</v>
      </c>
      <c r="E759" s="112"/>
    </row>
    <row r="760" spans="3:5" ht="20.25" customHeight="1" x14ac:dyDescent="0.25">
      <c r="C760" s="91" t="s">
        <v>8520</v>
      </c>
      <c r="E760" s="103" t="s">
        <v>4357</v>
      </c>
    </row>
    <row r="761" spans="3:5" ht="20.25" customHeight="1" x14ac:dyDescent="0.25">
      <c r="C761" s="91" t="s">
        <v>8521</v>
      </c>
      <c r="E761" s="112"/>
    </row>
    <row r="762" spans="3:5" ht="20.25" customHeight="1" x14ac:dyDescent="0.25">
      <c r="C762" s="91" t="s">
        <v>8522</v>
      </c>
      <c r="E762" s="112"/>
    </row>
    <row r="763" spans="3:5" ht="20.25" customHeight="1" x14ac:dyDescent="0.25">
      <c r="C763" s="91" t="s">
        <v>8523</v>
      </c>
      <c r="E763" s="112"/>
    </row>
    <row r="764" spans="3:5" ht="20.25" customHeight="1" x14ac:dyDescent="0.25">
      <c r="C764" s="91" t="s">
        <v>8524</v>
      </c>
      <c r="E764" s="112"/>
    </row>
    <row r="765" spans="3:5" ht="20.25" customHeight="1" x14ac:dyDescent="0.25">
      <c r="C765" s="91" t="s">
        <v>8525</v>
      </c>
      <c r="E765" s="119">
        <v>45040</v>
      </c>
    </row>
    <row r="766" spans="3:5" ht="20.25" customHeight="1" x14ac:dyDescent="0.25">
      <c r="C766" s="91" t="s">
        <v>8526</v>
      </c>
      <c r="E766" s="119">
        <v>45040</v>
      </c>
    </row>
    <row r="767" spans="3:5" ht="20.25" customHeight="1" x14ac:dyDescent="0.25">
      <c r="C767" s="91" t="s">
        <v>8527</v>
      </c>
      <c r="E767" s="112"/>
    </row>
    <row r="768" spans="3:5" ht="20.25" customHeight="1" x14ac:dyDescent="0.25">
      <c r="C768" s="91" t="s">
        <v>8528</v>
      </c>
      <c r="E768" s="112"/>
    </row>
    <row r="769" spans="3:5" ht="20.25" customHeight="1" x14ac:dyDescent="0.25">
      <c r="C769" s="91" t="s">
        <v>8529</v>
      </c>
      <c r="E769" s="119">
        <v>45040</v>
      </c>
    </row>
    <row r="770" spans="3:5" ht="20.25" customHeight="1" x14ac:dyDescent="0.25">
      <c r="C770" s="91" t="s">
        <v>8530</v>
      </c>
      <c r="E770" s="105">
        <v>44890</v>
      </c>
    </row>
    <row r="771" spans="3:5" ht="20.25" customHeight="1" x14ac:dyDescent="0.25">
      <c r="C771" s="91" t="s">
        <v>8531</v>
      </c>
      <c r="E771" s="112"/>
    </row>
    <row r="772" spans="3:5" ht="20.25" customHeight="1" x14ac:dyDescent="0.25">
      <c r="C772" s="91" t="s">
        <v>8532</v>
      </c>
      <c r="E772" s="119">
        <v>45040</v>
      </c>
    </row>
    <row r="773" spans="3:5" ht="20.25" customHeight="1" x14ac:dyDescent="0.25">
      <c r="C773" s="91" t="s">
        <v>8533</v>
      </c>
      <c r="E773" s="109"/>
    </row>
    <row r="774" spans="3:5" ht="20.25" customHeight="1" x14ac:dyDescent="0.25">
      <c r="C774" s="91" t="s">
        <v>8534</v>
      </c>
      <c r="E774" s="112"/>
    </row>
    <row r="775" spans="3:5" ht="20.25" customHeight="1" x14ac:dyDescent="0.25">
      <c r="C775" s="91" t="s">
        <v>8535</v>
      </c>
      <c r="E775" s="119">
        <v>45040</v>
      </c>
    </row>
    <row r="776" spans="3:5" ht="20.25" customHeight="1" x14ac:dyDescent="0.25">
      <c r="C776" s="91" t="s">
        <v>8536</v>
      </c>
      <c r="E776" s="112"/>
    </row>
    <row r="777" spans="3:5" ht="20.25" customHeight="1" x14ac:dyDescent="0.25">
      <c r="C777" s="91" t="s">
        <v>8537</v>
      </c>
      <c r="E777" s="112"/>
    </row>
    <row r="778" spans="3:5" ht="20.25" customHeight="1" x14ac:dyDescent="0.25">
      <c r="C778" s="91" t="s">
        <v>8538</v>
      </c>
      <c r="E778" s="119">
        <v>45040</v>
      </c>
    </row>
    <row r="779" spans="3:5" ht="20.25" customHeight="1" x14ac:dyDescent="0.25">
      <c r="C779" s="91" t="s">
        <v>8539</v>
      </c>
      <c r="E779" s="105">
        <v>44922</v>
      </c>
    </row>
    <row r="780" spans="3:5" ht="20.25" customHeight="1" x14ac:dyDescent="0.25">
      <c r="C780" s="91" t="s">
        <v>8540</v>
      </c>
      <c r="E780" s="112"/>
    </row>
    <row r="781" spans="3:5" ht="20.25" customHeight="1" x14ac:dyDescent="0.25">
      <c r="C781" s="91" t="s">
        <v>8541</v>
      </c>
      <c r="E781" s="112"/>
    </row>
    <row r="782" spans="3:5" ht="20.25" customHeight="1" x14ac:dyDescent="0.25">
      <c r="C782" s="91" t="s">
        <v>8542</v>
      </c>
      <c r="E782" s="103" t="s">
        <v>4357</v>
      </c>
    </row>
    <row r="783" spans="3:5" ht="20.25" customHeight="1" x14ac:dyDescent="0.25">
      <c r="C783" s="91" t="s">
        <v>8543</v>
      </c>
      <c r="E783" s="105">
        <v>45056</v>
      </c>
    </row>
    <row r="784" spans="3:5" ht="20.25" customHeight="1" x14ac:dyDescent="0.25">
      <c r="C784" s="91" t="s">
        <v>7871</v>
      </c>
      <c r="E784" s="112"/>
    </row>
    <row r="785" spans="3:5" ht="20.25" customHeight="1" x14ac:dyDescent="0.25">
      <c r="C785" s="91" t="s">
        <v>7873</v>
      </c>
      <c r="E785" s="103" t="s">
        <v>4357</v>
      </c>
    </row>
    <row r="786" spans="3:5" ht="20.25" customHeight="1" x14ac:dyDescent="0.25">
      <c r="C786" s="91" t="s">
        <v>8544</v>
      </c>
      <c r="E786" s="112" t="s">
        <v>4357</v>
      </c>
    </row>
    <row r="787" spans="3:5" ht="20.25" customHeight="1" x14ac:dyDescent="0.25">
      <c r="C787" s="91" t="s">
        <v>8545</v>
      </c>
      <c r="E787" s="103" t="s">
        <v>4357</v>
      </c>
    </row>
    <row r="788" spans="3:5" ht="20.25" customHeight="1" x14ac:dyDescent="0.25">
      <c r="C788" s="91" t="s">
        <v>8546</v>
      </c>
      <c r="E788" s="112"/>
    </row>
    <row r="789" spans="3:5" ht="20.25" customHeight="1" x14ac:dyDescent="0.25">
      <c r="C789" s="91" t="s">
        <v>8547</v>
      </c>
      <c r="E789" s="112"/>
    </row>
    <row r="790" spans="3:5" ht="20.25" customHeight="1" x14ac:dyDescent="0.25">
      <c r="C790" s="91" t="s">
        <v>8548</v>
      </c>
      <c r="E790" s="112"/>
    </row>
    <row r="791" spans="3:5" ht="20.25" customHeight="1" x14ac:dyDescent="0.25">
      <c r="C791" s="91" t="s">
        <v>8549</v>
      </c>
      <c r="E791" s="112"/>
    </row>
    <row r="792" spans="3:5" ht="20.25" customHeight="1" x14ac:dyDescent="0.25">
      <c r="C792" s="91" t="s">
        <v>8550</v>
      </c>
      <c r="E792" s="112"/>
    </row>
    <row r="793" spans="3:5" ht="20.25" customHeight="1" x14ac:dyDescent="0.25">
      <c r="C793" s="91" t="s">
        <v>8551</v>
      </c>
      <c r="E793" s="112"/>
    </row>
    <row r="794" spans="3:5" ht="20.25" customHeight="1" x14ac:dyDescent="0.25">
      <c r="C794" s="91" t="s">
        <v>8552</v>
      </c>
      <c r="E794" s="112"/>
    </row>
    <row r="795" spans="3:5" ht="20.25" customHeight="1" x14ac:dyDescent="0.25">
      <c r="C795" s="91" t="s">
        <v>8553</v>
      </c>
      <c r="E795" s="112"/>
    </row>
    <row r="796" spans="3:5" ht="20.25" customHeight="1" x14ac:dyDescent="0.25">
      <c r="C796" s="91" t="s">
        <v>8554</v>
      </c>
      <c r="E796" s="112"/>
    </row>
    <row r="797" spans="3:5" ht="20.25" customHeight="1" x14ac:dyDescent="0.25">
      <c r="C797" s="91" t="s">
        <v>8555</v>
      </c>
      <c r="E797" s="112"/>
    </row>
    <row r="798" spans="3:5" ht="20.25" customHeight="1" x14ac:dyDescent="0.25">
      <c r="C798" s="91" t="s">
        <v>8556</v>
      </c>
      <c r="E798" s="103" t="s">
        <v>4357</v>
      </c>
    </row>
    <row r="799" spans="3:5" ht="20.25" customHeight="1" x14ac:dyDescent="0.25">
      <c r="C799" s="91" t="s">
        <v>8557</v>
      </c>
      <c r="E799" s="103" t="s">
        <v>4357</v>
      </c>
    </row>
    <row r="800" spans="3:5" ht="20.25" customHeight="1" x14ac:dyDescent="0.25">
      <c r="C800" s="91" t="s">
        <v>8558</v>
      </c>
      <c r="E800" s="103" t="s">
        <v>4357</v>
      </c>
    </row>
    <row r="801" spans="3:5" ht="20.25" customHeight="1" x14ac:dyDescent="0.25">
      <c r="C801" s="91" t="s">
        <v>8559</v>
      </c>
      <c r="E801" s="113"/>
    </row>
    <row r="802" spans="3:5" ht="20.25" customHeight="1" x14ac:dyDescent="0.25">
      <c r="C802" s="91" t="s">
        <v>8560</v>
      </c>
      <c r="E802" s="112"/>
    </row>
    <row r="803" spans="3:5" ht="20.25" customHeight="1" x14ac:dyDescent="0.25">
      <c r="C803" s="91" t="s">
        <v>8561</v>
      </c>
      <c r="E803" s="112"/>
    </row>
    <row r="804" spans="3:5" ht="20.25" customHeight="1" x14ac:dyDescent="0.25">
      <c r="C804" s="91" t="s">
        <v>8562</v>
      </c>
      <c r="E804" s="112"/>
    </row>
    <row r="805" spans="3:5" ht="20.25" customHeight="1" x14ac:dyDescent="0.25">
      <c r="C805" s="91" t="s">
        <v>8563</v>
      </c>
      <c r="E805" s="112"/>
    </row>
    <row r="806" spans="3:5" ht="20.25" customHeight="1" x14ac:dyDescent="0.25">
      <c r="C806" s="92" t="s">
        <v>8564</v>
      </c>
      <c r="E806" s="112"/>
    </row>
    <row r="807" spans="3:5" ht="20.25" customHeight="1" x14ac:dyDescent="0.25">
      <c r="C807" s="92" t="s">
        <v>8565</v>
      </c>
      <c r="E807" s="112"/>
    </row>
    <row r="808" spans="3:5" ht="20.25" customHeight="1" x14ac:dyDescent="0.25">
      <c r="C808" s="91" t="s">
        <v>8566</v>
      </c>
      <c r="E808" s="112"/>
    </row>
    <row r="809" spans="3:5" ht="20.25" customHeight="1" x14ac:dyDescent="0.25">
      <c r="C809" s="92" t="s">
        <v>8567</v>
      </c>
      <c r="E809" s="112"/>
    </row>
    <row r="810" spans="3:5" ht="20.25" customHeight="1" x14ac:dyDescent="0.25">
      <c r="C810" s="92" t="s">
        <v>8568</v>
      </c>
      <c r="E810" s="112"/>
    </row>
    <row r="811" spans="3:5" ht="20.25" customHeight="1" x14ac:dyDescent="0.25">
      <c r="C811" s="92" t="s">
        <v>8569</v>
      </c>
      <c r="E811" s="112"/>
    </row>
    <row r="812" spans="3:5" ht="20.25" customHeight="1" x14ac:dyDescent="0.25">
      <c r="C812" s="92" t="s">
        <v>8570</v>
      </c>
      <c r="E812" s="112"/>
    </row>
    <row r="813" spans="3:5" ht="20.25" customHeight="1" x14ac:dyDescent="0.25">
      <c r="C813" s="92" t="s">
        <v>8571</v>
      </c>
      <c r="E813" s="112"/>
    </row>
    <row r="814" spans="3:5" ht="20.25" customHeight="1" x14ac:dyDescent="0.25">
      <c r="C814" s="92" t="s">
        <v>8572</v>
      </c>
      <c r="E814" s="112"/>
    </row>
    <row r="815" spans="3:5" ht="20.25" customHeight="1" x14ac:dyDescent="0.25">
      <c r="C815" s="92" t="s">
        <v>8573</v>
      </c>
      <c r="E815" s="112"/>
    </row>
    <row r="816" spans="3:5" ht="20.25" customHeight="1" x14ac:dyDescent="0.25">
      <c r="C816" s="92" t="s">
        <v>8574</v>
      </c>
      <c r="E816" s="112"/>
    </row>
    <row r="817" spans="3:5" ht="20.25" customHeight="1" x14ac:dyDescent="0.25">
      <c r="C817" s="92" t="s">
        <v>8575</v>
      </c>
      <c r="E817" s="112"/>
    </row>
    <row r="818" spans="3:5" ht="20.25" customHeight="1" x14ac:dyDescent="0.25">
      <c r="C818" s="92" t="s">
        <v>8576</v>
      </c>
      <c r="E818" s="112"/>
    </row>
    <row r="819" spans="3:5" ht="20.25" customHeight="1" x14ac:dyDescent="0.25">
      <c r="C819" s="92" t="s">
        <v>8577</v>
      </c>
      <c r="E819" s="112"/>
    </row>
    <row r="820" spans="3:5" ht="20.25" customHeight="1" x14ac:dyDescent="0.25">
      <c r="C820" s="92" t="s">
        <v>8578</v>
      </c>
      <c r="E820" s="112"/>
    </row>
    <row r="821" spans="3:5" ht="20.25" customHeight="1" x14ac:dyDescent="0.25">
      <c r="C821" s="92" t="s">
        <v>8579</v>
      </c>
      <c r="E821" s="112"/>
    </row>
    <row r="822" spans="3:5" ht="20.25" customHeight="1" x14ac:dyDescent="0.25">
      <c r="C822" s="92" t="s">
        <v>8580</v>
      </c>
      <c r="E822" s="112"/>
    </row>
    <row r="823" spans="3:5" ht="20.25" customHeight="1" x14ac:dyDescent="0.25">
      <c r="C823" s="92" t="s">
        <v>8581</v>
      </c>
      <c r="E823" s="112"/>
    </row>
    <row r="824" spans="3:5" ht="20.25" customHeight="1" x14ac:dyDescent="0.25">
      <c r="C824" s="92" t="s">
        <v>8582</v>
      </c>
      <c r="E824" s="112"/>
    </row>
    <row r="825" spans="3:5" ht="20.25" customHeight="1" x14ac:dyDescent="0.25">
      <c r="C825" s="92" t="s">
        <v>8583</v>
      </c>
      <c r="E825" s="112"/>
    </row>
    <row r="826" spans="3:5" ht="20.25" customHeight="1" x14ac:dyDescent="0.25">
      <c r="C826" s="92" t="s">
        <v>8584</v>
      </c>
      <c r="E826" s="112"/>
    </row>
    <row r="827" spans="3:5" ht="20.25" customHeight="1" x14ac:dyDescent="0.25">
      <c r="C827" s="92" t="s">
        <v>8585</v>
      </c>
      <c r="E827" s="112"/>
    </row>
    <row r="828" spans="3:5" ht="20.25" customHeight="1" x14ac:dyDescent="0.25">
      <c r="C828" s="92" t="s">
        <v>8586</v>
      </c>
      <c r="E828" s="112"/>
    </row>
    <row r="829" spans="3:5" ht="20.25" customHeight="1" x14ac:dyDescent="0.25">
      <c r="C829" s="92" t="s">
        <v>8587</v>
      </c>
      <c r="E829" s="112"/>
    </row>
    <row r="830" spans="3:5" ht="20.25" customHeight="1" x14ac:dyDescent="0.25">
      <c r="C830" s="92" t="s">
        <v>8588</v>
      </c>
      <c r="E830" s="112"/>
    </row>
    <row r="831" spans="3:5" ht="20.25" customHeight="1" x14ac:dyDescent="0.25">
      <c r="C831" s="92" t="s">
        <v>8589</v>
      </c>
      <c r="E831" s="112"/>
    </row>
    <row r="832" spans="3:5" ht="20.25" customHeight="1" x14ac:dyDescent="0.25">
      <c r="C832" s="92" t="s">
        <v>8590</v>
      </c>
      <c r="E832" s="112"/>
    </row>
    <row r="833" spans="3:5" ht="20.25" customHeight="1" x14ac:dyDescent="0.25">
      <c r="C833" s="92" t="s">
        <v>8591</v>
      </c>
      <c r="E833" s="112"/>
    </row>
    <row r="834" spans="3:5" ht="20.25" customHeight="1" x14ac:dyDescent="0.25">
      <c r="C834" s="92" t="s">
        <v>8592</v>
      </c>
      <c r="E834" s="112"/>
    </row>
    <row r="835" spans="3:5" ht="20.25" customHeight="1" x14ac:dyDescent="0.25">
      <c r="C835" s="92" t="s">
        <v>8593</v>
      </c>
      <c r="E835" s="103" t="s">
        <v>4357</v>
      </c>
    </row>
    <row r="836" spans="3:5" ht="20.25" customHeight="1" x14ac:dyDescent="0.25">
      <c r="C836" s="92" t="s">
        <v>8594</v>
      </c>
      <c r="E836" s="112"/>
    </row>
    <row r="837" spans="3:5" ht="20.25" customHeight="1" x14ac:dyDescent="0.25">
      <c r="C837" s="92" t="s">
        <v>8595</v>
      </c>
      <c r="E837" s="112"/>
    </row>
    <row r="838" spans="3:5" ht="20.25" customHeight="1" x14ac:dyDescent="0.25">
      <c r="C838" s="92" t="s">
        <v>7875</v>
      </c>
      <c r="E838" s="112"/>
    </row>
    <row r="839" spans="3:5" ht="20.25" customHeight="1" x14ac:dyDescent="0.25">
      <c r="C839" s="92" t="s">
        <v>8596</v>
      </c>
      <c r="E839" s="112"/>
    </row>
    <row r="840" spans="3:5" ht="20.25" customHeight="1" x14ac:dyDescent="0.25">
      <c r="C840" s="92" t="s">
        <v>8597</v>
      </c>
      <c r="E840" s="108">
        <v>45065</v>
      </c>
    </row>
    <row r="841" spans="3:5" ht="20.25" customHeight="1" x14ac:dyDescent="0.25">
      <c r="C841" s="92" t="s">
        <v>8598</v>
      </c>
      <c r="E841" s="103" t="s">
        <v>4357</v>
      </c>
    </row>
    <row r="842" spans="3:5" ht="20.25" customHeight="1" x14ac:dyDescent="0.25">
      <c r="C842" s="92" t="s">
        <v>8599</v>
      </c>
      <c r="E842" s="108">
        <v>45148</v>
      </c>
    </row>
    <row r="843" spans="3:5" ht="20.25" customHeight="1" x14ac:dyDescent="0.25">
      <c r="C843" s="92" t="s">
        <v>8600</v>
      </c>
      <c r="E843" s="103" t="s">
        <v>4357</v>
      </c>
    </row>
    <row r="844" spans="3:5" ht="20.25" customHeight="1" x14ac:dyDescent="0.25">
      <c r="C844" s="92" t="s">
        <v>7877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12:C21">
    <cfRule type="duplicateValues" dxfId="38" priority="6"/>
  </conditionalFormatting>
  <conditionalFormatting sqref="C21">
    <cfRule type="duplicateValues" dxfId="37" priority="2"/>
    <cfRule type="duplicateValues" dxfId="36" priority="3"/>
    <cfRule type="duplicateValues" dxfId="35" priority="4"/>
    <cfRule type="duplicateValues" dxfId="34" priority="5"/>
  </conditionalFormatting>
  <conditionalFormatting sqref="C23:C24">
    <cfRule type="duplicateValues" dxfId="33" priority="7"/>
    <cfRule type="duplicateValues" dxfId="32" priority="8"/>
    <cfRule type="duplicateValues" dxfId="31" priority="9"/>
    <cfRule type="duplicateValues" dxfId="30" priority="10"/>
  </conditionalFormatting>
  <conditionalFormatting sqref="C25:C34">
    <cfRule type="duplicateValues" dxfId="29" priority="3057"/>
  </conditionalFormatting>
  <conditionalFormatting sqref="C6:C11">
    <cfRule type="duplicateValues" dxfId="0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6632</v>
      </c>
      <c r="I5" s="242" t="s">
        <v>6634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6680</v>
      </c>
      <c r="I9" s="242" t="s">
        <v>6681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6517</v>
      </c>
      <c r="I17" s="242" t="s">
        <v>6519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8" priority="80"/>
    <cfRule type="duplicateValues" dxfId="27" priority="81"/>
    <cfRule type="duplicateValues" dxfId="26" priority="82"/>
  </conditionalFormatting>
  <conditionalFormatting sqref="D13:E14">
    <cfRule type="duplicateValues" dxfId="25" priority="73"/>
    <cfRule type="duplicateValues" dxfId="24" priority="74"/>
    <cfRule type="duplicateValues" dxfId="23" priority="75"/>
    <cfRule type="duplicateValues" dxfId="22" priority="76"/>
    <cfRule type="duplicateValues" dxfId="21" priority="77"/>
    <cfRule type="duplicateValues" dxfId="20" priority="78"/>
    <cfRule type="duplicateValues" dxfId="19" priority="79"/>
  </conditionalFormatting>
  <conditionalFormatting sqref="G4">
    <cfRule type="duplicateValues" dxfId="18" priority="70"/>
    <cfRule type="duplicateValues" dxfId="17" priority="71"/>
    <cfRule type="duplicateValues" dxfId="16" priority="72"/>
  </conditionalFormatting>
  <conditionalFormatting sqref="G5:G34">
    <cfRule type="duplicateValues" dxfId="15" priority="10"/>
  </conditionalFormatting>
  <conditionalFormatting sqref="G35:G37">
    <cfRule type="duplicateValues" dxfId="14" priority="60"/>
  </conditionalFormatting>
  <conditionalFormatting sqref="H4">
    <cfRule type="duplicateValues" dxfId="13" priority="68"/>
    <cfRule type="duplicateValues" dxfId="12" priority="69"/>
  </conditionalFormatting>
  <conditionalFormatting sqref="H29">
    <cfRule type="duplicateValues" dxfId="11" priority="1"/>
  </conditionalFormatting>
  <conditionalFormatting sqref="J19">
    <cfRule type="duplicateValues" dxfId="10" priority="5"/>
  </conditionalFormatting>
  <conditionalFormatting sqref="J20">
    <cfRule type="duplicateValues" dxfId="9" priority="3"/>
  </conditionalFormatting>
  <conditionalFormatting sqref="J21:J22">
    <cfRule type="duplicateValues" dxfId="8" priority="4"/>
  </conditionalFormatting>
  <conditionalFormatting sqref="J28 J22:J23">
    <cfRule type="duplicateValues" dxfId="7" priority="2"/>
  </conditionalFormatting>
  <conditionalFormatting sqref="J28:J29 J15 J10:J12 J7:J8 J5">
    <cfRule type="duplicateValues" dxfId="6" priority="6"/>
  </conditionalFormatting>
  <conditionalFormatting sqref="J31:J34 J26:J29 J17:J24 J5:J15">
    <cfRule type="duplicateValues" dxfId="5" priority="7"/>
    <cfRule type="duplicateValues" dxfId="4" priority="8"/>
  </conditionalFormatting>
  <conditionalFormatting sqref="J31:J34 J26:J29 J23:J24 J17:J18 J10:J15 J5:J8">
    <cfRule type="duplicateValues" dxfId="3" priority="9"/>
  </conditionalFormatting>
  <conditionalFormatting sqref="J35">
    <cfRule type="duplicateValues" dxfId="2" priority="59"/>
  </conditionalFormatting>
  <conditionalFormatting sqref="J36">
    <cfRule type="duplicateValues" dxfId="1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2026-07-27T17:10:03Z</dcterms:modified>
  <cp:category/>
  <cp:contentStatus/>
</cp:coreProperties>
</file>